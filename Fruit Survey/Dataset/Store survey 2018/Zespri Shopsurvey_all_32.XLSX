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miyagi!$A$1:$BA$123</definedName>
    <definedName name="_xlnm._FilterDatabase" localSheetId="2" hidden="1">nagoya!$A$1:$BA$52</definedName>
    <definedName name="_xlnm._FilterDatabase" localSheetId="3" hidden="1">osaka!$A$1:$BA$70</definedName>
    <definedName name="_xlnm._FilterDatabase" localSheetId="0" hidden="1">sapporo!$A$1:$BA$120</definedName>
    <definedName name="_xlnm._FilterDatabase" localSheetId="6" hidden="1">'tokyo-east(ota)'!$A$1:$BA$1</definedName>
    <definedName name="_xlnm._FilterDatabase" localSheetId="7" hidden="1">'tokyo-west(kato)'!$A$1:$AB$91</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91" i="32" l="1"/>
  <c r="V91" i="32" s="1"/>
  <c r="Q91" i="32"/>
  <c r="T90" i="32"/>
  <c r="V90" i="32" s="1"/>
  <c r="Q90" i="32"/>
  <c r="T89" i="32"/>
  <c r="V89" i="32" s="1"/>
  <c r="Q89" i="32"/>
  <c r="T88" i="32"/>
  <c r="V88" i="32" s="1"/>
  <c r="Q88" i="32"/>
  <c r="T87" i="32"/>
  <c r="V87" i="32" s="1"/>
  <c r="Q87" i="32"/>
  <c r="T86" i="32"/>
  <c r="V86" i="32" s="1"/>
  <c r="Q86" i="32"/>
  <c r="T85" i="32"/>
  <c r="V85" i="32" s="1"/>
  <c r="Q85" i="32"/>
  <c r="T84" i="32"/>
  <c r="V84" i="32" s="1"/>
  <c r="Q84" i="32"/>
  <c r="T83" i="32"/>
  <c r="V83" i="32" s="1"/>
  <c r="Q83" i="32"/>
  <c r="T82" i="32"/>
  <c r="V82" i="32" s="1"/>
  <c r="Q82" i="32"/>
  <c r="T81" i="32"/>
  <c r="V81" i="32" s="1"/>
  <c r="Q81" i="32"/>
  <c r="T80" i="32"/>
  <c r="V80" i="32" s="1"/>
  <c r="Q80" i="32"/>
  <c r="T79" i="32"/>
  <c r="V79" i="32" s="1"/>
  <c r="Q79" i="32"/>
  <c r="T78" i="32"/>
  <c r="V78" i="32" s="1"/>
  <c r="Q78" i="32"/>
  <c r="T77" i="32"/>
  <c r="V77" i="32" s="1"/>
  <c r="Q77" i="32"/>
  <c r="T76" i="32"/>
  <c r="V76" i="32" s="1"/>
  <c r="Q76" i="32"/>
  <c r="T75" i="32"/>
  <c r="V75" i="32" s="1"/>
  <c r="Q75" i="32"/>
  <c r="T74" i="32"/>
  <c r="V74" i="32" s="1"/>
  <c r="Q74" i="32"/>
  <c r="T73" i="32"/>
  <c r="V73" i="32" s="1"/>
  <c r="Q73" i="32"/>
  <c r="T72" i="32"/>
  <c r="V72" i="32" s="1"/>
  <c r="Q72" i="32"/>
  <c r="T71" i="32"/>
  <c r="V71" i="32" s="1"/>
  <c r="Q71" i="32"/>
  <c r="T70" i="32"/>
  <c r="V70" i="32" s="1"/>
  <c r="Q70" i="32"/>
  <c r="T69" i="32"/>
  <c r="V69" i="32" s="1"/>
  <c r="Q69" i="32"/>
  <c r="T68" i="32"/>
  <c r="V68" i="32" s="1"/>
  <c r="Q68" i="32"/>
  <c r="T67" i="32"/>
  <c r="V67" i="32" s="1"/>
  <c r="Q67" i="32"/>
  <c r="T66" i="32"/>
  <c r="V66" i="32" s="1"/>
  <c r="Q66" i="32"/>
  <c r="T65" i="32"/>
  <c r="V65" i="32" s="1"/>
  <c r="Q65" i="32"/>
  <c r="T64" i="32"/>
  <c r="V64" i="32" s="1"/>
  <c r="Q64" i="32"/>
  <c r="T63" i="32"/>
  <c r="V63" i="32" s="1"/>
  <c r="Q63" i="32"/>
  <c r="T62" i="32"/>
  <c r="V62" i="32" s="1"/>
  <c r="Q62" i="32"/>
  <c r="T61" i="32"/>
  <c r="V61" i="32" s="1"/>
  <c r="Q61" i="32"/>
  <c r="T60" i="32"/>
  <c r="V60" i="32" s="1"/>
  <c r="Q60" i="32"/>
  <c r="T59" i="32"/>
  <c r="V59" i="32" s="1"/>
  <c r="Q59" i="32"/>
  <c r="T58" i="32"/>
  <c r="V58" i="32" s="1"/>
  <c r="Q58" i="32"/>
  <c r="T57" i="32"/>
  <c r="V57" i="32" s="1"/>
  <c r="Q57" i="32"/>
  <c r="T56" i="32"/>
  <c r="V56" i="32" s="1"/>
  <c r="Q56" i="32"/>
  <c r="T55" i="32"/>
  <c r="V55" i="32" s="1"/>
  <c r="Q55" i="32"/>
  <c r="T54" i="32"/>
  <c r="V54" i="32" s="1"/>
  <c r="Q54" i="32"/>
  <c r="T53" i="32"/>
  <c r="V53" i="32" s="1"/>
  <c r="Q53" i="32"/>
  <c r="T52" i="32"/>
  <c r="V52" i="32" s="1"/>
  <c r="Q52" i="32"/>
  <c r="T51" i="32"/>
  <c r="V51" i="32" s="1"/>
  <c r="Q51" i="32"/>
  <c r="T50" i="32"/>
  <c r="V50" i="32" s="1"/>
  <c r="Q50" i="32"/>
  <c r="T49" i="32"/>
  <c r="V49" i="32" s="1"/>
  <c r="Q49" i="32"/>
  <c r="T48" i="32"/>
  <c r="V48" i="32" s="1"/>
  <c r="Q48" i="32"/>
  <c r="T47" i="32"/>
  <c r="V47" i="32" s="1"/>
  <c r="Q47" i="32"/>
  <c r="T46" i="32"/>
  <c r="V46" i="32" s="1"/>
  <c r="Q46" i="32"/>
  <c r="T45" i="32"/>
  <c r="V45" i="32" s="1"/>
  <c r="Q45" i="32"/>
  <c r="T44" i="32"/>
  <c r="V44" i="32" s="1"/>
  <c r="Q44" i="32"/>
  <c r="T43" i="32"/>
  <c r="V43" i="32" s="1"/>
  <c r="Q43" i="32"/>
  <c r="T42" i="32"/>
  <c r="V42" i="32" s="1"/>
  <c r="Q42" i="32"/>
  <c r="T41" i="32"/>
  <c r="V41" i="32" s="1"/>
  <c r="Q41" i="32"/>
  <c r="T40" i="32"/>
  <c r="V40" i="32" s="1"/>
  <c r="Q40" i="32"/>
  <c r="T39" i="32"/>
  <c r="V39" i="32" s="1"/>
  <c r="Q39" i="32"/>
  <c r="T38" i="32"/>
  <c r="V38" i="32" s="1"/>
  <c r="Q38" i="32"/>
  <c r="T37" i="32"/>
  <c r="V37" i="32" s="1"/>
  <c r="Q37" i="32"/>
  <c r="T36" i="32"/>
  <c r="V36" i="32" s="1"/>
  <c r="Q36" i="32"/>
  <c r="T35" i="32"/>
  <c r="V35" i="32" s="1"/>
  <c r="Q35" i="32"/>
  <c r="T34" i="32"/>
  <c r="V34" i="32" s="1"/>
  <c r="Q34" i="32"/>
  <c r="T33" i="32"/>
  <c r="V33" i="32" s="1"/>
  <c r="Q33" i="32"/>
  <c r="T32" i="32"/>
  <c r="V32" i="32" s="1"/>
  <c r="Q32" i="32"/>
  <c r="T31" i="32"/>
  <c r="V31" i="32" s="1"/>
  <c r="Q31" i="32"/>
  <c r="T30" i="32"/>
  <c r="V30" i="32" s="1"/>
  <c r="Q30" i="32"/>
  <c r="T29" i="32"/>
  <c r="V29" i="32" s="1"/>
  <c r="Q29" i="32"/>
  <c r="T28" i="32"/>
  <c r="V28" i="32" s="1"/>
  <c r="Q28" i="32"/>
  <c r="T27" i="32"/>
  <c r="V27" i="32" s="1"/>
  <c r="Q27" i="32"/>
  <c r="T26" i="32"/>
  <c r="V26" i="32" s="1"/>
  <c r="Q26" i="32"/>
  <c r="T25" i="32"/>
  <c r="V25" i="32" s="1"/>
  <c r="Q25" i="32"/>
  <c r="T24" i="32"/>
  <c r="V24" i="32" s="1"/>
  <c r="Q24" i="32"/>
  <c r="T23" i="32"/>
  <c r="V23" i="32" s="1"/>
  <c r="Q23" i="32"/>
  <c r="T22" i="32"/>
  <c r="V22" i="32" s="1"/>
  <c r="Q22" i="32"/>
  <c r="T21" i="32"/>
  <c r="V21" i="32" s="1"/>
  <c r="Q21" i="32"/>
  <c r="T20" i="32"/>
  <c r="V20" i="32" s="1"/>
  <c r="Q20" i="32"/>
  <c r="T19" i="32"/>
  <c r="V19" i="32" s="1"/>
  <c r="Q19" i="32"/>
  <c r="T18" i="32"/>
  <c r="V18" i="32" s="1"/>
  <c r="Q18" i="32"/>
  <c r="T17" i="32"/>
  <c r="V17" i="32" s="1"/>
  <c r="Q17" i="32"/>
  <c r="T16" i="32"/>
  <c r="V16" i="32" s="1"/>
  <c r="Q16" i="32"/>
  <c r="T15" i="32"/>
  <c r="V15" i="32" s="1"/>
  <c r="Q15" i="32"/>
  <c r="T14" i="32"/>
  <c r="V14" i="32" s="1"/>
  <c r="Q14" i="32"/>
  <c r="T13" i="32"/>
  <c r="V13" i="32" s="1"/>
  <c r="Q13" i="32"/>
  <c r="T12" i="32"/>
  <c r="V12" i="32" s="1"/>
  <c r="Q12" i="32"/>
  <c r="T11" i="32"/>
  <c r="V11" i="32" s="1"/>
  <c r="Q11" i="32"/>
  <c r="T10" i="32"/>
  <c r="V10" i="32" s="1"/>
  <c r="Q10" i="32"/>
  <c r="T9" i="32"/>
  <c r="V9" i="32" s="1"/>
  <c r="Q9" i="32"/>
  <c r="T8" i="32"/>
  <c r="V8" i="32" s="1"/>
  <c r="Q8" i="32"/>
  <c r="T7" i="32"/>
  <c r="V7" i="32" s="1"/>
  <c r="Q7" i="32"/>
  <c r="T6" i="32"/>
  <c r="V6" i="32" s="1"/>
  <c r="Q6" i="32"/>
  <c r="T5" i="32"/>
  <c r="V5" i="32" s="1"/>
  <c r="Q5" i="32"/>
  <c r="T4" i="32"/>
  <c r="V4" i="32" s="1"/>
  <c r="Q4" i="32"/>
  <c r="T3" i="32"/>
  <c r="V3" i="32" s="1"/>
  <c r="Q3" i="32"/>
  <c r="T2" i="32"/>
  <c r="V2" i="32" s="1"/>
  <c r="Q2" i="32"/>
  <c r="T86" i="31" l="1"/>
  <c r="V86" i="31" s="1"/>
  <c r="Q86" i="31"/>
  <c r="T85" i="31"/>
  <c r="V85" i="31" s="1"/>
  <c r="Q85" i="31"/>
  <c r="T84" i="31"/>
  <c r="V84" i="31" s="1"/>
  <c r="Q84" i="31"/>
  <c r="T83" i="31"/>
  <c r="V83" i="31" s="1"/>
  <c r="Q83" i="31"/>
  <c r="T82" i="31"/>
  <c r="V82" i="31" s="1"/>
  <c r="Q82" i="31"/>
  <c r="T81" i="31"/>
  <c r="V81" i="31" s="1"/>
  <c r="Q81" i="31"/>
  <c r="T80" i="31"/>
  <c r="V80" i="31" s="1"/>
  <c r="Q80" i="31"/>
  <c r="T79" i="31"/>
  <c r="V79" i="31" s="1"/>
  <c r="Q79" i="31"/>
  <c r="T78" i="31"/>
  <c r="V78" i="31" s="1"/>
  <c r="Q78" i="31"/>
  <c r="T77" i="31"/>
  <c r="V77" i="31" s="1"/>
  <c r="Q77" i="31"/>
  <c r="T76" i="31"/>
  <c r="V76" i="31" s="1"/>
  <c r="Q76" i="31"/>
  <c r="T75" i="31"/>
  <c r="V75" i="31" s="1"/>
  <c r="Q75" i="31"/>
  <c r="T74" i="31"/>
  <c r="V74" i="31" s="1"/>
  <c r="Q74" i="31"/>
  <c r="T73" i="31"/>
  <c r="V73" i="31" s="1"/>
  <c r="Q73" i="31"/>
  <c r="T72" i="31"/>
  <c r="V72" i="31" s="1"/>
  <c r="Q72" i="31"/>
  <c r="T71" i="31"/>
  <c r="V71" i="31" s="1"/>
  <c r="Q71" i="31"/>
  <c r="T70" i="31"/>
  <c r="V70" i="31" s="1"/>
  <c r="Q70" i="31"/>
  <c r="T69" i="31"/>
  <c r="V69" i="31" s="1"/>
  <c r="Q69" i="31"/>
  <c r="V68" i="31"/>
  <c r="T68" i="31"/>
  <c r="Q68" i="31"/>
  <c r="T67" i="31"/>
  <c r="V67" i="31" s="1"/>
  <c r="Q67" i="31"/>
  <c r="T66" i="31"/>
  <c r="V66" i="31" s="1"/>
  <c r="Q66" i="31"/>
  <c r="T65" i="31"/>
  <c r="V65" i="31" s="1"/>
  <c r="Q65" i="31"/>
  <c r="T64" i="31"/>
  <c r="V64" i="31" s="1"/>
  <c r="Q64" i="31"/>
  <c r="T63" i="31"/>
  <c r="V63" i="31" s="1"/>
  <c r="Q63" i="31"/>
  <c r="T62" i="31"/>
  <c r="V62" i="31" s="1"/>
  <c r="Q62" i="31"/>
  <c r="T61" i="31"/>
  <c r="V61" i="31" s="1"/>
  <c r="Q61" i="31"/>
  <c r="T60" i="31"/>
  <c r="V60" i="31" s="1"/>
  <c r="Q60" i="31"/>
  <c r="T59" i="31"/>
  <c r="V59" i="31" s="1"/>
  <c r="Q59" i="31"/>
  <c r="T58" i="31"/>
  <c r="V58" i="31" s="1"/>
  <c r="Q58" i="31"/>
  <c r="T57" i="31"/>
  <c r="V57" i="31" s="1"/>
  <c r="Q57" i="31"/>
  <c r="T55" i="31"/>
  <c r="V55" i="31" s="1"/>
  <c r="Q55" i="31"/>
  <c r="T54" i="31"/>
  <c r="V54" i="31" s="1"/>
  <c r="Q54" i="31"/>
  <c r="T53" i="31"/>
  <c r="V53" i="31" s="1"/>
  <c r="Q53" i="31"/>
  <c r="T52" i="31"/>
  <c r="V52" i="31" s="1"/>
  <c r="Q52" i="31"/>
  <c r="T51" i="31"/>
  <c r="V51" i="31" s="1"/>
  <c r="Q51" i="31"/>
  <c r="T50" i="31"/>
  <c r="V50" i="31" s="1"/>
  <c r="Q50" i="31"/>
  <c r="T49" i="31"/>
  <c r="V49" i="31" s="1"/>
  <c r="Q49" i="31"/>
  <c r="T48" i="31"/>
  <c r="V48" i="31" s="1"/>
  <c r="Q48" i="31"/>
  <c r="T47" i="31"/>
  <c r="V47" i="31" s="1"/>
  <c r="Q47" i="31"/>
  <c r="T46" i="31"/>
  <c r="V46" i="31" s="1"/>
  <c r="Q46" i="31"/>
  <c r="T45" i="31"/>
  <c r="V45" i="31" s="1"/>
  <c r="Q45" i="31"/>
  <c r="T44" i="31"/>
  <c r="V44" i="31" s="1"/>
  <c r="Q44" i="31"/>
  <c r="V43" i="31"/>
  <c r="T43" i="31"/>
  <c r="Q43" i="31"/>
  <c r="T42" i="31"/>
  <c r="V42" i="31" s="1"/>
  <c r="Q42" i="31"/>
  <c r="T41" i="31"/>
  <c r="V41" i="31" s="1"/>
  <c r="Q41" i="31"/>
  <c r="T40" i="31"/>
  <c r="V40" i="31" s="1"/>
  <c r="Q40" i="31"/>
  <c r="T39" i="31"/>
  <c r="V39" i="31" s="1"/>
  <c r="Q39" i="31"/>
  <c r="T38" i="31"/>
  <c r="V38" i="31" s="1"/>
  <c r="Q38" i="31"/>
  <c r="T37" i="31"/>
  <c r="V37" i="31" s="1"/>
  <c r="Q37" i="31"/>
  <c r="T36" i="31"/>
  <c r="V36" i="31" s="1"/>
  <c r="Q36" i="31"/>
  <c r="T35" i="31"/>
  <c r="V35" i="31" s="1"/>
  <c r="Q35" i="31"/>
  <c r="T34" i="31"/>
  <c r="V34" i="31" s="1"/>
  <c r="Q34" i="31"/>
  <c r="T33" i="31"/>
  <c r="V33" i="31" s="1"/>
  <c r="Q33" i="31"/>
  <c r="T32" i="31"/>
  <c r="V32" i="31" s="1"/>
  <c r="Q32" i="31"/>
  <c r="T31" i="31"/>
  <c r="V31" i="31" s="1"/>
  <c r="Q31" i="31"/>
  <c r="T30" i="31"/>
  <c r="V30" i="31" s="1"/>
  <c r="Q30" i="31"/>
  <c r="T29" i="31"/>
  <c r="V29" i="31" s="1"/>
  <c r="Q29" i="31"/>
  <c r="T28" i="31"/>
  <c r="V28" i="31" s="1"/>
  <c r="Q28" i="31"/>
  <c r="T27" i="31"/>
  <c r="V27" i="31" s="1"/>
  <c r="Q27" i="31"/>
  <c r="T26" i="31"/>
  <c r="V26" i="31" s="1"/>
  <c r="Q26" i="31"/>
  <c r="T25" i="31"/>
  <c r="V25" i="31" s="1"/>
  <c r="Q25" i="31"/>
  <c r="T24" i="31"/>
  <c r="V24" i="31" s="1"/>
  <c r="Q24" i="31"/>
  <c r="T23" i="31"/>
  <c r="V23" i="31" s="1"/>
  <c r="Q23" i="31"/>
  <c r="T22" i="31"/>
  <c r="V22" i="31" s="1"/>
  <c r="Q22" i="31"/>
  <c r="T21" i="31"/>
  <c r="V21" i="31" s="1"/>
  <c r="Q21" i="31"/>
  <c r="T20" i="31"/>
  <c r="V20" i="31" s="1"/>
  <c r="Q20" i="31"/>
  <c r="T19" i="31"/>
  <c r="V19" i="31" s="1"/>
  <c r="Q19" i="31"/>
  <c r="T18" i="31"/>
  <c r="V18" i="31" s="1"/>
  <c r="Q18" i="31"/>
  <c r="T17" i="31"/>
  <c r="V17" i="31" s="1"/>
  <c r="Q17" i="31"/>
  <c r="T16" i="31"/>
  <c r="V16" i="31" s="1"/>
  <c r="Q16" i="31"/>
  <c r="T15" i="31"/>
  <c r="V15" i="31" s="1"/>
  <c r="Q15" i="31"/>
  <c r="T14" i="31"/>
  <c r="Q14" i="31"/>
  <c r="T13" i="31"/>
  <c r="V13" i="31" s="1"/>
  <c r="Q13" i="31"/>
  <c r="T12" i="31"/>
  <c r="V12" i="31" s="1"/>
  <c r="Q12" i="31"/>
  <c r="T11" i="31"/>
  <c r="V11" i="31" s="1"/>
  <c r="Q11" i="31"/>
  <c r="T10" i="31"/>
  <c r="V10" i="31" s="1"/>
  <c r="Q10" i="31"/>
  <c r="T9" i="31"/>
  <c r="V9" i="31" s="1"/>
  <c r="Q9" i="31"/>
  <c r="T8" i="31"/>
  <c r="V8" i="31" s="1"/>
  <c r="Q8" i="31"/>
  <c r="T7" i="31"/>
  <c r="V7" i="31" s="1"/>
  <c r="Q7" i="31"/>
  <c r="T6" i="31"/>
  <c r="V6" i="31" s="1"/>
  <c r="Q6" i="31"/>
  <c r="T5" i="31"/>
  <c r="V5" i="31" s="1"/>
  <c r="Q5" i="31"/>
  <c r="T4" i="31"/>
  <c r="V4" i="31" s="1"/>
  <c r="Q4" i="31"/>
  <c r="T3" i="31"/>
  <c r="V3" i="31" s="1"/>
  <c r="Q3" i="31"/>
  <c r="T2" i="31"/>
  <c r="V2" i="31" s="1"/>
  <c r="Q2" i="31"/>
  <c r="V152" i="30" l="1"/>
  <c r="T152" i="30"/>
  <c r="Q152" i="30"/>
  <c r="V151" i="30"/>
  <c r="T151" i="30"/>
  <c r="Q151" i="30"/>
  <c r="V150" i="30"/>
  <c r="T150" i="30"/>
  <c r="Q150" i="30"/>
  <c r="V149" i="30"/>
  <c r="T149" i="30"/>
  <c r="Q149" i="30"/>
  <c r="V148" i="30"/>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T73" i="30"/>
  <c r="Q73" i="30"/>
  <c r="T72" i="30"/>
  <c r="Q72" i="30"/>
  <c r="T71" i="30"/>
  <c r="Q71" i="30"/>
  <c r="V70" i="30"/>
  <c r="T70" i="30"/>
  <c r="Q70" i="30"/>
  <c r="V69" i="30"/>
  <c r="T69" i="30"/>
  <c r="Q69" i="30"/>
  <c r="V68" i="30"/>
  <c r="T68" i="30"/>
  <c r="Q68" i="30"/>
  <c r="V67" i="30"/>
  <c r="T67" i="30"/>
  <c r="Q67" i="30"/>
  <c r="V66" i="30"/>
  <c r="T66" i="30"/>
  <c r="Q66" i="30"/>
  <c r="V65" i="30"/>
  <c r="T65" i="30"/>
  <c r="Q65" i="30"/>
  <c r="V64" i="30"/>
  <c r="T64" i="30"/>
  <c r="Q64" i="30"/>
  <c r="V63" i="30"/>
  <c r="T63" i="30"/>
  <c r="Q63" i="30"/>
  <c r="V62"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85" i="29" l="1"/>
  <c r="V85" i="29" s="1"/>
  <c r="Q85" i="29"/>
  <c r="T84" i="29"/>
  <c r="V84" i="29" s="1"/>
  <c r="Q84" i="29"/>
  <c r="T83" i="29"/>
  <c r="V83" i="29" s="1"/>
  <c r="Q83" i="29"/>
  <c r="T82" i="29"/>
  <c r="V82" i="29" s="1"/>
  <c r="Q82" i="29"/>
  <c r="V81" i="29"/>
  <c r="T81" i="29"/>
  <c r="Q81" i="29"/>
  <c r="V80" i="29"/>
  <c r="T80" i="29"/>
  <c r="Q80" i="29"/>
  <c r="T70" i="29"/>
  <c r="V70" i="29" s="1"/>
  <c r="Q70" i="29"/>
  <c r="T69" i="29"/>
  <c r="V69" i="29" s="1"/>
  <c r="Q69" i="29"/>
  <c r="T68" i="29"/>
  <c r="V68" i="29" s="1"/>
  <c r="Q68" i="29"/>
  <c r="T67" i="29"/>
  <c r="V67" i="29" s="1"/>
  <c r="Q67" i="29"/>
  <c r="T66" i="29"/>
  <c r="V66" i="29" s="1"/>
  <c r="Q66" i="29"/>
  <c r="T65" i="29"/>
  <c r="V65" i="29" s="1"/>
  <c r="Q65" i="29"/>
  <c r="V64" i="29"/>
  <c r="T64" i="29"/>
  <c r="Q64" i="29"/>
  <c r="T63" i="29"/>
  <c r="V63" i="29" s="1"/>
  <c r="Q63" i="29"/>
  <c r="T62" i="29"/>
  <c r="V62" i="29" s="1"/>
  <c r="Q62" i="29"/>
  <c r="T61" i="29"/>
  <c r="V61" i="29" s="1"/>
  <c r="Q61" i="29"/>
  <c r="T60" i="29"/>
  <c r="V60" i="29" s="1"/>
  <c r="Q60" i="29"/>
  <c r="T59" i="29"/>
  <c r="V59" i="29" s="1"/>
  <c r="Q59" i="29"/>
  <c r="T58" i="29"/>
  <c r="V58" i="29" s="1"/>
  <c r="Q58" i="29"/>
  <c r="T57" i="29"/>
  <c r="V57" i="29" s="1"/>
  <c r="Q57" i="29"/>
  <c r="V56" i="29"/>
  <c r="T56" i="29"/>
  <c r="Q56" i="29"/>
  <c r="T55" i="29"/>
  <c r="V55" i="29" s="1"/>
  <c r="Q55" i="29"/>
  <c r="T54" i="29"/>
  <c r="V54" i="29" s="1"/>
  <c r="Q54" i="29"/>
  <c r="T53" i="29"/>
  <c r="V53" i="29" s="1"/>
  <c r="Q53" i="29"/>
  <c r="T52" i="29"/>
  <c r="V52" i="29" s="1"/>
  <c r="Q52" i="29"/>
  <c r="T51" i="29"/>
  <c r="V51" i="29" s="1"/>
  <c r="Q51" i="29"/>
  <c r="T50" i="29"/>
  <c r="V50" i="29" s="1"/>
  <c r="Q50" i="29"/>
  <c r="T49" i="29"/>
  <c r="V49" i="29" s="1"/>
  <c r="Q49" i="29"/>
  <c r="V48" i="29"/>
  <c r="T48" i="29"/>
  <c r="Q48" i="29"/>
  <c r="T47" i="29"/>
  <c r="V47" i="29" s="1"/>
  <c r="Q47" i="29"/>
  <c r="T46" i="29"/>
  <c r="V46" i="29" s="1"/>
  <c r="Q46" i="29"/>
  <c r="T45" i="29"/>
  <c r="V45" i="29" s="1"/>
  <c r="Q45" i="29"/>
  <c r="T44" i="29"/>
  <c r="V44" i="29" s="1"/>
  <c r="Q44" i="29"/>
  <c r="T43" i="29"/>
  <c r="V43" i="29" s="1"/>
  <c r="Q43" i="29"/>
  <c r="T42" i="29"/>
  <c r="V42" i="29" s="1"/>
  <c r="Q42" i="29"/>
  <c r="T41" i="29"/>
  <c r="V41" i="29" s="1"/>
  <c r="Q41" i="29"/>
  <c r="V40" i="29"/>
  <c r="T40" i="29"/>
  <c r="Q40" i="29"/>
  <c r="T39" i="29"/>
  <c r="V39" i="29" s="1"/>
  <c r="Q39" i="29"/>
  <c r="T38" i="29"/>
  <c r="V38" i="29" s="1"/>
  <c r="Q38" i="29"/>
  <c r="T37" i="29"/>
  <c r="V37" i="29" s="1"/>
  <c r="Q37" i="29"/>
  <c r="T36" i="29"/>
  <c r="V36" i="29" s="1"/>
  <c r="Q36" i="29"/>
  <c r="T35" i="29"/>
  <c r="V35" i="29" s="1"/>
  <c r="Q35" i="29"/>
  <c r="T34" i="29"/>
  <c r="V34" i="29" s="1"/>
  <c r="Q34" i="29"/>
  <c r="T33" i="29"/>
  <c r="V33" i="29" s="1"/>
  <c r="Q33" i="29"/>
  <c r="V32" i="29"/>
  <c r="T32" i="29"/>
  <c r="Q32" i="29"/>
  <c r="T31" i="29"/>
  <c r="V31" i="29" s="1"/>
  <c r="Q31" i="29"/>
  <c r="T30" i="29"/>
  <c r="V30" i="29" s="1"/>
  <c r="Q30" i="29"/>
  <c r="T29" i="29"/>
  <c r="V29" i="29" s="1"/>
  <c r="Q29" i="29"/>
  <c r="T28" i="29"/>
  <c r="V28" i="29" s="1"/>
  <c r="Q28" i="29"/>
  <c r="T27" i="29"/>
  <c r="V27" i="29" s="1"/>
  <c r="Q27" i="29"/>
  <c r="T26" i="29"/>
  <c r="V26" i="29" s="1"/>
  <c r="Q26" i="29"/>
  <c r="T25" i="29"/>
  <c r="V25" i="29" s="1"/>
  <c r="Q25" i="29"/>
  <c r="V24" i="29"/>
  <c r="T24" i="29"/>
  <c r="Q24" i="29"/>
  <c r="T23" i="29"/>
  <c r="V23" i="29" s="1"/>
  <c r="Q23" i="29"/>
  <c r="T22" i="29"/>
  <c r="V22" i="29" s="1"/>
  <c r="Q22" i="29"/>
  <c r="T21" i="29"/>
  <c r="V21" i="29" s="1"/>
  <c r="Q21" i="29"/>
  <c r="T20" i="29"/>
  <c r="V20" i="29" s="1"/>
  <c r="Q20" i="29"/>
  <c r="T19" i="29"/>
  <c r="V19" i="29" s="1"/>
  <c r="Q19" i="29"/>
  <c r="T18" i="29"/>
  <c r="V18" i="29" s="1"/>
  <c r="Q18" i="29"/>
  <c r="T17" i="29"/>
  <c r="V17" i="29" s="1"/>
  <c r="Q17" i="29"/>
  <c r="V16" i="29"/>
  <c r="T16" i="29"/>
  <c r="Q16" i="29"/>
  <c r="T15" i="29"/>
  <c r="V15" i="29" s="1"/>
  <c r="Q15" i="29"/>
  <c r="T14" i="29"/>
  <c r="V14" i="29" s="1"/>
  <c r="Q14" i="29"/>
  <c r="T13" i="29"/>
  <c r="V13" i="29" s="1"/>
  <c r="Q13" i="29"/>
  <c r="T12" i="29"/>
  <c r="V12" i="29" s="1"/>
  <c r="Q12" i="29"/>
  <c r="T11" i="29"/>
  <c r="V11" i="29" s="1"/>
  <c r="Q11" i="29"/>
  <c r="T10" i="29"/>
  <c r="V10" i="29" s="1"/>
  <c r="Q10" i="29"/>
  <c r="T9" i="29"/>
  <c r="V9" i="29" s="1"/>
  <c r="Q9" i="29"/>
  <c r="V8" i="29"/>
  <c r="T8" i="29"/>
  <c r="Q8" i="29"/>
  <c r="T7" i="29"/>
  <c r="V7" i="29" s="1"/>
  <c r="Q7" i="29"/>
  <c r="T6" i="29"/>
  <c r="V6" i="29" s="1"/>
  <c r="Q6" i="29"/>
  <c r="T5" i="29"/>
  <c r="V5" i="29" s="1"/>
  <c r="Q5" i="29"/>
  <c r="T4" i="29"/>
  <c r="V4" i="29" s="1"/>
  <c r="Q4" i="29"/>
  <c r="T3" i="29"/>
  <c r="V3" i="29" s="1"/>
  <c r="Q3" i="29"/>
  <c r="T2" i="29"/>
  <c r="V2" i="29" s="1"/>
  <c r="Q2" i="29"/>
  <c r="T70" i="28" l="1"/>
  <c r="V70" i="28" s="1"/>
  <c r="Q70" i="28"/>
  <c r="V69" i="28"/>
  <c r="T69" i="28"/>
  <c r="Q69" i="28"/>
  <c r="T68" i="28"/>
  <c r="V68" i="28" s="1"/>
  <c r="Q68" i="28"/>
  <c r="T67" i="28"/>
  <c r="V67" i="28" s="1"/>
  <c r="Q67" i="28"/>
  <c r="T66" i="28"/>
  <c r="V66" i="28" s="1"/>
  <c r="Q66" i="28"/>
  <c r="V65" i="28"/>
  <c r="T65" i="28"/>
  <c r="Q65" i="28"/>
  <c r="T64" i="28"/>
  <c r="V64" i="28" s="1"/>
  <c r="Q64" i="28"/>
  <c r="T63" i="28"/>
  <c r="V63" i="28" s="1"/>
  <c r="Q63" i="28"/>
  <c r="T62" i="28"/>
  <c r="V62" i="28" s="1"/>
  <c r="Q62" i="28"/>
  <c r="V61" i="28"/>
  <c r="T61" i="28"/>
  <c r="Q61" i="28"/>
  <c r="T60" i="28"/>
  <c r="V60" i="28" s="1"/>
  <c r="Q60" i="28"/>
  <c r="T59" i="28"/>
  <c r="V59" i="28" s="1"/>
  <c r="Q59" i="28"/>
  <c r="T58" i="28"/>
  <c r="V58" i="28" s="1"/>
  <c r="Q58" i="28"/>
  <c r="V57" i="28"/>
  <c r="T57" i="28"/>
  <c r="Q57" i="28"/>
  <c r="T56" i="28"/>
  <c r="V56" i="28" s="1"/>
  <c r="Q56" i="28"/>
  <c r="T55" i="28"/>
  <c r="V55" i="28" s="1"/>
  <c r="Q55" i="28"/>
  <c r="T54" i="28"/>
  <c r="V54" i="28" s="1"/>
  <c r="Q54" i="28"/>
  <c r="V53" i="28"/>
  <c r="T53" i="28"/>
  <c r="Q53" i="28"/>
  <c r="T52" i="28"/>
  <c r="V52" i="28" s="1"/>
  <c r="Q52" i="28"/>
  <c r="T51" i="28"/>
  <c r="V51" i="28" s="1"/>
  <c r="Q51" i="28"/>
  <c r="T50" i="28"/>
  <c r="V50" i="28" s="1"/>
  <c r="Q50" i="28"/>
  <c r="V49" i="28"/>
  <c r="T49" i="28"/>
  <c r="Q49" i="28"/>
  <c r="T48" i="28"/>
  <c r="V48" i="28" s="1"/>
  <c r="Q48" i="28"/>
  <c r="T47" i="28"/>
  <c r="V47" i="28" s="1"/>
  <c r="Q47" i="28"/>
  <c r="T46" i="28"/>
  <c r="V46" i="28" s="1"/>
  <c r="Q46" i="28"/>
  <c r="V45" i="28"/>
  <c r="T45" i="28"/>
  <c r="Q45" i="28"/>
  <c r="T44" i="28"/>
  <c r="V44" i="28" s="1"/>
  <c r="Q44" i="28"/>
  <c r="T43" i="28"/>
  <c r="V43" i="28" s="1"/>
  <c r="Q43" i="28"/>
  <c r="T42" i="28"/>
  <c r="V42" i="28" s="1"/>
  <c r="Q42" i="28"/>
  <c r="V41" i="28"/>
  <c r="T41" i="28"/>
  <c r="Q41" i="28"/>
  <c r="T40" i="28"/>
  <c r="V40" i="28" s="1"/>
  <c r="Q40" i="28"/>
  <c r="T39" i="28"/>
  <c r="V39" i="28" s="1"/>
  <c r="Q39" i="28"/>
  <c r="T38" i="28"/>
  <c r="V38" i="28" s="1"/>
  <c r="Q38" i="28"/>
  <c r="V37" i="28"/>
  <c r="T37" i="28"/>
  <c r="Q37" i="28"/>
  <c r="T36" i="28"/>
  <c r="V36" i="28" s="1"/>
  <c r="Q36" i="28"/>
  <c r="T35" i="28"/>
  <c r="V35" i="28" s="1"/>
  <c r="Q35" i="28"/>
  <c r="T34" i="28"/>
  <c r="V34" i="28" s="1"/>
  <c r="Q34" i="28"/>
  <c r="V33" i="28"/>
  <c r="T33" i="28"/>
  <c r="Q33" i="28"/>
  <c r="T32" i="28"/>
  <c r="V32" i="28" s="1"/>
  <c r="Q32" i="28"/>
  <c r="T31" i="28"/>
  <c r="V31" i="28" s="1"/>
  <c r="Q31" i="28"/>
  <c r="T30" i="28"/>
  <c r="V30" i="28" s="1"/>
  <c r="Q30" i="28"/>
  <c r="V29" i="28"/>
  <c r="T29" i="28"/>
  <c r="Q29" i="28"/>
  <c r="T28" i="28"/>
  <c r="V28" i="28" s="1"/>
  <c r="Q28" i="28"/>
  <c r="T27" i="28"/>
  <c r="V27" i="28" s="1"/>
  <c r="Q27" i="28"/>
  <c r="T26" i="28"/>
  <c r="V26" i="28" s="1"/>
  <c r="Q26" i="28"/>
  <c r="V25" i="28"/>
  <c r="T25" i="28"/>
  <c r="Q25" i="28"/>
  <c r="T24" i="28"/>
  <c r="V24" i="28" s="1"/>
  <c r="Q24" i="28"/>
  <c r="T23" i="28"/>
  <c r="V23" i="28" s="1"/>
  <c r="Q23" i="28"/>
  <c r="T22" i="28"/>
  <c r="V22" i="28" s="1"/>
  <c r="Q22" i="28"/>
  <c r="V21" i="28"/>
  <c r="T21" i="28"/>
  <c r="Q21" i="28"/>
  <c r="T20" i="28"/>
  <c r="V20" i="28" s="1"/>
  <c r="Q20" i="28"/>
  <c r="T19" i="28"/>
  <c r="V19" i="28" s="1"/>
  <c r="Q19" i="28"/>
  <c r="T18" i="28"/>
  <c r="V18" i="28" s="1"/>
  <c r="Q18" i="28"/>
  <c r="V17" i="28"/>
  <c r="T17" i="28"/>
  <c r="Q17" i="28"/>
  <c r="T16" i="28"/>
  <c r="V16" i="28" s="1"/>
  <c r="Q16" i="28"/>
  <c r="T15" i="28"/>
  <c r="V15" i="28" s="1"/>
  <c r="Q15" i="28"/>
  <c r="T14" i="28"/>
  <c r="V14" i="28" s="1"/>
  <c r="Q14" i="28"/>
  <c r="V13" i="28"/>
  <c r="T13" i="28"/>
  <c r="Q13" i="28"/>
  <c r="T12" i="28"/>
  <c r="V12" i="28" s="1"/>
  <c r="Q12" i="28"/>
  <c r="T11" i="28"/>
  <c r="V11" i="28" s="1"/>
  <c r="Q11" i="28"/>
  <c r="T10" i="28"/>
  <c r="V10" i="28" s="1"/>
  <c r="Q10" i="28"/>
  <c r="V9" i="28"/>
  <c r="T9" i="28"/>
  <c r="Q9" i="28"/>
  <c r="T8" i="28"/>
  <c r="V8" i="28" s="1"/>
  <c r="Q8" i="28"/>
  <c r="T7" i="28"/>
  <c r="V7" i="28" s="1"/>
  <c r="Q7" i="28"/>
  <c r="T6" i="28"/>
  <c r="V6" i="28" s="1"/>
  <c r="Q6" i="28"/>
  <c r="V5" i="28"/>
  <c r="T5" i="28"/>
  <c r="Q5" i="28"/>
  <c r="T4" i="28"/>
  <c r="V4" i="28" s="1"/>
  <c r="Q4" i="28"/>
  <c r="T3" i="28"/>
  <c r="V3" i="28" s="1"/>
  <c r="Q3" i="28"/>
  <c r="T2" i="28"/>
  <c r="V2" i="28" s="1"/>
  <c r="Q2" i="28"/>
  <c r="V58" i="27" l="1"/>
  <c r="T58" i="27"/>
  <c r="Q58" i="27"/>
  <c r="V57" i="27"/>
  <c r="T57" i="27"/>
  <c r="Q57" i="27"/>
  <c r="V56" i="27"/>
  <c r="T56" i="27"/>
  <c r="Q56" i="27"/>
  <c r="T55" i="27"/>
  <c r="V55" i="27" s="1"/>
  <c r="Q55" i="27"/>
  <c r="T54" i="27"/>
  <c r="V54" i="27" s="1"/>
  <c r="Q54" i="27"/>
  <c r="T53" i="27"/>
  <c r="V53" i="27" s="1"/>
  <c r="Q53" i="27"/>
  <c r="T52" i="27"/>
  <c r="V52" i="27" s="1"/>
  <c r="Q52" i="27"/>
  <c r="V51" i="27"/>
  <c r="T51" i="27"/>
  <c r="Q51" i="27"/>
  <c r="V50" i="27"/>
  <c r="T50" i="27"/>
  <c r="Q50" i="27"/>
  <c r="V49" i="27"/>
  <c r="T49" i="27"/>
  <c r="Q49" i="27"/>
  <c r="V48" i="27"/>
  <c r="T48" i="27"/>
  <c r="Q48" i="27"/>
  <c r="T47" i="27"/>
  <c r="V47" i="27" s="1"/>
  <c r="Q47" i="27"/>
  <c r="T46" i="27"/>
  <c r="V46" i="27" s="1"/>
  <c r="Q46" i="27"/>
  <c r="T45" i="27"/>
  <c r="V45" i="27" s="1"/>
  <c r="Q45" i="27"/>
  <c r="T44" i="27"/>
  <c r="V44" i="27" s="1"/>
  <c r="Q44" i="27"/>
  <c r="V43" i="27"/>
  <c r="T43" i="27"/>
  <c r="Q43" i="27"/>
  <c r="V42" i="27"/>
  <c r="T42" i="27"/>
  <c r="Q42" i="27"/>
  <c r="V41" i="27"/>
  <c r="T41" i="27"/>
  <c r="Q41" i="27"/>
  <c r="V40" i="27"/>
  <c r="T40" i="27"/>
  <c r="Q40" i="27"/>
  <c r="T39" i="27"/>
  <c r="V39" i="27" s="1"/>
  <c r="Q39" i="27"/>
  <c r="T38" i="27"/>
  <c r="V38" i="27" s="1"/>
  <c r="Q38" i="27"/>
  <c r="T37" i="27"/>
  <c r="V37" i="27" s="1"/>
  <c r="Q37" i="27"/>
  <c r="T36" i="27"/>
  <c r="V36" i="27" s="1"/>
  <c r="Q36" i="27"/>
  <c r="V35" i="27"/>
  <c r="T35" i="27"/>
  <c r="Q35" i="27"/>
  <c r="T34" i="27"/>
  <c r="V34" i="27" s="1"/>
  <c r="Q34" i="27"/>
  <c r="V33" i="27"/>
  <c r="T33" i="27"/>
  <c r="Q33" i="27"/>
  <c r="V32" i="27"/>
  <c r="T32" i="27"/>
  <c r="Q32" i="27"/>
  <c r="T31" i="27"/>
  <c r="V31" i="27" s="1"/>
  <c r="Q31" i="27"/>
  <c r="T30" i="27"/>
  <c r="V30" i="27" s="1"/>
  <c r="Q30" i="27"/>
  <c r="T29" i="27"/>
  <c r="V29" i="27" s="1"/>
  <c r="Q29" i="27"/>
  <c r="T28" i="27"/>
  <c r="V28" i="27" s="1"/>
  <c r="Q28" i="27"/>
  <c r="V27" i="27"/>
  <c r="T27" i="27"/>
  <c r="Q27" i="27"/>
  <c r="T26" i="27"/>
  <c r="V26" i="27" s="1"/>
  <c r="Q26" i="27"/>
  <c r="V25" i="27"/>
  <c r="T25" i="27"/>
  <c r="Q25" i="27"/>
  <c r="V24" i="27"/>
  <c r="T24" i="27"/>
  <c r="Q24" i="27"/>
  <c r="T23" i="27"/>
  <c r="V23" i="27" s="1"/>
  <c r="Q23" i="27"/>
  <c r="T22" i="27"/>
  <c r="V22" i="27" s="1"/>
  <c r="Q22" i="27"/>
  <c r="T21" i="27"/>
  <c r="V21" i="27" s="1"/>
  <c r="Q21" i="27"/>
  <c r="T20" i="27"/>
  <c r="V20" i="27" s="1"/>
  <c r="Q20" i="27"/>
  <c r="T19" i="27"/>
  <c r="V19" i="27" s="1"/>
  <c r="Q19" i="27"/>
  <c r="T18" i="27"/>
  <c r="V18" i="27" s="1"/>
  <c r="Q18" i="27"/>
  <c r="V17" i="27"/>
  <c r="T17" i="27"/>
  <c r="Q17" i="27"/>
  <c r="V16" i="27"/>
  <c r="T16" i="27"/>
  <c r="Q16" i="27"/>
  <c r="T15" i="27"/>
  <c r="V15" i="27" s="1"/>
  <c r="Q15" i="27"/>
  <c r="T14" i="27"/>
  <c r="V14" i="27" s="1"/>
  <c r="Q14" i="27"/>
  <c r="T13" i="27"/>
  <c r="V13" i="27" s="1"/>
  <c r="Q13" i="27"/>
  <c r="T12" i="27"/>
  <c r="V12" i="27" s="1"/>
  <c r="Q12" i="27"/>
  <c r="T11" i="27"/>
  <c r="V11" i="27" s="1"/>
  <c r="Q11" i="27"/>
  <c r="T10" i="27"/>
  <c r="V10" i="27" s="1"/>
  <c r="Q10" i="27"/>
  <c r="V9" i="27"/>
  <c r="T9" i="27"/>
  <c r="Q9" i="27"/>
  <c r="V8" i="27"/>
  <c r="T8" i="27"/>
  <c r="Q8" i="27"/>
  <c r="T7" i="27"/>
  <c r="V7" i="27" s="1"/>
  <c r="Q7" i="27"/>
  <c r="T6" i="27"/>
  <c r="V6" i="27" s="1"/>
  <c r="Q6" i="27"/>
  <c r="T5" i="27"/>
  <c r="V5" i="27" s="1"/>
  <c r="Q5" i="27"/>
  <c r="T4" i="27"/>
  <c r="V4" i="27" s="1"/>
  <c r="Q4" i="27"/>
  <c r="T3" i="27"/>
  <c r="V3" i="27" s="1"/>
  <c r="Q3" i="27"/>
  <c r="T2" i="27"/>
  <c r="V2" i="27" s="1"/>
  <c r="Q2" i="27"/>
  <c r="T115" i="26" l="1"/>
  <c r="V115" i="26" s="1"/>
  <c r="Q115" i="26"/>
  <c r="T114" i="26"/>
  <c r="V114" i="26" s="1"/>
  <c r="Q114" i="26"/>
  <c r="T113" i="26"/>
  <c r="V113" i="26" s="1"/>
  <c r="Q113" i="26"/>
  <c r="T112" i="26"/>
  <c r="V112" i="26" s="1"/>
  <c r="Q112" i="26"/>
  <c r="T111" i="26"/>
  <c r="V111" i="26" s="1"/>
  <c r="Q111" i="26"/>
  <c r="T110" i="26"/>
  <c r="V110" i="26" s="1"/>
  <c r="Q110" i="26"/>
  <c r="T109" i="26"/>
  <c r="V109" i="26" s="1"/>
  <c r="Q109" i="26"/>
  <c r="T108" i="26"/>
  <c r="V108" i="26" s="1"/>
  <c r="Q108" i="26"/>
  <c r="T107" i="26"/>
  <c r="V107" i="26" s="1"/>
  <c r="Q107" i="26"/>
  <c r="T106" i="26"/>
  <c r="V106" i="26" s="1"/>
  <c r="Q106" i="26"/>
  <c r="T105" i="26"/>
  <c r="V105" i="26" s="1"/>
  <c r="Q105" i="26"/>
  <c r="T104" i="26"/>
  <c r="V104" i="26" s="1"/>
  <c r="Q104" i="26"/>
  <c r="T103" i="26"/>
  <c r="V103" i="26" s="1"/>
  <c r="Q103" i="26"/>
  <c r="T102" i="26"/>
  <c r="V102" i="26" s="1"/>
  <c r="Q102" i="26"/>
  <c r="T101" i="26"/>
  <c r="V101" i="26" s="1"/>
  <c r="Q101" i="26"/>
  <c r="T100" i="26"/>
  <c r="V100" i="26" s="1"/>
  <c r="Q100" i="26"/>
  <c r="T99" i="26"/>
  <c r="V99" i="26" s="1"/>
  <c r="Q99" i="26"/>
  <c r="T98" i="26"/>
  <c r="V98" i="26" s="1"/>
  <c r="Q98" i="26"/>
  <c r="T97" i="26"/>
  <c r="V97" i="26" s="1"/>
  <c r="Q97" i="26"/>
  <c r="T96" i="26"/>
  <c r="V96" i="26" s="1"/>
  <c r="Q96" i="26"/>
  <c r="T95" i="26"/>
  <c r="V95" i="26" s="1"/>
  <c r="Q95" i="26"/>
  <c r="T94" i="26"/>
  <c r="V94" i="26" s="1"/>
  <c r="Q94" i="26"/>
  <c r="T93" i="26"/>
  <c r="V93" i="26" s="1"/>
  <c r="Q93" i="26"/>
  <c r="T92" i="26"/>
  <c r="V92" i="26" s="1"/>
  <c r="Q92" i="26"/>
  <c r="V91" i="26"/>
  <c r="T91" i="26"/>
  <c r="Q91" i="26"/>
  <c r="T90" i="26"/>
  <c r="V90" i="26" s="1"/>
  <c r="Q90" i="26"/>
  <c r="T89" i="26"/>
  <c r="V89" i="26" s="1"/>
  <c r="Q89" i="26"/>
  <c r="T88" i="26"/>
  <c r="V88" i="26" s="1"/>
  <c r="Q88" i="26"/>
  <c r="V87" i="26"/>
  <c r="T87" i="26"/>
  <c r="Q87" i="26"/>
  <c r="T86" i="26"/>
  <c r="V86" i="26" s="1"/>
  <c r="Q86" i="26"/>
  <c r="T85" i="26"/>
  <c r="V85" i="26" s="1"/>
  <c r="Q85" i="26"/>
  <c r="T84" i="26"/>
  <c r="V84" i="26" s="1"/>
  <c r="Q84" i="26"/>
  <c r="T83" i="26"/>
  <c r="V83" i="26" s="1"/>
  <c r="Q83" i="26"/>
  <c r="T82" i="26"/>
  <c r="V82" i="26" s="1"/>
  <c r="Q82" i="26"/>
  <c r="T81" i="26"/>
  <c r="V81" i="26" s="1"/>
  <c r="Q81" i="26"/>
  <c r="T80" i="26"/>
  <c r="V80" i="26" s="1"/>
  <c r="Q80" i="26"/>
  <c r="T79" i="26"/>
  <c r="V79" i="26" s="1"/>
  <c r="Q79" i="26"/>
  <c r="T78" i="26"/>
  <c r="V78" i="26" s="1"/>
  <c r="Q78" i="26"/>
  <c r="T77" i="26"/>
  <c r="V77" i="26" s="1"/>
  <c r="Q77" i="26"/>
  <c r="T76" i="26"/>
  <c r="V76" i="26" s="1"/>
  <c r="Q76" i="26"/>
  <c r="T75" i="26"/>
  <c r="V75" i="26" s="1"/>
  <c r="Q75" i="26"/>
  <c r="T74" i="26"/>
  <c r="V74" i="26" s="1"/>
  <c r="Q74" i="26"/>
  <c r="T73" i="26"/>
  <c r="V73" i="26" s="1"/>
  <c r="Q73" i="26"/>
  <c r="T72" i="26"/>
  <c r="V72" i="26" s="1"/>
  <c r="Q72" i="26"/>
  <c r="T71" i="26"/>
  <c r="V71" i="26" s="1"/>
  <c r="Q71" i="26"/>
  <c r="T70" i="26"/>
  <c r="V70" i="26" s="1"/>
  <c r="Q70" i="26"/>
  <c r="T69" i="26"/>
  <c r="V69" i="26" s="1"/>
  <c r="Q69" i="26"/>
  <c r="T68" i="26"/>
  <c r="V68" i="26" s="1"/>
  <c r="Q68" i="26"/>
  <c r="T67" i="26"/>
  <c r="V67" i="26" s="1"/>
  <c r="Q67" i="26"/>
  <c r="T66" i="26"/>
  <c r="V66" i="26" s="1"/>
  <c r="Q66" i="26"/>
  <c r="T65" i="26"/>
  <c r="V65" i="26" s="1"/>
  <c r="Q65" i="26"/>
  <c r="T64" i="26"/>
  <c r="V64" i="26" s="1"/>
  <c r="Q64" i="26"/>
  <c r="T63" i="26"/>
  <c r="V63" i="26" s="1"/>
  <c r="Q63" i="26"/>
  <c r="T62" i="26"/>
  <c r="V62" i="26" s="1"/>
  <c r="Q62" i="26"/>
  <c r="T61" i="26"/>
  <c r="V61" i="26" s="1"/>
  <c r="Q61" i="26"/>
  <c r="T60" i="26"/>
  <c r="V60" i="26" s="1"/>
  <c r="Q60" i="26"/>
  <c r="V59" i="26"/>
  <c r="T59" i="26"/>
  <c r="Q59" i="26"/>
  <c r="T58" i="26"/>
  <c r="V58" i="26" s="1"/>
  <c r="Q58" i="26"/>
  <c r="T57" i="26"/>
  <c r="V57" i="26" s="1"/>
  <c r="Q57" i="26"/>
  <c r="T56" i="26"/>
  <c r="V56" i="26" s="1"/>
  <c r="Q56" i="26"/>
  <c r="V55" i="26"/>
  <c r="T55" i="26"/>
  <c r="Q55" i="26"/>
  <c r="T54" i="26"/>
  <c r="V54" i="26" s="1"/>
  <c r="Q54" i="26"/>
  <c r="T53" i="26"/>
  <c r="V53" i="26" s="1"/>
  <c r="Q53" i="26"/>
  <c r="T52" i="26"/>
  <c r="V52" i="26" s="1"/>
  <c r="Q52" i="26"/>
  <c r="T51" i="26"/>
  <c r="V51" i="26" s="1"/>
  <c r="Q51" i="26"/>
  <c r="T50" i="26"/>
  <c r="V50" i="26" s="1"/>
  <c r="Q50" i="26"/>
  <c r="T49" i="26"/>
  <c r="V49" i="26" s="1"/>
  <c r="Q49" i="26"/>
  <c r="T48" i="26"/>
  <c r="V48" i="26" s="1"/>
  <c r="Q48" i="26"/>
  <c r="T47" i="26"/>
  <c r="V47" i="26" s="1"/>
  <c r="Q47" i="26"/>
  <c r="T46" i="26"/>
  <c r="V46" i="26" s="1"/>
  <c r="Q46" i="26"/>
  <c r="T45" i="26"/>
  <c r="V45" i="26" s="1"/>
  <c r="Q45" i="26"/>
  <c r="T44" i="26"/>
  <c r="V44" i="26" s="1"/>
  <c r="Q44" i="26"/>
  <c r="T43" i="26"/>
  <c r="V43" i="26" s="1"/>
  <c r="Q43" i="26"/>
  <c r="T42" i="26"/>
  <c r="V42" i="26" s="1"/>
  <c r="Q42" i="26"/>
  <c r="T41" i="26"/>
  <c r="V41" i="26" s="1"/>
  <c r="Q41" i="26"/>
  <c r="T40" i="26"/>
  <c r="V40" i="26" s="1"/>
  <c r="Q40" i="26"/>
  <c r="T39" i="26"/>
  <c r="V39" i="26" s="1"/>
  <c r="Q39" i="26"/>
  <c r="T38" i="26"/>
  <c r="V38" i="26" s="1"/>
  <c r="Q38" i="26"/>
  <c r="T37" i="26"/>
  <c r="V37" i="26" s="1"/>
  <c r="Q37" i="26"/>
  <c r="T36" i="26"/>
  <c r="V36" i="26" s="1"/>
  <c r="Q36" i="26"/>
  <c r="T35" i="26"/>
  <c r="V35" i="26" s="1"/>
  <c r="Q35" i="26"/>
  <c r="T34" i="26"/>
  <c r="V34" i="26" s="1"/>
  <c r="Q34" i="26"/>
  <c r="T33" i="26"/>
  <c r="V33" i="26" s="1"/>
  <c r="Q33" i="26"/>
  <c r="T32" i="26"/>
  <c r="V32" i="26" s="1"/>
  <c r="Q32" i="26"/>
  <c r="T31" i="26"/>
  <c r="V31" i="26" s="1"/>
  <c r="Q31" i="26"/>
  <c r="T30" i="26"/>
  <c r="V30" i="26" s="1"/>
  <c r="Q30" i="26"/>
  <c r="T29" i="26"/>
  <c r="V29" i="26" s="1"/>
  <c r="Q29" i="26"/>
  <c r="T28" i="26"/>
  <c r="V28" i="26" s="1"/>
  <c r="Q28" i="26"/>
  <c r="V27" i="26"/>
  <c r="T27" i="26"/>
  <c r="Q27" i="26"/>
  <c r="T26" i="26"/>
  <c r="V26" i="26" s="1"/>
  <c r="Q26" i="26"/>
  <c r="T25" i="26"/>
  <c r="V25" i="26" s="1"/>
  <c r="Q25" i="26"/>
  <c r="T24" i="26"/>
  <c r="V24" i="26" s="1"/>
  <c r="Q24" i="26"/>
  <c r="V23" i="26"/>
  <c r="T23" i="26"/>
  <c r="Q23" i="26"/>
  <c r="T22" i="26"/>
  <c r="V22" i="26" s="1"/>
  <c r="Q22" i="26"/>
  <c r="T21" i="26"/>
  <c r="V21" i="26" s="1"/>
  <c r="Q21" i="26"/>
  <c r="T20" i="26"/>
  <c r="V20" i="26" s="1"/>
  <c r="Q20" i="26"/>
  <c r="T19" i="26"/>
  <c r="V19" i="26" s="1"/>
  <c r="Q19" i="26"/>
  <c r="T18" i="26"/>
  <c r="V18" i="26" s="1"/>
  <c r="Q18" i="26"/>
  <c r="T17" i="26"/>
  <c r="V17" i="26" s="1"/>
  <c r="Q17" i="26"/>
  <c r="T16" i="26"/>
  <c r="V16" i="26" s="1"/>
  <c r="Q16" i="26"/>
  <c r="V15" i="26"/>
  <c r="T15" i="26"/>
  <c r="Q15" i="26"/>
  <c r="T14" i="26"/>
  <c r="V14" i="26" s="1"/>
  <c r="Q14" i="26"/>
  <c r="T13" i="26"/>
  <c r="V13" i="26" s="1"/>
  <c r="Q13" i="26"/>
  <c r="T12" i="26"/>
  <c r="V12" i="26" s="1"/>
  <c r="Q12" i="26"/>
  <c r="T11" i="26"/>
  <c r="V11" i="26" s="1"/>
  <c r="Q11" i="26"/>
  <c r="T10" i="26"/>
  <c r="V10" i="26" s="1"/>
  <c r="Q10" i="26"/>
  <c r="T9" i="26"/>
  <c r="V9" i="26" s="1"/>
  <c r="Q9" i="26"/>
  <c r="T8" i="26"/>
  <c r="V8" i="26" s="1"/>
  <c r="Q8" i="26"/>
  <c r="T7" i="26"/>
  <c r="V7" i="26" s="1"/>
  <c r="Q7" i="26"/>
  <c r="T6" i="26"/>
  <c r="V6" i="26" s="1"/>
  <c r="Q6" i="26"/>
  <c r="T5" i="26"/>
  <c r="V5" i="26" s="1"/>
  <c r="Q5" i="26"/>
  <c r="T4" i="26"/>
  <c r="V4" i="26" s="1"/>
  <c r="Q4" i="26"/>
  <c r="T3" i="26"/>
  <c r="V3" i="26" s="1"/>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<sst xmlns="http://schemas.openxmlformats.org/spreadsheetml/2006/main" count="9832" uniqueCount="522">
  <si>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</si>
  <si>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</si>
  <si>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</si>
  <si>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</si>
  <si>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</si>
  <si>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</si>
  <si>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</si>
  <si>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</si>
  <si>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</si>
  <si>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</si>
  <si>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</si>
  <si>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</si>
  <si>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</si>
  <si>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</si>
  <si>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</si>
  <si>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</si>
  <si>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</si>
  <si>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</si>
  <si>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</si>
  <si>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</si>
  <si>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</si>
  <si>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</si>
  <si>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</si>
  <si>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</si>
  <si>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</si>
  <si>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</si>
  <si>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</si>
  <si>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</si>
  <si>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</si>
  <si>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</si>
  <si>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</si>
  <si>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</si>
  <si>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</si>
  <si>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</si>
  <si>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</si>
  <si>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</si>
  <si>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</si>
  <si>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</si>
  <si>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</si>
  <si>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</si>
  <si>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</si>
  <si>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</si>
  <si>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</si>
  <si>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</si>
  <si>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</si>
  <si>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</si>
  <si>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</si>
  <si>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</si>
  <si>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</si>
  <si>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</si>
  <si>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</si>
  <si>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</si>
  <si>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</si>
  <si>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</si>
  <si>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</si>
  <si>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</si>
  <si>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</si>
  <si>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</si>
  <si>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</si>
  <si>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</si>
  <si>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</si>
  <si>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</si>
  <si>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</si>
  <si>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</si>
  <si>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</si>
  <si>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</si>
  <si>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</si>
  <si>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</si>
  <si>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</si>
  <si>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</si>
  <si>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</si>
  <si>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</si>
  <si>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</si>
  <si>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</si>
  <si>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</si>
  <si>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</si>
  <si>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</si>
  <si>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</si>
  <si>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</si>
  <si>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</si>
  <si>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</si>
  <si>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</si>
  <si>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</si>
  <si>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</si>
  <si>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</si>
  <si>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</si>
  <si>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</si>
  <si>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</si>
  <si>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</si>
  <si>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</si>
  <si>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</si>
  <si>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</si>
  <si>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</si>
  <si>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</si>
  <si>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</si>
  <si>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</si>
  <si>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</si>
  <si>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</si>
  <si>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</si>
  <si>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</si>
  <si>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</si>
  <si>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</si>
  <si>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</si>
  <si>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</si>
  <si>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</si>
  <si>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</si>
  <si>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</si>
  <si>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</si>
  <si>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</si>
  <si>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</si>
  <si>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</si>
  <si>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</si>
  <si>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</si>
  <si>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</si>
  <si>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</si>
  <si>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</si>
  <si>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</si>
  <si>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</si>
  <si>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</si>
  <si>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</si>
  <si>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</si>
  <si>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</si>
  <si>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</si>
  <si>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</si>
  <si>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</si>
  <si>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</si>
  <si>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</si>
  <si>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</si>
  <si>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</si>
  <si>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</si>
  <si>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</si>
  <si>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</si>
  <si>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</si>
  <si>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</si>
  <si>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</si>
  <si>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</si>
  <si>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</si>
  <si>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</si>
  <si>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</si>
  <si>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</si>
  <si>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トライアル</t>
  </si>
  <si>
    <t>ホクレンショップ</t>
  </si>
  <si>
    <t>スーパーアークス</t>
  </si>
  <si>
    <t>東光ストア</t>
  </si>
  <si>
    <t>ラルズマート</t>
  </si>
  <si>
    <t>とんでん店</t>
    <rPh sb="4" eb="5">
      <t>テン</t>
    </rPh>
    <phoneticPr fontId="3"/>
  </si>
  <si>
    <t>屯田店</t>
    <rPh sb="2" eb="3">
      <t>テン</t>
    </rPh>
    <phoneticPr fontId="3"/>
  </si>
  <si>
    <t>篠路店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</si>
  <si>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</si>
  <si>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</si>
  <si>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</si>
  <si>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</si>
  <si>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</si>
  <si>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</si>
  <si>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</si>
  <si>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</si>
  <si>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</si>
  <si>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</si>
  <si>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</si>
  <si>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シーズン</t>
    <phoneticPr fontId="4"/>
  </si>
  <si>
    <t>検体
番号</t>
    <phoneticPr fontId="4"/>
  </si>
  <si>
    <t>硬度
１</t>
    <phoneticPr fontId="4"/>
  </si>
  <si>
    <r>
      <t xml:space="preserve">Green
Other
</t>
    </r>
    <r>
      <rPr>
        <b/>
        <sz val="8"/>
        <rFont val="ＭＳ Ｐゴシック"/>
        <family val="3"/>
        <charset val="128"/>
      </rPr>
      <t>最低重量</t>
    </r>
    <phoneticPr fontId="4"/>
  </si>
  <si>
    <t>Green
Other
SIZE</t>
    <phoneticPr fontId="4"/>
  </si>
  <si>
    <t>Gold
SIZE</t>
    <phoneticPr fontId="4"/>
  </si>
  <si>
    <t>GA</t>
  </si>
  <si>
    <t>大阪</t>
    <phoneticPr fontId="4"/>
  </si>
  <si>
    <t>HW</t>
    <phoneticPr fontId="4"/>
  </si>
  <si>
    <t>CK</t>
    <phoneticPr fontId="4"/>
  </si>
  <si>
    <t>GK</t>
    <phoneticPr fontId="4"/>
  </si>
  <si>
    <t>OB</t>
    <phoneticPr fontId="4"/>
  </si>
  <si>
    <t>HE</t>
    <phoneticPr fontId="4"/>
  </si>
  <si>
    <t>佐賀</t>
    <rPh sb="0" eb="2">
      <t>サガ</t>
    </rPh>
    <phoneticPr fontId="3"/>
  </si>
  <si>
    <t>西友</t>
  </si>
  <si>
    <r>
      <t xml:space="preserve">Gold
</t>
    </r>
    <r>
      <rPr>
        <b/>
        <sz val="8"/>
        <rFont val="ＭＳ Ｐゴシック"/>
        <family val="3"/>
        <charset val="128"/>
      </rPr>
      <t>最低重量</t>
    </r>
    <phoneticPr fontId="4"/>
  </si>
  <si>
    <t>日進岩藤店</t>
    <rPh sb="0" eb="2">
      <t>ニッシン</t>
    </rPh>
    <phoneticPr fontId="4"/>
  </si>
  <si>
    <t>日進店</t>
    <rPh sb="0" eb="2">
      <t>ニッシン</t>
    </rPh>
    <rPh sb="2" eb="3">
      <t>ミセ</t>
    </rPh>
    <phoneticPr fontId="4"/>
  </si>
  <si>
    <t>その他レッド</t>
    <rPh sb="2" eb="3">
      <t>タ</t>
    </rPh>
    <phoneticPr fontId="4"/>
  </si>
  <si>
    <t>カネスエ</t>
    <phoneticPr fontId="4"/>
  </si>
  <si>
    <t>Del Monte</t>
    <phoneticPr fontId="4"/>
  </si>
  <si>
    <t>アピタ</t>
    <phoneticPr fontId="4"/>
  </si>
  <si>
    <t>マックスバリュ</t>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</si>
  <si>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</si>
  <si>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</si>
  <si>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</si>
  <si>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</si>
  <si>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</si>
  <si>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</si>
  <si>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</si>
  <si>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</si>
  <si>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</si>
  <si>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</si>
  <si>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</si>
  <si>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</si>
  <si>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</si>
  <si>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</si>
  <si>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</si>
  <si>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</si>
  <si>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</si>
  <si>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</si>
  <si>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</si>
  <si>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</si>
  <si>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</si>
  <si>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</si>
  <si>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</si>
  <si>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</si>
  <si>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</si>
  <si>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</si>
  <si>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</si>
  <si>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</si>
  <si>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</si>
  <si>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</si>
  <si>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</si>
  <si>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</si>
  <si>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</si>
  <si>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</si>
  <si>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</si>
  <si>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</si>
  <si>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</si>
  <si>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</si>
  <si>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</si>
  <si>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</si>
  <si>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</si>
  <si>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</si>
  <si>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</si>
  <si>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</si>
  <si>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</si>
  <si>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</si>
  <si>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</si>
  <si>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</si>
  <si>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</si>
  <si>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</si>
  <si>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</si>
  <si>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</si>
  <si>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</si>
  <si>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</si>
  <si>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</si>
  <si>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</si>
  <si>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</si>
  <si>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</si>
  <si>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キラキラ</t>
  </si>
  <si>
    <t>グリーンアイ</t>
  </si>
  <si>
    <t>ＪＡ大阪</t>
  </si>
  <si>
    <t>県名</t>
    <phoneticPr fontId="3"/>
  </si>
  <si>
    <t>品種</t>
    <phoneticPr fontId="3"/>
  </si>
  <si>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</si>
  <si>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</si>
  <si>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</si>
  <si>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</si>
  <si>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</si>
  <si>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</si>
  <si>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</si>
  <si>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</si>
  <si>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</si>
  <si>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</si>
  <si>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</si>
  <si>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</si>
  <si>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</si>
  <si>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</si>
  <si>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</si>
  <si>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</si>
  <si>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</si>
  <si>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</si>
  <si>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</si>
  <si>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</si>
  <si>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</si>
  <si>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</si>
  <si>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</si>
  <si>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</si>
  <si>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</si>
  <si>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</si>
  <si>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</si>
  <si>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</si>
  <si>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</si>
  <si>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</si>
  <si>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</si>
  <si>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</si>
  <si>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</si>
  <si>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</si>
  <si>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</si>
  <si>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</si>
  <si>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</si>
  <si>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</si>
  <si>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</si>
  <si>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</si>
  <si>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</si>
  <si>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</si>
  <si>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</si>
  <si>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</si>
  <si>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</si>
  <si>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</si>
  <si>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</si>
  <si>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</si>
  <si>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</si>
  <si>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</si>
  <si>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</si>
  <si>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</si>
  <si>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</si>
  <si>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</si>
  <si>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</si>
  <si>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</si>
  <si>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</si>
  <si>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</si>
  <si>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</si>
  <si>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</si>
  <si>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</si>
  <si>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</si>
  <si>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</si>
  <si>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</si>
  <si>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</si>
  <si>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</si>
  <si>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</si>
  <si>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</si>
  <si>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</si>
  <si>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</si>
  <si>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</si>
  <si>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</si>
  <si>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</si>
  <si>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</si>
  <si>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U/P JPY</t>
    <phoneticPr fontId="4"/>
  </si>
  <si>
    <t>２番人気
果実</t>
    <phoneticPr fontId="3"/>
  </si>
  <si>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</si>
  <si>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</si>
  <si>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</si>
  <si>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</si>
  <si>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</si>
  <si>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</si>
  <si>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</si>
  <si>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</si>
  <si>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</si>
  <si>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</si>
  <si>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</si>
  <si>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</si>
  <si>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</si>
  <si>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</si>
  <si>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</si>
  <si>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</si>
  <si>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</si>
  <si>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</si>
  <si>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</si>
  <si>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</si>
  <si>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</si>
  <si>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07.08.2018</t>
  </si>
  <si>
    <t>07.08.2018</t>
    <phoneticPr fontId="3"/>
  </si>
  <si>
    <t>06.08.2018</t>
    <phoneticPr fontId="3"/>
  </si>
  <si>
    <t>06.08.2018</t>
  </si>
  <si>
    <t>GA</t>
    <phoneticPr fontId="4"/>
  </si>
  <si>
    <t>いちじく</t>
    <phoneticPr fontId="4"/>
  </si>
  <si>
    <t>ラフランス</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</si>
  <si>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</si>
  <si>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</si>
  <si>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</si>
  <si>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</si>
  <si>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</si>
  <si>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</si>
  <si>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</si>
  <si>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</si>
  <si>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</si>
  <si>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</si>
  <si>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</si>
  <si>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</si>
  <si>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09.08.2018</t>
    <phoneticPr fontId="3"/>
  </si>
  <si>
    <t>09.08.2018</t>
    <phoneticPr fontId="3"/>
  </si>
  <si>
    <t>アオキスーパー</t>
  </si>
  <si>
    <t>アオキスーパー</t>
    <phoneticPr fontId="4"/>
  </si>
  <si>
    <t>ﾆｭｰｼﾞｰﾗﾝﾄﾞ</t>
    <phoneticPr fontId="4"/>
  </si>
  <si>
    <t>ピアゴ</t>
    <phoneticPr fontId="4"/>
  </si>
  <si>
    <t>長久手南店</t>
    <phoneticPr fontId="4"/>
  </si>
  <si>
    <t>D'lish</t>
    <phoneticPr fontId="4"/>
  </si>
  <si>
    <t>中国</t>
    <phoneticPr fontId="4"/>
  </si>
  <si>
    <t>長久手店</t>
    <phoneticPr fontId="4"/>
  </si>
  <si>
    <t>JP</t>
    <phoneticPr fontId="3"/>
  </si>
  <si>
    <t>09.08.2018</t>
    <phoneticPr fontId="3"/>
  </si>
  <si>
    <t>カネトク</t>
    <phoneticPr fontId="4"/>
  </si>
  <si>
    <t>JP</t>
    <phoneticPr fontId="3"/>
  </si>
  <si>
    <t>09.08.2018</t>
    <phoneticPr fontId="3"/>
  </si>
  <si>
    <t>マックスバリュ</t>
    <phoneticPr fontId="4"/>
  </si>
  <si>
    <t>長久手店</t>
    <phoneticPr fontId="4"/>
  </si>
  <si>
    <t>ピアゴ</t>
  </si>
  <si>
    <t>長久手南店</t>
  </si>
  <si>
    <t>アピタ</t>
    <phoneticPr fontId="4"/>
  </si>
  <si>
    <t>JP</t>
    <phoneticPr fontId="3"/>
  </si>
  <si>
    <t>09.08.2018</t>
    <phoneticPr fontId="3"/>
  </si>
  <si>
    <t>アオキスーパー</t>
    <phoneticPr fontId="4"/>
  </si>
  <si>
    <t>長久手店</t>
    <phoneticPr fontId="4"/>
  </si>
  <si>
    <t>JP</t>
    <phoneticPr fontId="3"/>
  </si>
  <si>
    <t>09.08.2018</t>
    <phoneticPr fontId="3"/>
  </si>
  <si>
    <t>JP</t>
    <phoneticPr fontId="3"/>
  </si>
  <si>
    <t>09.08.2018</t>
    <phoneticPr fontId="3"/>
  </si>
  <si>
    <t>JP</t>
    <phoneticPr fontId="3"/>
  </si>
  <si>
    <t>09.08.2018</t>
    <phoneticPr fontId="3"/>
  </si>
  <si>
    <t>カネスエ</t>
  </si>
  <si>
    <t>長久手店</t>
  </si>
  <si>
    <t>ラフランス</t>
    <phoneticPr fontId="4"/>
  </si>
  <si>
    <t>キラキラ</t>
    <phoneticPr fontId="4"/>
  </si>
  <si>
    <t>グリーンアイ</t>
    <phoneticPr fontId="4"/>
  </si>
  <si>
    <t>カネトク</t>
  </si>
  <si>
    <t>アピタ</t>
  </si>
  <si>
    <t>10.08.2018</t>
  </si>
  <si>
    <t>津久野店</t>
  </si>
  <si>
    <t>チェーン名</t>
    <phoneticPr fontId="3"/>
  </si>
  <si>
    <t>JPY</t>
    <phoneticPr fontId="3"/>
  </si>
  <si>
    <t>ﾆｭｰｼﾞｰﾗﾝﾄﾞ</t>
    <phoneticPr fontId="4"/>
  </si>
  <si>
    <t>JP</t>
    <phoneticPr fontId="3"/>
  </si>
  <si>
    <t>09.08.2018</t>
    <phoneticPr fontId="3"/>
  </si>
  <si>
    <t>D'lish</t>
    <phoneticPr fontId="4"/>
  </si>
  <si>
    <t>中国</t>
    <phoneticPr fontId="4"/>
  </si>
  <si>
    <t>HW</t>
    <phoneticPr fontId="4"/>
  </si>
  <si>
    <t>CK</t>
    <phoneticPr fontId="4"/>
  </si>
  <si>
    <t>Del Monte</t>
    <phoneticPr fontId="3"/>
  </si>
  <si>
    <t>GK</t>
    <phoneticPr fontId="4"/>
  </si>
  <si>
    <t>OB</t>
    <phoneticPr fontId="4"/>
  </si>
  <si>
    <t>HE</t>
    <phoneticPr fontId="4"/>
  </si>
  <si>
    <t>JPY</t>
    <phoneticPr fontId="3"/>
  </si>
  <si>
    <t>JPY</t>
    <phoneticPr fontId="3"/>
  </si>
  <si>
    <t>広島</t>
    <phoneticPr fontId="3"/>
  </si>
  <si>
    <t>バナナ</t>
    <phoneticPr fontId="4"/>
  </si>
  <si>
    <t>JPY</t>
    <phoneticPr fontId="3"/>
  </si>
  <si>
    <t>パパイヤ</t>
    <phoneticPr fontId="4"/>
  </si>
  <si>
    <t>JPY</t>
    <phoneticPr fontId="3"/>
  </si>
  <si>
    <t>びわ</t>
    <phoneticPr fontId="4"/>
  </si>
  <si>
    <t>JPY</t>
    <phoneticPr fontId="3"/>
  </si>
  <si>
    <t>メロン</t>
    <phoneticPr fontId="4"/>
  </si>
  <si>
    <t>桃</t>
    <phoneticPr fontId="4"/>
  </si>
  <si>
    <t>JPY</t>
    <phoneticPr fontId="3"/>
  </si>
  <si>
    <t>ブドウ</t>
    <phoneticPr fontId="4"/>
  </si>
  <si>
    <t>ラフランス</t>
    <phoneticPr fontId="4"/>
  </si>
  <si>
    <t>りんご</t>
    <phoneticPr fontId="4"/>
  </si>
  <si>
    <t>みかん</t>
    <phoneticPr fontId="4"/>
  </si>
  <si>
    <t>マンゴー</t>
    <phoneticPr fontId="3"/>
  </si>
  <si>
    <t>ひこさか</t>
    <phoneticPr fontId="3"/>
  </si>
  <si>
    <t>販売
ユニット
個数</t>
    <phoneticPr fontId="4"/>
  </si>
  <si>
    <t>08.08.2018</t>
    <phoneticPr fontId="3"/>
  </si>
  <si>
    <t>マルショク</t>
    <phoneticPr fontId="3"/>
  </si>
  <si>
    <t>JPY</t>
    <phoneticPr fontId="4"/>
  </si>
  <si>
    <t>一般栽培</t>
    <phoneticPr fontId="4"/>
  </si>
  <si>
    <t>ﾆｭｰｼﾞｰﾗﾝﾄﾞ</t>
    <phoneticPr fontId="4"/>
  </si>
  <si>
    <t>JP</t>
    <phoneticPr fontId="3"/>
  </si>
  <si>
    <t>08.08.2018</t>
    <phoneticPr fontId="3"/>
  </si>
  <si>
    <t>マルショク</t>
    <phoneticPr fontId="3"/>
  </si>
  <si>
    <t>JPY</t>
    <phoneticPr fontId="4"/>
  </si>
  <si>
    <t>バナナ</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</si>
  <si>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</si>
  <si>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</si>
  <si>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</si>
  <si>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</si>
  <si>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</si>
  <si>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</si>
  <si>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</si>
  <si>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</si>
  <si>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</si>
  <si>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08.08.2018</t>
    <phoneticPr fontId="3"/>
  </si>
  <si>
    <t>マルショク</t>
    <phoneticPr fontId="3"/>
  </si>
  <si>
    <t>JPY</t>
    <phoneticPr fontId="4"/>
  </si>
  <si>
    <t>HE</t>
    <phoneticPr fontId="4"/>
  </si>
  <si>
    <t>JP</t>
    <phoneticPr fontId="3"/>
  </si>
  <si>
    <t>08.08.2018</t>
    <phoneticPr fontId="3"/>
  </si>
  <si>
    <t>GA</t>
    <phoneticPr fontId="4"/>
  </si>
  <si>
    <t>08.08.2018</t>
    <phoneticPr fontId="3"/>
  </si>
  <si>
    <t>オレンジ</t>
    <phoneticPr fontId="3"/>
  </si>
  <si>
    <t>JP</t>
    <phoneticPr fontId="3"/>
  </si>
  <si>
    <t>08.08.2018</t>
    <phoneticPr fontId="3"/>
  </si>
  <si>
    <t>08.08.2018</t>
    <phoneticPr fontId="3"/>
  </si>
  <si>
    <t>08.08.2018</t>
    <phoneticPr fontId="3"/>
  </si>
  <si>
    <t>JPY</t>
    <phoneticPr fontId="4"/>
  </si>
  <si>
    <t>08.08.2018</t>
    <phoneticPr fontId="3"/>
  </si>
  <si>
    <t>JPY</t>
    <phoneticPr fontId="4"/>
  </si>
  <si>
    <t>JP</t>
    <phoneticPr fontId="3"/>
  </si>
  <si>
    <t>08.08.2018</t>
    <phoneticPr fontId="3"/>
  </si>
  <si>
    <t>JPY</t>
    <phoneticPr fontId="4"/>
  </si>
  <si>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</si>
  <si>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</si>
  <si>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</si>
  <si>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</si>
  <si>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</si>
  <si>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</si>
  <si>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</si>
  <si>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</si>
  <si>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</si>
  <si>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</si>
  <si>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</si>
  <si>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</si>
  <si>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</si>
  <si>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</si>
  <si>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</si>
  <si>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</si>
  <si>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</si>
  <si>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</si>
  <si>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</si>
  <si>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</si>
  <si>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09.08.2018</t>
    <phoneticPr fontId="3"/>
  </si>
  <si>
    <t>サミット</t>
  </si>
  <si>
    <t>JPY</t>
    <phoneticPr fontId="3"/>
  </si>
  <si>
    <t>カドヤ</t>
    <phoneticPr fontId="4"/>
  </si>
  <si>
    <t>ﾆｭｰｼﾞｰﾗﾝﾄﾞ</t>
    <phoneticPr fontId="4"/>
  </si>
  <si>
    <t>09.08.2018</t>
  </si>
  <si>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</si>
  <si>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</si>
  <si>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</si>
  <si>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</si>
  <si>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</si>
  <si>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</si>
  <si>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</si>
  <si>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</si>
  <si>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</si>
  <si>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</si>
  <si>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</si>
  <si>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</si>
  <si>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</si>
  <si>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</si>
  <si>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</si>
  <si>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</si>
  <si>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</si>
  <si>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ライフ</t>
    <phoneticPr fontId="3"/>
  </si>
  <si>
    <t>06.08.2018</t>
    <phoneticPr fontId="3"/>
  </si>
  <si>
    <t>ライフ</t>
    <phoneticPr fontId="3"/>
  </si>
  <si>
    <t>06.08.2018</t>
    <phoneticPr fontId="3"/>
  </si>
  <si>
    <t>ライフ</t>
    <phoneticPr fontId="3"/>
  </si>
  <si>
    <t>06.08.2018</t>
    <phoneticPr fontId="3"/>
  </si>
  <si>
    <t>06.08.2018</t>
    <phoneticPr fontId="3"/>
  </si>
  <si>
    <t>06.08.2018</t>
    <phoneticPr fontId="3"/>
  </si>
  <si>
    <t>06.08.2018</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</si>
</sst>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7">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theme="0" tint="-0.14990691854609822"/>
      </top>
      <bottom/>
      <diagonal/>
    </border>
    <border>
      <left style="thin">
        <color theme="0" tint="-0.14993743705557422"/>
      </left>
      <right style="thin">
        <color theme="0" tint="-0.14993743705557422"/>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61">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0" fontId="10" fillId="0" borderId="0" xfId="1" applyFont="1" applyBorder="1"/>
    <xf numFmtId="0" fontId="1" fillId="0" borderId="0" xfId="1" applyFont="1" applyFill="1" applyBorder="1"/>
    <xf numFmtId="0" fontId="14" fillId="0" borderId="0" xfId="1" applyFont="1" applyFill="1"/>
    <xf numFmtId="14" fontId="0" fillId="4" borderId="45" xfId="1" applyNumberFormat="1" applyFont="1" applyFill="1" applyBorder="1"/>
    <xf numFmtId="14" fontId="0" fillId="4" borderId="46" xfId="1" applyNumberFormat="1" applyFont="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3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3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3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3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3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espri%20Shopsurvey_ota_3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kato_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topLeftCell="A10" zoomScale="85" zoomScaleNormal="85" workbookViewId="0">
      <selection activeCell="AB34" sqref="AB34"/>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337</v>
      </c>
      <c r="B2" s="15" t="s">
        <v>339</v>
      </c>
      <c r="C2" s="15">
        <v>2018</v>
      </c>
      <c r="D2" s="50" t="s">
        <v>343</v>
      </c>
      <c r="E2" s="15" t="s">
        <v>142</v>
      </c>
      <c r="F2" s="15" t="s">
        <v>151</v>
      </c>
      <c r="G2" s="15" t="s">
        <v>36</v>
      </c>
      <c r="H2" s="15" t="s">
        <v>157</v>
      </c>
      <c r="I2" s="15" t="s">
        <v>155</v>
      </c>
      <c r="J2" s="15" t="s">
        <v>38</v>
      </c>
      <c r="K2" s="7" t="s">
        <v>156</v>
      </c>
      <c r="L2" s="7">
        <v>1</v>
      </c>
      <c r="N2" s="47">
        <v>1</v>
      </c>
      <c r="O2" s="15">
        <v>0.55000000000000004</v>
      </c>
      <c r="P2" s="15">
        <v>0.7</v>
      </c>
      <c r="Q2" s="51">
        <f t="shared" ref="Q2:Q65" si="0">IF(OR(O2="",P2=""),"",AVERAGE(O2,P2))</f>
        <v>0.625</v>
      </c>
      <c r="R2" s="15">
        <v>14.5</v>
      </c>
      <c r="S2" s="15">
        <v>119</v>
      </c>
      <c r="T2" s="38">
        <f t="shared" ref="T2:T59" si="1">IF(H2="","",IF(OR(H2="GREEN",H2="GK"),IF(S2&gt;=$AX$2,VLOOKUP(S2,$AX$2:$AY$12,2,1),""),IF(S2&gt;=$AZ$2,VLOOKUP(S2,$AZ$2:$BA$12,2,1),"")))</f>
        <v>30</v>
      </c>
      <c r="U2" s="15">
        <v>54</v>
      </c>
      <c r="V2" s="38">
        <f t="shared" ref="V2:V65" si="2">IF(OR(N2="",U2="",T2=""),"",U2/N2*T2)</f>
        <v>1620</v>
      </c>
      <c r="W2" s="15">
        <v>4</v>
      </c>
      <c r="X2" s="15" t="s">
        <v>46</v>
      </c>
      <c r="Y2" s="15" t="s">
        <v>88</v>
      </c>
      <c r="Z2" s="15" t="s">
        <v>78</v>
      </c>
      <c r="AA2" s="15" t="s">
        <v>86</v>
      </c>
      <c r="AB2" s="39" t="s">
        <v>341</v>
      </c>
      <c r="AE2" s="17" t="s">
        <v>35</v>
      </c>
      <c r="AG2" s="49" t="s">
        <v>131</v>
      </c>
      <c r="AH2" s="49" t="s">
        <v>145</v>
      </c>
      <c r="AJ2" s="18" t="s">
        <v>36</v>
      </c>
      <c r="AL2" s="18" t="s">
        <v>127</v>
      </c>
      <c r="AN2" s="18" t="s">
        <v>37</v>
      </c>
      <c r="AP2" s="18" t="s">
        <v>38</v>
      </c>
      <c r="AR2" s="18" t="s">
        <v>120</v>
      </c>
      <c r="AT2" s="18" t="s">
        <v>39</v>
      </c>
      <c r="AV2" s="18" t="s">
        <v>40</v>
      </c>
      <c r="AX2" s="19">
        <v>1</v>
      </c>
      <c r="AY2" s="20">
        <v>50</v>
      </c>
      <c r="AZ2" s="20">
        <v>1</v>
      </c>
      <c r="BA2" s="21">
        <v>50</v>
      </c>
    </row>
    <row r="3" spans="1:53" x14ac:dyDescent="0.15">
      <c r="A3" s="15" t="s">
        <v>337</v>
      </c>
      <c r="B3" s="15" t="s">
        <v>338</v>
      </c>
      <c r="C3" s="15">
        <v>2018</v>
      </c>
      <c r="D3" s="37" t="s">
        <v>342</v>
      </c>
      <c r="E3" s="15" t="s">
        <v>142</v>
      </c>
      <c r="F3" s="7" t="s">
        <v>151</v>
      </c>
      <c r="G3" s="7" t="s">
        <v>36</v>
      </c>
      <c r="H3" s="15" t="s">
        <v>157</v>
      </c>
      <c r="I3" s="7" t="s">
        <v>155</v>
      </c>
      <c r="J3" s="15" t="s">
        <v>38</v>
      </c>
      <c r="K3" s="7" t="s">
        <v>156</v>
      </c>
      <c r="L3" s="7">
        <v>2</v>
      </c>
      <c r="N3" s="7">
        <v>1</v>
      </c>
      <c r="O3" s="34">
        <v>0.5</v>
      </c>
      <c r="P3" s="7">
        <v>0.55000000000000004</v>
      </c>
      <c r="Q3" s="52">
        <f t="shared" si="0"/>
        <v>0.52500000000000002</v>
      </c>
      <c r="R3" s="7">
        <v>15.6</v>
      </c>
      <c r="S3" s="7">
        <v>119</v>
      </c>
      <c r="T3" s="16">
        <f t="shared" si="1"/>
        <v>30</v>
      </c>
      <c r="U3" s="15">
        <v>54</v>
      </c>
      <c r="V3" s="16">
        <f t="shared" si="2"/>
        <v>1620</v>
      </c>
      <c r="W3" s="15">
        <v>4</v>
      </c>
      <c r="X3" s="15" t="s">
        <v>46</v>
      </c>
      <c r="Y3" s="216" t="s">
        <v>88</v>
      </c>
      <c r="Z3" s="216" t="s">
        <v>78</v>
      </c>
      <c r="AA3" s="216" t="s">
        <v>86</v>
      </c>
      <c r="AB3" s="39" t="s">
        <v>340</v>
      </c>
      <c r="AE3" s="22" t="s">
        <v>41</v>
      </c>
      <c r="AG3" s="49" t="s">
        <v>139</v>
      </c>
      <c r="AH3" s="49" t="s">
        <v>146</v>
      </c>
      <c r="AJ3" s="23" t="s">
        <v>42</v>
      </c>
      <c r="AL3" s="23" t="s">
        <v>128</v>
      </c>
      <c r="AN3" s="23" t="s">
        <v>43</v>
      </c>
      <c r="AP3" s="23" t="s">
        <v>44</v>
      </c>
      <c r="AR3" s="41" t="s">
        <v>45</v>
      </c>
      <c r="AT3" s="23" t="s">
        <v>46</v>
      </c>
      <c r="AV3" s="23" t="s">
        <v>47</v>
      </c>
      <c r="AX3" s="24">
        <v>72</v>
      </c>
      <c r="AY3" s="25">
        <v>46</v>
      </c>
      <c r="AZ3" s="25">
        <v>71</v>
      </c>
      <c r="BA3" s="26">
        <v>42</v>
      </c>
    </row>
    <row r="4" spans="1:53" x14ac:dyDescent="0.15">
      <c r="A4" s="15" t="s">
        <v>337</v>
      </c>
      <c r="B4" s="15" t="s">
        <v>338</v>
      </c>
      <c r="C4" s="15">
        <v>2018</v>
      </c>
      <c r="D4" s="37" t="s">
        <v>342</v>
      </c>
      <c r="E4" s="15" t="s">
        <v>142</v>
      </c>
      <c r="F4" s="7" t="s">
        <v>151</v>
      </c>
      <c r="G4" s="7" t="s">
        <v>36</v>
      </c>
      <c r="H4" s="15" t="s">
        <v>157</v>
      </c>
      <c r="I4" s="208" t="s">
        <v>155</v>
      </c>
      <c r="J4" s="15" t="s">
        <v>38</v>
      </c>
      <c r="K4" s="7" t="s">
        <v>156</v>
      </c>
      <c r="L4" s="7">
        <v>3</v>
      </c>
      <c r="N4" s="7">
        <v>1</v>
      </c>
      <c r="O4" s="7">
        <v>0.5</v>
      </c>
      <c r="P4" s="7">
        <v>0.5</v>
      </c>
      <c r="Q4" s="52">
        <f t="shared" si="0"/>
        <v>0.5</v>
      </c>
      <c r="R4" s="7">
        <v>15.9</v>
      </c>
      <c r="S4" s="7">
        <v>115</v>
      </c>
      <c r="T4" s="16">
        <f t="shared" si="1"/>
        <v>30</v>
      </c>
      <c r="U4" s="15">
        <v>54</v>
      </c>
      <c r="V4" s="16">
        <f t="shared" si="2"/>
        <v>1620</v>
      </c>
      <c r="W4" s="15">
        <v>4</v>
      </c>
      <c r="X4" s="15" t="s">
        <v>46</v>
      </c>
      <c r="Y4" s="216" t="s">
        <v>88</v>
      </c>
      <c r="Z4" s="216" t="s">
        <v>78</v>
      </c>
      <c r="AA4" s="216" t="s">
        <v>86</v>
      </c>
      <c r="AB4" s="39" t="s">
        <v>340</v>
      </c>
      <c r="AE4" s="22" t="s">
        <v>34</v>
      </c>
      <c r="AG4" s="49" t="s">
        <v>140</v>
      </c>
      <c r="AH4" s="49" t="s">
        <v>147</v>
      </c>
      <c r="AJ4" s="27" t="s">
        <v>48</v>
      </c>
      <c r="AL4" s="27" t="s">
        <v>129</v>
      </c>
      <c r="AN4" s="28" t="s">
        <v>49</v>
      </c>
      <c r="AP4" s="23" t="s">
        <v>93</v>
      </c>
      <c r="AR4" s="41" t="s">
        <v>121</v>
      </c>
      <c r="AT4" s="28"/>
      <c r="AV4" s="23" t="s">
        <v>50</v>
      </c>
      <c r="AX4" s="24">
        <v>75</v>
      </c>
      <c r="AY4" s="25">
        <v>42</v>
      </c>
      <c r="AZ4" s="25">
        <v>76</v>
      </c>
      <c r="BA4" s="26">
        <v>39</v>
      </c>
    </row>
    <row r="5" spans="1:53" x14ac:dyDescent="0.15">
      <c r="A5" s="15" t="s">
        <v>337</v>
      </c>
      <c r="B5" s="15" t="s">
        <v>338</v>
      </c>
      <c r="C5" s="15">
        <v>2018</v>
      </c>
      <c r="D5" s="37" t="s">
        <v>342</v>
      </c>
      <c r="E5" s="15" t="s">
        <v>142</v>
      </c>
      <c r="F5" s="15" t="s">
        <v>151</v>
      </c>
      <c r="G5" s="7" t="s">
        <v>36</v>
      </c>
      <c r="H5" s="15" t="s">
        <v>165</v>
      </c>
      <c r="I5" s="208" t="s">
        <v>155</v>
      </c>
      <c r="J5" s="15" t="s">
        <v>38</v>
      </c>
      <c r="K5" s="7" t="s">
        <v>156</v>
      </c>
      <c r="L5" s="7">
        <v>1</v>
      </c>
      <c r="N5" s="7">
        <v>1</v>
      </c>
      <c r="O5" s="7">
        <v>0.5</v>
      </c>
      <c r="P5" s="7">
        <v>0.5</v>
      </c>
      <c r="Q5" s="52">
        <f t="shared" si="0"/>
        <v>0.5</v>
      </c>
      <c r="R5" s="7">
        <v>15.8</v>
      </c>
      <c r="S5" s="7">
        <v>130</v>
      </c>
      <c r="T5" s="16">
        <f t="shared" si="1"/>
        <v>25</v>
      </c>
      <c r="U5" s="15">
        <v>145</v>
      </c>
      <c r="V5" s="16">
        <f t="shared" si="2"/>
        <v>3625</v>
      </c>
      <c r="W5" s="15">
        <v>4</v>
      </c>
      <c r="X5" s="15" t="s">
        <v>46</v>
      </c>
      <c r="Y5" s="216" t="s">
        <v>88</v>
      </c>
      <c r="Z5" s="216" t="s">
        <v>78</v>
      </c>
      <c r="AA5" s="216" t="s">
        <v>86</v>
      </c>
      <c r="AB5" s="39" t="s">
        <v>340</v>
      </c>
      <c r="AE5" s="22" t="s">
        <v>51</v>
      </c>
      <c r="AG5" s="49" t="s">
        <v>130</v>
      </c>
      <c r="AH5" s="49" t="s">
        <v>148</v>
      </c>
      <c r="AJ5" s="28"/>
      <c r="AL5" s="29" t="s">
        <v>66</v>
      </c>
      <c r="AN5" s="29" t="s">
        <v>52</v>
      </c>
      <c r="AP5" s="23" t="s">
        <v>119</v>
      </c>
      <c r="AR5" s="41" t="s">
        <v>54</v>
      </c>
      <c r="AV5" s="23" t="s">
        <v>55</v>
      </c>
      <c r="AX5" s="24">
        <v>84</v>
      </c>
      <c r="AY5" s="25">
        <v>39</v>
      </c>
      <c r="AZ5" s="25">
        <v>84</v>
      </c>
      <c r="BA5" s="26">
        <v>36</v>
      </c>
    </row>
    <row r="6" spans="1:53" x14ac:dyDescent="0.15">
      <c r="A6" s="15" t="s">
        <v>337</v>
      </c>
      <c r="B6" s="15" t="s">
        <v>338</v>
      </c>
      <c r="C6" s="15">
        <v>2018</v>
      </c>
      <c r="D6" s="37" t="s">
        <v>342</v>
      </c>
      <c r="E6" s="15" t="s">
        <v>142</v>
      </c>
      <c r="F6" s="7" t="s">
        <v>151</v>
      </c>
      <c r="G6" s="7" t="s">
        <v>36</v>
      </c>
      <c r="H6" s="216" t="s">
        <v>165</v>
      </c>
      <c r="I6" s="208" t="s">
        <v>155</v>
      </c>
      <c r="J6" s="216" t="s">
        <v>38</v>
      </c>
      <c r="K6" s="208" t="s">
        <v>156</v>
      </c>
      <c r="L6" s="7">
        <v>2</v>
      </c>
      <c r="N6" s="7">
        <v>1</v>
      </c>
      <c r="O6" s="7">
        <v>0.5</v>
      </c>
      <c r="P6" s="7">
        <v>0.5</v>
      </c>
      <c r="Q6" s="52">
        <f t="shared" si="0"/>
        <v>0.5</v>
      </c>
      <c r="R6" s="7">
        <v>20</v>
      </c>
      <c r="S6" s="7">
        <v>139</v>
      </c>
      <c r="T6" s="16">
        <f t="shared" si="1"/>
        <v>22</v>
      </c>
      <c r="U6" s="216">
        <v>145</v>
      </c>
      <c r="V6" s="16">
        <f t="shared" si="2"/>
        <v>3190</v>
      </c>
      <c r="W6" s="15">
        <v>4</v>
      </c>
      <c r="X6" s="15" t="s">
        <v>46</v>
      </c>
      <c r="Y6" s="216" t="s">
        <v>88</v>
      </c>
      <c r="Z6" s="216" t="s">
        <v>78</v>
      </c>
      <c r="AA6" s="216" t="s">
        <v>86</v>
      </c>
      <c r="AB6" s="39" t="s">
        <v>340</v>
      </c>
      <c r="AE6" s="22" t="s">
        <v>56</v>
      </c>
      <c r="AG6" s="49" t="s">
        <v>132</v>
      </c>
      <c r="AH6" s="49" t="s">
        <v>149</v>
      </c>
      <c r="AL6" s="29" t="s">
        <v>99</v>
      </c>
      <c r="AN6" s="29" t="s">
        <v>57</v>
      </c>
      <c r="AP6" s="23" t="s">
        <v>53</v>
      </c>
      <c r="AR6" s="41" t="s">
        <v>59</v>
      </c>
      <c r="AV6" s="23" t="s">
        <v>60</v>
      </c>
      <c r="AX6" s="24">
        <v>97</v>
      </c>
      <c r="AY6" s="25">
        <v>36</v>
      </c>
      <c r="AZ6" s="25">
        <v>99</v>
      </c>
      <c r="BA6" s="26">
        <v>33</v>
      </c>
    </row>
    <row r="7" spans="1:53" ht="12" customHeight="1" x14ac:dyDescent="0.15">
      <c r="A7" s="15" t="s">
        <v>337</v>
      </c>
      <c r="B7" s="15" t="s">
        <v>338</v>
      </c>
      <c r="C7" s="15">
        <v>2018</v>
      </c>
      <c r="D7" s="37" t="s">
        <v>342</v>
      </c>
      <c r="E7" s="15" t="s">
        <v>142</v>
      </c>
      <c r="F7" s="7" t="s">
        <v>151</v>
      </c>
      <c r="G7" s="7" t="s">
        <v>36</v>
      </c>
      <c r="H7" s="216" t="s">
        <v>165</v>
      </c>
      <c r="I7" s="208" t="s">
        <v>155</v>
      </c>
      <c r="J7" s="216" t="s">
        <v>38</v>
      </c>
      <c r="K7" s="208" t="s">
        <v>156</v>
      </c>
      <c r="L7" s="7">
        <v>3</v>
      </c>
      <c r="N7" s="7">
        <v>1</v>
      </c>
      <c r="O7" s="7">
        <v>0.55000000000000004</v>
      </c>
      <c r="P7" s="7">
        <v>0.55000000000000004</v>
      </c>
      <c r="Q7" s="52">
        <f t="shared" si="0"/>
        <v>0.55000000000000004</v>
      </c>
      <c r="R7" s="34">
        <v>15.3</v>
      </c>
      <c r="S7" s="7">
        <v>129</v>
      </c>
      <c r="T7" s="16">
        <f t="shared" si="1"/>
        <v>25</v>
      </c>
      <c r="U7" s="216">
        <v>145</v>
      </c>
      <c r="V7" s="16">
        <f t="shared" si="2"/>
        <v>3625</v>
      </c>
      <c r="W7" s="15">
        <v>4</v>
      </c>
      <c r="X7" s="15" t="s">
        <v>46</v>
      </c>
      <c r="Y7" s="216" t="s">
        <v>88</v>
      </c>
      <c r="Z7" s="216" t="s">
        <v>78</v>
      </c>
      <c r="AA7" s="216" t="s">
        <v>86</v>
      </c>
      <c r="AB7" s="39" t="s">
        <v>340</v>
      </c>
      <c r="AE7" s="22" t="s">
        <v>61</v>
      </c>
      <c r="AG7" s="49" t="s">
        <v>141</v>
      </c>
      <c r="AH7" s="49" t="s">
        <v>150</v>
      </c>
      <c r="AL7" s="34" t="s">
        <v>109</v>
      </c>
      <c r="AP7" s="23" t="s">
        <v>58</v>
      </c>
      <c r="AR7" s="30" t="s">
        <v>122</v>
      </c>
      <c r="AV7" s="23" t="s">
        <v>64</v>
      </c>
      <c r="AX7" s="24">
        <v>109</v>
      </c>
      <c r="AY7" s="25">
        <v>33</v>
      </c>
      <c r="AZ7" s="25">
        <v>113</v>
      </c>
      <c r="BA7" s="26">
        <v>30</v>
      </c>
    </row>
    <row r="8" spans="1:53" ht="12.75" customHeight="1" x14ac:dyDescent="0.15">
      <c r="A8" s="15" t="s">
        <v>337</v>
      </c>
      <c r="B8" s="15" t="s">
        <v>338</v>
      </c>
      <c r="C8" s="15">
        <v>2018</v>
      </c>
      <c r="D8" s="37" t="s">
        <v>342</v>
      </c>
      <c r="E8" s="15" t="s">
        <v>133</v>
      </c>
      <c r="F8" s="7" t="s">
        <v>152</v>
      </c>
      <c r="G8" s="7" t="s">
        <v>36</v>
      </c>
      <c r="H8" s="15" t="s">
        <v>157</v>
      </c>
      <c r="I8" s="208" t="s">
        <v>155</v>
      </c>
      <c r="J8" s="15" t="s">
        <v>38</v>
      </c>
      <c r="K8" s="7" t="s">
        <v>156</v>
      </c>
      <c r="L8" s="7">
        <v>1</v>
      </c>
      <c r="N8" s="7">
        <v>4</v>
      </c>
      <c r="O8" s="7">
        <v>0.75</v>
      </c>
      <c r="P8" s="7">
        <v>0.65</v>
      </c>
      <c r="Q8" s="52">
        <f t="shared" si="0"/>
        <v>0.7</v>
      </c>
      <c r="R8" s="34">
        <v>13.2</v>
      </c>
      <c r="S8" s="7">
        <v>102</v>
      </c>
      <c r="T8" s="16">
        <f t="shared" si="1"/>
        <v>33</v>
      </c>
      <c r="U8" s="15">
        <v>429</v>
      </c>
      <c r="V8" s="16">
        <f t="shared" si="2"/>
        <v>3539.25</v>
      </c>
      <c r="W8" s="15">
        <v>4</v>
      </c>
      <c r="X8" s="15" t="s">
        <v>46</v>
      </c>
      <c r="Y8" s="216" t="s">
        <v>86</v>
      </c>
      <c r="Z8" s="216" t="s">
        <v>88</v>
      </c>
      <c r="AA8" s="216" t="s">
        <v>55</v>
      </c>
      <c r="AB8" s="39" t="s">
        <v>340</v>
      </c>
      <c r="AE8" s="22" t="s">
        <v>59</v>
      </c>
      <c r="AG8" s="49" t="s">
        <v>142</v>
      </c>
      <c r="AH8" s="49" t="s">
        <v>151</v>
      </c>
      <c r="AL8" s="34" t="s">
        <v>134</v>
      </c>
      <c r="AP8" s="23" t="s">
        <v>62</v>
      </c>
      <c r="AR8" s="41" t="s">
        <v>81</v>
      </c>
      <c r="AV8" s="23" t="s">
        <v>97</v>
      </c>
      <c r="AX8" s="24">
        <v>119</v>
      </c>
      <c r="AY8" s="25">
        <v>30</v>
      </c>
      <c r="AZ8" s="25">
        <v>121</v>
      </c>
      <c r="BA8" s="26">
        <v>27</v>
      </c>
    </row>
    <row r="9" spans="1:53" x14ac:dyDescent="0.15">
      <c r="A9" s="15" t="s">
        <v>337</v>
      </c>
      <c r="B9" s="15" t="s">
        <v>338</v>
      </c>
      <c r="C9" s="15">
        <v>2018</v>
      </c>
      <c r="D9" s="37" t="s">
        <v>342</v>
      </c>
      <c r="E9" s="15" t="s">
        <v>133</v>
      </c>
      <c r="F9" s="7" t="s">
        <v>152</v>
      </c>
      <c r="G9" s="7" t="s">
        <v>36</v>
      </c>
      <c r="H9" s="216" t="s">
        <v>157</v>
      </c>
      <c r="I9" s="208" t="s">
        <v>155</v>
      </c>
      <c r="J9" s="216" t="s">
        <v>38</v>
      </c>
      <c r="K9" s="208" t="s">
        <v>156</v>
      </c>
      <c r="L9" s="7">
        <v>2</v>
      </c>
      <c r="N9" s="7">
        <v>4</v>
      </c>
      <c r="O9" s="7">
        <v>0.5</v>
      </c>
      <c r="P9" s="7">
        <v>0.5</v>
      </c>
      <c r="Q9" s="52">
        <f t="shared" si="0"/>
        <v>0.5</v>
      </c>
      <c r="R9" s="7">
        <v>14.4</v>
      </c>
      <c r="S9" s="7">
        <v>96</v>
      </c>
      <c r="T9" s="16">
        <f t="shared" si="1"/>
        <v>36</v>
      </c>
      <c r="U9" s="216">
        <v>429</v>
      </c>
      <c r="V9" s="16">
        <f t="shared" si="2"/>
        <v>3861</v>
      </c>
      <c r="W9" s="15">
        <v>4</v>
      </c>
      <c r="X9" s="15" t="s">
        <v>46</v>
      </c>
      <c r="Y9" s="216" t="s">
        <v>86</v>
      </c>
      <c r="Z9" s="216" t="s">
        <v>88</v>
      </c>
      <c r="AA9" s="216" t="s">
        <v>55</v>
      </c>
      <c r="AB9" s="39" t="s">
        <v>340</v>
      </c>
      <c r="AE9" s="22" t="s">
        <v>98</v>
      </c>
      <c r="AG9" s="49" t="s">
        <v>133</v>
      </c>
      <c r="AH9" s="49" t="s">
        <v>152</v>
      </c>
      <c r="AL9" s="34"/>
      <c r="AP9" s="23" t="s">
        <v>95</v>
      </c>
      <c r="AR9" s="30" t="s">
        <v>89</v>
      </c>
      <c r="AV9" s="23" t="s">
        <v>102</v>
      </c>
      <c r="AX9" s="24">
        <v>128</v>
      </c>
      <c r="AY9" s="25">
        <v>27</v>
      </c>
      <c r="AZ9" s="25">
        <v>129</v>
      </c>
      <c r="BA9" s="26">
        <v>25</v>
      </c>
    </row>
    <row r="10" spans="1:53" x14ac:dyDescent="0.15">
      <c r="A10" s="15" t="s">
        <v>337</v>
      </c>
      <c r="B10" s="15" t="s">
        <v>338</v>
      </c>
      <c r="C10" s="15">
        <v>2018</v>
      </c>
      <c r="D10" s="37" t="s">
        <v>342</v>
      </c>
      <c r="E10" s="15" t="s">
        <v>133</v>
      </c>
      <c r="F10" s="7" t="s">
        <v>152</v>
      </c>
      <c r="G10" s="7" t="s">
        <v>36</v>
      </c>
      <c r="H10" s="216" t="s">
        <v>157</v>
      </c>
      <c r="I10" s="208" t="s">
        <v>155</v>
      </c>
      <c r="J10" s="216" t="s">
        <v>38</v>
      </c>
      <c r="K10" s="208" t="s">
        <v>156</v>
      </c>
      <c r="L10" s="7">
        <v>3</v>
      </c>
      <c r="N10" s="7">
        <v>4</v>
      </c>
      <c r="O10" s="7">
        <v>0.5</v>
      </c>
      <c r="P10" s="7">
        <v>0.5</v>
      </c>
      <c r="Q10" s="52">
        <f t="shared" si="0"/>
        <v>0.5</v>
      </c>
      <c r="R10" s="7">
        <v>13.5</v>
      </c>
      <c r="S10" s="7">
        <v>100</v>
      </c>
      <c r="T10" s="16">
        <f t="shared" si="1"/>
        <v>33</v>
      </c>
      <c r="U10" s="216">
        <v>429</v>
      </c>
      <c r="V10" s="16">
        <f t="shared" si="2"/>
        <v>3539.25</v>
      </c>
      <c r="W10" s="15">
        <v>4</v>
      </c>
      <c r="X10" s="15" t="s">
        <v>46</v>
      </c>
      <c r="Y10" s="216" t="s">
        <v>86</v>
      </c>
      <c r="Z10" s="216" t="s">
        <v>88</v>
      </c>
      <c r="AA10" s="216" t="s">
        <v>55</v>
      </c>
      <c r="AB10" s="39" t="s">
        <v>340</v>
      </c>
      <c r="AE10" s="22" t="s">
        <v>103</v>
      </c>
      <c r="AG10" s="49" t="s">
        <v>143</v>
      </c>
      <c r="AH10" s="49" t="s">
        <v>153</v>
      </c>
      <c r="AP10" s="23" t="s">
        <v>100</v>
      </c>
      <c r="AR10" s="30" t="s">
        <v>123</v>
      </c>
      <c r="AV10" s="23" t="s">
        <v>106</v>
      </c>
      <c r="AX10" s="24">
        <v>138</v>
      </c>
      <c r="AY10" s="25">
        <v>25</v>
      </c>
      <c r="AZ10" s="25">
        <v>138</v>
      </c>
      <c r="BA10" s="26">
        <v>22</v>
      </c>
    </row>
    <row r="11" spans="1:53" x14ac:dyDescent="0.15">
      <c r="A11" s="15" t="s">
        <v>337</v>
      </c>
      <c r="B11" s="15" t="s">
        <v>338</v>
      </c>
      <c r="C11" s="15">
        <v>2018</v>
      </c>
      <c r="D11" s="37" t="s">
        <v>342</v>
      </c>
      <c r="E11" s="15" t="s">
        <v>133</v>
      </c>
      <c r="F11" s="7" t="s">
        <v>152</v>
      </c>
      <c r="G11" s="7" t="s">
        <v>36</v>
      </c>
      <c r="H11" s="216" t="s">
        <v>165</v>
      </c>
      <c r="I11" s="7" t="s">
        <v>155</v>
      </c>
      <c r="J11" s="15" t="s">
        <v>38</v>
      </c>
      <c r="K11" s="7" t="s">
        <v>156</v>
      </c>
      <c r="L11" s="7">
        <v>1</v>
      </c>
      <c r="N11" s="7">
        <v>1</v>
      </c>
      <c r="O11" s="7">
        <v>0.6</v>
      </c>
      <c r="P11" s="7">
        <v>0.6</v>
      </c>
      <c r="Q11" s="52">
        <f t="shared" si="0"/>
        <v>0.6</v>
      </c>
      <c r="R11" s="7">
        <v>17</v>
      </c>
      <c r="S11" s="7">
        <v>123</v>
      </c>
      <c r="T11" s="16">
        <f t="shared" si="1"/>
        <v>27</v>
      </c>
      <c r="U11" s="7">
        <v>105</v>
      </c>
      <c r="V11" s="16">
        <f t="shared" si="2"/>
        <v>2835</v>
      </c>
      <c r="W11" s="7">
        <v>15</v>
      </c>
      <c r="X11" s="15" t="s">
        <v>46</v>
      </c>
      <c r="Y11" s="216" t="s">
        <v>86</v>
      </c>
      <c r="Z11" s="216" t="s">
        <v>88</v>
      </c>
      <c r="AA11" s="216" t="s">
        <v>55</v>
      </c>
      <c r="AB11" s="39" t="s">
        <v>340</v>
      </c>
      <c r="AE11" s="22" t="s">
        <v>65</v>
      </c>
      <c r="AG11" s="49" t="s">
        <v>144</v>
      </c>
      <c r="AH11" s="49" t="s">
        <v>154</v>
      </c>
      <c r="AP11" s="23" t="s">
        <v>104</v>
      </c>
      <c r="AR11" s="30" t="s">
        <v>87</v>
      </c>
      <c r="AV11" s="23" t="s">
        <v>69</v>
      </c>
      <c r="AX11" s="24">
        <v>151</v>
      </c>
      <c r="AY11" s="25">
        <v>22</v>
      </c>
      <c r="AZ11" s="25">
        <v>152</v>
      </c>
      <c r="BA11" s="26">
        <v>18</v>
      </c>
    </row>
    <row r="12" spans="1:53" x14ac:dyDescent="0.15">
      <c r="A12" s="15" t="s">
        <v>337</v>
      </c>
      <c r="B12" s="15" t="s">
        <v>338</v>
      </c>
      <c r="C12" s="15">
        <v>2018</v>
      </c>
      <c r="D12" s="37" t="s">
        <v>342</v>
      </c>
      <c r="E12" s="15" t="s">
        <v>133</v>
      </c>
      <c r="F12" s="7" t="s">
        <v>152</v>
      </c>
      <c r="G12" s="7" t="s">
        <v>36</v>
      </c>
      <c r="H12" s="216" t="s">
        <v>165</v>
      </c>
      <c r="I12" s="208" t="s">
        <v>155</v>
      </c>
      <c r="J12" s="216" t="s">
        <v>38</v>
      </c>
      <c r="K12" s="208" t="s">
        <v>156</v>
      </c>
      <c r="L12" s="7">
        <v>2</v>
      </c>
      <c r="N12" s="7">
        <v>1</v>
      </c>
      <c r="O12" s="7">
        <v>0.5</v>
      </c>
      <c r="P12" s="7">
        <v>0.6</v>
      </c>
      <c r="Q12" s="52">
        <f t="shared" si="0"/>
        <v>0.55000000000000004</v>
      </c>
      <c r="R12" s="34">
        <v>15.4</v>
      </c>
      <c r="S12" s="7">
        <v>126</v>
      </c>
      <c r="T12" s="16">
        <f t="shared" si="1"/>
        <v>27</v>
      </c>
      <c r="U12" s="208">
        <v>105</v>
      </c>
      <c r="V12" s="16">
        <f t="shared" si="2"/>
        <v>2835</v>
      </c>
      <c r="W12" s="7">
        <v>15</v>
      </c>
      <c r="X12" s="15" t="s">
        <v>46</v>
      </c>
      <c r="Y12" s="216" t="s">
        <v>86</v>
      </c>
      <c r="Z12" s="216" t="s">
        <v>88</v>
      </c>
      <c r="AA12" s="216" t="s">
        <v>55</v>
      </c>
      <c r="AB12" s="39" t="s">
        <v>340</v>
      </c>
      <c r="AE12" s="22" t="s">
        <v>70</v>
      </c>
      <c r="AG12" s="40"/>
      <c r="AH12" s="40"/>
      <c r="AP12" s="23" t="s">
        <v>67</v>
      </c>
      <c r="AR12" s="30" t="s">
        <v>124</v>
      </c>
      <c r="AV12" s="23" t="s">
        <v>72</v>
      </c>
      <c r="AX12" s="31">
        <v>180</v>
      </c>
      <c r="AY12" s="32">
        <v>18</v>
      </c>
      <c r="AZ12" s="32">
        <v>181</v>
      </c>
      <c r="BA12" s="33">
        <v>16</v>
      </c>
    </row>
    <row r="13" spans="1:53" x14ac:dyDescent="0.15">
      <c r="A13" s="15" t="s">
        <v>337</v>
      </c>
      <c r="B13" s="15" t="s">
        <v>338</v>
      </c>
      <c r="C13" s="15">
        <v>2018</v>
      </c>
      <c r="D13" s="37" t="s">
        <v>342</v>
      </c>
      <c r="E13" s="15" t="s">
        <v>133</v>
      </c>
      <c r="F13" s="7" t="s">
        <v>152</v>
      </c>
      <c r="G13" s="7" t="s">
        <v>36</v>
      </c>
      <c r="H13" s="216" t="s">
        <v>165</v>
      </c>
      <c r="I13" s="208" t="s">
        <v>155</v>
      </c>
      <c r="J13" s="216" t="s">
        <v>38</v>
      </c>
      <c r="K13" s="208" t="s">
        <v>156</v>
      </c>
      <c r="L13" s="7">
        <v>3</v>
      </c>
      <c r="N13" s="7">
        <v>1</v>
      </c>
      <c r="O13" s="7">
        <v>0.55000000000000004</v>
      </c>
      <c r="P13" s="7">
        <v>0.55000000000000004</v>
      </c>
      <c r="Q13" s="52">
        <f t="shared" si="0"/>
        <v>0.55000000000000004</v>
      </c>
      <c r="R13" s="7">
        <v>14.9</v>
      </c>
      <c r="S13" s="7">
        <v>121</v>
      </c>
      <c r="T13" s="16">
        <f t="shared" si="1"/>
        <v>27</v>
      </c>
      <c r="U13" s="208">
        <v>105</v>
      </c>
      <c r="V13" s="16">
        <f t="shared" si="2"/>
        <v>2835</v>
      </c>
      <c r="W13" s="7">
        <v>15</v>
      </c>
      <c r="X13" s="15" t="s">
        <v>46</v>
      </c>
      <c r="Y13" s="216" t="s">
        <v>86</v>
      </c>
      <c r="Z13" s="216" t="s">
        <v>88</v>
      </c>
      <c r="AA13" s="216" t="s">
        <v>55</v>
      </c>
      <c r="AB13" s="39" t="s">
        <v>340</v>
      </c>
      <c r="AE13" s="22" t="s">
        <v>73</v>
      </c>
      <c r="AG13" s="23"/>
      <c r="AH13" s="23"/>
      <c r="AP13" s="23" t="s">
        <v>71</v>
      </c>
      <c r="AR13" s="30" t="s">
        <v>103</v>
      </c>
      <c r="AV13" s="23" t="s">
        <v>75</v>
      </c>
    </row>
    <row r="14" spans="1:53" x14ac:dyDescent="0.15">
      <c r="A14" s="15" t="s">
        <v>337</v>
      </c>
      <c r="B14" s="15" t="s">
        <v>338</v>
      </c>
      <c r="C14" s="15">
        <v>2018</v>
      </c>
      <c r="D14" s="37" t="s">
        <v>342</v>
      </c>
      <c r="E14" s="15" t="s">
        <v>143</v>
      </c>
      <c r="F14" s="7" t="s">
        <v>153</v>
      </c>
      <c r="G14" s="7" t="s">
        <v>36</v>
      </c>
      <c r="H14" s="15" t="s">
        <v>157</v>
      </c>
      <c r="I14" s="7" t="s">
        <v>155</v>
      </c>
      <c r="J14" s="15" t="s">
        <v>38</v>
      </c>
      <c r="K14" s="7" t="s">
        <v>156</v>
      </c>
      <c r="L14" s="7">
        <v>1</v>
      </c>
      <c r="N14" s="7">
        <v>1</v>
      </c>
      <c r="O14" s="7">
        <v>0.5</v>
      </c>
      <c r="P14" s="7">
        <v>0.5</v>
      </c>
      <c r="Q14" s="52">
        <f t="shared" si="0"/>
        <v>0.5</v>
      </c>
      <c r="R14" s="7">
        <v>14.9</v>
      </c>
      <c r="S14" s="7">
        <v>152</v>
      </c>
      <c r="T14" s="16">
        <f t="shared" si="1"/>
        <v>18</v>
      </c>
      <c r="U14" s="7">
        <v>149</v>
      </c>
      <c r="V14" s="16">
        <f t="shared" si="2"/>
        <v>2682</v>
      </c>
      <c r="W14" s="7">
        <v>5</v>
      </c>
      <c r="X14" s="15" t="s">
        <v>46</v>
      </c>
      <c r="Y14" s="216" t="s">
        <v>88</v>
      </c>
      <c r="Z14" s="216" t="s">
        <v>86</v>
      </c>
      <c r="AA14" s="216" t="s">
        <v>55</v>
      </c>
      <c r="AB14" s="39" t="s">
        <v>340</v>
      </c>
      <c r="AE14" s="22" t="s">
        <v>76</v>
      </c>
      <c r="AG14" s="23"/>
      <c r="AH14" s="23"/>
      <c r="AP14" s="23" t="s">
        <v>74</v>
      </c>
      <c r="AR14" s="30" t="s">
        <v>125</v>
      </c>
      <c r="AV14" s="23" t="s">
        <v>78</v>
      </c>
    </row>
    <row r="15" spans="1:53" x14ac:dyDescent="0.15">
      <c r="A15" s="15" t="s">
        <v>337</v>
      </c>
      <c r="B15" s="15" t="s">
        <v>338</v>
      </c>
      <c r="C15" s="15">
        <v>2018</v>
      </c>
      <c r="D15" s="37" t="s">
        <v>342</v>
      </c>
      <c r="E15" s="15" t="s">
        <v>143</v>
      </c>
      <c r="F15" s="7" t="s">
        <v>153</v>
      </c>
      <c r="G15" s="7" t="s">
        <v>36</v>
      </c>
      <c r="H15" s="216" t="s">
        <v>157</v>
      </c>
      <c r="I15" s="208" t="s">
        <v>155</v>
      </c>
      <c r="J15" s="216" t="s">
        <v>38</v>
      </c>
      <c r="K15" s="208" t="s">
        <v>156</v>
      </c>
      <c r="L15" s="7">
        <v>2</v>
      </c>
      <c r="N15" s="7">
        <v>1</v>
      </c>
      <c r="O15" s="7">
        <v>0.5</v>
      </c>
      <c r="P15" s="7">
        <v>0.6</v>
      </c>
      <c r="Q15" s="52">
        <f t="shared" si="0"/>
        <v>0.55000000000000004</v>
      </c>
      <c r="R15" s="7">
        <v>15.1</v>
      </c>
      <c r="S15" s="7">
        <v>152</v>
      </c>
      <c r="T15" s="16">
        <f t="shared" si="1"/>
        <v>18</v>
      </c>
      <c r="U15" s="208">
        <v>149</v>
      </c>
      <c r="V15" s="16">
        <f t="shared" si="2"/>
        <v>2682</v>
      </c>
      <c r="W15" s="7">
        <v>5</v>
      </c>
      <c r="X15" s="15" t="s">
        <v>46</v>
      </c>
      <c r="Y15" s="216" t="s">
        <v>88</v>
      </c>
      <c r="Z15" s="216" t="s">
        <v>86</v>
      </c>
      <c r="AA15" s="216" t="s">
        <v>55</v>
      </c>
      <c r="AB15" s="39" t="s">
        <v>340</v>
      </c>
      <c r="AE15" s="22" t="s">
        <v>79</v>
      </c>
      <c r="AG15" s="23"/>
      <c r="AH15" s="23"/>
      <c r="AP15" s="23" t="s">
        <v>77</v>
      </c>
      <c r="AR15" s="30" t="s">
        <v>94</v>
      </c>
      <c r="AV15" s="23" t="s">
        <v>107</v>
      </c>
    </row>
    <row r="16" spans="1:53" x14ac:dyDescent="0.15">
      <c r="A16" s="15" t="s">
        <v>337</v>
      </c>
      <c r="B16" s="15" t="s">
        <v>338</v>
      </c>
      <c r="C16" s="15">
        <v>2018</v>
      </c>
      <c r="D16" s="37" t="s">
        <v>342</v>
      </c>
      <c r="E16" s="15" t="s">
        <v>143</v>
      </c>
      <c r="F16" s="7" t="s">
        <v>153</v>
      </c>
      <c r="G16" s="7" t="s">
        <v>36</v>
      </c>
      <c r="H16" s="216" t="s">
        <v>157</v>
      </c>
      <c r="I16" s="208" t="s">
        <v>155</v>
      </c>
      <c r="J16" s="216" t="s">
        <v>38</v>
      </c>
      <c r="K16" s="208" t="s">
        <v>156</v>
      </c>
      <c r="L16" s="7">
        <v>3</v>
      </c>
      <c r="N16" s="7">
        <v>1</v>
      </c>
      <c r="O16" s="7">
        <v>0.5</v>
      </c>
      <c r="P16" s="7">
        <v>0.5</v>
      </c>
      <c r="Q16" s="52">
        <f t="shared" si="0"/>
        <v>0.5</v>
      </c>
      <c r="R16" s="7">
        <v>15.2</v>
      </c>
      <c r="S16" s="7">
        <v>166</v>
      </c>
      <c r="T16" s="16">
        <f t="shared" si="1"/>
        <v>18</v>
      </c>
      <c r="U16" s="208">
        <v>149</v>
      </c>
      <c r="V16" s="16">
        <f t="shared" si="2"/>
        <v>2682</v>
      </c>
      <c r="W16" s="7">
        <v>5</v>
      </c>
      <c r="X16" s="15" t="s">
        <v>46</v>
      </c>
      <c r="Y16" s="216" t="s">
        <v>88</v>
      </c>
      <c r="Z16" s="216" t="s">
        <v>86</v>
      </c>
      <c r="AA16" s="216" t="s">
        <v>55</v>
      </c>
      <c r="AB16" s="39" t="s">
        <v>340</v>
      </c>
      <c r="AE16" s="22" t="s">
        <v>82</v>
      </c>
      <c r="AG16" s="28"/>
      <c r="AH16" s="28"/>
      <c r="AP16" s="23" t="s">
        <v>80</v>
      </c>
      <c r="AR16" s="41" t="s">
        <v>63</v>
      </c>
      <c r="AV16" s="23" t="s">
        <v>84</v>
      </c>
    </row>
    <row r="17" spans="1:48" x14ac:dyDescent="0.15">
      <c r="A17" s="15" t="s">
        <v>337</v>
      </c>
      <c r="B17" s="15" t="s">
        <v>338</v>
      </c>
      <c r="C17" s="15">
        <v>2018</v>
      </c>
      <c r="D17" s="37" t="s">
        <v>342</v>
      </c>
      <c r="E17" s="15" t="s">
        <v>143</v>
      </c>
      <c r="F17" s="7" t="s">
        <v>153</v>
      </c>
      <c r="G17" s="7" t="s">
        <v>36</v>
      </c>
      <c r="H17" s="15" t="s">
        <v>165</v>
      </c>
      <c r="I17" s="208" t="s">
        <v>155</v>
      </c>
      <c r="J17" s="216" t="s">
        <v>38</v>
      </c>
      <c r="K17" s="208" t="s">
        <v>156</v>
      </c>
      <c r="L17" s="7">
        <v>1</v>
      </c>
      <c r="N17" s="7">
        <v>1</v>
      </c>
      <c r="O17" s="7">
        <v>0.5</v>
      </c>
      <c r="P17" s="7">
        <v>0.55000000000000004</v>
      </c>
      <c r="Q17" s="52">
        <f t="shared" si="0"/>
        <v>0.52500000000000002</v>
      </c>
      <c r="R17" s="7">
        <v>14.7</v>
      </c>
      <c r="S17" s="7">
        <v>145</v>
      </c>
      <c r="T17" s="16">
        <f t="shared" si="1"/>
        <v>22</v>
      </c>
      <c r="U17" s="7">
        <v>170</v>
      </c>
      <c r="V17" s="16">
        <f t="shared" si="2"/>
        <v>3740</v>
      </c>
      <c r="W17" s="7">
        <v>2</v>
      </c>
      <c r="X17" s="216" t="s">
        <v>46</v>
      </c>
      <c r="Y17" s="216" t="s">
        <v>88</v>
      </c>
      <c r="Z17" s="216" t="s">
        <v>86</v>
      </c>
      <c r="AA17" s="216" t="s">
        <v>55</v>
      </c>
      <c r="AB17" s="39" t="s">
        <v>340</v>
      </c>
      <c r="AE17" s="22" t="s">
        <v>85</v>
      </c>
      <c r="AP17" s="43" t="s">
        <v>110</v>
      </c>
      <c r="AR17" s="41" t="s">
        <v>96</v>
      </c>
      <c r="AV17" s="23" t="s">
        <v>86</v>
      </c>
    </row>
    <row r="18" spans="1:48" x14ac:dyDescent="0.15">
      <c r="A18" s="15" t="s">
        <v>337</v>
      </c>
      <c r="B18" s="15" t="s">
        <v>338</v>
      </c>
      <c r="C18" s="15">
        <v>2018</v>
      </c>
      <c r="D18" s="37" t="s">
        <v>342</v>
      </c>
      <c r="E18" s="15" t="s">
        <v>143</v>
      </c>
      <c r="F18" s="7" t="s">
        <v>153</v>
      </c>
      <c r="G18" s="7" t="s">
        <v>36</v>
      </c>
      <c r="H18" s="216" t="s">
        <v>165</v>
      </c>
      <c r="I18" s="208" t="s">
        <v>155</v>
      </c>
      <c r="J18" s="216" t="s">
        <v>38</v>
      </c>
      <c r="K18" s="208" t="s">
        <v>156</v>
      </c>
      <c r="L18" s="7">
        <v>2</v>
      </c>
      <c r="N18" s="7">
        <v>1</v>
      </c>
      <c r="O18" s="7">
        <v>0.65</v>
      </c>
      <c r="P18" s="7">
        <v>0.5</v>
      </c>
      <c r="Q18" s="52">
        <f t="shared" si="0"/>
        <v>0.57499999999999996</v>
      </c>
      <c r="R18" s="7">
        <v>14.7</v>
      </c>
      <c r="S18" s="7">
        <v>137</v>
      </c>
      <c r="T18" s="16">
        <f t="shared" si="1"/>
        <v>25</v>
      </c>
      <c r="U18" s="208">
        <v>170</v>
      </c>
      <c r="V18" s="16">
        <f t="shared" si="2"/>
        <v>4250</v>
      </c>
      <c r="W18" s="7">
        <v>2</v>
      </c>
      <c r="X18" s="216" t="s">
        <v>46</v>
      </c>
      <c r="Y18" s="216" t="s">
        <v>88</v>
      </c>
      <c r="Z18" s="216" t="s">
        <v>86</v>
      </c>
      <c r="AA18" s="216" t="s">
        <v>55</v>
      </c>
      <c r="AB18" s="39" t="s">
        <v>340</v>
      </c>
      <c r="AE18" s="22" t="s">
        <v>87</v>
      </c>
      <c r="AP18" s="43" t="s">
        <v>111</v>
      </c>
      <c r="AR18" s="41" t="s">
        <v>101</v>
      </c>
      <c r="AV18" s="23" t="s">
        <v>88</v>
      </c>
    </row>
    <row r="19" spans="1:48" x14ac:dyDescent="0.15">
      <c r="A19" s="15" t="s">
        <v>337</v>
      </c>
      <c r="B19" s="15" t="s">
        <v>338</v>
      </c>
      <c r="C19" s="15">
        <v>2018</v>
      </c>
      <c r="D19" s="37" t="s">
        <v>342</v>
      </c>
      <c r="E19" s="15" t="s">
        <v>143</v>
      </c>
      <c r="F19" s="7" t="s">
        <v>153</v>
      </c>
      <c r="G19" s="7" t="s">
        <v>36</v>
      </c>
      <c r="H19" s="216" t="s">
        <v>165</v>
      </c>
      <c r="I19" s="208" t="s">
        <v>155</v>
      </c>
      <c r="J19" s="216" t="s">
        <v>38</v>
      </c>
      <c r="K19" s="208" t="s">
        <v>156</v>
      </c>
      <c r="L19" s="7">
        <v>3</v>
      </c>
      <c r="N19" s="7">
        <v>1</v>
      </c>
      <c r="O19" s="7">
        <v>0.5</v>
      </c>
      <c r="P19" s="7">
        <v>0.6</v>
      </c>
      <c r="Q19" s="52">
        <f t="shared" si="0"/>
        <v>0.55000000000000004</v>
      </c>
      <c r="R19" s="7">
        <v>14.7</v>
      </c>
      <c r="S19" s="7">
        <v>142</v>
      </c>
      <c r="T19" s="16">
        <f t="shared" si="1"/>
        <v>22</v>
      </c>
      <c r="U19" s="208">
        <v>170</v>
      </c>
      <c r="V19" s="16">
        <f t="shared" si="2"/>
        <v>3740</v>
      </c>
      <c r="W19" s="7">
        <v>2</v>
      </c>
      <c r="X19" s="216" t="s">
        <v>46</v>
      </c>
      <c r="Y19" s="216" t="s">
        <v>88</v>
      </c>
      <c r="Z19" s="216" t="s">
        <v>86</v>
      </c>
      <c r="AA19" s="216" t="s">
        <v>55</v>
      </c>
      <c r="AB19" s="39" t="s">
        <v>340</v>
      </c>
      <c r="AE19" s="35" t="s">
        <v>89</v>
      </c>
      <c r="AP19" s="43" t="s">
        <v>112</v>
      </c>
      <c r="AR19" s="30" t="s">
        <v>126</v>
      </c>
      <c r="AV19" s="23" t="s">
        <v>90</v>
      </c>
    </row>
    <row r="20" spans="1:48" x14ac:dyDescent="0.15">
      <c r="A20" s="15" t="s">
        <v>337</v>
      </c>
      <c r="B20" s="15" t="s">
        <v>338</v>
      </c>
      <c r="C20" s="15">
        <v>2018</v>
      </c>
      <c r="D20" s="37" t="s">
        <v>342</v>
      </c>
      <c r="E20" s="15" t="s">
        <v>144</v>
      </c>
      <c r="F20" s="7" t="s">
        <v>154</v>
      </c>
      <c r="G20" s="7" t="s">
        <v>36</v>
      </c>
      <c r="H20" s="15" t="s">
        <v>157</v>
      </c>
      <c r="I20" s="208" t="s">
        <v>155</v>
      </c>
      <c r="J20" s="15" t="s">
        <v>38</v>
      </c>
      <c r="K20" s="7" t="s">
        <v>156</v>
      </c>
      <c r="L20" s="7">
        <v>1</v>
      </c>
      <c r="N20" s="7">
        <v>1</v>
      </c>
      <c r="O20" s="7">
        <v>0.8</v>
      </c>
      <c r="P20" s="34">
        <v>0.9</v>
      </c>
      <c r="Q20" s="52">
        <f t="shared" si="0"/>
        <v>0.85000000000000009</v>
      </c>
      <c r="R20" s="7">
        <v>15.2</v>
      </c>
      <c r="S20" s="7">
        <v>125</v>
      </c>
      <c r="T20" s="16">
        <f t="shared" si="1"/>
        <v>27</v>
      </c>
      <c r="U20" s="7">
        <v>105</v>
      </c>
      <c r="V20" s="16">
        <f t="shared" si="2"/>
        <v>2835</v>
      </c>
      <c r="W20" s="7">
        <v>2</v>
      </c>
      <c r="X20" s="216" t="s">
        <v>39</v>
      </c>
      <c r="Y20" s="216" t="s">
        <v>78</v>
      </c>
      <c r="Z20" s="216" t="s">
        <v>88</v>
      </c>
      <c r="AA20" s="216" t="s">
        <v>97</v>
      </c>
      <c r="AB20" s="39" t="s">
        <v>340</v>
      </c>
      <c r="AE20" s="22"/>
      <c r="AP20" s="43" t="s">
        <v>113</v>
      </c>
      <c r="AR20" s="41" t="s">
        <v>105</v>
      </c>
      <c r="AV20" s="27" t="s">
        <v>135</v>
      </c>
    </row>
    <row r="21" spans="1:48" x14ac:dyDescent="0.15">
      <c r="A21" s="15" t="s">
        <v>337</v>
      </c>
      <c r="B21" s="15" t="s">
        <v>338</v>
      </c>
      <c r="C21" s="15">
        <v>2018</v>
      </c>
      <c r="D21" s="37" t="s">
        <v>342</v>
      </c>
      <c r="E21" s="15" t="s">
        <v>144</v>
      </c>
      <c r="F21" s="7" t="s">
        <v>154</v>
      </c>
      <c r="G21" s="7" t="s">
        <v>36</v>
      </c>
      <c r="H21" s="216" t="s">
        <v>157</v>
      </c>
      <c r="I21" s="208" t="s">
        <v>155</v>
      </c>
      <c r="J21" s="216" t="s">
        <v>38</v>
      </c>
      <c r="K21" s="208" t="s">
        <v>156</v>
      </c>
      <c r="L21" s="7">
        <v>2</v>
      </c>
      <c r="N21" s="7">
        <v>1</v>
      </c>
      <c r="O21" s="7">
        <v>0.65</v>
      </c>
      <c r="P21" s="7">
        <v>0.6</v>
      </c>
      <c r="Q21" s="52">
        <f t="shared" si="0"/>
        <v>0.625</v>
      </c>
      <c r="R21" s="7">
        <v>15.6</v>
      </c>
      <c r="S21" s="7">
        <v>122</v>
      </c>
      <c r="T21" s="16">
        <f t="shared" si="1"/>
        <v>27</v>
      </c>
      <c r="U21" s="208">
        <v>105</v>
      </c>
      <c r="V21" s="16">
        <f t="shared" si="2"/>
        <v>2835</v>
      </c>
      <c r="W21" s="7">
        <v>2</v>
      </c>
      <c r="X21" s="216" t="s">
        <v>39</v>
      </c>
      <c r="Y21" s="216" t="s">
        <v>78</v>
      </c>
      <c r="Z21" s="216" t="s">
        <v>88</v>
      </c>
      <c r="AA21" s="216" t="s">
        <v>97</v>
      </c>
      <c r="AB21" s="39" t="s">
        <v>340</v>
      </c>
      <c r="AE21" s="22"/>
      <c r="AP21" s="43" t="s">
        <v>114</v>
      </c>
      <c r="AR21" s="41" t="s">
        <v>68</v>
      </c>
      <c r="AV21" s="27" t="s">
        <v>136</v>
      </c>
    </row>
    <row r="22" spans="1:48" x14ac:dyDescent="0.15">
      <c r="A22" s="15" t="s">
        <v>337</v>
      </c>
      <c r="B22" s="15" t="s">
        <v>338</v>
      </c>
      <c r="C22" s="15">
        <v>2018</v>
      </c>
      <c r="D22" s="37" t="s">
        <v>342</v>
      </c>
      <c r="E22" s="15" t="s">
        <v>144</v>
      </c>
      <c r="F22" s="7" t="s">
        <v>154</v>
      </c>
      <c r="G22" s="7" t="s">
        <v>36</v>
      </c>
      <c r="H22" s="216" t="s">
        <v>157</v>
      </c>
      <c r="I22" s="208" t="s">
        <v>155</v>
      </c>
      <c r="J22" s="216" t="s">
        <v>38</v>
      </c>
      <c r="K22" s="208" t="s">
        <v>156</v>
      </c>
      <c r="L22" s="7">
        <v>3</v>
      </c>
      <c r="N22" s="7">
        <v>1</v>
      </c>
      <c r="O22" s="34">
        <v>0.55000000000000004</v>
      </c>
      <c r="P22" s="7">
        <v>0.7</v>
      </c>
      <c r="Q22" s="52">
        <f t="shared" si="0"/>
        <v>0.625</v>
      </c>
      <c r="R22" s="7">
        <v>13.6</v>
      </c>
      <c r="S22" s="7">
        <v>124</v>
      </c>
      <c r="T22" s="16">
        <f t="shared" si="1"/>
        <v>27</v>
      </c>
      <c r="U22" s="208">
        <v>105</v>
      </c>
      <c r="V22" s="16">
        <f t="shared" si="2"/>
        <v>2835</v>
      </c>
      <c r="W22" s="7">
        <v>2</v>
      </c>
      <c r="X22" s="216" t="s">
        <v>39</v>
      </c>
      <c r="Y22" s="216" t="s">
        <v>78</v>
      </c>
      <c r="Z22" s="216" t="s">
        <v>88</v>
      </c>
      <c r="AA22" s="216" t="s">
        <v>97</v>
      </c>
      <c r="AB22" s="39" t="s">
        <v>340</v>
      </c>
      <c r="AE22" s="35"/>
      <c r="AP22" s="43" t="s">
        <v>115</v>
      </c>
      <c r="AR22" s="41" t="s">
        <v>83</v>
      </c>
      <c r="AV22" s="27"/>
    </row>
    <row r="23" spans="1:48" x14ac:dyDescent="0.15">
      <c r="A23" s="15" t="s">
        <v>337</v>
      </c>
      <c r="B23" s="15" t="s">
        <v>338</v>
      </c>
      <c r="C23" s="15">
        <v>2018</v>
      </c>
      <c r="D23" s="37" t="s">
        <v>342</v>
      </c>
      <c r="E23" s="7" t="s">
        <v>144</v>
      </c>
      <c r="F23" s="7" t="s">
        <v>154</v>
      </c>
      <c r="G23" s="7" t="s">
        <v>36</v>
      </c>
      <c r="H23" s="15" t="s">
        <v>165</v>
      </c>
      <c r="I23" s="208" t="s">
        <v>155</v>
      </c>
      <c r="J23" s="15" t="s">
        <v>38</v>
      </c>
      <c r="K23" s="7" t="s">
        <v>156</v>
      </c>
      <c r="L23" s="7">
        <v>1</v>
      </c>
      <c r="N23" s="7">
        <v>1</v>
      </c>
      <c r="O23" s="34">
        <v>0.65</v>
      </c>
      <c r="P23" s="7">
        <v>0.65</v>
      </c>
      <c r="Q23" s="52">
        <f t="shared" si="0"/>
        <v>0.65</v>
      </c>
      <c r="R23" s="7">
        <v>14.3</v>
      </c>
      <c r="S23" s="7">
        <v>127</v>
      </c>
      <c r="T23" s="16">
        <f t="shared" si="1"/>
        <v>27</v>
      </c>
      <c r="U23" s="7">
        <v>105</v>
      </c>
      <c r="V23" s="16">
        <f t="shared" si="2"/>
        <v>2835</v>
      </c>
      <c r="W23" s="7">
        <v>2</v>
      </c>
      <c r="X23" s="216" t="s">
        <v>39</v>
      </c>
      <c r="Y23" s="216" t="s">
        <v>78</v>
      </c>
      <c r="Z23" s="216" t="s">
        <v>88</v>
      </c>
      <c r="AA23" s="216" t="s">
        <v>97</v>
      </c>
      <c r="AB23" s="39" t="s">
        <v>340</v>
      </c>
      <c r="AE23" s="22"/>
      <c r="AP23" s="43" t="s">
        <v>137</v>
      </c>
      <c r="AR23" s="41" t="s">
        <v>61</v>
      </c>
      <c r="AV23" s="27"/>
    </row>
    <row r="24" spans="1:48" x14ac:dyDescent="0.15">
      <c r="A24" s="15" t="s">
        <v>337</v>
      </c>
      <c r="B24" s="15" t="s">
        <v>338</v>
      </c>
      <c r="C24" s="15">
        <v>2018</v>
      </c>
      <c r="D24" s="37" t="s">
        <v>342</v>
      </c>
      <c r="E24" s="7" t="s">
        <v>144</v>
      </c>
      <c r="F24" s="7" t="s">
        <v>154</v>
      </c>
      <c r="G24" s="7" t="s">
        <v>36</v>
      </c>
      <c r="H24" s="216" t="s">
        <v>165</v>
      </c>
      <c r="I24" s="208" t="s">
        <v>155</v>
      </c>
      <c r="J24" s="15" t="s">
        <v>38</v>
      </c>
      <c r="K24" s="7" t="s">
        <v>156</v>
      </c>
      <c r="L24" s="7">
        <v>2</v>
      </c>
      <c r="N24" s="7">
        <v>1</v>
      </c>
      <c r="O24" s="7">
        <v>0.65</v>
      </c>
      <c r="P24" s="7">
        <v>0.55000000000000004</v>
      </c>
      <c r="Q24" s="52">
        <f t="shared" si="0"/>
        <v>0.60000000000000009</v>
      </c>
      <c r="R24" s="7">
        <v>15.4</v>
      </c>
      <c r="S24" s="7">
        <v>138</v>
      </c>
      <c r="T24" s="16">
        <f t="shared" si="1"/>
        <v>22</v>
      </c>
      <c r="U24" s="208">
        <v>105</v>
      </c>
      <c r="V24" s="16">
        <f t="shared" si="2"/>
        <v>2310</v>
      </c>
      <c r="W24" s="7">
        <v>2</v>
      </c>
      <c r="X24" s="216" t="s">
        <v>39</v>
      </c>
      <c r="Y24" s="216" t="s">
        <v>78</v>
      </c>
      <c r="Z24" s="216" t="s">
        <v>88</v>
      </c>
      <c r="AA24" s="216" t="s">
        <v>97</v>
      </c>
      <c r="AB24" s="39" t="s">
        <v>340</v>
      </c>
      <c r="AE24" s="22"/>
      <c r="AP24" s="43" t="s">
        <v>138</v>
      </c>
      <c r="AR24" s="41" t="s">
        <v>91</v>
      </c>
      <c r="AV24" s="27"/>
    </row>
    <row r="25" spans="1:48" x14ac:dyDescent="0.15">
      <c r="A25" s="15" t="s">
        <v>337</v>
      </c>
      <c r="B25" s="15" t="s">
        <v>338</v>
      </c>
      <c r="C25" s="15">
        <v>2018</v>
      </c>
      <c r="D25" s="37" t="s">
        <v>342</v>
      </c>
      <c r="E25" s="7" t="s">
        <v>144</v>
      </c>
      <c r="F25" s="7" t="s">
        <v>154</v>
      </c>
      <c r="G25" s="7" t="s">
        <v>36</v>
      </c>
      <c r="H25" s="216" t="s">
        <v>165</v>
      </c>
      <c r="I25" s="208" t="s">
        <v>155</v>
      </c>
      <c r="J25" s="15" t="s">
        <v>38</v>
      </c>
      <c r="K25" s="7" t="s">
        <v>156</v>
      </c>
      <c r="L25" s="7">
        <v>3</v>
      </c>
      <c r="N25" s="7">
        <v>1</v>
      </c>
      <c r="O25" s="7">
        <v>0.5</v>
      </c>
      <c r="P25" s="7">
        <v>0.6</v>
      </c>
      <c r="Q25" s="52">
        <f t="shared" si="0"/>
        <v>0.55000000000000004</v>
      </c>
      <c r="R25" s="7">
        <v>16.600000000000001</v>
      </c>
      <c r="S25" s="7">
        <v>131</v>
      </c>
      <c r="T25" s="16">
        <f t="shared" si="1"/>
        <v>25</v>
      </c>
      <c r="U25" s="208">
        <v>105</v>
      </c>
      <c r="V25" s="16">
        <f t="shared" si="2"/>
        <v>2625</v>
      </c>
      <c r="W25" s="7">
        <v>2</v>
      </c>
      <c r="X25" s="216" t="s">
        <v>39</v>
      </c>
      <c r="Y25" s="216" t="s">
        <v>78</v>
      </c>
      <c r="Z25" s="216" t="s">
        <v>88</v>
      </c>
      <c r="AA25" s="216" t="s">
        <v>97</v>
      </c>
      <c r="AB25" s="39" t="s">
        <v>340</v>
      </c>
      <c r="AE25" s="35"/>
      <c r="AP25" s="43" t="s">
        <v>116</v>
      </c>
      <c r="AR25" s="42" t="s">
        <v>92</v>
      </c>
      <c r="AV25" s="27"/>
    </row>
    <row r="26" spans="1:48" x14ac:dyDescent="0.15">
      <c r="A26" s="15" t="s">
        <v>337</v>
      </c>
      <c r="B26" s="15" t="s">
        <v>338</v>
      </c>
      <c r="C26" s="15">
        <v>2018</v>
      </c>
      <c r="D26" s="37" t="s">
        <v>342</v>
      </c>
      <c r="E26" s="7" t="s">
        <v>131</v>
      </c>
      <c r="F26" s="7" t="s">
        <v>145</v>
      </c>
      <c r="G26" s="7" t="s">
        <v>36</v>
      </c>
      <c r="H26" s="15" t="s">
        <v>157</v>
      </c>
      <c r="I26" s="208" t="s">
        <v>155</v>
      </c>
      <c r="J26" s="15" t="s">
        <v>38</v>
      </c>
      <c r="K26" s="7" t="s">
        <v>156</v>
      </c>
      <c r="L26" s="7">
        <v>1</v>
      </c>
      <c r="N26" s="7">
        <v>1</v>
      </c>
      <c r="O26" s="7">
        <v>0.55000000000000004</v>
      </c>
      <c r="P26" s="7">
        <v>0.6</v>
      </c>
      <c r="Q26" s="52">
        <f t="shared" si="0"/>
        <v>0.57499999999999996</v>
      </c>
      <c r="R26" s="7">
        <v>18.5</v>
      </c>
      <c r="S26" s="7">
        <v>152</v>
      </c>
      <c r="T26" s="16">
        <f t="shared" si="1"/>
        <v>18</v>
      </c>
      <c r="U26" s="7">
        <v>138</v>
      </c>
      <c r="V26" s="16">
        <f t="shared" si="2"/>
        <v>2484</v>
      </c>
      <c r="W26" s="7">
        <v>3</v>
      </c>
      <c r="X26" s="15" t="s">
        <v>46</v>
      </c>
      <c r="Y26" s="216" t="s">
        <v>86</v>
      </c>
      <c r="Z26" s="216" t="s">
        <v>88</v>
      </c>
      <c r="AA26" s="216" t="s">
        <v>55</v>
      </c>
      <c r="AB26" s="39" t="s">
        <v>340</v>
      </c>
      <c r="AE26" s="35"/>
      <c r="AP26" s="43" t="s">
        <v>117</v>
      </c>
      <c r="AR26" s="23" t="s">
        <v>289</v>
      </c>
      <c r="AV26" s="28"/>
    </row>
    <row r="27" spans="1:48" x14ac:dyDescent="0.15">
      <c r="A27" s="15" t="s">
        <v>337</v>
      </c>
      <c r="B27" s="15" t="s">
        <v>338</v>
      </c>
      <c r="C27" s="15">
        <v>2018</v>
      </c>
      <c r="D27" s="37" t="s">
        <v>342</v>
      </c>
      <c r="E27" s="7" t="s">
        <v>131</v>
      </c>
      <c r="F27" s="7" t="s">
        <v>145</v>
      </c>
      <c r="G27" s="7" t="s">
        <v>36</v>
      </c>
      <c r="H27" s="216" t="s">
        <v>157</v>
      </c>
      <c r="I27" s="208" t="s">
        <v>155</v>
      </c>
      <c r="J27" s="15" t="s">
        <v>38</v>
      </c>
      <c r="K27" s="7" t="s">
        <v>156</v>
      </c>
      <c r="L27" s="7">
        <v>2</v>
      </c>
      <c r="N27" s="7">
        <v>1</v>
      </c>
      <c r="O27" s="7">
        <v>0.5</v>
      </c>
      <c r="P27" s="7">
        <v>0.5</v>
      </c>
      <c r="Q27" s="52">
        <f t="shared" si="0"/>
        <v>0.5</v>
      </c>
      <c r="R27" s="7">
        <v>16.3</v>
      </c>
      <c r="S27" s="7">
        <v>150</v>
      </c>
      <c r="T27" s="16">
        <f t="shared" si="1"/>
        <v>22</v>
      </c>
      <c r="U27" s="208">
        <v>138</v>
      </c>
      <c r="V27" s="16">
        <f t="shared" si="2"/>
        <v>3036</v>
      </c>
      <c r="W27" s="7">
        <v>3</v>
      </c>
      <c r="X27" s="15" t="s">
        <v>46</v>
      </c>
      <c r="Y27" s="216" t="s">
        <v>86</v>
      </c>
      <c r="Z27" s="216" t="s">
        <v>88</v>
      </c>
      <c r="AA27" s="216" t="s">
        <v>55</v>
      </c>
      <c r="AB27" s="39" t="s">
        <v>340</v>
      </c>
      <c r="AE27" s="28"/>
      <c r="AP27" s="43" t="s">
        <v>118</v>
      </c>
      <c r="AR27" s="23"/>
    </row>
    <row r="28" spans="1:48" x14ac:dyDescent="0.15">
      <c r="A28" s="15" t="s">
        <v>337</v>
      </c>
      <c r="B28" s="15" t="s">
        <v>338</v>
      </c>
      <c r="C28" s="15">
        <v>2018</v>
      </c>
      <c r="D28" s="37" t="s">
        <v>342</v>
      </c>
      <c r="E28" s="7" t="s">
        <v>131</v>
      </c>
      <c r="F28" s="7" t="s">
        <v>145</v>
      </c>
      <c r="G28" s="7" t="s">
        <v>36</v>
      </c>
      <c r="H28" s="216" t="s">
        <v>157</v>
      </c>
      <c r="I28" s="208" t="s">
        <v>155</v>
      </c>
      <c r="J28" s="15" t="s">
        <v>38</v>
      </c>
      <c r="K28" s="7" t="s">
        <v>156</v>
      </c>
      <c r="L28" s="7">
        <v>3</v>
      </c>
      <c r="N28" s="7">
        <v>1</v>
      </c>
      <c r="O28" s="7">
        <v>0.5</v>
      </c>
      <c r="P28" s="7">
        <v>0.5</v>
      </c>
      <c r="Q28" s="52">
        <f t="shared" si="0"/>
        <v>0.5</v>
      </c>
      <c r="R28" s="7">
        <v>17.8</v>
      </c>
      <c r="S28" s="7">
        <v>153</v>
      </c>
      <c r="T28" s="16">
        <f t="shared" si="1"/>
        <v>18</v>
      </c>
      <c r="U28" s="208">
        <v>138</v>
      </c>
      <c r="V28" s="16">
        <f t="shared" si="2"/>
        <v>2484</v>
      </c>
      <c r="W28" s="7">
        <v>3</v>
      </c>
      <c r="X28" s="15" t="s">
        <v>46</v>
      </c>
      <c r="Y28" s="216" t="s">
        <v>86</v>
      </c>
      <c r="Z28" s="216" t="s">
        <v>88</v>
      </c>
      <c r="AA28" s="216" t="s">
        <v>55</v>
      </c>
      <c r="AB28" s="39" t="s">
        <v>340</v>
      </c>
      <c r="AP28" s="27"/>
      <c r="AR28" s="23"/>
    </row>
    <row r="29" spans="1:48" x14ac:dyDescent="0.15">
      <c r="A29" s="15" t="s">
        <v>337</v>
      </c>
      <c r="B29" s="15" t="s">
        <v>338</v>
      </c>
      <c r="C29" s="15">
        <v>2018</v>
      </c>
      <c r="D29" s="37" t="s">
        <v>342</v>
      </c>
      <c r="E29" s="7" t="s">
        <v>131</v>
      </c>
      <c r="F29" s="7" t="s">
        <v>145</v>
      </c>
      <c r="G29" s="7" t="s">
        <v>36</v>
      </c>
      <c r="H29" s="15" t="s">
        <v>165</v>
      </c>
      <c r="I29" s="208" t="s">
        <v>155</v>
      </c>
      <c r="J29" s="15" t="s">
        <v>38</v>
      </c>
      <c r="K29" s="7" t="s">
        <v>156</v>
      </c>
      <c r="L29" s="7">
        <v>1</v>
      </c>
      <c r="N29" s="7">
        <v>1</v>
      </c>
      <c r="O29" s="7">
        <v>0.5</v>
      </c>
      <c r="P29" s="7">
        <v>0.55000000000000004</v>
      </c>
      <c r="Q29" s="52">
        <f t="shared" si="0"/>
        <v>0.52500000000000002</v>
      </c>
      <c r="R29" s="7">
        <v>15.6</v>
      </c>
      <c r="S29" s="7">
        <v>128</v>
      </c>
      <c r="T29" s="16">
        <f t="shared" si="1"/>
        <v>27</v>
      </c>
      <c r="U29" s="7">
        <v>149</v>
      </c>
      <c r="V29" s="16">
        <f t="shared" si="2"/>
        <v>4023</v>
      </c>
      <c r="W29" s="7">
        <v>6</v>
      </c>
      <c r="X29" s="15" t="s">
        <v>46</v>
      </c>
      <c r="Y29" s="216" t="s">
        <v>86</v>
      </c>
      <c r="Z29" s="216" t="s">
        <v>88</v>
      </c>
      <c r="AA29" s="216" t="s">
        <v>55</v>
      </c>
      <c r="AB29" s="39" t="s">
        <v>340</v>
      </c>
      <c r="AP29" s="27"/>
      <c r="AR29" s="27"/>
      <c r="AV29" s="28"/>
    </row>
    <row r="30" spans="1:48" x14ac:dyDescent="0.15">
      <c r="A30" s="15" t="s">
        <v>337</v>
      </c>
      <c r="B30" s="15" t="s">
        <v>338</v>
      </c>
      <c r="C30" s="15">
        <v>2018</v>
      </c>
      <c r="D30" s="37" t="s">
        <v>342</v>
      </c>
      <c r="E30" s="7" t="s">
        <v>131</v>
      </c>
      <c r="F30" s="7" t="s">
        <v>145</v>
      </c>
      <c r="G30" s="7" t="s">
        <v>36</v>
      </c>
      <c r="H30" s="216" t="s">
        <v>165</v>
      </c>
      <c r="I30" s="208" t="s">
        <v>155</v>
      </c>
      <c r="J30" s="15" t="s">
        <v>38</v>
      </c>
      <c r="K30" s="7" t="s">
        <v>156</v>
      </c>
      <c r="L30" s="7">
        <v>2</v>
      </c>
      <c r="N30" s="7">
        <v>1</v>
      </c>
      <c r="O30" s="7">
        <v>0.5</v>
      </c>
      <c r="P30" s="7">
        <v>0.5</v>
      </c>
      <c r="Q30" s="52">
        <f t="shared" si="0"/>
        <v>0.5</v>
      </c>
      <c r="R30" s="7">
        <v>18.3</v>
      </c>
      <c r="S30" s="7">
        <v>132</v>
      </c>
      <c r="T30" s="16">
        <f t="shared" si="1"/>
        <v>25</v>
      </c>
      <c r="U30" s="208">
        <v>149</v>
      </c>
      <c r="V30" s="16">
        <f t="shared" si="2"/>
        <v>3725</v>
      </c>
      <c r="W30" s="7">
        <v>6</v>
      </c>
      <c r="X30" s="15" t="s">
        <v>46</v>
      </c>
      <c r="Y30" s="216" t="s">
        <v>86</v>
      </c>
      <c r="Z30" s="216" t="s">
        <v>88</v>
      </c>
      <c r="AA30" s="216" t="s">
        <v>55</v>
      </c>
      <c r="AB30" s="39" t="s">
        <v>340</v>
      </c>
      <c r="AP30" s="27"/>
      <c r="AR30" s="27"/>
    </row>
    <row r="31" spans="1:48" x14ac:dyDescent="0.15">
      <c r="A31" s="15" t="s">
        <v>337</v>
      </c>
      <c r="B31" s="15" t="s">
        <v>338</v>
      </c>
      <c r="C31" s="15">
        <v>2018</v>
      </c>
      <c r="D31" s="37" t="s">
        <v>342</v>
      </c>
      <c r="E31" s="7" t="s">
        <v>131</v>
      </c>
      <c r="F31" s="7" t="s">
        <v>145</v>
      </c>
      <c r="G31" s="7" t="s">
        <v>36</v>
      </c>
      <c r="H31" s="216" t="s">
        <v>165</v>
      </c>
      <c r="I31" s="208" t="s">
        <v>155</v>
      </c>
      <c r="J31" s="15" t="s">
        <v>38</v>
      </c>
      <c r="K31" s="7" t="s">
        <v>156</v>
      </c>
      <c r="L31" s="7">
        <v>3</v>
      </c>
      <c r="N31" s="7">
        <v>1</v>
      </c>
      <c r="O31" s="7">
        <v>0.55000000000000004</v>
      </c>
      <c r="P31" s="7">
        <v>0.5</v>
      </c>
      <c r="Q31" s="52">
        <f t="shared" si="0"/>
        <v>0.52500000000000002</v>
      </c>
      <c r="R31" s="7">
        <v>16.899999999999999</v>
      </c>
      <c r="S31" s="7">
        <v>127</v>
      </c>
      <c r="T31" s="16">
        <f t="shared" si="1"/>
        <v>27</v>
      </c>
      <c r="U31" s="208">
        <v>149</v>
      </c>
      <c r="V31" s="16">
        <f t="shared" si="2"/>
        <v>4023</v>
      </c>
      <c r="W31" s="7">
        <v>6</v>
      </c>
      <c r="X31" s="15" t="s">
        <v>46</v>
      </c>
      <c r="Y31" s="216" t="s">
        <v>86</v>
      </c>
      <c r="Z31" s="216" t="s">
        <v>88</v>
      </c>
      <c r="AA31" s="216" t="s">
        <v>55</v>
      </c>
      <c r="AB31" s="39" t="s">
        <v>340</v>
      </c>
      <c r="AP31" s="27"/>
      <c r="AR31" s="27"/>
    </row>
    <row r="32" spans="1:48" x14ac:dyDescent="0.15">
      <c r="A32" s="15" t="s">
        <v>337</v>
      </c>
      <c r="B32" s="15" t="s">
        <v>338</v>
      </c>
      <c r="C32" s="15">
        <v>2018</v>
      </c>
      <c r="D32" s="37" t="s">
        <v>342</v>
      </c>
      <c r="E32" s="7" t="s">
        <v>139</v>
      </c>
      <c r="F32" s="7" t="s">
        <v>146</v>
      </c>
      <c r="G32" s="7" t="s">
        <v>36</v>
      </c>
      <c r="H32" s="15" t="s">
        <v>157</v>
      </c>
      <c r="I32" s="208" t="s">
        <v>155</v>
      </c>
      <c r="J32" s="15" t="s">
        <v>38</v>
      </c>
      <c r="K32" s="7" t="s">
        <v>156</v>
      </c>
      <c r="L32" s="7">
        <v>1</v>
      </c>
      <c r="N32" s="7">
        <v>1</v>
      </c>
      <c r="O32" s="7">
        <v>0.65</v>
      </c>
      <c r="P32" s="7">
        <v>0.7</v>
      </c>
      <c r="Q32" s="52">
        <f t="shared" si="0"/>
        <v>0.67500000000000004</v>
      </c>
      <c r="R32" s="7">
        <v>16</v>
      </c>
      <c r="S32" s="7">
        <v>148</v>
      </c>
      <c r="T32" s="16">
        <f t="shared" si="1"/>
        <v>22</v>
      </c>
      <c r="U32" s="7">
        <v>100</v>
      </c>
      <c r="V32" s="16">
        <f t="shared" si="2"/>
        <v>2200</v>
      </c>
      <c r="W32" s="7">
        <v>6</v>
      </c>
      <c r="X32" s="15" t="s">
        <v>46</v>
      </c>
      <c r="Y32" s="216" t="s">
        <v>97</v>
      </c>
      <c r="Z32" s="216" t="s">
        <v>86</v>
      </c>
      <c r="AA32" s="216" t="s">
        <v>88</v>
      </c>
      <c r="AB32" s="39" t="s">
        <v>340</v>
      </c>
      <c r="AP32" s="28"/>
      <c r="AR32" s="28"/>
    </row>
    <row r="33" spans="1:44" x14ac:dyDescent="0.15">
      <c r="A33" s="15" t="s">
        <v>337</v>
      </c>
      <c r="B33" s="15" t="s">
        <v>338</v>
      </c>
      <c r="C33" s="15">
        <v>2018</v>
      </c>
      <c r="D33" s="37" t="s">
        <v>342</v>
      </c>
      <c r="E33" s="7" t="s">
        <v>139</v>
      </c>
      <c r="F33" s="7" t="s">
        <v>146</v>
      </c>
      <c r="G33" s="7" t="s">
        <v>36</v>
      </c>
      <c r="H33" s="216" t="s">
        <v>157</v>
      </c>
      <c r="I33" s="208" t="s">
        <v>155</v>
      </c>
      <c r="J33" s="15" t="s">
        <v>38</v>
      </c>
      <c r="K33" s="7" t="s">
        <v>156</v>
      </c>
      <c r="L33" s="7">
        <v>2</v>
      </c>
      <c r="N33" s="7">
        <v>1</v>
      </c>
      <c r="O33" s="7">
        <v>0.5</v>
      </c>
      <c r="P33" s="7">
        <v>0.5</v>
      </c>
      <c r="Q33" s="52">
        <f t="shared" si="0"/>
        <v>0.5</v>
      </c>
      <c r="R33" s="7">
        <v>14.3</v>
      </c>
      <c r="S33" s="7">
        <v>141</v>
      </c>
      <c r="T33" s="16">
        <f t="shared" si="1"/>
        <v>22</v>
      </c>
      <c r="U33" s="208">
        <v>100</v>
      </c>
      <c r="V33" s="16">
        <f t="shared" si="2"/>
        <v>2200</v>
      </c>
      <c r="W33" s="7">
        <v>6</v>
      </c>
      <c r="X33" s="15" t="s">
        <v>46</v>
      </c>
      <c r="Y33" s="216" t="s">
        <v>97</v>
      </c>
      <c r="Z33" s="216" t="s">
        <v>86</v>
      </c>
      <c r="AA33" s="216" t="s">
        <v>88</v>
      </c>
      <c r="AB33" s="39" t="s">
        <v>340</v>
      </c>
    </row>
    <row r="34" spans="1:44" x14ac:dyDescent="0.15">
      <c r="A34" s="15" t="s">
        <v>337</v>
      </c>
      <c r="B34" s="15" t="s">
        <v>338</v>
      </c>
      <c r="C34" s="15">
        <v>2018</v>
      </c>
      <c r="D34" s="37" t="s">
        <v>342</v>
      </c>
      <c r="E34" s="7" t="s">
        <v>139</v>
      </c>
      <c r="F34" s="7" t="s">
        <v>146</v>
      </c>
      <c r="G34" s="7" t="s">
        <v>36</v>
      </c>
      <c r="H34" s="216" t="s">
        <v>157</v>
      </c>
      <c r="I34" s="208" t="s">
        <v>155</v>
      </c>
      <c r="J34" s="15" t="s">
        <v>38</v>
      </c>
      <c r="K34" s="7" t="s">
        <v>156</v>
      </c>
      <c r="L34" s="7">
        <v>3</v>
      </c>
      <c r="N34" s="7">
        <v>1</v>
      </c>
      <c r="O34" s="7">
        <v>0.5</v>
      </c>
      <c r="P34" s="7">
        <v>0.55000000000000004</v>
      </c>
      <c r="Q34" s="52">
        <f t="shared" si="0"/>
        <v>0.52500000000000002</v>
      </c>
      <c r="R34" s="7">
        <v>14.7</v>
      </c>
      <c r="S34" s="7">
        <v>134</v>
      </c>
      <c r="T34" s="16">
        <f t="shared" si="1"/>
        <v>25</v>
      </c>
      <c r="U34" s="208">
        <v>100</v>
      </c>
      <c r="V34" s="16">
        <f t="shared" si="2"/>
        <v>2500</v>
      </c>
      <c r="W34" s="7">
        <v>6</v>
      </c>
      <c r="X34" s="15" t="s">
        <v>46</v>
      </c>
      <c r="Y34" s="216" t="s">
        <v>97</v>
      </c>
      <c r="Z34" s="216" t="s">
        <v>86</v>
      </c>
      <c r="AA34" s="216" t="s">
        <v>88</v>
      </c>
      <c r="AB34" s="39" t="s">
        <v>340</v>
      </c>
    </row>
    <row r="35" spans="1:44" x14ac:dyDescent="0.15">
      <c r="A35" s="15" t="s">
        <v>337</v>
      </c>
      <c r="B35" s="15" t="s">
        <v>338</v>
      </c>
      <c r="C35" s="15">
        <v>2018</v>
      </c>
      <c r="D35" s="37" t="s">
        <v>342</v>
      </c>
      <c r="E35" s="7" t="s">
        <v>139</v>
      </c>
      <c r="F35" s="7" t="s">
        <v>146</v>
      </c>
      <c r="G35" s="7" t="s">
        <v>36</v>
      </c>
      <c r="H35" s="216" t="s">
        <v>165</v>
      </c>
      <c r="I35" s="208" t="s">
        <v>155</v>
      </c>
      <c r="J35" s="15" t="s">
        <v>38</v>
      </c>
      <c r="K35" s="7" t="s">
        <v>156</v>
      </c>
      <c r="L35" s="7">
        <v>1</v>
      </c>
      <c r="N35" s="7">
        <v>1</v>
      </c>
      <c r="O35" s="7">
        <v>0.5</v>
      </c>
      <c r="P35" s="7">
        <v>0.5</v>
      </c>
      <c r="Q35" s="52">
        <f t="shared" si="0"/>
        <v>0.5</v>
      </c>
      <c r="R35" s="7">
        <v>18.8</v>
      </c>
      <c r="S35" s="7">
        <v>159</v>
      </c>
      <c r="T35" s="16">
        <f t="shared" si="1"/>
        <v>18</v>
      </c>
      <c r="U35" s="7">
        <v>171</v>
      </c>
      <c r="V35" s="16">
        <f t="shared" si="2"/>
        <v>3078</v>
      </c>
      <c r="W35" s="7">
        <v>10</v>
      </c>
      <c r="X35" s="15" t="s">
        <v>46</v>
      </c>
      <c r="Y35" s="216" t="s">
        <v>97</v>
      </c>
      <c r="Z35" s="216" t="s">
        <v>86</v>
      </c>
      <c r="AA35" s="216" t="s">
        <v>88</v>
      </c>
      <c r="AB35" s="39" t="s">
        <v>340</v>
      </c>
      <c r="AP35" s="28"/>
      <c r="AR35" s="28"/>
    </row>
    <row r="36" spans="1:44" x14ac:dyDescent="0.15">
      <c r="A36" s="15" t="s">
        <v>337</v>
      </c>
      <c r="B36" s="15" t="s">
        <v>338</v>
      </c>
      <c r="C36" s="15">
        <v>2018</v>
      </c>
      <c r="D36" s="37" t="s">
        <v>342</v>
      </c>
      <c r="E36" s="7" t="s">
        <v>139</v>
      </c>
      <c r="F36" s="7" t="s">
        <v>146</v>
      </c>
      <c r="G36" s="7" t="s">
        <v>36</v>
      </c>
      <c r="H36" s="216" t="s">
        <v>165</v>
      </c>
      <c r="I36" s="208" t="s">
        <v>155</v>
      </c>
      <c r="J36" s="15" t="s">
        <v>38</v>
      </c>
      <c r="K36" s="7" t="s">
        <v>156</v>
      </c>
      <c r="L36" s="7">
        <v>2</v>
      </c>
      <c r="N36" s="208">
        <v>1</v>
      </c>
      <c r="O36" s="7">
        <v>0.5</v>
      </c>
      <c r="P36" s="7">
        <v>0.5</v>
      </c>
      <c r="Q36" s="52">
        <f t="shared" si="0"/>
        <v>0.5</v>
      </c>
      <c r="R36" s="7">
        <v>16</v>
      </c>
      <c r="S36" s="7">
        <v>168</v>
      </c>
      <c r="T36" s="16">
        <f t="shared" si="1"/>
        <v>18</v>
      </c>
      <c r="U36" s="208">
        <v>171</v>
      </c>
      <c r="V36" s="16">
        <f t="shared" si="2"/>
        <v>3078</v>
      </c>
      <c r="W36" s="7">
        <v>10</v>
      </c>
      <c r="X36" s="15" t="s">
        <v>46</v>
      </c>
      <c r="Y36" s="216" t="s">
        <v>97</v>
      </c>
      <c r="Z36" s="216" t="s">
        <v>86</v>
      </c>
      <c r="AA36" s="216" t="s">
        <v>88</v>
      </c>
      <c r="AB36" s="39" t="s">
        <v>340</v>
      </c>
    </row>
    <row r="37" spans="1:44" x14ac:dyDescent="0.15">
      <c r="A37" s="15" t="s">
        <v>337</v>
      </c>
      <c r="B37" s="15" t="s">
        <v>338</v>
      </c>
      <c r="C37" s="15">
        <v>2018</v>
      </c>
      <c r="D37" s="37" t="s">
        <v>342</v>
      </c>
      <c r="E37" s="7" t="s">
        <v>139</v>
      </c>
      <c r="F37" s="7" t="s">
        <v>146</v>
      </c>
      <c r="G37" s="7" t="s">
        <v>36</v>
      </c>
      <c r="H37" s="216" t="s">
        <v>165</v>
      </c>
      <c r="I37" s="208" t="s">
        <v>155</v>
      </c>
      <c r="J37" s="15" t="s">
        <v>38</v>
      </c>
      <c r="K37" s="7" t="s">
        <v>156</v>
      </c>
      <c r="L37" s="7">
        <v>3</v>
      </c>
      <c r="N37" s="208">
        <v>1</v>
      </c>
      <c r="O37" s="34">
        <v>0.5</v>
      </c>
      <c r="P37" s="34">
        <v>0.5</v>
      </c>
      <c r="Q37" s="52">
        <f t="shared" si="0"/>
        <v>0.5</v>
      </c>
      <c r="R37" s="7">
        <v>16.8</v>
      </c>
      <c r="S37" s="7">
        <v>153</v>
      </c>
      <c r="T37" s="16">
        <f t="shared" si="1"/>
        <v>18</v>
      </c>
      <c r="U37" s="208">
        <v>171</v>
      </c>
      <c r="V37" s="16">
        <f t="shared" si="2"/>
        <v>3078</v>
      </c>
      <c r="W37" s="7">
        <v>10</v>
      </c>
      <c r="X37" s="15" t="s">
        <v>46</v>
      </c>
      <c r="Y37" s="216" t="s">
        <v>97</v>
      </c>
      <c r="Z37" s="216" t="s">
        <v>86</v>
      </c>
      <c r="AA37" s="216" t="s">
        <v>88</v>
      </c>
      <c r="AB37" s="39" t="s">
        <v>340</v>
      </c>
    </row>
    <row r="38" spans="1:44" x14ac:dyDescent="0.15">
      <c r="A38" s="15" t="s">
        <v>337</v>
      </c>
      <c r="B38" s="15" t="s">
        <v>338</v>
      </c>
      <c r="C38" s="15">
        <v>2018</v>
      </c>
      <c r="D38" s="37" t="s">
        <v>342</v>
      </c>
      <c r="E38" s="7" t="s">
        <v>140</v>
      </c>
      <c r="F38" s="7" t="s">
        <v>147</v>
      </c>
      <c r="G38" s="7" t="s">
        <v>36</v>
      </c>
      <c r="H38" s="216" t="s">
        <v>157</v>
      </c>
      <c r="I38" s="7" t="s">
        <v>155</v>
      </c>
      <c r="J38" s="216" t="s">
        <v>38</v>
      </c>
      <c r="K38" s="208" t="s">
        <v>156</v>
      </c>
      <c r="L38" s="7">
        <v>1</v>
      </c>
      <c r="N38" s="208">
        <v>1</v>
      </c>
      <c r="O38" s="34">
        <v>0.5</v>
      </c>
      <c r="P38" s="34">
        <v>0.5</v>
      </c>
      <c r="Q38" s="52">
        <f t="shared" si="0"/>
        <v>0.5</v>
      </c>
      <c r="R38" s="7">
        <v>16.2</v>
      </c>
      <c r="S38" s="7">
        <v>175</v>
      </c>
      <c r="T38" s="16">
        <f t="shared" si="1"/>
        <v>18</v>
      </c>
      <c r="U38" s="7">
        <v>99</v>
      </c>
      <c r="V38" s="16">
        <f t="shared" si="2"/>
        <v>1782</v>
      </c>
      <c r="W38" s="7">
        <v>4</v>
      </c>
      <c r="X38" s="15" t="s">
        <v>46</v>
      </c>
      <c r="Y38" s="216" t="s">
        <v>97</v>
      </c>
      <c r="Z38" s="216" t="s">
        <v>86</v>
      </c>
      <c r="AA38" s="216" t="s">
        <v>69</v>
      </c>
      <c r="AB38" s="39" t="s">
        <v>340</v>
      </c>
    </row>
    <row r="39" spans="1:44" x14ac:dyDescent="0.15">
      <c r="A39" s="15" t="s">
        <v>337</v>
      </c>
      <c r="B39" s="15" t="s">
        <v>338</v>
      </c>
      <c r="C39" s="15">
        <v>2018</v>
      </c>
      <c r="D39" s="37" t="s">
        <v>342</v>
      </c>
      <c r="E39" s="7" t="s">
        <v>140</v>
      </c>
      <c r="F39" s="7" t="s">
        <v>147</v>
      </c>
      <c r="G39" s="7" t="s">
        <v>36</v>
      </c>
      <c r="H39" s="216" t="s">
        <v>157</v>
      </c>
      <c r="I39" s="208" t="s">
        <v>155</v>
      </c>
      <c r="J39" s="216" t="s">
        <v>38</v>
      </c>
      <c r="K39" s="208" t="s">
        <v>156</v>
      </c>
      <c r="L39" s="7">
        <v>2</v>
      </c>
      <c r="N39" s="208">
        <v>1</v>
      </c>
      <c r="O39" s="7">
        <v>0.6</v>
      </c>
      <c r="P39" s="7">
        <v>0.55000000000000004</v>
      </c>
      <c r="Q39" s="52">
        <f t="shared" si="0"/>
        <v>0.57499999999999996</v>
      </c>
      <c r="R39" s="34">
        <v>15.8</v>
      </c>
      <c r="S39" s="7">
        <v>160</v>
      </c>
      <c r="T39" s="16">
        <f t="shared" si="1"/>
        <v>18</v>
      </c>
      <c r="U39" s="208">
        <v>99</v>
      </c>
      <c r="V39" s="16">
        <f t="shared" si="2"/>
        <v>1782</v>
      </c>
      <c r="W39" s="7">
        <v>4</v>
      </c>
      <c r="X39" s="15" t="s">
        <v>46</v>
      </c>
      <c r="Y39" s="216" t="s">
        <v>97</v>
      </c>
      <c r="Z39" s="216" t="s">
        <v>86</v>
      </c>
      <c r="AA39" s="216" t="s">
        <v>69</v>
      </c>
      <c r="AB39" s="39" t="s">
        <v>340</v>
      </c>
    </row>
    <row r="40" spans="1:44" x14ac:dyDescent="0.15">
      <c r="A40" s="15" t="s">
        <v>337</v>
      </c>
      <c r="B40" s="15" t="s">
        <v>338</v>
      </c>
      <c r="C40" s="15">
        <v>2018</v>
      </c>
      <c r="D40" s="37" t="s">
        <v>342</v>
      </c>
      <c r="E40" s="7" t="s">
        <v>140</v>
      </c>
      <c r="F40" s="7" t="s">
        <v>147</v>
      </c>
      <c r="G40" s="7" t="s">
        <v>36</v>
      </c>
      <c r="H40" s="216" t="s">
        <v>157</v>
      </c>
      <c r="I40" s="208" t="s">
        <v>155</v>
      </c>
      <c r="J40" s="216" t="s">
        <v>38</v>
      </c>
      <c r="K40" s="208" t="s">
        <v>156</v>
      </c>
      <c r="L40" s="7">
        <v>3</v>
      </c>
      <c r="N40" s="208">
        <v>1</v>
      </c>
      <c r="O40" s="7">
        <v>0.5</v>
      </c>
      <c r="P40" s="7">
        <v>0.5</v>
      </c>
      <c r="Q40" s="52">
        <f t="shared" si="0"/>
        <v>0.5</v>
      </c>
      <c r="R40" s="7">
        <v>14</v>
      </c>
      <c r="S40" s="7">
        <v>177</v>
      </c>
      <c r="T40" s="16">
        <f t="shared" si="1"/>
        <v>18</v>
      </c>
      <c r="U40" s="208">
        <v>99</v>
      </c>
      <c r="V40" s="16">
        <f t="shared" si="2"/>
        <v>1782</v>
      </c>
      <c r="W40" s="7">
        <v>4</v>
      </c>
      <c r="X40" s="15" t="s">
        <v>46</v>
      </c>
      <c r="Y40" s="216" t="s">
        <v>97</v>
      </c>
      <c r="Z40" s="216" t="s">
        <v>86</v>
      </c>
      <c r="AA40" s="216" t="s">
        <v>69</v>
      </c>
      <c r="AB40" s="39" t="s">
        <v>340</v>
      </c>
    </row>
    <row r="41" spans="1:44" ht="12.75" customHeight="1" x14ac:dyDescent="0.15">
      <c r="A41" s="15" t="s">
        <v>337</v>
      </c>
      <c r="B41" s="15" t="s">
        <v>338</v>
      </c>
      <c r="C41" s="15">
        <v>2018</v>
      </c>
      <c r="D41" s="37" t="s">
        <v>342</v>
      </c>
      <c r="E41" s="7" t="s">
        <v>140</v>
      </c>
      <c r="F41" s="7" t="s">
        <v>147</v>
      </c>
      <c r="G41" s="7" t="s">
        <v>36</v>
      </c>
      <c r="H41" s="15" t="s">
        <v>165</v>
      </c>
      <c r="I41" s="7" t="s">
        <v>155</v>
      </c>
      <c r="J41" s="15" t="s">
        <v>38</v>
      </c>
      <c r="K41" s="7" t="s">
        <v>156</v>
      </c>
      <c r="L41" s="7">
        <v>1</v>
      </c>
      <c r="N41" s="208">
        <v>1</v>
      </c>
      <c r="O41" s="7">
        <v>0.5</v>
      </c>
      <c r="P41" s="7">
        <v>0.5</v>
      </c>
      <c r="Q41" s="52">
        <f t="shared" si="0"/>
        <v>0.5</v>
      </c>
      <c r="R41" s="7">
        <v>13.9</v>
      </c>
      <c r="S41" s="7">
        <v>153</v>
      </c>
      <c r="T41" s="16">
        <f t="shared" si="1"/>
        <v>18</v>
      </c>
      <c r="U41" s="7">
        <v>129</v>
      </c>
      <c r="V41" s="16">
        <f t="shared" si="2"/>
        <v>2322</v>
      </c>
      <c r="W41" s="7">
        <v>3</v>
      </c>
      <c r="X41" s="15" t="s">
        <v>46</v>
      </c>
      <c r="Y41" s="216" t="s">
        <v>97</v>
      </c>
      <c r="Z41" s="216" t="s">
        <v>86</v>
      </c>
      <c r="AA41" s="216" t="s">
        <v>69</v>
      </c>
      <c r="AB41" s="39" t="s">
        <v>340</v>
      </c>
    </row>
    <row r="42" spans="1:44" x14ac:dyDescent="0.15">
      <c r="A42" s="15" t="s">
        <v>337</v>
      </c>
      <c r="B42" s="15" t="s">
        <v>338</v>
      </c>
      <c r="C42" s="15">
        <v>2018</v>
      </c>
      <c r="D42" s="37" t="s">
        <v>342</v>
      </c>
      <c r="E42" s="7" t="s">
        <v>140</v>
      </c>
      <c r="F42" s="7" t="s">
        <v>147</v>
      </c>
      <c r="G42" s="7" t="s">
        <v>36</v>
      </c>
      <c r="H42" s="216" t="s">
        <v>165</v>
      </c>
      <c r="I42" s="208" t="s">
        <v>155</v>
      </c>
      <c r="J42" s="15" t="s">
        <v>38</v>
      </c>
      <c r="K42" s="7" t="s">
        <v>156</v>
      </c>
      <c r="L42" s="7">
        <v>2</v>
      </c>
      <c r="N42" s="208">
        <v>1</v>
      </c>
      <c r="O42" s="7">
        <v>0.5</v>
      </c>
      <c r="P42" s="7">
        <v>0.5</v>
      </c>
      <c r="Q42" s="52">
        <f t="shared" si="0"/>
        <v>0.5</v>
      </c>
      <c r="R42" s="7">
        <v>14</v>
      </c>
      <c r="S42" s="7">
        <v>153</v>
      </c>
      <c r="T42" s="16">
        <f t="shared" si="1"/>
        <v>18</v>
      </c>
      <c r="U42" s="208">
        <v>129</v>
      </c>
      <c r="V42" s="16">
        <f t="shared" si="2"/>
        <v>2322</v>
      </c>
      <c r="W42" s="7">
        <v>3</v>
      </c>
      <c r="X42" s="15" t="s">
        <v>46</v>
      </c>
      <c r="Y42" s="216" t="s">
        <v>97</v>
      </c>
      <c r="Z42" s="216" t="s">
        <v>86</v>
      </c>
      <c r="AA42" s="216" t="s">
        <v>69</v>
      </c>
      <c r="AB42" s="39" t="s">
        <v>340</v>
      </c>
    </row>
    <row r="43" spans="1:44" x14ac:dyDescent="0.15">
      <c r="A43" s="15" t="s">
        <v>337</v>
      </c>
      <c r="B43" s="15" t="s">
        <v>338</v>
      </c>
      <c r="C43" s="15">
        <v>2018</v>
      </c>
      <c r="D43" s="37" t="s">
        <v>342</v>
      </c>
      <c r="E43" s="7" t="s">
        <v>140</v>
      </c>
      <c r="F43" s="7" t="s">
        <v>147</v>
      </c>
      <c r="G43" s="7" t="s">
        <v>36</v>
      </c>
      <c r="H43" s="216" t="s">
        <v>165</v>
      </c>
      <c r="I43" s="208" t="s">
        <v>155</v>
      </c>
      <c r="J43" s="15" t="s">
        <v>38</v>
      </c>
      <c r="K43" s="7" t="s">
        <v>156</v>
      </c>
      <c r="L43" s="7">
        <v>3</v>
      </c>
      <c r="N43" s="208">
        <v>1</v>
      </c>
      <c r="O43" s="7">
        <v>0.55000000000000004</v>
      </c>
      <c r="P43" s="7">
        <v>0.5</v>
      </c>
      <c r="Q43" s="52">
        <f t="shared" si="0"/>
        <v>0.52500000000000002</v>
      </c>
      <c r="R43" s="7">
        <v>15.2</v>
      </c>
      <c r="S43" s="7">
        <v>173</v>
      </c>
      <c r="T43" s="16">
        <f t="shared" si="1"/>
        <v>18</v>
      </c>
      <c r="U43" s="208">
        <v>129</v>
      </c>
      <c r="V43" s="16">
        <f t="shared" si="2"/>
        <v>2322</v>
      </c>
      <c r="W43" s="7">
        <v>3</v>
      </c>
      <c r="X43" s="15" t="s">
        <v>46</v>
      </c>
      <c r="Y43" s="216" t="s">
        <v>97</v>
      </c>
      <c r="Z43" s="216" t="s">
        <v>86</v>
      </c>
      <c r="AA43" s="216" t="s">
        <v>69</v>
      </c>
      <c r="AB43" s="39" t="s">
        <v>340</v>
      </c>
    </row>
    <row r="44" spans="1:44" x14ac:dyDescent="0.15">
      <c r="A44" s="15" t="s">
        <v>337</v>
      </c>
      <c r="B44" s="15" t="s">
        <v>338</v>
      </c>
      <c r="C44" s="15">
        <v>2018</v>
      </c>
      <c r="D44" s="37" t="s">
        <v>342</v>
      </c>
      <c r="E44" s="7" t="s">
        <v>130</v>
      </c>
      <c r="F44" s="7" t="s">
        <v>148</v>
      </c>
      <c r="G44" s="7" t="s">
        <v>36</v>
      </c>
      <c r="H44" s="15" t="s">
        <v>157</v>
      </c>
      <c r="I44" s="208" t="s">
        <v>155</v>
      </c>
      <c r="J44" s="15" t="s">
        <v>38</v>
      </c>
      <c r="K44" s="7" t="s">
        <v>156</v>
      </c>
      <c r="L44" s="7">
        <v>1</v>
      </c>
      <c r="N44" s="208">
        <v>1</v>
      </c>
      <c r="O44" s="7">
        <v>0.55000000000000004</v>
      </c>
      <c r="P44" s="7">
        <v>0.65</v>
      </c>
      <c r="Q44" s="52">
        <f t="shared" si="0"/>
        <v>0.60000000000000009</v>
      </c>
      <c r="R44" s="7">
        <v>15.1</v>
      </c>
      <c r="S44" s="7">
        <v>118</v>
      </c>
      <c r="T44" s="16">
        <f t="shared" si="1"/>
        <v>30</v>
      </c>
      <c r="U44" s="7">
        <v>105</v>
      </c>
      <c r="V44" s="16">
        <f t="shared" si="2"/>
        <v>3150</v>
      </c>
      <c r="W44" s="7">
        <v>3</v>
      </c>
      <c r="X44" s="15" t="s">
        <v>46</v>
      </c>
      <c r="Y44" s="216" t="s">
        <v>88</v>
      </c>
      <c r="Z44" s="216" t="s">
        <v>86</v>
      </c>
      <c r="AA44" s="216" t="s">
        <v>78</v>
      </c>
      <c r="AB44" s="39" t="s">
        <v>340</v>
      </c>
    </row>
    <row r="45" spans="1:44" x14ac:dyDescent="0.15">
      <c r="A45" s="15" t="s">
        <v>337</v>
      </c>
      <c r="B45" s="15" t="s">
        <v>338</v>
      </c>
      <c r="C45" s="15">
        <v>2018</v>
      </c>
      <c r="D45" s="37" t="s">
        <v>342</v>
      </c>
      <c r="E45" s="7" t="s">
        <v>130</v>
      </c>
      <c r="F45" s="7" t="s">
        <v>148</v>
      </c>
      <c r="G45" s="7" t="s">
        <v>36</v>
      </c>
      <c r="H45" s="216" t="s">
        <v>157</v>
      </c>
      <c r="I45" s="208" t="s">
        <v>155</v>
      </c>
      <c r="J45" s="15" t="s">
        <v>38</v>
      </c>
      <c r="K45" s="7" t="s">
        <v>156</v>
      </c>
      <c r="L45" s="7">
        <v>2</v>
      </c>
      <c r="N45" s="208">
        <v>1</v>
      </c>
      <c r="O45" s="7">
        <v>0.75</v>
      </c>
      <c r="P45" s="7">
        <v>0.85</v>
      </c>
      <c r="Q45" s="52">
        <f t="shared" si="0"/>
        <v>0.8</v>
      </c>
      <c r="R45" s="7">
        <v>16.2</v>
      </c>
      <c r="S45" s="7">
        <v>124</v>
      </c>
      <c r="T45" s="16">
        <f t="shared" si="1"/>
        <v>27</v>
      </c>
      <c r="U45" s="208">
        <v>105</v>
      </c>
      <c r="V45" s="16">
        <f t="shared" si="2"/>
        <v>2835</v>
      </c>
      <c r="W45" s="7">
        <v>3</v>
      </c>
      <c r="X45" s="15" t="s">
        <v>46</v>
      </c>
      <c r="Y45" s="216" t="s">
        <v>88</v>
      </c>
      <c r="Z45" s="216" t="s">
        <v>86</v>
      </c>
      <c r="AA45" s="216" t="s">
        <v>78</v>
      </c>
      <c r="AB45" s="39" t="s">
        <v>340</v>
      </c>
    </row>
    <row r="46" spans="1:44" x14ac:dyDescent="0.15">
      <c r="A46" s="15" t="s">
        <v>337</v>
      </c>
      <c r="B46" s="15" t="s">
        <v>338</v>
      </c>
      <c r="C46" s="15">
        <v>2018</v>
      </c>
      <c r="D46" s="37" t="s">
        <v>342</v>
      </c>
      <c r="E46" s="7" t="s">
        <v>130</v>
      </c>
      <c r="F46" s="7" t="s">
        <v>148</v>
      </c>
      <c r="G46" s="7" t="s">
        <v>36</v>
      </c>
      <c r="H46" s="216" t="s">
        <v>157</v>
      </c>
      <c r="I46" s="208" t="s">
        <v>155</v>
      </c>
      <c r="J46" s="15" t="s">
        <v>38</v>
      </c>
      <c r="K46" s="7" t="s">
        <v>156</v>
      </c>
      <c r="L46" s="7">
        <v>3</v>
      </c>
      <c r="N46" s="7">
        <v>1</v>
      </c>
      <c r="O46" s="7">
        <v>0.55000000000000004</v>
      </c>
      <c r="P46" s="34">
        <v>0.5</v>
      </c>
      <c r="Q46" s="52">
        <f t="shared" si="0"/>
        <v>0.52500000000000002</v>
      </c>
      <c r="R46" s="7">
        <v>12.9</v>
      </c>
      <c r="S46" s="7">
        <v>121</v>
      </c>
      <c r="T46" s="16">
        <f t="shared" si="1"/>
        <v>27</v>
      </c>
      <c r="U46" s="208">
        <v>105</v>
      </c>
      <c r="V46" s="16">
        <f t="shared" si="2"/>
        <v>2835</v>
      </c>
      <c r="W46" s="7">
        <v>3</v>
      </c>
      <c r="X46" s="15" t="s">
        <v>46</v>
      </c>
      <c r="Y46" s="216" t="s">
        <v>88</v>
      </c>
      <c r="Z46" s="216" t="s">
        <v>86</v>
      </c>
      <c r="AA46" s="216" t="s">
        <v>78</v>
      </c>
      <c r="AB46" s="39" t="s">
        <v>340</v>
      </c>
    </row>
    <row r="47" spans="1:44" x14ac:dyDescent="0.15">
      <c r="A47" s="15" t="s">
        <v>337</v>
      </c>
      <c r="B47" s="15" t="s">
        <v>338</v>
      </c>
      <c r="C47" s="15">
        <v>2018</v>
      </c>
      <c r="D47" s="37" t="s">
        <v>342</v>
      </c>
      <c r="E47" s="7" t="s">
        <v>130</v>
      </c>
      <c r="F47" s="7" t="s">
        <v>148</v>
      </c>
      <c r="G47" s="7" t="s">
        <v>36</v>
      </c>
      <c r="H47" s="15" t="s">
        <v>165</v>
      </c>
      <c r="I47" s="208" t="s">
        <v>155</v>
      </c>
      <c r="J47" s="15" t="s">
        <v>38</v>
      </c>
      <c r="K47" s="7" t="s">
        <v>156</v>
      </c>
      <c r="L47" s="7">
        <v>1</v>
      </c>
      <c r="N47" s="7">
        <v>1</v>
      </c>
      <c r="O47" s="7">
        <v>0.75</v>
      </c>
      <c r="P47" s="7">
        <v>0.65</v>
      </c>
      <c r="Q47" s="52">
        <f t="shared" si="0"/>
        <v>0.7</v>
      </c>
      <c r="R47" s="7">
        <v>18.3</v>
      </c>
      <c r="S47" s="7">
        <v>132</v>
      </c>
      <c r="T47" s="16">
        <f t="shared" si="1"/>
        <v>25</v>
      </c>
      <c r="U47" s="7">
        <v>145</v>
      </c>
      <c r="V47" s="16">
        <f t="shared" si="2"/>
        <v>3625</v>
      </c>
      <c r="W47" s="7">
        <v>5</v>
      </c>
      <c r="X47" s="15" t="s">
        <v>46</v>
      </c>
      <c r="Y47" s="216" t="s">
        <v>88</v>
      </c>
      <c r="Z47" s="216" t="s">
        <v>86</v>
      </c>
      <c r="AA47" s="216" t="s">
        <v>78</v>
      </c>
      <c r="AB47" s="39" t="s">
        <v>340</v>
      </c>
    </row>
    <row r="48" spans="1:44" x14ac:dyDescent="0.15">
      <c r="A48" s="15" t="s">
        <v>337</v>
      </c>
      <c r="B48" s="15" t="s">
        <v>338</v>
      </c>
      <c r="C48" s="15">
        <v>2018</v>
      </c>
      <c r="D48" s="37" t="s">
        <v>342</v>
      </c>
      <c r="E48" s="7" t="s">
        <v>130</v>
      </c>
      <c r="F48" s="7" t="s">
        <v>148</v>
      </c>
      <c r="G48" s="7" t="s">
        <v>36</v>
      </c>
      <c r="H48" s="216" t="s">
        <v>165</v>
      </c>
      <c r="I48" s="208" t="s">
        <v>155</v>
      </c>
      <c r="J48" s="15" t="s">
        <v>38</v>
      </c>
      <c r="K48" s="7" t="s">
        <v>156</v>
      </c>
      <c r="L48" s="7">
        <v>2</v>
      </c>
      <c r="N48" s="7">
        <v>1</v>
      </c>
      <c r="O48" s="7">
        <v>0.5</v>
      </c>
      <c r="P48" s="7">
        <v>0.5</v>
      </c>
      <c r="Q48" s="52">
        <f t="shared" si="0"/>
        <v>0.5</v>
      </c>
      <c r="R48" s="7">
        <v>17.2</v>
      </c>
      <c r="S48" s="7">
        <v>134</v>
      </c>
      <c r="T48" s="16">
        <f t="shared" si="1"/>
        <v>25</v>
      </c>
      <c r="U48" s="208">
        <v>145</v>
      </c>
      <c r="V48" s="16">
        <f t="shared" si="2"/>
        <v>3625</v>
      </c>
      <c r="W48" s="7">
        <v>5</v>
      </c>
      <c r="X48" s="15" t="s">
        <v>46</v>
      </c>
      <c r="Y48" s="216" t="s">
        <v>88</v>
      </c>
      <c r="Z48" s="216" t="s">
        <v>86</v>
      </c>
      <c r="AA48" s="216" t="s">
        <v>78</v>
      </c>
      <c r="AB48" s="39" t="s">
        <v>340</v>
      </c>
    </row>
    <row r="49" spans="1:29" x14ac:dyDescent="0.15">
      <c r="A49" s="15" t="s">
        <v>337</v>
      </c>
      <c r="B49" s="15" t="s">
        <v>338</v>
      </c>
      <c r="C49" s="15">
        <v>2018</v>
      </c>
      <c r="D49" s="37" t="s">
        <v>342</v>
      </c>
      <c r="E49" s="7" t="s">
        <v>130</v>
      </c>
      <c r="F49" s="7" t="s">
        <v>148</v>
      </c>
      <c r="G49" s="7" t="s">
        <v>36</v>
      </c>
      <c r="H49" s="216" t="s">
        <v>165</v>
      </c>
      <c r="I49" s="208" t="s">
        <v>155</v>
      </c>
      <c r="J49" s="15" t="s">
        <v>38</v>
      </c>
      <c r="K49" s="7" t="s">
        <v>156</v>
      </c>
      <c r="L49" s="7">
        <v>3</v>
      </c>
      <c r="N49" s="7">
        <v>1</v>
      </c>
      <c r="O49" s="7">
        <v>0.6</v>
      </c>
      <c r="P49" s="34">
        <v>0.65</v>
      </c>
      <c r="Q49" s="52">
        <f t="shared" si="0"/>
        <v>0.625</v>
      </c>
      <c r="R49" s="7">
        <v>15</v>
      </c>
      <c r="S49" s="7">
        <v>137</v>
      </c>
      <c r="T49" s="16">
        <f t="shared" si="1"/>
        <v>25</v>
      </c>
      <c r="U49" s="208">
        <v>145</v>
      </c>
      <c r="V49" s="16">
        <f t="shared" si="2"/>
        <v>3625</v>
      </c>
      <c r="W49" s="7">
        <v>5</v>
      </c>
      <c r="X49" s="15" t="s">
        <v>46</v>
      </c>
      <c r="Y49" s="216" t="s">
        <v>88</v>
      </c>
      <c r="Z49" s="216" t="s">
        <v>86</v>
      </c>
      <c r="AA49" s="216" t="s">
        <v>78</v>
      </c>
      <c r="AB49" s="39" t="s">
        <v>340</v>
      </c>
    </row>
    <row r="50" spans="1:29" x14ac:dyDescent="0.15">
      <c r="A50" s="15" t="s">
        <v>337</v>
      </c>
      <c r="B50" s="15" t="s">
        <v>338</v>
      </c>
      <c r="C50" s="15">
        <v>2018</v>
      </c>
      <c r="D50" s="37" t="s">
        <v>342</v>
      </c>
      <c r="E50" s="7" t="s">
        <v>132</v>
      </c>
      <c r="F50" s="7" t="s">
        <v>149</v>
      </c>
      <c r="G50" s="7" t="s">
        <v>36</v>
      </c>
      <c r="H50" s="15" t="s">
        <v>157</v>
      </c>
      <c r="I50" s="208" t="s">
        <v>155</v>
      </c>
      <c r="J50" s="15" t="s">
        <v>38</v>
      </c>
      <c r="K50" s="7" t="s">
        <v>156</v>
      </c>
      <c r="L50" s="7">
        <v>1</v>
      </c>
      <c r="N50" s="7">
        <v>1</v>
      </c>
      <c r="O50" s="7">
        <v>0.6</v>
      </c>
      <c r="P50" s="7">
        <v>0.6</v>
      </c>
      <c r="Q50" s="52">
        <f t="shared" si="0"/>
        <v>0.6</v>
      </c>
      <c r="R50" s="7">
        <v>14.5</v>
      </c>
      <c r="S50" s="7">
        <v>157</v>
      </c>
      <c r="T50" s="16">
        <f t="shared" si="1"/>
        <v>18</v>
      </c>
      <c r="U50" s="208">
        <v>97</v>
      </c>
      <c r="V50" s="16">
        <f t="shared" si="2"/>
        <v>1746</v>
      </c>
      <c r="W50" s="7">
        <v>9</v>
      </c>
      <c r="X50" s="15" t="s">
        <v>46</v>
      </c>
      <c r="Y50" s="216" t="s">
        <v>88</v>
      </c>
      <c r="Z50" s="216" t="s">
        <v>55</v>
      </c>
      <c r="AA50" s="216" t="s">
        <v>78</v>
      </c>
      <c r="AB50" s="39" t="s">
        <v>340</v>
      </c>
    </row>
    <row r="51" spans="1:29" x14ac:dyDescent="0.15">
      <c r="A51" s="15" t="s">
        <v>337</v>
      </c>
      <c r="B51" s="15" t="s">
        <v>338</v>
      </c>
      <c r="C51" s="15">
        <v>2018</v>
      </c>
      <c r="D51" s="37" t="s">
        <v>342</v>
      </c>
      <c r="E51" s="7" t="s">
        <v>132</v>
      </c>
      <c r="F51" s="7" t="s">
        <v>149</v>
      </c>
      <c r="G51" s="7" t="s">
        <v>36</v>
      </c>
      <c r="H51" s="216" t="s">
        <v>157</v>
      </c>
      <c r="I51" s="208" t="s">
        <v>155</v>
      </c>
      <c r="J51" s="15" t="s">
        <v>38</v>
      </c>
      <c r="K51" s="7" t="s">
        <v>156</v>
      </c>
      <c r="L51" s="7">
        <v>2</v>
      </c>
      <c r="N51" s="7">
        <v>1</v>
      </c>
      <c r="O51" s="7">
        <v>0.7</v>
      </c>
      <c r="P51" s="7">
        <v>0.75</v>
      </c>
      <c r="Q51" s="52">
        <f t="shared" si="0"/>
        <v>0.72499999999999998</v>
      </c>
      <c r="R51" s="7">
        <v>15.3</v>
      </c>
      <c r="S51" s="7">
        <v>170</v>
      </c>
      <c r="T51" s="16">
        <f t="shared" si="1"/>
        <v>18</v>
      </c>
      <c r="U51" s="208">
        <v>97</v>
      </c>
      <c r="V51" s="16">
        <f t="shared" si="2"/>
        <v>1746</v>
      </c>
      <c r="W51" s="7">
        <v>9</v>
      </c>
      <c r="X51" s="15" t="s">
        <v>46</v>
      </c>
      <c r="Y51" s="216" t="s">
        <v>88</v>
      </c>
      <c r="Z51" s="216" t="s">
        <v>55</v>
      </c>
      <c r="AA51" s="216" t="s">
        <v>78</v>
      </c>
      <c r="AB51" s="39" t="s">
        <v>340</v>
      </c>
    </row>
    <row r="52" spans="1:29" x14ac:dyDescent="0.15">
      <c r="A52" s="15" t="s">
        <v>337</v>
      </c>
      <c r="B52" s="15" t="s">
        <v>338</v>
      </c>
      <c r="C52" s="15">
        <v>2018</v>
      </c>
      <c r="D52" s="37" t="s">
        <v>342</v>
      </c>
      <c r="E52" s="7" t="s">
        <v>132</v>
      </c>
      <c r="F52" s="7" t="s">
        <v>149</v>
      </c>
      <c r="G52" s="7" t="s">
        <v>36</v>
      </c>
      <c r="H52" s="216" t="s">
        <v>157</v>
      </c>
      <c r="I52" s="208" t="s">
        <v>155</v>
      </c>
      <c r="J52" s="15" t="s">
        <v>38</v>
      </c>
      <c r="K52" s="7" t="s">
        <v>156</v>
      </c>
      <c r="L52" s="7">
        <v>3</v>
      </c>
      <c r="N52" s="7">
        <v>1</v>
      </c>
      <c r="O52" s="7">
        <v>0.7</v>
      </c>
      <c r="P52" s="7">
        <v>0.65</v>
      </c>
      <c r="Q52" s="52">
        <f t="shared" si="0"/>
        <v>0.67500000000000004</v>
      </c>
      <c r="R52" s="7">
        <v>14</v>
      </c>
      <c r="S52" s="7">
        <v>158</v>
      </c>
      <c r="T52" s="16">
        <f t="shared" si="1"/>
        <v>18</v>
      </c>
      <c r="U52" s="208">
        <v>97</v>
      </c>
      <c r="V52" s="16">
        <f t="shared" si="2"/>
        <v>1746</v>
      </c>
      <c r="W52" s="7">
        <v>9</v>
      </c>
      <c r="X52" s="15" t="s">
        <v>46</v>
      </c>
      <c r="Y52" s="216" t="s">
        <v>88</v>
      </c>
      <c r="Z52" s="216" t="s">
        <v>55</v>
      </c>
      <c r="AA52" s="216" t="s">
        <v>78</v>
      </c>
      <c r="AB52" s="39" t="s">
        <v>340</v>
      </c>
    </row>
    <row r="53" spans="1:29" x14ac:dyDescent="0.15">
      <c r="A53" s="15" t="s">
        <v>337</v>
      </c>
      <c r="B53" s="15" t="s">
        <v>338</v>
      </c>
      <c r="C53" s="15">
        <v>2018</v>
      </c>
      <c r="D53" s="37" t="s">
        <v>342</v>
      </c>
      <c r="E53" s="7" t="s">
        <v>132</v>
      </c>
      <c r="F53" s="7" t="s">
        <v>149</v>
      </c>
      <c r="G53" s="7" t="s">
        <v>36</v>
      </c>
      <c r="H53" s="15" t="s">
        <v>165</v>
      </c>
      <c r="I53" s="208" t="s">
        <v>155</v>
      </c>
      <c r="J53" s="15" t="s">
        <v>38</v>
      </c>
      <c r="K53" s="7" t="s">
        <v>156</v>
      </c>
      <c r="L53" s="7">
        <v>1</v>
      </c>
      <c r="N53" s="7">
        <v>1</v>
      </c>
      <c r="O53" s="7">
        <v>0.7</v>
      </c>
      <c r="P53" s="7">
        <v>0.55000000000000004</v>
      </c>
      <c r="Q53" s="52">
        <f t="shared" si="0"/>
        <v>0.625</v>
      </c>
      <c r="R53" s="7">
        <v>15.3</v>
      </c>
      <c r="S53" s="7">
        <v>143</v>
      </c>
      <c r="T53" s="16">
        <f t="shared" si="1"/>
        <v>22</v>
      </c>
      <c r="U53" s="7">
        <v>97</v>
      </c>
      <c r="V53" s="16">
        <f t="shared" si="2"/>
        <v>2134</v>
      </c>
      <c r="W53" s="7">
        <v>10</v>
      </c>
      <c r="X53" s="15" t="s">
        <v>46</v>
      </c>
      <c r="Y53" s="216" t="s">
        <v>88</v>
      </c>
      <c r="Z53" s="216" t="s">
        <v>55</v>
      </c>
      <c r="AA53" s="216" t="s">
        <v>78</v>
      </c>
      <c r="AB53" s="39" t="s">
        <v>340</v>
      </c>
      <c r="AC53" s="36"/>
    </row>
    <row r="54" spans="1:29" x14ac:dyDescent="0.15">
      <c r="A54" s="15" t="s">
        <v>337</v>
      </c>
      <c r="B54" s="15" t="s">
        <v>338</v>
      </c>
      <c r="C54" s="15">
        <v>2018</v>
      </c>
      <c r="D54" s="37" t="s">
        <v>342</v>
      </c>
      <c r="E54" s="7" t="s">
        <v>132</v>
      </c>
      <c r="F54" s="7" t="s">
        <v>149</v>
      </c>
      <c r="G54" s="7" t="s">
        <v>36</v>
      </c>
      <c r="H54" s="216" t="s">
        <v>165</v>
      </c>
      <c r="I54" s="208" t="s">
        <v>155</v>
      </c>
      <c r="J54" s="216" t="s">
        <v>38</v>
      </c>
      <c r="K54" s="7" t="s">
        <v>156</v>
      </c>
      <c r="L54" s="7">
        <v>2</v>
      </c>
      <c r="N54" s="7">
        <v>1</v>
      </c>
      <c r="O54" s="7">
        <v>0.6</v>
      </c>
      <c r="P54" s="7">
        <v>0.65</v>
      </c>
      <c r="Q54" s="52">
        <f t="shared" si="0"/>
        <v>0.625</v>
      </c>
      <c r="R54" s="7">
        <v>14.9</v>
      </c>
      <c r="S54" s="7">
        <v>141</v>
      </c>
      <c r="T54" s="16">
        <f t="shared" si="1"/>
        <v>22</v>
      </c>
      <c r="U54" s="208">
        <v>97</v>
      </c>
      <c r="V54" s="16">
        <f t="shared" si="2"/>
        <v>2134</v>
      </c>
      <c r="W54" s="7">
        <v>10</v>
      </c>
      <c r="X54" s="15" t="s">
        <v>46</v>
      </c>
      <c r="Y54" s="216" t="s">
        <v>88</v>
      </c>
      <c r="Z54" s="216" t="s">
        <v>55</v>
      </c>
      <c r="AA54" s="216" t="s">
        <v>78</v>
      </c>
      <c r="AB54" s="39" t="s">
        <v>340</v>
      </c>
      <c r="AC54" s="36"/>
    </row>
    <row r="55" spans="1:29" x14ac:dyDescent="0.15">
      <c r="A55" s="15" t="s">
        <v>337</v>
      </c>
      <c r="B55" s="15" t="s">
        <v>338</v>
      </c>
      <c r="C55" s="15">
        <v>2018</v>
      </c>
      <c r="D55" s="37" t="s">
        <v>342</v>
      </c>
      <c r="E55" s="7" t="s">
        <v>132</v>
      </c>
      <c r="F55" s="7" t="s">
        <v>149</v>
      </c>
      <c r="G55" s="7" t="s">
        <v>36</v>
      </c>
      <c r="H55" s="216" t="s">
        <v>165</v>
      </c>
      <c r="I55" s="208" t="s">
        <v>155</v>
      </c>
      <c r="J55" s="216" t="s">
        <v>38</v>
      </c>
      <c r="K55" s="7" t="s">
        <v>156</v>
      </c>
      <c r="L55" s="7">
        <v>3</v>
      </c>
      <c r="N55" s="208">
        <v>1</v>
      </c>
      <c r="O55" s="7">
        <v>0.6</v>
      </c>
      <c r="P55" s="7">
        <v>0.6</v>
      </c>
      <c r="Q55" s="52">
        <f t="shared" si="0"/>
        <v>0.6</v>
      </c>
      <c r="R55" s="7">
        <v>14.4</v>
      </c>
      <c r="S55" s="7">
        <v>142</v>
      </c>
      <c r="T55" s="16">
        <f t="shared" si="1"/>
        <v>22</v>
      </c>
      <c r="U55" s="208">
        <v>97</v>
      </c>
      <c r="V55" s="16">
        <f t="shared" si="2"/>
        <v>2134</v>
      </c>
      <c r="W55" s="7">
        <v>10</v>
      </c>
      <c r="X55" s="15" t="s">
        <v>46</v>
      </c>
      <c r="Y55" s="216" t="s">
        <v>88</v>
      </c>
      <c r="Z55" s="216" t="s">
        <v>55</v>
      </c>
      <c r="AA55" s="216" t="s">
        <v>78</v>
      </c>
      <c r="AB55" s="39" t="s">
        <v>340</v>
      </c>
      <c r="AC55" s="36"/>
    </row>
    <row r="56" spans="1:29" x14ac:dyDescent="0.15">
      <c r="A56" s="15" t="s">
        <v>337</v>
      </c>
      <c r="B56" s="15" t="s">
        <v>338</v>
      </c>
      <c r="C56" s="15">
        <v>2018</v>
      </c>
      <c r="D56" s="37" t="s">
        <v>342</v>
      </c>
      <c r="E56" s="7" t="s">
        <v>141</v>
      </c>
      <c r="F56" s="7" t="s">
        <v>150</v>
      </c>
      <c r="G56" s="7" t="s">
        <v>36</v>
      </c>
      <c r="H56" s="15" t="s">
        <v>157</v>
      </c>
      <c r="I56" s="208" t="s">
        <v>155</v>
      </c>
      <c r="J56" s="15" t="s">
        <v>38</v>
      </c>
      <c r="K56" s="7" t="s">
        <v>156</v>
      </c>
      <c r="L56" s="7">
        <v>1</v>
      </c>
      <c r="N56" s="208">
        <v>1</v>
      </c>
      <c r="O56" s="7">
        <v>0.6</v>
      </c>
      <c r="P56" s="7">
        <v>0.6</v>
      </c>
      <c r="Q56" s="52">
        <f t="shared" si="0"/>
        <v>0.6</v>
      </c>
      <c r="R56" s="7">
        <v>13.6</v>
      </c>
      <c r="S56" s="7">
        <v>108</v>
      </c>
      <c r="T56" s="16">
        <f t="shared" si="1"/>
        <v>33</v>
      </c>
      <c r="U56" s="208">
        <v>95</v>
      </c>
      <c r="V56" s="16">
        <f t="shared" si="2"/>
        <v>3135</v>
      </c>
      <c r="W56" s="7">
        <v>4</v>
      </c>
      <c r="X56" s="15" t="s">
        <v>46</v>
      </c>
      <c r="Y56" s="216" t="s">
        <v>88</v>
      </c>
      <c r="Z56" s="216" t="s">
        <v>86</v>
      </c>
      <c r="AA56" s="216" t="s">
        <v>69</v>
      </c>
      <c r="AB56" s="39" t="s">
        <v>340</v>
      </c>
    </row>
    <row r="57" spans="1:29" x14ac:dyDescent="0.15">
      <c r="A57" s="15" t="s">
        <v>337</v>
      </c>
      <c r="B57" s="15" t="s">
        <v>338</v>
      </c>
      <c r="C57" s="15">
        <v>2018</v>
      </c>
      <c r="D57" s="37" t="s">
        <v>342</v>
      </c>
      <c r="E57" s="7" t="s">
        <v>141</v>
      </c>
      <c r="F57" s="7" t="s">
        <v>150</v>
      </c>
      <c r="G57" s="7" t="s">
        <v>36</v>
      </c>
      <c r="H57" s="216" t="s">
        <v>157</v>
      </c>
      <c r="I57" s="208" t="s">
        <v>155</v>
      </c>
      <c r="J57" s="15" t="s">
        <v>38</v>
      </c>
      <c r="K57" s="7" t="s">
        <v>156</v>
      </c>
      <c r="L57" s="7">
        <v>2</v>
      </c>
      <c r="N57" s="208">
        <v>1</v>
      </c>
      <c r="O57" s="7">
        <v>0.8</v>
      </c>
      <c r="P57" s="7">
        <v>0.75</v>
      </c>
      <c r="Q57" s="52">
        <f t="shared" si="0"/>
        <v>0.77500000000000002</v>
      </c>
      <c r="R57" s="7">
        <v>13.1</v>
      </c>
      <c r="S57" s="7">
        <v>112</v>
      </c>
      <c r="T57" s="16">
        <f t="shared" si="1"/>
        <v>33</v>
      </c>
      <c r="U57" s="208">
        <v>95</v>
      </c>
      <c r="V57" s="16">
        <f t="shared" si="2"/>
        <v>3135</v>
      </c>
      <c r="W57" s="7">
        <v>4</v>
      </c>
      <c r="X57" s="15" t="s">
        <v>46</v>
      </c>
      <c r="Y57" s="216" t="s">
        <v>88</v>
      </c>
      <c r="Z57" s="216" t="s">
        <v>86</v>
      </c>
      <c r="AA57" s="216" t="s">
        <v>69</v>
      </c>
      <c r="AB57" s="39" t="s">
        <v>340</v>
      </c>
    </row>
    <row r="58" spans="1:29" x14ac:dyDescent="0.15">
      <c r="A58" s="15" t="s">
        <v>337</v>
      </c>
      <c r="B58" s="15" t="s">
        <v>338</v>
      </c>
      <c r="C58" s="15">
        <v>2018</v>
      </c>
      <c r="D58" s="37" t="s">
        <v>342</v>
      </c>
      <c r="E58" s="7" t="s">
        <v>141</v>
      </c>
      <c r="F58" s="7" t="s">
        <v>150</v>
      </c>
      <c r="G58" s="7" t="s">
        <v>36</v>
      </c>
      <c r="H58" s="216" t="s">
        <v>157</v>
      </c>
      <c r="I58" s="208" t="s">
        <v>155</v>
      </c>
      <c r="J58" s="15" t="s">
        <v>38</v>
      </c>
      <c r="K58" s="7" t="s">
        <v>156</v>
      </c>
      <c r="L58" s="7">
        <v>3</v>
      </c>
      <c r="N58" s="208">
        <v>1</v>
      </c>
      <c r="O58" s="7">
        <v>0.55000000000000004</v>
      </c>
      <c r="P58" s="7">
        <v>0.6</v>
      </c>
      <c r="Q58" s="52">
        <f t="shared" si="0"/>
        <v>0.57499999999999996</v>
      </c>
      <c r="R58" s="7">
        <v>15</v>
      </c>
      <c r="S58" s="7">
        <v>112</v>
      </c>
      <c r="T58" s="16">
        <f t="shared" si="1"/>
        <v>33</v>
      </c>
      <c r="U58" s="208">
        <v>95</v>
      </c>
      <c r="V58" s="16">
        <f t="shared" si="2"/>
        <v>3135</v>
      </c>
      <c r="W58" s="7">
        <v>4</v>
      </c>
      <c r="X58" s="15" t="s">
        <v>46</v>
      </c>
      <c r="Y58" s="216" t="s">
        <v>88</v>
      </c>
      <c r="Z58" s="216" t="s">
        <v>86</v>
      </c>
      <c r="AA58" s="216" t="s">
        <v>69</v>
      </c>
      <c r="AB58" s="39" t="s">
        <v>340</v>
      </c>
    </row>
    <row r="59" spans="1:29" x14ac:dyDescent="0.15">
      <c r="A59" s="15" t="s">
        <v>337</v>
      </c>
      <c r="B59" s="15" t="s">
        <v>338</v>
      </c>
      <c r="C59" s="15">
        <v>2018</v>
      </c>
      <c r="D59" s="37" t="s">
        <v>342</v>
      </c>
      <c r="E59" s="7" t="s">
        <v>141</v>
      </c>
      <c r="F59" s="7" t="s">
        <v>150</v>
      </c>
      <c r="G59" s="7" t="s">
        <v>36</v>
      </c>
      <c r="H59" s="15" t="s">
        <v>165</v>
      </c>
      <c r="I59" s="208" t="s">
        <v>155</v>
      </c>
      <c r="J59" s="15" t="s">
        <v>38</v>
      </c>
      <c r="K59" s="7" t="s">
        <v>156</v>
      </c>
      <c r="L59" s="7">
        <v>1</v>
      </c>
      <c r="N59" s="208">
        <v>1</v>
      </c>
      <c r="O59" s="7">
        <v>0.55000000000000004</v>
      </c>
      <c r="P59" s="7">
        <v>0.55000000000000004</v>
      </c>
      <c r="Q59" s="52">
        <f t="shared" si="0"/>
        <v>0.55000000000000004</v>
      </c>
      <c r="R59" s="7">
        <v>16.899999999999999</v>
      </c>
      <c r="S59" s="7">
        <v>134</v>
      </c>
      <c r="T59" s="16">
        <f t="shared" si="1"/>
        <v>25</v>
      </c>
      <c r="U59" s="7">
        <v>138</v>
      </c>
      <c r="V59" s="16">
        <f t="shared" si="2"/>
        <v>3450</v>
      </c>
      <c r="W59" s="7">
        <v>4</v>
      </c>
      <c r="X59" s="15" t="s">
        <v>46</v>
      </c>
      <c r="Y59" s="216" t="s">
        <v>88</v>
      </c>
      <c r="Z59" s="216" t="s">
        <v>86</v>
      </c>
      <c r="AA59" s="216" t="s">
        <v>69</v>
      </c>
      <c r="AB59" s="39" t="s">
        <v>340</v>
      </c>
    </row>
    <row r="60" spans="1:29" x14ac:dyDescent="0.15">
      <c r="A60" s="15" t="s">
        <v>337</v>
      </c>
      <c r="B60" s="15" t="s">
        <v>338</v>
      </c>
      <c r="C60" s="15">
        <v>2018</v>
      </c>
      <c r="D60" s="37" t="s">
        <v>342</v>
      </c>
      <c r="E60" s="7" t="s">
        <v>141</v>
      </c>
      <c r="F60" s="7" t="s">
        <v>150</v>
      </c>
      <c r="G60" s="7" t="s">
        <v>36</v>
      </c>
      <c r="H60" s="216" t="s">
        <v>165</v>
      </c>
      <c r="I60" s="208" t="s">
        <v>155</v>
      </c>
      <c r="J60" s="15" t="s">
        <v>38</v>
      </c>
      <c r="K60" s="7" t="s">
        <v>156</v>
      </c>
      <c r="L60" s="7">
        <v>2</v>
      </c>
      <c r="N60" s="7">
        <v>1</v>
      </c>
      <c r="O60" s="7">
        <v>0.6</v>
      </c>
      <c r="P60" s="7">
        <v>0.75</v>
      </c>
      <c r="Q60" s="52">
        <f t="shared" si="0"/>
        <v>0.67500000000000004</v>
      </c>
      <c r="R60" s="7">
        <v>15.2</v>
      </c>
      <c r="S60" s="7">
        <v>128</v>
      </c>
      <c r="T60" s="16">
        <f>IF(H60="","",IF(OR(H60="GREEN",H60="GK"),IF(S60&gt;=$AX$2,VLOOKUP(S60,$AX$2:$AY$12,2,1),""),IF(S60&gt;=$AZ$2,VLOOKUP(S60,$AZ$2:$BA$12,2,1),"")))</f>
        <v>27</v>
      </c>
      <c r="U60" s="208">
        <v>138</v>
      </c>
      <c r="V60" s="16">
        <f t="shared" si="2"/>
        <v>3726</v>
      </c>
      <c r="W60" s="7">
        <v>4</v>
      </c>
      <c r="X60" s="15" t="s">
        <v>46</v>
      </c>
      <c r="Y60" s="216" t="s">
        <v>88</v>
      </c>
      <c r="Z60" s="216" t="s">
        <v>86</v>
      </c>
      <c r="AA60" s="216" t="s">
        <v>69</v>
      </c>
      <c r="AB60" s="39" t="s">
        <v>340</v>
      </c>
    </row>
    <row r="61" spans="1:29" x14ac:dyDescent="0.15">
      <c r="A61" s="15" t="s">
        <v>337</v>
      </c>
      <c r="B61" s="15" t="s">
        <v>338</v>
      </c>
      <c r="C61" s="15">
        <v>2018</v>
      </c>
      <c r="D61" s="37" t="s">
        <v>342</v>
      </c>
      <c r="E61" s="7" t="s">
        <v>141</v>
      </c>
      <c r="F61" s="7" t="s">
        <v>150</v>
      </c>
      <c r="G61" s="7" t="s">
        <v>36</v>
      </c>
      <c r="H61" s="216" t="s">
        <v>165</v>
      </c>
      <c r="I61" s="208" t="s">
        <v>155</v>
      </c>
      <c r="J61" s="15" t="s">
        <v>38</v>
      </c>
      <c r="K61" s="7" t="s">
        <v>156</v>
      </c>
      <c r="L61" s="7">
        <v>3</v>
      </c>
      <c r="N61" s="7">
        <v>1</v>
      </c>
      <c r="O61" s="7">
        <v>0.5</v>
      </c>
      <c r="P61" s="7">
        <v>0.5</v>
      </c>
      <c r="Q61" s="52">
        <f t="shared" si="0"/>
        <v>0.5</v>
      </c>
      <c r="R61" s="7">
        <v>18</v>
      </c>
      <c r="S61" s="7">
        <v>134</v>
      </c>
      <c r="T61" s="16">
        <f>IF(H61="","",IF(OR(H61="GREEN",H61="GK"),IF(S61&gt;=$AX$2,VLOOKUP(S61,$AX$2:$AY$12,2,1),""),IF(S61&gt;=$AZ$2,VLOOKUP(S61,$AZ$2:$BA$12,2,1),"")))</f>
        <v>25</v>
      </c>
      <c r="U61" s="208">
        <v>138</v>
      </c>
      <c r="V61" s="16">
        <f t="shared" si="2"/>
        <v>3450</v>
      </c>
      <c r="W61" s="7">
        <v>4</v>
      </c>
      <c r="X61" s="15" t="s">
        <v>46</v>
      </c>
      <c r="Y61" s="216" t="s">
        <v>88</v>
      </c>
      <c r="Z61" s="216" t="s">
        <v>86</v>
      </c>
      <c r="AA61" s="216" t="s">
        <v>69</v>
      </c>
      <c r="AB61" s="39" t="s">
        <v>340</v>
      </c>
    </row>
    <row r="62" spans="1:29" x14ac:dyDescent="0.15">
      <c r="A62" s="15"/>
      <c r="B62" s="15"/>
      <c r="C62" s="15"/>
      <c r="D62" s="37"/>
      <c r="H62" s="15"/>
      <c r="I62" s="208"/>
      <c r="J62" s="15"/>
      <c r="Q62" s="52" t="str">
        <f t="shared" si="0"/>
        <v/>
      </c>
      <c r="T62" s="16" t="str">
        <f t="shared" ref="T62:T120" si="3">IF(H62="","",IF(OR(H62="GREEN",H62="GK"),IF(S62&gt;=$AX$2,VLOOKUP(S62,$AX$2:$AY$12,2,1),""),IF(S62&gt;=$AZ$2,VLOOKUP(S62,$AZ$2:$BA$12,2,1),"")))</f>
        <v/>
      </c>
      <c r="V62" s="16" t="str">
        <f t="shared" si="2"/>
        <v/>
      </c>
      <c r="X62" s="216"/>
      <c r="Y62" s="216"/>
      <c r="Z62" s="216"/>
      <c r="AA62" s="216"/>
      <c r="AB62" s="39"/>
    </row>
    <row r="63" spans="1:29" x14ac:dyDescent="0.15">
      <c r="A63" s="15"/>
      <c r="B63" s="15"/>
      <c r="C63" s="15"/>
      <c r="D63" s="37"/>
      <c r="H63" s="216"/>
      <c r="I63" s="208"/>
      <c r="J63" s="15"/>
      <c r="Q63" s="52" t="str">
        <f t="shared" si="0"/>
        <v/>
      </c>
      <c r="T63" s="16" t="str">
        <f t="shared" si="3"/>
        <v/>
      </c>
      <c r="U63" s="208"/>
      <c r="V63" s="16" t="str">
        <f t="shared" si="2"/>
        <v/>
      </c>
      <c r="X63" s="216"/>
      <c r="Y63" s="216"/>
      <c r="Z63" s="216"/>
      <c r="AA63" s="216"/>
      <c r="AB63" s="39"/>
    </row>
    <row r="64" spans="1:29" x14ac:dyDescent="0.15">
      <c r="A64" s="15"/>
      <c r="B64" s="15"/>
      <c r="C64" s="15"/>
      <c r="D64" s="37"/>
      <c r="H64" s="216"/>
      <c r="I64" s="208"/>
      <c r="J64" s="15"/>
      <c r="Q64" s="52" t="str">
        <f t="shared" si="0"/>
        <v/>
      </c>
      <c r="T64" s="16" t="str">
        <f t="shared" si="3"/>
        <v/>
      </c>
      <c r="U64" s="208"/>
      <c r="V64" s="16" t="str">
        <f t="shared" si="2"/>
        <v/>
      </c>
      <c r="X64" s="216"/>
      <c r="Y64" s="216"/>
      <c r="Z64" s="216"/>
      <c r="AA64" s="216"/>
      <c r="AB64" s="39"/>
    </row>
    <row r="65" spans="1:28" x14ac:dyDescent="0.15">
      <c r="A65" s="15"/>
      <c r="B65" s="15"/>
      <c r="C65" s="15"/>
      <c r="D65" s="37"/>
      <c r="H65" s="15"/>
      <c r="I65" s="208"/>
      <c r="J65" s="15"/>
      <c r="Q65" s="52" t="str">
        <f t="shared" si="0"/>
        <v/>
      </c>
      <c r="T65" s="16" t="str">
        <f t="shared" si="3"/>
        <v/>
      </c>
      <c r="V65" s="16" t="str">
        <f t="shared" si="2"/>
        <v/>
      </c>
      <c r="X65" s="216"/>
      <c r="Y65" s="216"/>
      <c r="Z65" s="216"/>
      <c r="AA65" s="216"/>
      <c r="AB65" s="39"/>
    </row>
    <row r="66" spans="1:28" x14ac:dyDescent="0.15">
      <c r="A66" s="15"/>
      <c r="B66" s="15"/>
      <c r="C66" s="15"/>
      <c r="D66" s="37"/>
      <c r="H66" s="216"/>
      <c r="I66" s="208"/>
      <c r="J66" s="15"/>
      <c r="Q66" s="52" t="str">
        <f t="shared" ref="Q66:Q77" si="4">IF(OR(O66="",P66=""),"",AVERAGE(O66,P66))</f>
        <v/>
      </c>
      <c r="T66" s="16" t="str">
        <f t="shared" si="3"/>
        <v/>
      </c>
      <c r="U66" s="208"/>
      <c r="V66" s="16" t="str">
        <f t="shared" ref="V66:V70" si="5">IF(OR(N66="",U66="",T66=""),"",U66/N66*T66)</f>
        <v/>
      </c>
      <c r="X66" s="216"/>
      <c r="Y66" s="216"/>
      <c r="Z66" s="216"/>
      <c r="AA66" s="216"/>
      <c r="AB66" s="39"/>
    </row>
    <row r="67" spans="1:28" x14ac:dyDescent="0.15">
      <c r="A67" s="15"/>
      <c r="B67" s="15"/>
      <c r="C67" s="15"/>
      <c r="D67" s="37"/>
      <c r="H67" s="216"/>
      <c r="I67" s="208"/>
      <c r="J67" s="15"/>
      <c r="Q67" s="52" t="str">
        <f t="shared" si="4"/>
        <v/>
      </c>
      <c r="T67" s="16" t="str">
        <f t="shared" si="3"/>
        <v/>
      </c>
      <c r="U67" s="208"/>
      <c r="V67" s="16" t="str">
        <f t="shared" si="5"/>
        <v/>
      </c>
      <c r="X67" s="216"/>
      <c r="Y67" s="216"/>
      <c r="Z67" s="216"/>
      <c r="AA67" s="216"/>
      <c r="AB67" s="39"/>
    </row>
    <row r="68" spans="1:28" x14ac:dyDescent="0.15">
      <c r="A68" s="15"/>
      <c r="B68" s="15"/>
      <c r="C68" s="15"/>
      <c r="D68" s="37"/>
      <c r="H68" s="15"/>
      <c r="I68" s="208"/>
      <c r="J68" s="15"/>
      <c r="Q68" s="52" t="str">
        <f t="shared" si="4"/>
        <v/>
      </c>
      <c r="T68" s="16" t="str">
        <f t="shared" si="3"/>
        <v/>
      </c>
      <c r="V68" s="16" t="str">
        <f t="shared" si="5"/>
        <v/>
      </c>
      <c r="X68" s="216"/>
      <c r="Y68" s="216"/>
      <c r="Z68" s="216"/>
      <c r="AA68" s="216"/>
      <c r="AB68" s="39"/>
    </row>
    <row r="69" spans="1:28" x14ac:dyDescent="0.15">
      <c r="A69" s="15"/>
      <c r="B69" s="15"/>
      <c r="C69" s="15"/>
      <c r="D69" s="37"/>
      <c r="H69" s="216"/>
      <c r="I69" s="208"/>
      <c r="J69" s="15"/>
      <c r="N69" s="208"/>
      <c r="Q69" s="52" t="str">
        <f t="shared" si="4"/>
        <v/>
      </c>
      <c r="T69" s="16" t="str">
        <f t="shared" si="3"/>
        <v/>
      </c>
      <c r="U69" s="208"/>
      <c r="V69" s="16" t="str">
        <f t="shared" si="5"/>
        <v/>
      </c>
      <c r="X69" s="216"/>
      <c r="Y69" s="216"/>
      <c r="Z69" s="216"/>
      <c r="AA69" s="216"/>
      <c r="AB69" s="39"/>
    </row>
    <row r="70" spans="1:28" x14ac:dyDescent="0.15">
      <c r="A70" s="15"/>
      <c r="B70" s="15"/>
      <c r="C70" s="15"/>
      <c r="D70" s="37"/>
      <c r="H70" s="216"/>
      <c r="I70" s="208"/>
      <c r="J70" s="15"/>
      <c r="N70" s="208"/>
      <c r="Q70" s="52" t="str">
        <f t="shared" si="4"/>
        <v/>
      </c>
      <c r="T70" s="16" t="str">
        <f t="shared" si="3"/>
        <v/>
      </c>
      <c r="U70" s="208"/>
      <c r="V70" s="16" t="str">
        <f t="shared" si="5"/>
        <v/>
      </c>
      <c r="X70" s="216"/>
      <c r="Y70" s="216"/>
      <c r="Z70" s="216"/>
      <c r="AA70" s="216"/>
      <c r="AB70" s="39"/>
    </row>
    <row r="71" spans="1:28" x14ac:dyDescent="0.15">
      <c r="A71" s="15"/>
      <c r="B71" s="15"/>
      <c r="C71" s="15"/>
      <c r="D71" s="37"/>
      <c r="H71" s="15"/>
      <c r="I71" s="208"/>
      <c r="J71" s="15"/>
      <c r="N71" s="208"/>
      <c r="Q71" s="52" t="str">
        <f t="shared" si="4"/>
        <v/>
      </c>
      <c r="T71" s="16" t="str">
        <f t="shared" si="3"/>
        <v/>
      </c>
      <c r="V71" s="16" t="str">
        <f>IF(OR(N71="",U71="",T71=""),"",U71/N71*T71)</f>
        <v/>
      </c>
      <c r="X71" s="15"/>
      <c r="Y71" s="15"/>
      <c r="Z71" s="15"/>
      <c r="AA71" s="15"/>
      <c r="AB71" s="39"/>
    </row>
    <row r="72" spans="1:28" x14ac:dyDescent="0.15">
      <c r="A72" s="15"/>
      <c r="B72" s="15"/>
      <c r="C72" s="15"/>
      <c r="D72" s="37"/>
      <c r="H72" s="216"/>
      <c r="I72" s="208"/>
      <c r="J72" s="216"/>
      <c r="K72" s="208"/>
      <c r="N72" s="208"/>
      <c r="Q72" s="52" t="str">
        <f t="shared" si="4"/>
        <v/>
      </c>
      <c r="T72" s="16" t="str">
        <f t="shared" si="3"/>
        <v/>
      </c>
      <c r="U72" s="208"/>
      <c r="V72" s="16" t="str">
        <f t="shared" ref="V72:V74" si="6">IF(OR(N72="",U72="",T72=""),"",U72/N72*T72)</f>
        <v/>
      </c>
      <c r="X72" s="15"/>
      <c r="Y72" s="216"/>
      <c r="Z72" s="216"/>
      <c r="AA72" s="216"/>
      <c r="AB72" s="39"/>
    </row>
    <row r="73" spans="1:28" x14ac:dyDescent="0.15">
      <c r="A73" s="15"/>
      <c r="B73" s="15"/>
      <c r="C73" s="15"/>
      <c r="D73" s="37"/>
      <c r="H73" s="216"/>
      <c r="I73" s="208"/>
      <c r="J73" s="216"/>
      <c r="K73" s="208"/>
      <c r="N73" s="208"/>
      <c r="Q73" s="52" t="str">
        <f t="shared" si="4"/>
        <v/>
      </c>
      <c r="T73" s="16" t="str">
        <f t="shared" si="3"/>
        <v/>
      </c>
      <c r="U73" s="208"/>
      <c r="V73" s="16" t="str">
        <f>IF(OR(N73="",U73="",T73=""),"",U73/N73*T73)</f>
        <v/>
      </c>
      <c r="X73" s="15"/>
      <c r="Y73" s="216"/>
      <c r="Z73" s="216"/>
      <c r="AA73" s="216"/>
      <c r="AB73" s="39"/>
    </row>
    <row r="74" spans="1:28" x14ac:dyDescent="0.15">
      <c r="A74" s="15"/>
      <c r="B74" s="15"/>
      <c r="C74" s="15"/>
      <c r="D74" s="37"/>
      <c r="H74" s="15"/>
      <c r="I74" s="208"/>
      <c r="J74" s="15"/>
      <c r="N74" s="208"/>
      <c r="Q74" s="52" t="str">
        <f t="shared" si="4"/>
        <v/>
      </c>
      <c r="T74" s="16" t="str">
        <f t="shared" si="3"/>
        <v/>
      </c>
      <c r="V74" s="16" t="str">
        <f t="shared" si="6"/>
        <v/>
      </c>
      <c r="X74" s="15"/>
      <c r="Y74" s="216"/>
      <c r="Z74" s="216"/>
      <c r="AA74" s="216"/>
      <c r="AB74" s="39"/>
    </row>
    <row r="75" spans="1:28" x14ac:dyDescent="0.15">
      <c r="A75" s="15"/>
      <c r="B75" s="15"/>
      <c r="C75" s="15"/>
      <c r="D75" s="37"/>
      <c r="H75" s="216"/>
      <c r="I75" s="208"/>
      <c r="J75" s="15"/>
      <c r="N75" s="208"/>
      <c r="Q75" s="52" t="str">
        <f t="shared" si="4"/>
        <v/>
      </c>
      <c r="T75" s="16" t="str">
        <f t="shared" si="3"/>
        <v/>
      </c>
      <c r="U75" s="208"/>
      <c r="V75" s="16" t="str">
        <f>IF(OR(N75="",U75="",T75=""),"",U75/N75*T75)</f>
        <v/>
      </c>
      <c r="X75" s="15"/>
      <c r="Y75" s="216"/>
      <c r="Z75" s="216"/>
      <c r="AA75" s="216"/>
      <c r="AB75" s="39"/>
    </row>
    <row r="76" spans="1:28" x14ac:dyDescent="0.15">
      <c r="A76" s="15"/>
      <c r="B76" s="15"/>
      <c r="C76" s="15"/>
      <c r="D76" s="37"/>
      <c r="H76" s="216"/>
      <c r="I76" s="208"/>
      <c r="J76" s="15"/>
      <c r="N76" s="208"/>
      <c r="Q76" s="52" t="str">
        <f t="shared" si="4"/>
        <v/>
      </c>
      <c r="T76" s="16" t="str">
        <f t="shared" si="3"/>
        <v/>
      </c>
      <c r="U76" s="208"/>
      <c r="V76" s="16" t="str">
        <f>IF(OR(N76="",U76="",T76=""),"",U76/N76*T76)</f>
        <v/>
      </c>
      <c r="X76" s="15"/>
      <c r="Y76" s="216"/>
      <c r="Z76" s="216"/>
      <c r="AA76" s="216"/>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1"/>
  <sheetViews>
    <sheetView topLeftCell="A68" zoomScale="70" zoomScaleNormal="70" workbookViewId="0">
      <selection activeCell="A116" sqref="A116:XFD116"/>
    </sheetView>
  </sheetViews>
  <sheetFormatPr defaultColWidth="9" defaultRowHeight="13.5" x14ac:dyDescent="0.15"/>
  <cols>
    <col min="1" max="3" width="9" style="237"/>
    <col min="4" max="4" width="11" style="237" bestFit="1" customWidth="1"/>
    <col min="5" max="5" width="10.875" style="237" bestFit="1" customWidth="1"/>
    <col min="6" max="16" width="9" style="237"/>
    <col min="17" max="17" width="9" style="57"/>
    <col min="18" max="18" width="9" style="237"/>
    <col min="19" max="19" width="11.625" style="237" bestFit="1" customWidth="1"/>
    <col min="20" max="20" width="9" style="57"/>
    <col min="21" max="21" width="9" style="237"/>
    <col min="22" max="22" width="9" style="58"/>
    <col min="23" max="32" width="9" style="237"/>
    <col min="33" max="33" width="14.375" style="237" bestFit="1" customWidth="1"/>
    <col min="34" max="34" width="11.375" style="237" bestFit="1" customWidth="1"/>
    <col min="35" max="16384" width="9" style="237"/>
  </cols>
  <sheetData>
    <row r="1" spans="1:53" ht="45" x14ac:dyDescent="0.15">
      <c r="A1" s="240" t="s">
        <v>0</v>
      </c>
      <c r="B1" s="202" t="s">
        <v>1</v>
      </c>
      <c r="C1" s="202" t="s">
        <v>159</v>
      </c>
      <c r="D1" s="203" t="s">
        <v>3</v>
      </c>
      <c r="E1" s="241" t="s">
        <v>4</v>
      </c>
      <c r="F1" s="241" t="s">
        <v>5</v>
      </c>
      <c r="G1" s="241" t="s">
        <v>6</v>
      </c>
      <c r="H1" s="241" t="s">
        <v>7</v>
      </c>
      <c r="I1" s="241" t="s">
        <v>8</v>
      </c>
      <c r="J1" s="241" t="s">
        <v>9</v>
      </c>
      <c r="K1" s="241" t="s">
        <v>10</v>
      </c>
      <c r="L1" s="203" t="s">
        <v>160</v>
      </c>
      <c r="M1" s="203" t="s">
        <v>12</v>
      </c>
      <c r="N1" s="203" t="s">
        <v>13</v>
      </c>
      <c r="O1" s="203" t="s">
        <v>161</v>
      </c>
      <c r="P1" s="203" t="s">
        <v>15</v>
      </c>
      <c r="Q1" s="53" t="s">
        <v>16</v>
      </c>
      <c r="R1" s="203" t="s">
        <v>17</v>
      </c>
      <c r="S1" s="203" t="s">
        <v>18</v>
      </c>
      <c r="T1" s="53" t="s">
        <v>19</v>
      </c>
      <c r="U1" s="205" t="s">
        <v>108</v>
      </c>
      <c r="V1" s="54" t="s">
        <v>20</v>
      </c>
      <c r="W1" s="203" t="s">
        <v>21</v>
      </c>
      <c r="X1" s="241" t="s">
        <v>22</v>
      </c>
      <c r="Y1" s="241" t="s">
        <v>23</v>
      </c>
      <c r="Z1" s="241" t="s">
        <v>24</v>
      </c>
      <c r="AA1" s="241" t="s">
        <v>25</v>
      </c>
      <c r="AB1" s="242" t="s">
        <v>26</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162</v>
      </c>
      <c r="AY1" s="214" t="s">
        <v>163</v>
      </c>
      <c r="AZ1" s="214" t="s">
        <v>174</v>
      </c>
      <c r="BA1" s="215" t="s">
        <v>164</v>
      </c>
    </row>
    <row r="2" spans="1:53" s="55" customFormat="1" x14ac:dyDescent="0.15">
      <c r="A2" s="55" t="s">
        <v>41</v>
      </c>
      <c r="B2" s="237" t="s">
        <v>338</v>
      </c>
      <c r="C2" s="152">
        <v>2018</v>
      </c>
      <c r="D2" s="56" t="s">
        <v>344</v>
      </c>
      <c r="E2" s="237" t="s">
        <v>133</v>
      </c>
      <c r="F2" s="237" t="s">
        <v>295</v>
      </c>
      <c r="G2" s="55" t="s">
        <v>42</v>
      </c>
      <c r="H2" s="55" t="s">
        <v>157</v>
      </c>
      <c r="I2" s="55" t="s">
        <v>155</v>
      </c>
      <c r="J2" s="55" t="s">
        <v>38</v>
      </c>
      <c r="K2" s="55" t="s">
        <v>156</v>
      </c>
      <c r="L2" s="237">
        <v>1</v>
      </c>
      <c r="M2" s="237"/>
      <c r="N2" s="55">
        <v>1</v>
      </c>
      <c r="O2" s="55">
        <v>0.4</v>
      </c>
      <c r="P2" s="55">
        <v>0.5</v>
      </c>
      <c r="Q2" s="82">
        <f t="shared" ref="Q2:Q65" si="0">IF(OR(O2="",P2=""),"",AVERAGE(O2,P2))</f>
        <v>0.45</v>
      </c>
      <c r="R2" s="55">
        <v>15.6</v>
      </c>
      <c r="S2" s="55">
        <v>135</v>
      </c>
      <c r="T2" s="57">
        <f t="shared" ref="T2:T65" si="1">IF(H2="","",IF(OR(H2="GREEN",H2="GK"),IF(S2&gt;=$AX$2,VLOOKUP(S2,$AX$2:$AY$10,2,1),""),IF(S2&gt;=$AZ$2,VLOOKUP(S2,$AZ$2:$BA$10,2,1),"")))</f>
        <v>25</v>
      </c>
      <c r="U2" s="237">
        <v>105</v>
      </c>
      <c r="V2" s="58">
        <f t="shared" ref="V2:V65" si="2">IF(OR(N2="",U2="",T2=""),"",U2/N2*T2)</f>
        <v>2625</v>
      </c>
      <c r="W2" s="237">
        <v>1</v>
      </c>
      <c r="X2" s="55" t="s">
        <v>46</v>
      </c>
      <c r="Y2" s="55" t="s">
        <v>97</v>
      </c>
      <c r="Z2" s="55" t="s">
        <v>78</v>
      </c>
      <c r="AA2" s="55" t="s">
        <v>69</v>
      </c>
      <c r="AB2" s="39" t="s">
        <v>340</v>
      </c>
      <c r="AE2" s="218" t="s">
        <v>35</v>
      </c>
      <c r="AG2" s="59" t="s">
        <v>133</v>
      </c>
      <c r="AH2" s="60" t="s">
        <v>295</v>
      </c>
      <c r="AJ2" s="243" t="s">
        <v>36</v>
      </c>
      <c r="AL2" s="243" t="s">
        <v>127</v>
      </c>
      <c r="AN2" s="243" t="s">
        <v>37</v>
      </c>
      <c r="AP2" s="243" t="s">
        <v>38</v>
      </c>
      <c r="AR2" s="243" t="s">
        <v>120</v>
      </c>
      <c r="AT2" s="243" t="s">
        <v>39</v>
      </c>
      <c r="AV2" s="243" t="s">
        <v>40</v>
      </c>
      <c r="AX2" s="61">
        <v>1</v>
      </c>
      <c r="AY2" s="62">
        <v>50</v>
      </c>
      <c r="AZ2" s="62">
        <v>1</v>
      </c>
      <c r="BA2" s="63">
        <v>50</v>
      </c>
    </row>
    <row r="3" spans="1:53" x14ac:dyDescent="0.15">
      <c r="A3" s="55" t="s">
        <v>41</v>
      </c>
      <c r="B3" s="237" t="s">
        <v>338</v>
      </c>
      <c r="C3" s="152">
        <v>2018</v>
      </c>
      <c r="D3" s="56" t="s">
        <v>344</v>
      </c>
      <c r="E3" s="237" t="s">
        <v>133</v>
      </c>
      <c r="F3" s="237" t="s">
        <v>295</v>
      </c>
      <c r="G3" s="55" t="s">
        <v>42</v>
      </c>
      <c r="H3" s="55" t="s">
        <v>157</v>
      </c>
      <c r="I3" s="55" t="s">
        <v>155</v>
      </c>
      <c r="J3" s="55" t="s">
        <v>38</v>
      </c>
      <c r="K3" s="55" t="s">
        <v>156</v>
      </c>
      <c r="L3" s="237">
        <v>2</v>
      </c>
      <c r="N3" s="55">
        <v>1</v>
      </c>
      <c r="O3" s="55">
        <v>0.5</v>
      </c>
      <c r="P3" s="55">
        <v>0.6</v>
      </c>
      <c r="Q3" s="82">
        <f t="shared" si="0"/>
        <v>0.55000000000000004</v>
      </c>
      <c r="R3" s="55">
        <v>13.7</v>
      </c>
      <c r="S3" s="55">
        <v>140</v>
      </c>
      <c r="T3" s="57">
        <f t="shared" si="1"/>
        <v>22</v>
      </c>
      <c r="U3" s="237">
        <v>105</v>
      </c>
      <c r="V3" s="58">
        <f t="shared" si="2"/>
        <v>2310</v>
      </c>
      <c r="W3" s="237">
        <v>1</v>
      </c>
      <c r="X3" s="55" t="s">
        <v>46</v>
      </c>
      <c r="Y3" s="55" t="s">
        <v>97</v>
      </c>
      <c r="Z3" s="55" t="s">
        <v>78</v>
      </c>
      <c r="AA3" s="55" t="s">
        <v>69</v>
      </c>
      <c r="AB3" s="39" t="s">
        <v>340</v>
      </c>
      <c r="AE3" s="223" t="s">
        <v>41</v>
      </c>
      <c r="AG3" s="64" t="s">
        <v>290</v>
      </c>
      <c r="AH3" s="64" t="s">
        <v>295</v>
      </c>
      <c r="AJ3" s="65" t="s">
        <v>42</v>
      </c>
      <c r="AL3" s="65" t="s">
        <v>128</v>
      </c>
      <c r="AN3" s="65" t="s">
        <v>43</v>
      </c>
      <c r="AP3" s="65" t="s">
        <v>44</v>
      </c>
      <c r="AR3" s="231" t="s">
        <v>45</v>
      </c>
      <c r="AT3" s="65" t="s">
        <v>46</v>
      </c>
      <c r="AV3" s="65" t="s">
        <v>47</v>
      </c>
      <c r="AX3" s="66">
        <v>72</v>
      </c>
      <c r="AY3" s="67">
        <v>46</v>
      </c>
      <c r="AZ3" s="67">
        <v>71</v>
      </c>
      <c r="BA3" s="68">
        <v>42</v>
      </c>
    </row>
    <row r="4" spans="1:53" x14ac:dyDescent="0.15">
      <c r="A4" s="55" t="s">
        <v>41</v>
      </c>
      <c r="B4" s="237" t="s">
        <v>338</v>
      </c>
      <c r="C4" s="152">
        <v>2018</v>
      </c>
      <c r="D4" s="56" t="s">
        <v>345</v>
      </c>
      <c r="E4" s="237" t="s">
        <v>133</v>
      </c>
      <c r="F4" s="237" t="s">
        <v>295</v>
      </c>
      <c r="G4" s="55" t="s">
        <v>42</v>
      </c>
      <c r="H4" s="55" t="s">
        <v>157</v>
      </c>
      <c r="I4" s="55" t="s">
        <v>155</v>
      </c>
      <c r="J4" s="55" t="s">
        <v>38</v>
      </c>
      <c r="K4" s="55" t="s">
        <v>156</v>
      </c>
      <c r="L4" s="237">
        <v>3</v>
      </c>
      <c r="N4" s="55">
        <v>1</v>
      </c>
      <c r="O4" s="55">
        <v>0.6</v>
      </c>
      <c r="P4" s="55">
        <v>0.55000000000000004</v>
      </c>
      <c r="Q4" s="82">
        <f t="shared" si="0"/>
        <v>0.57499999999999996</v>
      </c>
      <c r="R4" s="55">
        <v>16</v>
      </c>
      <c r="S4" s="55">
        <v>129</v>
      </c>
      <c r="T4" s="57">
        <f t="shared" si="1"/>
        <v>25</v>
      </c>
      <c r="U4" s="237">
        <v>105</v>
      </c>
      <c r="V4" s="58">
        <f t="shared" si="2"/>
        <v>2625</v>
      </c>
      <c r="W4" s="237">
        <v>1</v>
      </c>
      <c r="X4" s="55" t="s">
        <v>46</v>
      </c>
      <c r="Y4" s="55" t="s">
        <v>97</v>
      </c>
      <c r="Z4" s="55" t="s">
        <v>78</v>
      </c>
      <c r="AA4" s="55" t="s">
        <v>69</v>
      </c>
      <c r="AB4" s="39" t="s">
        <v>340</v>
      </c>
      <c r="AE4" s="223" t="s">
        <v>34</v>
      </c>
      <c r="AG4" s="64" t="s">
        <v>290</v>
      </c>
      <c r="AH4" s="64" t="s">
        <v>296</v>
      </c>
      <c r="AJ4" s="69" t="s">
        <v>48</v>
      </c>
      <c r="AL4" s="69" t="s">
        <v>129</v>
      </c>
      <c r="AN4" s="244" t="s">
        <v>49</v>
      </c>
      <c r="AP4" s="65" t="s">
        <v>93</v>
      </c>
      <c r="AR4" s="231" t="s">
        <v>121</v>
      </c>
      <c r="AT4" s="244"/>
      <c r="AV4" s="65" t="s">
        <v>50</v>
      </c>
      <c r="AX4" s="66">
        <v>75</v>
      </c>
      <c r="AY4" s="67">
        <v>42</v>
      </c>
      <c r="AZ4" s="67">
        <v>76</v>
      </c>
      <c r="BA4" s="68">
        <v>39</v>
      </c>
    </row>
    <row r="5" spans="1:53" s="55" customFormat="1" ht="13.5" customHeight="1" x14ac:dyDescent="0.15">
      <c r="A5" s="55" t="s">
        <v>41</v>
      </c>
      <c r="B5" s="237" t="s">
        <v>338</v>
      </c>
      <c r="C5" s="152">
        <v>2018</v>
      </c>
      <c r="D5" s="56" t="s">
        <v>345</v>
      </c>
      <c r="E5" s="237" t="s">
        <v>133</v>
      </c>
      <c r="F5" s="237" t="s">
        <v>295</v>
      </c>
      <c r="G5" s="55" t="s">
        <v>42</v>
      </c>
      <c r="H5" s="55" t="s">
        <v>165</v>
      </c>
      <c r="I5" s="55" t="s">
        <v>155</v>
      </c>
      <c r="J5" s="55" t="s">
        <v>38</v>
      </c>
      <c r="K5" s="55" t="s">
        <v>156</v>
      </c>
      <c r="L5" s="237">
        <v>1</v>
      </c>
      <c r="N5" s="55">
        <v>1</v>
      </c>
      <c r="O5" s="55">
        <v>0.5</v>
      </c>
      <c r="P5" s="55">
        <v>0.45</v>
      </c>
      <c r="Q5" s="82">
        <f t="shared" si="0"/>
        <v>0.47499999999999998</v>
      </c>
      <c r="R5" s="55">
        <v>17.100000000000001</v>
      </c>
      <c r="S5" s="55">
        <v>130</v>
      </c>
      <c r="T5" s="77">
        <f t="shared" si="1"/>
        <v>25</v>
      </c>
      <c r="U5" s="55">
        <v>149</v>
      </c>
      <c r="V5" s="78">
        <f t="shared" si="2"/>
        <v>3725</v>
      </c>
      <c r="W5" s="55">
        <v>1</v>
      </c>
      <c r="X5" s="55" t="s">
        <v>46</v>
      </c>
      <c r="Y5" s="55" t="s">
        <v>97</v>
      </c>
      <c r="Z5" s="55" t="s">
        <v>78</v>
      </c>
      <c r="AA5" s="55" t="s">
        <v>69</v>
      </c>
      <c r="AB5" s="39" t="s">
        <v>340</v>
      </c>
      <c r="AC5" s="237"/>
      <c r="AD5" s="237"/>
      <c r="AE5" s="70" t="s">
        <v>166</v>
      </c>
      <c r="AG5" s="64" t="s">
        <v>291</v>
      </c>
      <c r="AH5" s="64" t="s">
        <v>295</v>
      </c>
      <c r="AJ5" s="71"/>
      <c r="AL5" s="72" t="s">
        <v>167</v>
      </c>
      <c r="AN5" s="72" t="s">
        <v>168</v>
      </c>
      <c r="AP5" s="231" t="s">
        <v>119</v>
      </c>
      <c r="AR5" s="231" t="s">
        <v>54</v>
      </c>
      <c r="AV5" s="231" t="s">
        <v>55</v>
      </c>
      <c r="AX5" s="73">
        <v>84</v>
      </c>
      <c r="AY5" s="74">
        <v>39</v>
      </c>
      <c r="AZ5" s="74">
        <v>84</v>
      </c>
      <c r="BA5" s="75">
        <v>36</v>
      </c>
    </row>
    <row r="6" spans="1:53" x14ac:dyDescent="0.15">
      <c r="A6" s="55" t="s">
        <v>41</v>
      </c>
      <c r="B6" s="237" t="s">
        <v>338</v>
      </c>
      <c r="C6" s="152">
        <v>2018</v>
      </c>
      <c r="D6" s="56" t="s">
        <v>345</v>
      </c>
      <c r="E6" s="237" t="s">
        <v>133</v>
      </c>
      <c r="F6" s="237" t="s">
        <v>295</v>
      </c>
      <c r="G6" s="55" t="s">
        <v>42</v>
      </c>
      <c r="H6" s="55" t="s">
        <v>165</v>
      </c>
      <c r="I6" s="55" t="s">
        <v>155</v>
      </c>
      <c r="J6" s="55" t="s">
        <v>38</v>
      </c>
      <c r="K6" s="55" t="s">
        <v>156</v>
      </c>
      <c r="L6" s="237">
        <v>2</v>
      </c>
      <c r="N6" s="55">
        <v>1</v>
      </c>
      <c r="O6" s="55">
        <v>0.65</v>
      </c>
      <c r="P6" s="55">
        <v>0.5</v>
      </c>
      <c r="Q6" s="82">
        <f t="shared" si="0"/>
        <v>0.57499999999999996</v>
      </c>
      <c r="R6" s="55">
        <v>15.5</v>
      </c>
      <c r="S6" s="55">
        <v>138</v>
      </c>
      <c r="T6" s="77">
        <f t="shared" si="1"/>
        <v>22</v>
      </c>
      <c r="U6" s="55">
        <v>149</v>
      </c>
      <c r="V6" s="58">
        <f t="shared" si="2"/>
        <v>3278</v>
      </c>
      <c r="W6" s="237">
        <v>1</v>
      </c>
      <c r="X6" s="55" t="s">
        <v>46</v>
      </c>
      <c r="Y6" s="55" t="s">
        <v>97</v>
      </c>
      <c r="Z6" s="55" t="s">
        <v>78</v>
      </c>
      <c r="AA6" s="55" t="s">
        <v>69</v>
      </c>
      <c r="AB6" s="39" t="s">
        <v>340</v>
      </c>
      <c r="AE6" s="223" t="s">
        <v>56</v>
      </c>
      <c r="AG6" s="64" t="s">
        <v>291</v>
      </c>
      <c r="AH6" s="64" t="s">
        <v>297</v>
      </c>
      <c r="AL6" s="72" t="s">
        <v>169</v>
      </c>
      <c r="AN6" s="72" t="s">
        <v>170</v>
      </c>
      <c r="AP6" s="65" t="s">
        <v>53</v>
      </c>
      <c r="AR6" s="231" t="s">
        <v>59</v>
      </c>
      <c r="AV6" s="65" t="s">
        <v>60</v>
      </c>
      <c r="AX6" s="66">
        <v>97</v>
      </c>
      <c r="AY6" s="67">
        <v>36</v>
      </c>
      <c r="AZ6" s="67">
        <v>99</v>
      </c>
      <c r="BA6" s="68">
        <v>33</v>
      </c>
    </row>
    <row r="7" spans="1:53" x14ac:dyDescent="0.15">
      <c r="A7" s="55" t="s">
        <v>41</v>
      </c>
      <c r="B7" s="237" t="s">
        <v>338</v>
      </c>
      <c r="C7" s="152">
        <v>2018</v>
      </c>
      <c r="D7" s="56" t="s">
        <v>345</v>
      </c>
      <c r="E7" s="237" t="s">
        <v>133</v>
      </c>
      <c r="F7" s="237" t="s">
        <v>295</v>
      </c>
      <c r="G7" s="55" t="s">
        <v>42</v>
      </c>
      <c r="H7" s="55" t="s">
        <v>165</v>
      </c>
      <c r="I7" s="55" t="s">
        <v>155</v>
      </c>
      <c r="J7" s="55" t="s">
        <v>38</v>
      </c>
      <c r="K7" s="55" t="s">
        <v>156</v>
      </c>
      <c r="L7" s="237">
        <v>3</v>
      </c>
      <c r="N7" s="55">
        <v>1</v>
      </c>
      <c r="O7" s="55">
        <v>0.4</v>
      </c>
      <c r="P7" s="55">
        <v>0.5</v>
      </c>
      <c r="Q7" s="82">
        <f t="shared" si="0"/>
        <v>0.45</v>
      </c>
      <c r="R7" s="55">
        <v>14.4</v>
      </c>
      <c r="S7" s="55">
        <v>140</v>
      </c>
      <c r="T7" s="77">
        <f t="shared" si="1"/>
        <v>22</v>
      </c>
      <c r="U7" s="55">
        <v>149</v>
      </c>
      <c r="V7" s="58">
        <f t="shared" si="2"/>
        <v>3278</v>
      </c>
      <c r="W7" s="237">
        <v>1</v>
      </c>
      <c r="X7" s="55" t="s">
        <v>46</v>
      </c>
      <c r="Y7" s="55" t="s">
        <v>97</v>
      </c>
      <c r="Z7" s="55" t="s">
        <v>78</v>
      </c>
      <c r="AA7" s="55" t="s">
        <v>69</v>
      </c>
      <c r="AB7" s="39" t="s">
        <v>340</v>
      </c>
      <c r="AE7" s="223" t="s">
        <v>61</v>
      </c>
      <c r="AG7" s="64" t="s">
        <v>292</v>
      </c>
      <c r="AH7" s="64" t="s">
        <v>297</v>
      </c>
      <c r="AL7" s="76" t="s">
        <v>171</v>
      </c>
      <c r="AP7" s="65" t="s">
        <v>58</v>
      </c>
      <c r="AR7" s="231" t="s">
        <v>122</v>
      </c>
      <c r="AV7" s="65" t="s">
        <v>64</v>
      </c>
      <c r="AX7" s="66">
        <v>109</v>
      </c>
      <c r="AY7" s="67">
        <v>33</v>
      </c>
      <c r="AZ7" s="67">
        <v>113</v>
      </c>
      <c r="BA7" s="68">
        <v>30</v>
      </c>
    </row>
    <row r="8" spans="1:53" x14ac:dyDescent="0.15">
      <c r="A8" s="55" t="s">
        <v>41</v>
      </c>
      <c r="B8" s="237" t="s">
        <v>338</v>
      </c>
      <c r="C8" s="152">
        <v>2018</v>
      </c>
      <c r="D8" s="56" t="s">
        <v>345</v>
      </c>
      <c r="E8" s="237" t="s">
        <v>133</v>
      </c>
      <c r="F8" s="237" t="s">
        <v>295</v>
      </c>
      <c r="G8" s="55" t="s">
        <v>42</v>
      </c>
      <c r="H8" s="55" t="s">
        <v>165</v>
      </c>
      <c r="I8" s="55" t="s">
        <v>155</v>
      </c>
      <c r="J8" s="55" t="s">
        <v>38</v>
      </c>
      <c r="K8" s="55" t="s">
        <v>156</v>
      </c>
      <c r="L8" s="237">
        <v>1</v>
      </c>
      <c r="M8" s="55"/>
      <c r="N8" s="55">
        <v>8</v>
      </c>
      <c r="O8" s="55">
        <v>0.5</v>
      </c>
      <c r="P8" s="55">
        <v>0.5</v>
      </c>
      <c r="Q8" s="82">
        <f t="shared" si="0"/>
        <v>0.5</v>
      </c>
      <c r="R8" s="55">
        <v>13.8</v>
      </c>
      <c r="S8" s="55">
        <v>125</v>
      </c>
      <c r="T8" s="77">
        <f t="shared" si="1"/>
        <v>27</v>
      </c>
      <c r="U8" s="55">
        <v>1080</v>
      </c>
      <c r="V8" s="78">
        <f t="shared" si="2"/>
        <v>3645</v>
      </c>
      <c r="W8" s="55">
        <v>1</v>
      </c>
      <c r="X8" s="55" t="s">
        <v>46</v>
      </c>
      <c r="Y8" s="55" t="s">
        <v>97</v>
      </c>
      <c r="Z8" s="55" t="s">
        <v>78</v>
      </c>
      <c r="AA8" s="55" t="s">
        <v>69</v>
      </c>
      <c r="AB8" s="39" t="s">
        <v>340</v>
      </c>
      <c r="AC8" s="55"/>
      <c r="AD8" s="55"/>
      <c r="AE8" s="223" t="s">
        <v>59</v>
      </c>
      <c r="AG8" s="64" t="s">
        <v>293</v>
      </c>
      <c r="AH8" s="64" t="s">
        <v>298</v>
      </c>
      <c r="AL8" s="76" t="s">
        <v>346</v>
      </c>
      <c r="AP8" s="65" t="s">
        <v>62</v>
      </c>
      <c r="AR8" s="231" t="s">
        <v>81</v>
      </c>
      <c r="AV8" s="65" t="s">
        <v>97</v>
      </c>
      <c r="AX8" s="66">
        <v>119</v>
      </c>
      <c r="AY8" s="67">
        <v>30</v>
      </c>
      <c r="AZ8" s="67">
        <v>121</v>
      </c>
      <c r="BA8" s="68">
        <v>27</v>
      </c>
    </row>
    <row r="9" spans="1:53" x14ac:dyDescent="0.15">
      <c r="A9" s="55" t="s">
        <v>41</v>
      </c>
      <c r="B9" s="237" t="s">
        <v>338</v>
      </c>
      <c r="C9" s="152">
        <v>2018</v>
      </c>
      <c r="D9" s="56" t="s">
        <v>345</v>
      </c>
      <c r="E9" s="237" t="s">
        <v>133</v>
      </c>
      <c r="F9" s="237" t="s">
        <v>295</v>
      </c>
      <c r="G9" s="55" t="s">
        <v>42</v>
      </c>
      <c r="H9" s="55" t="s">
        <v>165</v>
      </c>
      <c r="I9" s="55" t="s">
        <v>155</v>
      </c>
      <c r="J9" s="55" t="s">
        <v>38</v>
      </c>
      <c r="K9" s="55" t="s">
        <v>156</v>
      </c>
      <c r="L9" s="237">
        <v>2</v>
      </c>
      <c r="N9" s="55">
        <v>8</v>
      </c>
      <c r="O9" s="55">
        <v>0.25</v>
      </c>
      <c r="P9" s="55">
        <v>0.25</v>
      </c>
      <c r="Q9" s="82">
        <f t="shared" si="0"/>
        <v>0.25</v>
      </c>
      <c r="R9" s="55">
        <v>18.899999999999999</v>
      </c>
      <c r="S9" s="55">
        <v>131</v>
      </c>
      <c r="T9" s="77">
        <f t="shared" si="1"/>
        <v>25</v>
      </c>
      <c r="U9" s="55">
        <v>1080</v>
      </c>
      <c r="V9" s="58">
        <f t="shared" si="2"/>
        <v>3375</v>
      </c>
      <c r="W9" s="237">
        <v>1</v>
      </c>
      <c r="X9" s="55" t="s">
        <v>46</v>
      </c>
      <c r="Y9" s="55" t="s">
        <v>97</v>
      </c>
      <c r="Z9" s="55" t="s">
        <v>78</v>
      </c>
      <c r="AA9" s="55" t="s">
        <v>69</v>
      </c>
      <c r="AB9" s="39" t="s">
        <v>340</v>
      </c>
      <c r="AE9" s="223" t="s">
        <v>98</v>
      </c>
      <c r="AG9" s="64" t="s">
        <v>293</v>
      </c>
      <c r="AH9" s="64" t="s">
        <v>299</v>
      </c>
      <c r="AL9" s="72"/>
      <c r="AP9" s="65" t="s">
        <v>95</v>
      </c>
      <c r="AR9" s="231" t="s">
        <v>89</v>
      </c>
      <c r="AV9" s="65" t="s">
        <v>102</v>
      </c>
      <c r="AX9" s="66">
        <v>128</v>
      </c>
      <c r="AY9" s="67">
        <v>27</v>
      </c>
      <c r="AZ9" s="67">
        <v>129</v>
      </c>
      <c r="BA9" s="68">
        <v>25</v>
      </c>
    </row>
    <row r="10" spans="1:53" x14ac:dyDescent="0.15">
      <c r="A10" s="55" t="s">
        <v>41</v>
      </c>
      <c r="B10" s="237" t="s">
        <v>338</v>
      </c>
      <c r="C10" s="152">
        <v>2018</v>
      </c>
      <c r="D10" s="56" t="s">
        <v>345</v>
      </c>
      <c r="E10" s="237" t="s">
        <v>133</v>
      </c>
      <c r="F10" s="237" t="s">
        <v>295</v>
      </c>
      <c r="G10" s="55" t="s">
        <v>42</v>
      </c>
      <c r="H10" s="55" t="s">
        <v>165</v>
      </c>
      <c r="I10" s="55" t="s">
        <v>155</v>
      </c>
      <c r="J10" s="55" t="s">
        <v>38</v>
      </c>
      <c r="K10" s="55" t="s">
        <v>156</v>
      </c>
      <c r="L10" s="237">
        <v>3</v>
      </c>
      <c r="N10" s="55">
        <v>8</v>
      </c>
      <c r="O10" s="55">
        <v>0.25</v>
      </c>
      <c r="P10" s="55">
        <v>0.3</v>
      </c>
      <c r="Q10" s="82">
        <f t="shared" si="0"/>
        <v>0.27500000000000002</v>
      </c>
      <c r="R10" s="55">
        <v>19.399999999999999</v>
      </c>
      <c r="S10" s="55">
        <v>129</v>
      </c>
      <c r="T10" s="77">
        <f t="shared" si="1"/>
        <v>25</v>
      </c>
      <c r="U10" s="55">
        <v>1080</v>
      </c>
      <c r="V10" s="58">
        <f t="shared" si="2"/>
        <v>3375</v>
      </c>
      <c r="W10" s="237">
        <v>1</v>
      </c>
      <c r="X10" s="55" t="s">
        <v>46</v>
      </c>
      <c r="Y10" s="55" t="s">
        <v>97</v>
      </c>
      <c r="Z10" s="55" t="s">
        <v>78</v>
      </c>
      <c r="AA10" s="55" t="s">
        <v>69</v>
      </c>
      <c r="AB10" s="39" t="s">
        <v>340</v>
      </c>
      <c r="AE10" s="223" t="s">
        <v>103</v>
      </c>
      <c r="AG10" s="64" t="s">
        <v>294</v>
      </c>
      <c r="AH10" s="64" t="s">
        <v>300</v>
      </c>
      <c r="AL10" s="76"/>
      <c r="AP10" s="65" t="s">
        <v>100</v>
      </c>
      <c r="AR10" s="231" t="s">
        <v>123</v>
      </c>
      <c r="AV10" s="65" t="s">
        <v>106</v>
      </c>
      <c r="AX10" s="66">
        <v>138</v>
      </c>
      <c r="AY10" s="67">
        <v>25</v>
      </c>
      <c r="AZ10" s="67">
        <v>138</v>
      </c>
      <c r="BA10" s="68">
        <v>22</v>
      </c>
    </row>
    <row r="11" spans="1:53" x14ac:dyDescent="0.15">
      <c r="A11" s="55" t="s">
        <v>41</v>
      </c>
      <c r="B11" s="237" t="s">
        <v>338</v>
      </c>
      <c r="C11" s="152">
        <v>2018</v>
      </c>
      <c r="D11" s="56" t="s">
        <v>345</v>
      </c>
      <c r="E11" s="237" t="s">
        <v>133</v>
      </c>
      <c r="F11" s="237" t="s">
        <v>295</v>
      </c>
      <c r="G11" s="55" t="s">
        <v>42</v>
      </c>
      <c r="H11" s="55" t="s">
        <v>157</v>
      </c>
      <c r="I11" s="55" t="s">
        <v>158</v>
      </c>
      <c r="J11" s="55" t="s">
        <v>38</v>
      </c>
      <c r="K11" s="55" t="s">
        <v>156</v>
      </c>
      <c r="L11" s="237">
        <v>1</v>
      </c>
      <c r="M11" s="55"/>
      <c r="N11" s="55">
        <v>6</v>
      </c>
      <c r="O11" s="55">
        <v>0.25</v>
      </c>
      <c r="P11" s="55">
        <v>0.25</v>
      </c>
      <c r="Q11" s="82">
        <f t="shared" si="0"/>
        <v>0.25</v>
      </c>
      <c r="R11" s="55">
        <v>15.2</v>
      </c>
      <c r="S11" s="55">
        <v>131</v>
      </c>
      <c r="T11" s="77">
        <f t="shared" si="1"/>
        <v>25</v>
      </c>
      <c r="U11" s="55">
        <v>537</v>
      </c>
      <c r="V11" s="78">
        <f t="shared" si="2"/>
        <v>2237.5</v>
      </c>
      <c r="W11" s="55">
        <v>1</v>
      </c>
      <c r="X11" s="55" t="s">
        <v>46</v>
      </c>
      <c r="Y11" s="55" t="s">
        <v>97</v>
      </c>
      <c r="Z11" s="55" t="s">
        <v>78</v>
      </c>
      <c r="AA11" s="55" t="s">
        <v>69</v>
      </c>
      <c r="AB11" s="39" t="s">
        <v>340</v>
      </c>
      <c r="AE11" s="223" t="s">
        <v>65</v>
      </c>
      <c r="AG11" s="64" t="s">
        <v>173</v>
      </c>
      <c r="AH11" s="64" t="s">
        <v>301</v>
      </c>
      <c r="AL11" s="76"/>
      <c r="AP11" s="65" t="s">
        <v>104</v>
      </c>
      <c r="AR11" s="231" t="s">
        <v>87</v>
      </c>
      <c r="AV11" s="65" t="s">
        <v>69</v>
      </c>
      <c r="AX11" s="66">
        <v>151</v>
      </c>
      <c r="AY11" s="67">
        <v>22</v>
      </c>
      <c r="AZ11" s="67">
        <v>152</v>
      </c>
      <c r="BA11" s="68">
        <v>18</v>
      </c>
    </row>
    <row r="12" spans="1:53" x14ac:dyDescent="0.15">
      <c r="A12" s="55" t="s">
        <v>41</v>
      </c>
      <c r="B12" s="237" t="s">
        <v>338</v>
      </c>
      <c r="C12" s="152">
        <v>2018</v>
      </c>
      <c r="D12" s="56" t="s">
        <v>345</v>
      </c>
      <c r="E12" s="237" t="s">
        <v>133</v>
      </c>
      <c r="F12" s="237" t="s">
        <v>295</v>
      </c>
      <c r="G12" s="55" t="s">
        <v>42</v>
      </c>
      <c r="H12" s="55" t="s">
        <v>157</v>
      </c>
      <c r="I12" s="55" t="s">
        <v>158</v>
      </c>
      <c r="J12" s="55" t="s">
        <v>38</v>
      </c>
      <c r="K12" s="55" t="s">
        <v>156</v>
      </c>
      <c r="L12" s="237">
        <v>2</v>
      </c>
      <c r="N12" s="55">
        <v>6</v>
      </c>
      <c r="O12" s="55">
        <v>0.25</v>
      </c>
      <c r="P12" s="55">
        <v>0.25</v>
      </c>
      <c r="Q12" s="82">
        <f t="shared" si="0"/>
        <v>0.25</v>
      </c>
      <c r="R12" s="55">
        <v>15.1</v>
      </c>
      <c r="S12" s="55">
        <v>133</v>
      </c>
      <c r="T12" s="77">
        <f t="shared" si="1"/>
        <v>25</v>
      </c>
      <c r="U12" s="55">
        <v>537</v>
      </c>
      <c r="V12" s="78">
        <f t="shared" si="2"/>
        <v>2237.5</v>
      </c>
      <c r="W12" s="55">
        <v>1</v>
      </c>
      <c r="X12" s="55" t="s">
        <v>46</v>
      </c>
      <c r="Y12" s="55" t="s">
        <v>97</v>
      </c>
      <c r="Z12" s="55" t="s">
        <v>78</v>
      </c>
      <c r="AA12" s="55" t="s">
        <v>69</v>
      </c>
      <c r="AB12" s="39" t="s">
        <v>340</v>
      </c>
      <c r="AE12" s="223" t="s">
        <v>70</v>
      </c>
      <c r="AG12" s="70"/>
      <c r="AH12" s="70"/>
      <c r="AL12" s="76"/>
      <c r="AP12" s="65" t="s">
        <v>67</v>
      </c>
      <c r="AR12" s="231" t="s">
        <v>124</v>
      </c>
      <c r="AV12" s="65" t="s">
        <v>72</v>
      </c>
      <c r="AX12" s="79">
        <v>180</v>
      </c>
      <c r="AY12" s="80">
        <v>18</v>
      </c>
      <c r="AZ12" s="80">
        <v>181</v>
      </c>
      <c r="BA12" s="81">
        <v>16</v>
      </c>
    </row>
    <row r="13" spans="1:53" x14ac:dyDescent="0.15">
      <c r="A13" s="55" t="s">
        <v>41</v>
      </c>
      <c r="B13" s="237" t="s">
        <v>338</v>
      </c>
      <c r="C13" s="152">
        <v>2018</v>
      </c>
      <c r="D13" s="56" t="s">
        <v>345</v>
      </c>
      <c r="E13" s="237" t="s">
        <v>133</v>
      </c>
      <c r="F13" s="237" t="s">
        <v>295</v>
      </c>
      <c r="G13" s="55" t="s">
        <v>42</v>
      </c>
      <c r="H13" s="55" t="s">
        <v>157</v>
      </c>
      <c r="I13" s="55" t="s">
        <v>158</v>
      </c>
      <c r="J13" s="55" t="s">
        <v>38</v>
      </c>
      <c r="K13" s="55" t="s">
        <v>156</v>
      </c>
      <c r="L13" s="237">
        <v>3</v>
      </c>
      <c r="N13" s="55">
        <v>6</v>
      </c>
      <c r="O13" s="55">
        <v>0.25</v>
      </c>
      <c r="P13" s="55">
        <v>0.25</v>
      </c>
      <c r="Q13" s="82">
        <f t="shared" si="0"/>
        <v>0.25</v>
      </c>
      <c r="R13" s="55">
        <v>14.8</v>
      </c>
      <c r="S13" s="55">
        <v>127</v>
      </c>
      <c r="T13" s="77">
        <f t="shared" si="1"/>
        <v>27</v>
      </c>
      <c r="U13" s="55">
        <v>537</v>
      </c>
      <c r="V13" s="78">
        <f t="shared" si="2"/>
        <v>2416.5</v>
      </c>
      <c r="W13" s="237">
        <v>1</v>
      </c>
      <c r="X13" s="55" t="s">
        <v>46</v>
      </c>
      <c r="Y13" s="55" t="s">
        <v>97</v>
      </c>
      <c r="Z13" s="55" t="s">
        <v>78</v>
      </c>
      <c r="AA13" s="55" t="s">
        <v>69</v>
      </c>
      <c r="AB13" s="39" t="s">
        <v>340</v>
      </c>
      <c r="AE13" s="223" t="s">
        <v>73</v>
      </c>
      <c r="AG13" s="231"/>
      <c r="AH13" s="231"/>
      <c r="AP13" s="65" t="s">
        <v>71</v>
      </c>
      <c r="AR13" s="231" t="s">
        <v>103</v>
      </c>
      <c r="AV13" s="65" t="s">
        <v>75</v>
      </c>
    </row>
    <row r="14" spans="1:53" x14ac:dyDescent="0.15">
      <c r="A14" s="55" t="s">
        <v>41</v>
      </c>
      <c r="B14" s="237" t="s">
        <v>338</v>
      </c>
      <c r="C14" s="152">
        <v>2018</v>
      </c>
      <c r="D14" s="56" t="s">
        <v>345</v>
      </c>
      <c r="E14" s="237" t="s">
        <v>290</v>
      </c>
      <c r="F14" s="55" t="s">
        <v>295</v>
      </c>
      <c r="G14" s="55" t="s">
        <v>42</v>
      </c>
      <c r="H14" s="55" t="s">
        <v>165</v>
      </c>
      <c r="I14" s="55" t="s">
        <v>155</v>
      </c>
      <c r="J14" s="55" t="s">
        <v>38</v>
      </c>
      <c r="K14" s="55" t="s">
        <v>156</v>
      </c>
      <c r="L14" s="237">
        <v>1</v>
      </c>
      <c r="M14" s="55"/>
      <c r="N14" s="55">
        <v>5</v>
      </c>
      <c r="O14" s="55">
        <v>0.6</v>
      </c>
      <c r="P14" s="55">
        <v>0.6</v>
      </c>
      <c r="Q14" s="82">
        <f t="shared" si="0"/>
        <v>0.6</v>
      </c>
      <c r="R14" s="55">
        <v>16.5</v>
      </c>
      <c r="S14" s="55">
        <v>125</v>
      </c>
      <c r="T14" s="77">
        <f t="shared" si="1"/>
        <v>27</v>
      </c>
      <c r="U14" s="55">
        <v>645</v>
      </c>
      <c r="V14" s="78">
        <f t="shared" si="2"/>
        <v>3483</v>
      </c>
      <c r="W14" s="55">
        <v>1</v>
      </c>
      <c r="X14" s="55" t="s">
        <v>46</v>
      </c>
      <c r="Y14" s="55" t="s">
        <v>97</v>
      </c>
      <c r="Z14" s="55" t="s">
        <v>78</v>
      </c>
      <c r="AA14" s="55" t="s">
        <v>102</v>
      </c>
      <c r="AB14" s="39" t="s">
        <v>340</v>
      </c>
      <c r="AE14" s="223" t="s">
        <v>76</v>
      </c>
      <c r="AG14" s="231"/>
      <c r="AH14" s="231"/>
      <c r="AP14" s="65" t="s">
        <v>74</v>
      </c>
      <c r="AR14" s="231" t="s">
        <v>125</v>
      </c>
      <c r="AV14" s="65" t="s">
        <v>78</v>
      </c>
    </row>
    <row r="15" spans="1:53" x14ac:dyDescent="0.15">
      <c r="A15" s="55" t="s">
        <v>41</v>
      </c>
      <c r="B15" s="237" t="s">
        <v>338</v>
      </c>
      <c r="C15" s="152">
        <v>2018</v>
      </c>
      <c r="D15" s="56" t="s">
        <v>345</v>
      </c>
      <c r="E15" s="237" t="s">
        <v>290</v>
      </c>
      <c r="F15" s="55" t="s">
        <v>295</v>
      </c>
      <c r="G15" s="55" t="s">
        <v>42</v>
      </c>
      <c r="H15" s="55" t="s">
        <v>165</v>
      </c>
      <c r="I15" s="55" t="s">
        <v>155</v>
      </c>
      <c r="J15" s="55" t="s">
        <v>38</v>
      </c>
      <c r="K15" s="55" t="s">
        <v>156</v>
      </c>
      <c r="L15" s="237">
        <v>2</v>
      </c>
      <c r="N15" s="55">
        <v>5</v>
      </c>
      <c r="O15" s="55">
        <v>0.55000000000000004</v>
      </c>
      <c r="P15" s="55">
        <v>0.6</v>
      </c>
      <c r="Q15" s="82">
        <f t="shared" si="0"/>
        <v>0.57499999999999996</v>
      </c>
      <c r="R15" s="55">
        <v>17.100000000000001</v>
      </c>
      <c r="S15" s="55">
        <v>123</v>
      </c>
      <c r="T15" s="77">
        <f t="shared" si="1"/>
        <v>27</v>
      </c>
      <c r="U15" s="55">
        <v>645</v>
      </c>
      <c r="V15" s="78">
        <f t="shared" si="2"/>
        <v>3483</v>
      </c>
      <c r="W15" s="55">
        <v>1</v>
      </c>
      <c r="X15" s="55" t="s">
        <v>46</v>
      </c>
      <c r="Y15" s="55" t="s">
        <v>97</v>
      </c>
      <c r="Z15" s="55" t="s">
        <v>78</v>
      </c>
      <c r="AA15" s="55" t="s">
        <v>102</v>
      </c>
      <c r="AB15" s="39" t="s">
        <v>340</v>
      </c>
      <c r="AE15" s="223" t="s">
        <v>79</v>
      </c>
      <c r="AG15" s="231"/>
      <c r="AH15" s="231"/>
      <c r="AP15" s="65" t="s">
        <v>77</v>
      </c>
      <c r="AR15" s="231" t="s">
        <v>94</v>
      </c>
      <c r="AV15" s="65" t="s">
        <v>107</v>
      </c>
    </row>
    <row r="16" spans="1:53" x14ac:dyDescent="0.15">
      <c r="A16" s="55" t="s">
        <v>41</v>
      </c>
      <c r="B16" s="237" t="s">
        <v>338</v>
      </c>
      <c r="C16" s="152">
        <v>2018</v>
      </c>
      <c r="D16" s="56" t="s">
        <v>345</v>
      </c>
      <c r="E16" s="237" t="s">
        <v>290</v>
      </c>
      <c r="F16" s="55" t="s">
        <v>295</v>
      </c>
      <c r="G16" s="55" t="s">
        <v>42</v>
      </c>
      <c r="H16" s="55" t="s">
        <v>165</v>
      </c>
      <c r="I16" s="55" t="s">
        <v>155</v>
      </c>
      <c r="J16" s="55" t="s">
        <v>38</v>
      </c>
      <c r="K16" s="55" t="s">
        <v>156</v>
      </c>
      <c r="L16" s="237">
        <v>3</v>
      </c>
      <c r="N16" s="55">
        <v>5</v>
      </c>
      <c r="O16" s="55">
        <v>0.55000000000000004</v>
      </c>
      <c r="P16" s="55">
        <v>0.6</v>
      </c>
      <c r="Q16" s="82">
        <f t="shared" si="0"/>
        <v>0.57499999999999996</v>
      </c>
      <c r="R16" s="55">
        <v>14.4</v>
      </c>
      <c r="S16" s="55">
        <v>124</v>
      </c>
      <c r="T16" s="77">
        <f t="shared" si="1"/>
        <v>27</v>
      </c>
      <c r="U16" s="55">
        <v>645</v>
      </c>
      <c r="V16" s="78">
        <f t="shared" si="2"/>
        <v>3483</v>
      </c>
      <c r="W16" s="237">
        <v>1</v>
      </c>
      <c r="X16" s="55" t="s">
        <v>46</v>
      </c>
      <c r="Y16" s="55" t="s">
        <v>97</v>
      </c>
      <c r="Z16" s="55" t="s">
        <v>78</v>
      </c>
      <c r="AA16" s="55" t="s">
        <v>102</v>
      </c>
      <c r="AB16" s="39" t="s">
        <v>340</v>
      </c>
      <c r="AE16" s="223" t="s">
        <v>82</v>
      </c>
      <c r="AG16" s="71"/>
      <c r="AH16" s="71"/>
      <c r="AP16" s="65" t="s">
        <v>80</v>
      </c>
      <c r="AR16" s="231" t="s">
        <v>63</v>
      </c>
      <c r="AV16" s="65" t="s">
        <v>84</v>
      </c>
    </row>
    <row r="17" spans="1:49" x14ac:dyDescent="0.15">
      <c r="A17" s="55" t="s">
        <v>41</v>
      </c>
      <c r="B17" s="237" t="s">
        <v>338</v>
      </c>
      <c r="C17" s="152">
        <v>2018</v>
      </c>
      <c r="D17" s="56" t="s">
        <v>345</v>
      </c>
      <c r="E17" s="237" t="s">
        <v>290</v>
      </c>
      <c r="F17" s="55" t="s">
        <v>295</v>
      </c>
      <c r="G17" s="55" t="s">
        <v>42</v>
      </c>
      <c r="H17" s="55" t="s">
        <v>165</v>
      </c>
      <c r="I17" s="55" t="s">
        <v>155</v>
      </c>
      <c r="J17" s="55" t="s">
        <v>38</v>
      </c>
      <c r="K17" s="55" t="s">
        <v>156</v>
      </c>
      <c r="L17" s="237">
        <v>1</v>
      </c>
      <c r="M17" s="55"/>
      <c r="N17" s="55">
        <v>1</v>
      </c>
      <c r="O17" s="55">
        <v>0.35</v>
      </c>
      <c r="P17" s="55">
        <v>0.45</v>
      </c>
      <c r="Q17" s="82">
        <f t="shared" si="0"/>
        <v>0.4</v>
      </c>
      <c r="R17" s="55">
        <v>14.8</v>
      </c>
      <c r="S17" s="55">
        <v>124</v>
      </c>
      <c r="T17" s="77">
        <f t="shared" si="1"/>
        <v>27</v>
      </c>
      <c r="U17" s="55">
        <v>105</v>
      </c>
      <c r="V17" s="78">
        <f t="shared" si="2"/>
        <v>2835</v>
      </c>
      <c r="W17" s="55">
        <v>2</v>
      </c>
      <c r="X17" s="55" t="s">
        <v>46</v>
      </c>
      <c r="Y17" s="55" t="s">
        <v>97</v>
      </c>
      <c r="Z17" s="55" t="s">
        <v>78</v>
      </c>
      <c r="AA17" s="55" t="s">
        <v>102</v>
      </c>
      <c r="AB17" s="39" t="s">
        <v>340</v>
      </c>
      <c r="AE17" s="223" t="s">
        <v>85</v>
      </c>
      <c r="AP17" s="239" t="s">
        <v>110</v>
      </c>
      <c r="AR17" s="231" t="s">
        <v>96</v>
      </c>
      <c r="AV17" s="65" t="s">
        <v>86</v>
      </c>
    </row>
    <row r="18" spans="1:49" x14ac:dyDescent="0.15">
      <c r="A18" s="55" t="s">
        <v>41</v>
      </c>
      <c r="B18" s="237" t="s">
        <v>338</v>
      </c>
      <c r="C18" s="152">
        <v>2018</v>
      </c>
      <c r="D18" s="56" t="s">
        <v>345</v>
      </c>
      <c r="E18" s="237" t="s">
        <v>290</v>
      </c>
      <c r="F18" s="55" t="s">
        <v>295</v>
      </c>
      <c r="G18" s="55" t="s">
        <v>42</v>
      </c>
      <c r="H18" s="55" t="s">
        <v>165</v>
      </c>
      <c r="I18" s="55" t="s">
        <v>155</v>
      </c>
      <c r="J18" s="55" t="s">
        <v>38</v>
      </c>
      <c r="K18" s="55" t="s">
        <v>156</v>
      </c>
      <c r="L18" s="237">
        <v>2</v>
      </c>
      <c r="N18" s="55">
        <v>1</v>
      </c>
      <c r="O18" s="55">
        <v>0.7</v>
      </c>
      <c r="P18" s="55">
        <v>0.65</v>
      </c>
      <c r="Q18" s="82">
        <f t="shared" si="0"/>
        <v>0.67500000000000004</v>
      </c>
      <c r="R18" s="55">
        <v>14.1</v>
      </c>
      <c r="S18" s="55">
        <v>125</v>
      </c>
      <c r="T18" s="77">
        <f t="shared" si="1"/>
        <v>27</v>
      </c>
      <c r="U18" s="55">
        <v>105</v>
      </c>
      <c r="V18" s="58">
        <f t="shared" si="2"/>
        <v>2835</v>
      </c>
      <c r="W18" s="237">
        <v>2</v>
      </c>
      <c r="X18" s="55" t="s">
        <v>46</v>
      </c>
      <c r="Y18" s="55" t="s">
        <v>97</v>
      </c>
      <c r="Z18" s="55" t="s">
        <v>78</v>
      </c>
      <c r="AA18" s="55" t="s">
        <v>102</v>
      </c>
      <c r="AB18" s="39" t="s">
        <v>340</v>
      </c>
      <c r="AE18" s="223" t="s">
        <v>87</v>
      </c>
      <c r="AP18" s="239" t="s">
        <v>111</v>
      </c>
      <c r="AR18" s="231" t="s">
        <v>101</v>
      </c>
      <c r="AV18" s="65" t="s">
        <v>88</v>
      </c>
    </row>
    <row r="19" spans="1:49" x14ac:dyDescent="0.15">
      <c r="A19" s="55" t="s">
        <v>41</v>
      </c>
      <c r="B19" s="237" t="s">
        <v>338</v>
      </c>
      <c r="C19" s="152">
        <v>2018</v>
      </c>
      <c r="D19" s="56" t="s">
        <v>345</v>
      </c>
      <c r="E19" s="237" t="s">
        <v>290</v>
      </c>
      <c r="F19" s="55" t="s">
        <v>295</v>
      </c>
      <c r="G19" s="55" t="s">
        <v>42</v>
      </c>
      <c r="H19" s="55" t="s">
        <v>165</v>
      </c>
      <c r="I19" s="55" t="s">
        <v>155</v>
      </c>
      <c r="J19" s="55" t="s">
        <v>38</v>
      </c>
      <c r="K19" s="55" t="s">
        <v>156</v>
      </c>
      <c r="L19" s="237">
        <v>3</v>
      </c>
      <c r="N19" s="55">
        <v>1</v>
      </c>
      <c r="O19" s="237">
        <v>0.8</v>
      </c>
      <c r="P19" s="237">
        <v>0.75</v>
      </c>
      <c r="Q19" s="57">
        <f t="shared" si="0"/>
        <v>0.77500000000000002</v>
      </c>
      <c r="R19" s="237">
        <v>13.8</v>
      </c>
      <c r="S19" s="237">
        <v>121</v>
      </c>
      <c r="T19" s="77">
        <f t="shared" si="1"/>
        <v>27</v>
      </c>
      <c r="U19" s="55">
        <v>105</v>
      </c>
      <c r="V19" s="58">
        <f t="shared" si="2"/>
        <v>2835</v>
      </c>
      <c r="W19" s="237">
        <v>2</v>
      </c>
      <c r="X19" s="55" t="s">
        <v>46</v>
      </c>
      <c r="Y19" s="55" t="s">
        <v>97</v>
      </c>
      <c r="Z19" s="55" t="s">
        <v>78</v>
      </c>
      <c r="AA19" s="55" t="s">
        <v>102</v>
      </c>
      <c r="AB19" s="39" t="s">
        <v>340</v>
      </c>
      <c r="AE19" s="236" t="s">
        <v>89</v>
      </c>
      <c r="AP19" s="239" t="s">
        <v>112</v>
      </c>
      <c r="AR19" s="231" t="s">
        <v>126</v>
      </c>
      <c r="AV19" s="65" t="s">
        <v>90</v>
      </c>
    </row>
    <row r="20" spans="1:49" x14ac:dyDescent="0.15">
      <c r="A20" s="55" t="s">
        <v>41</v>
      </c>
      <c r="B20" s="237" t="s">
        <v>338</v>
      </c>
      <c r="C20" s="152">
        <v>2018</v>
      </c>
      <c r="D20" s="56" t="s">
        <v>345</v>
      </c>
      <c r="E20" s="237" t="s">
        <v>290</v>
      </c>
      <c r="F20" s="55" t="s">
        <v>295</v>
      </c>
      <c r="G20" s="55" t="s">
        <v>42</v>
      </c>
      <c r="H20" s="55" t="s">
        <v>165</v>
      </c>
      <c r="I20" s="55" t="s">
        <v>155</v>
      </c>
      <c r="J20" s="55" t="s">
        <v>38</v>
      </c>
      <c r="K20" s="55" t="s">
        <v>156</v>
      </c>
      <c r="L20" s="237">
        <v>1</v>
      </c>
      <c r="N20" s="55">
        <v>3</v>
      </c>
      <c r="O20" s="237">
        <v>0.25</v>
      </c>
      <c r="P20" s="237">
        <v>0.35</v>
      </c>
      <c r="Q20" s="57">
        <f t="shared" si="0"/>
        <v>0.3</v>
      </c>
      <c r="R20" s="237">
        <v>15.9</v>
      </c>
      <c r="S20" s="237">
        <v>131</v>
      </c>
      <c r="T20" s="57">
        <f t="shared" si="1"/>
        <v>25</v>
      </c>
      <c r="U20" s="55">
        <v>429</v>
      </c>
      <c r="V20" s="58">
        <f t="shared" si="2"/>
        <v>3575</v>
      </c>
      <c r="W20" s="237">
        <v>1</v>
      </c>
      <c r="X20" s="55" t="s">
        <v>46</v>
      </c>
      <c r="Y20" s="55" t="s">
        <v>97</v>
      </c>
      <c r="Z20" s="55" t="s">
        <v>78</v>
      </c>
      <c r="AA20" s="55" t="s">
        <v>102</v>
      </c>
      <c r="AB20" s="39" t="s">
        <v>340</v>
      </c>
      <c r="AE20" s="236"/>
      <c r="AP20" s="239" t="s">
        <v>113</v>
      </c>
      <c r="AR20" s="231" t="s">
        <v>105</v>
      </c>
      <c r="AV20" s="69" t="s">
        <v>347</v>
      </c>
    </row>
    <row r="21" spans="1:49" x14ac:dyDescent="0.15">
      <c r="A21" s="55" t="s">
        <v>41</v>
      </c>
      <c r="B21" s="237" t="s">
        <v>338</v>
      </c>
      <c r="C21" s="152">
        <v>2018</v>
      </c>
      <c r="D21" s="56" t="s">
        <v>345</v>
      </c>
      <c r="E21" s="237" t="s">
        <v>290</v>
      </c>
      <c r="F21" s="55" t="s">
        <v>295</v>
      </c>
      <c r="G21" s="55" t="s">
        <v>42</v>
      </c>
      <c r="H21" s="55" t="s">
        <v>165</v>
      </c>
      <c r="I21" s="55" t="s">
        <v>155</v>
      </c>
      <c r="J21" s="55" t="s">
        <v>38</v>
      </c>
      <c r="K21" s="55" t="s">
        <v>156</v>
      </c>
      <c r="L21" s="237">
        <v>2</v>
      </c>
      <c r="N21" s="55">
        <v>3</v>
      </c>
      <c r="O21" s="237">
        <v>0.25</v>
      </c>
      <c r="P21" s="237">
        <v>0.35</v>
      </c>
      <c r="Q21" s="57">
        <f t="shared" si="0"/>
        <v>0.3</v>
      </c>
      <c r="R21" s="237">
        <v>15.4</v>
      </c>
      <c r="S21" s="237">
        <v>124</v>
      </c>
      <c r="T21" s="57">
        <f t="shared" si="1"/>
        <v>27</v>
      </c>
      <c r="U21" s="55">
        <v>429</v>
      </c>
      <c r="V21" s="58">
        <f t="shared" si="2"/>
        <v>3861</v>
      </c>
      <c r="W21" s="237">
        <v>1</v>
      </c>
      <c r="X21" s="55" t="s">
        <v>46</v>
      </c>
      <c r="Y21" s="55" t="s">
        <v>97</v>
      </c>
      <c r="Z21" s="55" t="s">
        <v>78</v>
      </c>
      <c r="AA21" s="55" t="s">
        <v>102</v>
      </c>
      <c r="AB21" s="39" t="s">
        <v>340</v>
      </c>
      <c r="AE21" s="244"/>
      <c r="AP21" s="239" t="s">
        <v>114</v>
      </c>
      <c r="AR21" s="231" t="s">
        <v>68</v>
      </c>
      <c r="AV21" s="69" t="s">
        <v>348</v>
      </c>
    </row>
    <row r="22" spans="1:49" x14ac:dyDescent="0.15">
      <c r="A22" s="55" t="s">
        <v>41</v>
      </c>
      <c r="B22" s="237" t="s">
        <v>338</v>
      </c>
      <c r="C22" s="152">
        <v>2018</v>
      </c>
      <c r="D22" s="56" t="s">
        <v>345</v>
      </c>
      <c r="E22" s="237" t="s">
        <v>290</v>
      </c>
      <c r="F22" s="55" t="s">
        <v>295</v>
      </c>
      <c r="G22" s="55" t="s">
        <v>42</v>
      </c>
      <c r="H22" s="55" t="s">
        <v>165</v>
      </c>
      <c r="I22" s="55" t="s">
        <v>155</v>
      </c>
      <c r="J22" s="55" t="s">
        <v>38</v>
      </c>
      <c r="K22" s="55" t="s">
        <v>156</v>
      </c>
      <c r="L22" s="237">
        <v>3</v>
      </c>
      <c r="N22" s="55">
        <v>3</v>
      </c>
      <c r="O22" s="55">
        <v>0.8</v>
      </c>
      <c r="P22" s="55">
        <v>0.65</v>
      </c>
      <c r="Q22" s="57">
        <f t="shared" si="0"/>
        <v>0.72500000000000009</v>
      </c>
      <c r="R22" s="237">
        <v>15.8</v>
      </c>
      <c r="S22" s="55">
        <v>127</v>
      </c>
      <c r="T22" s="57">
        <f t="shared" si="1"/>
        <v>27</v>
      </c>
      <c r="U22" s="55">
        <v>429</v>
      </c>
      <c r="V22" s="58">
        <f t="shared" si="2"/>
        <v>3861</v>
      </c>
      <c r="W22" s="237">
        <v>1</v>
      </c>
      <c r="X22" s="55" t="s">
        <v>46</v>
      </c>
      <c r="Y22" s="55" t="s">
        <v>97</v>
      </c>
      <c r="Z22" s="55" t="s">
        <v>78</v>
      </c>
      <c r="AA22" s="55" t="s">
        <v>102</v>
      </c>
      <c r="AB22" s="39" t="s">
        <v>340</v>
      </c>
      <c r="AP22" s="239" t="s">
        <v>115</v>
      </c>
      <c r="AR22" s="231" t="s">
        <v>83</v>
      </c>
      <c r="AV22" s="69"/>
    </row>
    <row r="23" spans="1:49" x14ac:dyDescent="0.15">
      <c r="A23" s="55" t="s">
        <v>41</v>
      </c>
      <c r="B23" s="237" t="s">
        <v>338</v>
      </c>
      <c r="C23" s="152">
        <v>2018</v>
      </c>
      <c r="D23" s="56" t="s">
        <v>345</v>
      </c>
      <c r="E23" s="237" t="s">
        <v>290</v>
      </c>
      <c r="F23" s="55" t="s">
        <v>295</v>
      </c>
      <c r="G23" s="55" t="s">
        <v>42</v>
      </c>
      <c r="H23" s="55" t="s">
        <v>157</v>
      </c>
      <c r="I23" s="55" t="s">
        <v>155</v>
      </c>
      <c r="J23" s="55" t="s">
        <v>38</v>
      </c>
      <c r="K23" s="55" t="s">
        <v>156</v>
      </c>
      <c r="L23" s="237">
        <v>1</v>
      </c>
      <c r="M23" s="55"/>
      <c r="N23" s="55">
        <v>6</v>
      </c>
      <c r="O23" s="55">
        <v>0.9</v>
      </c>
      <c r="P23" s="55">
        <v>0.75</v>
      </c>
      <c r="Q23" s="57">
        <f t="shared" si="0"/>
        <v>0.82499999999999996</v>
      </c>
      <c r="R23" s="237">
        <v>16.8</v>
      </c>
      <c r="S23" s="55">
        <v>115</v>
      </c>
      <c r="T23" s="77">
        <f t="shared" si="1"/>
        <v>30</v>
      </c>
      <c r="U23" s="55">
        <v>537</v>
      </c>
      <c r="V23" s="78">
        <f t="shared" si="2"/>
        <v>2685</v>
      </c>
      <c r="W23" s="55">
        <v>1</v>
      </c>
      <c r="X23" s="55" t="s">
        <v>46</v>
      </c>
      <c r="Y23" s="55" t="s">
        <v>97</v>
      </c>
      <c r="Z23" s="55" t="s">
        <v>78</v>
      </c>
      <c r="AA23" s="55" t="s">
        <v>102</v>
      </c>
      <c r="AB23" s="39" t="s">
        <v>340</v>
      </c>
      <c r="AP23" s="239" t="s">
        <v>117</v>
      </c>
      <c r="AR23" s="244" t="s">
        <v>289</v>
      </c>
      <c r="AV23" s="244"/>
    </row>
    <row r="24" spans="1:49" x14ac:dyDescent="0.15">
      <c r="A24" s="55" t="s">
        <v>41</v>
      </c>
      <c r="B24" s="237" t="s">
        <v>338</v>
      </c>
      <c r="C24" s="152">
        <v>2018</v>
      </c>
      <c r="D24" s="56" t="s">
        <v>345</v>
      </c>
      <c r="E24" s="237" t="s">
        <v>290</v>
      </c>
      <c r="F24" s="55" t="s">
        <v>295</v>
      </c>
      <c r="G24" s="55" t="s">
        <v>42</v>
      </c>
      <c r="H24" s="55" t="s">
        <v>157</v>
      </c>
      <c r="I24" s="55" t="s">
        <v>155</v>
      </c>
      <c r="J24" s="55" t="s">
        <v>38</v>
      </c>
      <c r="K24" s="55" t="s">
        <v>156</v>
      </c>
      <c r="L24" s="237">
        <v>2</v>
      </c>
      <c r="N24" s="55">
        <v>6</v>
      </c>
      <c r="O24" s="55">
        <v>0.75</v>
      </c>
      <c r="P24" s="55">
        <v>0.8</v>
      </c>
      <c r="Q24" s="57">
        <f t="shared" si="0"/>
        <v>0.77500000000000002</v>
      </c>
      <c r="R24" s="237">
        <v>14.7</v>
      </c>
      <c r="S24" s="55">
        <v>120</v>
      </c>
      <c r="T24" s="77">
        <f t="shared" si="1"/>
        <v>30</v>
      </c>
      <c r="U24" s="55">
        <v>537</v>
      </c>
      <c r="V24" s="58">
        <f t="shared" si="2"/>
        <v>2685</v>
      </c>
      <c r="W24" s="237">
        <v>1</v>
      </c>
      <c r="X24" s="55" t="s">
        <v>46</v>
      </c>
      <c r="Y24" s="55" t="s">
        <v>97</v>
      </c>
      <c r="Z24" s="55" t="s">
        <v>78</v>
      </c>
      <c r="AA24" s="55" t="s">
        <v>102</v>
      </c>
      <c r="AB24" s="39" t="s">
        <v>340</v>
      </c>
      <c r="AP24" s="239" t="s">
        <v>118</v>
      </c>
    </row>
    <row r="25" spans="1:49" x14ac:dyDescent="0.15">
      <c r="A25" s="55" t="s">
        <v>41</v>
      </c>
      <c r="B25" s="237" t="s">
        <v>338</v>
      </c>
      <c r="C25" s="152">
        <v>2018</v>
      </c>
      <c r="D25" s="56" t="s">
        <v>345</v>
      </c>
      <c r="E25" s="237" t="s">
        <v>290</v>
      </c>
      <c r="F25" s="55" t="s">
        <v>295</v>
      </c>
      <c r="G25" s="55" t="s">
        <v>42</v>
      </c>
      <c r="H25" s="55" t="s">
        <v>157</v>
      </c>
      <c r="I25" s="55" t="s">
        <v>155</v>
      </c>
      <c r="J25" s="55" t="s">
        <v>38</v>
      </c>
      <c r="K25" s="55" t="s">
        <v>156</v>
      </c>
      <c r="L25" s="237">
        <v>3</v>
      </c>
      <c r="N25" s="55">
        <v>6</v>
      </c>
      <c r="O25" s="55">
        <v>0.85</v>
      </c>
      <c r="P25" s="55">
        <v>0.6</v>
      </c>
      <c r="Q25" s="57">
        <f t="shared" si="0"/>
        <v>0.72499999999999998</v>
      </c>
      <c r="R25" s="237">
        <v>13.5</v>
      </c>
      <c r="S25" s="55">
        <v>117</v>
      </c>
      <c r="T25" s="77">
        <f t="shared" si="1"/>
        <v>30</v>
      </c>
      <c r="U25" s="55">
        <v>537</v>
      </c>
      <c r="V25" s="58">
        <f t="shared" si="2"/>
        <v>2685</v>
      </c>
      <c r="W25" s="237">
        <v>1</v>
      </c>
      <c r="X25" s="55" t="s">
        <v>46</v>
      </c>
      <c r="Y25" s="55" t="s">
        <v>97</v>
      </c>
      <c r="Z25" s="55" t="s">
        <v>78</v>
      </c>
      <c r="AA25" s="55" t="s">
        <v>102</v>
      </c>
      <c r="AB25" s="39" t="s">
        <v>340</v>
      </c>
    </row>
    <row r="26" spans="1:49" x14ac:dyDescent="0.15">
      <c r="A26" s="55" t="s">
        <v>41</v>
      </c>
      <c r="B26" s="237" t="s">
        <v>338</v>
      </c>
      <c r="C26" s="152">
        <v>2018</v>
      </c>
      <c r="D26" s="56" t="s">
        <v>345</v>
      </c>
      <c r="E26" s="237" t="s">
        <v>290</v>
      </c>
      <c r="F26" s="55" t="s">
        <v>295</v>
      </c>
      <c r="G26" s="55" t="s">
        <v>42</v>
      </c>
      <c r="H26" s="55" t="s">
        <v>157</v>
      </c>
      <c r="I26" s="55" t="s">
        <v>155</v>
      </c>
      <c r="J26" s="55" t="s">
        <v>38</v>
      </c>
      <c r="K26" s="55" t="s">
        <v>156</v>
      </c>
      <c r="L26" s="237">
        <v>1</v>
      </c>
      <c r="M26" s="55"/>
      <c r="N26" s="55">
        <v>3</v>
      </c>
      <c r="O26" s="55">
        <v>0.5</v>
      </c>
      <c r="P26" s="55">
        <v>0.55000000000000004</v>
      </c>
      <c r="Q26" s="57">
        <f t="shared" si="0"/>
        <v>0.52500000000000002</v>
      </c>
      <c r="R26" s="237">
        <v>12.8</v>
      </c>
      <c r="S26" s="55">
        <v>124</v>
      </c>
      <c r="T26" s="77">
        <f t="shared" si="1"/>
        <v>27</v>
      </c>
      <c r="U26" s="55">
        <v>429</v>
      </c>
      <c r="V26" s="78">
        <f t="shared" si="2"/>
        <v>3861</v>
      </c>
      <c r="W26" s="55">
        <v>1</v>
      </c>
      <c r="X26" s="55" t="s">
        <v>46</v>
      </c>
      <c r="Y26" s="55" t="s">
        <v>97</v>
      </c>
      <c r="Z26" s="55" t="s">
        <v>78</v>
      </c>
      <c r="AA26" s="55" t="s">
        <v>102</v>
      </c>
      <c r="AB26" s="39" t="s">
        <v>340</v>
      </c>
    </row>
    <row r="27" spans="1:49" x14ac:dyDescent="0.15">
      <c r="A27" s="55" t="s">
        <v>41</v>
      </c>
      <c r="B27" s="237" t="s">
        <v>338</v>
      </c>
      <c r="C27" s="152">
        <v>2018</v>
      </c>
      <c r="D27" s="56" t="s">
        <v>345</v>
      </c>
      <c r="E27" s="237" t="s">
        <v>290</v>
      </c>
      <c r="F27" s="55" t="s">
        <v>295</v>
      </c>
      <c r="G27" s="55" t="s">
        <v>42</v>
      </c>
      <c r="H27" s="55" t="s">
        <v>157</v>
      </c>
      <c r="I27" s="55" t="s">
        <v>155</v>
      </c>
      <c r="J27" s="55" t="s">
        <v>38</v>
      </c>
      <c r="K27" s="55" t="s">
        <v>156</v>
      </c>
      <c r="L27" s="237">
        <v>2</v>
      </c>
      <c r="N27" s="55">
        <v>3</v>
      </c>
      <c r="O27" s="55">
        <v>0.5</v>
      </c>
      <c r="P27" s="55">
        <v>0.65</v>
      </c>
      <c r="Q27" s="57">
        <f t="shared" si="0"/>
        <v>0.57499999999999996</v>
      </c>
      <c r="R27" s="237">
        <v>13.3</v>
      </c>
      <c r="S27" s="55">
        <v>122</v>
      </c>
      <c r="T27" s="77">
        <f t="shared" si="1"/>
        <v>27</v>
      </c>
      <c r="U27" s="55">
        <v>429</v>
      </c>
      <c r="V27" s="78">
        <f t="shared" si="2"/>
        <v>3861</v>
      </c>
      <c r="W27" s="55">
        <v>1</v>
      </c>
      <c r="X27" s="55" t="s">
        <v>46</v>
      </c>
      <c r="Y27" s="55" t="s">
        <v>97</v>
      </c>
      <c r="Z27" s="55" t="s">
        <v>78</v>
      </c>
      <c r="AA27" s="55" t="s">
        <v>102</v>
      </c>
      <c r="AB27" s="39" t="s">
        <v>340</v>
      </c>
    </row>
    <row r="28" spans="1:49" x14ac:dyDescent="0.15">
      <c r="A28" s="55" t="s">
        <v>41</v>
      </c>
      <c r="B28" s="237" t="s">
        <v>338</v>
      </c>
      <c r="C28" s="152">
        <v>2018</v>
      </c>
      <c r="D28" s="56" t="s">
        <v>345</v>
      </c>
      <c r="E28" s="237" t="s">
        <v>290</v>
      </c>
      <c r="F28" s="55" t="s">
        <v>295</v>
      </c>
      <c r="G28" s="55" t="s">
        <v>42</v>
      </c>
      <c r="H28" s="55" t="s">
        <v>157</v>
      </c>
      <c r="I28" s="55" t="s">
        <v>155</v>
      </c>
      <c r="J28" s="55" t="s">
        <v>38</v>
      </c>
      <c r="K28" s="55" t="s">
        <v>156</v>
      </c>
      <c r="L28" s="237">
        <v>3</v>
      </c>
      <c r="N28" s="55">
        <v>3</v>
      </c>
      <c r="O28" s="55">
        <v>0.45</v>
      </c>
      <c r="P28" s="55">
        <v>0.5</v>
      </c>
      <c r="Q28" s="57">
        <f t="shared" si="0"/>
        <v>0.47499999999999998</v>
      </c>
      <c r="R28" s="237">
        <v>14.7</v>
      </c>
      <c r="S28" s="55">
        <v>120</v>
      </c>
      <c r="T28" s="77">
        <f t="shared" si="1"/>
        <v>30</v>
      </c>
      <c r="U28" s="55">
        <v>429</v>
      </c>
      <c r="V28" s="78">
        <f t="shared" si="2"/>
        <v>4290</v>
      </c>
      <c r="W28" s="237">
        <v>1</v>
      </c>
      <c r="X28" s="55" t="s">
        <v>46</v>
      </c>
      <c r="Y28" s="55" t="s">
        <v>97</v>
      </c>
      <c r="Z28" s="55" t="s">
        <v>78</v>
      </c>
      <c r="AA28" s="55" t="s">
        <v>102</v>
      </c>
      <c r="AB28" s="39" t="s">
        <v>340</v>
      </c>
    </row>
    <row r="29" spans="1:49" x14ac:dyDescent="0.15">
      <c r="A29" s="55" t="s">
        <v>41</v>
      </c>
      <c r="B29" s="237" t="s">
        <v>338</v>
      </c>
      <c r="C29" s="152">
        <v>2018</v>
      </c>
      <c r="D29" s="56" t="s">
        <v>345</v>
      </c>
      <c r="E29" s="237" t="s">
        <v>290</v>
      </c>
      <c r="F29" s="237" t="s">
        <v>295</v>
      </c>
      <c r="G29" s="55" t="s">
        <v>42</v>
      </c>
      <c r="H29" s="55" t="s">
        <v>157</v>
      </c>
      <c r="I29" s="55" t="s">
        <v>155</v>
      </c>
      <c r="J29" s="55" t="s">
        <v>38</v>
      </c>
      <c r="K29" s="55" t="s">
        <v>156</v>
      </c>
      <c r="L29" s="237">
        <v>1</v>
      </c>
      <c r="M29" s="55"/>
      <c r="N29" s="55">
        <v>1</v>
      </c>
      <c r="O29" s="55">
        <v>0.8</v>
      </c>
      <c r="P29" s="55">
        <v>0.65</v>
      </c>
      <c r="Q29" s="57">
        <f t="shared" si="0"/>
        <v>0.72500000000000009</v>
      </c>
      <c r="R29" s="237">
        <v>17</v>
      </c>
      <c r="S29" s="55">
        <v>124</v>
      </c>
      <c r="T29" s="77">
        <f t="shared" si="1"/>
        <v>27</v>
      </c>
      <c r="U29" s="55">
        <v>105</v>
      </c>
      <c r="V29" s="78">
        <f t="shared" si="2"/>
        <v>2835</v>
      </c>
      <c r="W29" s="55">
        <v>2</v>
      </c>
      <c r="X29" s="55" t="s">
        <v>46</v>
      </c>
      <c r="Y29" s="55" t="s">
        <v>97</v>
      </c>
      <c r="Z29" s="55" t="s">
        <v>78</v>
      </c>
      <c r="AA29" s="55" t="s">
        <v>102</v>
      </c>
      <c r="AB29" s="39" t="s">
        <v>340</v>
      </c>
    </row>
    <row r="30" spans="1:49" x14ac:dyDescent="0.15">
      <c r="A30" s="55" t="s">
        <v>41</v>
      </c>
      <c r="B30" s="237" t="s">
        <v>338</v>
      </c>
      <c r="C30" s="152">
        <v>2018</v>
      </c>
      <c r="D30" s="56" t="s">
        <v>345</v>
      </c>
      <c r="E30" s="237" t="s">
        <v>290</v>
      </c>
      <c r="F30" s="237" t="s">
        <v>295</v>
      </c>
      <c r="G30" s="55" t="s">
        <v>42</v>
      </c>
      <c r="H30" s="55" t="s">
        <v>157</v>
      </c>
      <c r="I30" s="55" t="s">
        <v>155</v>
      </c>
      <c r="J30" s="55" t="s">
        <v>38</v>
      </c>
      <c r="K30" s="55" t="s">
        <v>156</v>
      </c>
      <c r="L30" s="237">
        <v>2</v>
      </c>
      <c r="N30" s="55">
        <v>1</v>
      </c>
      <c r="O30" s="55">
        <v>0.75</v>
      </c>
      <c r="P30" s="55">
        <v>0.75</v>
      </c>
      <c r="Q30" s="57">
        <f t="shared" si="0"/>
        <v>0.75</v>
      </c>
      <c r="R30" s="237">
        <v>15.4</v>
      </c>
      <c r="S30" s="55">
        <v>126</v>
      </c>
      <c r="T30" s="77">
        <f t="shared" si="1"/>
        <v>27</v>
      </c>
      <c r="U30" s="55">
        <v>105</v>
      </c>
      <c r="V30" s="58">
        <f t="shared" si="2"/>
        <v>2835</v>
      </c>
      <c r="W30" s="237">
        <v>2</v>
      </c>
      <c r="X30" s="55" t="s">
        <v>46</v>
      </c>
      <c r="Y30" s="55" t="s">
        <v>97</v>
      </c>
      <c r="Z30" s="55" t="s">
        <v>78</v>
      </c>
      <c r="AA30" s="55" t="s">
        <v>102</v>
      </c>
      <c r="AB30" s="39" t="s">
        <v>340</v>
      </c>
      <c r="AE30" s="253"/>
      <c r="AF30" s="253"/>
      <c r="AG30" s="253"/>
      <c r="AH30" s="253"/>
      <c r="AI30" s="253"/>
      <c r="AJ30" s="253"/>
      <c r="AK30" s="253"/>
      <c r="AL30" s="253"/>
      <c r="AM30" s="253"/>
      <c r="AN30" s="253"/>
      <c r="AO30" s="253"/>
      <c r="AP30" s="253"/>
      <c r="AQ30" s="253"/>
      <c r="AR30" s="253"/>
      <c r="AS30" s="253"/>
      <c r="AT30" s="253"/>
      <c r="AU30" s="253"/>
      <c r="AV30" s="253"/>
      <c r="AW30" s="253"/>
    </row>
    <row r="31" spans="1:49" x14ac:dyDescent="0.15">
      <c r="A31" s="55" t="s">
        <v>41</v>
      </c>
      <c r="B31" s="237" t="s">
        <v>338</v>
      </c>
      <c r="C31" s="152">
        <v>2018</v>
      </c>
      <c r="D31" s="56" t="s">
        <v>345</v>
      </c>
      <c r="E31" s="237" t="s">
        <v>290</v>
      </c>
      <c r="F31" s="237" t="s">
        <v>295</v>
      </c>
      <c r="G31" s="55" t="s">
        <v>42</v>
      </c>
      <c r="H31" s="55" t="s">
        <v>157</v>
      </c>
      <c r="I31" s="55" t="s">
        <v>155</v>
      </c>
      <c r="J31" s="55" t="s">
        <v>38</v>
      </c>
      <c r="K31" s="55" t="s">
        <v>156</v>
      </c>
      <c r="L31" s="237">
        <v>3</v>
      </c>
      <c r="N31" s="55">
        <v>1</v>
      </c>
      <c r="O31" s="55">
        <v>0.35</v>
      </c>
      <c r="P31" s="55">
        <v>0.35</v>
      </c>
      <c r="Q31" s="57">
        <f t="shared" si="0"/>
        <v>0.35</v>
      </c>
      <c r="R31" s="237">
        <v>12.9</v>
      </c>
      <c r="S31" s="55">
        <v>126</v>
      </c>
      <c r="T31" s="77">
        <f t="shared" si="1"/>
        <v>27</v>
      </c>
      <c r="U31" s="55">
        <v>105</v>
      </c>
      <c r="V31" s="58">
        <f t="shared" si="2"/>
        <v>2835</v>
      </c>
      <c r="W31" s="237">
        <v>2</v>
      </c>
      <c r="X31" s="55" t="s">
        <v>46</v>
      </c>
      <c r="Y31" s="55" t="s">
        <v>97</v>
      </c>
      <c r="Z31" s="55" t="s">
        <v>78</v>
      </c>
      <c r="AA31" s="55" t="s">
        <v>102</v>
      </c>
      <c r="AB31" s="39" t="s">
        <v>340</v>
      </c>
      <c r="AE31" s="253"/>
      <c r="AF31" s="253"/>
      <c r="AG31" s="253"/>
      <c r="AH31" s="253"/>
      <c r="AI31" s="253"/>
      <c r="AJ31" s="253"/>
      <c r="AK31" s="253"/>
      <c r="AL31" s="253"/>
      <c r="AM31" s="253"/>
      <c r="AN31" s="253"/>
      <c r="AO31" s="253"/>
      <c r="AP31" s="253"/>
      <c r="AQ31" s="253"/>
      <c r="AR31" s="253"/>
      <c r="AS31" s="253"/>
      <c r="AT31" s="253"/>
      <c r="AU31" s="253"/>
      <c r="AV31" s="253"/>
      <c r="AW31" s="253"/>
    </row>
    <row r="32" spans="1:49" x14ac:dyDescent="0.15">
      <c r="A32" s="55" t="s">
        <v>41</v>
      </c>
      <c r="B32" s="237" t="s">
        <v>338</v>
      </c>
      <c r="C32" s="152">
        <v>2018</v>
      </c>
      <c r="D32" s="56" t="s">
        <v>345</v>
      </c>
      <c r="E32" s="237" t="s">
        <v>290</v>
      </c>
      <c r="F32" s="237" t="s">
        <v>295</v>
      </c>
      <c r="G32" s="55" t="s">
        <v>42</v>
      </c>
      <c r="H32" s="55" t="s">
        <v>165</v>
      </c>
      <c r="I32" s="55" t="s">
        <v>155</v>
      </c>
      <c r="J32" s="55" t="s">
        <v>38</v>
      </c>
      <c r="K32" s="55" t="s">
        <v>156</v>
      </c>
      <c r="L32" s="237">
        <v>1</v>
      </c>
      <c r="M32" s="55"/>
      <c r="N32" s="55">
        <v>10</v>
      </c>
      <c r="O32" s="55">
        <v>0.25</v>
      </c>
      <c r="P32" s="55">
        <v>0.25</v>
      </c>
      <c r="Q32" s="57">
        <f t="shared" si="0"/>
        <v>0.25</v>
      </c>
      <c r="R32" s="237">
        <v>16.8</v>
      </c>
      <c r="S32" s="55">
        <v>118</v>
      </c>
      <c r="T32" s="77">
        <f t="shared" si="1"/>
        <v>30</v>
      </c>
      <c r="U32" s="55">
        <v>1058</v>
      </c>
      <c r="V32" s="78">
        <f t="shared" si="2"/>
        <v>3174</v>
      </c>
      <c r="W32" s="55">
        <v>2</v>
      </c>
      <c r="X32" s="55" t="s">
        <v>46</v>
      </c>
      <c r="Y32" s="55" t="s">
        <v>97</v>
      </c>
      <c r="Z32" s="55" t="s">
        <v>78</v>
      </c>
      <c r="AA32" s="55" t="s">
        <v>102</v>
      </c>
      <c r="AB32" s="39" t="s">
        <v>340</v>
      </c>
    </row>
    <row r="33" spans="1:49" x14ac:dyDescent="0.15">
      <c r="A33" s="55" t="s">
        <v>41</v>
      </c>
      <c r="B33" s="237" t="s">
        <v>338</v>
      </c>
      <c r="C33" s="152">
        <v>2018</v>
      </c>
      <c r="D33" s="56" t="s">
        <v>345</v>
      </c>
      <c r="E33" s="237" t="s">
        <v>290</v>
      </c>
      <c r="F33" s="237" t="s">
        <v>295</v>
      </c>
      <c r="G33" s="55" t="s">
        <v>42</v>
      </c>
      <c r="H33" s="55" t="s">
        <v>165</v>
      </c>
      <c r="I33" s="55" t="s">
        <v>155</v>
      </c>
      <c r="J33" s="55" t="s">
        <v>38</v>
      </c>
      <c r="K33" s="55" t="s">
        <v>156</v>
      </c>
      <c r="L33" s="237">
        <v>2</v>
      </c>
      <c r="N33" s="55">
        <v>10</v>
      </c>
      <c r="O33" s="55">
        <v>0.35</v>
      </c>
      <c r="P33" s="55">
        <v>0.25</v>
      </c>
      <c r="Q33" s="57">
        <f t="shared" si="0"/>
        <v>0.3</v>
      </c>
      <c r="R33" s="237">
        <v>17.100000000000001</v>
      </c>
      <c r="S33" s="55">
        <v>120</v>
      </c>
      <c r="T33" s="77">
        <f t="shared" si="1"/>
        <v>30</v>
      </c>
      <c r="U33" s="55">
        <v>1058</v>
      </c>
      <c r="V33" s="58">
        <f t="shared" si="2"/>
        <v>3174</v>
      </c>
      <c r="W33" s="237">
        <v>2</v>
      </c>
      <c r="X33" s="55" t="s">
        <v>46</v>
      </c>
      <c r="Y33" s="55" t="s">
        <v>97</v>
      </c>
      <c r="Z33" s="55" t="s">
        <v>78</v>
      </c>
      <c r="AA33" s="55" t="s">
        <v>102</v>
      </c>
      <c r="AB33" s="39" t="s">
        <v>340</v>
      </c>
      <c r="AE33" s="253"/>
      <c r="AF33" s="253"/>
      <c r="AG33" s="253"/>
      <c r="AH33" s="253"/>
      <c r="AI33" s="253"/>
      <c r="AJ33" s="253"/>
      <c r="AK33" s="253"/>
      <c r="AL33" s="253"/>
      <c r="AM33" s="253"/>
      <c r="AN33" s="253"/>
      <c r="AO33" s="253"/>
      <c r="AP33" s="253"/>
      <c r="AQ33" s="253"/>
      <c r="AR33" s="253"/>
      <c r="AS33" s="253"/>
      <c r="AT33" s="253"/>
      <c r="AU33" s="253"/>
      <c r="AV33" s="253"/>
      <c r="AW33" s="253"/>
    </row>
    <row r="34" spans="1:49" x14ac:dyDescent="0.15">
      <c r="A34" s="55" t="s">
        <v>41</v>
      </c>
      <c r="B34" s="237" t="s">
        <v>338</v>
      </c>
      <c r="C34" s="152">
        <v>2018</v>
      </c>
      <c r="D34" s="56" t="s">
        <v>345</v>
      </c>
      <c r="E34" s="237" t="s">
        <v>290</v>
      </c>
      <c r="F34" s="237" t="s">
        <v>295</v>
      </c>
      <c r="G34" s="55" t="s">
        <v>42</v>
      </c>
      <c r="H34" s="55" t="s">
        <v>165</v>
      </c>
      <c r="I34" s="55" t="s">
        <v>155</v>
      </c>
      <c r="J34" s="55" t="s">
        <v>38</v>
      </c>
      <c r="K34" s="55" t="s">
        <v>156</v>
      </c>
      <c r="L34" s="237">
        <v>3</v>
      </c>
      <c r="N34" s="55">
        <v>10</v>
      </c>
      <c r="O34" s="55">
        <v>0.25</v>
      </c>
      <c r="P34" s="55">
        <v>0.25</v>
      </c>
      <c r="Q34" s="57">
        <f t="shared" si="0"/>
        <v>0.25</v>
      </c>
      <c r="R34" s="237">
        <v>14.3</v>
      </c>
      <c r="S34" s="55">
        <v>114</v>
      </c>
      <c r="T34" s="77">
        <f t="shared" si="1"/>
        <v>30</v>
      </c>
      <c r="U34" s="55">
        <v>1058</v>
      </c>
      <c r="V34" s="58">
        <f t="shared" si="2"/>
        <v>3174</v>
      </c>
      <c r="W34" s="237">
        <v>2</v>
      </c>
      <c r="X34" s="55" t="s">
        <v>46</v>
      </c>
      <c r="Y34" s="55" t="s">
        <v>97</v>
      </c>
      <c r="Z34" s="55" t="s">
        <v>78</v>
      </c>
      <c r="AA34" s="55" t="s">
        <v>102</v>
      </c>
      <c r="AB34" s="39" t="s">
        <v>340</v>
      </c>
      <c r="AE34" s="253"/>
      <c r="AF34" s="253"/>
      <c r="AG34" s="253"/>
      <c r="AH34" s="253"/>
      <c r="AI34" s="253"/>
      <c r="AJ34" s="253"/>
      <c r="AK34" s="253"/>
      <c r="AL34" s="253"/>
      <c r="AM34" s="253"/>
      <c r="AN34" s="253"/>
      <c r="AO34" s="253"/>
      <c r="AP34" s="253"/>
      <c r="AQ34" s="253"/>
      <c r="AR34" s="253"/>
      <c r="AS34" s="253"/>
      <c r="AT34" s="253"/>
      <c r="AU34" s="253"/>
      <c r="AV34" s="253"/>
      <c r="AW34" s="253"/>
    </row>
    <row r="35" spans="1:49" x14ac:dyDescent="0.15">
      <c r="A35" s="55" t="s">
        <v>41</v>
      </c>
      <c r="B35" s="237" t="s">
        <v>338</v>
      </c>
      <c r="C35" s="152">
        <v>2018</v>
      </c>
      <c r="D35" s="56" t="s">
        <v>345</v>
      </c>
      <c r="E35" s="237" t="s">
        <v>290</v>
      </c>
      <c r="F35" s="237" t="s">
        <v>296</v>
      </c>
      <c r="G35" s="55" t="s">
        <v>42</v>
      </c>
      <c r="H35" s="55" t="s">
        <v>157</v>
      </c>
      <c r="I35" s="55" t="s">
        <v>155</v>
      </c>
      <c r="J35" s="55" t="s">
        <v>38</v>
      </c>
      <c r="K35" s="55" t="s">
        <v>156</v>
      </c>
      <c r="L35" s="237">
        <v>1</v>
      </c>
      <c r="M35" s="55"/>
      <c r="N35" s="55">
        <v>1</v>
      </c>
      <c r="O35" s="55">
        <v>0.75</v>
      </c>
      <c r="P35" s="55">
        <v>0.9</v>
      </c>
      <c r="Q35" s="57">
        <f t="shared" si="0"/>
        <v>0.82499999999999996</v>
      </c>
      <c r="R35" s="237">
        <v>15.5</v>
      </c>
      <c r="S35" s="55">
        <v>125</v>
      </c>
      <c r="T35" s="77">
        <f t="shared" si="1"/>
        <v>27</v>
      </c>
      <c r="U35" s="55">
        <v>148</v>
      </c>
      <c r="V35" s="78">
        <f t="shared" si="2"/>
        <v>3996</v>
      </c>
      <c r="W35" s="55">
        <v>2</v>
      </c>
      <c r="X35" s="55" t="s">
        <v>46</v>
      </c>
      <c r="Y35" s="55" t="s">
        <v>97</v>
      </c>
      <c r="Z35" s="55" t="s">
        <v>88</v>
      </c>
      <c r="AA35" s="55" t="s">
        <v>69</v>
      </c>
      <c r="AB35" s="39" t="s">
        <v>340</v>
      </c>
      <c r="AE35" s="256"/>
      <c r="AF35" s="253"/>
      <c r="AG35" s="257"/>
      <c r="AH35" s="257"/>
      <c r="AI35" s="253"/>
      <c r="AJ35" s="253"/>
      <c r="AK35" s="253"/>
      <c r="AL35" s="253"/>
      <c r="AM35" s="253"/>
      <c r="AN35" s="253"/>
      <c r="AO35" s="253"/>
      <c r="AP35" s="253"/>
      <c r="AQ35" s="253"/>
      <c r="AR35" s="257"/>
      <c r="AS35" s="253"/>
      <c r="AT35" s="253"/>
      <c r="AU35" s="253"/>
      <c r="AV35" s="253"/>
      <c r="AW35" s="253"/>
    </row>
    <row r="36" spans="1:49" x14ac:dyDescent="0.15">
      <c r="A36" s="55" t="s">
        <v>41</v>
      </c>
      <c r="B36" s="237" t="s">
        <v>338</v>
      </c>
      <c r="C36" s="152">
        <v>2018</v>
      </c>
      <c r="D36" s="56" t="s">
        <v>345</v>
      </c>
      <c r="E36" s="237" t="s">
        <v>290</v>
      </c>
      <c r="F36" s="237" t="s">
        <v>296</v>
      </c>
      <c r="G36" s="55" t="s">
        <v>42</v>
      </c>
      <c r="H36" s="55" t="s">
        <v>157</v>
      </c>
      <c r="I36" s="55" t="s">
        <v>155</v>
      </c>
      <c r="J36" s="55" t="s">
        <v>38</v>
      </c>
      <c r="K36" s="55" t="s">
        <v>156</v>
      </c>
      <c r="L36" s="237">
        <v>2</v>
      </c>
      <c r="N36" s="55">
        <v>1</v>
      </c>
      <c r="O36" s="55">
        <v>0.9</v>
      </c>
      <c r="P36" s="55">
        <v>0.85</v>
      </c>
      <c r="Q36" s="57">
        <f t="shared" si="0"/>
        <v>0.875</v>
      </c>
      <c r="R36" s="237">
        <v>14.1</v>
      </c>
      <c r="S36" s="55">
        <v>126</v>
      </c>
      <c r="T36" s="77">
        <f t="shared" si="1"/>
        <v>27</v>
      </c>
      <c r="U36" s="55">
        <v>148</v>
      </c>
      <c r="V36" s="58">
        <f t="shared" si="2"/>
        <v>3996</v>
      </c>
      <c r="W36" s="237">
        <v>2</v>
      </c>
      <c r="X36" s="55" t="s">
        <v>46</v>
      </c>
      <c r="Y36" s="55" t="s">
        <v>97</v>
      </c>
      <c r="Z36" s="55" t="s">
        <v>88</v>
      </c>
      <c r="AA36" s="55" t="s">
        <v>69</v>
      </c>
      <c r="AB36" s="39" t="s">
        <v>340</v>
      </c>
      <c r="AE36" s="256"/>
      <c r="AF36" s="253"/>
      <c r="AG36" s="257"/>
      <c r="AH36" s="257"/>
      <c r="AI36" s="253"/>
      <c r="AJ36" s="253"/>
      <c r="AK36" s="253"/>
      <c r="AL36" s="253"/>
      <c r="AM36" s="253"/>
      <c r="AN36" s="253"/>
      <c r="AO36" s="253"/>
      <c r="AP36" s="253"/>
      <c r="AQ36" s="253"/>
      <c r="AR36" s="257"/>
      <c r="AS36" s="253"/>
      <c r="AT36" s="253"/>
      <c r="AU36" s="253"/>
      <c r="AV36" s="253"/>
      <c r="AW36" s="253"/>
    </row>
    <row r="37" spans="1:49" x14ac:dyDescent="0.15">
      <c r="A37" s="55" t="s">
        <v>41</v>
      </c>
      <c r="B37" s="237" t="s">
        <v>338</v>
      </c>
      <c r="C37" s="152">
        <v>2018</v>
      </c>
      <c r="D37" s="56" t="s">
        <v>345</v>
      </c>
      <c r="E37" s="237" t="s">
        <v>290</v>
      </c>
      <c r="F37" s="237" t="s">
        <v>296</v>
      </c>
      <c r="G37" s="55" t="s">
        <v>42</v>
      </c>
      <c r="H37" s="55" t="s">
        <v>157</v>
      </c>
      <c r="I37" s="55" t="s">
        <v>155</v>
      </c>
      <c r="J37" s="55" t="s">
        <v>38</v>
      </c>
      <c r="K37" s="55" t="s">
        <v>156</v>
      </c>
      <c r="L37" s="237">
        <v>3</v>
      </c>
      <c r="N37" s="55">
        <v>1</v>
      </c>
      <c r="O37" s="55">
        <v>0.95</v>
      </c>
      <c r="P37" s="55">
        <v>1</v>
      </c>
      <c r="Q37" s="57">
        <f t="shared" si="0"/>
        <v>0.97499999999999998</v>
      </c>
      <c r="R37" s="237">
        <v>13.8</v>
      </c>
      <c r="S37" s="55">
        <v>123</v>
      </c>
      <c r="T37" s="77">
        <f t="shared" si="1"/>
        <v>27</v>
      </c>
      <c r="U37" s="55">
        <v>148</v>
      </c>
      <c r="V37" s="58">
        <f t="shared" si="2"/>
        <v>3996</v>
      </c>
      <c r="W37" s="237">
        <v>2</v>
      </c>
      <c r="X37" s="55" t="s">
        <v>46</v>
      </c>
      <c r="Y37" s="55" t="s">
        <v>97</v>
      </c>
      <c r="Z37" s="55" t="s">
        <v>88</v>
      </c>
      <c r="AA37" s="55" t="s">
        <v>69</v>
      </c>
      <c r="AB37" s="39" t="s">
        <v>340</v>
      </c>
      <c r="AE37" s="256"/>
      <c r="AF37" s="253"/>
      <c r="AG37" s="257"/>
      <c r="AH37" s="257"/>
      <c r="AI37" s="253"/>
      <c r="AJ37" s="253"/>
      <c r="AK37" s="253"/>
      <c r="AL37" s="253"/>
      <c r="AM37" s="253"/>
      <c r="AN37" s="253"/>
      <c r="AO37" s="253"/>
      <c r="AP37" s="253"/>
      <c r="AQ37" s="253"/>
      <c r="AR37" s="257"/>
      <c r="AS37" s="253"/>
      <c r="AT37" s="253"/>
      <c r="AU37" s="253"/>
      <c r="AV37" s="253"/>
      <c r="AW37" s="253"/>
    </row>
    <row r="38" spans="1:49" x14ac:dyDescent="0.15">
      <c r="A38" s="55" t="s">
        <v>41</v>
      </c>
      <c r="B38" s="237" t="s">
        <v>338</v>
      </c>
      <c r="C38" s="152">
        <v>2018</v>
      </c>
      <c r="D38" s="56" t="s">
        <v>345</v>
      </c>
      <c r="E38" s="237" t="s">
        <v>290</v>
      </c>
      <c r="F38" s="237" t="s">
        <v>296</v>
      </c>
      <c r="G38" s="55" t="s">
        <v>42</v>
      </c>
      <c r="H38" s="55" t="s">
        <v>157</v>
      </c>
      <c r="I38" s="55" t="s">
        <v>155</v>
      </c>
      <c r="J38" s="55" t="s">
        <v>38</v>
      </c>
      <c r="K38" s="55" t="s">
        <v>156</v>
      </c>
      <c r="L38" s="237">
        <v>1</v>
      </c>
      <c r="M38" s="55"/>
      <c r="N38" s="55">
        <v>6</v>
      </c>
      <c r="O38" s="55">
        <v>0.8</v>
      </c>
      <c r="P38" s="55">
        <v>0.75</v>
      </c>
      <c r="Q38" s="57">
        <f t="shared" si="0"/>
        <v>0.77500000000000002</v>
      </c>
      <c r="R38" s="237">
        <v>12.1</v>
      </c>
      <c r="S38" s="55">
        <v>114</v>
      </c>
      <c r="T38" s="77">
        <f t="shared" si="1"/>
        <v>30</v>
      </c>
      <c r="U38" s="55">
        <v>429</v>
      </c>
      <c r="V38" s="78">
        <f t="shared" si="2"/>
        <v>2145</v>
      </c>
      <c r="W38" s="55">
        <v>1</v>
      </c>
      <c r="X38" s="55" t="s">
        <v>46</v>
      </c>
      <c r="Y38" s="55" t="s">
        <v>97</v>
      </c>
      <c r="Z38" s="55" t="s">
        <v>88</v>
      </c>
      <c r="AA38" s="55" t="s">
        <v>69</v>
      </c>
      <c r="AB38" s="39" t="s">
        <v>340</v>
      </c>
      <c r="AE38" s="253"/>
      <c r="AF38" s="253"/>
      <c r="AG38" s="253"/>
      <c r="AH38" s="253"/>
      <c r="AI38" s="253"/>
      <c r="AJ38" s="253"/>
      <c r="AK38" s="253"/>
      <c r="AL38" s="253"/>
      <c r="AM38" s="253"/>
      <c r="AN38" s="253"/>
      <c r="AO38" s="253"/>
      <c r="AP38" s="253"/>
      <c r="AQ38" s="253"/>
      <c r="AR38" s="253"/>
      <c r="AS38" s="253"/>
      <c r="AT38" s="253"/>
      <c r="AU38" s="253"/>
      <c r="AV38" s="253"/>
      <c r="AW38" s="253"/>
    </row>
    <row r="39" spans="1:49" x14ac:dyDescent="0.15">
      <c r="A39" s="55" t="s">
        <v>41</v>
      </c>
      <c r="B39" s="237" t="s">
        <v>338</v>
      </c>
      <c r="C39" s="152">
        <v>2018</v>
      </c>
      <c r="D39" s="56" t="s">
        <v>345</v>
      </c>
      <c r="E39" s="237" t="s">
        <v>290</v>
      </c>
      <c r="F39" s="237" t="s">
        <v>296</v>
      </c>
      <c r="G39" s="55" t="s">
        <v>42</v>
      </c>
      <c r="H39" s="55" t="s">
        <v>157</v>
      </c>
      <c r="I39" s="55" t="s">
        <v>155</v>
      </c>
      <c r="J39" s="55" t="s">
        <v>38</v>
      </c>
      <c r="K39" s="55" t="s">
        <v>156</v>
      </c>
      <c r="L39" s="237">
        <v>2</v>
      </c>
      <c r="N39" s="55">
        <v>6</v>
      </c>
      <c r="O39" s="55">
        <v>0.85</v>
      </c>
      <c r="P39" s="55">
        <v>0.65</v>
      </c>
      <c r="Q39" s="57">
        <f t="shared" si="0"/>
        <v>0.75</v>
      </c>
      <c r="R39" s="237">
        <v>12.4</v>
      </c>
      <c r="S39" s="55">
        <v>109</v>
      </c>
      <c r="T39" s="77">
        <f t="shared" si="1"/>
        <v>33</v>
      </c>
      <c r="U39" s="55">
        <v>429</v>
      </c>
      <c r="V39" s="78">
        <f t="shared" si="2"/>
        <v>2359.5</v>
      </c>
      <c r="W39" s="55">
        <v>1</v>
      </c>
      <c r="X39" s="55" t="s">
        <v>46</v>
      </c>
      <c r="Y39" s="55" t="s">
        <v>97</v>
      </c>
      <c r="Z39" s="55" t="s">
        <v>88</v>
      </c>
      <c r="AA39" s="55" t="s">
        <v>69</v>
      </c>
      <c r="AB39" s="39" t="s">
        <v>340</v>
      </c>
    </row>
    <row r="40" spans="1:49" x14ac:dyDescent="0.15">
      <c r="A40" s="55" t="s">
        <v>41</v>
      </c>
      <c r="B40" s="237" t="s">
        <v>338</v>
      </c>
      <c r="C40" s="152">
        <v>2018</v>
      </c>
      <c r="D40" s="56" t="s">
        <v>345</v>
      </c>
      <c r="E40" s="237" t="s">
        <v>290</v>
      </c>
      <c r="F40" s="237" t="s">
        <v>296</v>
      </c>
      <c r="G40" s="55" t="s">
        <v>42</v>
      </c>
      <c r="H40" s="55" t="s">
        <v>157</v>
      </c>
      <c r="I40" s="55" t="s">
        <v>155</v>
      </c>
      <c r="J40" s="55" t="s">
        <v>38</v>
      </c>
      <c r="K40" s="55" t="s">
        <v>156</v>
      </c>
      <c r="L40" s="237">
        <v>3</v>
      </c>
      <c r="N40" s="55">
        <v>6</v>
      </c>
      <c r="O40" s="55">
        <v>0.75</v>
      </c>
      <c r="P40" s="55">
        <v>0.8</v>
      </c>
      <c r="Q40" s="57">
        <f t="shared" si="0"/>
        <v>0.77500000000000002</v>
      </c>
      <c r="R40" s="237">
        <v>15.4</v>
      </c>
      <c r="S40" s="55">
        <v>110</v>
      </c>
      <c r="T40" s="77">
        <f t="shared" si="1"/>
        <v>33</v>
      </c>
      <c r="U40" s="55">
        <v>429</v>
      </c>
      <c r="V40" s="78">
        <f t="shared" si="2"/>
        <v>2359.5</v>
      </c>
      <c r="W40" s="237">
        <v>1</v>
      </c>
      <c r="X40" s="55" t="s">
        <v>46</v>
      </c>
      <c r="Y40" s="55" t="s">
        <v>97</v>
      </c>
      <c r="Z40" s="55" t="s">
        <v>88</v>
      </c>
      <c r="AA40" s="55" t="s">
        <v>69</v>
      </c>
      <c r="AB40" s="39" t="s">
        <v>340</v>
      </c>
    </row>
    <row r="41" spans="1:49" x14ac:dyDescent="0.15">
      <c r="A41" s="55" t="s">
        <v>41</v>
      </c>
      <c r="B41" s="237" t="s">
        <v>338</v>
      </c>
      <c r="C41" s="152">
        <v>2018</v>
      </c>
      <c r="D41" s="56" t="s">
        <v>345</v>
      </c>
      <c r="E41" s="237" t="s">
        <v>290</v>
      </c>
      <c r="F41" s="237" t="s">
        <v>296</v>
      </c>
      <c r="G41" s="55" t="s">
        <v>42</v>
      </c>
      <c r="H41" s="55" t="s">
        <v>165</v>
      </c>
      <c r="I41" s="55" t="s">
        <v>155</v>
      </c>
      <c r="J41" s="55" t="s">
        <v>38</v>
      </c>
      <c r="K41" s="55" t="s">
        <v>156</v>
      </c>
      <c r="L41" s="237">
        <v>1</v>
      </c>
      <c r="M41" s="55"/>
      <c r="N41" s="55">
        <v>1</v>
      </c>
      <c r="O41" s="55">
        <v>0.25</v>
      </c>
      <c r="P41" s="55">
        <v>0.4</v>
      </c>
      <c r="Q41" s="57">
        <f t="shared" si="0"/>
        <v>0.32500000000000001</v>
      </c>
      <c r="R41" s="237">
        <v>14.8</v>
      </c>
      <c r="S41" s="55">
        <v>124</v>
      </c>
      <c r="T41" s="77">
        <f t="shared" si="1"/>
        <v>27</v>
      </c>
      <c r="U41" s="55">
        <v>148</v>
      </c>
      <c r="V41" s="78">
        <f t="shared" si="2"/>
        <v>3996</v>
      </c>
      <c r="W41" s="55">
        <v>2</v>
      </c>
      <c r="X41" s="55" t="s">
        <v>46</v>
      </c>
      <c r="Y41" s="55" t="s">
        <v>97</v>
      </c>
      <c r="Z41" s="55" t="s">
        <v>88</v>
      </c>
      <c r="AA41" s="55" t="s">
        <v>69</v>
      </c>
      <c r="AB41" s="39" t="s">
        <v>340</v>
      </c>
      <c r="AE41" s="253"/>
      <c r="AF41" s="253"/>
      <c r="AG41" s="253"/>
      <c r="AH41" s="253"/>
      <c r="AI41" s="253"/>
      <c r="AJ41" s="253"/>
      <c r="AK41" s="253"/>
      <c r="AL41" s="253"/>
      <c r="AM41" s="253"/>
      <c r="AN41" s="253"/>
      <c r="AO41" s="253"/>
      <c r="AP41" s="253"/>
      <c r="AQ41" s="253"/>
      <c r="AR41" s="253"/>
      <c r="AS41" s="253"/>
      <c r="AT41" s="253"/>
      <c r="AU41" s="253"/>
      <c r="AV41" s="253"/>
      <c r="AW41" s="253"/>
    </row>
    <row r="42" spans="1:49" x14ac:dyDescent="0.15">
      <c r="A42" s="55" t="s">
        <v>41</v>
      </c>
      <c r="B42" s="237" t="s">
        <v>338</v>
      </c>
      <c r="C42" s="152">
        <v>2018</v>
      </c>
      <c r="D42" s="56" t="s">
        <v>345</v>
      </c>
      <c r="E42" s="237" t="s">
        <v>290</v>
      </c>
      <c r="F42" s="237" t="s">
        <v>296</v>
      </c>
      <c r="G42" s="55" t="s">
        <v>42</v>
      </c>
      <c r="H42" s="55" t="s">
        <v>165</v>
      </c>
      <c r="I42" s="55" t="s">
        <v>155</v>
      </c>
      <c r="J42" s="55" t="s">
        <v>38</v>
      </c>
      <c r="K42" s="55" t="s">
        <v>156</v>
      </c>
      <c r="L42" s="237">
        <v>2</v>
      </c>
      <c r="N42" s="55">
        <v>1</v>
      </c>
      <c r="O42" s="55">
        <v>0.35</v>
      </c>
      <c r="P42" s="55">
        <v>0.3</v>
      </c>
      <c r="Q42" s="57">
        <f t="shared" si="0"/>
        <v>0.32499999999999996</v>
      </c>
      <c r="R42" s="237">
        <v>17</v>
      </c>
      <c r="S42" s="55">
        <v>130</v>
      </c>
      <c r="T42" s="77">
        <f t="shared" si="1"/>
        <v>25</v>
      </c>
      <c r="U42" s="55">
        <v>148</v>
      </c>
      <c r="V42" s="58">
        <f t="shared" si="2"/>
        <v>3700</v>
      </c>
      <c r="W42" s="237">
        <v>2</v>
      </c>
      <c r="X42" s="55" t="s">
        <v>46</v>
      </c>
      <c r="Y42" s="55" t="s">
        <v>97</v>
      </c>
      <c r="Z42" s="55" t="s">
        <v>88</v>
      </c>
      <c r="AA42" s="55" t="s">
        <v>69</v>
      </c>
      <c r="AB42" s="39" t="s">
        <v>340</v>
      </c>
    </row>
    <row r="43" spans="1:49" x14ac:dyDescent="0.15">
      <c r="A43" s="55" t="s">
        <v>41</v>
      </c>
      <c r="B43" s="237" t="s">
        <v>338</v>
      </c>
      <c r="C43" s="152">
        <v>2018</v>
      </c>
      <c r="D43" s="56" t="s">
        <v>345</v>
      </c>
      <c r="E43" s="237" t="s">
        <v>290</v>
      </c>
      <c r="F43" s="237" t="s">
        <v>296</v>
      </c>
      <c r="G43" s="55" t="s">
        <v>42</v>
      </c>
      <c r="H43" s="55" t="s">
        <v>165</v>
      </c>
      <c r="I43" s="55" t="s">
        <v>155</v>
      </c>
      <c r="J43" s="55" t="s">
        <v>38</v>
      </c>
      <c r="K43" s="55" t="s">
        <v>156</v>
      </c>
      <c r="L43" s="237">
        <v>3</v>
      </c>
      <c r="N43" s="55">
        <v>1</v>
      </c>
      <c r="O43" s="237">
        <v>0.6</v>
      </c>
      <c r="P43" s="237">
        <v>0.55000000000000004</v>
      </c>
      <c r="Q43" s="57">
        <f t="shared" si="0"/>
        <v>0.57499999999999996</v>
      </c>
      <c r="R43" s="237">
        <v>16</v>
      </c>
      <c r="S43" s="237">
        <v>127</v>
      </c>
      <c r="T43" s="77">
        <f t="shared" si="1"/>
        <v>27</v>
      </c>
      <c r="U43" s="55">
        <v>148</v>
      </c>
      <c r="V43" s="58">
        <f t="shared" si="2"/>
        <v>3996</v>
      </c>
      <c r="W43" s="237">
        <v>2</v>
      </c>
      <c r="X43" s="55" t="s">
        <v>46</v>
      </c>
      <c r="Y43" s="55" t="s">
        <v>97</v>
      </c>
      <c r="Z43" s="55" t="s">
        <v>88</v>
      </c>
      <c r="AA43" s="55" t="s">
        <v>69</v>
      </c>
      <c r="AB43" s="39" t="s">
        <v>340</v>
      </c>
    </row>
    <row r="44" spans="1:49" x14ac:dyDescent="0.15">
      <c r="A44" s="55" t="s">
        <v>41</v>
      </c>
      <c r="B44" s="237" t="s">
        <v>338</v>
      </c>
      <c r="C44" s="152">
        <v>2018</v>
      </c>
      <c r="D44" s="56" t="s">
        <v>345</v>
      </c>
      <c r="E44" s="237" t="s">
        <v>290</v>
      </c>
      <c r="F44" s="237" t="s">
        <v>296</v>
      </c>
      <c r="G44" s="55" t="s">
        <v>42</v>
      </c>
      <c r="H44" s="55" t="s">
        <v>165</v>
      </c>
      <c r="I44" s="55" t="s">
        <v>155</v>
      </c>
      <c r="J44" s="55" t="s">
        <v>38</v>
      </c>
      <c r="K44" s="55" t="s">
        <v>156</v>
      </c>
      <c r="L44" s="237">
        <v>1</v>
      </c>
      <c r="N44" s="55">
        <v>5</v>
      </c>
      <c r="O44" s="237">
        <v>0.55000000000000004</v>
      </c>
      <c r="P44" s="237">
        <v>0.7</v>
      </c>
      <c r="Q44" s="57">
        <f t="shared" si="0"/>
        <v>0.625</v>
      </c>
      <c r="R44" s="237">
        <v>15.9</v>
      </c>
      <c r="S44" s="237">
        <v>124</v>
      </c>
      <c r="T44" s="57">
        <f t="shared" si="1"/>
        <v>27</v>
      </c>
      <c r="U44" s="55">
        <v>429</v>
      </c>
      <c r="V44" s="58">
        <f t="shared" si="2"/>
        <v>2316.6</v>
      </c>
      <c r="W44" s="237">
        <v>1</v>
      </c>
      <c r="X44" s="55" t="s">
        <v>46</v>
      </c>
      <c r="Y44" s="55" t="s">
        <v>97</v>
      </c>
      <c r="Z44" s="55" t="s">
        <v>88</v>
      </c>
      <c r="AA44" s="55" t="s">
        <v>69</v>
      </c>
      <c r="AB44" s="39" t="s">
        <v>340</v>
      </c>
    </row>
    <row r="45" spans="1:49" x14ac:dyDescent="0.15">
      <c r="A45" s="55" t="s">
        <v>41</v>
      </c>
      <c r="B45" s="237" t="s">
        <v>338</v>
      </c>
      <c r="C45" s="152">
        <v>2018</v>
      </c>
      <c r="D45" s="56" t="s">
        <v>345</v>
      </c>
      <c r="E45" s="237" t="s">
        <v>290</v>
      </c>
      <c r="F45" s="237" t="s">
        <v>296</v>
      </c>
      <c r="G45" s="55" t="s">
        <v>42</v>
      </c>
      <c r="H45" s="55" t="s">
        <v>165</v>
      </c>
      <c r="I45" s="55" t="s">
        <v>155</v>
      </c>
      <c r="J45" s="55" t="s">
        <v>38</v>
      </c>
      <c r="K45" s="55" t="s">
        <v>156</v>
      </c>
      <c r="L45" s="237">
        <v>2</v>
      </c>
      <c r="N45" s="55">
        <v>5</v>
      </c>
      <c r="O45" s="237">
        <v>0.55000000000000004</v>
      </c>
      <c r="P45" s="237">
        <v>0.75</v>
      </c>
      <c r="Q45" s="57">
        <f t="shared" si="0"/>
        <v>0.65</v>
      </c>
      <c r="R45" s="237">
        <v>15.8</v>
      </c>
      <c r="S45" s="237">
        <v>121</v>
      </c>
      <c r="T45" s="57">
        <f t="shared" si="1"/>
        <v>27</v>
      </c>
      <c r="U45" s="55">
        <v>429</v>
      </c>
      <c r="V45" s="58">
        <f t="shared" si="2"/>
        <v>2316.6</v>
      </c>
      <c r="W45" s="237">
        <v>1</v>
      </c>
      <c r="X45" s="55" t="s">
        <v>46</v>
      </c>
      <c r="Y45" s="55" t="s">
        <v>97</v>
      </c>
      <c r="Z45" s="55" t="s">
        <v>88</v>
      </c>
      <c r="AA45" s="55" t="s">
        <v>69</v>
      </c>
      <c r="AB45" s="39" t="s">
        <v>340</v>
      </c>
    </row>
    <row r="46" spans="1:49" x14ac:dyDescent="0.15">
      <c r="A46" s="55" t="s">
        <v>41</v>
      </c>
      <c r="B46" s="237" t="s">
        <v>338</v>
      </c>
      <c r="C46" s="152">
        <v>2018</v>
      </c>
      <c r="D46" s="56" t="s">
        <v>345</v>
      </c>
      <c r="E46" s="237" t="s">
        <v>290</v>
      </c>
      <c r="F46" s="237" t="s">
        <v>296</v>
      </c>
      <c r="G46" s="55" t="s">
        <v>42</v>
      </c>
      <c r="H46" s="55" t="s">
        <v>165</v>
      </c>
      <c r="I46" s="55" t="s">
        <v>155</v>
      </c>
      <c r="J46" s="55" t="s">
        <v>38</v>
      </c>
      <c r="K46" s="55" t="s">
        <v>156</v>
      </c>
      <c r="L46" s="237">
        <v>3</v>
      </c>
      <c r="N46" s="55">
        <v>5</v>
      </c>
      <c r="O46" s="55">
        <v>0.5</v>
      </c>
      <c r="P46" s="55">
        <v>0.65</v>
      </c>
      <c r="Q46" s="82">
        <f t="shared" si="0"/>
        <v>0.57499999999999996</v>
      </c>
      <c r="R46" s="55">
        <v>14.2</v>
      </c>
      <c r="S46" s="55">
        <v>118</v>
      </c>
      <c r="T46" s="57">
        <f t="shared" si="1"/>
        <v>30</v>
      </c>
      <c r="U46" s="55">
        <v>429</v>
      </c>
      <c r="V46" s="58">
        <f t="shared" si="2"/>
        <v>2574</v>
      </c>
      <c r="W46" s="237">
        <v>1</v>
      </c>
      <c r="X46" s="55" t="s">
        <v>46</v>
      </c>
      <c r="Y46" s="55" t="s">
        <v>97</v>
      </c>
      <c r="Z46" s="55" t="s">
        <v>88</v>
      </c>
      <c r="AA46" s="55" t="s">
        <v>69</v>
      </c>
      <c r="AB46" s="39" t="s">
        <v>340</v>
      </c>
    </row>
    <row r="47" spans="1:49" x14ac:dyDescent="0.15">
      <c r="A47" s="55" t="s">
        <v>41</v>
      </c>
      <c r="B47" s="237" t="s">
        <v>338</v>
      </c>
      <c r="C47" s="152">
        <v>2018</v>
      </c>
      <c r="D47" s="56" t="s">
        <v>345</v>
      </c>
      <c r="E47" s="237" t="s">
        <v>291</v>
      </c>
      <c r="F47" s="237" t="s">
        <v>295</v>
      </c>
      <c r="G47" s="55" t="s">
        <v>42</v>
      </c>
      <c r="H47" s="55" t="s">
        <v>157</v>
      </c>
      <c r="I47" s="55" t="s">
        <v>155</v>
      </c>
      <c r="J47" s="55" t="s">
        <v>38</v>
      </c>
      <c r="K47" s="55" t="s">
        <v>156</v>
      </c>
      <c r="L47" s="237">
        <v>1</v>
      </c>
      <c r="N47" s="55">
        <v>1</v>
      </c>
      <c r="O47" s="55">
        <v>0.35</v>
      </c>
      <c r="P47" s="55">
        <v>0.3</v>
      </c>
      <c r="Q47" s="82">
        <f t="shared" si="0"/>
        <v>0.32499999999999996</v>
      </c>
      <c r="R47" s="55">
        <v>13.1</v>
      </c>
      <c r="S47" s="55">
        <v>128</v>
      </c>
      <c r="T47" s="57">
        <f t="shared" si="1"/>
        <v>27</v>
      </c>
      <c r="U47" s="237">
        <v>108</v>
      </c>
      <c r="V47" s="58">
        <f t="shared" si="2"/>
        <v>2916</v>
      </c>
      <c r="W47" s="237">
        <v>1</v>
      </c>
      <c r="X47" s="55" t="s">
        <v>46</v>
      </c>
      <c r="Y47" s="55" t="s">
        <v>97</v>
      </c>
      <c r="Z47" s="55" t="s">
        <v>78</v>
      </c>
      <c r="AA47" s="55" t="s">
        <v>102</v>
      </c>
      <c r="AB47" s="39" t="s">
        <v>340</v>
      </c>
    </row>
    <row r="48" spans="1:49" x14ac:dyDescent="0.15">
      <c r="A48" s="55" t="s">
        <v>41</v>
      </c>
      <c r="B48" s="237" t="s">
        <v>338</v>
      </c>
      <c r="C48" s="152">
        <v>2018</v>
      </c>
      <c r="D48" s="56" t="s">
        <v>345</v>
      </c>
      <c r="E48" s="237" t="s">
        <v>291</v>
      </c>
      <c r="F48" s="237" t="s">
        <v>295</v>
      </c>
      <c r="G48" s="55" t="s">
        <v>42</v>
      </c>
      <c r="H48" s="55" t="s">
        <v>157</v>
      </c>
      <c r="I48" s="55" t="s">
        <v>155</v>
      </c>
      <c r="J48" s="55" t="s">
        <v>38</v>
      </c>
      <c r="K48" s="55" t="s">
        <v>156</v>
      </c>
      <c r="L48" s="237">
        <v>2</v>
      </c>
      <c r="N48" s="55">
        <v>1</v>
      </c>
      <c r="O48" s="55">
        <v>0.35</v>
      </c>
      <c r="P48" s="55">
        <v>0.25</v>
      </c>
      <c r="Q48" s="82">
        <f t="shared" si="0"/>
        <v>0.3</v>
      </c>
      <c r="R48" s="55">
        <v>12.4</v>
      </c>
      <c r="S48" s="55">
        <v>124</v>
      </c>
      <c r="T48" s="57">
        <f t="shared" si="1"/>
        <v>27</v>
      </c>
      <c r="U48" s="237">
        <v>108</v>
      </c>
      <c r="V48" s="58">
        <f t="shared" si="2"/>
        <v>2916</v>
      </c>
      <c r="W48" s="237">
        <v>1</v>
      </c>
      <c r="X48" s="55" t="s">
        <v>46</v>
      </c>
      <c r="Y48" s="55" t="s">
        <v>97</v>
      </c>
      <c r="Z48" s="55" t="s">
        <v>78</v>
      </c>
      <c r="AA48" s="55" t="s">
        <v>102</v>
      </c>
      <c r="AB48" s="39" t="s">
        <v>340</v>
      </c>
    </row>
    <row r="49" spans="1:30" x14ac:dyDescent="0.15">
      <c r="A49" s="55" t="s">
        <v>41</v>
      </c>
      <c r="B49" s="237" t="s">
        <v>338</v>
      </c>
      <c r="C49" s="152">
        <v>2018</v>
      </c>
      <c r="D49" s="56" t="s">
        <v>345</v>
      </c>
      <c r="E49" s="237" t="s">
        <v>291</v>
      </c>
      <c r="F49" s="237" t="s">
        <v>295</v>
      </c>
      <c r="G49" s="55" t="s">
        <v>42</v>
      </c>
      <c r="H49" s="55" t="s">
        <v>157</v>
      </c>
      <c r="I49" s="55" t="s">
        <v>155</v>
      </c>
      <c r="J49" s="55" t="s">
        <v>38</v>
      </c>
      <c r="K49" s="55" t="s">
        <v>156</v>
      </c>
      <c r="L49" s="237">
        <v>3</v>
      </c>
      <c r="N49" s="55">
        <v>1</v>
      </c>
      <c r="O49" s="237">
        <v>0.5</v>
      </c>
      <c r="P49" s="237">
        <v>0.4</v>
      </c>
      <c r="Q49" s="57">
        <f t="shared" si="0"/>
        <v>0.45</v>
      </c>
      <c r="R49" s="237">
        <v>15.1</v>
      </c>
      <c r="S49" s="237">
        <v>120</v>
      </c>
      <c r="T49" s="57">
        <f t="shared" si="1"/>
        <v>30</v>
      </c>
      <c r="U49" s="237">
        <v>108</v>
      </c>
      <c r="V49" s="58">
        <f t="shared" si="2"/>
        <v>3240</v>
      </c>
      <c r="W49" s="237">
        <v>1</v>
      </c>
      <c r="X49" s="55" t="s">
        <v>46</v>
      </c>
      <c r="Y49" s="55" t="s">
        <v>97</v>
      </c>
      <c r="Z49" s="55" t="s">
        <v>78</v>
      </c>
      <c r="AA49" s="55" t="s">
        <v>102</v>
      </c>
      <c r="AB49" s="39" t="s">
        <v>340</v>
      </c>
    </row>
    <row r="50" spans="1:30" x14ac:dyDescent="0.15">
      <c r="A50" s="55" t="s">
        <v>41</v>
      </c>
      <c r="B50" s="237" t="s">
        <v>338</v>
      </c>
      <c r="C50" s="152">
        <v>2018</v>
      </c>
      <c r="D50" s="56" t="s">
        <v>345</v>
      </c>
      <c r="E50" s="237" t="s">
        <v>291</v>
      </c>
      <c r="F50" s="237" t="s">
        <v>295</v>
      </c>
      <c r="G50" s="55" t="s">
        <v>42</v>
      </c>
      <c r="H50" s="55" t="s">
        <v>165</v>
      </c>
      <c r="I50" s="55" t="s">
        <v>155</v>
      </c>
      <c r="J50" s="55" t="s">
        <v>38</v>
      </c>
      <c r="K50" s="55" t="s">
        <v>156</v>
      </c>
      <c r="L50" s="237">
        <v>1</v>
      </c>
      <c r="N50" s="55">
        <v>1</v>
      </c>
      <c r="O50" s="237">
        <v>0.4</v>
      </c>
      <c r="P50" s="237">
        <v>0.5</v>
      </c>
      <c r="Q50" s="57">
        <f t="shared" si="0"/>
        <v>0.45</v>
      </c>
      <c r="R50" s="237">
        <v>14.4</v>
      </c>
      <c r="S50" s="237">
        <v>123</v>
      </c>
      <c r="T50" s="57">
        <f t="shared" si="1"/>
        <v>27</v>
      </c>
      <c r="U50" s="237">
        <v>108</v>
      </c>
      <c r="V50" s="58">
        <f t="shared" si="2"/>
        <v>2916</v>
      </c>
      <c r="W50" s="237">
        <v>1</v>
      </c>
      <c r="X50" s="55" t="s">
        <v>46</v>
      </c>
      <c r="Y50" s="55" t="s">
        <v>97</v>
      </c>
      <c r="Z50" s="55" t="s">
        <v>78</v>
      </c>
      <c r="AA50" s="55" t="s">
        <v>102</v>
      </c>
      <c r="AB50" s="39" t="s">
        <v>340</v>
      </c>
      <c r="AC50" s="55"/>
      <c r="AD50" s="55"/>
    </row>
    <row r="51" spans="1:30" x14ac:dyDescent="0.15">
      <c r="A51" s="55" t="s">
        <v>41</v>
      </c>
      <c r="B51" s="237" t="s">
        <v>338</v>
      </c>
      <c r="C51" s="152">
        <v>2018</v>
      </c>
      <c r="D51" s="56" t="s">
        <v>345</v>
      </c>
      <c r="E51" s="237" t="s">
        <v>291</v>
      </c>
      <c r="F51" s="237" t="s">
        <v>295</v>
      </c>
      <c r="G51" s="55" t="s">
        <v>42</v>
      </c>
      <c r="H51" s="55" t="s">
        <v>165</v>
      </c>
      <c r="I51" s="55" t="s">
        <v>155</v>
      </c>
      <c r="J51" s="55" t="s">
        <v>38</v>
      </c>
      <c r="K51" s="55" t="s">
        <v>156</v>
      </c>
      <c r="L51" s="237">
        <v>2</v>
      </c>
      <c r="N51" s="55">
        <v>1</v>
      </c>
      <c r="O51" s="237">
        <v>0.35</v>
      </c>
      <c r="P51" s="237">
        <v>0.5</v>
      </c>
      <c r="Q51" s="57">
        <f t="shared" si="0"/>
        <v>0.42499999999999999</v>
      </c>
      <c r="R51" s="237">
        <v>14</v>
      </c>
      <c r="S51" s="237">
        <v>120</v>
      </c>
      <c r="T51" s="57">
        <f t="shared" si="1"/>
        <v>30</v>
      </c>
      <c r="U51" s="237">
        <v>108</v>
      </c>
      <c r="V51" s="58">
        <f t="shared" si="2"/>
        <v>3240</v>
      </c>
      <c r="W51" s="237">
        <v>1</v>
      </c>
      <c r="X51" s="55" t="s">
        <v>46</v>
      </c>
      <c r="Y51" s="55" t="s">
        <v>97</v>
      </c>
      <c r="Z51" s="55" t="s">
        <v>78</v>
      </c>
      <c r="AA51" s="55" t="s">
        <v>102</v>
      </c>
      <c r="AB51" s="39" t="s">
        <v>340</v>
      </c>
      <c r="AC51" s="55"/>
      <c r="AD51" s="55"/>
    </row>
    <row r="52" spans="1:30" x14ac:dyDescent="0.15">
      <c r="A52" s="55" t="s">
        <v>41</v>
      </c>
      <c r="B52" s="237" t="s">
        <v>338</v>
      </c>
      <c r="C52" s="152">
        <v>2018</v>
      </c>
      <c r="D52" s="56" t="s">
        <v>345</v>
      </c>
      <c r="E52" s="237" t="s">
        <v>291</v>
      </c>
      <c r="F52" s="237" t="s">
        <v>295</v>
      </c>
      <c r="G52" s="55" t="s">
        <v>42</v>
      </c>
      <c r="H52" s="55" t="s">
        <v>165</v>
      </c>
      <c r="I52" s="55" t="s">
        <v>155</v>
      </c>
      <c r="J52" s="55" t="s">
        <v>38</v>
      </c>
      <c r="K52" s="55" t="s">
        <v>156</v>
      </c>
      <c r="L52" s="237">
        <v>3</v>
      </c>
      <c r="N52" s="55">
        <v>1</v>
      </c>
      <c r="O52" s="55">
        <v>0.4</v>
      </c>
      <c r="P52" s="55">
        <v>0.35</v>
      </c>
      <c r="Q52" s="82">
        <f t="shared" si="0"/>
        <v>0.375</v>
      </c>
      <c r="R52" s="55">
        <v>12.9</v>
      </c>
      <c r="S52" s="55">
        <v>121</v>
      </c>
      <c r="T52" s="57">
        <f t="shared" si="1"/>
        <v>27</v>
      </c>
      <c r="U52" s="237">
        <v>108</v>
      </c>
      <c r="V52" s="58">
        <f t="shared" si="2"/>
        <v>2916</v>
      </c>
      <c r="W52" s="237">
        <v>1</v>
      </c>
      <c r="X52" s="55" t="s">
        <v>46</v>
      </c>
      <c r="Y52" s="55" t="s">
        <v>97</v>
      </c>
      <c r="Z52" s="55" t="s">
        <v>78</v>
      </c>
      <c r="AA52" s="55" t="s">
        <v>102</v>
      </c>
      <c r="AB52" s="39" t="s">
        <v>340</v>
      </c>
      <c r="AC52" s="55"/>
      <c r="AD52" s="55"/>
    </row>
    <row r="53" spans="1:30" x14ac:dyDescent="0.15">
      <c r="A53" s="55" t="s">
        <v>41</v>
      </c>
      <c r="B53" s="237" t="s">
        <v>338</v>
      </c>
      <c r="C53" s="152">
        <v>2018</v>
      </c>
      <c r="D53" s="56" t="s">
        <v>345</v>
      </c>
      <c r="E53" s="237" t="s">
        <v>291</v>
      </c>
      <c r="F53" s="237" t="s">
        <v>295</v>
      </c>
      <c r="G53" s="55" t="s">
        <v>42</v>
      </c>
      <c r="H53" s="55" t="s">
        <v>165</v>
      </c>
      <c r="I53" s="55" t="s">
        <v>155</v>
      </c>
      <c r="J53" s="55" t="s">
        <v>38</v>
      </c>
      <c r="K53" s="55" t="s">
        <v>156</v>
      </c>
      <c r="L53" s="237">
        <v>1</v>
      </c>
      <c r="N53" s="55">
        <v>4</v>
      </c>
      <c r="O53" s="55">
        <v>0.25</v>
      </c>
      <c r="P53" s="55">
        <v>0.3</v>
      </c>
      <c r="Q53" s="82">
        <f t="shared" si="0"/>
        <v>0.27500000000000002</v>
      </c>
      <c r="R53" s="55">
        <v>13.8</v>
      </c>
      <c r="S53" s="55">
        <v>114</v>
      </c>
      <c r="T53" s="57">
        <f t="shared" si="1"/>
        <v>30</v>
      </c>
      <c r="U53" s="237">
        <v>645</v>
      </c>
      <c r="V53" s="58">
        <f t="shared" si="2"/>
        <v>4837.5</v>
      </c>
      <c r="W53" s="237">
        <v>2</v>
      </c>
      <c r="X53" s="55" t="s">
        <v>46</v>
      </c>
      <c r="Y53" s="55" t="s">
        <v>97</v>
      </c>
      <c r="Z53" s="55" t="s">
        <v>78</v>
      </c>
      <c r="AA53" s="55" t="s">
        <v>102</v>
      </c>
      <c r="AB53" s="39" t="s">
        <v>340</v>
      </c>
      <c r="AC53" s="55"/>
      <c r="AD53" s="55"/>
    </row>
    <row r="54" spans="1:30" x14ac:dyDescent="0.15">
      <c r="A54" s="55" t="s">
        <v>41</v>
      </c>
      <c r="B54" s="237" t="s">
        <v>338</v>
      </c>
      <c r="C54" s="152">
        <v>2018</v>
      </c>
      <c r="D54" s="56" t="s">
        <v>345</v>
      </c>
      <c r="E54" s="237" t="s">
        <v>291</v>
      </c>
      <c r="F54" s="237" t="s">
        <v>295</v>
      </c>
      <c r="G54" s="55" t="s">
        <v>42</v>
      </c>
      <c r="H54" s="55" t="s">
        <v>165</v>
      </c>
      <c r="I54" s="55" t="s">
        <v>155</v>
      </c>
      <c r="J54" s="55" t="s">
        <v>38</v>
      </c>
      <c r="K54" s="55" t="s">
        <v>156</v>
      </c>
      <c r="L54" s="237">
        <v>2</v>
      </c>
      <c r="N54" s="55">
        <v>4</v>
      </c>
      <c r="O54" s="55">
        <v>0.25</v>
      </c>
      <c r="P54" s="55">
        <v>0.2</v>
      </c>
      <c r="Q54" s="82">
        <f t="shared" si="0"/>
        <v>0.22500000000000001</v>
      </c>
      <c r="R54" s="55">
        <v>16.5</v>
      </c>
      <c r="S54" s="55">
        <v>110</v>
      </c>
      <c r="T54" s="57">
        <f t="shared" si="1"/>
        <v>33</v>
      </c>
      <c r="U54" s="237">
        <v>645</v>
      </c>
      <c r="V54" s="58">
        <f t="shared" si="2"/>
        <v>5321.25</v>
      </c>
      <c r="W54" s="237">
        <v>2</v>
      </c>
      <c r="X54" s="55" t="s">
        <v>46</v>
      </c>
      <c r="Y54" s="55" t="s">
        <v>97</v>
      </c>
      <c r="Z54" s="55" t="s">
        <v>78</v>
      </c>
      <c r="AA54" s="55" t="s">
        <v>102</v>
      </c>
      <c r="AB54" s="39" t="s">
        <v>340</v>
      </c>
      <c r="AC54" s="55"/>
      <c r="AD54" s="55"/>
    </row>
    <row r="55" spans="1:30" x14ac:dyDescent="0.15">
      <c r="A55" s="55" t="s">
        <v>41</v>
      </c>
      <c r="B55" s="237" t="s">
        <v>338</v>
      </c>
      <c r="C55" s="152">
        <v>2018</v>
      </c>
      <c r="D55" s="56" t="s">
        <v>345</v>
      </c>
      <c r="E55" s="237" t="s">
        <v>291</v>
      </c>
      <c r="F55" s="237" t="s">
        <v>295</v>
      </c>
      <c r="G55" s="55" t="s">
        <v>42</v>
      </c>
      <c r="H55" s="55" t="s">
        <v>165</v>
      </c>
      <c r="I55" s="55" t="s">
        <v>155</v>
      </c>
      <c r="J55" s="55" t="s">
        <v>38</v>
      </c>
      <c r="K55" s="55" t="s">
        <v>156</v>
      </c>
      <c r="L55" s="237">
        <v>3</v>
      </c>
      <c r="N55" s="55">
        <v>4</v>
      </c>
      <c r="O55" s="55">
        <v>0.25</v>
      </c>
      <c r="P55" s="258">
        <v>0.3</v>
      </c>
      <c r="Q55" s="57">
        <f t="shared" si="0"/>
        <v>0.27500000000000002</v>
      </c>
      <c r="R55" s="237">
        <v>15.8</v>
      </c>
      <c r="S55" s="237">
        <v>111</v>
      </c>
      <c r="T55" s="57">
        <f t="shared" si="1"/>
        <v>33</v>
      </c>
      <c r="U55" s="55">
        <v>645</v>
      </c>
      <c r="V55" s="58">
        <f t="shared" si="2"/>
        <v>5321.25</v>
      </c>
      <c r="W55" s="237">
        <v>2</v>
      </c>
      <c r="X55" s="55" t="s">
        <v>46</v>
      </c>
      <c r="Y55" s="55" t="s">
        <v>97</v>
      </c>
      <c r="Z55" s="55" t="s">
        <v>78</v>
      </c>
      <c r="AA55" s="55" t="s">
        <v>102</v>
      </c>
      <c r="AB55" s="39" t="s">
        <v>340</v>
      </c>
      <c r="AC55" s="55"/>
      <c r="AD55" s="55"/>
    </row>
    <row r="56" spans="1:30" x14ac:dyDescent="0.15">
      <c r="A56" s="55" t="s">
        <v>41</v>
      </c>
      <c r="B56" s="237" t="s">
        <v>338</v>
      </c>
      <c r="C56" s="152">
        <v>2018</v>
      </c>
      <c r="D56" s="56" t="s">
        <v>345</v>
      </c>
      <c r="E56" s="237" t="s">
        <v>291</v>
      </c>
      <c r="F56" s="237" t="s">
        <v>295</v>
      </c>
      <c r="G56" s="55" t="s">
        <v>42</v>
      </c>
      <c r="H56" s="55" t="s">
        <v>157</v>
      </c>
      <c r="I56" s="55" t="s">
        <v>155</v>
      </c>
      <c r="J56" s="55" t="s">
        <v>38</v>
      </c>
      <c r="K56" s="55" t="s">
        <v>156</v>
      </c>
      <c r="L56" s="237">
        <v>1</v>
      </c>
      <c r="N56" s="237">
        <v>4</v>
      </c>
      <c r="O56" s="55">
        <v>0.6</v>
      </c>
      <c r="P56" s="55">
        <v>0.75</v>
      </c>
      <c r="Q56" s="57">
        <f t="shared" si="0"/>
        <v>0.67500000000000004</v>
      </c>
      <c r="R56" s="237">
        <v>14.7</v>
      </c>
      <c r="S56" s="237">
        <v>104</v>
      </c>
      <c r="T56" s="57">
        <f t="shared" si="1"/>
        <v>33</v>
      </c>
      <c r="U56" s="237">
        <v>429</v>
      </c>
      <c r="V56" s="58">
        <f t="shared" si="2"/>
        <v>3539.25</v>
      </c>
      <c r="W56" s="237">
        <v>2</v>
      </c>
      <c r="X56" s="55" t="s">
        <v>46</v>
      </c>
      <c r="Y56" s="55" t="s">
        <v>97</v>
      </c>
      <c r="Z56" s="55" t="s">
        <v>78</v>
      </c>
      <c r="AA56" s="55" t="s">
        <v>102</v>
      </c>
      <c r="AB56" s="39" t="s">
        <v>340</v>
      </c>
    </row>
    <row r="57" spans="1:30" x14ac:dyDescent="0.15">
      <c r="A57" s="55" t="s">
        <v>41</v>
      </c>
      <c r="B57" s="237" t="s">
        <v>338</v>
      </c>
      <c r="C57" s="152">
        <v>2018</v>
      </c>
      <c r="D57" s="56" t="s">
        <v>345</v>
      </c>
      <c r="E57" s="237" t="s">
        <v>291</v>
      </c>
      <c r="F57" s="237" t="s">
        <v>295</v>
      </c>
      <c r="G57" s="55" t="s">
        <v>42</v>
      </c>
      <c r="H57" s="55" t="s">
        <v>157</v>
      </c>
      <c r="I57" s="55" t="s">
        <v>155</v>
      </c>
      <c r="J57" s="55" t="s">
        <v>38</v>
      </c>
      <c r="K57" s="55" t="s">
        <v>156</v>
      </c>
      <c r="L57" s="237">
        <v>2</v>
      </c>
      <c r="N57" s="237">
        <v>4</v>
      </c>
      <c r="O57" s="55">
        <v>0.5</v>
      </c>
      <c r="P57" s="55">
        <v>0.7</v>
      </c>
      <c r="Q57" s="57">
        <f t="shared" si="0"/>
        <v>0.6</v>
      </c>
      <c r="R57" s="237">
        <v>16.100000000000001</v>
      </c>
      <c r="S57" s="237">
        <v>108</v>
      </c>
      <c r="T57" s="57">
        <f t="shared" si="1"/>
        <v>33</v>
      </c>
      <c r="U57" s="237">
        <v>429</v>
      </c>
      <c r="V57" s="58">
        <f t="shared" si="2"/>
        <v>3539.25</v>
      </c>
      <c r="W57" s="237">
        <v>2</v>
      </c>
      <c r="X57" s="55" t="s">
        <v>46</v>
      </c>
      <c r="Y57" s="55" t="s">
        <v>97</v>
      </c>
      <c r="Z57" s="55" t="s">
        <v>78</v>
      </c>
      <c r="AA57" s="55" t="s">
        <v>102</v>
      </c>
      <c r="AB57" s="39" t="s">
        <v>340</v>
      </c>
    </row>
    <row r="58" spans="1:30" x14ac:dyDescent="0.15">
      <c r="A58" s="55" t="s">
        <v>41</v>
      </c>
      <c r="B58" s="237" t="s">
        <v>338</v>
      </c>
      <c r="C58" s="152">
        <v>2018</v>
      </c>
      <c r="D58" s="56" t="s">
        <v>345</v>
      </c>
      <c r="E58" s="237" t="s">
        <v>291</v>
      </c>
      <c r="F58" s="237" t="s">
        <v>295</v>
      </c>
      <c r="G58" s="55" t="s">
        <v>42</v>
      </c>
      <c r="H58" s="55" t="s">
        <v>157</v>
      </c>
      <c r="I58" s="55" t="s">
        <v>155</v>
      </c>
      <c r="J58" s="55" t="s">
        <v>38</v>
      </c>
      <c r="K58" s="55" t="s">
        <v>156</v>
      </c>
      <c r="L58" s="237">
        <v>3</v>
      </c>
      <c r="N58" s="237">
        <v>4</v>
      </c>
      <c r="O58" s="55">
        <v>0.65</v>
      </c>
      <c r="P58" s="258">
        <v>0.75</v>
      </c>
      <c r="Q58" s="57">
        <f t="shared" si="0"/>
        <v>0.7</v>
      </c>
      <c r="R58" s="237">
        <v>15</v>
      </c>
      <c r="S58" s="237">
        <v>112</v>
      </c>
      <c r="T58" s="57">
        <f t="shared" si="1"/>
        <v>33</v>
      </c>
      <c r="U58" s="237">
        <v>429</v>
      </c>
      <c r="V58" s="58">
        <f t="shared" si="2"/>
        <v>3539.25</v>
      </c>
      <c r="W58" s="237">
        <v>2</v>
      </c>
      <c r="X58" s="55" t="s">
        <v>46</v>
      </c>
      <c r="Y58" s="55" t="s">
        <v>97</v>
      </c>
      <c r="Z58" s="55" t="s">
        <v>78</v>
      </c>
      <c r="AA58" s="55" t="s">
        <v>102</v>
      </c>
      <c r="AB58" s="39" t="s">
        <v>340</v>
      </c>
    </row>
    <row r="59" spans="1:30" x14ac:dyDescent="0.15">
      <c r="A59" s="55" t="s">
        <v>41</v>
      </c>
      <c r="B59" s="237" t="s">
        <v>338</v>
      </c>
      <c r="C59" s="152">
        <v>2018</v>
      </c>
      <c r="D59" s="56" t="s">
        <v>345</v>
      </c>
      <c r="E59" s="237" t="s">
        <v>291</v>
      </c>
      <c r="F59" s="237" t="s">
        <v>297</v>
      </c>
      <c r="G59" s="55" t="s">
        <v>42</v>
      </c>
      <c r="H59" s="55" t="s">
        <v>157</v>
      </c>
      <c r="I59" s="55" t="s">
        <v>155</v>
      </c>
      <c r="J59" s="55" t="s">
        <v>38</v>
      </c>
      <c r="K59" s="55" t="s">
        <v>156</v>
      </c>
      <c r="L59" s="237">
        <v>1</v>
      </c>
      <c r="N59" s="55">
        <v>1</v>
      </c>
      <c r="O59" s="55">
        <v>0.75</v>
      </c>
      <c r="P59" s="55">
        <v>0.65</v>
      </c>
      <c r="Q59" s="57">
        <f t="shared" si="0"/>
        <v>0.7</v>
      </c>
      <c r="R59" s="237">
        <v>14.5</v>
      </c>
      <c r="S59" s="237">
        <v>124</v>
      </c>
      <c r="T59" s="57">
        <f t="shared" si="1"/>
        <v>27</v>
      </c>
      <c r="U59" s="237">
        <v>95</v>
      </c>
      <c r="V59" s="58">
        <f t="shared" si="2"/>
        <v>2565</v>
      </c>
      <c r="W59" s="237">
        <v>1</v>
      </c>
      <c r="X59" s="55" t="s">
        <v>46</v>
      </c>
      <c r="Y59" s="55" t="s">
        <v>97</v>
      </c>
      <c r="Z59" s="55" t="s">
        <v>102</v>
      </c>
      <c r="AA59" s="55" t="s">
        <v>88</v>
      </c>
      <c r="AB59" s="39" t="s">
        <v>340</v>
      </c>
    </row>
    <row r="60" spans="1:30" x14ac:dyDescent="0.15">
      <c r="A60" s="55" t="s">
        <v>41</v>
      </c>
      <c r="B60" s="237" t="s">
        <v>338</v>
      </c>
      <c r="C60" s="152">
        <v>2018</v>
      </c>
      <c r="D60" s="56" t="s">
        <v>345</v>
      </c>
      <c r="E60" s="237" t="s">
        <v>291</v>
      </c>
      <c r="F60" s="237" t="s">
        <v>297</v>
      </c>
      <c r="G60" s="55" t="s">
        <v>42</v>
      </c>
      <c r="H60" s="55" t="s">
        <v>157</v>
      </c>
      <c r="I60" s="55" t="s">
        <v>155</v>
      </c>
      <c r="J60" s="55" t="s">
        <v>38</v>
      </c>
      <c r="K60" s="55" t="s">
        <v>156</v>
      </c>
      <c r="L60" s="237">
        <v>2</v>
      </c>
      <c r="N60" s="55">
        <v>1</v>
      </c>
      <c r="O60" s="55">
        <v>0.5</v>
      </c>
      <c r="P60" s="55">
        <v>0.45</v>
      </c>
      <c r="Q60" s="82">
        <f t="shared" si="0"/>
        <v>0.47499999999999998</v>
      </c>
      <c r="R60" s="55">
        <v>16.5</v>
      </c>
      <c r="S60" s="55">
        <v>122</v>
      </c>
      <c r="T60" s="57">
        <f t="shared" si="1"/>
        <v>27</v>
      </c>
      <c r="U60" s="237">
        <v>95</v>
      </c>
      <c r="V60" s="58">
        <f t="shared" si="2"/>
        <v>2565</v>
      </c>
      <c r="W60" s="237">
        <v>1</v>
      </c>
      <c r="X60" s="55" t="s">
        <v>46</v>
      </c>
      <c r="Y60" s="55" t="s">
        <v>97</v>
      </c>
      <c r="Z60" s="55" t="s">
        <v>102</v>
      </c>
      <c r="AA60" s="55" t="s">
        <v>88</v>
      </c>
      <c r="AB60" s="39" t="s">
        <v>340</v>
      </c>
    </row>
    <row r="61" spans="1:30" x14ac:dyDescent="0.15">
      <c r="A61" s="55" t="s">
        <v>41</v>
      </c>
      <c r="B61" s="237" t="s">
        <v>338</v>
      </c>
      <c r="C61" s="152">
        <v>2018</v>
      </c>
      <c r="D61" s="56" t="s">
        <v>345</v>
      </c>
      <c r="E61" s="237" t="s">
        <v>291</v>
      </c>
      <c r="F61" s="237" t="s">
        <v>297</v>
      </c>
      <c r="G61" s="55" t="s">
        <v>42</v>
      </c>
      <c r="H61" s="55" t="s">
        <v>157</v>
      </c>
      <c r="I61" s="55" t="s">
        <v>155</v>
      </c>
      <c r="J61" s="55" t="s">
        <v>38</v>
      </c>
      <c r="K61" s="55" t="s">
        <v>156</v>
      </c>
      <c r="L61" s="237">
        <v>3</v>
      </c>
      <c r="N61" s="55">
        <v>1</v>
      </c>
      <c r="O61" s="55">
        <v>0.55000000000000004</v>
      </c>
      <c r="P61" s="55">
        <v>0.5</v>
      </c>
      <c r="Q61" s="82">
        <f t="shared" si="0"/>
        <v>0.52500000000000002</v>
      </c>
      <c r="R61" s="55">
        <v>15.5</v>
      </c>
      <c r="S61" s="55">
        <v>124</v>
      </c>
      <c r="T61" s="57">
        <f t="shared" si="1"/>
        <v>27</v>
      </c>
      <c r="U61" s="55">
        <v>95</v>
      </c>
      <c r="V61" s="58">
        <f t="shared" si="2"/>
        <v>2565</v>
      </c>
      <c r="W61" s="237">
        <v>1</v>
      </c>
      <c r="X61" s="55" t="s">
        <v>46</v>
      </c>
      <c r="Y61" s="55" t="s">
        <v>97</v>
      </c>
      <c r="Z61" s="55" t="s">
        <v>102</v>
      </c>
      <c r="AA61" s="55" t="s">
        <v>88</v>
      </c>
      <c r="AB61" s="39" t="s">
        <v>340</v>
      </c>
    </row>
    <row r="62" spans="1:30" x14ac:dyDescent="0.15">
      <c r="A62" s="55" t="s">
        <v>41</v>
      </c>
      <c r="B62" s="237" t="s">
        <v>338</v>
      </c>
      <c r="C62" s="152">
        <v>2018</v>
      </c>
      <c r="D62" s="56" t="s">
        <v>345</v>
      </c>
      <c r="E62" s="237" t="s">
        <v>291</v>
      </c>
      <c r="F62" s="237" t="s">
        <v>297</v>
      </c>
      <c r="G62" s="55" t="s">
        <v>42</v>
      </c>
      <c r="H62" s="55" t="s">
        <v>165</v>
      </c>
      <c r="I62" s="55" t="s">
        <v>155</v>
      </c>
      <c r="J62" s="55" t="s">
        <v>38</v>
      </c>
      <c r="K62" s="55" t="s">
        <v>156</v>
      </c>
      <c r="L62" s="237">
        <v>1</v>
      </c>
      <c r="N62" s="55">
        <v>1</v>
      </c>
      <c r="O62" s="237">
        <v>0.45</v>
      </c>
      <c r="P62" s="237">
        <v>0.6</v>
      </c>
      <c r="Q62" s="57">
        <f t="shared" si="0"/>
        <v>0.52500000000000002</v>
      </c>
      <c r="R62" s="237">
        <v>15.3</v>
      </c>
      <c r="S62" s="237">
        <v>129</v>
      </c>
      <c r="T62" s="57">
        <f t="shared" si="1"/>
        <v>25</v>
      </c>
      <c r="U62" s="237">
        <v>159</v>
      </c>
      <c r="V62" s="58">
        <f t="shared" si="2"/>
        <v>3975</v>
      </c>
      <c r="W62" s="237">
        <v>1</v>
      </c>
      <c r="X62" s="55" t="s">
        <v>46</v>
      </c>
      <c r="Y62" s="55" t="s">
        <v>97</v>
      </c>
      <c r="Z62" s="55" t="s">
        <v>102</v>
      </c>
      <c r="AA62" s="55" t="s">
        <v>88</v>
      </c>
      <c r="AB62" s="39" t="s">
        <v>340</v>
      </c>
      <c r="AC62" s="55"/>
      <c r="AD62" s="55"/>
    </row>
    <row r="63" spans="1:30" x14ac:dyDescent="0.15">
      <c r="A63" s="55" t="s">
        <v>41</v>
      </c>
      <c r="B63" s="237" t="s">
        <v>338</v>
      </c>
      <c r="C63" s="152">
        <v>2018</v>
      </c>
      <c r="D63" s="56" t="s">
        <v>345</v>
      </c>
      <c r="E63" s="237" t="s">
        <v>291</v>
      </c>
      <c r="F63" s="237" t="s">
        <v>297</v>
      </c>
      <c r="G63" s="55" t="s">
        <v>42</v>
      </c>
      <c r="H63" s="55" t="s">
        <v>165</v>
      </c>
      <c r="I63" s="55" t="s">
        <v>155</v>
      </c>
      <c r="J63" s="55" t="s">
        <v>38</v>
      </c>
      <c r="K63" s="55" t="s">
        <v>156</v>
      </c>
      <c r="L63" s="237">
        <v>2</v>
      </c>
      <c r="N63" s="55">
        <v>1</v>
      </c>
      <c r="O63" s="237">
        <v>0.65</v>
      </c>
      <c r="P63" s="237">
        <v>0.5</v>
      </c>
      <c r="Q63" s="57">
        <f t="shared" si="0"/>
        <v>0.57499999999999996</v>
      </c>
      <c r="R63" s="237">
        <v>17.399999999999999</v>
      </c>
      <c r="S63" s="237">
        <v>128</v>
      </c>
      <c r="T63" s="57">
        <f t="shared" si="1"/>
        <v>27</v>
      </c>
      <c r="U63" s="237">
        <v>159</v>
      </c>
      <c r="V63" s="58">
        <f t="shared" si="2"/>
        <v>4293</v>
      </c>
      <c r="W63" s="237">
        <v>1</v>
      </c>
      <c r="X63" s="55" t="s">
        <v>46</v>
      </c>
      <c r="Y63" s="55" t="s">
        <v>97</v>
      </c>
      <c r="Z63" s="55" t="s">
        <v>102</v>
      </c>
      <c r="AA63" s="55" t="s">
        <v>88</v>
      </c>
      <c r="AB63" s="39" t="s">
        <v>340</v>
      </c>
      <c r="AC63" s="55"/>
      <c r="AD63" s="55"/>
    </row>
    <row r="64" spans="1:30" x14ac:dyDescent="0.15">
      <c r="A64" s="55" t="s">
        <v>41</v>
      </c>
      <c r="B64" s="237" t="s">
        <v>338</v>
      </c>
      <c r="C64" s="152">
        <v>2018</v>
      </c>
      <c r="D64" s="56" t="s">
        <v>345</v>
      </c>
      <c r="E64" s="237" t="s">
        <v>291</v>
      </c>
      <c r="F64" s="237" t="s">
        <v>297</v>
      </c>
      <c r="G64" s="55" t="s">
        <v>42</v>
      </c>
      <c r="H64" s="55" t="s">
        <v>165</v>
      </c>
      <c r="I64" s="55" t="s">
        <v>155</v>
      </c>
      <c r="J64" s="55" t="s">
        <v>38</v>
      </c>
      <c r="K64" s="55" t="s">
        <v>156</v>
      </c>
      <c r="L64" s="237">
        <v>3</v>
      </c>
      <c r="N64" s="55">
        <v>1</v>
      </c>
      <c r="O64" s="237">
        <v>0.8</v>
      </c>
      <c r="P64" s="237">
        <v>0.8</v>
      </c>
      <c r="Q64" s="57">
        <f t="shared" si="0"/>
        <v>0.8</v>
      </c>
      <c r="R64" s="237">
        <v>15.8</v>
      </c>
      <c r="S64" s="237">
        <v>124</v>
      </c>
      <c r="T64" s="57">
        <f t="shared" si="1"/>
        <v>27</v>
      </c>
      <c r="U64" s="55">
        <v>159</v>
      </c>
      <c r="V64" s="58">
        <f t="shared" si="2"/>
        <v>4293</v>
      </c>
      <c r="W64" s="237">
        <v>1</v>
      </c>
      <c r="X64" s="55" t="s">
        <v>46</v>
      </c>
      <c r="Y64" s="55" t="s">
        <v>97</v>
      </c>
      <c r="Z64" s="55" t="s">
        <v>102</v>
      </c>
      <c r="AA64" s="55" t="s">
        <v>88</v>
      </c>
      <c r="AB64" s="39" t="s">
        <v>340</v>
      </c>
      <c r="AC64" s="55"/>
      <c r="AD64" s="55"/>
    </row>
    <row r="65" spans="1:30" x14ac:dyDescent="0.15">
      <c r="A65" s="55" t="s">
        <v>41</v>
      </c>
      <c r="B65" s="237" t="s">
        <v>338</v>
      </c>
      <c r="C65" s="152">
        <v>2018</v>
      </c>
      <c r="D65" s="56" t="s">
        <v>345</v>
      </c>
      <c r="E65" s="237" t="s">
        <v>291</v>
      </c>
      <c r="F65" s="237" t="s">
        <v>297</v>
      </c>
      <c r="G65" s="55" t="s">
        <v>42</v>
      </c>
      <c r="H65" s="55" t="s">
        <v>165</v>
      </c>
      <c r="I65" s="55" t="s">
        <v>155</v>
      </c>
      <c r="J65" s="55" t="s">
        <v>38</v>
      </c>
      <c r="K65" s="55" t="s">
        <v>156</v>
      </c>
      <c r="L65" s="237">
        <v>1</v>
      </c>
      <c r="N65" s="237">
        <v>8</v>
      </c>
      <c r="O65" s="55">
        <v>0.9</v>
      </c>
      <c r="P65" s="55">
        <v>0.85</v>
      </c>
      <c r="Q65" s="82">
        <f t="shared" si="0"/>
        <v>0.875</v>
      </c>
      <c r="R65" s="55">
        <v>16.8</v>
      </c>
      <c r="S65" s="55">
        <v>105</v>
      </c>
      <c r="T65" s="57">
        <f t="shared" si="1"/>
        <v>33</v>
      </c>
      <c r="U65" s="237">
        <v>1058</v>
      </c>
      <c r="V65" s="58">
        <f t="shared" si="2"/>
        <v>4364.25</v>
      </c>
      <c r="W65" s="237">
        <v>1</v>
      </c>
      <c r="X65" s="55" t="s">
        <v>46</v>
      </c>
      <c r="Y65" s="55" t="s">
        <v>97</v>
      </c>
      <c r="Z65" s="55" t="s">
        <v>102</v>
      </c>
      <c r="AA65" s="55" t="s">
        <v>88</v>
      </c>
      <c r="AB65" s="39" t="s">
        <v>340</v>
      </c>
    </row>
    <row r="66" spans="1:30" x14ac:dyDescent="0.15">
      <c r="A66" s="55" t="s">
        <v>41</v>
      </c>
      <c r="B66" s="237" t="s">
        <v>338</v>
      </c>
      <c r="C66" s="152">
        <v>2018</v>
      </c>
      <c r="D66" s="56" t="s">
        <v>345</v>
      </c>
      <c r="E66" s="237" t="s">
        <v>291</v>
      </c>
      <c r="F66" s="237" t="s">
        <v>297</v>
      </c>
      <c r="G66" s="55" t="s">
        <v>42</v>
      </c>
      <c r="H66" s="55" t="s">
        <v>165</v>
      </c>
      <c r="I66" s="55" t="s">
        <v>155</v>
      </c>
      <c r="J66" s="55" t="s">
        <v>38</v>
      </c>
      <c r="K66" s="55" t="s">
        <v>156</v>
      </c>
      <c r="L66" s="237">
        <v>2</v>
      </c>
      <c r="N66" s="237">
        <v>8</v>
      </c>
      <c r="O66" s="55">
        <v>0.85</v>
      </c>
      <c r="P66" s="55">
        <v>0.95</v>
      </c>
      <c r="Q66" s="82">
        <f t="shared" ref="Q66:Q115" si="3">IF(OR(O66="",P66=""),"",AVERAGE(O66,P66))</f>
        <v>0.89999999999999991</v>
      </c>
      <c r="R66" s="55">
        <v>14</v>
      </c>
      <c r="S66" s="55">
        <v>110</v>
      </c>
      <c r="T66" s="57">
        <f t="shared" ref="T66:T115" si="4">IF(H66="","",IF(OR(H66="GREEN",H66="GK"),IF(S66&gt;=$AX$2,VLOOKUP(S66,$AX$2:$AY$10,2,1),""),IF(S66&gt;=$AZ$2,VLOOKUP(S66,$AZ$2:$BA$10,2,1),"")))</f>
        <v>33</v>
      </c>
      <c r="U66" s="237">
        <v>1058</v>
      </c>
      <c r="V66" s="58">
        <f t="shared" ref="V66:V115" si="5">IF(OR(N66="",U66="",T66=""),"",U66/N66*T66)</f>
        <v>4364.25</v>
      </c>
      <c r="W66" s="237">
        <v>1</v>
      </c>
      <c r="X66" s="55" t="s">
        <v>46</v>
      </c>
      <c r="Y66" s="55" t="s">
        <v>97</v>
      </c>
      <c r="Z66" s="55" t="s">
        <v>102</v>
      </c>
      <c r="AA66" s="55" t="s">
        <v>88</v>
      </c>
      <c r="AB66" s="39" t="s">
        <v>340</v>
      </c>
    </row>
    <row r="67" spans="1:30" x14ac:dyDescent="0.15">
      <c r="A67" s="55" t="s">
        <v>41</v>
      </c>
      <c r="B67" s="237" t="s">
        <v>338</v>
      </c>
      <c r="C67" s="152">
        <v>2018</v>
      </c>
      <c r="D67" s="56" t="s">
        <v>345</v>
      </c>
      <c r="E67" s="237" t="s">
        <v>291</v>
      </c>
      <c r="F67" s="237" t="s">
        <v>297</v>
      </c>
      <c r="G67" s="55" t="s">
        <v>42</v>
      </c>
      <c r="H67" s="55" t="s">
        <v>165</v>
      </c>
      <c r="I67" s="55" t="s">
        <v>155</v>
      </c>
      <c r="J67" s="55" t="s">
        <v>38</v>
      </c>
      <c r="K67" s="55" t="s">
        <v>156</v>
      </c>
      <c r="L67" s="237">
        <v>3</v>
      </c>
      <c r="N67" s="237">
        <v>8</v>
      </c>
      <c r="O67" s="55">
        <v>0.95</v>
      </c>
      <c r="P67" s="55">
        <v>0.85</v>
      </c>
      <c r="Q67" s="82">
        <f t="shared" si="3"/>
        <v>0.89999999999999991</v>
      </c>
      <c r="R67" s="55">
        <v>14.2</v>
      </c>
      <c r="S67" s="55">
        <v>107</v>
      </c>
      <c r="T67" s="57">
        <f t="shared" si="4"/>
        <v>33</v>
      </c>
      <c r="U67" s="237">
        <v>1058</v>
      </c>
      <c r="V67" s="58">
        <f t="shared" si="5"/>
        <v>4364.25</v>
      </c>
      <c r="W67" s="237">
        <v>1</v>
      </c>
      <c r="X67" s="55" t="s">
        <v>46</v>
      </c>
      <c r="Y67" s="55" t="s">
        <v>97</v>
      </c>
      <c r="Z67" s="55" t="s">
        <v>102</v>
      </c>
      <c r="AA67" s="55" t="s">
        <v>88</v>
      </c>
      <c r="AB67" s="39" t="s">
        <v>340</v>
      </c>
    </row>
    <row r="68" spans="1:30" x14ac:dyDescent="0.15">
      <c r="A68" s="55" t="s">
        <v>41</v>
      </c>
      <c r="B68" s="237" t="s">
        <v>338</v>
      </c>
      <c r="C68" s="152">
        <v>2018</v>
      </c>
      <c r="D68" s="56" t="s">
        <v>345</v>
      </c>
      <c r="E68" s="237" t="s">
        <v>291</v>
      </c>
      <c r="F68" s="237" t="s">
        <v>297</v>
      </c>
      <c r="G68" s="55" t="s">
        <v>42</v>
      </c>
      <c r="H68" s="55" t="s">
        <v>157</v>
      </c>
      <c r="I68" s="55" t="s">
        <v>155</v>
      </c>
      <c r="J68" s="55" t="s">
        <v>38</v>
      </c>
      <c r="K68" s="55" t="s">
        <v>156</v>
      </c>
      <c r="L68" s="237">
        <v>1</v>
      </c>
      <c r="N68" s="55">
        <v>4</v>
      </c>
      <c r="O68" s="55">
        <v>0.25</v>
      </c>
      <c r="P68" s="55">
        <v>0.25</v>
      </c>
      <c r="Q68" s="57">
        <f t="shared" si="3"/>
        <v>0.25</v>
      </c>
      <c r="R68" s="237">
        <v>14.8</v>
      </c>
      <c r="S68" s="55">
        <v>117</v>
      </c>
      <c r="T68" s="57">
        <f t="shared" si="4"/>
        <v>30</v>
      </c>
      <c r="U68" s="237">
        <v>429</v>
      </c>
      <c r="V68" s="58">
        <f t="shared" si="5"/>
        <v>3217.5</v>
      </c>
      <c r="W68" s="237">
        <v>2</v>
      </c>
      <c r="X68" s="55" t="s">
        <v>46</v>
      </c>
      <c r="Y68" s="55" t="s">
        <v>97</v>
      </c>
      <c r="Z68" s="55" t="s">
        <v>102</v>
      </c>
      <c r="AA68" s="55" t="s">
        <v>88</v>
      </c>
      <c r="AB68" s="39" t="s">
        <v>340</v>
      </c>
      <c r="AC68" s="55"/>
      <c r="AD68" s="55"/>
    </row>
    <row r="69" spans="1:30" x14ac:dyDescent="0.15">
      <c r="A69" s="55" t="s">
        <v>41</v>
      </c>
      <c r="B69" s="237" t="s">
        <v>338</v>
      </c>
      <c r="C69" s="152">
        <v>2018</v>
      </c>
      <c r="D69" s="56" t="s">
        <v>345</v>
      </c>
      <c r="E69" s="237" t="s">
        <v>291</v>
      </c>
      <c r="F69" s="237" t="s">
        <v>297</v>
      </c>
      <c r="G69" s="55" t="s">
        <v>42</v>
      </c>
      <c r="H69" s="55" t="s">
        <v>157</v>
      </c>
      <c r="I69" s="55" t="s">
        <v>155</v>
      </c>
      <c r="J69" s="55" t="s">
        <v>38</v>
      </c>
      <c r="K69" s="55" t="s">
        <v>156</v>
      </c>
      <c r="L69" s="237">
        <v>2</v>
      </c>
      <c r="N69" s="55">
        <v>4</v>
      </c>
      <c r="O69" s="55">
        <v>0.25</v>
      </c>
      <c r="P69" s="55">
        <v>0.25</v>
      </c>
      <c r="Q69" s="57">
        <f t="shared" si="3"/>
        <v>0.25</v>
      </c>
      <c r="R69" s="237">
        <v>15.4</v>
      </c>
      <c r="S69" s="55">
        <v>121</v>
      </c>
      <c r="T69" s="57">
        <f t="shared" si="4"/>
        <v>27</v>
      </c>
      <c r="U69" s="237">
        <v>429</v>
      </c>
      <c r="V69" s="58">
        <f t="shared" si="5"/>
        <v>2895.75</v>
      </c>
      <c r="W69" s="237">
        <v>2</v>
      </c>
      <c r="X69" s="55" t="s">
        <v>46</v>
      </c>
      <c r="Y69" s="55" t="s">
        <v>97</v>
      </c>
      <c r="Z69" s="55" t="s">
        <v>102</v>
      </c>
      <c r="AA69" s="55" t="s">
        <v>88</v>
      </c>
      <c r="AB69" s="39" t="s">
        <v>340</v>
      </c>
      <c r="AC69" s="55"/>
      <c r="AD69" s="55"/>
    </row>
    <row r="70" spans="1:30" x14ac:dyDescent="0.15">
      <c r="A70" s="55" t="s">
        <v>41</v>
      </c>
      <c r="B70" s="237" t="s">
        <v>338</v>
      </c>
      <c r="C70" s="152">
        <v>2018</v>
      </c>
      <c r="D70" s="56" t="s">
        <v>345</v>
      </c>
      <c r="E70" s="237" t="s">
        <v>291</v>
      </c>
      <c r="F70" s="237" t="s">
        <v>297</v>
      </c>
      <c r="G70" s="55" t="s">
        <v>42</v>
      </c>
      <c r="H70" s="55" t="s">
        <v>157</v>
      </c>
      <c r="I70" s="55" t="s">
        <v>155</v>
      </c>
      <c r="J70" s="55" t="s">
        <v>38</v>
      </c>
      <c r="K70" s="55" t="s">
        <v>156</v>
      </c>
      <c r="L70" s="237">
        <v>3</v>
      </c>
      <c r="N70" s="55">
        <v>4</v>
      </c>
      <c r="O70" s="55">
        <v>0.25</v>
      </c>
      <c r="P70" s="55">
        <v>0.25</v>
      </c>
      <c r="Q70" s="57">
        <f t="shared" si="3"/>
        <v>0.25</v>
      </c>
      <c r="R70" s="237">
        <v>13.8</v>
      </c>
      <c r="S70" s="55">
        <v>115</v>
      </c>
      <c r="T70" s="57">
        <f t="shared" si="4"/>
        <v>30</v>
      </c>
      <c r="U70" s="55">
        <v>429</v>
      </c>
      <c r="V70" s="58">
        <f t="shared" si="5"/>
        <v>3217.5</v>
      </c>
      <c r="W70" s="237">
        <v>2</v>
      </c>
      <c r="X70" s="55" t="s">
        <v>46</v>
      </c>
      <c r="Y70" s="55" t="s">
        <v>97</v>
      </c>
      <c r="Z70" s="55" t="s">
        <v>102</v>
      </c>
      <c r="AA70" s="55" t="s">
        <v>88</v>
      </c>
      <c r="AB70" s="39" t="s">
        <v>340</v>
      </c>
      <c r="AC70" s="55"/>
      <c r="AD70" s="55"/>
    </row>
    <row r="71" spans="1:30" x14ac:dyDescent="0.15">
      <c r="A71" s="55" t="s">
        <v>41</v>
      </c>
      <c r="B71" s="237" t="s">
        <v>338</v>
      </c>
      <c r="C71" s="152">
        <v>2018</v>
      </c>
      <c r="D71" s="56" t="s">
        <v>345</v>
      </c>
      <c r="E71" s="237" t="s">
        <v>291</v>
      </c>
      <c r="F71" s="237" t="s">
        <v>297</v>
      </c>
      <c r="G71" s="55" t="s">
        <v>42</v>
      </c>
      <c r="H71" s="55" t="s">
        <v>165</v>
      </c>
      <c r="I71" s="55" t="s">
        <v>155</v>
      </c>
      <c r="J71" s="55" t="s">
        <v>38</v>
      </c>
      <c r="K71" s="55" t="s">
        <v>156</v>
      </c>
      <c r="L71" s="237">
        <v>1</v>
      </c>
      <c r="N71" s="237">
        <v>4</v>
      </c>
      <c r="O71" s="55">
        <v>0.65</v>
      </c>
      <c r="P71" s="55">
        <v>0.5</v>
      </c>
      <c r="Q71" s="82">
        <f t="shared" si="3"/>
        <v>0.57499999999999996</v>
      </c>
      <c r="R71" s="55">
        <v>15.4</v>
      </c>
      <c r="S71" s="55">
        <v>120</v>
      </c>
      <c r="T71" s="57">
        <f t="shared" si="4"/>
        <v>30</v>
      </c>
      <c r="U71" s="237">
        <v>626</v>
      </c>
      <c r="V71" s="58">
        <f t="shared" si="5"/>
        <v>4695</v>
      </c>
      <c r="W71" s="237">
        <v>2</v>
      </c>
      <c r="X71" s="55" t="s">
        <v>46</v>
      </c>
      <c r="Y71" s="55" t="s">
        <v>97</v>
      </c>
      <c r="Z71" s="55" t="s">
        <v>102</v>
      </c>
      <c r="AA71" s="55" t="s">
        <v>88</v>
      </c>
      <c r="AB71" s="39" t="s">
        <v>340</v>
      </c>
      <c r="AC71" s="55"/>
      <c r="AD71" s="55"/>
    </row>
    <row r="72" spans="1:30" x14ac:dyDescent="0.15">
      <c r="A72" s="55" t="s">
        <v>41</v>
      </c>
      <c r="B72" s="237" t="s">
        <v>338</v>
      </c>
      <c r="C72" s="152">
        <v>2018</v>
      </c>
      <c r="D72" s="56" t="s">
        <v>345</v>
      </c>
      <c r="E72" s="237" t="s">
        <v>291</v>
      </c>
      <c r="F72" s="237" t="s">
        <v>297</v>
      </c>
      <c r="G72" s="55" t="s">
        <v>42</v>
      </c>
      <c r="H72" s="55" t="s">
        <v>165</v>
      </c>
      <c r="I72" s="55" t="s">
        <v>155</v>
      </c>
      <c r="J72" s="55" t="s">
        <v>38</v>
      </c>
      <c r="K72" s="55" t="s">
        <v>156</v>
      </c>
      <c r="L72" s="237">
        <v>2</v>
      </c>
      <c r="N72" s="237">
        <v>4</v>
      </c>
      <c r="O72" s="55">
        <v>0.6</v>
      </c>
      <c r="P72" s="55">
        <v>0.4</v>
      </c>
      <c r="Q72" s="82">
        <f t="shared" si="3"/>
        <v>0.5</v>
      </c>
      <c r="R72" s="55">
        <v>15.6</v>
      </c>
      <c r="S72" s="55">
        <v>121</v>
      </c>
      <c r="T72" s="57">
        <f t="shared" si="4"/>
        <v>27</v>
      </c>
      <c r="U72" s="237">
        <v>626</v>
      </c>
      <c r="V72" s="58">
        <f t="shared" si="5"/>
        <v>4225.5</v>
      </c>
      <c r="W72" s="237">
        <v>2</v>
      </c>
      <c r="X72" s="55" t="s">
        <v>46</v>
      </c>
      <c r="Y72" s="55" t="s">
        <v>97</v>
      </c>
      <c r="Z72" s="55" t="s">
        <v>102</v>
      </c>
      <c r="AA72" s="55" t="s">
        <v>88</v>
      </c>
      <c r="AB72" s="39" t="s">
        <v>340</v>
      </c>
      <c r="AC72" s="55"/>
      <c r="AD72" s="55"/>
    </row>
    <row r="73" spans="1:30" x14ac:dyDescent="0.15">
      <c r="A73" s="55" t="s">
        <v>41</v>
      </c>
      <c r="B73" s="237" t="s">
        <v>338</v>
      </c>
      <c r="C73" s="152">
        <v>2018</v>
      </c>
      <c r="D73" s="56" t="s">
        <v>345</v>
      </c>
      <c r="E73" s="237" t="s">
        <v>291</v>
      </c>
      <c r="F73" s="237" t="s">
        <v>297</v>
      </c>
      <c r="G73" s="55" t="s">
        <v>42</v>
      </c>
      <c r="H73" s="55" t="s">
        <v>165</v>
      </c>
      <c r="I73" s="55" t="s">
        <v>155</v>
      </c>
      <c r="J73" s="55" t="s">
        <v>38</v>
      </c>
      <c r="K73" s="55" t="s">
        <v>156</v>
      </c>
      <c r="L73" s="237">
        <v>3</v>
      </c>
      <c r="N73" s="237">
        <v>4</v>
      </c>
      <c r="O73" s="55">
        <v>0.6</v>
      </c>
      <c r="P73" s="55">
        <v>0.55000000000000004</v>
      </c>
      <c r="Q73" s="82">
        <f t="shared" si="3"/>
        <v>0.57499999999999996</v>
      </c>
      <c r="R73" s="55">
        <v>15</v>
      </c>
      <c r="S73" s="55">
        <v>118</v>
      </c>
      <c r="T73" s="57">
        <f t="shared" si="4"/>
        <v>30</v>
      </c>
      <c r="U73" s="237">
        <v>626</v>
      </c>
      <c r="V73" s="58">
        <f t="shared" si="5"/>
        <v>4695</v>
      </c>
      <c r="W73" s="237">
        <v>2</v>
      </c>
      <c r="X73" s="55" t="s">
        <v>46</v>
      </c>
      <c r="Y73" s="55" t="s">
        <v>97</v>
      </c>
      <c r="Z73" s="55" t="s">
        <v>102</v>
      </c>
      <c r="AA73" s="55" t="s">
        <v>88</v>
      </c>
      <c r="AB73" s="39" t="s">
        <v>340</v>
      </c>
      <c r="AC73" s="55"/>
      <c r="AD73" s="55"/>
    </row>
    <row r="74" spans="1:30" x14ac:dyDescent="0.15">
      <c r="A74" s="55" t="s">
        <v>41</v>
      </c>
      <c r="B74" s="237" t="s">
        <v>338</v>
      </c>
      <c r="C74" s="152">
        <v>2018</v>
      </c>
      <c r="D74" s="56" t="s">
        <v>345</v>
      </c>
      <c r="E74" s="55" t="s">
        <v>293</v>
      </c>
      <c r="F74" s="237" t="s">
        <v>298</v>
      </c>
      <c r="G74" s="55" t="s">
        <v>42</v>
      </c>
      <c r="H74" s="55" t="s">
        <v>157</v>
      </c>
      <c r="I74" s="55" t="s">
        <v>155</v>
      </c>
      <c r="J74" s="55" t="s">
        <v>38</v>
      </c>
      <c r="K74" s="55" t="s">
        <v>156</v>
      </c>
      <c r="L74" s="237">
        <v>1</v>
      </c>
      <c r="N74" s="237">
        <v>1</v>
      </c>
      <c r="O74" s="55">
        <v>1</v>
      </c>
      <c r="P74" s="55">
        <v>0.8</v>
      </c>
      <c r="Q74" s="82">
        <f t="shared" si="3"/>
        <v>0.9</v>
      </c>
      <c r="R74" s="55">
        <v>15.5</v>
      </c>
      <c r="S74" s="55">
        <v>121</v>
      </c>
      <c r="T74" s="57">
        <f t="shared" si="4"/>
        <v>27</v>
      </c>
      <c r="U74" s="237">
        <v>105</v>
      </c>
      <c r="V74" s="58">
        <f t="shared" si="5"/>
        <v>2835</v>
      </c>
      <c r="W74" s="237">
        <v>1</v>
      </c>
      <c r="X74" s="55" t="s">
        <v>46</v>
      </c>
      <c r="Y74" s="55" t="s">
        <v>97</v>
      </c>
      <c r="Z74" s="55" t="s">
        <v>60</v>
      </c>
      <c r="AA74" s="55" t="s">
        <v>78</v>
      </c>
      <c r="AB74" s="39" t="s">
        <v>340</v>
      </c>
      <c r="AC74" s="55"/>
      <c r="AD74" s="55"/>
    </row>
    <row r="75" spans="1:30" x14ac:dyDescent="0.15">
      <c r="A75" s="55" t="s">
        <v>41</v>
      </c>
      <c r="B75" s="237" t="s">
        <v>338</v>
      </c>
      <c r="C75" s="152">
        <v>2018</v>
      </c>
      <c r="D75" s="56" t="s">
        <v>345</v>
      </c>
      <c r="E75" s="55" t="s">
        <v>293</v>
      </c>
      <c r="F75" s="237" t="s">
        <v>298</v>
      </c>
      <c r="G75" s="55" t="s">
        <v>42</v>
      </c>
      <c r="H75" s="55" t="s">
        <v>157</v>
      </c>
      <c r="I75" s="55" t="s">
        <v>155</v>
      </c>
      <c r="J75" s="55" t="s">
        <v>38</v>
      </c>
      <c r="K75" s="55" t="s">
        <v>156</v>
      </c>
      <c r="L75" s="237">
        <v>2</v>
      </c>
      <c r="N75" s="237">
        <v>1</v>
      </c>
      <c r="O75" s="55">
        <v>0.7</v>
      </c>
      <c r="P75" s="55">
        <v>0.65</v>
      </c>
      <c r="Q75" s="82">
        <f t="shared" si="3"/>
        <v>0.67500000000000004</v>
      </c>
      <c r="R75" s="55">
        <v>14.8</v>
      </c>
      <c r="S75" s="55">
        <v>118</v>
      </c>
      <c r="T75" s="57">
        <f t="shared" si="4"/>
        <v>30</v>
      </c>
      <c r="U75" s="237">
        <v>105</v>
      </c>
      <c r="V75" s="58">
        <f t="shared" si="5"/>
        <v>3150</v>
      </c>
      <c r="W75" s="237">
        <v>1</v>
      </c>
      <c r="X75" s="55" t="s">
        <v>46</v>
      </c>
      <c r="Y75" s="55" t="s">
        <v>97</v>
      </c>
      <c r="Z75" s="55" t="s">
        <v>60</v>
      </c>
      <c r="AA75" s="55" t="s">
        <v>78</v>
      </c>
      <c r="AB75" s="39" t="s">
        <v>340</v>
      </c>
      <c r="AC75" s="55"/>
      <c r="AD75" s="55"/>
    </row>
    <row r="76" spans="1:30" x14ac:dyDescent="0.15">
      <c r="A76" s="55" t="s">
        <v>41</v>
      </c>
      <c r="B76" s="237" t="s">
        <v>338</v>
      </c>
      <c r="C76" s="152">
        <v>2018</v>
      </c>
      <c r="D76" s="56" t="s">
        <v>345</v>
      </c>
      <c r="E76" s="55" t="s">
        <v>293</v>
      </c>
      <c r="F76" s="237" t="s">
        <v>298</v>
      </c>
      <c r="G76" s="55" t="s">
        <v>42</v>
      </c>
      <c r="H76" s="55" t="s">
        <v>157</v>
      </c>
      <c r="I76" s="55" t="s">
        <v>155</v>
      </c>
      <c r="J76" s="55" t="s">
        <v>38</v>
      </c>
      <c r="K76" s="55" t="s">
        <v>156</v>
      </c>
      <c r="L76" s="237">
        <v>3</v>
      </c>
      <c r="N76" s="237">
        <v>1</v>
      </c>
      <c r="O76" s="55">
        <v>0.75</v>
      </c>
      <c r="P76" s="55">
        <v>0.8</v>
      </c>
      <c r="Q76" s="82">
        <f t="shared" si="3"/>
        <v>0.77500000000000002</v>
      </c>
      <c r="R76" s="55">
        <v>14.4</v>
      </c>
      <c r="S76" s="55">
        <v>124</v>
      </c>
      <c r="T76" s="57">
        <f t="shared" si="4"/>
        <v>27</v>
      </c>
      <c r="U76" s="237">
        <v>105</v>
      </c>
      <c r="V76" s="58">
        <f t="shared" si="5"/>
        <v>2835</v>
      </c>
      <c r="W76" s="237">
        <v>1</v>
      </c>
      <c r="X76" s="55" t="s">
        <v>46</v>
      </c>
      <c r="Y76" s="55" t="s">
        <v>97</v>
      </c>
      <c r="Z76" s="55" t="s">
        <v>60</v>
      </c>
      <c r="AA76" s="55" t="s">
        <v>78</v>
      </c>
      <c r="AB76" s="39" t="s">
        <v>340</v>
      </c>
      <c r="AC76" s="55"/>
      <c r="AD76" s="55"/>
    </row>
    <row r="77" spans="1:30" x14ac:dyDescent="0.15">
      <c r="A77" s="55" t="s">
        <v>41</v>
      </c>
      <c r="B77" s="237" t="s">
        <v>338</v>
      </c>
      <c r="C77" s="152">
        <v>2018</v>
      </c>
      <c r="D77" s="56" t="s">
        <v>345</v>
      </c>
      <c r="E77" s="55" t="s">
        <v>293</v>
      </c>
      <c r="F77" s="237" t="s">
        <v>298</v>
      </c>
      <c r="G77" s="55" t="s">
        <v>42</v>
      </c>
      <c r="H77" s="55" t="s">
        <v>165</v>
      </c>
      <c r="I77" s="55" t="s">
        <v>155</v>
      </c>
      <c r="J77" s="55" t="s">
        <v>38</v>
      </c>
      <c r="K77" s="55" t="s">
        <v>156</v>
      </c>
      <c r="L77" s="237">
        <v>1</v>
      </c>
      <c r="N77" s="237">
        <v>6</v>
      </c>
      <c r="O77" s="237">
        <v>0.25</v>
      </c>
      <c r="P77" s="237">
        <v>0.25</v>
      </c>
      <c r="Q77" s="57">
        <f t="shared" si="3"/>
        <v>0.25</v>
      </c>
      <c r="R77" s="237">
        <v>16.100000000000001</v>
      </c>
      <c r="S77" s="237">
        <v>100</v>
      </c>
      <c r="T77" s="57">
        <f t="shared" si="4"/>
        <v>33</v>
      </c>
      <c r="U77" s="237">
        <v>537</v>
      </c>
      <c r="V77" s="58">
        <f t="shared" si="5"/>
        <v>2953.5</v>
      </c>
      <c r="W77" s="237">
        <v>3</v>
      </c>
      <c r="X77" s="55" t="s">
        <v>46</v>
      </c>
      <c r="Y77" s="55" t="s">
        <v>97</v>
      </c>
      <c r="Z77" s="55" t="s">
        <v>60</v>
      </c>
      <c r="AA77" s="55" t="s">
        <v>78</v>
      </c>
      <c r="AB77" s="39" t="s">
        <v>340</v>
      </c>
      <c r="AC77" s="55"/>
      <c r="AD77" s="55"/>
    </row>
    <row r="78" spans="1:30" x14ac:dyDescent="0.15">
      <c r="A78" s="55" t="s">
        <v>41</v>
      </c>
      <c r="B78" s="237" t="s">
        <v>338</v>
      </c>
      <c r="C78" s="152">
        <v>2018</v>
      </c>
      <c r="D78" s="56" t="s">
        <v>345</v>
      </c>
      <c r="E78" s="55" t="s">
        <v>293</v>
      </c>
      <c r="F78" s="237" t="s">
        <v>298</v>
      </c>
      <c r="G78" s="55" t="s">
        <v>42</v>
      </c>
      <c r="H78" s="55" t="s">
        <v>165</v>
      </c>
      <c r="I78" s="55" t="s">
        <v>155</v>
      </c>
      <c r="J78" s="55" t="s">
        <v>38</v>
      </c>
      <c r="K78" s="55" t="s">
        <v>156</v>
      </c>
      <c r="L78" s="237">
        <v>2</v>
      </c>
      <c r="N78" s="237">
        <v>6</v>
      </c>
      <c r="O78" s="237">
        <v>0.25</v>
      </c>
      <c r="P78" s="237">
        <v>0.3</v>
      </c>
      <c r="Q78" s="57">
        <f t="shared" si="3"/>
        <v>0.27500000000000002</v>
      </c>
      <c r="R78" s="237">
        <v>17.100000000000001</v>
      </c>
      <c r="S78" s="237">
        <v>103</v>
      </c>
      <c r="T78" s="57">
        <f t="shared" si="4"/>
        <v>33</v>
      </c>
      <c r="U78" s="237">
        <v>537</v>
      </c>
      <c r="V78" s="58">
        <f t="shared" si="5"/>
        <v>2953.5</v>
      </c>
      <c r="W78" s="237">
        <v>3</v>
      </c>
      <c r="X78" s="55" t="s">
        <v>46</v>
      </c>
      <c r="Y78" s="55" t="s">
        <v>97</v>
      </c>
      <c r="Z78" s="55" t="s">
        <v>60</v>
      </c>
      <c r="AA78" s="55" t="s">
        <v>78</v>
      </c>
      <c r="AB78" s="39" t="s">
        <v>340</v>
      </c>
      <c r="AC78" s="55"/>
      <c r="AD78" s="55"/>
    </row>
    <row r="79" spans="1:30" x14ac:dyDescent="0.15">
      <c r="A79" s="55" t="s">
        <v>41</v>
      </c>
      <c r="B79" s="237" t="s">
        <v>338</v>
      </c>
      <c r="C79" s="152">
        <v>2018</v>
      </c>
      <c r="D79" s="56" t="s">
        <v>345</v>
      </c>
      <c r="E79" s="55" t="s">
        <v>293</v>
      </c>
      <c r="F79" s="237" t="s">
        <v>298</v>
      </c>
      <c r="G79" s="55" t="s">
        <v>42</v>
      </c>
      <c r="H79" s="55" t="s">
        <v>165</v>
      </c>
      <c r="I79" s="55" t="s">
        <v>155</v>
      </c>
      <c r="J79" s="55" t="s">
        <v>38</v>
      </c>
      <c r="K79" s="55" t="s">
        <v>156</v>
      </c>
      <c r="L79" s="237">
        <v>3</v>
      </c>
      <c r="N79" s="237">
        <v>6</v>
      </c>
      <c r="O79" s="237">
        <v>0.3</v>
      </c>
      <c r="P79" s="237">
        <v>0.3</v>
      </c>
      <c r="Q79" s="57">
        <f t="shared" si="3"/>
        <v>0.3</v>
      </c>
      <c r="R79" s="237">
        <v>17.5</v>
      </c>
      <c r="S79" s="237">
        <v>105</v>
      </c>
      <c r="T79" s="57">
        <f t="shared" si="4"/>
        <v>33</v>
      </c>
      <c r="U79" s="237">
        <v>537</v>
      </c>
      <c r="V79" s="58">
        <f t="shared" si="5"/>
        <v>2953.5</v>
      </c>
      <c r="W79" s="237">
        <v>3</v>
      </c>
      <c r="X79" s="55" t="s">
        <v>46</v>
      </c>
      <c r="Y79" s="55" t="s">
        <v>97</v>
      </c>
      <c r="Z79" s="55" t="s">
        <v>60</v>
      </c>
      <c r="AA79" s="55" t="s">
        <v>78</v>
      </c>
      <c r="AB79" s="39" t="s">
        <v>340</v>
      </c>
      <c r="AC79" s="55"/>
      <c r="AD79" s="55"/>
    </row>
    <row r="80" spans="1:30" x14ac:dyDescent="0.15">
      <c r="A80" s="55" t="s">
        <v>41</v>
      </c>
      <c r="B80" s="237" t="s">
        <v>338</v>
      </c>
      <c r="C80" s="152">
        <v>2018</v>
      </c>
      <c r="D80" s="56" t="s">
        <v>345</v>
      </c>
      <c r="E80" s="55" t="s">
        <v>293</v>
      </c>
      <c r="F80" s="237" t="s">
        <v>298</v>
      </c>
      <c r="G80" s="55" t="s">
        <v>42</v>
      </c>
      <c r="H80" s="55" t="s">
        <v>165</v>
      </c>
      <c r="I80" s="55" t="s">
        <v>155</v>
      </c>
      <c r="J80" s="55" t="s">
        <v>38</v>
      </c>
      <c r="K80" s="55" t="s">
        <v>156</v>
      </c>
      <c r="L80" s="237">
        <v>1</v>
      </c>
      <c r="N80" s="237">
        <v>1</v>
      </c>
      <c r="O80" s="237">
        <v>0.3</v>
      </c>
      <c r="P80" s="237">
        <v>0.45</v>
      </c>
      <c r="Q80" s="57">
        <f t="shared" si="3"/>
        <v>0.375</v>
      </c>
      <c r="R80" s="237">
        <v>15.8</v>
      </c>
      <c r="S80" s="237">
        <v>124</v>
      </c>
      <c r="T80" s="57">
        <f t="shared" si="4"/>
        <v>27</v>
      </c>
      <c r="U80" s="237">
        <v>105</v>
      </c>
      <c r="V80" s="58">
        <f t="shared" si="5"/>
        <v>2835</v>
      </c>
      <c r="W80" s="237">
        <v>1</v>
      </c>
      <c r="X80" s="55" t="s">
        <v>46</v>
      </c>
      <c r="Y80" s="55" t="s">
        <v>97</v>
      </c>
      <c r="Z80" s="55" t="s">
        <v>60</v>
      </c>
      <c r="AA80" s="55" t="s">
        <v>78</v>
      </c>
      <c r="AB80" s="39" t="s">
        <v>340</v>
      </c>
      <c r="AC80" s="55"/>
      <c r="AD80" s="55"/>
    </row>
    <row r="81" spans="1:30" x14ac:dyDescent="0.15">
      <c r="A81" s="55" t="s">
        <v>41</v>
      </c>
      <c r="B81" s="237" t="s">
        <v>338</v>
      </c>
      <c r="C81" s="152">
        <v>2018</v>
      </c>
      <c r="D81" s="56" t="s">
        <v>345</v>
      </c>
      <c r="E81" s="55" t="s">
        <v>293</v>
      </c>
      <c r="F81" s="237" t="s">
        <v>298</v>
      </c>
      <c r="G81" s="55" t="s">
        <v>42</v>
      </c>
      <c r="H81" s="55" t="s">
        <v>165</v>
      </c>
      <c r="I81" s="55" t="s">
        <v>155</v>
      </c>
      <c r="J81" s="55" t="s">
        <v>38</v>
      </c>
      <c r="K81" s="55" t="s">
        <v>156</v>
      </c>
      <c r="L81" s="237">
        <v>2</v>
      </c>
      <c r="N81" s="237">
        <v>1</v>
      </c>
      <c r="O81" s="237">
        <v>0.35</v>
      </c>
      <c r="P81" s="237">
        <v>0.3</v>
      </c>
      <c r="Q81" s="57">
        <f t="shared" si="3"/>
        <v>0.32499999999999996</v>
      </c>
      <c r="R81" s="237">
        <v>14.9</v>
      </c>
      <c r="S81" s="237">
        <v>120</v>
      </c>
      <c r="T81" s="57">
        <f t="shared" si="4"/>
        <v>30</v>
      </c>
      <c r="U81" s="237">
        <v>105</v>
      </c>
      <c r="V81" s="58">
        <f t="shared" si="5"/>
        <v>3150</v>
      </c>
      <c r="W81" s="237">
        <v>1</v>
      </c>
      <c r="X81" s="55" t="s">
        <v>46</v>
      </c>
      <c r="Y81" s="55" t="s">
        <v>97</v>
      </c>
      <c r="Z81" s="55" t="s">
        <v>60</v>
      </c>
      <c r="AA81" s="55" t="s">
        <v>78</v>
      </c>
      <c r="AB81" s="39" t="s">
        <v>340</v>
      </c>
      <c r="AC81" s="55"/>
      <c r="AD81" s="55"/>
    </row>
    <row r="82" spans="1:30" x14ac:dyDescent="0.15">
      <c r="A82" s="55" t="s">
        <v>41</v>
      </c>
      <c r="B82" s="237" t="s">
        <v>338</v>
      </c>
      <c r="C82" s="152">
        <v>2018</v>
      </c>
      <c r="D82" s="56" t="s">
        <v>345</v>
      </c>
      <c r="E82" s="55" t="s">
        <v>293</v>
      </c>
      <c r="F82" s="237" t="s">
        <v>298</v>
      </c>
      <c r="G82" s="55" t="s">
        <v>42</v>
      </c>
      <c r="H82" s="55" t="s">
        <v>165</v>
      </c>
      <c r="I82" s="55" t="s">
        <v>155</v>
      </c>
      <c r="J82" s="55" t="s">
        <v>38</v>
      </c>
      <c r="K82" s="55" t="s">
        <v>156</v>
      </c>
      <c r="L82" s="237">
        <v>3</v>
      </c>
      <c r="N82" s="237">
        <v>1</v>
      </c>
      <c r="O82" s="237">
        <v>0.55000000000000004</v>
      </c>
      <c r="P82" s="237">
        <v>0.5</v>
      </c>
      <c r="Q82" s="57">
        <f t="shared" si="3"/>
        <v>0.52500000000000002</v>
      </c>
      <c r="R82" s="237">
        <v>14.3</v>
      </c>
      <c r="S82" s="237">
        <v>121</v>
      </c>
      <c r="T82" s="57">
        <f t="shared" si="4"/>
        <v>27</v>
      </c>
      <c r="U82" s="237">
        <v>105</v>
      </c>
      <c r="V82" s="58">
        <f t="shared" si="5"/>
        <v>2835</v>
      </c>
      <c r="W82" s="237">
        <v>1</v>
      </c>
      <c r="X82" s="55" t="s">
        <v>46</v>
      </c>
      <c r="Y82" s="55" t="s">
        <v>97</v>
      </c>
      <c r="Z82" s="55" t="s">
        <v>60</v>
      </c>
      <c r="AA82" s="55" t="s">
        <v>78</v>
      </c>
      <c r="AB82" s="39" t="s">
        <v>340</v>
      </c>
      <c r="AC82" s="55"/>
      <c r="AD82" s="55"/>
    </row>
    <row r="83" spans="1:30" x14ac:dyDescent="0.15">
      <c r="A83" s="55" t="s">
        <v>41</v>
      </c>
      <c r="B83" s="237" t="s">
        <v>338</v>
      </c>
      <c r="C83" s="152">
        <v>2018</v>
      </c>
      <c r="D83" s="56" t="s">
        <v>345</v>
      </c>
      <c r="E83" s="55" t="s">
        <v>293</v>
      </c>
      <c r="F83" s="237" t="s">
        <v>299</v>
      </c>
      <c r="G83" s="55" t="s">
        <v>42</v>
      </c>
      <c r="H83" s="55" t="s">
        <v>157</v>
      </c>
      <c r="I83" s="55" t="s">
        <v>155</v>
      </c>
      <c r="J83" s="55" t="s">
        <v>38</v>
      </c>
      <c r="K83" s="55" t="s">
        <v>156</v>
      </c>
      <c r="L83" s="237">
        <v>1</v>
      </c>
      <c r="N83" s="237">
        <v>1</v>
      </c>
      <c r="O83" s="55">
        <v>1.05</v>
      </c>
      <c r="P83" s="55">
        <v>1.2</v>
      </c>
      <c r="Q83" s="57">
        <f t="shared" si="3"/>
        <v>1.125</v>
      </c>
      <c r="R83" s="55">
        <v>12.8</v>
      </c>
      <c r="S83" s="237">
        <v>114</v>
      </c>
      <c r="T83" s="57">
        <f t="shared" si="4"/>
        <v>30</v>
      </c>
      <c r="U83" s="237">
        <v>105</v>
      </c>
      <c r="V83" s="58">
        <f t="shared" si="5"/>
        <v>3150</v>
      </c>
      <c r="W83" s="237">
        <v>1</v>
      </c>
      <c r="X83" s="55" t="s">
        <v>46</v>
      </c>
      <c r="Y83" s="55" t="s">
        <v>97</v>
      </c>
      <c r="Z83" s="55" t="s">
        <v>88</v>
      </c>
      <c r="AA83" s="55" t="s">
        <v>78</v>
      </c>
      <c r="AB83" s="39" t="s">
        <v>340</v>
      </c>
      <c r="AC83" s="55"/>
      <c r="AD83" s="55"/>
    </row>
    <row r="84" spans="1:30" x14ac:dyDescent="0.15">
      <c r="A84" s="55" t="s">
        <v>41</v>
      </c>
      <c r="B84" s="237" t="s">
        <v>338</v>
      </c>
      <c r="C84" s="152">
        <v>2018</v>
      </c>
      <c r="D84" s="56" t="s">
        <v>345</v>
      </c>
      <c r="E84" s="55" t="s">
        <v>293</v>
      </c>
      <c r="F84" s="237" t="s">
        <v>299</v>
      </c>
      <c r="G84" s="55" t="s">
        <v>42</v>
      </c>
      <c r="H84" s="55" t="s">
        <v>157</v>
      </c>
      <c r="I84" s="55" t="s">
        <v>155</v>
      </c>
      <c r="J84" s="55" t="s">
        <v>38</v>
      </c>
      <c r="K84" s="55" t="s">
        <v>156</v>
      </c>
      <c r="L84" s="237">
        <v>2</v>
      </c>
      <c r="N84" s="237">
        <v>1</v>
      </c>
      <c r="O84" s="55">
        <v>1.2</v>
      </c>
      <c r="P84" s="55">
        <v>1.35</v>
      </c>
      <c r="Q84" s="57">
        <f t="shared" si="3"/>
        <v>1.2749999999999999</v>
      </c>
      <c r="R84" s="55">
        <v>13.5</v>
      </c>
      <c r="S84" s="237">
        <v>121</v>
      </c>
      <c r="T84" s="57">
        <f t="shared" si="4"/>
        <v>27</v>
      </c>
      <c r="U84" s="237">
        <v>105</v>
      </c>
      <c r="V84" s="58">
        <f t="shared" si="5"/>
        <v>2835</v>
      </c>
      <c r="W84" s="237">
        <v>1</v>
      </c>
      <c r="X84" s="55" t="s">
        <v>46</v>
      </c>
      <c r="Y84" s="55" t="s">
        <v>97</v>
      </c>
      <c r="Z84" s="55" t="s">
        <v>88</v>
      </c>
      <c r="AA84" s="55" t="s">
        <v>78</v>
      </c>
      <c r="AB84" s="39" t="s">
        <v>340</v>
      </c>
      <c r="AC84" s="55"/>
      <c r="AD84" s="55"/>
    </row>
    <row r="85" spans="1:30" x14ac:dyDescent="0.15">
      <c r="A85" s="55" t="s">
        <v>41</v>
      </c>
      <c r="B85" s="237" t="s">
        <v>338</v>
      </c>
      <c r="C85" s="152">
        <v>2018</v>
      </c>
      <c r="D85" s="56" t="s">
        <v>345</v>
      </c>
      <c r="E85" s="55" t="s">
        <v>293</v>
      </c>
      <c r="F85" s="237" t="s">
        <v>299</v>
      </c>
      <c r="G85" s="55" t="s">
        <v>42</v>
      </c>
      <c r="H85" s="55" t="s">
        <v>157</v>
      </c>
      <c r="I85" s="55" t="s">
        <v>155</v>
      </c>
      <c r="J85" s="55" t="s">
        <v>38</v>
      </c>
      <c r="K85" s="55" t="s">
        <v>156</v>
      </c>
      <c r="L85" s="237">
        <v>3</v>
      </c>
      <c r="N85" s="237">
        <v>1</v>
      </c>
      <c r="O85" s="55">
        <v>0.95</v>
      </c>
      <c r="P85" s="55">
        <v>0.9</v>
      </c>
      <c r="Q85" s="57">
        <f t="shared" si="3"/>
        <v>0.92500000000000004</v>
      </c>
      <c r="R85" s="55">
        <v>16</v>
      </c>
      <c r="S85" s="237">
        <v>118</v>
      </c>
      <c r="T85" s="57">
        <f t="shared" si="4"/>
        <v>30</v>
      </c>
      <c r="U85" s="237">
        <v>105</v>
      </c>
      <c r="V85" s="58">
        <f t="shared" si="5"/>
        <v>3150</v>
      </c>
      <c r="W85" s="237">
        <v>1</v>
      </c>
      <c r="X85" s="55" t="s">
        <v>46</v>
      </c>
      <c r="Y85" s="55" t="s">
        <v>97</v>
      </c>
      <c r="Z85" s="55" t="s">
        <v>88</v>
      </c>
      <c r="AA85" s="55" t="s">
        <v>78</v>
      </c>
      <c r="AB85" s="39" t="s">
        <v>340</v>
      </c>
      <c r="AC85" s="55"/>
      <c r="AD85" s="55"/>
    </row>
    <row r="86" spans="1:30" x14ac:dyDescent="0.15">
      <c r="A86" s="55" t="s">
        <v>41</v>
      </c>
      <c r="B86" s="237" t="s">
        <v>338</v>
      </c>
      <c r="C86" s="152">
        <v>2018</v>
      </c>
      <c r="D86" s="56" t="s">
        <v>345</v>
      </c>
      <c r="E86" s="55" t="s">
        <v>293</v>
      </c>
      <c r="F86" s="237" t="s">
        <v>299</v>
      </c>
      <c r="G86" s="55" t="s">
        <v>42</v>
      </c>
      <c r="H86" s="55" t="s">
        <v>165</v>
      </c>
      <c r="I86" s="55" t="s">
        <v>155</v>
      </c>
      <c r="J86" s="55" t="s">
        <v>38</v>
      </c>
      <c r="K86" s="55" t="s">
        <v>156</v>
      </c>
      <c r="L86" s="237">
        <v>1</v>
      </c>
      <c r="N86" s="237">
        <v>3</v>
      </c>
      <c r="O86" s="237">
        <v>0.35</v>
      </c>
      <c r="P86" s="237">
        <v>0.6</v>
      </c>
      <c r="Q86" s="57">
        <f t="shared" si="3"/>
        <v>0.47499999999999998</v>
      </c>
      <c r="R86" s="237">
        <v>14.8</v>
      </c>
      <c r="S86" s="237">
        <v>126</v>
      </c>
      <c r="T86" s="57">
        <f t="shared" si="4"/>
        <v>27</v>
      </c>
      <c r="U86" s="237">
        <v>537</v>
      </c>
      <c r="V86" s="58">
        <f t="shared" si="5"/>
        <v>4833</v>
      </c>
      <c r="W86" s="237">
        <v>3</v>
      </c>
      <c r="X86" s="55" t="s">
        <v>46</v>
      </c>
      <c r="Y86" s="55" t="s">
        <v>97</v>
      </c>
      <c r="Z86" s="55" t="s">
        <v>88</v>
      </c>
      <c r="AA86" s="55" t="s">
        <v>78</v>
      </c>
      <c r="AB86" s="39" t="s">
        <v>340</v>
      </c>
    </row>
    <row r="87" spans="1:30" x14ac:dyDescent="0.15">
      <c r="A87" s="55" t="s">
        <v>41</v>
      </c>
      <c r="B87" s="237" t="s">
        <v>338</v>
      </c>
      <c r="C87" s="152">
        <v>2018</v>
      </c>
      <c r="D87" s="56" t="s">
        <v>345</v>
      </c>
      <c r="E87" s="55" t="s">
        <v>293</v>
      </c>
      <c r="F87" s="237" t="s">
        <v>299</v>
      </c>
      <c r="G87" s="55" t="s">
        <v>42</v>
      </c>
      <c r="H87" s="55" t="s">
        <v>165</v>
      </c>
      <c r="I87" s="55" t="s">
        <v>155</v>
      </c>
      <c r="J87" s="55" t="s">
        <v>38</v>
      </c>
      <c r="K87" s="55" t="s">
        <v>156</v>
      </c>
      <c r="L87" s="237">
        <v>2</v>
      </c>
      <c r="N87" s="237">
        <v>3</v>
      </c>
      <c r="O87" s="237">
        <v>0.35</v>
      </c>
      <c r="P87" s="237">
        <v>0.25</v>
      </c>
      <c r="Q87" s="57">
        <f t="shared" si="3"/>
        <v>0.3</v>
      </c>
      <c r="R87" s="237">
        <v>15.5</v>
      </c>
      <c r="S87" s="237">
        <v>130</v>
      </c>
      <c r="T87" s="57">
        <f t="shared" si="4"/>
        <v>25</v>
      </c>
      <c r="U87" s="237">
        <v>537</v>
      </c>
      <c r="V87" s="58">
        <f t="shared" si="5"/>
        <v>4475</v>
      </c>
      <c r="W87" s="237">
        <v>3</v>
      </c>
      <c r="X87" s="55" t="s">
        <v>46</v>
      </c>
      <c r="Y87" s="55" t="s">
        <v>97</v>
      </c>
      <c r="Z87" s="55" t="s">
        <v>88</v>
      </c>
      <c r="AA87" s="55" t="s">
        <v>78</v>
      </c>
      <c r="AB87" s="39" t="s">
        <v>340</v>
      </c>
    </row>
    <row r="88" spans="1:30" x14ac:dyDescent="0.15">
      <c r="A88" s="55" t="s">
        <v>41</v>
      </c>
      <c r="B88" s="237" t="s">
        <v>338</v>
      </c>
      <c r="C88" s="152">
        <v>2018</v>
      </c>
      <c r="D88" s="56" t="s">
        <v>345</v>
      </c>
      <c r="E88" s="55" t="s">
        <v>293</v>
      </c>
      <c r="F88" s="237" t="s">
        <v>299</v>
      </c>
      <c r="G88" s="55" t="s">
        <v>42</v>
      </c>
      <c r="H88" s="55" t="s">
        <v>165</v>
      </c>
      <c r="I88" s="55" t="s">
        <v>155</v>
      </c>
      <c r="J88" s="55" t="s">
        <v>38</v>
      </c>
      <c r="K88" s="55" t="s">
        <v>156</v>
      </c>
      <c r="L88" s="237">
        <v>3</v>
      </c>
      <c r="N88" s="237">
        <v>3</v>
      </c>
      <c r="O88" s="237">
        <v>0.25</v>
      </c>
      <c r="P88" s="237">
        <v>0.3</v>
      </c>
      <c r="Q88" s="57">
        <f t="shared" si="3"/>
        <v>0.27500000000000002</v>
      </c>
      <c r="R88" s="237">
        <v>14.7</v>
      </c>
      <c r="S88" s="237">
        <v>127</v>
      </c>
      <c r="T88" s="57">
        <f t="shared" si="4"/>
        <v>27</v>
      </c>
      <c r="U88" s="237">
        <v>537</v>
      </c>
      <c r="V88" s="58">
        <f t="shared" si="5"/>
        <v>4833</v>
      </c>
      <c r="W88" s="237">
        <v>3</v>
      </c>
      <c r="X88" s="55" t="s">
        <v>46</v>
      </c>
      <c r="Y88" s="55" t="s">
        <v>97</v>
      </c>
      <c r="Z88" s="55" t="s">
        <v>88</v>
      </c>
      <c r="AA88" s="55" t="s">
        <v>78</v>
      </c>
      <c r="AB88" s="39" t="s">
        <v>340</v>
      </c>
    </row>
    <row r="89" spans="1:30" x14ac:dyDescent="0.15">
      <c r="A89" s="55" t="s">
        <v>41</v>
      </c>
      <c r="B89" s="237" t="s">
        <v>338</v>
      </c>
      <c r="C89" s="152">
        <v>2018</v>
      </c>
      <c r="D89" s="56" t="s">
        <v>345</v>
      </c>
      <c r="E89" s="55" t="s">
        <v>293</v>
      </c>
      <c r="F89" s="237" t="s">
        <v>299</v>
      </c>
      <c r="G89" s="55" t="s">
        <v>42</v>
      </c>
      <c r="H89" s="55" t="s">
        <v>165</v>
      </c>
      <c r="I89" s="55" t="s">
        <v>155</v>
      </c>
      <c r="J89" s="55" t="s">
        <v>38</v>
      </c>
      <c r="K89" s="55" t="s">
        <v>156</v>
      </c>
      <c r="L89" s="237">
        <v>1</v>
      </c>
      <c r="N89" s="55">
        <v>1</v>
      </c>
      <c r="O89" s="55">
        <v>0.35</v>
      </c>
      <c r="P89" s="55">
        <v>0.25</v>
      </c>
      <c r="Q89" s="57">
        <f t="shared" si="3"/>
        <v>0.3</v>
      </c>
      <c r="R89" s="55">
        <v>14.2</v>
      </c>
      <c r="S89" s="55">
        <v>120</v>
      </c>
      <c r="T89" s="57">
        <f t="shared" si="4"/>
        <v>30</v>
      </c>
      <c r="U89" s="237">
        <v>105</v>
      </c>
      <c r="V89" s="58">
        <f t="shared" si="5"/>
        <v>3150</v>
      </c>
      <c r="W89" s="237">
        <v>1</v>
      </c>
      <c r="X89" s="55" t="s">
        <v>46</v>
      </c>
      <c r="Y89" s="55" t="s">
        <v>97</v>
      </c>
      <c r="Z89" s="55" t="s">
        <v>88</v>
      </c>
      <c r="AA89" s="55" t="s">
        <v>78</v>
      </c>
      <c r="AB89" s="39" t="s">
        <v>340</v>
      </c>
    </row>
    <row r="90" spans="1:30" x14ac:dyDescent="0.15">
      <c r="A90" s="55" t="s">
        <v>41</v>
      </c>
      <c r="B90" s="237" t="s">
        <v>338</v>
      </c>
      <c r="C90" s="152">
        <v>2018</v>
      </c>
      <c r="D90" s="56" t="s">
        <v>345</v>
      </c>
      <c r="E90" s="55" t="s">
        <v>293</v>
      </c>
      <c r="F90" s="237" t="s">
        <v>299</v>
      </c>
      <c r="G90" s="55" t="s">
        <v>42</v>
      </c>
      <c r="H90" s="55" t="s">
        <v>165</v>
      </c>
      <c r="I90" s="55" t="s">
        <v>155</v>
      </c>
      <c r="J90" s="55" t="s">
        <v>38</v>
      </c>
      <c r="K90" s="55" t="s">
        <v>156</v>
      </c>
      <c r="L90" s="237">
        <v>2</v>
      </c>
      <c r="N90" s="55">
        <v>1</v>
      </c>
      <c r="O90" s="55">
        <v>0.4</v>
      </c>
      <c r="P90" s="55">
        <v>0.45</v>
      </c>
      <c r="Q90" s="57">
        <f t="shared" si="3"/>
        <v>0.42500000000000004</v>
      </c>
      <c r="R90" s="55">
        <v>16.5</v>
      </c>
      <c r="S90" s="55">
        <v>124</v>
      </c>
      <c r="T90" s="57">
        <f t="shared" si="4"/>
        <v>27</v>
      </c>
      <c r="U90" s="237">
        <v>105</v>
      </c>
      <c r="V90" s="58">
        <f t="shared" si="5"/>
        <v>2835</v>
      </c>
      <c r="W90" s="237">
        <v>1</v>
      </c>
      <c r="X90" s="55" t="s">
        <v>46</v>
      </c>
      <c r="Y90" s="55" t="s">
        <v>97</v>
      </c>
      <c r="Z90" s="55" t="s">
        <v>88</v>
      </c>
      <c r="AA90" s="55" t="s">
        <v>78</v>
      </c>
      <c r="AB90" s="39" t="s">
        <v>340</v>
      </c>
    </row>
    <row r="91" spans="1:30" x14ac:dyDescent="0.15">
      <c r="A91" s="55" t="s">
        <v>41</v>
      </c>
      <c r="B91" s="237" t="s">
        <v>338</v>
      </c>
      <c r="C91" s="152">
        <v>2018</v>
      </c>
      <c r="D91" s="56" t="s">
        <v>345</v>
      </c>
      <c r="E91" s="55" t="s">
        <v>293</v>
      </c>
      <c r="F91" s="237" t="s">
        <v>299</v>
      </c>
      <c r="G91" s="55" t="s">
        <v>42</v>
      </c>
      <c r="H91" s="55" t="s">
        <v>165</v>
      </c>
      <c r="I91" s="55" t="s">
        <v>155</v>
      </c>
      <c r="J91" s="55" t="s">
        <v>38</v>
      </c>
      <c r="K91" s="55" t="s">
        <v>156</v>
      </c>
      <c r="L91" s="237">
        <v>3</v>
      </c>
      <c r="N91" s="237">
        <v>1</v>
      </c>
      <c r="O91" s="55">
        <v>0.5</v>
      </c>
      <c r="P91" s="55">
        <v>0.6</v>
      </c>
      <c r="Q91" s="57">
        <f t="shared" si="3"/>
        <v>0.55000000000000004</v>
      </c>
      <c r="R91" s="55">
        <v>15</v>
      </c>
      <c r="S91" s="55">
        <v>120</v>
      </c>
      <c r="T91" s="57">
        <f t="shared" si="4"/>
        <v>30</v>
      </c>
      <c r="U91" s="237">
        <v>105</v>
      </c>
      <c r="V91" s="58">
        <f t="shared" si="5"/>
        <v>3150</v>
      </c>
      <c r="W91" s="237">
        <v>1</v>
      </c>
      <c r="X91" s="55" t="s">
        <v>46</v>
      </c>
      <c r="Y91" s="55" t="s">
        <v>97</v>
      </c>
      <c r="Z91" s="55" t="s">
        <v>88</v>
      </c>
      <c r="AA91" s="55" t="s">
        <v>78</v>
      </c>
      <c r="AB91" s="39" t="s">
        <v>340</v>
      </c>
    </row>
    <row r="92" spans="1:30" x14ac:dyDescent="0.15">
      <c r="A92" s="55" t="s">
        <v>41</v>
      </c>
      <c r="B92" s="237" t="s">
        <v>338</v>
      </c>
      <c r="C92" s="152">
        <v>2018</v>
      </c>
      <c r="D92" s="56" t="s">
        <v>345</v>
      </c>
      <c r="E92" s="237" t="s">
        <v>294</v>
      </c>
      <c r="F92" s="237" t="s">
        <v>300</v>
      </c>
      <c r="G92" s="55" t="s">
        <v>42</v>
      </c>
      <c r="H92" s="55" t="s">
        <v>157</v>
      </c>
      <c r="I92" s="55" t="s">
        <v>155</v>
      </c>
      <c r="J92" s="55" t="s">
        <v>38</v>
      </c>
      <c r="K92" s="55" t="s">
        <v>156</v>
      </c>
      <c r="L92" s="237">
        <v>1</v>
      </c>
      <c r="N92" s="237">
        <v>1</v>
      </c>
      <c r="O92" s="237">
        <v>0.8</v>
      </c>
      <c r="P92" s="237">
        <v>0.65</v>
      </c>
      <c r="Q92" s="57">
        <f t="shared" si="3"/>
        <v>0.72500000000000009</v>
      </c>
      <c r="R92" s="237">
        <v>12.5</v>
      </c>
      <c r="S92" s="237">
        <v>120</v>
      </c>
      <c r="T92" s="57">
        <f t="shared" si="4"/>
        <v>30</v>
      </c>
      <c r="U92" s="237">
        <v>138</v>
      </c>
      <c r="V92" s="58">
        <f t="shared" si="5"/>
        <v>4140</v>
      </c>
      <c r="W92" s="237">
        <v>2</v>
      </c>
      <c r="X92" s="55" t="s">
        <v>46</v>
      </c>
      <c r="Y92" s="55" t="s">
        <v>97</v>
      </c>
      <c r="Z92" s="55" t="s">
        <v>102</v>
      </c>
      <c r="AA92" s="55" t="s">
        <v>78</v>
      </c>
      <c r="AB92" s="39" t="s">
        <v>340</v>
      </c>
    </row>
    <row r="93" spans="1:30" x14ac:dyDescent="0.15">
      <c r="A93" s="55" t="s">
        <v>41</v>
      </c>
      <c r="B93" s="237" t="s">
        <v>338</v>
      </c>
      <c r="C93" s="152">
        <v>2018</v>
      </c>
      <c r="D93" s="56" t="s">
        <v>345</v>
      </c>
      <c r="E93" s="237" t="s">
        <v>294</v>
      </c>
      <c r="F93" s="237" t="s">
        <v>300</v>
      </c>
      <c r="G93" s="55" t="s">
        <v>42</v>
      </c>
      <c r="H93" s="55" t="s">
        <v>157</v>
      </c>
      <c r="I93" s="55" t="s">
        <v>155</v>
      </c>
      <c r="J93" s="55" t="s">
        <v>38</v>
      </c>
      <c r="K93" s="55" t="s">
        <v>156</v>
      </c>
      <c r="L93" s="237">
        <v>2</v>
      </c>
      <c r="N93" s="237">
        <v>1</v>
      </c>
      <c r="O93" s="237">
        <v>0.65</v>
      </c>
      <c r="P93" s="237">
        <v>0.8</v>
      </c>
      <c r="Q93" s="57">
        <f t="shared" si="3"/>
        <v>0.72500000000000009</v>
      </c>
      <c r="R93" s="237">
        <v>14</v>
      </c>
      <c r="S93" s="237">
        <v>125</v>
      </c>
      <c r="T93" s="57">
        <f t="shared" si="4"/>
        <v>27</v>
      </c>
      <c r="U93" s="237">
        <v>138</v>
      </c>
      <c r="V93" s="58">
        <f t="shared" si="5"/>
        <v>3726</v>
      </c>
      <c r="W93" s="237">
        <v>2</v>
      </c>
      <c r="X93" s="55" t="s">
        <v>46</v>
      </c>
      <c r="Y93" s="55" t="s">
        <v>97</v>
      </c>
      <c r="Z93" s="55" t="s">
        <v>102</v>
      </c>
      <c r="AA93" s="55" t="s">
        <v>78</v>
      </c>
      <c r="AB93" s="39" t="s">
        <v>340</v>
      </c>
    </row>
    <row r="94" spans="1:30" x14ac:dyDescent="0.15">
      <c r="A94" s="55" t="s">
        <v>41</v>
      </c>
      <c r="B94" s="237" t="s">
        <v>338</v>
      </c>
      <c r="C94" s="152">
        <v>2018</v>
      </c>
      <c r="D94" s="56" t="s">
        <v>345</v>
      </c>
      <c r="E94" s="237" t="s">
        <v>294</v>
      </c>
      <c r="F94" s="237" t="s">
        <v>300</v>
      </c>
      <c r="G94" s="55" t="s">
        <v>42</v>
      </c>
      <c r="H94" s="55" t="s">
        <v>157</v>
      </c>
      <c r="I94" s="55" t="s">
        <v>155</v>
      </c>
      <c r="J94" s="55" t="s">
        <v>38</v>
      </c>
      <c r="K94" s="55" t="s">
        <v>156</v>
      </c>
      <c r="L94" s="237">
        <v>3</v>
      </c>
      <c r="N94" s="237">
        <v>1</v>
      </c>
      <c r="O94" s="237">
        <v>0.7</v>
      </c>
      <c r="P94" s="237">
        <v>0.5</v>
      </c>
      <c r="Q94" s="57">
        <f t="shared" si="3"/>
        <v>0.6</v>
      </c>
      <c r="R94" s="237">
        <v>13.7</v>
      </c>
      <c r="S94" s="237">
        <v>124</v>
      </c>
      <c r="T94" s="57">
        <f t="shared" si="4"/>
        <v>27</v>
      </c>
      <c r="U94" s="237">
        <v>138</v>
      </c>
      <c r="V94" s="58">
        <f t="shared" si="5"/>
        <v>3726</v>
      </c>
      <c r="W94" s="237">
        <v>2</v>
      </c>
      <c r="X94" s="55" t="s">
        <v>46</v>
      </c>
      <c r="Y94" s="55" t="s">
        <v>97</v>
      </c>
      <c r="Z94" s="55" t="s">
        <v>102</v>
      </c>
      <c r="AA94" s="55" t="s">
        <v>78</v>
      </c>
      <c r="AB94" s="39" t="s">
        <v>340</v>
      </c>
    </row>
    <row r="95" spans="1:30" x14ac:dyDescent="0.15">
      <c r="A95" s="55" t="s">
        <v>41</v>
      </c>
      <c r="B95" s="237" t="s">
        <v>338</v>
      </c>
      <c r="C95" s="152">
        <v>2018</v>
      </c>
      <c r="D95" s="56" t="s">
        <v>345</v>
      </c>
      <c r="E95" s="237" t="s">
        <v>294</v>
      </c>
      <c r="F95" s="237" t="s">
        <v>300</v>
      </c>
      <c r="G95" s="55" t="s">
        <v>42</v>
      </c>
      <c r="H95" s="55" t="s">
        <v>157</v>
      </c>
      <c r="I95" s="55" t="s">
        <v>155</v>
      </c>
      <c r="J95" s="55" t="s">
        <v>38</v>
      </c>
      <c r="K95" s="55" t="s">
        <v>156</v>
      </c>
      <c r="L95" s="237">
        <v>1</v>
      </c>
      <c r="N95" s="237">
        <v>4</v>
      </c>
      <c r="O95" s="55">
        <v>1.05</v>
      </c>
      <c r="P95" s="55">
        <v>0.95</v>
      </c>
      <c r="Q95" s="57">
        <f t="shared" si="3"/>
        <v>1</v>
      </c>
      <c r="R95" s="237">
        <v>14.1</v>
      </c>
      <c r="S95" s="237">
        <v>128</v>
      </c>
      <c r="T95" s="57">
        <f t="shared" si="4"/>
        <v>27</v>
      </c>
      <c r="U95" s="237">
        <v>410</v>
      </c>
      <c r="V95" s="58">
        <f t="shared" si="5"/>
        <v>2767.5</v>
      </c>
      <c r="W95" s="237">
        <v>1</v>
      </c>
      <c r="X95" s="55" t="s">
        <v>46</v>
      </c>
      <c r="Y95" s="55" t="s">
        <v>97</v>
      </c>
      <c r="Z95" s="55" t="s">
        <v>102</v>
      </c>
      <c r="AA95" s="55" t="s">
        <v>78</v>
      </c>
      <c r="AB95" s="39" t="s">
        <v>340</v>
      </c>
    </row>
    <row r="96" spans="1:30" x14ac:dyDescent="0.15">
      <c r="A96" s="55" t="s">
        <v>41</v>
      </c>
      <c r="B96" s="237" t="s">
        <v>338</v>
      </c>
      <c r="C96" s="152">
        <v>2018</v>
      </c>
      <c r="D96" s="56" t="s">
        <v>345</v>
      </c>
      <c r="E96" s="237" t="s">
        <v>294</v>
      </c>
      <c r="F96" s="237" t="s">
        <v>300</v>
      </c>
      <c r="G96" s="55" t="s">
        <v>42</v>
      </c>
      <c r="H96" s="55" t="s">
        <v>157</v>
      </c>
      <c r="I96" s="55" t="s">
        <v>155</v>
      </c>
      <c r="J96" s="55" t="s">
        <v>38</v>
      </c>
      <c r="K96" s="55" t="s">
        <v>156</v>
      </c>
      <c r="L96" s="237">
        <v>2</v>
      </c>
      <c r="N96" s="237">
        <v>4</v>
      </c>
      <c r="O96" s="237">
        <v>0.95</v>
      </c>
      <c r="P96" s="237">
        <v>0.8</v>
      </c>
      <c r="Q96" s="57">
        <f t="shared" si="3"/>
        <v>0.875</v>
      </c>
      <c r="R96" s="237">
        <v>15.5</v>
      </c>
      <c r="S96" s="237">
        <v>124</v>
      </c>
      <c r="T96" s="57">
        <f t="shared" si="4"/>
        <v>27</v>
      </c>
      <c r="U96" s="237">
        <v>410</v>
      </c>
      <c r="V96" s="58">
        <f t="shared" si="5"/>
        <v>2767.5</v>
      </c>
      <c r="W96" s="237">
        <v>1</v>
      </c>
      <c r="X96" s="55" t="s">
        <v>46</v>
      </c>
      <c r="Y96" s="55" t="s">
        <v>97</v>
      </c>
      <c r="Z96" s="55" t="s">
        <v>102</v>
      </c>
      <c r="AA96" s="55" t="s">
        <v>78</v>
      </c>
      <c r="AB96" s="39" t="s">
        <v>340</v>
      </c>
    </row>
    <row r="97" spans="1:28" x14ac:dyDescent="0.15">
      <c r="A97" s="55" t="s">
        <v>41</v>
      </c>
      <c r="B97" s="237" t="s">
        <v>338</v>
      </c>
      <c r="C97" s="152">
        <v>2018</v>
      </c>
      <c r="D97" s="56" t="s">
        <v>345</v>
      </c>
      <c r="E97" s="237" t="s">
        <v>294</v>
      </c>
      <c r="F97" s="237" t="s">
        <v>300</v>
      </c>
      <c r="G97" s="55" t="s">
        <v>42</v>
      </c>
      <c r="H97" s="55" t="s">
        <v>157</v>
      </c>
      <c r="I97" s="55" t="s">
        <v>155</v>
      </c>
      <c r="J97" s="55" t="s">
        <v>38</v>
      </c>
      <c r="K97" s="55" t="s">
        <v>156</v>
      </c>
      <c r="L97" s="237">
        <v>3</v>
      </c>
      <c r="N97" s="237">
        <v>4</v>
      </c>
      <c r="O97" s="237">
        <v>0.75</v>
      </c>
      <c r="P97" s="237">
        <v>0.95</v>
      </c>
      <c r="Q97" s="57">
        <f t="shared" si="3"/>
        <v>0.85</v>
      </c>
      <c r="R97" s="237">
        <v>13.4</v>
      </c>
      <c r="S97" s="237">
        <v>126</v>
      </c>
      <c r="T97" s="57">
        <f t="shared" si="4"/>
        <v>27</v>
      </c>
      <c r="U97" s="237">
        <v>410</v>
      </c>
      <c r="V97" s="58">
        <f t="shared" si="5"/>
        <v>2767.5</v>
      </c>
      <c r="W97" s="237">
        <v>1</v>
      </c>
      <c r="X97" s="55" t="s">
        <v>46</v>
      </c>
      <c r="Y97" s="55" t="s">
        <v>97</v>
      </c>
      <c r="Z97" s="55" t="s">
        <v>102</v>
      </c>
      <c r="AA97" s="55" t="s">
        <v>78</v>
      </c>
      <c r="AB97" s="39" t="s">
        <v>340</v>
      </c>
    </row>
    <row r="98" spans="1:28" x14ac:dyDescent="0.15">
      <c r="A98" s="55" t="s">
        <v>41</v>
      </c>
      <c r="B98" s="237" t="s">
        <v>338</v>
      </c>
      <c r="C98" s="152">
        <v>2018</v>
      </c>
      <c r="D98" s="56" t="s">
        <v>345</v>
      </c>
      <c r="E98" s="237" t="s">
        <v>294</v>
      </c>
      <c r="F98" s="237" t="s">
        <v>300</v>
      </c>
      <c r="G98" s="55" t="s">
        <v>42</v>
      </c>
      <c r="H98" s="55" t="s">
        <v>165</v>
      </c>
      <c r="I98" s="55" t="s">
        <v>155</v>
      </c>
      <c r="J98" s="55" t="s">
        <v>38</v>
      </c>
      <c r="K98" s="55" t="s">
        <v>156</v>
      </c>
      <c r="L98" s="237">
        <v>1</v>
      </c>
      <c r="N98" s="237">
        <v>1</v>
      </c>
      <c r="O98" s="55">
        <v>0.3</v>
      </c>
      <c r="P98" s="55">
        <v>0.35</v>
      </c>
      <c r="Q98" s="82">
        <f t="shared" si="3"/>
        <v>0.32499999999999996</v>
      </c>
      <c r="R98" s="55">
        <v>14.8</v>
      </c>
      <c r="S98" s="55">
        <v>128</v>
      </c>
      <c r="T98" s="57">
        <f t="shared" si="4"/>
        <v>27</v>
      </c>
      <c r="U98" s="237">
        <v>138</v>
      </c>
      <c r="V98" s="58">
        <f t="shared" si="5"/>
        <v>3726</v>
      </c>
      <c r="W98" s="237">
        <v>2</v>
      </c>
      <c r="X98" s="55" t="s">
        <v>46</v>
      </c>
      <c r="Y98" s="55" t="s">
        <v>97</v>
      </c>
      <c r="Z98" s="55" t="s">
        <v>102</v>
      </c>
      <c r="AA98" s="55" t="s">
        <v>78</v>
      </c>
      <c r="AB98" s="39" t="s">
        <v>340</v>
      </c>
    </row>
    <row r="99" spans="1:28" x14ac:dyDescent="0.15">
      <c r="A99" s="55" t="s">
        <v>41</v>
      </c>
      <c r="B99" s="237" t="s">
        <v>338</v>
      </c>
      <c r="C99" s="152">
        <v>2018</v>
      </c>
      <c r="D99" s="56" t="s">
        <v>345</v>
      </c>
      <c r="E99" s="237" t="s">
        <v>294</v>
      </c>
      <c r="F99" s="237" t="s">
        <v>300</v>
      </c>
      <c r="G99" s="55" t="s">
        <v>42</v>
      </c>
      <c r="H99" s="55" t="s">
        <v>165</v>
      </c>
      <c r="I99" s="55" t="s">
        <v>155</v>
      </c>
      <c r="J99" s="55" t="s">
        <v>38</v>
      </c>
      <c r="K99" s="55" t="s">
        <v>156</v>
      </c>
      <c r="L99" s="237">
        <v>2</v>
      </c>
      <c r="N99" s="237">
        <v>1</v>
      </c>
      <c r="O99" s="55">
        <v>0.35</v>
      </c>
      <c r="P99" s="55">
        <v>0.35</v>
      </c>
      <c r="Q99" s="82">
        <f t="shared" si="3"/>
        <v>0.35</v>
      </c>
      <c r="R99" s="55">
        <v>15.7</v>
      </c>
      <c r="S99" s="55">
        <v>124</v>
      </c>
      <c r="T99" s="57">
        <f t="shared" si="4"/>
        <v>27</v>
      </c>
      <c r="U99" s="237">
        <v>138</v>
      </c>
      <c r="V99" s="58">
        <f t="shared" si="5"/>
        <v>3726</v>
      </c>
      <c r="W99" s="237">
        <v>2</v>
      </c>
      <c r="X99" s="55" t="s">
        <v>46</v>
      </c>
      <c r="Y99" s="55" t="s">
        <v>97</v>
      </c>
      <c r="Z99" s="55" t="s">
        <v>102</v>
      </c>
      <c r="AA99" s="55" t="s">
        <v>78</v>
      </c>
      <c r="AB99" s="39" t="s">
        <v>340</v>
      </c>
    </row>
    <row r="100" spans="1:28" x14ac:dyDescent="0.15">
      <c r="A100" s="55" t="s">
        <v>41</v>
      </c>
      <c r="B100" s="237" t="s">
        <v>338</v>
      </c>
      <c r="C100" s="152">
        <v>2018</v>
      </c>
      <c r="D100" s="56" t="s">
        <v>345</v>
      </c>
      <c r="E100" s="237" t="s">
        <v>294</v>
      </c>
      <c r="F100" s="237" t="s">
        <v>300</v>
      </c>
      <c r="G100" s="55" t="s">
        <v>42</v>
      </c>
      <c r="H100" s="55" t="s">
        <v>165</v>
      </c>
      <c r="I100" s="55" t="s">
        <v>155</v>
      </c>
      <c r="J100" s="55" t="s">
        <v>38</v>
      </c>
      <c r="K100" s="55" t="s">
        <v>156</v>
      </c>
      <c r="L100" s="237">
        <v>3</v>
      </c>
      <c r="N100" s="237">
        <v>1</v>
      </c>
      <c r="O100" s="55">
        <v>0.35</v>
      </c>
      <c r="P100" s="55">
        <v>0.45</v>
      </c>
      <c r="Q100" s="82">
        <f t="shared" si="3"/>
        <v>0.4</v>
      </c>
      <c r="R100" s="55">
        <v>13.7</v>
      </c>
      <c r="S100" s="55">
        <v>131</v>
      </c>
      <c r="T100" s="57">
        <f t="shared" si="4"/>
        <v>25</v>
      </c>
      <c r="U100" s="237">
        <v>138</v>
      </c>
      <c r="V100" s="58">
        <f t="shared" si="5"/>
        <v>3450</v>
      </c>
      <c r="W100" s="237">
        <v>2</v>
      </c>
      <c r="X100" s="55" t="s">
        <v>46</v>
      </c>
      <c r="Y100" s="55" t="s">
        <v>97</v>
      </c>
      <c r="Z100" s="55" t="s">
        <v>102</v>
      </c>
      <c r="AA100" s="55" t="s">
        <v>78</v>
      </c>
      <c r="AB100" s="39" t="s">
        <v>340</v>
      </c>
    </row>
    <row r="101" spans="1:28" x14ac:dyDescent="0.15">
      <c r="A101" s="55" t="s">
        <v>41</v>
      </c>
      <c r="B101" s="237" t="s">
        <v>338</v>
      </c>
      <c r="C101" s="152">
        <v>2018</v>
      </c>
      <c r="D101" s="56" t="s">
        <v>345</v>
      </c>
      <c r="E101" s="237" t="s">
        <v>294</v>
      </c>
      <c r="F101" s="237" t="s">
        <v>300</v>
      </c>
      <c r="G101" s="55" t="s">
        <v>42</v>
      </c>
      <c r="H101" s="55" t="s">
        <v>165</v>
      </c>
      <c r="I101" s="55" t="s">
        <v>155</v>
      </c>
      <c r="J101" s="55" t="s">
        <v>38</v>
      </c>
      <c r="K101" s="55" t="s">
        <v>156</v>
      </c>
      <c r="L101" s="237">
        <v>1</v>
      </c>
      <c r="N101" s="237">
        <v>4</v>
      </c>
      <c r="O101" s="55">
        <v>0.65</v>
      </c>
      <c r="P101" s="55">
        <v>0.7</v>
      </c>
      <c r="Q101" s="82">
        <f t="shared" si="3"/>
        <v>0.67500000000000004</v>
      </c>
      <c r="R101" s="55">
        <v>16.2</v>
      </c>
      <c r="S101" s="55">
        <v>118</v>
      </c>
      <c r="T101" s="57">
        <f t="shared" si="4"/>
        <v>30</v>
      </c>
      <c r="U101" s="237">
        <v>518</v>
      </c>
      <c r="V101" s="58">
        <f t="shared" si="5"/>
        <v>3885</v>
      </c>
      <c r="W101" s="237">
        <v>2</v>
      </c>
      <c r="X101" s="55" t="s">
        <v>46</v>
      </c>
      <c r="Y101" s="55" t="s">
        <v>97</v>
      </c>
      <c r="Z101" s="55" t="s">
        <v>102</v>
      </c>
      <c r="AA101" s="55" t="s">
        <v>78</v>
      </c>
      <c r="AB101" s="39" t="s">
        <v>340</v>
      </c>
    </row>
    <row r="102" spans="1:28" x14ac:dyDescent="0.15">
      <c r="A102" s="55" t="s">
        <v>41</v>
      </c>
      <c r="B102" s="237" t="s">
        <v>338</v>
      </c>
      <c r="C102" s="152">
        <v>2018</v>
      </c>
      <c r="D102" s="56" t="s">
        <v>345</v>
      </c>
      <c r="E102" s="237" t="s">
        <v>294</v>
      </c>
      <c r="F102" s="237" t="s">
        <v>300</v>
      </c>
      <c r="G102" s="55" t="s">
        <v>42</v>
      </c>
      <c r="H102" s="55" t="s">
        <v>165</v>
      </c>
      <c r="I102" s="55" t="s">
        <v>155</v>
      </c>
      <c r="J102" s="55" t="s">
        <v>38</v>
      </c>
      <c r="K102" s="55" t="s">
        <v>156</v>
      </c>
      <c r="L102" s="237">
        <v>2</v>
      </c>
      <c r="N102" s="237">
        <v>4</v>
      </c>
      <c r="O102" s="55">
        <v>0.45</v>
      </c>
      <c r="P102" s="55">
        <v>0.65</v>
      </c>
      <c r="Q102" s="82">
        <f t="shared" si="3"/>
        <v>0.55000000000000004</v>
      </c>
      <c r="R102" s="55">
        <v>15</v>
      </c>
      <c r="S102" s="55">
        <v>121</v>
      </c>
      <c r="T102" s="57">
        <f t="shared" si="4"/>
        <v>27</v>
      </c>
      <c r="U102" s="237">
        <v>518</v>
      </c>
      <c r="V102" s="58">
        <f t="shared" si="5"/>
        <v>3496.5</v>
      </c>
      <c r="W102" s="237">
        <v>2</v>
      </c>
      <c r="X102" s="55" t="s">
        <v>46</v>
      </c>
      <c r="Y102" s="55" t="s">
        <v>97</v>
      </c>
      <c r="Z102" s="55" t="s">
        <v>102</v>
      </c>
      <c r="AA102" s="55" t="s">
        <v>78</v>
      </c>
      <c r="AB102" s="39" t="s">
        <v>340</v>
      </c>
    </row>
    <row r="103" spans="1:28" x14ac:dyDescent="0.15">
      <c r="A103" s="55" t="s">
        <v>41</v>
      </c>
      <c r="B103" s="237" t="s">
        <v>338</v>
      </c>
      <c r="C103" s="152">
        <v>2018</v>
      </c>
      <c r="D103" s="56" t="s">
        <v>345</v>
      </c>
      <c r="E103" s="237" t="s">
        <v>294</v>
      </c>
      <c r="F103" s="237" t="s">
        <v>300</v>
      </c>
      <c r="G103" s="55" t="s">
        <v>42</v>
      </c>
      <c r="H103" s="55" t="s">
        <v>165</v>
      </c>
      <c r="I103" s="55" t="s">
        <v>155</v>
      </c>
      <c r="J103" s="55" t="s">
        <v>38</v>
      </c>
      <c r="K103" s="55" t="s">
        <v>156</v>
      </c>
      <c r="L103" s="237">
        <v>3</v>
      </c>
      <c r="N103" s="237">
        <v>4</v>
      </c>
      <c r="O103" s="55">
        <v>0.6</v>
      </c>
      <c r="P103" s="55">
        <v>0.5</v>
      </c>
      <c r="Q103" s="82">
        <f t="shared" si="3"/>
        <v>0.55000000000000004</v>
      </c>
      <c r="R103" s="55">
        <v>14.7</v>
      </c>
      <c r="S103" s="55">
        <v>124</v>
      </c>
      <c r="T103" s="57">
        <f t="shared" si="4"/>
        <v>27</v>
      </c>
      <c r="U103" s="237">
        <v>518</v>
      </c>
      <c r="V103" s="58">
        <f t="shared" si="5"/>
        <v>3496.5</v>
      </c>
      <c r="W103" s="237">
        <v>2</v>
      </c>
      <c r="X103" s="55" t="s">
        <v>46</v>
      </c>
      <c r="Y103" s="55" t="s">
        <v>97</v>
      </c>
      <c r="Z103" s="55" t="s">
        <v>102</v>
      </c>
      <c r="AA103" s="55" t="s">
        <v>78</v>
      </c>
      <c r="AB103" s="39" t="s">
        <v>340</v>
      </c>
    </row>
    <row r="104" spans="1:28" x14ac:dyDescent="0.15">
      <c r="A104" s="55" t="s">
        <v>41</v>
      </c>
      <c r="B104" s="237" t="s">
        <v>338</v>
      </c>
      <c r="C104" s="152">
        <v>2018</v>
      </c>
      <c r="D104" s="56" t="s">
        <v>345</v>
      </c>
      <c r="E104" s="237" t="s">
        <v>173</v>
      </c>
      <c r="F104" s="237" t="s">
        <v>301</v>
      </c>
      <c r="G104" s="55" t="s">
        <v>42</v>
      </c>
      <c r="H104" s="55" t="s">
        <v>165</v>
      </c>
      <c r="I104" s="55" t="s">
        <v>155</v>
      </c>
      <c r="J104" s="55" t="s">
        <v>38</v>
      </c>
      <c r="K104" s="55" t="s">
        <v>156</v>
      </c>
      <c r="L104" s="237">
        <v>1</v>
      </c>
      <c r="N104" s="237">
        <v>1</v>
      </c>
      <c r="O104" s="55">
        <v>0.25</v>
      </c>
      <c r="P104" s="55">
        <v>0.3</v>
      </c>
      <c r="Q104" s="82">
        <f t="shared" si="3"/>
        <v>0.27500000000000002</v>
      </c>
      <c r="R104" s="55">
        <v>14.2</v>
      </c>
      <c r="S104" s="55">
        <v>130</v>
      </c>
      <c r="T104" s="57">
        <f t="shared" si="4"/>
        <v>25</v>
      </c>
      <c r="U104" s="237">
        <v>137</v>
      </c>
      <c r="V104" s="58">
        <f t="shared" si="5"/>
        <v>3425</v>
      </c>
      <c r="W104" s="237">
        <v>2</v>
      </c>
      <c r="X104" s="55" t="s">
        <v>46</v>
      </c>
      <c r="Y104" s="55" t="s">
        <v>97</v>
      </c>
      <c r="Z104" s="55" t="s">
        <v>88</v>
      </c>
      <c r="AA104" s="55" t="s">
        <v>69</v>
      </c>
      <c r="AB104" s="39" t="s">
        <v>340</v>
      </c>
    </row>
    <row r="105" spans="1:28" x14ac:dyDescent="0.15">
      <c r="A105" s="55" t="s">
        <v>41</v>
      </c>
      <c r="B105" s="237" t="s">
        <v>338</v>
      </c>
      <c r="C105" s="152">
        <v>2018</v>
      </c>
      <c r="D105" s="56" t="s">
        <v>345</v>
      </c>
      <c r="E105" s="237" t="s">
        <v>173</v>
      </c>
      <c r="F105" s="237" t="s">
        <v>301</v>
      </c>
      <c r="G105" s="55" t="s">
        <v>42</v>
      </c>
      <c r="H105" s="55" t="s">
        <v>165</v>
      </c>
      <c r="I105" s="55" t="s">
        <v>155</v>
      </c>
      <c r="J105" s="55" t="s">
        <v>38</v>
      </c>
      <c r="K105" s="55" t="s">
        <v>156</v>
      </c>
      <c r="L105" s="237">
        <v>2</v>
      </c>
      <c r="N105" s="237">
        <v>1</v>
      </c>
      <c r="O105" s="55">
        <v>0.4</v>
      </c>
      <c r="P105" s="55">
        <v>0.45</v>
      </c>
      <c r="Q105" s="57">
        <f t="shared" si="3"/>
        <v>0.42500000000000004</v>
      </c>
      <c r="R105" s="55">
        <v>15.6</v>
      </c>
      <c r="S105" s="55">
        <v>128</v>
      </c>
      <c r="T105" s="57">
        <f t="shared" si="4"/>
        <v>27</v>
      </c>
      <c r="U105" s="237">
        <v>137</v>
      </c>
      <c r="V105" s="58">
        <f t="shared" si="5"/>
        <v>3699</v>
      </c>
      <c r="W105" s="237">
        <v>2</v>
      </c>
      <c r="X105" s="55" t="s">
        <v>46</v>
      </c>
      <c r="Y105" s="55" t="s">
        <v>97</v>
      </c>
      <c r="Z105" s="55" t="s">
        <v>88</v>
      </c>
      <c r="AA105" s="55" t="s">
        <v>69</v>
      </c>
      <c r="AB105" s="39" t="s">
        <v>340</v>
      </c>
    </row>
    <row r="106" spans="1:28" x14ac:dyDescent="0.15">
      <c r="A106" s="55" t="s">
        <v>41</v>
      </c>
      <c r="B106" s="237" t="s">
        <v>338</v>
      </c>
      <c r="C106" s="152">
        <v>2018</v>
      </c>
      <c r="D106" s="56" t="s">
        <v>345</v>
      </c>
      <c r="E106" s="237" t="s">
        <v>173</v>
      </c>
      <c r="F106" s="237" t="s">
        <v>301</v>
      </c>
      <c r="G106" s="55" t="s">
        <v>42</v>
      </c>
      <c r="H106" s="55" t="s">
        <v>165</v>
      </c>
      <c r="I106" s="55" t="s">
        <v>155</v>
      </c>
      <c r="J106" s="55" t="s">
        <v>38</v>
      </c>
      <c r="K106" s="55" t="s">
        <v>156</v>
      </c>
      <c r="L106" s="237">
        <v>3</v>
      </c>
      <c r="N106" s="237">
        <v>1</v>
      </c>
      <c r="O106" s="55">
        <v>0.5</v>
      </c>
      <c r="P106" s="55">
        <v>0.55000000000000004</v>
      </c>
      <c r="Q106" s="57">
        <f t="shared" si="3"/>
        <v>0.52500000000000002</v>
      </c>
      <c r="R106" s="55">
        <v>14.3</v>
      </c>
      <c r="S106" s="55">
        <v>131</v>
      </c>
      <c r="T106" s="57">
        <f t="shared" si="4"/>
        <v>25</v>
      </c>
      <c r="U106" s="237">
        <v>137</v>
      </c>
      <c r="V106" s="58">
        <f t="shared" si="5"/>
        <v>3425</v>
      </c>
      <c r="W106" s="237">
        <v>2</v>
      </c>
      <c r="X106" s="55" t="s">
        <v>46</v>
      </c>
      <c r="Y106" s="55" t="s">
        <v>97</v>
      </c>
      <c r="Z106" s="55" t="s">
        <v>88</v>
      </c>
      <c r="AA106" s="55" t="s">
        <v>69</v>
      </c>
      <c r="AB106" s="39" t="s">
        <v>340</v>
      </c>
    </row>
    <row r="107" spans="1:28" x14ac:dyDescent="0.15">
      <c r="A107" s="55" t="s">
        <v>41</v>
      </c>
      <c r="B107" s="237" t="s">
        <v>338</v>
      </c>
      <c r="C107" s="152">
        <v>2018</v>
      </c>
      <c r="D107" s="56" t="s">
        <v>345</v>
      </c>
      <c r="E107" s="237" t="s">
        <v>173</v>
      </c>
      <c r="F107" s="237" t="s">
        <v>301</v>
      </c>
      <c r="G107" s="55" t="s">
        <v>42</v>
      </c>
      <c r="H107" s="55" t="s">
        <v>165</v>
      </c>
      <c r="I107" s="55" t="s">
        <v>155</v>
      </c>
      <c r="J107" s="55" t="s">
        <v>38</v>
      </c>
      <c r="K107" s="55" t="s">
        <v>156</v>
      </c>
      <c r="L107" s="237">
        <v>1</v>
      </c>
      <c r="N107" s="237">
        <v>5</v>
      </c>
      <c r="O107" s="55">
        <v>0.45</v>
      </c>
      <c r="P107" s="55">
        <v>0.5</v>
      </c>
      <c r="Q107" s="57">
        <f t="shared" si="3"/>
        <v>0.47499999999999998</v>
      </c>
      <c r="R107" s="55">
        <v>15.1</v>
      </c>
      <c r="S107" s="55">
        <v>108</v>
      </c>
      <c r="T107" s="57">
        <f t="shared" si="4"/>
        <v>33</v>
      </c>
      <c r="U107" s="237">
        <v>471</v>
      </c>
      <c r="V107" s="58">
        <f t="shared" si="5"/>
        <v>3108.6</v>
      </c>
      <c r="W107" s="237">
        <v>1</v>
      </c>
      <c r="X107" s="55" t="s">
        <v>46</v>
      </c>
      <c r="Y107" s="55" t="s">
        <v>97</v>
      </c>
      <c r="Z107" s="55" t="s">
        <v>88</v>
      </c>
      <c r="AA107" s="55" t="s">
        <v>69</v>
      </c>
      <c r="AB107" s="39" t="s">
        <v>340</v>
      </c>
    </row>
    <row r="108" spans="1:28" x14ac:dyDescent="0.15">
      <c r="A108" s="55" t="s">
        <v>41</v>
      </c>
      <c r="B108" s="237" t="s">
        <v>338</v>
      </c>
      <c r="C108" s="152">
        <v>2018</v>
      </c>
      <c r="D108" s="56" t="s">
        <v>345</v>
      </c>
      <c r="E108" s="237" t="s">
        <v>173</v>
      </c>
      <c r="F108" s="237" t="s">
        <v>301</v>
      </c>
      <c r="G108" s="55" t="s">
        <v>42</v>
      </c>
      <c r="H108" s="55" t="s">
        <v>165</v>
      </c>
      <c r="I108" s="55" t="s">
        <v>155</v>
      </c>
      <c r="J108" s="55" t="s">
        <v>38</v>
      </c>
      <c r="K108" s="55" t="s">
        <v>156</v>
      </c>
      <c r="L108" s="237">
        <v>2</v>
      </c>
      <c r="N108" s="237">
        <v>5</v>
      </c>
      <c r="O108" s="55">
        <v>0.75</v>
      </c>
      <c r="P108" s="55">
        <v>0.8</v>
      </c>
      <c r="Q108" s="57">
        <f t="shared" si="3"/>
        <v>0.77500000000000002</v>
      </c>
      <c r="R108" s="237">
        <v>15.2</v>
      </c>
      <c r="S108" s="237">
        <v>112</v>
      </c>
      <c r="T108" s="57">
        <f t="shared" si="4"/>
        <v>33</v>
      </c>
      <c r="U108" s="237">
        <v>471</v>
      </c>
      <c r="V108" s="58">
        <f t="shared" si="5"/>
        <v>3108.6</v>
      </c>
      <c r="W108" s="237">
        <v>1</v>
      </c>
      <c r="X108" s="55" t="s">
        <v>46</v>
      </c>
      <c r="Y108" s="55" t="s">
        <v>97</v>
      </c>
      <c r="Z108" s="55" t="s">
        <v>88</v>
      </c>
      <c r="AA108" s="55" t="s">
        <v>69</v>
      </c>
      <c r="AB108" s="39" t="s">
        <v>340</v>
      </c>
    </row>
    <row r="109" spans="1:28" x14ac:dyDescent="0.15">
      <c r="A109" s="55" t="s">
        <v>41</v>
      </c>
      <c r="B109" s="237" t="s">
        <v>338</v>
      </c>
      <c r="C109" s="152">
        <v>2018</v>
      </c>
      <c r="D109" s="56" t="s">
        <v>345</v>
      </c>
      <c r="E109" s="237" t="s">
        <v>173</v>
      </c>
      <c r="F109" s="237" t="s">
        <v>301</v>
      </c>
      <c r="G109" s="55" t="s">
        <v>42</v>
      </c>
      <c r="H109" s="55" t="s">
        <v>165</v>
      </c>
      <c r="I109" s="55" t="s">
        <v>155</v>
      </c>
      <c r="J109" s="55" t="s">
        <v>38</v>
      </c>
      <c r="K109" s="55" t="s">
        <v>156</v>
      </c>
      <c r="L109" s="237">
        <v>3</v>
      </c>
      <c r="N109" s="237">
        <v>5</v>
      </c>
      <c r="O109" s="55">
        <v>0.8</v>
      </c>
      <c r="P109" s="55">
        <v>0.85</v>
      </c>
      <c r="Q109" s="57">
        <f t="shared" si="3"/>
        <v>0.82499999999999996</v>
      </c>
      <c r="R109" s="237">
        <v>14.1</v>
      </c>
      <c r="S109" s="237">
        <v>104</v>
      </c>
      <c r="T109" s="57">
        <f t="shared" si="4"/>
        <v>33</v>
      </c>
      <c r="U109" s="237">
        <v>471</v>
      </c>
      <c r="V109" s="58">
        <f t="shared" si="5"/>
        <v>3108.6</v>
      </c>
      <c r="W109" s="237">
        <v>1</v>
      </c>
      <c r="X109" s="55" t="s">
        <v>46</v>
      </c>
      <c r="Y109" s="55" t="s">
        <v>97</v>
      </c>
      <c r="Z109" s="55" t="s">
        <v>88</v>
      </c>
      <c r="AA109" s="55" t="s">
        <v>69</v>
      </c>
      <c r="AB109" s="39" t="s">
        <v>340</v>
      </c>
    </row>
    <row r="110" spans="1:28" x14ac:dyDescent="0.15">
      <c r="A110" s="55" t="s">
        <v>41</v>
      </c>
      <c r="B110" s="237" t="s">
        <v>338</v>
      </c>
      <c r="C110" s="152">
        <v>2018</v>
      </c>
      <c r="D110" s="56" t="s">
        <v>345</v>
      </c>
      <c r="E110" s="237" t="s">
        <v>173</v>
      </c>
      <c r="F110" s="237" t="s">
        <v>301</v>
      </c>
      <c r="G110" s="55" t="s">
        <v>42</v>
      </c>
      <c r="H110" s="55" t="s">
        <v>157</v>
      </c>
      <c r="I110" s="55" t="s">
        <v>155</v>
      </c>
      <c r="J110" s="55" t="s">
        <v>38</v>
      </c>
      <c r="K110" s="55" t="s">
        <v>156</v>
      </c>
      <c r="L110" s="237">
        <v>1</v>
      </c>
      <c r="N110" s="237">
        <v>1</v>
      </c>
      <c r="O110" s="55">
        <v>0.7</v>
      </c>
      <c r="P110" s="55">
        <v>0.55000000000000004</v>
      </c>
      <c r="Q110" s="57">
        <f t="shared" si="3"/>
        <v>0.625</v>
      </c>
      <c r="R110" s="237">
        <v>16.8</v>
      </c>
      <c r="S110" s="237">
        <v>118</v>
      </c>
      <c r="T110" s="57">
        <f t="shared" si="4"/>
        <v>30</v>
      </c>
      <c r="U110" s="237">
        <v>137</v>
      </c>
      <c r="V110" s="58">
        <f t="shared" si="5"/>
        <v>4110</v>
      </c>
      <c r="W110" s="237">
        <v>1</v>
      </c>
      <c r="X110" s="55" t="s">
        <v>46</v>
      </c>
      <c r="Y110" s="55" t="s">
        <v>97</v>
      </c>
      <c r="Z110" s="55" t="s">
        <v>88</v>
      </c>
      <c r="AA110" s="55" t="s">
        <v>69</v>
      </c>
      <c r="AB110" s="39" t="s">
        <v>340</v>
      </c>
    </row>
    <row r="111" spans="1:28" x14ac:dyDescent="0.15">
      <c r="A111" s="55" t="s">
        <v>41</v>
      </c>
      <c r="B111" s="237" t="s">
        <v>338</v>
      </c>
      <c r="C111" s="152">
        <v>2018</v>
      </c>
      <c r="D111" s="56" t="s">
        <v>345</v>
      </c>
      <c r="E111" s="237" t="s">
        <v>173</v>
      </c>
      <c r="F111" s="237" t="s">
        <v>301</v>
      </c>
      <c r="G111" s="55" t="s">
        <v>42</v>
      </c>
      <c r="H111" s="55" t="s">
        <v>157</v>
      </c>
      <c r="I111" s="55" t="s">
        <v>155</v>
      </c>
      <c r="J111" s="55" t="s">
        <v>38</v>
      </c>
      <c r="K111" s="55" t="s">
        <v>156</v>
      </c>
      <c r="L111" s="237">
        <v>2</v>
      </c>
      <c r="N111" s="237">
        <v>1</v>
      </c>
      <c r="O111" s="55">
        <v>0.65</v>
      </c>
      <c r="P111" s="55">
        <v>0.75</v>
      </c>
      <c r="Q111" s="57">
        <f t="shared" si="3"/>
        <v>0.7</v>
      </c>
      <c r="R111" s="237">
        <v>15.1</v>
      </c>
      <c r="S111" s="237">
        <v>123</v>
      </c>
      <c r="T111" s="57">
        <f t="shared" si="4"/>
        <v>27</v>
      </c>
      <c r="U111" s="237">
        <v>137</v>
      </c>
      <c r="V111" s="58">
        <f t="shared" si="5"/>
        <v>3699</v>
      </c>
      <c r="W111" s="237">
        <v>1</v>
      </c>
      <c r="X111" s="55" t="s">
        <v>46</v>
      </c>
      <c r="Y111" s="55" t="s">
        <v>97</v>
      </c>
      <c r="Z111" s="55" t="s">
        <v>88</v>
      </c>
      <c r="AA111" s="55" t="s">
        <v>69</v>
      </c>
      <c r="AB111" s="39" t="s">
        <v>340</v>
      </c>
    </row>
    <row r="112" spans="1:28" x14ac:dyDescent="0.15">
      <c r="A112" s="55" t="s">
        <v>41</v>
      </c>
      <c r="B112" s="237" t="s">
        <v>338</v>
      </c>
      <c r="C112" s="152">
        <v>2018</v>
      </c>
      <c r="D112" s="56" t="s">
        <v>345</v>
      </c>
      <c r="E112" s="237" t="s">
        <v>173</v>
      </c>
      <c r="F112" s="237" t="s">
        <v>301</v>
      </c>
      <c r="G112" s="55" t="s">
        <v>42</v>
      </c>
      <c r="H112" s="55" t="s">
        <v>157</v>
      </c>
      <c r="I112" s="55" t="s">
        <v>155</v>
      </c>
      <c r="J112" s="55" t="s">
        <v>38</v>
      </c>
      <c r="K112" s="55" t="s">
        <v>156</v>
      </c>
      <c r="L112" s="237">
        <v>3</v>
      </c>
      <c r="N112" s="237">
        <v>1</v>
      </c>
      <c r="O112" s="55">
        <v>0.9</v>
      </c>
      <c r="P112" s="55">
        <v>0.8</v>
      </c>
      <c r="Q112" s="57">
        <f t="shared" si="3"/>
        <v>0.85000000000000009</v>
      </c>
      <c r="R112" s="237">
        <v>12.9</v>
      </c>
      <c r="S112" s="237">
        <v>124</v>
      </c>
      <c r="T112" s="57">
        <f t="shared" si="4"/>
        <v>27</v>
      </c>
      <c r="U112" s="237">
        <v>137</v>
      </c>
      <c r="V112" s="58">
        <f t="shared" si="5"/>
        <v>3699</v>
      </c>
      <c r="W112" s="237">
        <v>1</v>
      </c>
      <c r="X112" s="55" t="s">
        <v>46</v>
      </c>
      <c r="Y112" s="55" t="s">
        <v>97</v>
      </c>
      <c r="Z112" s="55" t="s">
        <v>88</v>
      </c>
      <c r="AA112" s="55" t="s">
        <v>69</v>
      </c>
      <c r="AB112" s="39" t="s">
        <v>340</v>
      </c>
    </row>
    <row r="113" spans="1:28" x14ac:dyDescent="0.15">
      <c r="A113" s="55" t="s">
        <v>41</v>
      </c>
      <c r="B113" s="237" t="s">
        <v>338</v>
      </c>
      <c r="C113" s="152">
        <v>2018</v>
      </c>
      <c r="D113" s="56" t="s">
        <v>345</v>
      </c>
      <c r="E113" s="237" t="s">
        <v>173</v>
      </c>
      <c r="F113" s="237" t="s">
        <v>301</v>
      </c>
      <c r="G113" s="55" t="s">
        <v>42</v>
      </c>
      <c r="H113" s="55" t="s">
        <v>157</v>
      </c>
      <c r="I113" s="55" t="s">
        <v>158</v>
      </c>
      <c r="J113" s="55" t="s">
        <v>38</v>
      </c>
      <c r="K113" s="55" t="s">
        <v>156</v>
      </c>
      <c r="L113" s="237">
        <v>1</v>
      </c>
      <c r="N113" s="237">
        <v>5</v>
      </c>
      <c r="O113" s="55">
        <v>0.8</v>
      </c>
      <c r="P113" s="55">
        <v>0.85</v>
      </c>
      <c r="Q113" s="57">
        <f t="shared" si="3"/>
        <v>0.82499999999999996</v>
      </c>
      <c r="R113" s="237">
        <v>13.4</v>
      </c>
      <c r="S113" s="237">
        <v>110</v>
      </c>
      <c r="T113" s="57">
        <f t="shared" si="4"/>
        <v>33</v>
      </c>
      <c r="U113" s="237">
        <v>471</v>
      </c>
      <c r="V113" s="58">
        <f t="shared" si="5"/>
        <v>3108.6</v>
      </c>
      <c r="W113" s="237">
        <v>1</v>
      </c>
      <c r="X113" s="55" t="s">
        <v>46</v>
      </c>
      <c r="Y113" s="55" t="s">
        <v>97</v>
      </c>
      <c r="Z113" s="55" t="s">
        <v>88</v>
      </c>
      <c r="AA113" s="55" t="s">
        <v>69</v>
      </c>
      <c r="AB113" s="39" t="s">
        <v>340</v>
      </c>
    </row>
    <row r="114" spans="1:28" x14ac:dyDescent="0.15">
      <c r="A114" s="55" t="s">
        <v>41</v>
      </c>
      <c r="B114" s="237" t="s">
        <v>338</v>
      </c>
      <c r="C114" s="152">
        <v>2018</v>
      </c>
      <c r="D114" s="56" t="s">
        <v>345</v>
      </c>
      <c r="E114" s="237" t="s">
        <v>173</v>
      </c>
      <c r="F114" s="237" t="s">
        <v>301</v>
      </c>
      <c r="G114" s="55" t="s">
        <v>42</v>
      </c>
      <c r="H114" s="55" t="s">
        <v>157</v>
      </c>
      <c r="I114" s="55" t="s">
        <v>158</v>
      </c>
      <c r="J114" s="55" t="s">
        <v>38</v>
      </c>
      <c r="K114" s="55" t="s">
        <v>156</v>
      </c>
      <c r="L114" s="237">
        <v>2</v>
      </c>
      <c r="N114" s="237">
        <v>5</v>
      </c>
      <c r="O114" s="237">
        <v>0.65</v>
      </c>
      <c r="P114" s="237">
        <v>0.65</v>
      </c>
      <c r="Q114" s="57">
        <f t="shared" si="3"/>
        <v>0.65</v>
      </c>
      <c r="R114" s="237">
        <v>14.7</v>
      </c>
      <c r="S114" s="55">
        <v>108</v>
      </c>
      <c r="T114" s="57">
        <f t="shared" si="4"/>
        <v>33</v>
      </c>
      <c r="U114" s="237">
        <v>471</v>
      </c>
      <c r="V114" s="58">
        <f t="shared" si="5"/>
        <v>3108.6</v>
      </c>
      <c r="W114" s="237">
        <v>1</v>
      </c>
      <c r="X114" s="55" t="s">
        <v>46</v>
      </c>
      <c r="Y114" s="55" t="s">
        <v>97</v>
      </c>
      <c r="Z114" s="55" t="s">
        <v>88</v>
      </c>
      <c r="AA114" s="55" t="s">
        <v>69</v>
      </c>
      <c r="AB114" s="39" t="s">
        <v>340</v>
      </c>
    </row>
    <row r="115" spans="1:28" x14ac:dyDescent="0.15">
      <c r="A115" s="55" t="s">
        <v>41</v>
      </c>
      <c r="B115" s="237" t="s">
        <v>338</v>
      </c>
      <c r="C115" s="152">
        <v>2018</v>
      </c>
      <c r="D115" s="56" t="s">
        <v>345</v>
      </c>
      <c r="E115" s="237" t="s">
        <v>173</v>
      </c>
      <c r="F115" s="237" t="s">
        <v>301</v>
      </c>
      <c r="G115" s="55" t="s">
        <v>42</v>
      </c>
      <c r="H115" s="55" t="s">
        <v>157</v>
      </c>
      <c r="I115" s="55" t="s">
        <v>158</v>
      </c>
      <c r="J115" s="55" t="s">
        <v>38</v>
      </c>
      <c r="K115" s="55" t="s">
        <v>156</v>
      </c>
      <c r="L115" s="237">
        <v>3</v>
      </c>
      <c r="N115" s="237">
        <v>5</v>
      </c>
      <c r="O115" s="237">
        <v>0.65</v>
      </c>
      <c r="P115" s="237">
        <v>0.55000000000000004</v>
      </c>
      <c r="Q115" s="57">
        <f t="shared" si="3"/>
        <v>0.60000000000000009</v>
      </c>
      <c r="R115" s="237">
        <v>15.8</v>
      </c>
      <c r="S115" s="55">
        <v>114</v>
      </c>
      <c r="T115" s="57">
        <f t="shared" si="4"/>
        <v>30</v>
      </c>
      <c r="U115" s="237">
        <v>471</v>
      </c>
      <c r="V115" s="58">
        <f t="shared" si="5"/>
        <v>2826</v>
      </c>
      <c r="W115" s="237">
        <v>1</v>
      </c>
      <c r="X115" s="55" t="s">
        <v>46</v>
      </c>
      <c r="Y115" s="55" t="s">
        <v>97</v>
      </c>
      <c r="Z115" s="55" t="s">
        <v>88</v>
      </c>
      <c r="AA115" s="55" t="s">
        <v>69</v>
      </c>
      <c r="AB115" s="39" t="s">
        <v>340</v>
      </c>
    </row>
    <row r="116" spans="1:28" x14ac:dyDescent="0.15">
      <c r="A116" s="55"/>
      <c r="C116" s="152"/>
      <c r="D116" s="56"/>
      <c r="G116" s="55"/>
      <c r="H116" s="55"/>
      <c r="I116" s="55"/>
      <c r="J116" s="55"/>
      <c r="K116" s="55"/>
      <c r="R116" s="55"/>
      <c r="S116" s="55"/>
      <c r="X116" s="55"/>
      <c r="Y116" s="55"/>
      <c r="Z116" s="55"/>
      <c r="AA116" s="55"/>
    </row>
    <row r="117" spans="1:28" x14ac:dyDescent="0.15">
      <c r="A117" s="55"/>
      <c r="C117" s="152"/>
      <c r="D117" s="56"/>
      <c r="G117" s="55"/>
      <c r="H117" s="55"/>
      <c r="I117" s="55"/>
      <c r="J117" s="55"/>
      <c r="K117" s="55"/>
      <c r="O117" s="55"/>
      <c r="P117" s="55"/>
      <c r="X117" s="55"/>
      <c r="Y117" s="55"/>
      <c r="Z117" s="55"/>
      <c r="AA117" s="55"/>
    </row>
    <row r="118" spans="1:28" x14ac:dyDescent="0.15">
      <c r="A118" s="55"/>
      <c r="C118" s="152"/>
      <c r="D118" s="56"/>
      <c r="G118" s="55"/>
      <c r="H118" s="55"/>
      <c r="I118" s="55"/>
      <c r="J118" s="55"/>
      <c r="K118" s="55"/>
      <c r="O118" s="55"/>
      <c r="P118" s="55"/>
      <c r="X118" s="55"/>
      <c r="Y118" s="55"/>
      <c r="Z118" s="55"/>
      <c r="AA118" s="55"/>
    </row>
    <row r="119" spans="1:28" x14ac:dyDescent="0.15">
      <c r="A119" s="55"/>
      <c r="C119" s="152"/>
      <c r="D119" s="56"/>
      <c r="G119" s="55"/>
      <c r="H119" s="55"/>
      <c r="I119" s="55"/>
      <c r="J119" s="55"/>
      <c r="K119" s="55"/>
      <c r="X119" s="55"/>
      <c r="Y119" s="55"/>
      <c r="Z119" s="55"/>
      <c r="AA119" s="55"/>
    </row>
    <row r="120" spans="1:28" x14ac:dyDescent="0.15">
      <c r="A120" s="55"/>
      <c r="C120" s="152"/>
      <c r="D120" s="56"/>
      <c r="G120" s="55"/>
      <c r="H120" s="55"/>
      <c r="I120" s="55"/>
      <c r="J120" s="55"/>
      <c r="K120" s="55"/>
      <c r="X120" s="55"/>
      <c r="Y120" s="55"/>
      <c r="Z120" s="55"/>
      <c r="AA120" s="55"/>
    </row>
    <row r="121" spans="1:28" x14ac:dyDescent="0.15">
      <c r="O121" s="55"/>
      <c r="P121" s="55"/>
    </row>
    <row r="122" spans="1:28" x14ac:dyDescent="0.15">
      <c r="O122" s="55"/>
      <c r="P122" s="55"/>
    </row>
    <row r="123" spans="1:28" x14ac:dyDescent="0.15">
      <c r="O123" s="55"/>
      <c r="P123" s="55"/>
    </row>
    <row r="124" spans="1:28" x14ac:dyDescent="0.15">
      <c r="K124" s="55"/>
      <c r="O124" s="55"/>
      <c r="P124" s="55"/>
      <c r="Y124" s="55"/>
    </row>
    <row r="125" spans="1:28" x14ac:dyDescent="0.15">
      <c r="K125" s="55"/>
      <c r="O125" s="55"/>
      <c r="P125" s="55"/>
      <c r="Y125" s="55"/>
    </row>
    <row r="126" spans="1:28" x14ac:dyDescent="0.15">
      <c r="K126" s="55"/>
      <c r="O126" s="55"/>
      <c r="P126" s="55"/>
      <c r="Y126" s="55"/>
    </row>
    <row r="127" spans="1:28" x14ac:dyDescent="0.15">
      <c r="K127" s="55"/>
      <c r="O127" s="55"/>
      <c r="P127" s="55"/>
      <c r="Y127" s="55"/>
    </row>
    <row r="128" spans="1:28" x14ac:dyDescent="0.15">
      <c r="K128" s="55"/>
      <c r="O128" s="55"/>
      <c r="P128" s="55"/>
      <c r="Y128" s="55"/>
    </row>
    <row r="129" spans="11:25" x14ac:dyDescent="0.15">
      <c r="K129" s="55"/>
      <c r="O129" s="55"/>
      <c r="P129" s="55"/>
      <c r="Y129" s="55"/>
    </row>
    <row r="130" spans="11:25" x14ac:dyDescent="0.15">
      <c r="K130" s="55"/>
      <c r="Y130" s="55"/>
    </row>
    <row r="131" spans="11:25" x14ac:dyDescent="0.15">
      <c r="K131" s="55"/>
      <c r="Y131" s="55"/>
    </row>
    <row r="132" spans="11:25" x14ac:dyDescent="0.15">
      <c r="K132" s="55"/>
      <c r="Y132" s="55"/>
    </row>
    <row r="133" spans="11:25" x14ac:dyDescent="0.15">
      <c r="K133" s="55"/>
      <c r="Y133" s="55"/>
    </row>
    <row r="134" spans="11:25" x14ac:dyDescent="0.15">
      <c r="K134" s="55"/>
      <c r="Y134" s="55"/>
    </row>
    <row r="135" spans="11:25" x14ac:dyDescent="0.15">
      <c r="K135" s="55"/>
      <c r="Y135" s="55"/>
    </row>
    <row r="136" spans="11:25" x14ac:dyDescent="0.15">
      <c r="K136" s="55"/>
      <c r="Y136" s="55"/>
    </row>
    <row r="137" spans="11:25" x14ac:dyDescent="0.15">
      <c r="K137" s="55"/>
      <c r="Y137" s="55"/>
    </row>
    <row r="138" spans="11:25" x14ac:dyDescent="0.15">
      <c r="K138" s="55"/>
      <c r="Y138" s="55"/>
    </row>
    <row r="139" spans="11:25" x14ac:dyDescent="0.15">
      <c r="K139" s="55"/>
      <c r="Y139" s="55"/>
    </row>
    <row r="140" spans="11:25" x14ac:dyDescent="0.15">
      <c r="K140" s="55"/>
      <c r="Y140" s="55"/>
    </row>
    <row r="141" spans="11:25" x14ac:dyDescent="0.15">
      <c r="Y141" s="55"/>
    </row>
  </sheetData>
  <autoFilter ref="A1:BA123"/>
  <dataConsolidate/>
  <phoneticPr fontId="3"/>
  <dataValidations count="13">
    <dataValidation type="list" allowBlank="1" showInputMessage="1" showErrorMessage="1" sqref="Y124:AA1048576 Y1:AA120">
      <formula1>$AV$2:$AV$21</formula1>
    </dataValidation>
    <dataValidation type="list" allowBlank="1" showInputMessage="1" showErrorMessage="1" sqref="F124:F1048576 F1:F120">
      <formula1>$AH$2:$AH$11</formula1>
    </dataValidation>
    <dataValidation type="list" allowBlank="1" showInputMessage="1" showErrorMessage="1" sqref="E124:E1048576 E1:E120">
      <formula1>$AG$2:$AG$11</formula1>
    </dataValidation>
    <dataValidation type="list" allowBlank="1" showInputMessage="1" showErrorMessage="1" sqref="K124:K140 K2:K120">
      <formula1>$AR$2:$AR$23</formula1>
    </dataValidation>
    <dataValidation type="list" allowBlank="1" showInputMessage="1" showErrorMessage="1" sqref="J124:J324 J2:J120">
      <formula1>$AP$2:$AP$19</formula1>
    </dataValidation>
    <dataValidation type="list" allowBlank="1" showInputMessage="1" showErrorMessage="1" sqref="A124:A324 A2:A120">
      <formula1>$AE$2:$AE$16</formula1>
    </dataValidation>
    <dataValidation type="list" allowBlank="1" showInputMessage="1" showErrorMessage="1" sqref="X124:X324 X2:X120">
      <formula1>$AT$2:$AT$3</formula1>
    </dataValidation>
    <dataValidation type="list" allowBlank="1" showInputMessage="1" showErrorMessage="1" sqref="I124:I324 I2:I120">
      <formula1>$AN$5:$AN$6</formula1>
    </dataValidation>
    <dataValidation type="list" allowBlank="1" showInputMessage="1" showErrorMessage="1" sqref="G124:G324 G2:G120">
      <formula1>$AJ$2:$AJ$4</formula1>
    </dataValidation>
    <dataValidation type="list" allowBlank="1" showInputMessage="1" showErrorMessage="1" sqref="H124:H324 H2:H120">
      <formula1>$AL$2:$AL$8</formula1>
    </dataValidation>
    <dataValidation type="list" allowBlank="1" showInputMessage="1" showErrorMessage="1" sqref="K141:K324">
      <formula1>$AR$2:$AR$19</formula1>
    </dataValidation>
    <dataValidation operator="equal" allowBlank="1" showInputMessage="1" showErrorMessage="1" sqref="B2:B120"/>
    <dataValidation type="decimal" allowBlank="1" showInputMessage="1" showErrorMessage="1" error="硬度を正しく入力して下さい。" sqref="O2:P324">
      <formula1>0</formula1>
      <formula2>7</formula2>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AC9" sqref="AC9"/>
    </sheetView>
  </sheetViews>
  <sheetFormatPr defaultRowHeight="13.5" x14ac:dyDescent="0.15"/>
  <cols>
    <col min="1" max="1" width="9" style="208"/>
    <col min="2" max="2" width="9" style="216"/>
    <col min="3" max="3" width="9" style="208"/>
    <col min="4" max="4" width="10.5" style="208" bestFit="1" customWidth="1"/>
    <col min="5" max="13" width="9" style="208"/>
    <col min="14" max="14" width="9.5" style="208" bestFit="1" customWidth="1"/>
    <col min="15" max="16" width="9" style="208"/>
    <col min="17" max="17" width="9" style="217"/>
    <col min="18" max="19" width="9" style="208"/>
    <col min="20" max="20" width="9" style="217"/>
    <col min="21" max="21" width="9" style="208"/>
    <col min="22" max="22" width="9" style="217"/>
    <col min="23" max="27" width="9" style="208"/>
    <col min="28" max="28" width="9" style="216"/>
    <col min="29" max="32" width="9" style="208"/>
    <col min="33" max="33" width="15.875" style="208" bestFit="1" customWidth="1"/>
    <col min="34" max="34" width="11.375" style="208" bestFit="1" customWidth="1"/>
    <col min="35" max="259" width="9" style="208"/>
    <col min="260" max="260" width="10.5" style="208" bestFit="1" customWidth="1"/>
    <col min="261" max="269" width="9" style="208"/>
    <col min="270" max="270" width="9.5" style="208" bestFit="1" customWidth="1"/>
    <col min="271" max="288" width="9" style="208"/>
    <col min="289" max="289" width="15.875" style="208" bestFit="1" customWidth="1"/>
    <col min="290" max="290" width="11.375" style="208" bestFit="1" customWidth="1"/>
    <col min="291" max="515" width="9" style="208"/>
    <col min="516" max="516" width="10.5" style="208" bestFit="1" customWidth="1"/>
    <col min="517" max="525" width="9" style="208"/>
    <col min="526" max="526" width="9.5" style="208" bestFit="1" customWidth="1"/>
    <col min="527" max="544" width="9" style="208"/>
    <col min="545" max="545" width="15.875" style="208" bestFit="1" customWidth="1"/>
    <col min="546" max="546" width="11.375" style="208" bestFit="1" customWidth="1"/>
    <col min="547" max="771" width="9" style="208"/>
    <col min="772" max="772" width="10.5" style="208" bestFit="1" customWidth="1"/>
    <col min="773" max="781" width="9" style="208"/>
    <col min="782" max="782" width="9.5" style="208" bestFit="1" customWidth="1"/>
    <col min="783" max="800" width="9" style="208"/>
    <col min="801" max="801" width="15.875" style="208" bestFit="1" customWidth="1"/>
    <col min="802" max="802" width="11.375" style="208" bestFit="1" customWidth="1"/>
    <col min="803" max="1027" width="9" style="208"/>
    <col min="1028" max="1028" width="10.5" style="208" bestFit="1" customWidth="1"/>
    <col min="1029" max="1037" width="9" style="208"/>
    <col min="1038" max="1038" width="9.5" style="208" bestFit="1" customWidth="1"/>
    <col min="1039" max="1056" width="9" style="208"/>
    <col min="1057" max="1057" width="15.875" style="208" bestFit="1" customWidth="1"/>
    <col min="1058" max="1058" width="11.375" style="208" bestFit="1" customWidth="1"/>
    <col min="1059" max="1283" width="9" style="208"/>
    <col min="1284" max="1284" width="10.5" style="208" bestFit="1" customWidth="1"/>
    <col min="1285" max="1293" width="9" style="208"/>
    <col min="1294" max="1294" width="9.5" style="208" bestFit="1" customWidth="1"/>
    <col min="1295" max="1312" width="9" style="208"/>
    <col min="1313" max="1313" width="15.875" style="208" bestFit="1" customWidth="1"/>
    <col min="1314" max="1314" width="11.375" style="208" bestFit="1" customWidth="1"/>
    <col min="1315" max="1539" width="9" style="208"/>
    <col min="1540" max="1540" width="10.5" style="208" bestFit="1" customWidth="1"/>
    <col min="1541" max="1549" width="9" style="208"/>
    <col min="1550" max="1550" width="9.5" style="208" bestFit="1" customWidth="1"/>
    <col min="1551" max="1568" width="9" style="208"/>
    <col min="1569" max="1569" width="15.875" style="208" bestFit="1" customWidth="1"/>
    <col min="1570" max="1570" width="11.375" style="208" bestFit="1" customWidth="1"/>
    <col min="1571" max="1795" width="9" style="208"/>
    <col min="1796" max="1796" width="10.5" style="208" bestFit="1" customWidth="1"/>
    <col min="1797" max="1805" width="9" style="208"/>
    <col min="1806" max="1806" width="9.5" style="208" bestFit="1" customWidth="1"/>
    <col min="1807" max="1824" width="9" style="208"/>
    <col min="1825" max="1825" width="15.875" style="208" bestFit="1" customWidth="1"/>
    <col min="1826" max="1826" width="11.375" style="208" bestFit="1" customWidth="1"/>
    <col min="1827" max="2051" width="9" style="208"/>
    <col min="2052" max="2052" width="10.5" style="208" bestFit="1" customWidth="1"/>
    <col min="2053" max="2061" width="9" style="208"/>
    <col min="2062" max="2062" width="9.5" style="208" bestFit="1" customWidth="1"/>
    <col min="2063" max="2080" width="9" style="208"/>
    <col min="2081" max="2081" width="15.875" style="208" bestFit="1" customWidth="1"/>
    <col min="2082" max="2082" width="11.375" style="208" bestFit="1" customWidth="1"/>
    <col min="2083" max="2307" width="9" style="208"/>
    <col min="2308" max="2308" width="10.5" style="208" bestFit="1" customWidth="1"/>
    <col min="2309" max="2317" width="9" style="208"/>
    <col min="2318" max="2318" width="9.5" style="208" bestFit="1" customWidth="1"/>
    <col min="2319" max="2336" width="9" style="208"/>
    <col min="2337" max="2337" width="15.875" style="208" bestFit="1" customWidth="1"/>
    <col min="2338" max="2338" width="11.375" style="208" bestFit="1" customWidth="1"/>
    <col min="2339" max="2563" width="9" style="208"/>
    <col min="2564" max="2564" width="10.5" style="208" bestFit="1" customWidth="1"/>
    <col min="2565" max="2573" width="9" style="208"/>
    <col min="2574" max="2574" width="9.5" style="208" bestFit="1" customWidth="1"/>
    <col min="2575" max="2592" width="9" style="208"/>
    <col min="2593" max="2593" width="15.875" style="208" bestFit="1" customWidth="1"/>
    <col min="2594" max="2594" width="11.375" style="208" bestFit="1" customWidth="1"/>
    <col min="2595" max="2819" width="9" style="208"/>
    <col min="2820" max="2820" width="10.5" style="208" bestFit="1" customWidth="1"/>
    <col min="2821" max="2829" width="9" style="208"/>
    <col min="2830" max="2830" width="9.5" style="208" bestFit="1" customWidth="1"/>
    <col min="2831" max="2848" width="9" style="208"/>
    <col min="2849" max="2849" width="15.875" style="208" bestFit="1" customWidth="1"/>
    <col min="2850" max="2850" width="11.375" style="208" bestFit="1" customWidth="1"/>
    <col min="2851" max="3075" width="9" style="208"/>
    <col min="3076" max="3076" width="10.5" style="208" bestFit="1" customWidth="1"/>
    <col min="3077" max="3085" width="9" style="208"/>
    <col min="3086" max="3086" width="9.5" style="208" bestFit="1" customWidth="1"/>
    <col min="3087" max="3104" width="9" style="208"/>
    <col min="3105" max="3105" width="15.875" style="208" bestFit="1" customWidth="1"/>
    <col min="3106" max="3106" width="11.375" style="208" bestFit="1" customWidth="1"/>
    <col min="3107" max="3331" width="9" style="208"/>
    <col min="3332" max="3332" width="10.5" style="208" bestFit="1" customWidth="1"/>
    <col min="3333" max="3341" width="9" style="208"/>
    <col min="3342" max="3342" width="9.5" style="208" bestFit="1" customWidth="1"/>
    <col min="3343" max="3360" width="9" style="208"/>
    <col min="3361" max="3361" width="15.875" style="208" bestFit="1" customWidth="1"/>
    <col min="3362" max="3362" width="11.375" style="208" bestFit="1" customWidth="1"/>
    <col min="3363" max="3587" width="9" style="208"/>
    <col min="3588" max="3588" width="10.5" style="208" bestFit="1" customWidth="1"/>
    <col min="3589" max="3597" width="9" style="208"/>
    <col min="3598" max="3598" width="9.5" style="208" bestFit="1" customWidth="1"/>
    <col min="3599" max="3616" width="9" style="208"/>
    <col min="3617" max="3617" width="15.875" style="208" bestFit="1" customWidth="1"/>
    <col min="3618" max="3618" width="11.375" style="208" bestFit="1" customWidth="1"/>
    <col min="3619" max="3843" width="9" style="208"/>
    <col min="3844" max="3844" width="10.5" style="208" bestFit="1" customWidth="1"/>
    <col min="3845" max="3853" width="9" style="208"/>
    <col min="3854" max="3854" width="9.5" style="208" bestFit="1" customWidth="1"/>
    <col min="3855" max="3872" width="9" style="208"/>
    <col min="3873" max="3873" width="15.875" style="208" bestFit="1" customWidth="1"/>
    <col min="3874" max="3874" width="11.375" style="208" bestFit="1" customWidth="1"/>
    <col min="3875" max="4099" width="9" style="208"/>
    <col min="4100" max="4100" width="10.5" style="208" bestFit="1" customWidth="1"/>
    <col min="4101" max="4109" width="9" style="208"/>
    <col min="4110" max="4110" width="9.5" style="208" bestFit="1" customWidth="1"/>
    <col min="4111" max="4128" width="9" style="208"/>
    <col min="4129" max="4129" width="15.875" style="208" bestFit="1" customWidth="1"/>
    <col min="4130" max="4130" width="11.375" style="208" bestFit="1" customWidth="1"/>
    <col min="4131" max="4355" width="9" style="208"/>
    <col min="4356" max="4356" width="10.5" style="208" bestFit="1" customWidth="1"/>
    <col min="4357" max="4365" width="9" style="208"/>
    <col min="4366" max="4366" width="9.5" style="208" bestFit="1" customWidth="1"/>
    <col min="4367" max="4384" width="9" style="208"/>
    <col min="4385" max="4385" width="15.875" style="208" bestFit="1" customWidth="1"/>
    <col min="4386" max="4386" width="11.375" style="208" bestFit="1" customWidth="1"/>
    <col min="4387" max="4611" width="9" style="208"/>
    <col min="4612" max="4612" width="10.5" style="208" bestFit="1" customWidth="1"/>
    <col min="4613" max="4621" width="9" style="208"/>
    <col min="4622" max="4622" width="9.5" style="208" bestFit="1" customWidth="1"/>
    <col min="4623" max="4640" width="9" style="208"/>
    <col min="4641" max="4641" width="15.875" style="208" bestFit="1" customWidth="1"/>
    <col min="4642" max="4642" width="11.375" style="208" bestFit="1" customWidth="1"/>
    <col min="4643" max="4867" width="9" style="208"/>
    <col min="4868" max="4868" width="10.5" style="208" bestFit="1" customWidth="1"/>
    <col min="4869" max="4877" width="9" style="208"/>
    <col min="4878" max="4878" width="9.5" style="208" bestFit="1" customWidth="1"/>
    <col min="4879" max="4896" width="9" style="208"/>
    <col min="4897" max="4897" width="15.875" style="208" bestFit="1" customWidth="1"/>
    <col min="4898" max="4898" width="11.375" style="208" bestFit="1" customWidth="1"/>
    <col min="4899" max="5123" width="9" style="208"/>
    <col min="5124" max="5124" width="10.5" style="208" bestFit="1" customWidth="1"/>
    <col min="5125" max="5133" width="9" style="208"/>
    <col min="5134" max="5134" width="9.5" style="208" bestFit="1" customWidth="1"/>
    <col min="5135" max="5152" width="9" style="208"/>
    <col min="5153" max="5153" width="15.875" style="208" bestFit="1" customWidth="1"/>
    <col min="5154" max="5154" width="11.375" style="208" bestFit="1" customWidth="1"/>
    <col min="5155" max="5379" width="9" style="208"/>
    <col min="5380" max="5380" width="10.5" style="208" bestFit="1" customWidth="1"/>
    <col min="5381" max="5389" width="9" style="208"/>
    <col min="5390" max="5390" width="9.5" style="208" bestFit="1" customWidth="1"/>
    <col min="5391" max="5408" width="9" style="208"/>
    <col min="5409" max="5409" width="15.875" style="208" bestFit="1" customWidth="1"/>
    <col min="5410" max="5410" width="11.375" style="208" bestFit="1" customWidth="1"/>
    <col min="5411" max="5635" width="9" style="208"/>
    <col min="5636" max="5636" width="10.5" style="208" bestFit="1" customWidth="1"/>
    <col min="5637" max="5645" width="9" style="208"/>
    <col min="5646" max="5646" width="9.5" style="208" bestFit="1" customWidth="1"/>
    <col min="5647" max="5664" width="9" style="208"/>
    <col min="5665" max="5665" width="15.875" style="208" bestFit="1" customWidth="1"/>
    <col min="5666" max="5666" width="11.375" style="208" bestFit="1" customWidth="1"/>
    <col min="5667" max="5891" width="9" style="208"/>
    <col min="5892" max="5892" width="10.5" style="208" bestFit="1" customWidth="1"/>
    <col min="5893" max="5901" width="9" style="208"/>
    <col min="5902" max="5902" width="9.5" style="208" bestFit="1" customWidth="1"/>
    <col min="5903" max="5920" width="9" style="208"/>
    <col min="5921" max="5921" width="15.875" style="208" bestFit="1" customWidth="1"/>
    <col min="5922" max="5922" width="11.375" style="208" bestFit="1" customWidth="1"/>
    <col min="5923" max="6147" width="9" style="208"/>
    <col min="6148" max="6148" width="10.5" style="208" bestFit="1" customWidth="1"/>
    <col min="6149" max="6157" width="9" style="208"/>
    <col min="6158" max="6158" width="9.5" style="208" bestFit="1" customWidth="1"/>
    <col min="6159" max="6176" width="9" style="208"/>
    <col min="6177" max="6177" width="15.875" style="208" bestFit="1" customWidth="1"/>
    <col min="6178" max="6178" width="11.375" style="208" bestFit="1" customWidth="1"/>
    <col min="6179" max="6403" width="9" style="208"/>
    <col min="6404" max="6404" width="10.5" style="208" bestFit="1" customWidth="1"/>
    <col min="6405" max="6413" width="9" style="208"/>
    <col min="6414" max="6414" width="9.5" style="208" bestFit="1" customWidth="1"/>
    <col min="6415" max="6432" width="9" style="208"/>
    <col min="6433" max="6433" width="15.875" style="208" bestFit="1" customWidth="1"/>
    <col min="6434" max="6434" width="11.375" style="208" bestFit="1" customWidth="1"/>
    <col min="6435" max="6659" width="9" style="208"/>
    <col min="6660" max="6660" width="10.5" style="208" bestFit="1" customWidth="1"/>
    <col min="6661" max="6669" width="9" style="208"/>
    <col min="6670" max="6670" width="9.5" style="208" bestFit="1" customWidth="1"/>
    <col min="6671" max="6688" width="9" style="208"/>
    <col min="6689" max="6689" width="15.875" style="208" bestFit="1" customWidth="1"/>
    <col min="6690" max="6690" width="11.375" style="208" bestFit="1" customWidth="1"/>
    <col min="6691" max="6915" width="9" style="208"/>
    <col min="6916" max="6916" width="10.5" style="208" bestFit="1" customWidth="1"/>
    <col min="6917" max="6925" width="9" style="208"/>
    <col min="6926" max="6926" width="9.5" style="208" bestFit="1" customWidth="1"/>
    <col min="6927" max="6944" width="9" style="208"/>
    <col min="6945" max="6945" width="15.875" style="208" bestFit="1" customWidth="1"/>
    <col min="6946" max="6946" width="11.375" style="208" bestFit="1" customWidth="1"/>
    <col min="6947" max="7171" width="9" style="208"/>
    <col min="7172" max="7172" width="10.5" style="208" bestFit="1" customWidth="1"/>
    <col min="7173" max="7181" width="9" style="208"/>
    <col min="7182" max="7182" width="9.5" style="208" bestFit="1" customWidth="1"/>
    <col min="7183" max="7200" width="9" style="208"/>
    <col min="7201" max="7201" width="15.875" style="208" bestFit="1" customWidth="1"/>
    <col min="7202" max="7202" width="11.375" style="208" bestFit="1" customWidth="1"/>
    <col min="7203" max="7427" width="9" style="208"/>
    <col min="7428" max="7428" width="10.5" style="208" bestFit="1" customWidth="1"/>
    <col min="7429" max="7437" width="9" style="208"/>
    <col min="7438" max="7438" width="9.5" style="208" bestFit="1" customWidth="1"/>
    <col min="7439" max="7456" width="9" style="208"/>
    <col min="7457" max="7457" width="15.875" style="208" bestFit="1" customWidth="1"/>
    <col min="7458" max="7458" width="11.375" style="208" bestFit="1" customWidth="1"/>
    <col min="7459" max="7683" width="9" style="208"/>
    <col min="7684" max="7684" width="10.5" style="208" bestFit="1" customWidth="1"/>
    <col min="7685" max="7693" width="9" style="208"/>
    <col min="7694" max="7694" width="9.5" style="208" bestFit="1" customWidth="1"/>
    <col min="7695" max="7712" width="9" style="208"/>
    <col min="7713" max="7713" width="15.875" style="208" bestFit="1" customWidth="1"/>
    <col min="7714" max="7714" width="11.375" style="208" bestFit="1" customWidth="1"/>
    <col min="7715" max="7939" width="9" style="208"/>
    <col min="7940" max="7940" width="10.5" style="208" bestFit="1" customWidth="1"/>
    <col min="7941" max="7949" width="9" style="208"/>
    <col min="7950" max="7950" width="9.5" style="208" bestFit="1" customWidth="1"/>
    <col min="7951" max="7968" width="9" style="208"/>
    <col min="7969" max="7969" width="15.875" style="208" bestFit="1" customWidth="1"/>
    <col min="7970" max="7970" width="11.375" style="208" bestFit="1" customWidth="1"/>
    <col min="7971" max="8195" width="9" style="208"/>
    <col min="8196" max="8196" width="10.5" style="208" bestFit="1" customWidth="1"/>
    <col min="8197" max="8205" width="9" style="208"/>
    <col min="8206" max="8206" width="9.5" style="208" bestFit="1" customWidth="1"/>
    <col min="8207" max="8224" width="9" style="208"/>
    <col min="8225" max="8225" width="15.875" style="208" bestFit="1" customWidth="1"/>
    <col min="8226" max="8226" width="11.375" style="208" bestFit="1" customWidth="1"/>
    <col min="8227" max="8451" width="9" style="208"/>
    <col min="8452" max="8452" width="10.5" style="208" bestFit="1" customWidth="1"/>
    <col min="8453" max="8461" width="9" style="208"/>
    <col min="8462" max="8462" width="9.5" style="208" bestFit="1" customWidth="1"/>
    <col min="8463" max="8480" width="9" style="208"/>
    <col min="8481" max="8481" width="15.875" style="208" bestFit="1" customWidth="1"/>
    <col min="8482" max="8482" width="11.375" style="208" bestFit="1" customWidth="1"/>
    <col min="8483" max="8707" width="9" style="208"/>
    <col min="8708" max="8708" width="10.5" style="208" bestFit="1" customWidth="1"/>
    <col min="8709" max="8717" width="9" style="208"/>
    <col min="8718" max="8718" width="9.5" style="208" bestFit="1" customWidth="1"/>
    <col min="8719" max="8736" width="9" style="208"/>
    <col min="8737" max="8737" width="15.875" style="208" bestFit="1" customWidth="1"/>
    <col min="8738" max="8738" width="11.375" style="208" bestFit="1" customWidth="1"/>
    <col min="8739" max="8963" width="9" style="208"/>
    <col min="8964" max="8964" width="10.5" style="208" bestFit="1" customWidth="1"/>
    <col min="8965" max="8973" width="9" style="208"/>
    <col min="8974" max="8974" width="9.5" style="208" bestFit="1" customWidth="1"/>
    <col min="8975" max="8992" width="9" style="208"/>
    <col min="8993" max="8993" width="15.875" style="208" bestFit="1" customWidth="1"/>
    <col min="8994" max="8994" width="11.375" style="208" bestFit="1" customWidth="1"/>
    <col min="8995" max="9219" width="9" style="208"/>
    <col min="9220" max="9220" width="10.5" style="208" bestFit="1" customWidth="1"/>
    <col min="9221" max="9229" width="9" style="208"/>
    <col min="9230" max="9230" width="9.5" style="208" bestFit="1" customWidth="1"/>
    <col min="9231" max="9248" width="9" style="208"/>
    <col min="9249" max="9249" width="15.875" style="208" bestFit="1" customWidth="1"/>
    <col min="9250" max="9250" width="11.375" style="208" bestFit="1" customWidth="1"/>
    <col min="9251" max="9475" width="9" style="208"/>
    <col min="9476" max="9476" width="10.5" style="208" bestFit="1" customWidth="1"/>
    <col min="9477" max="9485" width="9" style="208"/>
    <col min="9486" max="9486" width="9.5" style="208" bestFit="1" customWidth="1"/>
    <col min="9487" max="9504" width="9" style="208"/>
    <col min="9505" max="9505" width="15.875" style="208" bestFit="1" customWidth="1"/>
    <col min="9506" max="9506" width="11.375" style="208" bestFit="1" customWidth="1"/>
    <col min="9507" max="9731" width="9" style="208"/>
    <col min="9732" max="9732" width="10.5" style="208" bestFit="1" customWidth="1"/>
    <col min="9733" max="9741" width="9" style="208"/>
    <col min="9742" max="9742" width="9.5" style="208" bestFit="1" customWidth="1"/>
    <col min="9743" max="9760" width="9" style="208"/>
    <col min="9761" max="9761" width="15.875" style="208" bestFit="1" customWidth="1"/>
    <col min="9762" max="9762" width="11.375" style="208" bestFit="1" customWidth="1"/>
    <col min="9763" max="9987" width="9" style="208"/>
    <col min="9988" max="9988" width="10.5" style="208" bestFit="1" customWidth="1"/>
    <col min="9989" max="9997" width="9" style="208"/>
    <col min="9998" max="9998" width="9.5" style="208" bestFit="1" customWidth="1"/>
    <col min="9999" max="10016" width="9" style="208"/>
    <col min="10017" max="10017" width="15.875" style="208" bestFit="1" customWidth="1"/>
    <col min="10018" max="10018" width="11.375" style="208" bestFit="1" customWidth="1"/>
    <col min="10019" max="10243" width="9" style="208"/>
    <col min="10244" max="10244" width="10.5" style="208" bestFit="1" customWidth="1"/>
    <col min="10245" max="10253" width="9" style="208"/>
    <col min="10254" max="10254" width="9.5" style="208" bestFit="1" customWidth="1"/>
    <col min="10255" max="10272" width="9" style="208"/>
    <col min="10273" max="10273" width="15.875" style="208" bestFit="1" customWidth="1"/>
    <col min="10274" max="10274" width="11.375" style="208" bestFit="1" customWidth="1"/>
    <col min="10275" max="10499" width="9" style="208"/>
    <col min="10500" max="10500" width="10.5" style="208" bestFit="1" customWidth="1"/>
    <col min="10501" max="10509" width="9" style="208"/>
    <col min="10510" max="10510" width="9.5" style="208" bestFit="1" customWidth="1"/>
    <col min="10511" max="10528" width="9" style="208"/>
    <col min="10529" max="10529" width="15.875" style="208" bestFit="1" customWidth="1"/>
    <col min="10530" max="10530" width="11.375" style="208" bestFit="1" customWidth="1"/>
    <col min="10531" max="10755" width="9" style="208"/>
    <col min="10756" max="10756" width="10.5" style="208" bestFit="1" customWidth="1"/>
    <col min="10757" max="10765" width="9" style="208"/>
    <col min="10766" max="10766" width="9.5" style="208" bestFit="1" customWidth="1"/>
    <col min="10767" max="10784" width="9" style="208"/>
    <col min="10785" max="10785" width="15.875" style="208" bestFit="1" customWidth="1"/>
    <col min="10786" max="10786" width="11.375" style="208" bestFit="1" customWidth="1"/>
    <col min="10787" max="11011" width="9" style="208"/>
    <col min="11012" max="11012" width="10.5" style="208" bestFit="1" customWidth="1"/>
    <col min="11013" max="11021" width="9" style="208"/>
    <col min="11022" max="11022" width="9.5" style="208" bestFit="1" customWidth="1"/>
    <col min="11023" max="11040" width="9" style="208"/>
    <col min="11041" max="11041" width="15.875" style="208" bestFit="1" customWidth="1"/>
    <col min="11042" max="11042" width="11.375" style="208" bestFit="1" customWidth="1"/>
    <col min="11043" max="11267" width="9" style="208"/>
    <col min="11268" max="11268" width="10.5" style="208" bestFit="1" customWidth="1"/>
    <col min="11269" max="11277" width="9" style="208"/>
    <col min="11278" max="11278" width="9.5" style="208" bestFit="1" customWidth="1"/>
    <col min="11279" max="11296" width="9" style="208"/>
    <col min="11297" max="11297" width="15.875" style="208" bestFit="1" customWidth="1"/>
    <col min="11298" max="11298" width="11.375" style="208" bestFit="1" customWidth="1"/>
    <col min="11299" max="11523" width="9" style="208"/>
    <col min="11524" max="11524" width="10.5" style="208" bestFit="1" customWidth="1"/>
    <col min="11525" max="11533" width="9" style="208"/>
    <col min="11534" max="11534" width="9.5" style="208" bestFit="1" customWidth="1"/>
    <col min="11535" max="11552" width="9" style="208"/>
    <col min="11553" max="11553" width="15.875" style="208" bestFit="1" customWidth="1"/>
    <col min="11554" max="11554" width="11.375" style="208" bestFit="1" customWidth="1"/>
    <col min="11555" max="11779" width="9" style="208"/>
    <col min="11780" max="11780" width="10.5" style="208" bestFit="1" customWidth="1"/>
    <col min="11781" max="11789" width="9" style="208"/>
    <col min="11790" max="11790" width="9.5" style="208" bestFit="1" customWidth="1"/>
    <col min="11791" max="11808" width="9" style="208"/>
    <col min="11809" max="11809" width="15.875" style="208" bestFit="1" customWidth="1"/>
    <col min="11810" max="11810" width="11.375" style="208" bestFit="1" customWidth="1"/>
    <col min="11811" max="12035" width="9" style="208"/>
    <col min="12036" max="12036" width="10.5" style="208" bestFit="1" customWidth="1"/>
    <col min="12037" max="12045" width="9" style="208"/>
    <col min="12046" max="12046" width="9.5" style="208" bestFit="1" customWidth="1"/>
    <col min="12047" max="12064" width="9" style="208"/>
    <col min="12065" max="12065" width="15.875" style="208" bestFit="1" customWidth="1"/>
    <col min="12066" max="12066" width="11.375" style="208" bestFit="1" customWidth="1"/>
    <col min="12067" max="12291" width="9" style="208"/>
    <col min="12292" max="12292" width="10.5" style="208" bestFit="1" customWidth="1"/>
    <col min="12293" max="12301" width="9" style="208"/>
    <col min="12302" max="12302" width="9.5" style="208" bestFit="1" customWidth="1"/>
    <col min="12303" max="12320" width="9" style="208"/>
    <col min="12321" max="12321" width="15.875" style="208" bestFit="1" customWidth="1"/>
    <col min="12322" max="12322" width="11.375" style="208" bestFit="1" customWidth="1"/>
    <col min="12323" max="12547" width="9" style="208"/>
    <col min="12548" max="12548" width="10.5" style="208" bestFit="1" customWidth="1"/>
    <col min="12549" max="12557" width="9" style="208"/>
    <col min="12558" max="12558" width="9.5" style="208" bestFit="1" customWidth="1"/>
    <col min="12559" max="12576" width="9" style="208"/>
    <col min="12577" max="12577" width="15.875" style="208" bestFit="1" customWidth="1"/>
    <col min="12578" max="12578" width="11.375" style="208" bestFit="1" customWidth="1"/>
    <col min="12579" max="12803" width="9" style="208"/>
    <col min="12804" max="12804" width="10.5" style="208" bestFit="1" customWidth="1"/>
    <col min="12805" max="12813" width="9" style="208"/>
    <col min="12814" max="12814" width="9.5" style="208" bestFit="1" customWidth="1"/>
    <col min="12815" max="12832" width="9" style="208"/>
    <col min="12833" max="12833" width="15.875" style="208" bestFit="1" customWidth="1"/>
    <col min="12834" max="12834" width="11.375" style="208" bestFit="1" customWidth="1"/>
    <col min="12835" max="13059" width="9" style="208"/>
    <col min="13060" max="13060" width="10.5" style="208" bestFit="1" customWidth="1"/>
    <col min="13061" max="13069" width="9" style="208"/>
    <col min="13070" max="13070" width="9.5" style="208" bestFit="1" customWidth="1"/>
    <col min="13071" max="13088" width="9" style="208"/>
    <col min="13089" max="13089" width="15.875" style="208" bestFit="1" customWidth="1"/>
    <col min="13090" max="13090" width="11.375" style="208" bestFit="1" customWidth="1"/>
    <col min="13091" max="13315" width="9" style="208"/>
    <col min="13316" max="13316" width="10.5" style="208" bestFit="1" customWidth="1"/>
    <col min="13317" max="13325" width="9" style="208"/>
    <col min="13326" max="13326" width="9.5" style="208" bestFit="1" customWidth="1"/>
    <col min="13327" max="13344" width="9" style="208"/>
    <col min="13345" max="13345" width="15.875" style="208" bestFit="1" customWidth="1"/>
    <col min="13346" max="13346" width="11.375" style="208" bestFit="1" customWidth="1"/>
    <col min="13347" max="13571" width="9" style="208"/>
    <col min="13572" max="13572" width="10.5" style="208" bestFit="1" customWidth="1"/>
    <col min="13573" max="13581" width="9" style="208"/>
    <col min="13582" max="13582" width="9.5" style="208" bestFit="1" customWidth="1"/>
    <col min="13583" max="13600" width="9" style="208"/>
    <col min="13601" max="13601" width="15.875" style="208" bestFit="1" customWidth="1"/>
    <col min="13602" max="13602" width="11.375" style="208" bestFit="1" customWidth="1"/>
    <col min="13603" max="13827" width="9" style="208"/>
    <col min="13828" max="13828" width="10.5" style="208" bestFit="1" customWidth="1"/>
    <col min="13829" max="13837" width="9" style="208"/>
    <col min="13838" max="13838" width="9.5" style="208" bestFit="1" customWidth="1"/>
    <col min="13839" max="13856" width="9" style="208"/>
    <col min="13857" max="13857" width="15.875" style="208" bestFit="1" customWidth="1"/>
    <col min="13858" max="13858" width="11.375" style="208" bestFit="1" customWidth="1"/>
    <col min="13859" max="14083" width="9" style="208"/>
    <col min="14084" max="14084" width="10.5" style="208" bestFit="1" customWidth="1"/>
    <col min="14085" max="14093" width="9" style="208"/>
    <col min="14094" max="14094" width="9.5" style="208" bestFit="1" customWidth="1"/>
    <col min="14095" max="14112" width="9" style="208"/>
    <col min="14113" max="14113" width="15.875" style="208" bestFit="1" customWidth="1"/>
    <col min="14114" max="14114" width="11.375" style="208" bestFit="1" customWidth="1"/>
    <col min="14115" max="14339" width="9" style="208"/>
    <col min="14340" max="14340" width="10.5" style="208" bestFit="1" customWidth="1"/>
    <col min="14341" max="14349" width="9" style="208"/>
    <col min="14350" max="14350" width="9.5" style="208" bestFit="1" customWidth="1"/>
    <col min="14351" max="14368" width="9" style="208"/>
    <col min="14369" max="14369" width="15.875" style="208" bestFit="1" customWidth="1"/>
    <col min="14370" max="14370" width="11.375" style="208" bestFit="1" customWidth="1"/>
    <col min="14371" max="14595" width="9" style="208"/>
    <col min="14596" max="14596" width="10.5" style="208" bestFit="1" customWidth="1"/>
    <col min="14597" max="14605" width="9" style="208"/>
    <col min="14606" max="14606" width="9.5" style="208" bestFit="1" customWidth="1"/>
    <col min="14607" max="14624" width="9" style="208"/>
    <col min="14625" max="14625" width="15.875" style="208" bestFit="1" customWidth="1"/>
    <col min="14626" max="14626" width="11.375" style="208" bestFit="1" customWidth="1"/>
    <col min="14627" max="14851" width="9" style="208"/>
    <col min="14852" max="14852" width="10.5" style="208" bestFit="1" customWidth="1"/>
    <col min="14853" max="14861" width="9" style="208"/>
    <col min="14862" max="14862" width="9.5" style="208" bestFit="1" customWidth="1"/>
    <col min="14863" max="14880" width="9" style="208"/>
    <col min="14881" max="14881" width="15.875" style="208" bestFit="1" customWidth="1"/>
    <col min="14882" max="14882" width="11.375" style="208" bestFit="1" customWidth="1"/>
    <col min="14883" max="15107" width="9" style="208"/>
    <col min="15108" max="15108" width="10.5" style="208" bestFit="1" customWidth="1"/>
    <col min="15109" max="15117" width="9" style="208"/>
    <col min="15118" max="15118" width="9.5" style="208" bestFit="1" customWidth="1"/>
    <col min="15119" max="15136" width="9" style="208"/>
    <col min="15137" max="15137" width="15.875" style="208" bestFit="1" customWidth="1"/>
    <col min="15138" max="15138" width="11.375" style="208" bestFit="1" customWidth="1"/>
    <col min="15139" max="15363" width="9" style="208"/>
    <col min="15364" max="15364" width="10.5" style="208" bestFit="1" customWidth="1"/>
    <col min="15365" max="15373" width="9" style="208"/>
    <col min="15374" max="15374" width="9.5" style="208" bestFit="1" customWidth="1"/>
    <col min="15375" max="15392" width="9" style="208"/>
    <col min="15393" max="15393" width="15.875" style="208" bestFit="1" customWidth="1"/>
    <col min="15394" max="15394" width="11.375" style="208" bestFit="1" customWidth="1"/>
    <col min="15395" max="15619" width="9" style="208"/>
    <col min="15620" max="15620" width="10.5" style="208" bestFit="1" customWidth="1"/>
    <col min="15621" max="15629" width="9" style="208"/>
    <col min="15630" max="15630" width="9.5" style="208" bestFit="1" customWidth="1"/>
    <col min="15631" max="15648" width="9" style="208"/>
    <col min="15649" max="15649" width="15.875" style="208" bestFit="1" customWidth="1"/>
    <col min="15650" max="15650" width="11.375" style="208" bestFit="1" customWidth="1"/>
    <col min="15651" max="15875" width="9" style="208"/>
    <col min="15876" max="15876" width="10.5" style="208" bestFit="1" customWidth="1"/>
    <col min="15877" max="15885" width="9" style="208"/>
    <col min="15886" max="15886" width="9.5" style="208" bestFit="1" customWidth="1"/>
    <col min="15887" max="15904" width="9" style="208"/>
    <col min="15905" max="15905" width="15.875" style="208" bestFit="1" customWidth="1"/>
    <col min="15906" max="15906" width="11.375" style="208" bestFit="1" customWidth="1"/>
    <col min="15907" max="16131" width="9" style="208"/>
    <col min="16132" max="16132" width="10.5" style="208" bestFit="1" customWidth="1"/>
    <col min="16133" max="16141" width="9" style="208"/>
    <col min="16142" max="16142" width="9.5" style="208" bestFit="1" customWidth="1"/>
    <col min="16143" max="16160" width="9" style="208"/>
    <col min="16161" max="16161" width="15.875" style="208" bestFit="1" customWidth="1"/>
    <col min="16162" max="16162" width="11.375" style="208" bestFit="1" customWidth="1"/>
    <col min="16163" max="16384" width="9" style="208"/>
  </cols>
  <sheetData>
    <row r="1" spans="1:53" ht="45" x14ac:dyDescent="0.15">
      <c r="A1" s="83" t="s">
        <v>0</v>
      </c>
      <c r="B1" s="202" t="s">
        <v>1</v>
      </c>
      <c r="C1" s="202" t="s">
        <v>349</v>
      </c>
      <c r="D1" s="203" t="s">
        <v>3</v>
      </c>
      <c r="E1" s="84" t="s">
        <v>4</v>
      </c>
      <c r="F1" s="84" t="s">
        <v>5</v>
      </c>
      <c r="G1" s="84" t="s">
        <v>6</v>
      </c>
      <c r="H1" s="84" t="s">
        <v>7</v>
      </c>
      <c r="I1" s="84" t="s">
        <v>8</v>
      </c>
      <c r="J1" s="84" t="s">
        <v>9</v>
      </c>
      <c r="K1" s="84" t="s">
        <v>10</v>
      </c>
      <c r="L1" s="203" t="s">
        <v>350</v>
      </c>
      <c r="M1" s="203" t="s">
        <v>12</v>
      </c>
      <c r="N1" s="203" t="s">
        <v>13</v>
      </c>
      <c r="O1" s="203" t="s">
        <v>351</v>
      </c>
      <c r="P1" s="203" t="s">
        <v>352</v>
      </c>
      <c r="Q1" s="204" t="s">
        <v>16</v>
      </c>
      <c r="R1" s="203" t="s">
        <v>353</v>
      </c>
      <c r="S1" s="203" t="s">
        <v>354</v>
      </c>
      <c r="T1" s="204" t="s">
        <v>19</v>
      </c>
      <c r="U1" s="205" t="s">
        <v>108</v>
      </c>
      <c r="V1" s="206" t="s">
        <v>20</v>
      </c>
      <c r="W1" s="203" t="s">
        <v>21</v>
      </c>
      <c r="X1" s="84" t="s">
        <v>22</v>
      </c>
      <c r="Y1" s="84" t="s">
        <v>23</v>
      </c>
      <c r="Z1" s="84" t="s">
        <v>24</v>
      </c>
      <c r="AA1" s="85" t="s">
        <v>25</v>
      </c>
      <c r="AB1" s="207" t="s">
        <v>355</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356</v>
      </c>
      <c r="AY1" s="214" t="s">
        <v>357</v>
      </c>
      <c r="AZ1" s="214" t="s">
        <v>358</v>
      </c>
      <c r="BA1" s="215" t="s">
        <v>359</v>
      </c>
    </row>
    <row r="2" spans="1:53" s="216" customFormat="1" x14ac:dyDescent="0.15">
      <c r="A2" s="55" t="s">
        <v>56</v>
      </c>
      <c r="B2" s="55" t="s">
        <v>360</v>
      </c>
      <c r="C2" s="216">
        <v>2018</v>
      </c>
      <c r="D2" s="86" t="s">
        <v>362</v>
      </c>
      <c r="E2" s="216" t="s">
        <v>363</v>
      </c>
      <c r="F2" s="216" t="s">
        <v>175</v>
      </c>
      <c r="G2" s="55" t="s">
        <v>42</v>
      </c>
      <c r="H2" s="216" t="s">
        <v>157</v>
      </c>
      <c r="I2" s="55" t="s">
        <v>155</v>
      </c>
      <c r="J2" s="216" t="s">
        <v>38</v>
      </c>
      <c r="K2" s="216" t="s">
        <v>156</v>
      </c>
      <c r="L2" s="216">
        <v>1</v>
      </c>
      <c r="N2" s="208">
        <v>1</v>
      </c>
      <c r="O2" s="216">
        <v>0.85</v>
      </c>
      <c r="P2" s="208">
        <v>0.85</v>
      </c>
      <c r="Q2" s="245">
        <f>IF(OR(O2="",P2=""),"",AVERAGE(O2,P2))</f>
        <v>0.85</v>
      </c>
      <c r="R2" s="216">
        <v>15.1</v>
      </c>
      <c r="S2" s="216">
        <v>142</v>
      </c>
      <c r="T2" s="217">
        <f>IF(H2="","",IF(OR(H2="GREEN",H2="GK"),IF(S2&gt;=$AX$2,VLOOKUP(S2,$AX$2:$AY$10,2,1),""),IF(S2&gt;=$AZ$2,VLOOKUP(S2,$AZ$2:$BA$10,2,1),"")))</f>
        <v>22</v>
      </c>
      <c r="U2" s="216">
        <v>106</v>
      </c>
      <c r="V2" s="217">
        <f>IF(OR(N2="",U2="",T2=""),"",U2/N2*T2)</f>
        <v>2332</v>
      </c>
      <c r="W2" s="216">
        <v>3</v>
      </c>
      <c r="X2" s="55" t="s">
        <v>46</v>
      </c>
      <c r="Y2" s="55" t="s">
        <v>88</v>
      </c>
      <c r="Z2" s="216" t="s">
        <v>78</v>
      </c>
      <c r="AA2" s="55" t="s">
        <v>97</v>
      </c>
      <c r="AB2" s="39" t="s">
        <v>340</v>
      </c>
      <c r="AE2" s="218" t="s">
        <v>35</v>
      </c>
      <c r="AG2" s="231" t="s">
        <v>364</v>
      </c>
      <c r="AH2" s="87" t="s">
        <v>175</v>
      </c>
      <c r="AJ2" s="219" t="s">
        <v>36</v>
      </c>
      <c r="AL2" s="219" t="s">
        <v>127</v>
      </c>
      <c r="AN2" s="219" t="s">
        <v>37</v>
      </c>
      <c r="AP2" s="219" t="s">
        <v>38</v>
      </c>
      <c r="AR2" s="219" t="s">
        <v>365</v>
      </c>
      <c r="AT2" s="219" t="s">
        <v>39</v>
      </c>
      <c r="AV2" s="219" t="s">
        <v>40</v>
      </c>
      <c r="AX2" s="220">
        <v>1</v>
      </c>
      <c r="AY2" s="221">
        <v>50</v>
      </c>
      <c r="AZ2" s="221">
        <v>1</v>
      </c>
      <c r="BA2" s="222">
        <v>50</v>
      </c>
    </row>
    <row r="3" spans="1:53" x14ac:dyDescent="0.15">
      <c r="A3" s="55" t="s">
        <v>56</v>
      </c>
      <c r="B3" s="55" t="s">
        <v>360</v>
      </c>
      <c r="C3" s="216">
        <v>2018</v>
      </c>
      <c r="D3" s="86" t="s">
        <v>362</v>
      </c>
      <c r="E3" s="216" t="s">
        <v>363</v>
      </c>
      <c r="F3" s="216" t="s">
        <v>175</v>
      </c>
      <c r="G3" s="55" t="s">
        <v>42</v>
      </c>
      <c r="H3" s="216" t="s">
        <v>157</v>
      </c>
      <c r="I3" s="55" t="s">
        <v>155</v>
      </c>
      <c r="J3" s="216" t="s">
        <v>38</v>
      </c>
      <c r="K3" s="216" t="s">
        <v>156</v>
      </c>
      <c r="L3" s="208">
        <v>2</v>
      </c>
      <c r="N3" s="208">
        <v>1</v>
      </c>
      <c r="O3" s="208">
        <v>0.7</v>
      </c>
      <c r="P3" s="208">
        <v>0.75</v>
      </c>
      <c r="Q3" s="245">
        <f>IF(OR(O3="",P3=""),"",AVERAGE(O3,P3))</f>
        <v>0.72499999999999998</v>
      </c>
      <c r="R3" s="208">
        <v>13.6</v>
      </c>
      <c r="S3" s="208">
        <v>143</v>
      </c>
      <c r="T3" s="217">
        <f>IF(H3="","",IF(OR(H3="GREEN",H3="GK"),IF(S3&gt;=$AX$2,VLOOKUP(S3,$AX$2:$AY$10,2,1),""),IF(S3&gt;=$AZ$2,VLOOKUP(S3,$AZ$2:$BA$10,2,1),"")))</f>
        <v>22</v>
      </c>
      <c r="U3" s="208">
        <v>106</v>
      </c>
      <c r="V3" s="217">
        <f>IF(OR(N3="",U3="",T3=""),"",U3/N3*T3)</f>
        <v>2332</v>
      </c>
      <c r="W3" s="208">
        <v>3</v>
      </c>
      <c r="X3" s="55" t="s">
        <v>46</v>
      </c>
      <c r="Y3" s="55" t="s">
        <v>88</v>
      </c>
      <c r="Z3" s="216" t="s">
        <v>78</v>
      </c>
      <c r="AA3" s="55" t="s">
        <v>97</v>
      </c>
      <c r="AB3" s="39" t="s">
        <v>340</v>
      </c>
      <c r="AE3" s="223" t="s">
        <v>41</v>
      </c>
      <c r="AG3" s="231" t="s">
        <v>364</v>
      </c>
      <c r="AH3" s="87" t="s">
        <v>176</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55" t="s">
        <v>56</v>
      </c>
      <c r="B4" s="55" t="s">
        <v>360</v>
      </c>
      <c r="C4" s="216">
        <v>2018</v>
      </c>
      <c r="D4" s="86" t="s">
        <v>362</v>
      </c>
      <c r="E4" s="216" t="s">
        <v>363</v>
      </c>
      <c r="F4" s="216" t="s">
        <v>175</v>
      </c>
      <c r="G4" s="55" t="s">
        <v>42</v>
      </c>
      <c r="H4" s="216" t="s">
        <v>157</v>
      </c>
      <c r="I4" s="55" t="s">
        <v>155</v>
      </c>
      <c r="J4" s="216" t="s">
        <v>38</v>
      </c>
      <c r="K4" s="216" t="s">
        <v>156</v>
      </c>
      <c r="L4" s="208">
        <v>3</v>
      </c>
      <c r="N4" s="208">
        <v>1</v>
      </c>
      <c r="O4" s="208">
        <v>0.95</v>
      </c>
      <c r="P4" s="208">
        <v>0.95</v>
      </c>
      <c r="Q4" s="245">
        <f>IF(OR(O4="",P4=""),"",AVERAGE(O4,P4))</f>
        <v>0.95</v>
      </c>
      <c r="R4" s="208">
        <v>13</v>
      </c>
      <c r="S4" s="208">
        <v>140</v>
      </c>
      <c r="T4" s="217">
        <f>IF(H4="","",IF(OR(H4="GREEN",H4="GK"),IF(S4&gt;=$AX$2,VLOOKUP(S4,$AX$2:$AY$10,2,1),""),IF(S4&gt;=$AZ$2,VLOOKUP(S4,$AZ$2:$BA$10,2,1),"")))</f>
        <v>22</v>
      </c>
      <c r="U4" s="208">
        <v>106</v>
      </c>
      <c r="V4" s="217">
        <f>IF(OR(N4="",U4="",T4=""),"",U4/N4*T4)</f>
        <v>2332</v>
      </c>
      <c r="W4" s="208">
        <v>3</v>
      </c>
      <c r="X4" s="55" t="s">
        <v>46</v>
      </c>
      <c r="Y4" s="55" t="s">
        <v>88</v>
      </c>
      <c r="Z4" s="216" t="s">
        <v>78</v>
      </c>
      <c r="AA4" s="55" t="s">
        <v>97</v>
      </c>
      <c r="AB4" s="39" t="s">
        <v>340</v>
      </c>
      <c r="AE4" s="223" t="s">
        <v>34</v>
      </c>
      <c r="AG4" s="231" t="s">
        <v>366</v>
      </c>
      <c r="AH4" s="87" t="s">
        <v>367</v>
      </c>
      <c r="AJ4" s="228" t="s">
        <v>48</v>
      </c>
      <c r="AL4" s="228" t="s">
        <v>177</v>
      </c>
      <c r="AN4" s="229" t="s">
        <v>49</v>
      </c>
      <c r="AP4" s="224" t="s">
        <v>368</v>
      </c>
      <c r="AR4" s="238" t="s">
        <v>369</v>
      </c>
      <c r="AT4" s="229"/>
      <c r="AV4" s="224" t="s">
        <v>50</v>
      </c>
      <c r="AX4" s="225">
        <v>75</v>
      </c>
      <c r="AY4" s="226">
        <v>42</v>
      </c>
      <c r="AZ4" s="226">
        <v>76</v>
      </c>
      <c r="BA4" s="227">
        <v>39</v>
      </c>
    </row>
    <row r="5" spans="1:53" x14ac:dyDescent="0.15">
      <c r="A5" s="55" t="s">
        <v>56</v>
      </c>
      <c r="B5" s="55" t="s">
        <v>360</v>
      </c>
      <c r="C5" s="216">
        <v>2018</v>
      </c>
      <c r="D5" s="86" t="s">
        <v>362</v>
      </c>
      <c r="E5" s="216" t="s">
        <v>363</v>
      </c>
      <c r="F5" s="216" t="s">
        <v>175</v>
      </c>
      <c r="G5" s="55" t="s">
        <v>42</v>
      </c>
      <c r="H5" s="216" t="s">
        <v>165</v>
      </c>
      <c r="I5" s="55" t="s">
        <v>155</v>
      </c>
      <c r="J5" s="216" t="s">
        <v>38</v>
      </c>
      <c r="K5" s="216" t="s">
        <v>156</v>
      </c>
      <c r="L5" s="208">
        <v>1</v>
      </c>
      <c r="N5" s="208">
        <v>1</v>
      </c>
      <c r="O5" s="208">
        <v>0.7</v>
      </c>
      <c r="P5" s="208">
        <v>0.7</v>
      </c>
      <c r="Q5" s="245">
        <f t="shared" ref="Q5:Q58" si="0">IF(OR(O5="",P5=""),"",AVERAGE(O5,P5))</f>
        <v>0.7</v>
      </c>
      <c r="R5" s="208">
        <v>15</v>
      </c>
      <c r="S5" s="208">
        <v>128</v>
      </c>
      <c r="T5" s="217">
        <f t="shared" ref="T5:T58" si="1">IF(H5="","",IF(OR(H5="GREEN",H5="GK"),IF(S5&gt;=$AX$2,VLOOKUP(S5,$AX$2:$AY$10,2,1),""),IF(S5&gt;=$AZ$2,VLOOKUP(S5,$AZ$2:$BA$10,2,1),"")))</f>
        <v>27</v>
      </c>
      <c r="U5" s="208">
        <v>138</v>
      </c>
      <c r="V5" s="217">
        <f t="shared" ref="V5:V58" si="2">IF(OR(N5="",U5="",T5=""),"",U5/N5*T5)</f>
        <v>3726</v>
      </c>
      <c r="W5" s="208">
        <v>1</v>
      </c>
      <c r="X5" s="55" t="s">
        <v>46</v>
      </c>
      <c r="Y5" s="55" t="s">
        <v>88</v>
      </c>
      <c r="Z5" s="216" t="s">
        <v>78</v>
      </c>
      <c r="AA5" s="55" t="s">
        <v>97</v>
      </c>
      <c r="AB5" s="39" t="s">
        <v>340</v>
      </c>
      <c r="AE5" s="223" t="s">
        <v>51</v>
      </c>
      <c r="AG5" s="231" t="s">
        <v>178</v>
      </c>
      <c r="AH5" s="87" t="s">
        <v>370</v>
      </c>
      <c r="AJ5" s="229"/>
      <c r="AL5" s="230" t="s">
        <v>167</v>
      </c>
      <c r="AN5" s="230" t="s">
        <v>168</v>
      </c>
      <c r="AP5" s="224" t="s">
        <v>179</v>
      </c>
      <c r="AR5" s="238" t="s">
        <v>54</v>
      </c>
      <c r="AV5" s="224" t="s">
        <v>55</v>
      </c>
      <c r="AX5" s="225">
        <v>84</v>
      </c>
      <c r="AY5" s="226">
        <v>39</v>
      </c>
      <c r="AZ5" s="226">
        <v>84</v>
      </c>
      <c r="BA5" s="227">
        <v>36</v>
      </c>
    </row>
    <row r="6" spans="1:53" x14ac:dyDescent="0.15">
      <c r="A6" s="55" t="s">
        <v>56</v>
      </c>
      <c r="B6" s="55" t="s">
        <v>339</v>
      </c>
      <c r="C6" s="216">
        <v>2018</v>
      </c>
      <c r="D6" s="86" t="s">
        <v>361</v>
      </c>
      <c r="E6" s="216" t="s">
        <v>363</v>
      </c>
      <c r="F6" s="216" t="s">
        <v>175</v>
      </c>
      <c r="G6" s="55" t="s">
        <v>42</v>
      </c>
      <c r="H6" s="216" t="s">
        <v>165</v>
      </c>
      <c r="I6" s="55" t="s">
        <v>155</v>
      </c>
      <c r="J6" s="216" t="s">
        <v>38</v>
      </c>
      <c r="K6" s="216" t="s">
        <v>156</v>
      </c>
      <c r="L6" s="208">
        <v>2</v>
      </c>
      <c r="N6" s="208">
        <v>1</v>
      </c>
      <c r="O6" s="208">
        <v>0.75</v>
      </c>
      <c r="P6" s="208">
        <v>0.75</v>
      </c>
      <c r="Q6" s="245">
        <f t="shared" si="0"/>
        <v>0.75</v>
      </c>
      <c r="R6" s="208">
        <v>14.8</v>
      </c>
      <c r="S6" s="208">
        <v>127</v>
      </c>
      <c r="T6" s="217">
        <f t="shared" si="1"/>
        <v>27</v>
      </c>
      <c r="U6" s="208">
        <v>138</v>
      </c>
      <c r="V6" s="217">
        <f t="shared" si="2"/>
        <v>3726</v>
      </c>
      <c r="W6" s="208">
        <v>1</v>
      </c>
      <c r="X6" s="55" t="s">
        <v>46</v>
      </c>
      <c r="Y6" s="55" t="s">
        <v>88</v>
      </c>
      <c r="Z6" s="216" t="s">
        <v>78</v>
      </c>
      <c r="AA6" s="55" t="s">
        <v>97</v>
      </c>
      <c r="AB6" s="39" t="s">
        <v>340</v>
      </c>
      <c r="AE6" s="223" t="s">
        <v>56</v>
      </c>
      <c r="AG6" s="231" t="s">
        <v>180</v>
      </c>
      <c r="AH6" s="87" t="s">
        <v>370</v>
      </c>
      <c r="AL6" s="230" t="s">
        <v>169</v>
      </c>
      <c r="AN6" s="230" t="s">
        <v>170</v>
      </c>
      <c r="AP6" s="224" t="s">
        <v>53</v>
      </c>
      <c r="AR6" s="238" t="s">
        <v>59</v>
      </c>
      <c r="AV6" s="224" t="s">
        <v>60</v>
      </c>
      <c r="AX6" s="225">
        <v>97</v>
      </c>
      <c r="AY6" s="226">
        <v>36</v>
      </c>
      <c r="AZ6" s="226">
        <v>99</v>
      </c>
      <c r="BA6" s="227">
        <v>33</v>
      </c>
    </row>
    <row r="7" spans="1:53" x14ac:dyDescent="0.15">
      <c r="A7" s="55" t="s">
        <v>56</v>
      </c>
      <c r="B7" s="55" t="s">
        <v>339</v>
      </c>
      <c r="C7" s="216">
        <v>2018</v>
      </c>
      <c r="D7" s="86" t="s">
        <v>361</v>
      </c>
      <c r="E7" s="216" t="s">
        <v>363</v>
      </c>
      <c r="F7" s="216" t="s">
        <v>175</v>
      </c>
      <c r="G7" s="55" t="s">
        <v>42</v>
      </c>
      <c r="H7" s="216" t="s">
        <v>165</v>
      </c>
      <c r="I7" s="55" t="s">
        <v>155</v>
      </c>
      <c r="J7" s="216" t="s">
        <v>38</v>
      </c>
      <c r="K7" s="216" t="s">
        <v>156</v>
      </c>
      <c r="L7" s="208">
        <v>3</v>
      </c>
      <c r="N7" s="208">
        <v>1</v>
      </c>
      <c r="O7" s="208">
        <v>0.7</v>
      </c>
      <c r="P7" s="208">
        <v>0.7</v>
      </c>
      <c r="Q7" s="245">
        <f t="shared" si="0"/>
        <v>0.7</v>
      </c>
      <c r="R7" s="208">
        <v>15.3</v>
      </c>
      <c r="S7" s="208">
        <v>128</v>
      </c>
      <c r="T7" s="217">
        <f t="shared" si="1"/>
        <v>27</v>
      </c>
      <c r="U7" s="208">
        <v>138</v>
      </c>
      <c r="V7" s="217">
        <f t="shared" si="2"/>
        <v>3726</v>
      </c>
      <c r="W7" s="208">
        <v>1</v>
      </c>
      <c r="X7" s="55" t="s">
        <v>46</v>
      </c>
      <c r="Y7" s="55" t="s">
        <v>88</v>
      </c>
      <c r="Z7" s="216" t="s">
        <v>78</v>
      </c>
      <c r="AA7" s="55" t="s">
        <v>97</v>
      </c>
      <c r="AB7" s="39" t="s">
        <v>340</v>
      </c>
      <c r="AE7" s="223" t="s">
        <v>61</v>
      </c>
      <c r="AG7" s="231" t="s">
        <v>181</v>
      </c>
      <c r="AH7" s="87" t="s">
        <v>182</v>
      </c>
      <c r="AL7" s="88" t="s">
        <v>171</v>
      </c>
      <c r="AP7" s="224" t="s">
        <v>58</v>
      </c>
      <c r="AR7" s="231" t="s">
        <v>122</v>
      </c>
      <c r="AV7" s="224" t="s">
        <v>64</v>
      </c>
      <c r="AX7" s="225">
        <v>109</v>
      </c>
      <c r="AY7" s="226">
        <v>33</v>
      </c>
      <c r="AZ7" s="226">
        <v>113</v>
      </c>
      <c r="BA7" s="227">
        <v>30</v>
      </c>
    </row>
    <row r="8" spans="1:53" x14ac:dyDescent="0.15">
      <c r="A8" s="55" t="s">
        <v>56</v>
      </c>
      <c r="B8" s="55" t="s">
        <v>371</v>
      </c>
      <c r="C8" s="216">
        <v>2018</v>
      </c>
      <c r="D8" s="86" t="s">
        <v>372</v>
      </c>
      <c r="E8" s="216" t="s">
        <v>363</v>
      </c>
      <c r="F8" s="216" t="s">
        <v>176</v>
      </c>
      <c r="G8" s="55" t="s">
        <v>42</v>
      </c>
      <c r="H8" s="216" t="s">
        <v>165</v>
      </c>
      <c r="I8" s="55" t="s">
        <v>155</v>
      </c>
      <c r="J8" s="216" t="s">
        <v>38</v>
      </c>
      <c r="K8" s="216" t="s">
        <v>156</v>
      </c>
      <c r="L8" s="208">
        <v>1</v>
      </c>
      <c r="N8" s="208">
        <v>1</v>
      </c>
      <c r="O8" s="208">
        <v>0.7</v>
      </c>
      <c r="P8" s="208">
        <v>0.7</v>
      </c>
      <c r="Q8" s="245">
        <f t="shared" si="0"/>
        <v>0.7</v>
      </c>
      <c r="R8" s="208">
        <v>16.5</v>
      </c>
      <c r="S8" s="208">
        <v>149</v>
      </c>
      <c r="T8" s="217">
        <f t="shared" si="1"/>
        <v>22</v>
      </c>
      <c r="U8" s="208">
        <v>138</v>
      </c>
      <c r="V8" s="217">
        <f t="shared" si="2"/>
        <v>3036</v>
      </c>
      <c r="W8" s="208">
        <v>6</v>
      </c>
      <c r="X8" s="55" t="s">
        <v>46</v>
      </c>
      <c r="Y8" s="55" t="s">
        <v>88</v>
      </c>
      <c r="Z8" s="216" t="s">
        <v>78</v>
      </c>
      <c r="AA8" s="55" t="s">
        <v>102</v>
      </c>
      <c r="AB8" s="39" t="s">
        <v>340</v>
      </c>
      <c r="AE8" s="223" t="s">
        <v>59</v>
      </c>
      <c r="AG8" s="231" t="s">
        <v>373</v>
      </c>
      <c r="AH8" s="87" t="s">
        <v>182</v>
      </c>
      <c r="AL8" s="88" t="s">
        <v>346</v>
      </c>
      <c r="AP8" s="224" t="s">
        <v>62</v>
      </c>
      <c r="AR8" s="238" t="s">
        <v>81</v>
      </c>
      <c r="AV8" s="224" t="s">
        <v>97</v>
      </c>
      <c r="AX8" s="225">
        <v>119</v>
      </c>
      <c r="AY8" s="226">
        <v>30</v>
      </c>
      <c r="AZ8" s="226">
        <v>121</v>
      </c>
      <c r="BA8" s="227">
        <v>27</v>
      </c>
    </row>
    <row r="9" spans="1:53" x14ac:dyDescent="0.15">
      <c r="A9" s="55" t="s">
        <v>56</v>
      </c>
      <c r="B9" s="55" t="s">
        <v>371</v>
      </c>
      <c r="C9" s="216">
        <v>2018</v>
      </c>
      <c r="D9" s="86" t="s">
        <v>372</v>
      </c>
      <c r="E9" s="216" t="s">
        <v>363</v>
      </c>
      <c r="F9" s="216" t="s">
        <v>176</v>
      </c>
      <c r="G9" s="55" t="s">
        <v>42</v>
      </c>
      <c r="H9" s="216" t="s">
        <v>165</v>
      </c>
      <c r="I9" s="55" t="s">
        <v>155</v>
      </c>
      <c r="J9" s="216" t="s">
        <v>38</v>
      </c>
      <c r="K9" s="216" t="s">
        <v>156</v>
      </c>
      <c r="L9" s="208">
        <v>2</v>
      </c>
      <c r="N9" s="208">
        <v>1</v>
      </c>
      <c r="O9" s="208">
        <v>0.75</v>
      </c>
      <c r="P9" s="208">
        <v>0.7</v>
      </c>
      <c r="Q9" s="245">
        <f t="shared" si="0"/>
        <v>0.72499999999999998</v>
      </c>
      <c r="R9" s="208">
        <v>17.5</v>
      </c>
      <c r="S9" s="208">
        <v>140</v>
      </c>
      <c r="T9" s="217">
        <f t="shared" si="1"/>
        <v>22</v>
      </c>
      <c r="U9" s="208">
        <v>138</v>
      </c>
      <c r="V9" s="217">
        <f t="shared" si="2"/>
        <v>3036</v>
      </c>
      <c r="W9" s="208">
        <v>6</v>
      </c>
      <c r="X9" s="55" t="s">
        <v>46</v>
      </c>
      <c r="Y9" s="55" t="s">
        <v>88</v>
      </c>
      <c r="Z9" s="216" t="s">
        <v>78</v>
      </c>
      <c r="AA9" s="55" t="s">
        <v>102</v>
      </c>
      <c r="AB9" s="39" t="s">
        <v>340</v>
      </c>
      <c r="AE9" s="223" t="s">
        <v>98</v>
      </c>
      <c r="AG9" s="231" t="s">
        <v>183</v>
      </c>
      <c r="AH9" s="231" t="s">
        <v>176</v>
      </c>
      <c r="AL9" s="230"/>
      <c r="AP9" s="224" t="s">
        <v>95</v>
      </c>
      <c r="AR9" s="231" t="s">
        <v>89</v>
      </c>
      <c r="AV9" s="224" t="s">
        <v>102</v>
      </c>
      <c r="AX9" s="225">
        <v>128</v>
      </c>
      <c r="AY9" s="226">
        <v>27</v>
      </c>
      <c r="AZ9" s="226">
        <v>129</v>
      </c>
      <c r="BA9" s="227">
        <v>25</v>
      </c>
    </row>
    <row r="10" spans="1:53" x14ac:dyDescent="0.15">
      <c r="A10" s="55" t="s">
        <v>56</v>
      </c>
      <c r="B10" s="55" t="s">
        <v>374</v>
      </c>
      <c r="C10" s="216">
        <v>2018</v>
      </c>
      <c r="D10" s="86" t="s">
        <v>375</v>
      </c>
      <c r="E10" s="216" t="s">
        <v>363</v>
      </c>
      <c r="F10" s="216" t="s">
        <v>176</v>
      </c>
      <c r="G10" s="55" t="s">
        <v>42</v>
      </c>
      <c r="H10" s="216" t="s">
        <v>165</v>
      </c>
      <c r="I10" s="55" t="s">
        <v>155</v>
      </c>
      <c r="J10" s="216" t="s">
        <v>38</v>
      </c>
      <c r="K10" s="216" t="s">
        <v>156</v>
      </c>
      <c r="L10" s="208">
        <v>3</v>
      </c>
      <c r="N10" s="208">
        <v>1</v>
      </c>
      <c r="O10" s="208">
        <v>0.6</v>
      </c>
      <c r="P10" s="208">
        <v>0.6</v>
      </c>
      <c r="Q10" s="245">
        <f t="shared" si="0"/>
        <v>0.6</v>
      </c>
      <c r="R10" s="237">
        <v>15.2</v>
      </c>
      <c r="S10" s="208">
        <v>135</v>
      </c>
      <c r="T10" s="217">
        <f t="shared" si="1"/>
        <v>25</v>
      </c>
      <c r="U10" s="208">
        <v>138</v>
      </c>
      <c r="V10" s="217">
        <f t="shared" si="2"/>
        <v>3450</v>
      </c>
      <c r="W10" s="208">
        <v>6</v>
      </c>
      <c r="X10" s="55" t="s">
        <v>46</v>
      </c>
      <c r="Y10" s="55" t="s">
        <v>88</v>
      </c>
      <c r="Z10" s="216" t="s">
        <v>78</v>
      </c>
      <c r="AA10" s="55" t="s">
        <v>102</v>
      </c>
      <c r="AB10" s="39" t="s">
        <v>340</v>
      </c>
      <c r="AE10" s="223" t="s">
        <v>103</v>
      </c>
      <c r="AG10" s="231" t="s">
        <v>376</v>
      </c>
      <c r="AH10" s="87" t="s">
        <v>377</v>
      </c>
      <c r="AL10" s="88"/>
      <c r="AP10" s="224" t="s">
        <v>100</v>
      </c>
      <c r="AR10" s="231" t="s">
        <v>123</v>
      </c>
      <c r="AV10" s="224" t="s">
        <v>106</v>
      </c>
      <c r="AX10" s="225">
        <v>138</v>
      </c>
      <c r="AY10" s="226">
        <v>25</v>
      </c>
      <c r="AZ10" s="226">
        <v>138</v>
      </c>
      <c r="BA10" s="227">
        <v>22</v>
      </c>
    </row>
    <row r="11" spans="1:53" x14ac:dyDescent="0.15">
      <c r="A11" s="55" t="s">
        <v>56</v>
      </c>
      <c r="B11" s="55" t="s">
        <v>374</v>
      </c>
      <c r="C11" s="216">
        <v>2018</v>
      </c>
      <c r="D11" s="86" t="s">
        <v>375</v>
      </c>
      <c r="E11" s="216" t="s">
        <v>378</v>
      </c>
      <c r="F11" s="216" t="s">
        <v>379</v>
      </c>
      <c r="G11" s="55" t="s">
        <v>42</v>
      </c>
      <c r="H11" s="216" t="s">
        <v>157</v>
      </c>
      <c r="I11" s="55" t="s">
        <v>155</v>
      </c>
      <c r="J11" s="216" t="s">
        <v>38</v>
      </c>
      <c r="K11" s="216" t="s">
        <v>156</v>
      </c>
      <c r="L11" s="208">
        <v>1</v>
      </c>
      <c r="N11" s="208">
        <v>5</v>
      </c>
      <c r="O11" s="208">
        <v>0.5</v>
      </c>
      <c r="P11" s="208">
        <v>0.5</v>
      </c>
      <c r="Q11" s="245">
        <f t="shared" si="0"/>
        <v>0.5</v>
      </c>
      <c r="R11" s="208">
        <v>14.7</v>
      </c>
      <c r="S11" s="208">
        <v>103</v>
      </c>
      <c r="T11" s="217">
        <f t="shared" si="1"/>
        <v>33</v>
      </c>
      <c r="U11" s="208">
        <v>430</v>
      </c>
      <c r="V11" s="217">
        <f t="shared" si="2"/>
        <v>2838</v>
      </c>
      <c r="W11" s="208">
        <v>4</v>
      </c>
      <c r="X11" s="55" t="s">
        <v>46</v>
      </c>
      <c r="Y11" s="55" t="s">
        <v>88</v>
      </c>
      <c r="Z11" s="216" t="s">
        <v>78</v>
      </c>
      <c r="AA11" s="55" t="s">
        <v>55</v>
      </c>
      <c r="AB11" s="39" t="s">
        <v>340</v>
      </c>
      <c r="AE11" s="223" t="s">
        <v>65</v>
      </c>
      <c r="AG11" s="231" t="s">
        <v>380</v>
      </c>
      <c r="AH11" s="87" t="s">
        <v>377</v>
      </c>
      <c r="AJ11" s="88"/>
      <c r="AP11" s="224" t="s">
        <v>104</v>
      </c>
      <c r="AR11" s="231" t="s">
        <v>87</v>
      </c>
      <c r="AV11" s="224" t="s">
        <v>69</v>
      </c>
    </row>
    <row r="12" spans="1:53" x14ac:dyDescent="0.15">
      <c r="A12" s="55" t="s">
        <v>56</v>
      </c>
      <c r="B12" s="55" t="s">
        <v>381</v>
      </c>
      <c r="C12" s="216">
        <v>2018</v>
      </c>
      <c r="D12" s="86" t="s">
        <v>382</v>
      </c>
      <c r="E12" s="216" t="s">
        <v>378</v>
      </c>
      <c r="F12" s="216" t="s">
        <v>379</v>
      </c>
      <c r="G12" s="55" t="s">
        <v>42</v>
      </c>
      <c r="H12" s="216" t="s">
        <v>157</v>
      </c>
      <c r="I12" s="55" t="s">
        <v>155</v>
      </c>
      <c r="J12" s="216" t="s">
        <v>38</v>
      </c>
      <c r="K12" s="216" t="s">
        <v>156</v>
      </c>
      <c r="L12" s="208">
        <v>2</v>
      </c>
      <c r="N12" s="208">
        <v>5</v>
      </c>
      <c r="O12" s="208">
        <v>0.6</v>
      </c>
      <c r="P12" s="208">
        <v>0.6</v>
      </c>
      <c r="Q12" s="245">
        <f t="shared" si="0"/>
        <v>0.6</v>
      </c>
      <c r="R12" s="208">
        <v>14.7</v>
      </c>
      <c r="S12" s="208">
        <v>96</v>
      </c>
      <c r="T12" s="217">
        <f t="shared" si="1"/>
        <v>36</v>
      </c>
      <c r="U12" s="208">
        <v>430</v>
      </c>
      <c r="V12" s="217">
        <f t="shared" si="2"/>
        <v>3096</v>
      </c>
      <c r="W12" s="208">
        <v>4</v>
      </c>
      <c r="X12" s="55" t="s">
        <v>46</v>
      </c>
      <c r="Y12" s="55" t="s">
        <v>88</v>
      </c>
      <c r="Z12" s="216" t="s">
        <v>78</v>
      </c>
      <c r="AA12" s="55" t="s">
        <v>55</v>
      </c>
      <c r="AB12" s="39" t="s">
        <v>340</v>
      </c>
      <c r="AE12" s="223" t="s">
        <v>70</v>
      </c>
      <c r="AG12" s="231" t="s">
        <v>383</v>
      </c>
      <c r="AH12" s="87" t="s">
        <v>384</v>
      </c>
      <c r="AJ12" s="88"/>
      <c r="AP12" s="224" t="s">
        <v>67</v>
      </c>
      <c r="AR12" s="231" t="s">
        <v>124</v>
      </c>
      <c r="AV12" s="224" t="s">
        <v>72</v>
      </c>
    </row>
    <row r="13" spans="1:53" x14ac:dyDescent="0.15">
      <c r="A13" s="55" t="s">
        <v>56</v>
      </c>
      <c r="B13" s="55" t="s">
        <v>385</v>
      </c>
      <c r="C13" s="216">
        <v>2018</v>
      </c>
      <c r="D13" s="86" t="s">
        <v>386</v>
      </c>
      <c r="E13" s="216" t="s">
        <v>378</v>
      </c>
      <c r="F13" s="216" t="s">
        <v>379</v>
      </c>
      <c r="G13" s="55" t="s">
        <v>42</v>
      </c>
      <c r="H13" s="216" t="s">
        <v>157</v>
      </c>
      <c r="I13" s="55" t="s">
        <v>155</v>
      </c>
      <c r="J13" s="216" t="s">
        <v>38</v>
      </c>
      <c r="K13" s="216" t="s">
        <v>156</v>
      </c>
      <c r="L13" s="208">
        <v>3</v>
      </c>
      <c r="N13" s="208">
        <v>5</v>
      </c>
      <c r="O13" s="208">
        <v>0.6</v>
      </c>
      <c r="P13" s="208">
        <v>0.55000000000000004</v>
      </c>
      <c r="Q13" s="245">
        <f t="shared" si="0"/>
        <v>0.57499999999999996</v>
      </c>
      <c r="R13" s="237">
        <v>13.3</v>
      </c>
      <c r="S13" s="208">
        <v>102</v>
      </c>
      <c r="T13" s="217">
        <f t="shared" si="1"/>
        <v>33</v>
      </c>
      <c r="U13" s="208">
        <v>430</v>
      </c>
      <c r="V13" s="217">
        <f t="shared" si="2"/>
        <v>2838</v>
      </c>
      <c r="W13" s="208">
        <v>4</v>
      </c>
      <c r="X13" s="55" t="s">
        <v>46</v>
      </c>
      <c r="Y13" s="55" t="s">
        <v>88</v>
      </c>
      <c r="Z13" s="216" t="s">
        <v>78</v>
      </c>
      <c r="AA13" s="55" t="s">
        <v>55</v>
      </c>
      <c r="AB13" s="39" t="s">
        <v>340</v>
      </c>
      <c r="AE13" s="223" t="s">
        <v>73</v>
      </c>
      <c r="AP13" s="224" t="s">
        <v>71</v>
      </c>
      <c r="AR13" s="231" t="s">
        <v>103</v>
      </c>
      <c r="AV13" s="224" t="s">
        <v>75</v>
      </c>
    </row>
    <row r="14" spans="1:53" x14ac:dyDescent="0.15">
      <c r="A14" s="55" t="s">
        <v>56</v>
      </c>
      <c r="B14" s="55" t="s">
        <v>387</v>
      </c>
      <c r="C14" s="216">
        <v>2018</v>
      </c>
      <c r="D14" s="86" t="s">
        <v>388</v>
      </c>
      <c r="E14" s="216" t="s">
        <v>378</v>
      </c>
      <c r="F14" s="216" t="s">
        <v>379</v>
      </c>
      <c r="G14" s="55" t="s">
        <v>42</v>
      </c>
      <c r="H14" s="216" t="s">
        <v>165</v>
      </c>
      <c r="I14" s="55" t="s">
        <v>155</v>
      </c>
      <c r="J14" s="216" t="s">
        <v>38</v>
      </c>
      <c r="K14" s="216" t="s">
        <v>156</v>
      </c>
      <c r="L14" s="208">
        <v>1</v>
      </c>
      <c r="N14" s="208">
        <v>5</v>
      </c>
      <c r="O14" s="208">
        <v>0.75</v>
      </c>
      <c r="P14" s="208">
        <v>0.75</v>
      </c>
      <c r="Q14" s="245">
        <f t="shared" si="0"/>
        <v>0.75</v>
      </c>
      <c r="R14" s="208">
        <v>17.2</v>
      </c>
      <c r="S14" s="208">
        <v>120</v>
      </c>
      <c r="T14" s="217">
        <f t="shared" si="1"/>
        <v>30</v>
      </c>
      <c r="U14" s="208">
        <v>646</v>
      </c>
      <c r="V14" s="217">
        <f t="shared" si="2"/>
        <v>3875.9999999999995</v>
      </c>
      <c r="W14" s="208">
        <v>4</v>
      </c>
      <c r="X14" s="55" t="s">
        <v>46</v>
      </c>
      <c r="Y14" s="55" t="s">
        <v>88</v>
      </c>
      <c r="Z14" s="216" t="s">
        <v>78</v>
      </c>
      <c r="AA14" s="55" t="s">
        <v>55</v>
      </c>
      <c r="AB14" s="39" t="s">
        <v>340</v>
      </c>
      <c r="AE14" s="223" t="s">
        <v>76</v>
      </c>
      <c r="AP14" s="224" t="s">
        <v>74</v>
      </c>
      <c r="AR14" s="231" t="s">
        <v>125</v>
      </c>
      <c r="AV14" s="224" t="s">
        <v>78</v>
      </c>
    </row>
    <row r="15" spans="1:53" x14ac:dyDescent="0.15">
      <c r="A15" s="55" t="s">
        <v>56</v>
      </c>
      <c r="B15" s="55" t="s">
        <v>387</v>
      </c>
      <c r="C15" s="216">
        <v>2018</v>
      </c>
      <c r="D15" s="86" t="s">
        <v>388</v>
      </c>
      <c r="E15" s="216" t="s">
        <v>378</v>
      </c>
      <c r="F15" s="216" t="s">
        <v>379</v>
      </c>
      <c r="G15" s="55" t="s">
        <v>42</v>
      </c>
      <c r="H15" s="216" t="s">
        <v>165</v>
      </c>
      <c r="I15" s="55" t="s">
        <v>155</v>
      </c>
      <c r="J15" s="216" t="s">
        <v>38</v>
      </c>
      <c r="K15" s="216" t="s">
        <v>156</v>
      </c>
      <c r="L15" s="208">
        <v>2</v>
      </c>
      <c r="N15" s="208">
        <v>5</v>
      </c>
      <c r="O15" s="208">
        <v>0.7</v>
      </c>
      <c r="P15" s="208">
        <v>0.7</v>
      </c>
      <c r="Q15" s="245">
        <f t="shared" si="0"/>
        <v>0.7</v>
      </c>
      <c r="R15" s="208">
        <v>14</v>
      </c>
      <c r="S15" s="208">
        <v>123</v>
      </c>
      <c r="T15" s="217">
        <f t="shared" si="1"/>
        <v>27</v>
      </c>
      <c r="U15" s="208">
        <v>646</v>
      </c>
      <c r="V15" s="217">
        <f t="shared" si="2"/>
        <v>3488.3999999999996</v>
      </c>
      <c r="W15" s="208">
        <v>4</v>
      </c>
      <c r="X15" s="55" t="s">
        <v>46</v>
      </c>
      <c r="Y15" s="55" t="s">
        <v>88</v>
      </c>
      <c r="Z15" s="216" t="s">
        <v>78</v>
      </c>
      <c r="AA15" s="55" t="s">
        <v>55</v>
      </c>
      <c r="AB15" s="39" t="s">
        <v>340</v>
      </c>
      <c r="AE15" s="223" t="s">
        <v>79</v>
      </c>
      <c r="AP15" s="224" t="s">
        <v>77</v>
      </c>
      <c r="AR15" s="231" t="s">
        <v>94</v>
      </c>
      <c r="AV15" s="224" t="s">
        <v>107</v>
      </c>
    </row>
    <row r="16" spans="1:53" x14ac:dyDescent="0.15">
      <c r="A16" s="55" t="s">
        <v>56</v>
      </c>
      <c r="B16" s="55" t="s">
        <v>389</v>
      </c>
      <c r="C16" s="216">
        <v>2018</v>
      </c>
      <c r="D16" s="86" t="s">
        <v>390</v>
      </c>
      <c r="E16" s="216" t="s">
        <v>378</v>
      </c>
      <c r="F16" s="216" t="s">
        <v>379</v>
      </c>
      <c r="G16" s="55" t="s">
        <v>42</v>
      </c>
      <c r="H16" s="216" t="s">
        <v>165</v>
      </c>
      <c r="I16" s="55" t="s">
        <v>155</v>
      </c>
      <c r="J16" s="216" t="s">
        <v>38</v>
      </c>
      <c r="K16" s="216" t="s">
        <v>156</v>
      </c>
      <c r="L16" s="208">
        <v>3</v>
      </c>
      <c r="N16" s="208">
        <v>5</v>
      </c>
      <c r="O16" s="208">
        <v>0.6</v>
      </c>
      <c r="P16" s="208">
        <v>0.6</v>
      </c>
      <c r="Q16" s="245">
        <f t="shared" si="0"/>
        <v>0.6</v>
      </c>
      <c r="R16" s="237">
        <v>14.2</v>
      </c>
      <c r="S16" s="208">
        <v>128</v>
      </c>
      <c r="T16" s="217">
        <f t="shared" si="1"/>
        <v>27</v>
      </c>
      <c r="U16" s="208">
        <v>646</v>
      </c>
      <c r="V16" s="217">
        <f t="shared" si="2"/>
        <v>3488.3999999999996</v>
      </c>
      <c r="W16" s="208">
        <v>4</v>
      </c>
      <c r="X16" s="55" t="s">
        <v>46</v>
      </c>
      <c r="Y16" s="55" t="s">
        <v>88</v>
      </c>
      <c r="Z16" s="216" t="s">
        <v>78</v>
      </c>
      <c r="AA16" s="55" t="s">
        <v>55</v>
      </c>
      <c r="AB16" s="39" t="s">
        <v>340</v>
      </c>
      <c r="AE16" s="223" t="s">
        <v>82</v>
      </c>
      <c r="AP16" s="224" t="s">
        <v>80</v>
      </c>
      <c r="AR16" s="238" t="s">
        <v>63</v>
      </c>
      <c r="AV16" s="224" t="s">
        <v>84</v>
      </c>
    </row>
    <row r="17" spans="1:48" x14ac:dyDescent="0.15">
      <c r="A17" s="55" t="s">
        <v>56</v>
      </c>
      <c r="B17" s="55" t="s">
        <v>389</v>
      </c>
      <c r="C17" s="216">
        <v>2018</v>
      </c>
      <c r="D17" s="86" t="s">
        <v>390</v>
      </c>
      <c r="E17" s="216" t="s">
        <v>391</v>
      </c>
      <c r="F17" s="216" t="s">
        <v>392</v>
      </c>
      <c r="G17" s="55" t="s">
        <v>42</v>
      </c>
      <c r="H17" s="216" t="s">
        <v>157</v>
      </c>
      <c r="I17" s="55" t="s">
        <v>158</v>
      </c>
      <c r="J17" s="216" t="s">
        <v>38</v>
      </c>
      <c r="K17" s="216" t="s">
        <v>156</v>
      </c>
      <c r="L17" s="208">
        <v>1</v>
      </c>
      <c r="N17" s="208">
        <v>4</v>
      </c>
      <c r="O17" s="208">
        <v>0.95</v>
      </c>
      <c r="P17" s="208">
        <v>0.95</v>
      </c>
      <c r="Q17" s="245">
        <f t="shared" si="0"/>
        <v>0.95</v>
      </c>
      <c r="R17" s="208">
        <v>14.5</v>
      </c>
      <c r="S17" s="208">
        <v>100</v>
      </c>
      <c r="T17" s="217">
        <f t="shared" si="1"/>
        <v>33</v>
      </c>
      <c r="U17" s="208">
        <v>377</v>
      </c>
      <c r="V17" s="217">
        <f t="shared" si="2"/>
        <v>3110.25</v>
      </c>
      <c r="W17" s="208">
        <v>2</v>
      </c>
      <c r="X17" s="55" t="s">
        <v>46</v>
      </c>
      <c r="Y17" s="55" t="s">
        <v>86</v>
      </c>
      <c r="Z17" s="216" t="s">
        <v>88</v>
      </c>
      <c r="AA17" s="55" t="s">
        <v>78</v>
      </c>
      <c r="AB17" s="39" t="s">
        <v>340</v>
      </c>
      <c r="AE17" s="223" t="s">
        <v>85</v>
      </c>
      <c r="AP17" s="239" t="s">
        <v>110</v>
      </c>
      <c r="AR17" s="238" t="s">
        <v>96</v>
      </c>
      <c r="AV17" s="224" t="s">
        <v>86</v>
      </c>
    </row>
    <row r="18" spans="1:48" x14ac:dyDescent="0.15">
      <c r="A18" s="55" t="s">
        <v>56</v>
      </c>
      <c r="B18" s="55" t="s">
        <v>389</v>
      </c>
      <c r="C18" s="216">
        <v>2018</v>
      </c>
      <c r="D18" s="86" t="s">
        <v>390</v>
      </c>
      <c r="E18" s="216" t="s">
        <v>391</v>
      </c>
      <c r="F18" s="216" t="s">
        <v>392</v>
      </c>
      <c r="G18" s="55" t="s">
        <v>42</v>
      </c>
      <c r="H18" s="216" t="s">
        <v>157</v>
      </c>
      <c r="I18" s="55" t="s">
        <v>158</v>
      </c>
      <c r="J18" s="216" t="s">
        <v>38</v>
      </c>
      <c r="K18" s="216" t="s">
        <v>156</v>
      </c>
      <c r="L18" s="208">
        <v>2</v>
      </c>
      <c r="N18" s="208">
        <v>4</v>
      </c>
      <c r="O18" s="208">
        <v>0.85</v>
      </c>
      <c r="P18" s="208">
        <v>0.85</v>
      </c>
      <c r="Q18" s="245">
        <f t="shared" si="0"/>
        <v>0.85</v>
      </c>
      <c r="R18" s="208">
        <v>12.9</v>
      </c>
      <c r="S18" s="208">
        <v>98</v>
      </c>
      <c r="T18" s="217">
        <f t="shared" si="1"/>
        <v>36</v>
      </c>
      <c r="U18" s="208">
        <v>377</v>
      </c>
      <c r="V18" s="217">
        <f t="shared" si="2"/>
        <v>3393</v>
      </c>
      <c r="W18" s="208">
        <v>2</v>
      </c>
      <c r="X18" s="55" t="s">
        <v>46</v>
      </c>
      <c r="Y18" s="55" t="s">
        <v>86</v>
      </c>
      <c r="Z18" s="216" t="s">
        <v>88</v>
      </c>
      <c r="AA18" s="55" t="s">
        <v>78</v>
      </c>
      <c r="AB18" s="39" t="s">
        <v>340</v>
      </c>
      <c r="AE18" s="223" t="s">
        <v>87</v>
      </c>
      <c r="AP18" s="239" t="s">
        <v>111</v>
      </c>
      <c r="AR18" s="238" t="s">
        <v>101</v>
      </c>
      <c r="AV18" s="224" t="s">
        <v>88</v>
      </c>
    </row>
    <row r="19" spans="1:48" x14ac:dyDescent="0.15">
      <c r="A19" s="55" t="s">
        <v>56</v>
      </c>
      <c r="B19" s="55" t="s">
        <v>381</v>
      </c>
      <c r="C19" s="216">
        <v>2018</v>
      </c>
      <c r="D19" s="86" t="s">
        <v>382</v>
      </c>
      <c r="E19" s="216" t="s">
        <v>391</v>
      </c>
      <c r="F19" s="216" t="s">
        <v>392</v>
      </c>
      <c r="G19" s="55" t="s">
        <v>42</v>
      </c>
      <c r="H19" s="216" t="s">
        <v>157</v>
      </c>
      <c r="I19" s="55" t="s">
        <v>158</v>
      </c>
      <c r="J19" s="216" t="s">
        <v>38</v>
      </c>
      <c r="K19" s="216" t="s">
        <v>156</v>
      </c>
      <c r="L19" s="208">
        <v>3</v>
      </c>
      <c r="N19" s="208">
        <v>4</v>
      </c>
      <c r="O19" s="208">
        <v>0.85</v>
      </c>
      <c r="P19" s="208">
        <v>0.85</v>
      </c>
      <c r="Q19" s="245">
        <f t="shared" si="0"/>
        <v>0.85</v>
      </c>
      <c r="R19" s="237">
        <v>13</v>
      </c>
      <c r="S19" s="208">
        <v>100</v>
      </c>
      <c r="T19" s="217">
        <f t="shared" si="1"/>
        <v>33</v>
      </c>
      <c r="U19" s="208">
        <v>377</v>
      </c>
      <c r="V19" s="217">
        <f t="shared" si="2"/>
        <v>3110.25</v>
      </c>
      <c r="W19" s="208">
        <v>2</v>
      </c>
      <c r="X19" s="55" t="s">
        <v>46</v>
      </c>
      <c r="Y19" s="55" t="s">
        <v>86</v>
      </c>
      <c r="Z19" s="216" t="s">
        <v>88</v>
      </c>
      <c r="AA19" s="55" t="s">
        <v>78</v>
      </c>
      <c r="AB19" s="39" t="s">
        <v>340</v>
      </c>
      <c r="AE19" s="236" t="s">
        <v>89</v>
      </c>
      <c r="AP19" s="239" t="s">
        <v>112</v>
      </c>
      <c r="AR19" s="231" t="s">
        <v>126</v>
      </c>
      <c r="AV19" s="224" t="s">
        <v>90</v>
      </c>
    </row>
    <row r="20" spans="1:48" x14ac:dyDescent="0.15">
      <c r="A20" s="55" t="s">
        <v>56</v>
      </c>
      <c r="B20" s="55" t="s">
        <v>381</v>
      </c>
      <c r="C20" s="216">
        <v>2018</v>
      </c>
      <c r="D20" s="86" t="s">
        <v>382</v>
      </c>
      <c r="E20" s="216" t="s">
        <v>391</v>
      </c>
      <c r="F20" s="216" t="s">
        <v>392</v>
      </c>
      <c r="G20" s="55" t="s">
        <v>42</v>
      </c>
      <c r="H20" s="216" t="s">
        <v>165</v>
      </c>
      <c r="I20" s="55" t="s">
        <v>155</v>
      </c>
      <c r="J20" s="216" t="s">
        <v>38</v>
      </c>
      <c r="K20" s="216" t="s">
        <v>156</v>
      </c>
      <c r="L20" s="208">
        <v>1</v>
      </c>
      <c r="N20" s="208">
        <v>4</v>
      </c>
      <c r="O20" s="208">
        <v>0.6</v>
      </c>
      <c r="P20" s="208">
        <v>0.65</v>
      </c>
      <c r="Q20" s="245">
        <f t="shared" si="0"/>
        <v>0.625</v>
      </c>
      <c r="R20" s="208">
        <v>16.5</v>
      </c>
      <c r="S20" s="208">
        <v>104</v>
      </c>
      <c r="T20" s="217">
        <f t="shared" si="1"/>
        <v>33</v>
      </c>
      <c r="U20" s="208">
        <v>409</v>
      </c>
      <c r="V20" s="217">
        <f t="shared" si="2"/>
        <v>3374.25</v>
      </c>
      <c r="W20" s="208">
        <v>2</v>
      </c>
      <c r="X20" s="55" t="s">
        <v>46</v>
      </c>
      <c r="Y20" s="55" t="s">
        <v>86</v>
      </c>
      <c r="Z20" s="216" t="s">
        <v>88</v>
      </c>
      <c r="AA20" s="55" t="s">
        <v>78</v>
      </c>
      <c r="AB20" s="39" t="s">
        <v>340</v>
      </c>
      <c r="AP20" s="239" t="s">
        <v>113</v>
      </c>
      <c r="AR20" s="238" t="s">
        <v>105</v>
      </c>
      <c r="AV20" s="228" t="s">
        <v>347</v>
      </c>
    </row>
    <row r="21" spans="1:48" x14ac:dyDescent="0.15">
      <c r="A21" s="55" t="s">
        <v>56</v>
      </c>
      <c r="B21" s="55" t="s">
        <v>381</v>
      </c>
      <c r="C21" s="216">
        <v>2018</v>
      </c>
      <c r="D21" s="86" t="s">
        <v>382</v>
      </c>
      <c r="E21" s="216" t="s">
        <v>391</v>
      </c>
      <c r="F21" s="216" t="s">
        <v>392</v>
      </c>
      <c r="G21" s="55" t="s">
        <v>42</v>
      </c>
      <c r="H21" s="216" t="s">
        <v>165</v>
      </c>
      <c r="I21" s="55" t="s">
        <v>155</v>
      </c>
      <c r="J21" s="216" t="s">
        <v>38</v>
      </c>
      <c r="K21" s="216" t="s">
        <v>156</v>
      </c>
      <c r="L21" s="208">
        <v>2</v>
      </c>
      <c r="N21" s="208">
        <v>4</v>
      </c>
      <c r="O21" s="208">
        <v>0.7</v>
      </c>
      <c r="P21" s="208">
        <v>0.7</v>
      </c>
      <c r="Q21" s="245">
        <f t="shared" si="0"/>
        <v>0.7</v>
      </c>
      <c r="R21" s="208">
        <v>15.6</v>
      </c>
      <c r="S21" s="208">
        <v>102</v>
      </c>
      <c r="T21" s="217">
        <f t="shared" si="1"/>
        <v>33</v>
      </c>
      <c r="U21" s="208">
        <v>409</v>
      </c>
      <c r="V21" s="217">
        <f t="shared" si="2"/>
        <v>3374.25</v>
      </c>
      <c r="W21" s="208">
        <v>2</v>
      </c>
      <c r="X21" s="55" t="s">
        <v>46</v>
      </c>
      <c r="Y21" s="55" t="s">
        <v>86</v>
      </c>
      <c r="Z21" s="216" t="s">
        <v>88</v>
      </c>
      <c r="AA21" s="55" t="s">
        <v>78</v>
      </c>
      <c r="AB21" s="39" t="s">
        <v>340</v>
      </c>
      <c r="AP21" s="239" t="s">
        <v>114</v>
      </c>
      <c r="AR21" s="238" t="s">
        <v>68</v>
      </c>
      <c r="AV21" s="229" t="s">
        <v>393</v>
      </c>
    </row>
    <row r="22" spans="1:48" x14ac:dyDescent="0.15">
      <c r="A22" s="55" t="s">
        <v>56</v>
      </c>
      <c r="B22" s="55" t="s">
        <v>381</v>
      </c>
      <c r="C22" s="216">
        <v>2018</v>
      </c>
      <c r="D22" s="86" t="s">
        <v>382</v>
      </c>
      <c r="E22" s="216" t="s">
        <v>391</v>
      </c>
      <c r="F22" s="216" t="s">
        <v>392</v>
      </c>
      <c r="G22" s="55" t="s">
        <v>42</v>
      </c>
      <c r="H22" s="216" t="s">
        <v>165</v>
      </c>
      <c r="I22" s="55" t="s">
        <v>155</v>
      </c>
      <c r="J22" s="216" t="s">
        <v>38</v>
      </c>
      <c r="K22" s="216" t="s">
        <v>156</v>
      </c>
      <c r="L22" s="208">
        <v>3</v>
      </c>
      <c r="N22" s="208">
        <v>4</v>
      </c>
      <c r="O22" s="208">
        <v>0.65</v>
      </c>
      <c r="P22" s="208">
        <v>0.75</v>
      </c>
      <c r="Q22" s="245">
        <f t="shared" si="0"/>
        <v>0.7</v>
      </c>
      <c r="R22" s="237">
        <v>13.2</v>
      </c>
      <c r="S22" s="208">
        <v>102</v>
      </c>
      <c r="T22" s="217">
        <f t="shared" si="1"/>
        <v>33</v>
      </c>
      <c r="U22" s="208">
        <v>409</v>
      </c>
      <c r="V22" s="217">
        <f t="shared" si="2"/>
        <v>3374.25</v>
      </c>
      <c r="W22" s="208">
        <v>2</v>
      </c>
      <c r="X22" s="55" t="s">
        <v>46</v>
      </c>
      <c r="Y22" s="55" t="s">
        <v>86</v>
      </c>
      <c r="Z22" s="216" t="s">
        <v>88</v>
      </c>
      <c r="AA22" s="55" t="s">
        <v>78</v>
      </c>
      <c r="AB22" s="39" t="s">
        <v>340</v>
      </c>
      <c r="AP22" s="239" t="s">
        <v>115</v>
      </c>
      <c r="AR22" s="238" t="s">
        <v>83</v>
      </c>
    </row>
    <row r="23" spans="1:48" x14ac:dyDescent="0.15">
      <c r="A23" s="55" t="s">
        <v>56</v>
      </c>
      <c r="B23" s="55" t="s">
        <v>381</v>
      </c>
      <c r="C23" s="216">
        <v>2018</v>
      </c>
      <c r="D23" s="86" t="s">
        <v>382</v>
      </c>
      <c r="E23" s="216" t="s">
        <v>315</v>
      </c>
      <c r="F23" s="216" t="s">
        <v>182</v>
      </c>
      <c r="G23" s="55" t="s">
        <v>42</v>
      </c>
      <c r="H23" s="216" t="s">
        <v>157</v>
      </c>
      <c r="I23" s="55" t="s">
        <v>155</v>
      </c>
      <c r="J23" s="216" t="s">
        <v>38</v>
      </c>
      <c r="K23" s="216" t="s">
        <v>156</v>
      </c>
      <c r="L23" s="208">
        <v>1</v>
      </c>
      <c r="N23" s="208">
        <v>1</v>
      </c>
      <c r="O23" s="208">
        <v>0.75</v>
      </c>
      <c r="P23" s="208">
        <v>0.75</v>
      </c>
      <c r="Q23" s="245">
        <f t="shared" si="0"/>
        <v>0.75</v>
      </c>
      <c r="R23" s="208">
        <v>12.9</v>
      </c>
      <c r="S23" s="208">
        <v>122</v>
      </c>
      <c r="T23" s="217">
        <f t="shared" si="1"/>
        <v>27</v>
      </c>
      <c r="U23" s="208">
        <v>105</v>
      </c>
      <c r="V23" s="217">
        <f t="shared" si="2"/>
        <v>2835</v>
      </c>
      <c r="W23" s="208">
        <v>2</v>
      </c>
      <c r="X23" s="55" t="s">
        <v>46</v>
      </c>
      <c r="Y23" s="55" t="s">
        <v>88</v>
      </c>
      <c r="Z23" s="216" t="s">
        <v>78</v>
      </c>
      <c r="AA23" s="55" t="s">
        <v>102</v>
      </c>
      <c r="AB23" s="39" t="s">
        <v>340</v>
      </c>
      <c r="AP23" s="239" t="s">
        <v>394</v>
      </c>
      <c r="AR23" s="238" t="s">
        <v>61</v>
      </c>
    </row>
    <row r="24" spans="1:48" x14ac:dyDescent="0.15">
      <c r="A24" s="55" t="s">
        <v>56</v>
      </c>
      <c r="B24" s="55" t="s">
        <v>381</v>
      </c>
      <c r="C24" s="216">
        <v>2018</v>
      </c>
      <c r="D24" s="86" t="s">
        <v>382</v>
      </c>
      <c r="E24" s="216" t="s">
        <v>315</v>
      </c>
      <c r="F24" s="216" t="s">
        <v>182</v>
      </c>
      <c r="G24" s="55" t="s">
        <v>42</v>
      </c>
      <c r="H24" s="216" t="s">
        <v>157</v>
      </c>
      <c r="I24" s="55" t="s">
        <v>155</v>
      </c>
      <c r="J24" s="216" t="s">
        <v>38</v>
      </c>
      <c r="K24" s="216" t="s">
        <v>156</v>
      </c>
      <c r="L24" s="208">
        <v>2</v>
      </c>
      <c r="N24" s="208">
        <v>1</v>
      </c>
      <c r="O24" s="208">
        <v>0.75</v>
      </c>
      <c r="P24" s="208">
        <v>0.7</v>
      </c>
      <c r="Q24" s="245">
        <f t="shared" si="0"/>
        <v>0.72499999999999998</v>
      </c>
      <c r="R24" s="208">
        <v>13.3</v>
      </c>
      <c r="S24" s="208">
        <v>121</v>
      </c>
      <c r="T24" s="217">
        <f t="shared" si="1"/>
        <v>27</v>
      </c>
      <c r="U24" s="208">
        <v>105</v>
      </c>
      <c r="V24" s="217">
        <f t="shared" si="2"/>
        <v>2835</v>
      </c>
      <c r="W24" s="208">
        <v>2</v>
      </c>
      <c r="X24" s="55" t="s">
        <v>46</v>
      </c>
      <c r="Y24" s="55" t="s">
        <v>88</v>
      </c>
      <c r="Z24" s="216" t="s">
        <v>78</v>
      </c>
      <c r="AA24" s="55" t="s">
        <v>102</v>
      </c>
      <c r="AB24" s="39" t="s">
        <v>340</v>
      </c>
      <c r="AP24" s="239" t="s">
        <v>395</v>
      </c>
      <c r="AR24" s="238" t="s">
        <v>91</v>
      </c>
    </row>
    <row r="25" spans="1:48" x14ac:dyDescent="0.15">
      <c r="A25" s="55" t="s">
        <v>56</v>
      </c>
      <c r="B25" s="55" t="s">
        <v>381</v>
      </c>
      <c r="C25" s="216">
        <v>2018</v>
      </c>
      <c r="D25" s="86" t="s">
        <v>382</v>
      </c>
      <c r="E25" s="216" t="s">
        <v>315</v>
      </c>
      <c r="F25" s="216" t="s">
        <v>182</v>
      </c>
      <c r="G25" s="55" t="s">
        <v>42</v>
      </c>
      <c r="H25" s="216" t="s">
        <v>157</v>
      </c>
      <c r="I25" s="55" t="s">
        <v>155</v>
      </c>
      <c r="J25" s="216" t="s">
        <v>38</v>
      </c>
      <c r="K25" s="216" t="s">
        <v>156</v>
      </c>
      <c r="L25" s="208">
        <v>3</v>
      </c>
      <c r="N25" s="208">
        <v>1</v>
      </c>
      <c r="O25" s="208">
        <v>0.6</v>
      </c>
      <c r="P25" s="208">
        <v>0.65</v>
      </c>
      <c r="Q25" s="245">
        <f t="shared" si="0"/>
        <v>0.625</v>
      </c>
      <c r="R25" s="237">
        <v>13.5</v>
      </c>
      <c r="S25" s="208">
        <v>122</v>
      </c>
      <c r="T25" s="217">
        <f t="shared" si="1"/>
        <v>27</v>
      </c>
      <c r="U25" s="208">
        <v>105</v>
      </c>
      <c r="V25" s="217">
        <f t="shared" si="2"/>
        <v>2835</v>
      </c>
      <c r="W25" s="208">
        <v>2</v>
      </c>
      <c r="X25" s="55" t="s">
        <v>46</v>
      </c>
      <c r="Y25" s="55" t="s">
        <v>88</v>
      </c>
      <c r="Z25" s="216" t="s">
        <v>78</v>
      </c>
      <c r="AA25" s="55" t="s">
        <v>102</v>
      </c>
      <c r="AB25" s="39" t="s">
        <v>340</v>
      </c>
      <c r="AP25" s="239" t="s">
        <v>116</v>
      </c>
      <c r="AR25" s="42" t="s">
        <v>92</v>
      </c>
    </row>
    <row r="26" spans="1:48" x14ac:dyDescent="0.15">
      <c r="A26" s="55" t="s">
        <v>56</v>
      </c>
      <c r="B26" s="55" t="s">
        <v>381</v>
      </c>
      <c r="C26" s="216">
        <v>2018</v>
      </c>
      <c r="D26" s="86" t="s">
        <v>382</v>
      </c>
      <c r="E26" s="216" t="s">
        <v>315</v>
      </c>
      <c r="F26" s="216" t="s">
        <v>182</v>
      </c>
      <c r="G26" s="55" t="s">
        <v>42</v>
      </c>
      <c r="H26" s="216" t="s">
        <v>165</v>
      </c>
      <c r="I26" s="55" t="s">
        <v>155</v>
      </c>
      <c r="J26" s="216" t="s">
        <v>38</v>
      </c>
      <c r="K26" s="216" t="s">
        <v>156</v>
      </c>
      <c r="L26" s="208">
        <v>1</v>
      </c>
      <c r="N26" s="208">
        <v>1</v>
      </c>
      <c r="O26" s="208">
        <v>0.55000000000000004</v>
      </c>
      <c r="P26" s="208">
        <v>0.55000000000000004</v>
      </c>
      <c r="Q26" s="245">
        <f t="shared" si="0"/>
        <v>0.55000000000000004</v>
      </c>
      <c r="R26" s="208">
        <v>15.3</v>
      </c>
      <c r="S26" s="208">
        <v>136</v>
      </c>
      <c r="T26" s="217">
        <f t="shared" si="1"/>
        <v>25</v>
      </c>
      <c r="U26" s="208">
        <v>149</v>
      </c>
      <c r="V26" s="217">
        <f t="shared" si="2"/>
        <v>3725</v>
      </c>
      <c r="W26" s="208">
        <v>2</v>
      </c>
      <c r="X26" s="55" t="s">
        <v>46</v>
      </c>
      <c r="Y26" s="55" t="s">
        <v>88</v>
      </c>
      <c r="Z26" s="216" t="s">
        <v>78</v>
      </c>
      <c r="AA26" s="55" t="s">
        <v>102</v>
      </c>
      <c r="AB26" s="39" t="s">
        <v>340</v>
      </c>
      <c r="AP26" s="239" t="s">
        <v>117</v>
      </c>
      <c r="AR26" s="208" t="s">
        <v>289</v>
      </c>
    </row>
    <row r="27" spans="1:48" x14ac:dyDescent="0.15">
      <c r="A27" s="55" t="s">
        <v>56</v>
      </c>
      <c r="B27" s="55" t="s">
        <v>381</v>
      </c>
      <c r="C27" s="216">
        <v>2018</v>
      </c>
      <c r="D27" s="86" t="s">
        <v>382</v>
      </c>
      <c r="E27" s="216" t="s">
        <v>315</v>
      </c>
      <c r="F27" s="216" t="s">
        <v>182</v>
      </c>
      <c r="G27" s="55" t="s">
        <v>42</v>
      </c>
      <c r="H27" s="216" t="s">
        <v>165</v>
      </c>
      <c r="I27" s="55" t="s">
        <v>155</v>
      </c>
      <c r="J27" s="216" t="s">
        <v>38</v>
      </c>
      <c r="K27" s="216" t="s">
        <v>156</v>
      </c>
      <c r="L27" s="208">
        <v>2</v>
      </c>
      <c r="N27" s="208">
        <v>1</v>
      </c>
      <c r="O27" s="208">
        <v>0.6</v>
      </c>
      <c r="P27" s="208">
        <v>0.55000000000000004</v>
      </c>
      <c r="Q27" s="245">
        <f t="shared" si="0"/>
        <v>0.57499999999999996</v>
      </c>
      <c r="R27" s="208">
        <v>14.6</v>
      </c>
      <c r="S27" s="208">
        <v>128</v>
      </c>
      <c r="T27" s="217">
        <f t="shared" si="1"/>
        <v>27</v>
      </c>
      <c r="U27" s="208">
        <v>149</v>
      </c>
      <c r="V27" s="217">
        <f t="shared" si="2"/>
        <v>4023</v>
      </c>
      <c r="W27" s="208">
        <v>2</v>
      </c>
      <c r="X27" s="55" t="s">
        <v>46</v>
      </c>
      <c r="Y27" s="55" t="s">
        <v>88</v>
      </c>
      <c r="Z27" s="216" t="s">
        <v>78</v>
      </c>
      <c r="AA27" s="55" t="s">
        <v>102</v>
      </c>
      <c r="AB27" s="39" t="s">
        <v>340</v>
      </c>
      <c r="AP27" s="239" t="s">
        <v>118</v>
      </c>
    </row>
    <row r="28" spans="1:48" x14ac:dyDescent="0.15">
      <c r="A28" s="55" t="s">
        <v>56</v>
      </c>
      <c r="B28" s="55" t="s">
        <v>381</v>
      </c>
      <c r="C28" s="216">
        <v>2018</v>
      </c>
      <c r="D28" s="86" t="s">
        <v>382</v>
      </c>
      <c r="E28" s="216" t="s">
        <v>315</v>
      </c>
      <c r="F28" s="216" t="s">
        <v>182</v>
      </c>
      <c r="G28" s="55" t="s">
        <v>42</v>
      </c>
      <c r="H28" s="216" t="s">
        <v>165</v>
      </c>
      <c r="I28" s="55" t="s">
        <v>155</v>
      </c>
      <c r="J28" s="216" t="s">
        <v>38</v>
      </c>
      <c r="K28" s="216" t="s">
        <v>156</v>
      </c>
      <c r="L28" s="208">
        <v>3</v>
      </c>
      <c r="N28" s="208">
        <v>1</v>
      </c>
      <c r="O28" s="208">
        <v>0.55000000000000004</v>
      </c>
      <c r="P28" s="208">
        <v>0.5</v>
      </c>
      <c r="Q28" s="245">
        <f t="shared" si="0"/>
        <v>0.52500000000000002</v>
      </c>
      <c r="R28" s="208">
        <v>14.8</v>
      </c>
      <c r="S28" s="208">
        <v>139</v>
      </c>
      <c r="T28" s="217">
        <f t="shared" si="1"/>
        <v>22</v>
      </c>
      <c r="U28" s="208">
        <v>149</v>
      </c>
      <c r="V28" s="217">
        <f t="shared" si="2"/>
        <v>3278</v>
      </c>
      <c r="W28" s="208">
        <v>2</v>
      </c>
      <c r="X28" s="55" t="s">
        <v>46</v>
      </c>
      <c r="Y28" s="55" t="s">
        <v>88</v>
      </c>
      <c r="Z28" s="216" t="s">
        <v>78</v>
      </c>
      <c r="AA28" s="55" t="s">
        <v>102</v>
      </c>
      <c r="AB28" s="39" t="s">
        <v>340</v>
      </c>
    </row>
    <row r="29" spans="1:48" x14ac:dyDescent="0.15">
      <c r="A29" s="55" t="s">
        <v>56</v>
      </c>
      <c r="B29" s="55" t="s">
        <v>381</v>
      </c>
      <c r="C29" s="216">
        <v>2018</v>
      </c>
      <c r="D29" s="86" t="s">
        <v>382</v>
      </c>
      <c r="E29" s="216" t="s">
        <v>396</v>
      </c>
      <c r="F29" s="216" t="s">
        <v>182</v>
      </c>
      <c r="G29" s="55" t="s">
        <v>42</v>
      </c>
      <c r="H29" s="216" t="s">
        <v>157</v>
      </c>
      <c r="I29" s="55" t="s">
        <v>155</v>
      </c>
      <c r="J29" s="216" t="s">
        <v>38</v>
      </c>
      <c r="K29" s="216" t="s">
        <v>156</v>
      </c>
      <c r="L29" s="208">
        <v>1</v>
      </c>
      <c r="N29" s="208">
        <v>1</v>
      </c>
      <c r="O29" s="208">
        <v>1.05</v>
      </c>
      <c r="P29" s="208">
        <v>1.1000000000000001</v>
      </c>
      <c r="Q29" s="217">
        <f t="shared" si="0"/>
        <v>1.0750000000000002</v>
      </c>
      <c r="R29" s="208">
        <v>16.100000000000001</v>
      </c>
      <c r="S29" s="208">
        <v>128</v>
      </c>
      <c r="T29" s="217">
        <f t="shared" si="1"/>
        <v>27</v>
      </c>
      <c r="U29" s="208">
        <v>138</v>
      </c>
      <c r="V29" s="217">
        <f t="shared" si="2"/>
        <v>3726</v>
      </c>
      <c r="W29" s="208">
        <v>1</v>
      </c>
      <c r="X29" s="55" t="s">
        <v>39</v>
      </c>
      <c r="Y29" s="55" t="s">
        <v>88</v>
      </c>
      <c r="Z29" s="216" t="s">
        <v>78</v>
      </c>
      <c r="AA29" s="55" t="s">
        <v>102</v>
      </c>
      <c r="AB29" s="39" t="s">
        <v>340</v>
      </c>
    </row>
    <row r="30" spans="1:48" x14ac:dyDescent="0.15">
      <c r="A30" s="55" t="s">
        <v>56</v>
      </c>
      <c r="B30" s="55" t="s">
        <v>381</v>
      </c>
      <c r="C30" s="216">
        <v>2018</v>
      </c>
      <c r="D30" s="86" t="s">
        <v>382</v>
      </c>
      <c r="E30" s="216" t="s">
        <v>396</v>
      </c>
      <c r="F30" s="216" t="s">
        <v>182</v>
      </c>
      <c r="G30" s="55" t="s">
        <v>42</v>
      </c>
      <c r="H30" s="216" t="s">
        <v>157</v>
      </c>
      <c r="I30" s="55" t="s">
        <v>155</v>
      </c>
      <c r="J30" s="216" t="s">
        <v>38</v>
      </c>
      <c r="K30" s="216" t="s">
        <v>156</v>
      </c>
      <c r="L30" s="208">
        <v>2</v>
      </c>
      <c r="N30" s="208">
        <v>1</v>
      </c>
      <c r="O30" s="208">
        <v>0.95</v>
      </c>
      <c r="P30" s="208">
        <v>0.85</v>
      </c>
      <c r="Q30" s="217">
        <f t="shared" si="0"/>
        <v>0.89999999999999991</v>
      </c>
      <c r="R30" s="208">
        <v>15.6</v>
      </c>
      <c r="S30" s="208">
        <v>133</v>
      </c>
      <c r="T30" s="217">
        <f t="shared" si="1"/>
        <v>25</v>
      </c>
      <c r="U30" s="208">
        <v>138</v>
      </c>
      <c r="V30" s="217">
        <f t="shared" si="2"/>
        <v>3450</v>
      </c>
      <c r="W30" s="208">
        <v>1</v>
      </c>
      <c r="X30" s="55" t="s">
        <v>39</v>
      </c>
      <c r="Y30" s="55" t="s">
        <v>88</v>
      </c>
      <c r="Z30" s="216" t="s">
        <v>78</v>
      </c>
      <c r="AA30" s="55" t="s">
        <v>102</v>
      </c>
      <c r="AB30" s="39" t="s">
        <v>340</v>
      </c>
    </row>
    <row r="31" spans="1:48" x14ac:dyDescent="0.15">
      <c r="A31" s="55" t="s">
        <v>56</v>
      </c>
      <c r="B31" s="55" t="s">
        <v>381</v>
      </c>
      <c r="C31" s="216">
        <v>2018</v>
      </c>
      <c r="D31" s="86" t="s">
        <v>382</v>
      </c>
      <c r="E31" s="216" t="s">
        <v>396</v>
      </c>
      <c r="F31" s="216" t="s">
        <v>182</v>
      </c>
      <c r="G31" s="55" t="s">
        <v>42</v>
      </c>
      <c r="H31" s="216" t="s">
        <v>157</v>
      </c>
      <c r="I31" s="55" t="s">
        <v>155</v>
      </c>
      <c r="J31" s="216" t="s">
        <v>38</v>
      </c>
      <c r="K31" s="216" t="s">
        <v>156</v>
      </c>
      <c r="L31" s="208">
        <v>3</v>
      </c>
      <c r="N31" s="208">
        <v>1</v>
      </c>
      <c r="O31" s="208">
        <v>1</v>
      </c>
      <c r="P31" s="208">
        <v>0.95</v>
      </c>
      <c r="Q31" s="217">
        <f t="shared" si="0"/>
        <v>0.97499999999999998</v>
      </c>
      <c r="R31" s="208">
        <v>13.5</v>
      </c>
      <c r="S31" s="208">
        <v>130</v>
      </c>
      <c r="T31" s="217">
        <f t="shared" si="1"/>
        <v>25</v>
      </c>
      <c r="U31" s="208">
        <v>138</v>
      </c>
      <c r="V31" s="217">
        <f t="shared" si="2"/>
        <v>3450</v>
      </c>
      <c r="W31" s="208">
        <v>1</v>
      </c>
      <c r="X31" s="55" t="s">
        <v>39</v>
      </c>
      <c r="Y31" s="55" t="s">
        <v>88</v>
      </c>
      <c r="Z31" s="216" t="s">
        <v>78</v>
      </c>
      <c r="AA31" s="55" t="s">
        <v>102</v>
      </c>
      <c r="AB31" s="39" t="s">
        <v>340</v>
      </c>
    </row>
    <row r="32" spans="1:48" x14ac:dyDescent="0.15">
      <c r="A32" s="55" t="s">
        <v>56</v>
      </c>
      <c r="B32" s="55" t="s">
        <v>381</v>
      </c>
      <c r="C32" s="216">
        <v>2018</v>
      </c>
      <c r="D32" s="86" t="s">
        <v>382</v>
      </c>
      <c r="E32" s="216" t="s">
        <v>396</v>
      </c>
      <c r="F32" s="216" t="s">
        <v>182</v>
      </c>
      <c r="G32" s="55" t="s">
        <v>42</v>
      </c>
      <c r="H32" s="216" t="s">
        <v>165</v>
      </c>
      <c r="I32" s="55" t="s">
        <v>155</v>
      </c>
      <c r="J32" s="216" t="s">
        <v>38</v>
      </c>
      <c r="K32" s="216" t="s">
        <v>156</v>
      </c>
      <c r="L32" s="208">
        <v>1</v>
      </c>
      <c r="N32" s="208">
        <v>1</v>
      </c>
      <c r="O32" s="208">
        <v>0.65</v>
      </c>
      <c r="P32" s="208">
        <v>0.65</v>
      </c>
      <c r="Q32" s="217">
        <f t="shared" si="0"/>
        <v>0.65</v>
      </c>
      <c r="R32" s="208">
        <v>17.100000000000001</v>
      </c>
      <c r="S32" s="208">
        <v>126</v>
      </c>
      <c r="T32" s="217">
        <f t="shared" si="1"/>
        <v>27</v>
      </c>
      <c r="U32" s="208">
        <v>178</v>
      </c>
      <c r="V32" s="217">
        <f t="shared" si="2"/>
        <v>4806</v>
      </c>
      <c r="W32" s="208">
        <v>1</v>
      </c>
      <c r="X32" s="55" t="s">
        <v>39</v>
      </c>
      <c r="Y32" s="55" t="s">
        <v>88</v>
      </c>
      <c r="Z32" s="216" t="s">
        <v>78</v>
      </c>
      <c r="AA32" s="55" t="s">
        <v>102</v>
      </c>
      <c r="AB32" s="39" t="s">
        <v>340</v>
      </c>
    </row>
    <row r="33" spans="1:28" x14ac:dyDescent="0.15">
      <c r="A33" s="55" t="s">
        <v>56</v>
      </c>
      <c r="B33" s="55" t="s">
        <v>381</v>
      </c>
      <c r="C33" s="216">
        <v>2018</v>
      </c>
      <c r="D33" s="86" t="s">
        <v>382</v>
      </c>
      <c r="E33" s="216" t="s">
        <v>396</v>
      </c>
      <c r="F33" s="216" t="s">
        <v>182</v>
      </c>
      <c r="G33" s="55" t="s">
        <v>42</v>
      </c>
      <c r="H33" s="216" t="s">
        <v>165</v>
      </c>
      <c r="I33" s="55" t="s">
        <v>155</v>
      </c>
      <c r="J33" s="216" t="s">
        <v>38</v>
      </c>
      <c r="K33" s="216" t="s">
        <v>156</v>
      </c>
      <c r="L33" s="208">
        <v>2</v>
      </c>
      <c r="N33" s="208">
        <v>1</v>
      </c>
      <c r="O33" s="208">
        <v>0.65</v>
      </c>
      <c r="P33" s="208">
        <v>0.65</v>
      </c>
      <c r="Q33" s="217">
        <f t="shared" si="0"/>
        <v>0.65</v>
      </c>
      <c r="R33" s="208">
        <v>13.1</v>
      </c>
      <c r="S33" s="208">
        <v>129</v>
      </c>
      <c r="T33" s="217">
        <f t="shared" si="1"/>
        <v>25</v>
      </c>
      <c r="U33" s="208">
        <v>178</v>
      </c>
      <c r="V33" s="217">
        <f t="shared" si="2"/>
        <v>4450</v>
      </c>
      <c r="W33" s="208">
        <v>1</v>
      </c>
      <c r="X33" s="55" t="s">
        <v>39</v>
      </c>
      <c r="Y33" s="55" t="s">
        <v>88</v>
      </c>
      <c r="Z33" s="216" t="s">
        <v>78</v>
      </c>
      <c r="AA33" s="55" t="s">
        <v>102</v>
      </c>
      <c r="AB33" s="39" t="s">
        <v>340</v>
      </c>
    </row>
    <row r="34" spans="1:28" x14ac:dyDescent="0.15">
      <c r="A34" s="55" t="s">
        <v>56</v>
      </c>
      <c r="B34" s="55" t="s">
        <v>381</v>
      </c>
      <c r="C34" s="216">
        <v>2018</v>
      </c>
      <c r="D34" s="86" t="s">
        <v>382</v>
      </c>
      <c r="E34" s="216" t="s">
        <v>396</v>
      </c>
      <c r="F34" s="216" t="s">
        <v>182</v>
      </c>
      <c r="G34" s="55" t="s">
        <v>42</v>
      </c>
      <c r="H34" s="216" t="s">
        <v>165</v>
      </c>
      <c r="I34" s="55" t="s">
        <v>155</v>
      </c>
      <c r="J34" s="216" t="s">
        <v>38</v>
      </c>
      <c r="K34" s="216" t="s">
        <v>156</v>
      </c>
      <c r="L34" s="208">
        <v>3</v>
      </c>
      <c r="N34" s="208">
        <v>1</v>
      </c>
      <c r="O34" s="208">
        <v>0.7</v>
      </c>
      <c r="P34" s="208">
        <v>0.7</v>
      </c>
      <c r="Q34" s="217">
        <f t="shared" si="0"/>
        <v>0.7</v>
      </c>
      <c r="R34" s="208">
        <v>13.6</v>
      </c>
      <c r="S34" s="208">
        <v>134</v>
      </c>
      <c r="T34" s="217">
        <f t="shared" si="1"/>
        <v>25</v>
      </c>
      <c r="U34" s="208">
        <v>178</v>
      </c>
      <c r="V34" s="217">
        <f t="shared" si="2"/>
        <v>4450</v>
      </c>
      <c r="W34" s="208">
        <v>1</v>
      </c>
      <c r="X34" s="55" t="s">
        <v>39</v>
      </c>
      <c r="Y34" s="55" t="s">
        <v>88</v>
      </c>
      <c r="Z34" s="216" t="s">
        <v>78</v>
      </c>
      <c r="AA34" s="55" t="s">
        <v>102</v>
      </c>
      <c r="AB34" s="39" t="s">
        <v>340</v>
      </c>
    </row>
    <row r="35" spans="1:28" x14ac:dyDescent="0.15">
      <c r="A35" s="55" t="s">
        <v>56</v>
      </c>
      <c r="B35" s="55" t="s">
        <v>381</v>
      </c>
      <c r="C35" s="216">
        <v>2018</v>
      </c>
      <c r="D35" s="86" t="s">
        <v>382</v>
      </c>
      <c r="E35" s="216" t="s">
        <v>183</v>
      </c>
      <c r="F35" s="216" t="s">
        <v>392</v>
      </c>
      <c r="G35" s="55" t="s">
        <v>42</v>
      </c>
      <c r="H35" s="216" t="s">
        <v>165</v>
      </c>
      <c r="I35" s="55" t="s">
        <v>158</v>
      </c>
      <c r="J35" s="216" t="s">
        <v>38</v>
      </c>
      <c r="K35" s="216" t="s">
        <v>156</v>
      </c>
      <c r="L35" s="208">
        <v>1</v>
      </c>
      <c r="N35" s="208">
        <v>1</v>
      </c>
      <c r="O35" s="208">
        <v>0.65</v>
      </c>
      <c r="P35" s="208">
        <v>0.65</v>
      </c>
      <c r="Q35" s="217">
        <f t="shared" si="0"/>
        <v>0.65</v>
      </c>
      <c r="R35" s="208">
        <v>14.4</v>
      </c>
      <c r="S35" s="208">
        <v>127</v>
      </c>
      <c r="T35" s="217">
        <f t="shared" si="1"/>
        <v>27</v>
      </c>
      <c r="U35" s="208">
        <v>172</v>
      </c>
      <c r="V35" s="217">
        <f t="shared" si="2"/>
        <v>4644</v>
      </c>
      <c r="W35" s="208">
        <v>5</v>
      </c>
      <c r="X35" s="55" t="s">
        <v>39</v>
      </c>
      <c r="Y35" s="55" t="s">
        <v>106</v>
      </c>
      <c r="Z35" s="208" t="s">
        <v>55</v>
      </c>
      <c r="AA35" s="55" t="s">
        <v>90</v>
      </c>
      <c r="AB35" s="39" t="s">
        <v>340</v>
      </c>
    </row>
    <row r="36" spans="1:28" x14ac:dyDescent="0.15">
      <c r="A36" s="55" t="s">
        <v>56</v>
      </c>
      <c r="B36" s="55" t="s">
        <v>381</v>
      </c>
      <c r="C36" s="216">
        <v>2018</v>
      </c>
      <c r="D36" s="86" t="s">
        <v>382</v>
      </c>
      <c r="E36" s="216" t="s">
        <v>183</v>
      </c>
      <c r="F36" s="216" t="s">
        <v>392</v>
      </c>
      <c r="G36" s="55" t="s">
        <v>42</v>
      </c>
      <c r="H36" s="216" t="s">
        <v>165</v>
      </c>
      <c r="I36" s="55" t="s">
        <v>158</v>
      </c>
      <c r="J36" s="216" t="s">
        <v>38</v>
      </c>
      <c r="K36" s="216" t="s">
        <v>156</v>
      </c>
      <c r="L36" s="208">
        <v>2</v>
      </c>
      <c r="N36" s="208">
        <v>1</v>
      </c>
      <c r="O36" s="208">
        <v>0.55000000000000004</v>
      </c>
      <c r="P36" s="208">
        <v>0.55000000000000004</v>
      </c>
      <c r="Q36" s="217">
        <f t="shared" si="0"/>
        <v>0.55000000000000004</v>
      </c>
      <c r="R36" s="208">
        <v>16.5</v>
      </c>
      <c r="S36" s="208">
        <v>127</v>
      </c>
      <c r="T36" s="217">
        <f t="shared" si="1"/>
        <v>27</v>
      </c>
      <c r="U36" s="208">
        <v>172</v>
      </c>
      <c r="V36" s="217">
        <f t="shared" si="2"/>
        <v>4644</v>
      </c>
      <c r="W36" s="208">
        <v>5</v>
      </c>
      <c r="X36" s="55" t="s">
        <v>39</v>
      </c>
      <c r="Y36" s="55" t="s">
        <v>106</v>
      </c>
      <c r="Z36" s="208" t="s">
        <v>55</v>
      </c>
      <c r="AA36" s="55" t="s">
        <v>90</v>
      </c>
      <c r="AB36" s="39" t="s">
        <v>340</v>
      </c>
    </row>
    <row r="37" spans="1:28" x14ac:dyDescent="0.15">
      <c r="A37" s="55" t="s">
        <v>56</v>
      </c>
      <c r="B37" s="55" t="s">
        <v>381</v>
      </c>
      <c r="C37" s="216">
        <v>2018</v>
      </c>
      <c r="D37" s="86" t="s">
        <v>382</v>
      </c>
      <c r="E37" s="216" t="s">
        <v>183</v>
      </c>
      <c r="F37" s="216" t="s">
        <v>392</v>
      </c>
      <c r="G37" s="55" t="s">
        <v>42</v>
      </c>
      <c r="H37" s="216" t="s">
        <v>165</v>
      </c>
      <c r="I37" s="55" t="s">
        <v>158</v>
      </c>
      <c r="J37" s="216" t="s">
        <v>38</v>
      </c>
      <c r="K37" s="216" t="s">
        <v>156</v>
      </c>
      <c r="L37" s="208">
        <v>3</v>
      </c>
      <c r="N37" s="208">
        <v>1</v>
      </c>
      <c r="O37" s="208">
        <v>0.6</v>
      </c>
      <c r="P37" s="208">
        <v>0.6</v>
      </c>
      <c r="Q37" s="217">
        <f t="shared" si="0"/>
        <v>0.6</v>
      </c>
      <c r="R37" s="208">
        <v>16.100000000000001</v>
      </c>
      <c r="S37" s="208">
        <v>130</v>
      </c>
      <c r="T37" s="217">
        <f t="shared" si="1"/>
        <v>25</v>
      </c>
      <c r="U37" s="208">
        <v>172</v>
      </c>
      <c r="V37" s="217">
        <f t="shared" si="2"/>
        <v>4300</v>
      </c>
      <c r="W37" s="208">
        <v>5</v>
      </c>
      <c r="X37" s="55" t="s">
        <v>39</v>
      </c>
      <c r="Y37" s="55" t="s">
        <v>106</v>
      </c>
      <c r="Z37" s="208" t="s">
        <v>55</v>
      </c>
      <c r="AA37" s="55" t="s">
        <v>90</v>
      </c>
      <c r="AB37" s="39" t="s">
        <v>340</v>
      </c>
    </row>
    <row r="38" spans="1:28" x14ac:dyDescent="0.15">
      <c r="A38" s="55" t="s">
        <v>56</v>
      </c>
      <c r="B38" s="55" t="s">
        <v>381</v>
      </c>
      <c r="C38" s="216">
        <v>2018</v>
      </c>
      <c r="D38" s="86" t="s">
        <v>382</v>
      </c>
      <c r="E38" s="216" t="s">
        <v>315</v>
      </c>
      <c r="F38" s="216" t="s">
        <v>392</v>
      </c>
      <c r="G38" s="55" t="s">
        <v>42</v>
      </c>
      <c r="H38" s="216" t="s">
        <v>157</v>
      </c>
      <c r="I38" s="55" t="s">
        <v>155</v>
      </c>
      <c r="J38" s="216" t="s">
        <v>38</v>
      </c>
      <c r="K38" s="216" t="s">
        <v>156</v>
      </c>
      <c r="L38" s="208">
        <v>1</v>
      </c>
      <c r="N38" s="208">
        <v>1</v>
      </c>
      <c r="O38" s="208">
        <v>0.6</v>
      </c>
      <c r="P38" s="208">
        <v>0.6</v>
      </c>
      <c r="Q38" s="217">
        <f t="shared" si="0"/>
        <v>0.6</v>
      </c>
      <c r="R38" s="208">
        <v>13.2</v>
      </c>
      <c r="S38" s="208">
        <v>119</v>
      </c>
      <c r="T38" s="217">
        <f t="shared" si="1"/>
        <v>30</v>
      </c>
      <c r="U38" s="208">
        <v>105</v>
      </c>
      <c r="V38" s="217">
        <f t="shared" si="2"/>
        <v>3150</v>
      </c>
      <c r="W38" s="208">
        <v>3</v>
      </c>
      <c r="X38" s="55" t="s">
        <v>46</v>
      </c>
      <c r="Y38" s="55" t="s">
        <v>97</v>
      </c>
      <c r="Z38" s="208" t="s">
        <v>88</v>
      </c>
      <c r="AA38" s="55" t="s">
        <v>78</v>
      </c>
      <c r="AB38" s="39" t="s">
        <v>340</v>
      </c>
    </row>
    <row r="39" spans="1:28" x14ac:dyDescent="0.15">
      <c r="A39" s="55" t="s">
        <v>56</v>
      </c>
      <c r="B39" s="55" t="s">
        <v>381</v>
      </c>
      <c r="C39" s="216">
        <v>2018</v>
      </c>
      <c r="D39" s="86" t="s">
        <v>382</v>
      </c>
      <c r="E39" s="216" t="s">
        <v>315</v>
      </c>
      <c r="F39" s="216" t="s">
        <v>392</v>
      </c>
      <c r="G39" s="55" t="s">
        <v>42</v>
      </c>
      <c r="H39" s="216" t="s">
        <v>157</v>
      </c>
      <c r="I39" s="55" t="s">
        <v>155</v>
      </c>
      <c r="J39" s="216" t="s">
        <v>38</v>
      </c>
      <c r="K39" s="216" t="s">
        <v>156</v>
      </c>
      <c r="L39" s="208">
        <v>2</v>
      </c>
      <c r="N39" s="208">
        <v>1</v>
      </c>
      <c r="O39" s="208">
        <v>0.75</v>
      </c>
      <c r="P39" s="208">
        <v>0.75</v>
      </c>
      <c r="Q39" s="217">
        <f t="shared" si="0"/>
        <v>0.75</v>
      </c>
      <c r="R39" s="208">
        <v>12.6</v>
      </c>
      <c r="S39" s="208">
        <v>118</v>
      </c>
      <c r="T39" s="217">
        <f t="shared" si="1"/>
        <v>30</v>
      </c>
      <c r="U39" s="208">
        <v>105</v>
      </c>
      <c r="V39" s="217">
        <f t="shared" si="2"/>
        <v>3150</v>
      </c>
      <c r="W39" s="208">
        <v>3</v>
      </c>
      <c r="X39" s="55" t="s">
        <v>46</v>
      </c>
      <c r="Y39" s="55" t="s">
        <v>97</v>
      </c>
      <c r="Z39" s="208" t="s">
        <v>88</v>
      </c>
      <c r="AA39" s="55" t="s">
        <v>78</v>
      </c>
      <c r="AB39" s="39" t="s">
        <v>340</v>
      </c>
    </row>
    <row r="40" spans="1:28" x14ac:dyDescent="0.15">
      <c r="A40" s="55" t="s">
        <v>56</v>
      </c>
      <c r="B40" s="55" t="s">
        <v>381</v>
      </c>
      <c r="C40" s="216">
        <v>2018</v>
      </c>
      <c r="D40" s="86" t="s">
        <v>382</v>
      </c>
      <c r="E40" s="216" t="s">
        <v>315</v>
      </c>
      <c r="F40" s="216" t="s">
        <v>392</v>
      </c>
      <c r="G40" s="55" t="s">
        <v>42</v>
      </c>
      <c r="H40" s="216" t="s">
        <v>157</v>
      </c>
      <c r="I40" s="55" t="s">
        <v>155</v>
      </c>
      <c r="J40" s="216" t="s">
        <v>38</v>
      </c>
      <c r="K40" s="216" t="s">
        <v>156</v>
      </c>
      <c r="L40" s="208">
        <v>3</v>
      </c>
      <c r="N40" s="208">
        <v>1</v>
      </c>
      <c r="O40" s="208">
        <v>0.85</v>
      </c>
      <c r="P40" s="208">
        <v>0.85</v>
      </c>
      <c r="Q40" s="217">
        <f t="shared" si="0"/>
        <v>0.85</v>
      </c>
      <c r="R40" s="208">
        <v>13.1</v>
      </c>
      <c r="S40" s="208">
        <v>121</v>
      </c>
      <c r="T40" s="217">
        <f t="shared" si="1"/>
        <v>27</v>
      </c>
      <c r="U40" s="208">
        <v>105</v>
      </c>
      <c r="V40" s="217">
        <f t="shared" si="2"/>
        <v>2835</v>
      </c>
      <c r="W40" s="208">
        <v>3</v>
      </c>
      <c r="X40" s="55" t="s">
        <v>46</v>
      </c>
      <c r="Y40" s="55" t="s">
        <v>97</v>
      </c>
      <c r="Z40" s="208" t="s">
        <v>88</v>
      </c>
      <c r="AA40" s="55" t="s">
        <v>78</v>
      </c>
      <c r="AB40" s="39" t="s">
        <v>340</v>
      </c>
    </row>
    <row r="41" spans="1:28" x14ac:dyDescent="0.15">
      <c r="A41" s="55" t="s">
        <v>56</v>
      </c>
      <c r="B41" s="55" t="s">
        <v>381</v>
      </c>
      <c r="C41" s="216">
        <v>2018</v>
      </c>
      <c r="D41" s="86" t="s">
        <v>382</v>
      </c>
      <c r="E41" s="216" t="s">
        <v>315</v>
      </c>
      <c r="F41" s="216" t="s">
        <v>392</v>
      </c>
      <c r="G41" s="55" t="s">
        <v>42</v>
      </c>
      <c r="H41" s="216" t="s">
        <v>165</v>
      </c>
      <c r="I41" s="55" t="s">
        <v>155</v>
      </c>
      <c r="J41" s="216" t="s">
        <v>38</v>
      </c>
      <c r="K41" s="216" t="s">
        <v>156</v>
      </c>
      <c r="L41" s="208">
        <v>1</v>
      </c>
      <c r="N41" s="208">
        <v>1</v>
      </c>
      <c r="O41" s="208">
        <v>0.75</v>
      </c>
      <c r="P41" s="208">
        <v>0.75</v>
      </c>
      <c r="Q41" s="217">
        <f t="shared" si="0"/>
        <v>0.75</v>
      </c>
      <c r="R41" s="208">
        <v>17</v>
      </c>
      <c r="S41" s="208">
        <v>130</v>
      </c>
      <c r="T41" s="217">
        <f t="shared" si="1"/>
        <v>25</v>
      </c>
      <c r="U41" s="208">
        <v>149</v>
      </c>
      <c r="V41" s="217">
        <f t="shared" si="2"/>
        <v>3725</v>
      </c>
      <c r="W41" s="208">
        <v>2</v>
      </c>
      <c r="X41" s="55" t="s">
        <v>46</v>
      </c>
      <c r="Y41" s="55" t="s">
        <v>97</v>
      </c>
      <c r="Z41" s="208" t="s">
        <v>88</v>
      </c>
      <c r="AA41" s="55" t="s">
        <v>78</v>
      </c>
      <c r="AB41" s="39" t="s">
        <v>340</v>
      </c>
    </row>
    <row r="42" spans="1:28" x14ac:dyDescent="0.15">
      <c r="A42" s="55" t="s">
        <v>56</v>
      </c>
      <c r="B42" s="55" t="s">
        <v>381</v>
      </c>
      <c r="C42" s="216">
        <v>2018</v>
      </c>
      <c r="D42" s="86" t="s">
        <v>382</v>
      </c>
      <c r="E42" s="216" t="s">
        <v>315</v>
      </c>
      <c r="F42" s="216" t="s">
        <v>392</v>
      </c>
      <c r="G42" s="55" t="s">
        <v>42</v>
      </c>
      <c r="H42" s="216" t="s">
        <v>165</v>
      </c>
      <c r="I42" s="55" t="s">
        <v>155</v>
      </c>
      <c r="J42" s="216" t="s">
        <v>38</v>
      </c>
      <c r="K42" s="216" t="s">
        <v>156</v>
      </c>
      <c r="L42" s="208">
        <v>2</v>
      </c>
      <c r="N42" s="208">
        <v>1</v>
      </c>
      <c r="O42" s="208">
        <v>0.65</v>
      </c>
      <c r="P42" s="208">
        <v>0.65</v>
      </c>
      <c r="Q42" s="217">
        <f t="shared" si="0"/>
        <v>0.65</v>
      </c>
      <c r="R42" s="208">
        <v>16</v>
      </c>
      <c r="S42" s="208">
        <v>128</v>
      </c>
      <c r="T42" s="217">
        <f t="shared" si="1"/>
        <v>27</v>
      </c>
      <c r="U42" s="208">
        <v>149</v>
      </c>
      <c r="V42" s="217">
        <f t="shared" si="2"/>
        <v>4023</v>
      </c>
      <c r="W42" s="208">
        <v>2</v>
      </c>
      <c r="X42" s="55" t="s">
        <v>46</v>
      </c>
      <c r="Y42" s="55" t="s">
        <v>97</v>
      </c>
      <c r="Z42" s="208" t="s">
        <v>88</v>
      </c>
      <c r="AA42" s="55" t="s">
        <v>78</v>
      </c>
      <c r="AB42" s="39" t="s">
        <v>340</v>
      </c>
    </row>
    <row r="43" spans="1:28" x14ac:dyDescent="0.15">
      <c r="A43" s="55" t="s">
        <v>56</v>
      </c>
      <c r="B43" s="55" t="s">
        <v>381</v>
      </c>
      <c r="C43" s="216">
        <v>2018</v>
      </c>
      <c r="D43" s="86" t="s">
        <v>382</v>
      </c>
      <c r="E43" s="216" t="s">
        <v>315</v>
      </c>
      <c r="F43" s="216" t="s">
        <v>392</v>
      </c>
      <c r="G43" s="55" t="s">
        <v>42</v>
      </c>
      <c r="H43" s="216" t="s">
        <v>165</v>
      </c>
      <c r="I43" s="55" t="s">
        <v>155</v>
      </c>
      <c r="J43" s="216" t="s">
        <v>38</v>
      </c>
      <c r="K43" s="216" t="s">
        <v>156</v>
      </c>
      <c r="L43" s="208">
        <v>3</v>
      </c>
      <c r="N43" s="208">
        <v>1</v>
      </c>
      <c r="O43" s="208">
        <v>0.65</v>
      </c>
      <c r="P43" s="208">
        <v>0.65</v>
      </c>
      <c r="Q43" s="217">
        <f t="shared" si="0"/>
        <v>0.65</v>
      </c>
      <c r="R43" s="208">
        <v>14.9</v>
      </c>
      <c r="S43" s="208">
        <v>130</v>
      </c>
      <c r="T43" s="217">
        <f t="shared" si="1"/>
        <v>25</v>
      </c>
      <c r="U43" s="208">
        <v>149</v>
      </c>
      <c r="V43" s="217">
        <f t="shared" si="2"/>
        <v>3725</v>
      </c>
      <c r="W43" s="208">
        <v>2</v>
      </c>
      <c r="X43" s="55" t="s">
        <v>46</v>
      </c>
      <c r="Y43" s="55" t="s">
        <v>97</v>
      </c>
      <c r="Z43" s="208" t="s">
        <v>88</v>
      </c>
      <c r="AA43" s="55" t="s">
        <v>78</v>
      </c>
      <c r="AB43" s="39" t="s">
        <v>340</v>
      </c>
    </row>
    <row r="44" spans="1:28" x14ac:dyDescent="0.15">
      <c r="A44" s="55" t="s">
        <v>56</v>
      </c>
      <c r="B44" s="55" t="s">
        <v>381</v>
      </c>
      <c r="C44" s="216">
        <v>2018</v>
      </c>
      <c r="D44" s="86" t="s">
        <v>382</v>
      </c>
      <c r="E44" s="216" t="s">
        <v>363</v>
      </c>
      <c r="F44" s="216" t="s">
        <v>392</v>
      </c>
      <c r="G44" s="55" t="s">
        <v>42</v>
      </c>
      <c r="H44" s="216" t="s">
        <v>157</v>
      </c>
      <c r="I44" s="55" t="s">
        <v>155</v>
      </c>
      <c r="J44" s="216" t="s">
        <v>38</v>
      </c>
      <c r="K44" s="216" t="s">
        <v>156</v>
      </c>
      <c r="L44" s="208">
        <v>1</v>
      </c>
      <c r="N44" s="208">
        <v>1</v>
      </c>
      <c r="O44" s="208">
        <v>0.6</v>
      </c>
      <c r="P44" s="208">
        <v>0.6</v>
      </c>
      <c r="Q44" s="217">
        <f t="shared" si="0"/>
        <v>0.6</v>
      </c>
      <c r="R44" s="208">
        <v>13.6</v>
      </c>
      <c r="S44" s="208">
        <v>147</v>
      </c>
      <c r="T44" s="217">
        <f t="shared" si="1"/>
        <v>22</v>
      </c>
      <c r="U44" s="208">
        <v>138</v>
      </c>
      <c r="V44" s="217">
        <f t="shared" si="2"/>
        <v>3036</v>
      </c>
      <c r="W44" s="208">
        <v>4</v>
      </c>
      <c r="X44" s="55" t="s">
        <v>46</v>
      </c>
      <c r="Y44" s="55" t="s">
        <v>88</v>
      </c>
      <c r="Z44" s="208" t="s">
        <v>78</v>
      </c>
      <c r="AA44" s="55" t="s">
        <v>97</v>
      </c>
      <c r="AB44" s="39" t="s">
        <v>340</v>
      </c>
    </row>
    <row r="45" spans="1:28" x14ac:dyDescent="0.15">
      <c r="A45" s="55" t="s">
        <v>56</v>
      </c>
      <c r="B45" s="55" t="s">
        <v>381</v>
      </c>
      <c r="C45" s="216">
        <v>2018</v>
      </c>
      <c r="D45" s="86" t="s">
        <v>382</v>
      </c>
      <c r="E45" s="216" t="s">
        <v>363</v>
      </c>
      <c r="F45" s="216" t="s">
        <v>392</v>
      </c>
      <c r="G45" s="55" t="s">
        <v>42</v>
      </c>
      <c r="H45" s="216" t="s">
        <v>157</v>
      </c>
      <c r="I45" s="55" t="s">
        <v>155</v>
      </c>
      <c r="J45" s="216" t="s">
        <v>38</v>
      </c>
      <c r="K45" s="216" t="s">
        <v>156</v>
      </c>
      <c r="L45" s="208">
        <v>2</v>
      </c>
      <c r="N45" s="208">
        <v>1</v>
      </c>
      <c r="O45" s="208">
        <v>0.75</v>
      </c>
      <c r="P45" s="208">
        <v>0.75</v>
      </c>
      <c r="Q45" s="217">
        <f t="shared" si="0"/>
        <v>0.75</v>
      </c>
      <c r="R45" s="208">
        <v>13.9</v>
      </c>
      <c r="S45" s="208">
        <v>132</v>
      </c>
      <c r="T45" s="217">
        <f t="shared" si="1"/>
        <v>25</v>
      </c>
      <c r="U45" s="208">
        <v>138</v>
      </c>
      <c r="V45" s="217">
        <f t="shared" si="2"/>
        <v>3450</v>
      </c>
      <c r="W45" s="208">
        <v>4</v>
      </c>
      <c r="X45" s="55" t="s">
        <v>46</v>
      </c>
      <c r="Y45" s="55" t="s">
        <v>88</v>
      </c>
      <c r="Z45" s="208" t="s">
        <v>78</v>
      </c>
      <c r="AA45" s="55" t="s">
        <v>97</v>
      </c>
      <c r="AB45" s="39" t="s">
        <v>340</v>
      </c>
    </row>
    <row r="46" spans="1:28" x14ac:dyDescent="0.15">
      <c r="A46" s="55" t="s">
        <v>56</v>
      </c>
      <c r="B46" s="55" t="s">
        <v>381</v>
      </c>
      <c r="C46" s="216">
        <v>2018</v>
      </c>
      <c r="D46" s="86" t="s">
        <v>382</v>
      </c>
      <c r="E46" s="216" t="s">
        <v>363</v>
      </c>
      <c r="F46" s="216" t="s">
        <v>392</v>
      </c>
      <c r="G46" s="55" t="s">
        <v>42</v>
      </c>
      <c r="H46" s="216" t="s">
        <v>157</v>
      </c>
      <c r="I46" s="55" t="s">
        <v>155</v>
      </c>
      <c r="J46" s="216" t="s">
        <v>38</v>
      </c>
      <c r="K46" s="216" t="s">
        <v>156</v>
      </c>
      <c r="L46" s="208">
        <v>3</v>
      </c>
      <c r="N46" s="208">
        <v>1</v>
      </c>
      <c r="O46" s="208">
        <v>0.75</v>
      </c>
      <c r="P46" s="208">
        <v>0.75</v>
      </c>
      <c r="Q46" s="217">
        <f t="shared" si="0"/>
        <v>0.75</v>
      </c>
      <c r="R46" s="208">
        <v>14.8</v>
      </c>
      <c r="S46" s="208">
        <v>138</v>
      </c>
      <c r="T46" s="217">
        <f t="shared" si="1"/>
        <v>22</v>
      </c>
      <c r="U46" s="208">
        <v>138</v>
      </c>
      <c r="V46" s="217">
        <f t="shared" si="2"/>
        <v>3036</v>
      </c>
      <c r="W46" s="208">
        <v>4</v>
      </c>
      <c r="X46" s="55" t="s">
        <v>46</v>
      </c>
      <c r="Y46" s="55" t="s">
        <v>88</v>
      </c>
      <c r="Z46" s="208" t="s">
        <v>78</v>
      </c>
      <c r="AA46" s="55" t="s">
        <v>97</v>
      </c>
      <c r="AB46" s="39" t="s">
        <v>340</v>
      </c>
    </row>
    <row r="47" spans="1:28" x14ac:dyDescent="0.15">
      <c r="A47" s="55" t="s">
        <v>56</v>
      </c>
      <c r="B47" s="55" t="s">
        <v>381</v>
      </c>
      <c r="C47" s="216">
        <v>2018</v>
      </c>
      <c r="D47" s="86" t="s">
        <v>382</v>
      </c>
      <c r="E47" s="216" t="s">
        <v>363</v>
      </c>
      <c r="F47" s="216" t="s">
        <v>392</v>
      </c>
      <c r="G47" s="55" t="s">
        <v>42</v>
      </c>
      <c r="H47" s="216" t="s">
        <v>157</v>
      </c>
      <c r="I47" s="55" t="s">
        <v>158</v>
      </c>
      <c r="J47" s="216" t="s">
        <v>38</v>
      </c>
      <c r="K47" s="216" t="s">
        <v>156</v>
      </c>
      <c r="L47" s="208">
        <v>1</v>
      </c>
      <c r="N47" s="208">
        <v>4</v>
      </c>
      <c r="O47" s="208">
        <v>0.5</v>
      </c>
      <c r="P47" s="208">
        <v>0.5</v>
      </c>
      <c r="Q47" s="217">
        <f t="shared" si="0"/>
        <v>0.5</v>
      </c>
      <c r="R47" s="208">
        <v>15.5</v>
      </c>
      <c r="S47" s="208">
        <v>106</v>
      </c>
      <c r="T47" s="217">
        <f t="shared" si="1"/>
        <v>33</v>
      </c>
      <c r="U47" s="208">
        <v>430</v>
      </c>
      <c r="V47" s="217">
        <f t="shared" si="2"/>
        <v>3547.5</v>
      </c>
      <c r="W47" s="208">
        <v>2</v>
      </c>
      <c r="X47" s="55" t="s">
        <v>46</v>
      </c>
      <c r="Y47" s="55" t="s">
        <v>88</v>
      </c>
      <c r="Z47" s="208" t="s">
        <v>78</v>
      </c>
      <c r="AA47" s="55" t="s">
        <v>97</v>
      </c>
      <c r="AB47" s="39" t="s">
        <v>340</v>
      </c>
    </row>
    <row r="48" spans="1:28" x14ac:dyDescent="0.15">
      <c r="A48" s="55" t="s">
        <v>56</v>
      </c>
      <c r="B48" s="55" t="s">
        <v>381</v>
      </c>
      <c r="C48" s="216">
        <v>2018</v>
      </c>
      <c r="D48" s="86" t="s">
        <v>382</v>
      </c>
      <c r="E48" s="216" t="s">
        <v>363</v>
      </c>
      <c r="F48" s="216" t="s">
        <v>392</v>
      </c>
      <c r="G48" s="55" t="s">
        <v>42</v>
      </c>
      <c r="H48" s="216" t="s">
        <v>157</v>
      </c>
      <c r="I48" s="55" t="s">
        <v>158</v>
      </c>
      <c r="J48" s="216" t="s">
        <v>38</v>
      </c>
      <c r="K48" s="216" t="s">
        <v>156</v>
      </c>
      <c r="L48" s="208">
        <v>2</v>
      </c>
      <c r="N48" s="208">
        <v>4</v>
      </c>
      <c r="O48" s="208">
        <v>0.7</v>
      </c>
      <c r="P48" s="208">
        <v>0.75</v>
      </c>
      <c r="Q48" s="217">
        <f t="shared" si="0"/>
        <v>0.72499999999999998</v>
      </c>
      <c r="R48" s="208">
        <v>15.3</v>
      </c>
      <c r="S48" s="208">
        <v>105</v>
      </c>
      <c r="T48" s="217">
        <f t="shared" si="1"/>
        <v>33</v>
      </c>
      <c r="U48" s="208">
        <v>430</v>
      </c>
      <c r="V48" s="217">
        <f t="shared" si="2"/>
        <v>3547.5</v>
      </c>
      <c r="W48" s="208">
        <v>2</v>
      </c>
      <c r="X48" s="55" t="s">
        <v>46</v>
      </c>
      <c r="Y48" s="55" t="s">
        <v>88</v>
      </c>
      <c r="Z48" s="208" t="s">
        <v>78</v>
      </c>
      <c r="AA48" s="55" t="s">
        <v>97</v>
      </c>
      <c r="AB48" s="39" t="s">
        <v>340</v>
      </c>
    </row>
    <row r="49" spans="1:28" x14ac:dyDescent="0.15">
      <c r="A49" s="55" t="s">
        <v>56</v>
      </c>
      <c r="B49" s="55" t="s">
        <v>381</v>
      </c>
      <c r="C49" s="216">
        <v>2018</v>
      </c>
      <c r="D49" s="86" t="s">
        <v>382</v>
      </c>
      <c r="E49" s="216" t="s">
        <v>363</v>
      </c>
      <c r="F49" s="216" t="s">
        <v>392</v>
      </c>
      <c r="G49" s="55" t="s">
        <v>42</v>
      </c>
      <c r="H49" s="216" t="s">
        <v>157</v>
      </c>
      <c r="I49" s="55" t="s">
        <v>158</v>
      </c>
      <c r="J49" s="216" t="s">
        <v>38</v>
      </c>
      <c r="K49" s="216" t="s">
        <v>156</v>
      </c>
      <c r="L49" s="208">
        <v>3</v>
      </c>
      <c r="N49" s="208">
        <v>4</v>
      </c>
      <c r="O49" s="208">
        <v>0.6</v>
      </c>
      <c r="P49" s="208">
        <v>0.65</v>
      </c>
      <c r="Q49" s="217">
        <f t="shared" si="0"/>
        <v>0.625</v>
      </c>
      <c r="R49" s="208">
        <v>15.4</v>
      </c>
      <c r="S49" s="208">
        <v>104</v>
      </c>
      <c r="T49" s="217">
        <f t="shared" si="1"/>
        <v>33</v>
      </c>
      <c r="U49" s="208">
        <v>430</v>
      </c>
      <c r="V49" s="217">
        <f t="shared" si="2"/>
        <v>3547.5</v>
      </c>
      <c r="W49" s="208">
        <v>2</v>
      </c>
      <c r="X49" s="55" t="s">
        <v>46</v>
      </c>
      <c r="Y49" s="55" t="s">
        <v>88</v>
      </c>
      <c r="Z49" s="208" t="s">
        <v>78</v>
      </c>
      <c r="AA49" s="55" t="s">
        <v>97</v>
      </c>
      <c r="AB49" s="39" t="s">
        <v>340</v>
      </c>
    </row>
    <row r="50" spans="1:28" x14ac:dyDescent="0.15">
      <c r="A50" s="55" t="s">
        <v>56</v>
      </c>
      <c r="B50" s="55" t="s">
        <v>381</v>
      </c>
      <c r="C50" s="216">
        <v>2018</v>
      </c>
      <c r="D50" s="86" t="s">
        <v>382</v>
      </c>
      <c r="E50" s="216" t="s">
        <v>363</v>
      </c>
      <c r="F50" s="216" t="s">
        <v>392</v>
      </c>
      <c r="G50" s="55" t="s">
        <v>42</v>
      </c>
      <c r="H50" s="216" t="s">
        <v>165</v>
      </c>
      <c r="I50" s="55" t="s">
        <v>155</v>
      </c>
      <c r="J50" s="216" t="s">
        <v>38</v>
      </c>
      <c r="K50" s="216" t="s">
        <v>156</v>
      </c>
      <c r="L50" s="208">
        <v>1</v>
      </c>
      <c r="N50" s="208">
        <v>1</v>
      </c>
      <c r="O50" s="208">
        <v>0.65</v>
      </c>
      <c r="P50" s="208">
        <v>0.7</v>
      </c>
      <c r="Q50" s="217">
        <f t="shared" si="0"/>
        <v>0.67500000000000004</v>
      </c>
      <c r="R50" s="208">
        <v>14.5</v>
      </c>
      <c r="S50" s="208">
        <v>150</v>
      </c>
      <c r="T50" s="217">
        <f t="shared" si="1"/>
        <v>22</v>
      </c>
      <c r="U50" s="208">
        <v>138</v>
      </c>
      <c r="V50" s="217">
        <f t="shared" si="2"/>
        <v>3036</v>
      </c>
      <c r="W50" s="208">
        <v>4</v>
      </c>
      <c r="X50" s="55" t="s">
        <v>46</v>
      </c>
      <c r="Y50" s="55" t="s">
        <v>88</v>
      </c>
      <c r="Z50" s="208" t="s">
        <v>78</v>
      </c>
      <c r="AA50" s="55" t="s">
        <v>97</v>
      </c>
      <c r="AB50" s="39" t="s">
        <v>340</v>
      </c>
    </row>
    <row r="51" spans="1:28" x14ac:dyDescent="0.15">
      <c r="A51" s="55" t="s">
        <v>56</v>
      </c>
      <c r="B51" s="55" t="s">
        <v>381</v>
      </c>
      <c r="C51" s="216">
        <v>2018</v>
      </c>
      <c r="D51" s="86" t="s">
        <v>382</v>
      </c>
      <c r="E51" s="216" t="s">
        <v>363</v>
      </c>
      <c r="F51" s="216" t="s">
        <v>392</v>
      </c>
      <c r="G51" s="55" t="s">
        <v>42</v>
      </c>
      <c r="H51" s="216" t="s">
        <v>165</v>
      </c>
      <c r="I51" s="55" t="s">
        <v>155</v>
      </c>
      <c r="J51" s="216" t="s">
        <v>38</v>
      </c>
      <c r="K51" s="216" t="s">
        <v>156</v>
      </c>
      <c r="L51" s="208">
        <v>2</v>
      </c>
      <c r="N51" s="208">
        <v>1</v>
      </c>
      <c r="O51" s="208">
        <v>1.1000000000000001</v>
      </c>
      <c r="P51" s="208">
        <v>1.1000000000000001</v>
      </c>
      <c r="Q51" s="217">
        <f t="shared" si="0"/>
        <v>1.1000000000000001</v>
      </c>
      <c r="R51" s="208">
        <v>14.8</v>
      </c>
      <c r="S51" s="208">
        <v>152</v>
      </c>
      <c r="T51" s="217">
        <f t="shared" si="1"/>
        <v>22</v>
      </c>
      <c r="U51" s="208">
        <v>138</v>
      </c>
      <c r="V51" s="217">
        <f t="shared" si="2"/>
        <v>3036</v>
      </c>
      <c r="W51" s="208">
        <v>4</v>
      </c>
      <c r="X51" s="55" t="s">
        <v>46</v>
      </c>
      <c r="Y51" s="55" t="s">
        <v>88</v>
      </c>
      <c r="Z51" s="208" t="s">
        <v>78</v>
      </c>
      <c r="AA51" s="55" t="s">
        <v>97</v>
      </c>
      <c r="AB51" s="39" t="s">
        <v>340</v>
      </c>
    </row>
    <row r="52" spans="1:28" x14ac:dyDescent="0.15">
      <c r="A52" s="55" t="s">
        <v>56</v>
      </c>
      <c r="B52" s="55" t="s">
        <v>381</v>
      </c>
      <c r="C52" s="216">
        <v>2018</v>
      </c>
      <c r="D52" s="86" t="s">
        <v>382</v>
      </c>
      <c r="E52" s="216" t="s">
        <v>363</v>
      </c>
      <c r="F52" s="216" t="s">
        <v>392</v>
      </c>
      <c r="G52" s="55" t="s">
        <v>42</v>
      </c>
      <c r="H52" s="216" t="s">
        <v>165</v>
      </c>
      <c r="I52" s="55" t="s">
        <v>155</v>
      </c>
      <c r="J52" s="216" t="s">
        <v>38</v>
      </c>
      <c r="K52" s="216" t="s">
        <v>156</v>
      </c>
      <c r="L52" s="208">
        <v>3</v>
      </c>
      <c r="N52" s="208">
        <v>1</v>
      </c>
      <c r="O52" s="208">
        <v>0.9</v>
      </c>
      <c r="P52" s="208">
        <v>0.9</v>
      </c>
      <c r="Q52" s="217">
        <f t="shared" si="0"/>
        <v>0.9</v>
      </c>
      <c r="R52" s="208">
        <v>14.8</v>
      </c>
      <c r="S52" s="208">
        <v>152</v>
      </c>
      <c r="T52" s="217">
        <f t="shared" si="1"/>
        <v>22</v>
      </c>
      <c r="U52" s="208">
        <v>138</v>
      </c>
      <c r="V52" s="217">
        <f t="shared" si="2"/>
        <v>3036</v>
      </c>
      <c r="W52" s="208">
        <v>4</v>
      </c>
      <c r="X52" s="55" t="s">
        <v>46</v>
      </c>
      <c r="Y52" s="55" t="s">
        <v>88</v>
      </c>
      <c r="Z52" s="208" t="s">
        <v>78</v>
      </c>
      <c r="AA52" s="55" t="s">
        <v>97</v>
      </c>
      <c r="AB52" s="39" t="s">
        <v>340</v>
      </c>
    </row>
    <row r="53" spans="1:28" x14ac:dyDescent="0.15">
      <c r="A53" s="55" t="s">
        <v>56</v>
      </c>
      <c r="B53" s="55" t="s">
        <v>381</v>
      </c>
      <c r="C53" s="216">
        <v>2018</v>
      </c>
      <c r="D53" s="86" t="s">
        <v>382</v>
      </c>
      <c r="E53" s="216" t="s">
        <v>397</v>
      </c>
      <c r="F53" s="216" t="s">
        <v>392</v>
      </c>
      <c r="G53" s="55" t="s">
        <v>42</v>
      </c>
      <c r="H53" s="216" t="s">
        <v>157</v>
      </c>
      <c r="I53" s="55" t="s">
        <v>155</v>
      </c>
      <c r="J53" s="216" t="s">
        <v>38</v>
      </c>
      <c r="K53" s="216" t="s">
        <v>156</v>
      </c>
      <c r="L53" s="208">
        <v>1</v>
      </c>
      <c r="N53" s="208">
        <v>5</v>
      </c>
      <c r="O53" s="208">
        <v>0.7</v>
      </c>
      <c r="P53" s="208">
        <v>0.7</v>
      </c>
      <c r="Q53" s="217">
        <f t="shared" si="0"/>
        <v>0.7</v>
      </c>
      <c r="R53" s="208">
        <v>15</v>
      </c>
      <c r="S53" s="208">
        <v>97</v>
      </c>
      <c r="T53" s="217">
        <f t="shared" si="1"/>
        <v>36</v>
      </c>
      <c r="U53" s="208">
        <v>430</v>
      </c>
      <c r="V53" s="217">
        <f t="shared" si="2"/>
        <v>3096</v>
      </c>
      <c r="W53" s="208">
        <v>6</v>
      </c>
      <c r="X53" s="55" t="s">
        <v>46</v>
      </c>
      <c r="Y53" s="55" t="s">
        <v>88</v>
      </c>
      <c r="Z53" s="208" t="s">
        <v>78</v>
      </c>
      <c r="AA53" s="55" t="s">
        <v>84</v>
      </c>
      <c r="AB53" s="39" t="s">
        <v>340</v>
      </c>
    </row>
    <row r="54" spans="1:28" x14ac:dyDescent="0.15">
      <c r="A54" s="55" t="s">
        <v>56</v>
      </c>
      <c r="B54" s="55" t="s">
        <v>381</v>
      </c>
      <c r="C54" s="216">
        <v>2018</v>
      </c>
      <c r="D54" s="86" t="s">
        <v>382</v>
      </c>
      <c r="E54" s="216" t="s">
        <v>397</v>
      </c>
      <c r="F54" s="216" t="s">
        <v>392</v>
      </c>
      <c r="G54" s="55" t="s">
        <v>42</v>
      </c>
      <c r="H54" s="216" t="s">
        <v>157</v>
      </c>
      <c r="I54" s="55" t="s">
        <v>155</v>
      </c>
      <c r="J54" s="216" t="s">
        <v>38</v>
      </c>
      <c r="K54" s="216" t="s">
        <v>156</v>
      </c>
      <c r="L54" s="208">
        <v>2</v>
      </c>
      <c r="N54" s="208">
        <v>5</v>
      </c>
      <c r="O54" s="208">
        <v>0.6</v>
      </c>
      <c r="P54" s="208">
        <v>0.6</v>
      </c>
      <c r="Q54" s="217">
        <f t="shared" si="0"/>
        <v>0.6</v>
      </c>
      <c r="R54" s="208">
        <v>14.5</v>
      </c>
      <c r="S54" s="208">
        <v>93</v>
      </c>
      <c r="T54" s="217">
        <f t="shared" si="1"/>
        <v>36</v>
      </c>
      <c r="U54" s="208">
        <v>430</v>
      </c>
      <c r="V54" s="217">
        <f t="shared" si="2"/>
        <v>3096</v>
      </c>
      <c r="W54" s="208">
        <v>6</v>
      </c>
      <c r="X54" s="55" t="s">
        <v>46</v>
      </c>
      <c r="Y54" s="55" t="s">
        <v>88</v>
      </c>
      <c r="Z54" s="208" t="s">
        <v>78</v>
      </c>
      <c r="AA54" s="55" t="s">
        <v>84</v>
      </c>
      <c r="AB54" s="39" t="s">
        <v>340</v>
      </c>
    </row>
    <row r="55" spans="1:28" x14ac:dyDescent="0.15">
      <c r="A55" s="55" t="s">
        <v>56</v>
      </c>
      <c r="B55" s="55" t="s">
        <v>381</v>
      </c>
      <c r="C55" s="216">
        <v>2018</v>
      </c>
      <c r="D55" s="86" t="s">
        <v>382</v>
      </c>
      <c r="E55" s="216" t="s">
        <v>397</v>
      </c>
      <c r="F55" s="216" t="s">
        <v>392</v>
      </c>
      <c r="G55" s="55" t="s">
        <v>42</v>
      </c>
      <c r="H55" s="216" t="s">
        <v>157</v>
      </c>
      <c r="I55" s="55" t="s">
        <v>155</v>
      </c>
      <c r="J55" s="216" t="s">
        <v>38</v>
      </c>
      <c r="K55" s="216" t="s">
        <v>156</v>
      </c>
      <c r="L55" s="208">
        <v>3</v>
      </c>
      <c r="N55" s="208">
        <v>5</v>
      </c>
      <c r="O55" s="208">
        <v>0.5</v>
      </c>
      <c r="P55" s="208">
        <v>0.5</v>
      </c>
      <c r="Q55" s="217">
        <f t="shared" si="0"/>
        <v>0.5</v>
      </c>
      <c r="R55" s="208">
        <v>13.4</v>
      </c>
      <c r="S55" s="208">
        <v>104</v>
      </c>
      <c r="T55" s="217">
        <f t="shared" si="1"/>
        <v>33</v>
      </c>
      <c r="U55" s="208">
        <v>430</v>
      </c>
      <c r="V55" s="217">
        <f t="shared" si="2"/>
        <v>2838</v>
      </c>
      <c r="W55" s="208">
        <v>6</v>
      </c>
      <c r="X55" s="55" t="s">
        <v>46</v>
      </c>
      <c r="Y55" s="55" t="s">
        <v>88</v>
      </c>
      <c r="Z55" s="208" t="s">
        <v>78</v>
      </c>
      <c r="AA55" s="55" t="s">
        <v>84</v>
      </c>
      <c r="AB55" s="39" t="s">
        <v>340</v>
      </c>
    </row>
    <row r="56" spans="1:28" x14ac:dyDescent="0.15">
      <c r="A56" s="55" t="s">
        <v>56</v>
      </c>
      <c r="B56" s="55" t="s">
        <v>381</v>
      </c>
      <c r="C56" s="216">
        <v>2018</v>
      </c>
      <c r="D56" s="86" t="s">
        <v>382</v>
      </c>
      <c r="E56" s="216" t="s">
        <v>397</v>
      </c>
      <c r="F56" s="216" t="s">
        <v>392</v>
      </c>
      <c r="G56" s="55" t="s">
        <v>42</v>
      </c>
      <c r="H56" s="216" t="s">
        <v>165</v>
      </c>
      <c r="I56" s="55" t="s">
        <v>155</v>
      </c>
      <c r="J56" s="216" t="s">
        <v>38</v>
      </c>
      <c r="K56" s="216" t="s">
        <v>156</v>
      </c>
      <c r="L56" s="208">
        <v>1</v>
      </c>
      <c r="N56" s="208">
        <v>5</v>
      </c>
      <c r="O56" s="208">
        <v>0.55000000000000004</v>
      </c>
      <c r="P56" s="208">
        <v>0.55000000000000004</v>
      </c>
      <c r="Q56" s="217">
        <f t="shared" si="0"/>
        <v>0.55000000000000004</v>
      </c>
      <c r="R56" s="208">
        <v>15.9</v>
      </c>
      <c r="S56" s="208">
        <v>123</v>
      </c>
      <c r="T56" s="217">
        <f t="shared" si="1"/>
        <v>27</v>
      </c>
      <c r="U56" s="208">
        <v>646</v>
      </c>
      <c r="V56" s="217">
        <f t="shared" si="2"/>
        <v>3488.3999999999996</v>
      </c>
      <c r="W56" s="208">
        <v>6</v>
      </c>
      <c r="X56" s="55" t="s">
        <v>46</v>
      </c>
      <c r="Y56" s="55" t="s">
        <v>88</v>
      </c>
      <c r="Z56" s="208" t="s">
        <v>78</v>
      </c>
      <c r="AA56" s="55" t="s">
        <v>84</v>
      </c>
      <c r="AB56" s="39" t="s">
        <v>340</v>
      </c>
    </row>
    <row r="57" spans="1:28" x14ac:dyDescent="0.15">
      <c r="A57" s="55" t="s">
        <v>56</v>
      </c>
      <c r="B57" s="55" t="s">
        <v>381</v>
      </c>
      <c r="C57" s="216">
        <v>2018</v>
      </c>
      <c r="D57" s="86" t="s">
        <v>382</v>
      </c>
      <c r="E57" s="216" t="s">
        <v>397</v>
      </c>
      <c r="F57" s="216" t="s">
        <v>392</v>
      </c>
      <c r="G57" s="55" t="s">
        <v>42</v>
      </c>
      <c r="H57" s="216" t="s">
        <v>165</v>
      </c>
      <c r="I57" s="55" t="s">
        <v>155</v>
      </c>
      <c r="J57" s="216" t="s">
        <v>38</v>
      </c>
      <c r="K57" s="216" t="s">
        <v>156</v>
      </c>
      <c r="L57" s="208">
        <v>2</v>
      </c>
      <c r="N57" s="208">
        <v>5</v>
      </c>
      <c r="O57" s="208">
        <v>0.5</v>
      </c>
      <c r="P57" s="208">
        <v>0.5</v>
      </c>
      <c r="Q57" s="217">
        <f t="shared" si="0"/>
        <v>0.5</v>
      </c>
      <c r="R57" s="208">
        <v>15.5</v>
      </c>
      <c r="S57" s="208">
        <v>119</v>
      </c>
      <c r="T57" s="217">
        <f t="shared" si="1"/>
        <v>30</v>
      </c>
      <c r="U57" s="208">
        <v>646</v>
      </c>
      <c r="V57" s="217">
        <f t="shared" si="2"/>
        <v>3875.9999999999995</v>
      </c>
      <c r="W57" s="208">
        <v>6</v>
      </c>
      <c r="X57" s="55" t="s">
        <v>46</v>
      </c>
      <c r="Y57" s="55" t="s">
        <v>88</v>
      </c>
      <c r="Z57" s="208" t="s">
        <v>78</v>
      </c>
      <c r="AA57" s="55" t="s">
        <v>84</v>
      </c>
      <c r="AB57" s="39" t="s">
        <v>340</v>
      </c>
    </row>
    <row r="58" spans="1:28" x14ac:dyDescent="0.15">
      <c r="A58" s="55" t="s">
        <v>56</v>
      </c>
      <c r="B58" s="55" t="s">
        <v>381</v>
      </c>
      <c r="C58" s="216">
        <v>2018</v>
      </c>
      <c r="D58" s="86" t="s">
        <v>382</v>
      </c>
      <c r="E58" s="216" t="s">
        <v>397</v>
      </c>
      <c r="F58" s="216" t="s">
        <v>392</v>
      </c>
      <c r="G58" s="55" t="s">
        <v>42</v>
      </c>
      <c r="H58" s="216" t="s">
        <v>165</v>
      </c>
      <c r="I58" s="55" t="s">
        <v>155</v>
      </c>
      <c r="J58" s="216" t="s">
        <v>38</v>
      </c>
      <c r="K58" s="216" t="s">
        <v>156</v>
      </c>
      <c r="L58" s="208">
        <v>3</v>
      </c>
      <c r="N58" s="208">
        <v>5</v>
      </c>
      <c r="O58" s="208">
        <v>0.5</v>
      </c>
      <c r="P58" s="208">
        <v>0.5</v>
      </c>
      <c r="Q58" s="217">
        <f t="shared" si="0"/>
        <v>0.5</v>
      </c>
      <c r="R58" s="208">
        <v>17.3</v>
      </c>
      <c r="S58" s="208">
        <v>131</v>
      </c>
      <c r="T58" s="217">
        <f t="shared" si="1"/>
        <v>25</v>
      </c>
      <c r="U58" s="208">
        <v>646</v>
      </c>
      <c r="V58" s="217">
        <f t="shared" si="2"/>
        <v>3229.9999999999995</v>
      </c>
      <c r="W58" s="208">
        <v>6</v>
      </c>
      <c r="X58" s="55" t="s">
        <v>46</v>
      </c>
      <c r="Y58" s="55" t="s">
        <v>88</v>
      </c>
      <c r="Z58" s="208" t="s">
        <v>78</v>
      </c>
      <c r="AA58" s="55" t="s">
        <v>84</v>
      </c>
      <c r="AB58" s="39" t="s">
        <v>340</v>
      </c>
    </row>
    <row r="59" spans="1:28" x14ac:dyDescent="0.15">
      <c r="A59" s="55"/>
      <c r="B59" s="55"/>
      <c r="C59" s="216"/>
      <c r="D59" s="86"/>
      <c r="E59" s="216"/>
      <c r="F59" s="216"/>
      <c r="G59" s="55"/>
      <c r="H59" s="216"/>
      <c r="I59" s="55"/>
      <c r="J59" s="216"/>
      <c r="K59" s="216"/>
      <c r="X59" s="55"/>
      <c r="Y59" s="55"/>
      <c r="AA59" s="55"/>
    </row>
    <row r="60" spans="1:28" x14ac:dyDescent="0.15">
      <c r="A60" s="55"/>
      <c r="B60" s="55"/>
      <c r="C60" s="216"/>
      <c r="D60" s="86"/>
      <c r="E60" s="216"/>
      <c r="F60" s="216"/>
      <c r="G60" s="55"/>
      <c r="H60" s="216"/>
      <c r="I60" s="55"/>
      <c r="J60" s="216"/>
      <c r="K60" s="216"/>
      <c r="X60" s="55"/>
      <c r="Y60" s="55"/>
      <c r="AA60" s="55"/>
    </row>
    <row r="61" spans="1:28" x14ac:dyDescent="0.15">
      <c r="A61" s="55"/>
      <c r="B61" s="55"/>
      <c r="C61" s="216"/>
      <c r="D61" s="86"/>
      <c r="E61" s="216"/>
      <c r="F61" s="216"/>
      <c r="G61" s="55"/>
      <c r="H61" s="216"/>
      <c r="I61" s="55"/>
      <c r="J61" s="216"/>
      <c r="K61" s="216"/>
      <c r="X61" s="55"/>
      <c r="Y61" s="55"/>
      <c r="AA61" s="55"/>
    </row>
    <row r="62" spans="1:28" x14ac:dyDescent="0.15">
      <c r="A62" s="55"/>
      <c r="B62" s="55"/>
      <c r="C62" s="216"/>
      <c r="D62" s="86"/>
      <c r="E62" s="216"/>
      <c r="F62" s="216"/>
      <c r="G62" s="55"/>
      <c r="H62" s="216"/>
      <c r="I62" s="55"/>
      <c r="J62" s="216"/>
      <c r="K62" s="216"/>
      <c r="X62" s="55"/>
      <c r="Y62" s="55"/>
      <c r="AA62" s="55"/>
    </row>
    <row r="63" spans="1:28" x14ac:dyDescent="0.15">
      <c r="A63" s="55"/>
      <c r="B63" s="55"/>
      <c r="C63" s="216"/>
      <c r="D63" s="86"/>
      <c r="E63" s="216"/>
      <c r="F63" s="216"/>
      <c r="G63" s="55"/>
      <c r="H63" s="216"/>
      <c r="I63" s="55"/>
      <c r="J63" s="216"/>
      <c r="K63" s="216"/>
      <c r="X63" s="55"/>
      <c r="Y63" s="55"/>
      <c r="AA63" s="55"/>
    </row>
    <row r="64" spans="1:28" x14ac:dyDescent="0.15">
      <c r="A64" s="55"/>
      <c r="B64" s="55"/>
      <c r="C64" s="216"/>
      <c r="D64" s="86"/>
      <c r="E64" s="216"/>
      <c r="F64" s="216"/>
      <c r="G64" s="55"/>
      <c r="H64" s="216"/>
      <c r="I64" s="55"/>
      <c r="J64" s="216"/>
      <c r="K64" s="216"/>
      <c r="X64" s="55"/>
      <c r="Y64" s="55"/>
      <c r="AA64" s="55"/>
    </row>
    <row r="65" spans="1:27" x14ac:dyDescent="0.15">
      <c r="A65" s="55"/>
      <c r="B65" s="55"/>
      <c r="C65" s="216"/>
      <c r="D65" s="86"/>
      <c r="E65" s="216"/>
      <c r="F65" s="216"/>
      <c r="G65" s="55"/>
      <c r="H65" s="216"/>
      <c r="I65" s="55"/>
      <c r="J65" s="216"/>
      <c r="K65" s="216"/>
      <c r="X65" s="55"/>
      <c r="Y65" s="55"/>
      <c r="AA65" s="55"/>
    </row>
    <row r="66" spans="1:27" x14ac:dyDescent="0.15">
      <c r="A66" s="55"/>
      <c r="B66" s="55"/>
      <c r="C66" s="216"/>
      <c r="D66" s="86"/>
      <c r="E66" s="216"/>
      <c r="F66" s="216"/>
      <c r="G66" s="55"/>
      <c r="H66" s="216"/>
      <c r="I66" s="55"/>
      <c r="J66" s="216"/>
      <c r="K66" s="216"/>
      <c r="X66" s="55"/>
      <c r="Y66" s="55"/>
      <c r="AA66" s="55"/>
    </row>
    <row r="67" spans="1:27" x14ac:dyDescent="0.15">
      <c r="A67" s="55"/>
      <c r="B67" s="55"/>
      <c r="C67" s="216"/>
      <c r="D67" s="86"/>
      <c r="E67" s="216"/>
      <c r="F67" s="216"/>
      <c r="G67" s="55"/>
      <c r="H67" s="216"/>
      <c r="I67" s="55"/>
      <c r="J67" s="216"/>
      <c r="K67" s="216"/>
      <c r="X67" s="55"/>
      <c r="Y67" s="55"/>
      <c r="AA67" s="55"/>
    </row>
    <row r="68" spans="1:27" x14ac:dyDescent="0.15">
      <c r="A68" s="55"/>
      <c r="B68" s="55"/>
      <c r="C68" s="216"/>
      <c r="D68" s="86"/>
      <c r="E68" s="216"/>
      <c r="F68" s="216"/>
      <c r="G68" s="55"/>
      <c r="H68" s="216"/>
      <c r="I68" s="55"/>
      <c r="J68" s="216"/>
      <c r="K68" s="216"/>
      <c r="X68" s="55"/>
      <c r="Y68" s="55"/>
      <c r="AA68" s="55"/>
    </row>
    <row r="69" spans="1:27" x14ac:dyDescent="0.15">
      <c r="A69" s="55"/>
      <c r="B69" s="55"/>
      <c r="C69" s="216"/>
      <c r="D69" s="86"/>
      <c r="E69" s="216"/>
      <c r="F69" s="216"/>
      <c r="G69" s="55"/>
      <c r="H69" s="216"/>
      <c r="I69" s="55"/>
      <c r="J69" s="216"/>
      <c r="K69" s="216"/>
      <c r="X69" s="55"/>
      <c r="Y69" s="55"/>
      <c r="AA69" s="55"/>
    </row>
    <row r="70" spans="1:27" x14ac:dyDescent="0.15">
      <c r="A70" s="55"/>
      <c r="B70" s="55"/>
      <c r="C70" s="216"/>
      <c r="D70" s="86"/>
      <c r="E70" s="216"/>
      <c r="F70" s="216"/>
      <c r="G70" s="55"/>
      <c r="H70" s="216"/>
      <c r="I70" s="55"/>
      <c r="J70" s="216"/>
      <c r="K70" s="216"/>
      <c r="X70" s="55"/>
      <c r="Y70" s="55"/>
      <c r="AA70" s="55"/>
    </row>
    <row r="71" spans="1:27" x14ac:dyDescent="0.15">
      <c r="A71" s="55"/>
      <c r="B71" s="55"/>
      <c r="C71" s="216"/>
      <c r="D71" s="86"/>
      <c r="E71" s="216"/>
      <c r="F71" s="216"/>
      <c r="G71" s="55"/>
      <c r="H71" s="216"/>
      <c r="I71" s="55"/>
      <c r="J71" s="216"/>
      <c r="K71" s="216"/>
      <c r="X71" s="55"/>
      <c r="Y71" s="55"/>
      <c r="AA71" s="55"/>
    </row>
    <row r="72" spans="1:27" x14ac:dyDescent="0.15">
      <c r="A72" s="55"/>
      <c r="B72" s="55"/>
      <c r="C72" s="216"/>
      <c r="D72" s="86"/>
      <c r="E72" s="216"/>
      <c r="F72" s="216"/>
      <c r="G72" s="55"/>
      <c r="H72" s="216"/>
      <c r="I72" s="55"/>
      <c r="J72" s="216"/>
      <c r="K72" s="216"/>
      <c r="X72" s="55"/>
      <c r="Y72" s="55"/>
      <c r="AA72" s="55"/>
    </row>
    <row r="73" spans="1:27" x14ac:dyDescent="0.15">
      <c r="A73" s="55"/>
      <c r="B73" s="55"/>
      <c r="C73" s="216"/>
      <c r="D73" s="86"/>
      <c r="E73" s="216"/>
      <c r="F73" s="216"/>
      <c r="G73" s="55"/>
      <c r="H73" s="216"/>
      <c r="I73" s="55"/>
      <c r="J73" s="216"/>
      <c r="K73" s="216"/>
      <c r="X73" s="55"/>
      <c r="Y73" s="55"/>
      <c r="AA73" s="55"/>
    </row>
    <row r="74" spans="1:27" x14ac:dyDescent="0.15">
      <c r="A74" s="55"/>
      <c r="B74" s="55"/>
      <c r="C74" s="216"/>
      <c r="D74" s="86"/>
      <c r="E74" s="216"/>
      <c r="F74" s="216"/>
      <c r="G74" s="55"/>
      <c r="H74" s="216"/>
      <c r="I74" s="55"/>
      <c r="J74" s="216"/>
      <c r="K74" s="216"/>
      <c r="X74" s="55"/>
      <c r="Y74" s="55"/>
      <c r="AA74" s="55"/>
    </row>
    <row r="75" spans="1:27" x14ac:dyDescent="0.15">
      <c r="A75" s="55"/>
      <c r="B75" s="55"/>
      <c r="C75" s="216"/>
      <c r="D75" s="86"/>
      <c r="E75" s="216"/>
      <c r="F75" s="216"/>
      <c r="G75" s="55"/>
      <c r="H75" s="216"/>
      <c r="I75" s="55"/>
      <c r="J75" s="216"/>
      <c r="K75" s="216"/>
      <c r="X75" s="55"/>
      <c r="Y75" s="55"/>
      <c r="AA75" s="55"/>
    </row>
    <row r="76" spans="1:27" x14ac:dyDescent="0.15">
      <c r="A76" s="55"/>
      <c r="B76" s="55"/>
      <c r="C76" s="216"/>
      <c r="D76" s="86"/>
      <c r="E76" s="216"/>
      <c r="F76" s="216"/>
      <c r="G76" s="55"/>
      <c r="H76" s="216"/>
      <c r="I76" s="55"/>
      <c r="J76" s="216"/>
      <c r="K76" s="216"/>
      <c r="X76" s="55"/>
      <c r="Y76" s="55"/>
      <c r="AA76" s="55"/>
    </row>
    <row r="77" spans="1:27" x14ac:dyDescent="0.15">
      <c r="A77" s="55"/>
      <c r="B77" s="55"/>
      <c r="C77" s="216"/>
      <c r="D77" s="86"/>
      <c r="E77" s="216"/>
      <c r="F77" s="216"/>
      <c r="G77" s="55"/>
      <c r="H77" s="216"/>
      <c r="I77" s="55"/>
      <c r="J77" s="216"/>
      <c r="K77" s="216"/>
      <c r="X77" s="55"/>
      <c r="Y77" s="55"/>
      <c r="AA77" s="55"/>
    </row>
    <row r="78" spans="1:27" x14ac:dyDescent="0.15">
      <c r="A78" s="55"/>
      <c r="B78" s="55"/>
      <c r="C78" s="216"/>
      <c r="D78" s="86"/>
      <c r="E78" s="216"/>
      <c r="F78" s="216"/>
      <c r="G78" s="55"/>
      <c r="H78" s="216"/>
      <c r="I78" s="55"/>
      <c r="J78" s="216"/>
      <c r="K78" s="216"/>
      <c r="X78" s="55"/>
      <c r="Y78" s="55"/>
      <c r="AA78" s="55"/>
    </row>
    <row r="79" spans="1:27" x14ac:dyDescent="0.15">
      <c r="A79" s="55"/>
      <c r="B79" s="55"/>
      <c r="C79" s="216"/>
      <c r="D79" s="86"/>
      <c r="E79" s="216"/>
      <c r="F79" s="216"/>
      <c r="G79" s="55"/>
      <c r="H79" s="216"/>
      <c r="I79" s="55"/>
      <c r="J79" s="216"/>
      <c r="K79" s="216"/>
      <c r="X79" s="55"/>
      <c r="Y79" s="55"/>
      <c r="AA79" s="55"/>
    </row>
    <row r="80" spans="1:27" x14ac:dyDescent="0.15">
      <c r="A80" s="55"/>
      <c r="B80" s="55"/>
      <c r="C80" s="216"/>
      <c r="D80" s="86"/>
      <c r="E80" s="216"/>
      <c r="F80" s="216"/>
      <c r="G80" s="55"/>
      <c r="H80" s="216"/>
      <c r="I80" s="55"/>
      <c r="J80" s="216"/>
      <c r="K80" s="216"/>
      <c r="X80" s="55"/>
      <c r="Y80" s="55"/>
      <c r="AA80" s="55"/>
    </row>
    <row r="81" spans="1:27" x14ac:dyDescent="0.15">
      <c r="A81" s="55"/>
      <c r="B81" s="55"/>
      <c r="C81" s="216"/>
      <c r="D81" s="86"/>
      <c r="E81" s="216"/>
      <c r="F81" s="216"/>
      <c r="G81" s="55"/>
      <c r="H81" s="216"/>
      <c r="I81" s="55"/>
      <c r="J81" s="216"/>
      <c r="K81" s="216"/>
      <c r="X81" s="55"/>
      <c r="Y81" s="55"/>
      <c r="AA81" s="55"/>
    </row>
    <row r="82" spans="1:27" x14ac:dyDescent="0.15">
      <c r="A82" s="55"/>
      <c r="B82" s="55"/>
      <c r="C82" s="216"/>
      <c r="D82" s="86"/>
      <c r="E82" s="216"/>
      <c r="F82" s="216"/>
      <c r="G82" s="55"/>
      <c r="H82" s="216"/>
      <c r="I82" s="55"/>
      <c r="J82" s="216"/>
      <c r="K82" s="216"/>
      <c r="X82" s="55"/>
      <c r="Y82" s="55"/>
      <c r="AA82" s="55"/>
    </row>
    <row r="83" spans="1:27" x14ac:dyDescent="0.15">
      <c r="E83" s="216"/>
      <c r="F83" s="216"/>
      <c r="G83" s="55"/>
      <c r="H83" s="216"/>
      <c r="I83" s="55"/>
      <c r="J83" s="216"/>
      <c r="K83" s="216"/>
      <c r="X83" s="55"/>
      <c r="Y83" s="55"/>
      <c r="AA83" s="55"/>
    </row>
    <row r="84" spans="1:27" x14ac:dyDescent="0.15">
      <c r="E84" s="216"/>
      <c r="F84" s="216"/>
      <c r="G84" s="55"/>
      <c r="H84" s="216"/>
      <c r="I84" s="55"/>
      <c r="J84" s="216"/>
      <c r="K84" s="216"/>
      <c r="X84" s="55"/>
      <c r="Y84" s="55"/>
      <c r="AA84" s="55"/>
    </row>
    <row r="85" spans="1:27" x14ac:dyDescent="0.15">
      <c r="E85" s="216"/>
      <c r="F85" s="216"/>
      <c r="G85" s="55"/>
      <c r="H85" s="216"/>
      <c r="I85" s="55"/>
      <c r="J85" s="216"/>
      <c r="K85" s="216"/>
      <c r="X85" s="55"/>
      <c r="Y85" s="55"/>
      <c r="AA85" s="55"/>
    </row>
    <row r="86" spans="1:27" x14ac:dyDescent="0.15">
      <c r="J86" s="216"/>
      <c r="K86" s="216"/>
    </row>
    <row r="87" spans="1:27" x14ac:dyDescent="0.15">
      <c r="J87" s="216"/>
      <c r="K87" s="216"/>
    </row>
    <row r="88" spans="1:27" x14ac:dyDescent="0.15">
      <c r="J88" s="216"/>
      <c r="K88" s="216"/>
    </row>
    <row r="89" spans="1:27" x14ac:dyDescent="0.15">
      <c r="J89" s="216"/>
      <c r="K89" s="216"/>
    </row>
    <row r="90" spans="1:27" x14ac:dyDescent="0.15">
      <c r="J90" s="216"/>
      <c r="K90" s="216"/>
    </row>
    <row r="91" spans="1:27" x14ac:dyDescent="0.15">
      <c r="J91" s="216"/>
      <c r="K91" s="216"/>
    </row>
    <row r="92" spans="1:27" x14ac:dyDescent="0.15">
      <c r="J92" s="216"/>
      <c r="K92" s="216"/>
    </row>
    <row r="93" spans="1:27" x14ac:dyDescent="0.15">
      <c r="J93" s="216"/>
      <c r="K93" s="216"/>
    </row>
    <row r="94" spans="1:27" x14ac:dyDescent="0.15">
      <c r="J94" s="216"/>
      <c r="K94" s="216"/>
    </row>
    <row r="95" spans="1:27" x14ac:dyDescent="0.15">
      <c r="J95" s="216"/>
      <c r="K95" s="216"/>
    </row>
    <row r="96" spans="1:27" x14ac:dyDescent="0.15">
      <c r="J96" s="216"/>
      <c r="K96" s="216"/>
    </row>
    <row r="97" spans="10:11" x14ac:dyDescent="0.15">
      <c r="J97" s="216"/>
      <c r="K97" s="216"/>
    </row>
    <row r="98" spans="10:11" x14ac:dyDescent="0.15">
      <c r="J98" s="216"/>
      <c r="K98" s="216"/>
    </row>
    <row r="99" spans="10:11" x14ac:dyDescent="0.15">
      <c r="J99" s="216"/>
      <c r="K99" s="216"/>
    </row>
    <row r="100" spans="10:11" x14ac:dyDescent="0.15">
      <c r="J100" s="216"/>
      <c r="K100" s="216"/>
    </row>
    <row r="101" spans="10:11" x14ac:dyDescent="0.15">
      <c r="K101" s="216"/>
    </row>
    <row r="102" spans="10:11" x14ac:dyDescent="0.15">
      <c r="K102" s="216"/>
    </row>
    <row r="103" spans="10:11" x14ac:dyDescent="0.15">
      <c r="K103" s="216"/>
    </row>
    <row r="104" spans="10:11" x14ac:dyDescent="0.15">
      <c r="K104" s="216"/>
    </row>
    <row r="105" spans="10:11" x14ac:dyDescent="0.15">
      <c r="K105" s="216"/>
    </row>
    <row r="106" spans="10:11" x14ac:dyDescent="0.15">
      <c r="K106" s="216"/>
    </row>
    <row r="107" spans="10:11" x14ac:dyDescent="0.15">
      <c r="K107" s="216"/>
    </row>
    <row r="108" spans="10:11" x14ac:dyDescent="0.15">
      <c r="K108" s="216"/>
    </row>
    <row r="109" spans="10:11" x14ac:dyDescent="0.15">
      <c r="K109" s="216"/>
    </row>
    <row r="110" spans="10:11" x14ac:dyDescent="0.15">
      <c r="K110" s="216"/>
    </row>
    <row r="111" spans="10:11" x14ac:dyDescent="0.15">
      <c r="K111" s="216"/>
    </row>
    <row r="112" spans="10: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14"/>
  <sheetViews>
    <sheetView topLeftCell="A19" zoomScale="85" zoomScaleNormal="85" workbookViewId="0">
      <selection activeCell="N24" sqref="N24"/>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184</v>
      </c>
      <c r="C1" s="90" t="s">
        <v>185</v>
      </c>
      <c r="D1" s="91" t="s">
        <v>3</v>
      </c>
      <c r="E1" s="92" t="s">
        <v>4</v>
      </c>
      <c r="F1" s="92" t="s">
        <v>5</v>
      </c>
      <c r="G1" s="92" t="s">
        <v>6</v>
      </c>
      <c r="H1" s="92" t="s">
        <v>7</v>
      </c>
      <c r="I1" s="92" t="s">
        <v>8</v>
      </c>
      <c r="J1" s="92" t="s">
        <v>9</v>
      </c>
      <c r="K1" s="92" t="s">
        <v>10</v>
      </c>
      <c r="L1" s="91" t="s">
        <v>186</v>
      </c>
      <c r="M1" s="91" t="s">
        <v>187</v>
      </c>
      <c r="N1" s="91" t="s">
        <v>13</v>
      </c>
      <c r="O1" s="91" t="s">
        <v>188</v>
      </c>
      <c r="P1" s="91" t="s">
        <v>189</v>
      </c>
      <c r="Q1" s="93" t="s">
        <v>190</v>
      </c>
      <c r="R1" s="91" t="s">
        <v>191</v>
      </c>
      <c r="S1" s="91" t="s">
        <v>192</v>
      </c>
      <c r="T1" s="93" t="s">
        <v>19</v>
      </c>
      <c r="U1" s="94" t="s">
        <v>108</v>
      </c>
      <c r="V1" s="95" t="s">
        <v>20</v>
      </c>
      <c r="W1" s="91" t="s">
        <v>193</v>
      </c>
      <c r="X1" s="92" t="s">
        <v>22</v>
      </c>
      <c r="Y1" s="92" t="s">
        <v>23</v>
      </c>
      <c r="Z1" s="92" t="s">
        <v>24</v>
      </c>
      <c r="AA1" s="96" t="s">
        <v>25</v>
      </c>
      <c r="AB1" s="97" t="s">
        <v>194</v>
      </c>
      <c r="AE1" s="99" t="s">
        <v>0</v>
      </c>
      <c r="AF1" s="100"/>
      <c r="AG1" s="99" t="s">
        <v>4</v>
      </c>
      <c r="AH1" s="99" t="s">
        <v>5</v>
      </c>
      <c r="AI1" s="100"/>
      <c r="AJ1" s="99" t="s">
        <v>6</v>
      </c>
      <c r="AK1" s="100"/>
      <c r="AL1" s="101" t="s">
        <v>7</v>
      </c>
      <c r="AM1" s="100"/>
      <c r="AN1" s="101" t="s">
        <v>8</v>
      </c>
      <c r="AO1" s="100"/>
      <c r="AP1" s="101" t="s">
        <v>27</v>
      </c>
      <c r="AQ1" s="100"/>
      <c r="AR1" s="101" t="s">
        <v>10</v>
      </c>
      <c r="AS1" s="100"/>
      <c r="AT1" s="102" t="s">
        <v>195</v>
      </c>
      <c r="AU1" s="100"/>
      <c r="AV1" s="101" t="s">
        <v>29</v>
      </c>
      <c r="AX1" s="103" t="s">
        <v>196</v>
      </c>
      <c r="AY1" s="104" t="s">
        <v>197</v>
      </c>
      <c r="AZ1" s="104" t="s">
        <v>198</v>
      </c>
      <c r="BA1" s="105" t="s">
        <v>199</v>
      </c>
    </row>
    <row r="2" spans="1:53" s="246" customFormat="1" x14ac:dyDescent="0.15">
      <c r="A2" s="246" t="s">
        <v>51</v>
      </c>
      <c r="B2" s="246" t="s">
        <v>338</v>
      </c>
      <c r="C2" s="246">
        <v>2018</v>
      </c>
      <c r="D2" s="106" t="s">
        <v>398</v>
      </c>
      <c r="E2" s="246" t="s">
        <v>200</v>
      </c>
      <c r="F2" s="246" t="s">
        <v>201</v>
      </c>
      <c r="G2" s="246" t="s">
        <v>42</v>
      </c>
      <c r="H2" s="246" t="s">
        <v>157</v>
      </c>
      <c r="I2" s="246" t="s">
        <v>155</v>
      </c>
      <c r="J2" s="246" t="s">
        <v>38</v>
      </c>
      <c r="K2" s="246" t="s">
        <v>156</v>
      </c>
      <c r="L2" s="246">
        <v>1</v>
      </c>
      <c r="N2" s="246">
        <v>1</v>
      </c>
      <c r="O2" s="246">
        <v>0.65</v>
      </c>
      <c r="P2" s="246">
        <v>0.8</v>
      </c>
      <c r="Q2" s="107">
        <f t="shared" ref="Q2:Q52" si="0">IF(OR(O2="",P2=""),"",AVERAGE(O2,P2))</f>
        <v>0.72500000000000009</v>
      </c>
      <c r="R2" s="246">
        <v>15.5</v>
      </c>
      <c r="S2" s="246">
        <v>124</v>
      </c>
      <c r="T2" s="108">
        <f t="shared" ref="T2:T52" si="1">IF(H2="","",IF(OR(H2="GREEN",H2="GK"),IF(S2&gt;=$AX$2,VLOOKUP(S2,$AX$2:$AY$12,2,1),""),IF(S2&gt;=$AZ$2,VLOOKUP(S2,$AZ$2:$BA$12,2,1),"")))</f>
        <v>27</v>
      </c>
      <c r="U2" s="246">
        <v>98</v>
      </c>
      <c r="V2" s="109">
        <f t="shared" ref="V2:V52" si="2">IF(OR(N2="",U2="",T2=""),"",U2/N2*T2)</f>
        <v>2646</v>
      </c>
      <c r="W2" s="246">
        <v>4</v>
      </c>
      <c r="X2" s="246" t="s">
        <v>39</v>
      </c>
      <c r="Y2" s="246" t="s">
        <v>88</v>
      </c>
      <c r="Z2" s="246" t="s">
        <v>102</v>
      </c>
      <c r="AA2" s="246" t="s">
        <v>97</v>
      </c>
      <c r="AB2" s="246" t="s">
        <v>340</v>
      </c>
      <c r="AE2" s="110" t="s">
        <v>35</v>
      </c>
      <c r="AG2" s="111" t="s">
        <v>173</v>
      </c>
      <c r="AH2" s="111" t="s">
        <v>202</v>
      </c>
      <c r="AJ2" s="111" t="s">
        <v>36</v>
      </c>
      <c r="AL2" s="111" t="s">
        <v>203</v>
      </c>
      <c r="AN2" s="111" t="s">
        <v>37</v>
      </c>
      <c r="AP2" s="111" t="s">
        <v>38</v>
      </c>
      <c r="AR2" s="111" t="s">
        <v>156</v>
      </c>
      <c r="AT2" s="111" t="s">
        <v>39</v>
      </c>
      <c r="AV2" s="111" t="s">
        <v>40</v>
      </c>
      <c r="AX2" s="112">
        <v>1</v>
      </c>
      <c r="AY2" s="113">
        <v>50</v>
      </c>
      <c r="AZ2" s="113">
        <v>1</v>
      </c>
      <c r="BA2" s="114">
        <v>50</v>
      </c>
    </row>
    <row r="3" spans="1:53" s="115" customFormat="1" x14ac:dyDescent="0.15">
      <c r="A3" s="246" t="s">
        <v>51</v>
      </c>
      <c r="B3" s="246" t="s">
        <v>338</v>
      </c>
      <c r="C3" s="246">
        <v>2018</v>
      </c>
      <c r="D3" s="106" t="s">
        <v>398</v>
      </c>
      <c r="E3" s="246" t="s">
        <v>200</v>
      </c>
      <c r="F3" s="246" t="s">
        <v>201</v>
      </c>
      <c r="G3" s="246" t="s">
        <v>42</v>
      </c>
      <c r="H3" s="246" t="s">
        <v>157</v>
      </c>
      <c r="I3" s="246" t="s">
        <v>155</v>
      </c>
      <c r="J3" s="246" t="s">
        <v>38</v>
      </c>
      <c r="K3" s="246" t="s">
        <v>156</v>
      </c>
      <c r="L3" s="246">
        <v>2</v>
      </c>
      <c r="M3" s="246"/>
      <c r="N3" s="246">
        <v>1</v>
      </c>
      <c r="O3" s="246">
        <v>0.75</v>
      </c>
      <c r="P3" s="246">
        <v>0.7</v>
      </c>
      <c r="Q3" s="107">
        <f t="shared" si="0"/>
        <v>0.72499999999999998</v>
      </c>
      <c r="R3" s="246">
        <v>15.8</v>
      </c>
      <c r="S3" s="246">
        <v>130</v>
      </c>
      <c r="T3" s="108">
        <f t="shared" si="1"/>
        <v>25</v>
      </c>
      <c r="U3" s="246">
        <v>98</v>
      </c>
      <c r="V3" s="109">
        <f t="shared" si="2"/>
        <v>2450</v>
      </c>
      <c r="W3" s="246">
        <v>4</v>
      </c>
      <c r="X3" s="246" t="s">
        <v>39</v>
      </c>
      <c r="Y3" s="246" t="s">
        <v>88</v>
      </c>
      <c r="Z3" s="246" t="s">
        <v>102</v>
      </c>
      <c r="AA3" s="246" t="s">
        <v>97</v>
      </c>
      <c r="AB3" s="246" t="s">
        <v>340</v>
      </c>
      <c r="AE3" s="116" t="s">
        <v>41</v>
      </c>
      <c r="AG3" s="111" t="s">
        <v>204</v>
      </c>
      <c r="AH3" s="111" t="s">
        <v>205</v>
      </c>
      <c r="AJ3" s="117" t="s">
        <v>42</v>
      </c>
      <c r="AL3" s="117" t="s">
        <v>206</v>
      </c>
      <c r="AN3" s="117" t="s">
        <v>43</v>
      </c>
      <c r="AP3" s="117" t="s">
        <v>44</v>
      </c>
      <c r="AR3" s="118" t="s">
        <v>45</v>
      </c>
      <c r="AT3" s="117" t="s">
        <v>46</v>
      </c>
      <c r="AV3" s="117" t="s">
        <v>47</v>
      </c>
      <c r="AX3" s="119">
        <v>72</v>
      </c>
      <c r="AY3" s="120">
        <v>46</v>
      </c>
      <c r="AZ3" s="120">
        <v>71</v>
      </c>
      <c r="BA3" s="121">
        <v>42</v>
      </c>
    </row>
    <row r="4" spans="1:53" s="115" customFormat="1" x14ac:dyDescent="0.15">
      <c r="A4" s="246" t="s">
        <v>51</v>
      </c>
      <c r="B4" s="246" t="s">
        <v>338</v>
      </c>
      <c r="C4" s="246">
        <v>2018</v>
      </c>
      <c r="D4" s="106" t="s">
        <v>398</v>
      </c>
      <c r="E4" s="246" t="s">
        <v>200</v>
      </c>
      <c r="F4" s="246" t="s">
        <v>201</v>
      </c>
      <c r="G4" s="246" t="s">
        <v>42</v>
      </c>
      <c r="H4" s="246" t="s">
        <v>157</v>
      </c>
      <c r="I4" s="246" t="s">
        <v>155</v>
      </c>
      <c r="J4" s="246" t="s">
        <v>38</v>
      </c>
      <c r="K4" s="246" t="s">
        <v>156</v>
      </c>
      <c r="L4" s="246">
        <v>3</v>
      </c>
      <c r="M4" s="246"/>
      <c r="N4" s="246">
        <v>1</v>
      </c>
      <c r="O4" s="246">
        <v>0.7</v>
      </c>
      <c r="P4" s="246">
        <v>0.7</v>
      </c>
      <c r="Q4" s="107">
        <f t="shared" si="0"/>
        <v>0.7</v>
      </c>
      <c r="R4" s="246">
        <v>16.3</v>
      </c>
      <c r="S4" s="246">
        <v>132</v>
      </c>
      <c r="T4" s="108">
        <f t="shared" si="1"/>
        <v>25</v>
      </c>
      <c r="U4" s="246">
        <v>98</v>
      </c>
      <c r="V4" s="109">
        <f t="shared" si="2"/>
        <v>2450</v>
      </c>
      <c r="W4" s="246">
        <v>4</v>
      </c>
      <c r="X4" s="246" t="s">
        <v>39</v>
      </c>
      <c r="Y4" s="246" t="s">
        <v>88</v>
      </c>
      <c r="Z4" s="246" t="s">
        <v>102</v>
      </c>
      <c r="AA4" s="246" t="s">
        <v>97</v>
      </c>
      <c r="AB4" s="246" t="s">
        <v>340</v>
      </c>
      <c r="AE4" s="116" t="s">
        <v>34</v>
      </c>
      <c r="AG4" s="111" t="s">
        <v>207</v>
      </c>
      <c r="AH4" s="111" t="s">
        <v>208</v>
      </c>
      <c r="AJ4" s="122" t="s">
        <v>48</v>
      </c>
      <c r="AL4" s="122" t="s">
        <v>209</v>
      </c>
      <c r="AN4" s="123" t="s">
        <v>210</v>
      </c>
      <c r="AP4" s="117" t="s">
        <v>211</v>
      </c>
      <c r="AR4" s="118" t="s">
        <v>212</v>
      </c>
      <c r="AT4" s="123"/>
      <c r="AV4" s="117" t="s">
        <v>50</v>
      </c>
      <c r="AX4" s="119">
        <v>75</v>
      </c>
      <c r="AY4" s="120">
        <v>42</v>
      </c>
      <c r="AZ4" s="120">
        <v>76</v>
      </c>
      <c r="BA4" s="121">
        <v>39</v>
      </c>
    </row>
    <row r="5" spans="1:53" s="115" customFormat="1" x14ac:dyDescent="0.15">
      <c r="A5" s="246" t="s">
        <v>51</v>
      </c>
      <c r="B5" s="246" t="s">
        <v>338</v>
      </c>
      <c r="C5" s="246">
        <v>2018</v>
      </c>
      <c r="D5" s="106" t="s">
        <v>398</v>
      </c>
      <c r="E5" s="246" t="s">
        <v>200</v>
      </c>
      <c r="F5" s="246" t="s">
        <v>201</v>
      </c>
      <c r="G5" s="246" t="s">
        <v>42</v>
      </c>
      <c r="H5" s="246" t="s">
        <v>203</v>
      </c>
      <c r="I5" s="246" t="s">
        <v>155</v>
      </c>
      <c r="J5" s="246" t="s">
        <v>80</v>
      </c>
      <c r="K5" s="246" t="s">
        <v>45</v>
      </c>
      <c r="L5" s="246">
        <v>1</v>
      </c>
      <c r="M5" s="246"/>
      <c r="N5" s="246">
        <v>4</v>
      </c>
      <c r="O5" s="246">
        <v>0.55000000000000004</v>
      </c>
      <c r="P5" s="246">
        <v>0.5</v>
      </c>
      <c r="Q5" s="107">
        <f t="shared" si="0"/>
        <v>0.52500000000000002</v>
      </c>
      <c r="R5" s="246">
        <v>13.4</v>
      </c>
      <c r="S5" s="246">
        <v>85</v>
      </c>
      <c r="T5" s="108">
        <f t="shared" si="1"/>
        <v>36</v>
      </c>
      <c r="U5" s="246">
        <v>298</v>
      </c>
      <c r="V5" s="109">
        <f t="shared" si="2"/>
        <v>2682</v>
      </c>
      <c r="W5" s="246">
        <v>4</v>
      </c>
      <c r="X5" s="246" t="s">
        <v>39</v>
      </c>
      <c r="Y5" s="246" t="s">
        <v>88</v>
      </c>
      <c r="Z5" s="246" t="s">
        <v>102</v>
      </c>
      <c r="AA5" s="246" t="s">
        <v>97</v>
      </c>
      <c r="AB5" s="246" t="s">
        <v>340</v>
      </c>
      <c r="AE5" s="116" t="s">
        <v>51</v>
      </c>
      <c r="AG5" s="111" t="s">
        <v>213</v>
      </c>
      <c r="AH5" s="111" t="s">
        <v>201</v>
      </c>
      <c r="AJ5" s="123"/>
      <c r="AL5" s="124" t="s">
        <v>157</v>
      </c>
      <c r="AN5" s="124" t="s">
        <v>155</v>
      </c>
      <c r="AP5" s="117" t="s">
        <v>214</v>
      </c>
      <c r="AR5" s="118" t="s">
        <v>54</v>
      </c>
      <c r="AV5" s="117" t="s">
        <v>55</v>
      </c>
      <c r="AX5" s="119">
        <v>84</v>
      </c>
      <c r="AY5" s="120">
        <v>39</v>
      </c>
      <c r="AZ5" s="120">
        <v>84</v>
      </c>
      <c r="BA5" s="121">
        <v>36</v>
      </c>
    </row>
    <row r="6" spans="1:53" s="115" customFormat="1" x14ac:dyDescent="0.15">
      <c r="A6" s="246" t="s">
        <v>51</v>
      </c>
      <c r="B6" s="246" t="s">
        <v>338</v>
      </c>
      <c r="C6" s="246">
        <v>2018</v>
      </c>
      <c r="D6" s="106" t="s">
        <v>398</v>
      </c>
      <c r="E6" s="246" t="s">
        <v>200</v>
      </c>
      <c r="F6" s="246" t="s">
        <v>201</v>
      </c>
      <c r="G6" s="246" t="s">
        <v>42</v>
      </c>
      <c r="H6" s="246" t="s">
        <v>203</v>
      </c>
      <c r="I6" s="246" t="s">
        <v>155</v>
      </c>
      <c r="J6" s="246" t="s">
        <v>80</v>
      </c>
      <c r="K6" s="246" t="s">
        <v>45</v>
      </c>
      <c r="L6" s="246">
        <v>2</v>
      </c>
      <c r="M6" s="246"/>
      <c r="N6" s="246">
        <v>4</v>
      </c>
      <c r="O6" s="246">
        <v>0.5</v>
      </c>
      <c r="P6" s="246">
        <v>0.5</v>
      </c>
      <c r="Q6" s="107">
        <f t="shared" si="0"/>
        <v>0.5</v>
      </c>
      <c r="R6" s="246">
        <v>13.8</v>
      </c>
      <c r="S6" s="246">
        <v>79</v>
      </c>
      <c r="T6" s="108">
        <f t="shared" si="1"/>
        <v>39</v>
      </c>
      <c r="U6" s="246">
        <v>298</v>
      </c>
      <c r="V6" s="109">
        <f t="shared" si="2"/>
        <v>2905.5</v>
      </c>
      <c r="W6" s="246">
        <v>4</v>
      </c>
      <c r="X6" s="246" t="s">
        <v>39</v>
      </c>
      <c r="Y6" s="246" t="s">
        <v>88</v>
      </c>
      <c r="Z6" s="246" t="s">
        <v>102</v>
      </c>
      <c r="AA6" s="246" t="s">
        <v>97</v>
      </c>
      <c r="AB6" s="246" t="s">
        <v>340</v>
      </c>
      <c r="AE6" s="116" t="s">
        <v>56</v>
      </c>
      <c r="AG6" s="111" t="s">
        <v>215</v>
      </c>
      <c r="AH6" s="111" t="s">
        <v>216</v>
      </c>
      <c r="AL6" s="124" t="s">
        <v>217</v>
      </c>
      <c r="AN6" s="124" t="s">
        <v>158</v>
      </c>
      <c r="AP6" s="117" t="s">
        <v>53</v>
      </c>
      <c r="AR6" s="118" t="s">
        <v>59</v>
      </c>
      <c r="AV6" s="117" t="s">
        <v>60</v>
      </c>
      <c r="AX6" s="119">
        <v>97</v>
      </c>
      <c r="AY6" s="120">
        <v>36</v>
      </c>
      <c r="AZ6" s="120">
        <v>99</v>
      </c>
      <c r="BA6" s="121">
        <v>33</v>
      </c>
    </row>
    <row r="7" spans="1:53" s="115" customFormat="1" x14ac:dyDescent="0.15">
      <c r="A7" s="246" t="s">
        <v>51</v>
      </c>
      <c r="B7" s="246" t="s">
        <v>338</v>
      </c>
      <c r="C7" s="246">
        <v>2018</v>
      </c>
      <c r="D7" s="106" t="s">
        <v>398</v>
      </c>
      <c r="E7" s="246" t="s">
        <v>200</v>
      </c>
      <c r="F7" s="246" t="s">
        <v>201</v>
      </c>
      <c r="G7" s="246" t="s">
        <v>42</v>
      </c>
      <c r="H7" s="246" t="s">
        <v>203</v>
      </c>
      <c r="I7" s="246" t="s">
        <v>155</v>
      </c>
      <c r="J7" s="246" t="s">
        <v>80</v>
      </c>
      <c r="K7" s="246" t="s">
        <v>45</v>
      </c>
      <c r="L7" s="246">
        <v>3</v>
      </c>
      <c r="M7" s="246"/>
      <c r="N7" s="246">
        <v>4</v>
      </c>
      <c r="O7" s="246">
        <v>0.5</v>
      </c>
      <c r="P7" s="246">
        <v>0.6</v>
      </c>
      <c r="Q7" s="107">
        <f t="shared" si="0"/>
        <v>0.55000000000000004</v>
      </c>
      <c r="R7" s="246">
        <v>14.1</v>
      </c>
      <c r="S7" s="246">
        <v>78</v>
      </c>
      <c r="T7" s="108">
        <f t="shared" si="1"/>
        <v>39</v>
      </c>
      <c r="U7" s="246">
        <v>298</v>
      </c>
      <c r="V7" s="109">
        <f t="shared" si="2"/>
        <v>2905.5</v>
      </c>
      <c r="W7" s="246">
        <v>4</v>
      </c>
      <c r="X7" s="246" t="s">
        <v>39</v>
      </c>
      <c r="Y7" s="246" t="s">
        <v>88</v>
      </c>
      <c r="Z7" s="246" t="s">
        <v>102</v>
      </c>
      <c r="AA7" s="246" t="s">
        <v>97</v>
      </c>
      <c r="AB7" s="246" t="s">
        <v>340</v>
      </c>
      <c r="AE7" s="116" t="s">
        <v>61</v>
      </c>
      <c r="AG7" s="111" t="s">
        <v>218</v>
      </c>
      <c r="AH7" s="111" t="s">
        <v>202</v>
      </c>
      <c r="AL7" s="115" t="s">
        <v>219</v>
      </c>
      <c r="AP7" s="117" t="s">
        <v>58</v>
      </c>
      <c r="AR7" s="118" t="s">
        <v>220</v>
      </c>
      <c r="AV7" s="117" t="s">
        <v>64</v>
      </c>
      <c r="AX7" s="119">
        <v>109</v>
      </c>
      <c r="AY7" s="120">
        <v>33</v>
      </c>
      <c r="AZ7" s="120">
        <v>113</v>
      </c>
      <c r="BA7" s="121">
        <v>30</v>
      </c>
    </row>
    <row r="8" spans="1:53" s="115" customFormat="1" x14ac:dyDescent="0.15">
      <c r="A8" s="246" t="s">
        <v>51</v>
      </c>
      <c r="B8" s="246" t="s">
        <v>338</v>
      </c>
      <c r="C8" s="246">
        <v>2018</v>
      </c>
      <c r="D8" s="106" t="s">
        <v>398</v>
      </c>
      <c r="E8" s="246" t="s">
        <v>200</v>
      </c>
      <c r="F8" s="246" t="s">
        <v>201</v>
      </c>
      <c r="G8" s="246" t="s">
        <v>42</v>
      </c>
      <c r="H8" s="246" t="s">
        <v>165</v>
      </c>
      <c r="I8" s="246" t="s">
        <v>155</v>
      </c>
      <c r="J8" s="246" t="s">
        <v>38</v>
      </c>
      <c r="K8" s="246" t="s">
        <v>156</v>
      </c>
      <c r="L8" s="246">
        <v>1</v>
      </c>
      <c r="M8" s="246"/>
      <c r="N8" s="246">
        <v>1</v>
      </c>
      <c r="O8" s="246">
        <v>0.75</v>
      </c>
      <c r="P8" s="246">
        <v>0.7</v>
      </c>
      <c r="Q8" s="107">
        <f t="shared" si="0"/>
        <v>0.72499999999999998</v>
      </c>
      <c r="R8" s="246">
        <v>15</v>
      </c>
      <c r="S8" s="246">
        <v>134</v>
      </c>
      <c r="T8" s="108">
        <f t="shared" si="1"/>
        <v>25</v>
      </c>
      <c r="U8" s="246">
        <v>128</v>
      </c>
      <c r="V8" s="109">
        <f t="shared" si="2"/>
        <v>3200</v>
      </c>
      <c r="W8" s="246">
        <v>4</v>
      </c>
      <c r="X8" s="246" t="s">
        <v>39</v>
      </c>
      <c r="Y8" s="246" t="s">
        <v>88</v>
      </c>
      <c r="Z8" s="246" t="s">
        <v>102</v>
      </c>
      <c r="AA8" s="246" t="s">
        <v>97</v>
      </c>
      <c r="AB8" s="246" t="s">
        <v>340</v>
      </c>
      <c r="AE8" s="116" t="s">
        <v>59</v>
      </c>
      <c r="AG8" s="111" t="s">
        <v>221</v>
      </c>
      <c r="AH8" s="111" t="s">
        <v>222</v>
      </c>
      <c r="AL8" s="115" t="s">
        <v>165</v>
      </c>
      <c r="AP8" s="117" t="s">
        <v>62</v>
      </c>
      <c r="AR8" s="118" t="s">
        <v>81</v>
      </c>
      <c r="AV8" s="117" t="s">
        <v>97</v>
      </c>
      <c r="AX8" s="119">
        <v>119</v>
      </c>
      <c r="AY8" s="120">
        <v>30</v>
      </c>
      <c r="AZ8" s="120">
        <v>121</v>
      </c>
      <c r="BA8" s="121">
        <v>27</v>
      </c>
    </row>
    <row r="9" spans="1:53" s="115" customFormat="1" x14ac:dyDescent="0.15">
      <c r="A9" s="246" t="s">
        <v>51</v>
      </c>
      <c r="B9" s="246" t="s">
        <v>338</v>
      </c>
      <c r="C9" s="246">
        <v>2018</v>
      </c>
      <c r="D9" s="106" t="s">
        <v>398</v>
      </c>
      <c r="E9" s="246" t="s">
        <v>200</v>
      </c>
      <c r="F9" s="246" t="s">
        <v>201</v>
      </c>
      <c r="G9" s="246" t="s">
        <v>42</v>
      </c>
      <c r="H9" s="246" t="s">
        <v>165</v>
      </c>
      <c r="I9" s="246" t="s">
        <v>155</v>
      </c>
      <c r="J9" s="246" t="s">
        <v>38</v>
      </c>
      <c r="K9" s="246" t="s">
        <v>156</v>
      </c>
      <c r="L9" s="246">
        <v>2</v>
      </c>
      <c r="M9" s="246"/>
      <c r="N9" s="246">
        <v>1</v>
      </c>
      <c r="O9" s="246">
        <v>0.8</v>
      </c>
      <c r="P9" s="246">
        <v>0.75</v>
      </c>
      <c r="Q9" s="107">
        <f t="shared" si="0"/>
        <v>0.77500000000000002</v>
      </c>
      <c r="R9" s="246">
        <v>16.100000000000001</v>
      </c>
      <c r="S9" s="246">
        <v>136</v>
      </c>
      <c r="T9" s="108">
        <f t="shared" si="1"/>
        <v>25</v>
      </c>
      <c r="U9" s="246">
        <v>128</v>
      </c>
      <c r="V9" s="109">
        <f t="shared" si="2"/>
        <v>3200</v>
      </c>
      <c r="W9" s="246">
        <v>4</v>
      </c>
      <c r="X9" s="246" t="s">
        <v>39</v>
      </c>
      <c r="Y9" s="246" t="s">
        <v>88</v>
      </c>
      <c r="Z9" s="246" t="s">
        <v>102</v>
      </c>
      <c r="AA9" s="246" t="s">
        <v>97</v>
      </c>
      <c r="AB9" s="246" t="s">
        <v>340</v>
      </c>
      <c r="AE9" s="116" t="s">
        <v>223</v>
      </c>
      <c r="AG9" s="111" t="s">
        <v>224</v>
      </c>
      <c r="AH9" s="111" t="s">
        <v>201</v>
      </c>
      <c r="AL9" s="124"/>
      <c r="AP9" s="117" t="s">
        <v>95</v>
      </c>
      <c r="AR9" s="118" t="s">
        <v>225</v>
      </c>
      <c r="AV9" s="117" t="s">
        <v>102</v>
      </c>
      <c r="AX9" s="119">
        <v>128</v>
      </c>
      <c r="AY9" s="120">
        <v>27</v>
      </c>
      <c r="AZ9" s="120">
        <v>129</v>
      </c>
      <c r="BA9" s="121">
        <v>25</v>
      </c>
    </row>
    <row r="10" spans="1:53" s="115" customFormat="1" x14ac:dyDescent="0.15">
      <c r="A10" s="246" t="s">
        <v>51</v>
      </c>
      <c r="B10" s="246" t="s">
        <v>338</v>
      </c>
      <c r="C10" s="246">
        <v>2018</v>
      </c>
      <c r="D10" s="106" t="s">
        <v>398</v>
      </c>
      <c r="E10" s="246" t="s">
        <v>200</v>
      </c>
      <c r="F10" s="246" t="s">
        <v>201</v>
      </c>
      <c r="G10" s="246" t="s">
        <v>42</v>
      </c>
      <c r="H10" s="246" t="s">
        <v>165</v>
      </c>
      <c r="I10" s="246" t="s">
        <v>155</v>
      </c>
      <c r="J10" s="246" t="s">
        <v>38</v>
      </c>
      <c r="K10" s="246" t="s">
        <v>156</v>
      </c>
      <c r="L10" s="246">
        <v>3</v>
      </c>
      <c r="M10" s="246"/>
      <c r="N10" s="246">
        <v>1</v>
      </c>
      <c r="O10" s="246">
        <v>0.75</v>
      </c>
      <c r="P10" s="246">
        <v>0.7</v>
      </c>
      <c r="Q10" s="107">
        <f t="shared" si="0"/>
        <v>0.72499999999999998</v>
      </c>
      <c r="R10" s="246">
        <v>15.7</v>
      </c>
      <c r="S10" s="246">
        <v>134</v>
      </c>
      <c r="T10" s="108">
        <f t="shared" si="1"/>
        <v>25</v>
      </c>
      <c r="U10" s="246">
        <v>128</v>
      </c>
      <c r="V10" s="109">
        <f t="shared" si="2"/>
        <v>3200</v>
      </c>
      <c r="W10" s="246">
        <v>4</v>
      </c>
      <c r="X10" s="246" t="s">
        <v>39</v>
      </c>
      <c r="Y10" s="246" t="s">
        <v>88</v>
      </c>
      <c r="Z10" s="246" t="s">
        <v>102</v>
      </c>
      <c r="AA10" s="246" t="s">
        <v>97</v>
      </c>
      <c r="AB10" s="246" t="s">
        <v>340</v>
      </c>
      <c r="AE10" s="116" t="s">
        <v>226</v>
      </c>
      <c r="AG10" s="111" t="s">
        <v>200</v>
      </c>
      <c r="AH10" s="117" t="s">
        <v>201</v>
      </c>
      <c r="AP10" s="117" t="s">
        <v>100</v>
      </c>
      <c r="AR10" s="118" t="s">
        <v>227</v>
      </c>
      <c r="AV10" s="117" t="s">
        <v>106</v>
      </c>
      <c r="AX10" s="119">
        <v>138</v>
      </c>
      <c r="AY10" s="120">
        <v>25</v>
      </c>
      <c r="AZ10" s="120">
        <v>138</v>
      </c>
      <c r="BA10" s="121">
        <v>22</v>
      </c>
    </row>
    <row r="11" spans="1:53" s="115" customFormat="1" x14ac:dyDescent="0.15">
      <c r="A11" s="246" t="s">
        <v>51</v>
      </c>
      <c r="B11" s="246" t="s">
        <v>338</v>
      </c>
      <c r="C11" s="246">
        <v>2018</v>
      </c>
      <c r="D11" s="106" t="s">
        <v>398</v>
      </c>
      <c r="E11" s="246" t="s">
        <v>204</v>
      </c>
      <c r="F11" s="246" t="s">
        <v>205</v>
      </c>
      <c r="G11" s="246" t="s">
        <v>36</v>
      </c>
      <c r="H11" s="246" t="s">
        <v>157</v>
      </c>
      <c r="I11" s="246" t="s">
        <v>155</v>
      </c>
      <c r="J11" s="246" t="s">
        <v>38</v>
      </c>
      <c r="K11" s="246" t="s">
        <v>156</v>
      </c>
      <c r="L11" s="246">
        <v>1</v>
      </c>
      <c r="M11" s="246"/>
      <c r="N11" s="246">
        <v>3</v>
      </c>
      <c r="O11" s="246">
        <v>0.95</v>
      </c>
      <c r="P11" s="246">
        <v>1</v>
      </c>
      <c r="Q11" s="107">
        <f t="shared" si="0"/>
        <v>0.97499999999999998</v>
      </c>
      <c r="R11" s="246">
        <v>15.8</v>
      </c>
      <c r="S11" s="246">
        <v>156</v>
      </c>
      <c r="T11" s="108">
        <f t="shared" si="1"/>
        <v>18</v>
      </c>
      <c r="U11" s="246">
        <v>398</v>
      </c>
      <c r="V11" s="109">
        <f t="shared" si="2"/>
        <v>2388</v>
      </c>
      <c r="W11" s="246">
        <v>5</v>
      </c>
      <c r="X11" s="246" t="s">
        <v>39</v>
      </c>
      <c r="Y11" s="246" t="s">
        <v>88</v>
      </c>
      <c r="Z11" s="246" t="s">
        <v>78</v>
      </c>
      <c r="AA11" s="246" t="s">
        <v>97</v>
      </c>
      <c r="AB11" s="246" t="s">
        <v>340</v>
      </c>
      <c r="AE11" s="116" t="s">
        <v>68</v>
      </c>
      <c r="AG11" s="111" t="s">
        <v>139</v>
      </c>
      <c r="AH11" s="117" t="s">
        <v>399</v>
      </c>
      <c r="AP11" s="117" t="s">
        <v>104</v>
      </c>
      <c r="AR11" s="118" t="s">
        <v>228</v>
      </c>
      <c r="AV11" s="117" t="s">
        <v>69</v>
      </c>
      <c r="AX11" s="119">
        <v>151</v>
      </c>
      <c r="AY11" s="120">
        <v>22</v>
      </c>
      <c r="AZ11" s="120">
        <v>152</v>
      </c>
      <c r="BA11" s="121">
        <v>18</v>
      </c>
    </row>
    <row r="12" spans="1:53" s="115" customFormat="1" x14ac:dyDescent="0.15">
      <c r="A12" s="246" t="s">
        <v>51</v>
      </c>
      <c r="B12" s="246" t="s">
        <v>338</v>
      </c>
      <c r="C12" s="246">
        <v>2018</v>
      </c>
      <c r="D12" s="106" t="s">
        <v>398</v>
      </c>
      <c r="E12" s="246" t="s">
        <v>204</v>
      </c>
      <c r="F12" s="246" t="s">
        <v>205</v>
      </c>
      <c r="G12" s="246" t="s">
        <v>36</v>
      </c>
      <c r="H12" s="246" t="s">
        <v>157</v>
      </c>
      <c r="I12" s="246" t="s">
        <v>155</v>
      </c>
      <c r="J12" s="246" t="s">
        <v>38</v>
      </c>
      <c r="K12" s="246" t="s">
        <v>156</v>
      </c>
      <c r="L12" s="246">
        <v>2</v>
      </c>
      <c r="M12" s="246"/>
      <c r="N12" s="246">
        <v>3</v>
      </c>
      <c r="O12" s="246">
        <v>0.9</v>
      </c>
      <c r="P12" s="246">
        <v>0.9</v>
      </c>
      <c r="Q12" s="107">
        <f t="shared" si="0"/>
        <v>0.9</v>
      </c>
      <c r="R12" s="246">
        <v>16.600000000000001</v>
      </c>
      <c r="S12" s="246">
        <v>176</v>
      </c>
      <c r="T12" s="108">
        <f t="shared" si="1"/>
        <v>18</v>
      </c>
      <c r="U12" s="246">
        <v>398</v>
      </c>
      <c r="V12" s="109">
        <f t="shared" si="2"/>
        <v>2388</v>
      </c>
      <c r="W12" s="246">
        <v>5</v>
      </c>
      <c r="X12" s="246" t="s">
        <v>39</v>
      </c>
      <c r="Y12" s="246" t="s">
        <v>88</v>
      </c>
      <c r="Z12" s="246" t="s">
        <v>78</v>
      </c>
      <c r="AA12" s="246" t="s">
        <v>97</v>
      </c>
      <c r="AB12" s="246" t="s">
        <v>340</v>
      </c>
      <c r="AE12" s="116" t="s">
        <v>229</v>
      </c>
      <c r="AG12" s="117"/>
      <c r="AH12" s="117"/>
      <c r="AP12" s="117" t="s">
        <v>67</v>
      </c>
      <c r="AR12" s="118" t="s">
        <v>230</v>
      </c>
      <c r="AV12" s="117" t="s">
        <v>72</v>
      </c>
      <c r="AX12" s="125">
        <v>180</v>
      </c>
      <c r="AY12" s="126">
        <v>18</v>
      </c>
      <c r="AZ12" s="126">
        <v>181</v>
      </c>
      <c r="BA12" s="127">
        <v>16</v>
      </c>
    </row>
    <row r="13" spans="1:53" s="115" customFormat="1" x14ac:dyDescent="0.15">
      <c r="A13" s="246" t="s">
        <v>51</v>
      </c>
      <c r="B13" s="246" t="s">
        <v>338</v>
      </c>
      <c r="C13" s="246">
        <v>2018</v>
      </c>
      <c r="D13" s="106" t="s">
        <v>398</v>
      </c>
      <c r="E13" s="246" t="s">
        <v>204</v>
      </c>
      <c r="F13" s="246" t="s">
        <v>205</v>
      </c>
      <c r="G13" s="246" t="s">
        <v>36</v>
      </c>
      <c r="H13" s="246" t="s">
        <v>157</v>
      </c>
      <c r="I13" s="246" t="s">
        <v>155</v>
      </c>
      <c r="J13" s="246" t="s">
        <v>38</v>
      </c>
      <c r="K13" s="246" t="s">
        <v>156</v>
      </c>
      <c r="L13" s="246">
        <v>3</v>
      </c>
      <c r="M13" s="246"/>
      <c r="N13" s="246">
        <v>3</v>
      </c>
      <c r="O13" s="246">
        <v>0.85</v>
      </c>
      <c r="P13" s="246">
        <v>0.85</v>
      </c>
      <c r="Q13" s="107">
        <f t="shared" si="0"/>
        <v>0.85</v>
      </c>
      <c r="R13" s="246">
        <v>16.3</v>
      </c>
      <c r="S13" s="246">
        <v>174</v>
      </c>
      <c r="T13" s="108">
        <f t="shared" si="1"/>
        <v>18</v>
      </c>
      <c r="U13" s="246">
        <v>398</v>
      </c>
      <c r="V13" s="109">
        <f t="shared" si="2"/>
        <v>2388</v>
      </c>
      <c r="W13" s="246">
        <v>5</v>
      </c>
      <c r="X13" s="246" t="s">
        <v>39</v>
      </c>
      <c r="Y13" s="246" t="s">
        <v>88</v>
      </c>
      <c r="Z13" s="246" t="s">
        <v>78</v>
      </c>
      <c r="AA13" s="246" t="s">
        <v>97</v>
      </c>
      <c r="AB13" s="246" t="s">
        <v>340</v>
      </c>
      <c r="AE13" s="116" t="s">
        <v>231</v>
      </c>
      <c r="AG13" s="117"/>
      <c r="AH13" s="117"/>
      <c r="AP13" s="117" t="s">
        <v>71</v>
      </c>
      <c r="AR13" s="118" t="s">
        <v>226</v>
      </c>
      <c r="AV13" s="117" t="s">
        <v>75</v>
      </c>
    </row>
    <row r="14" spans="1:53" s="115" customFormat="1" x14ac:dyDescent="0.15">
      <c r="A14" s="246" t="s">
        <v>51</v>
      </c>
      <c r="B14" s="246" t="s">
        <v>338</v>
      </c>
      <c r="C14" s="246">
        <v>2018</v>
      </c>
      <c r="D14" s="106" t="s">
        <v>398</v>
      </c>
      <c r="E14" s="246" t="s">
        <v>204</v>
      </c>
      <c r="F14" s="246" t="s">
        <v>205</v>
      </c>
      <c r="G14" s="246" t="s">
        <v>36</v>
      </c>
      <c r="H14" s="246" t="s">
        <v>165</v>
      </c>
      <c r="I14" s="246" t="s">
        <v>155</v>
      </c>
      <c r="J14" s="246" t="s">
        <v>38</v>
      </c>
      <c r="K14" s="246" t="s">
        <v>156</v>
      </c>
      <c r="L14" s="246">
        <v>1</v>
      </c>
      <c r="M14" s="246"/>
      <c r="N14" s="246">
        <v>3</v>
      </c>
      <c r="O14" s="246">
        <v>0.75</v>
      </c>
      <c r="P14" s="246">
        <v>0.8</v>
      </c>
      <c r="Q14" s="107">
        <f t="shared" si="0"/>
        <v>0.77500000000000002</v>
      </c>
      <c r="R14" s="246">
        <v>17.899999999999999</v>
      </c>
      <c r="S14" s="246">
        <v>158</v>
      </c>
      <c r="T14" s="108">
        <f t="shared" si="1"/>
        <v>18</v>
      </c>
      <c r="U14" s="246">
        <v>398</v>
      </c>
      <c r="V14" s="109">
        <f t="shared" si="2"/>
        <v>2388</v>
      </c>
      <c r="W14" s="246">
        <v>5</v>
      </c>
      <c r="X14" s="246" t="s">
        <v>39</v>
      </c>
      <c r="Y14" s="246" t="s">
        <v>88</v>
      </c>
      <c r="Z14" s="246" t="s">
        <v>78</v>
      </c>
      <c r="AA14" s="246" t="s">
        <v>97</v>
      </c>
      <c r="AB14" s="246" t="s">
        <v>340</v>
      </c>
      <c r="AE14" s="116" t="s">
        <v>96</v>
      </c>
      <c r="AG14" s="117"/>
      <c r="AH14" s="117"/>
      <c r="AP14" s="117" t="s">
        <v>74</v>
      </c>
      <c r="AR14" s="118" t="s">
        <v>232</v>
      </c>
      <c r="AV14" s="117" t="s">
        <v>78</v>
      </c>
    </row>
    <row r="15" spans="1:53" s="115" customFormat="1" x14ac:dyDescent="0.15">
      <c r="A15" s="246" t="s">
        <v>51</v>
      </c>
      <c r="B15" s="246" t="s">
        <v>338</v>
      </c>
      <c r="C15" s="246">
        <v>2018</v>
      </c>
      <c r="D15" s="106" t="s">
        <v>398</v>
      </c>
      <c r="E15" s="246" t="s">
        <v>204</v>
      </c>
      <c r="F15" s="246" t="s">
        <v>205</v>
      </c>
      <c r="G15" s="246" t="s">
        <v>36</v>
      </c>
      <c r="H15" s="246" t="s">
        <v>165</v>
      </c>
      <c r="I15" s="246" t="s">
        <v>155</v>
      </c>
      <c r="J15" s="246" t="s">
        <v>38</v>
      </c>
      <c r="K15" s="246" t="s">
        <v>156</v>
      </c>
      <c r="L15" s="246">
        <v>2</v>
      </c>
      <c r="M15" s="246"/>
      <c r="N15" s="246">
        <v>3</v>
      </c>
      <c r="O15" s="246">
        <v>0.65</v>
      </c>
      <c r="P15" s="246">
        <v>0.75</v>
      </c>
      <c r="Q15" s="107">
        <f t="shared" si="0"/>
        <v>0.7</v>
      </c>
      <c r="R15" s="246">
        <v>18.100000000000001</v>
      </c>
      <c r="S15" s="246">
        <v>152</v>
      </c>
      <c r="T15" s="108">
        <f t="shared" si="1"/>
        <v>18</v>
      </c>
      <c r="U15" s="246">
        <v>398</v>
      </c>
      <c r="V15" s="109">
        <f t="shared" si="2"/>
        <v>2388</v>
      </c>
      <c r="W15" s="246">
        <v>5</v>
      </c>
      <c r="X15" s="246" t="s">
        <v>39</v>
      </c>
      <c r="Y15" s="246" t="s">
        <v>88</v>
      </c>
      <c r="Z15" s="246" t="s">
        <v>78</v>
      </c>
      <c r="AA15" s="246" t="s">
        <v>97</v>
      </c>
      <c r="AB15" s="246" t="s">
        <v>340</v>
      </c>
      <c r="AE15" s="116" t="s">
        <v>233</v>
      </c>
      <c r="AG15" s="117"/>
      <c r="AH15" s="117"/>
      <c r="AP15" s="117" t="s">
        <v>77</v>
      </c>
      <c r="AR15" s="118" t="s">
        <v>80</v>
      </c>
      <c r="AV15" s="117" t="s">
        <v>107</v>
      </c>
    </row>
    <row r="16" spans="1:53" s="115" customFormat="1" x14ac:dyDescent="0.15">
      <c r="A16" s="246" t="s">
        <v>51</v>
      </c>
      <c r="B16" s="246" t="s">
        <v>338</v>
      </c>
      <c r="C16" s="246">
        <v>2018</v>
      </c>
      <c r="D16" s="106" t="s">
        <v>398</v>
      </c>
      <c r="E16" s="246" t="s">
        <v>204</v>
      </c>
      <c r="F16" s="246" t="s">
        <v>205</v>
      </c>
      <c r="G16" s="246" t="s">
        <v>36</v>
      </c>
      <c r="H16" s="246" t="s">
        <v>165</v>
      </c>
      <c r="I16" s="246" t="s">
        <v>155</v>
      </c>
      <c r="J16" s="246" t="s">
        <v>38</v>
      </c>
      <c r="K16" s="246" t="s">
        <v>156</v>
      </c>
      <c r="L16" s="246">
        <v>3</v>
      </c>
      <c r="M16" s="246"/>
      <c r="N16" s="246">
        <v>3</v>
      </c>
      <c r="O16" s="246">
        <v>0.75</v>
      </c>
      <c r="P16" s="246">
        <v>0.75</v>
      </c>
      <c r="Q16" s="107">
        <f t="shared" si="0"/>
        <v>0.75</v>
      </c>
      <c r="R16" s="246">
        <v>18.600000000000001</v>
      </c>
      <c r="S16" s="246">
        <v>180</v>
      </c>
      <c r="T16" s="108">
        <f t="shared" si="1"/>
        <v>18</v>
      </c>
      <c r="U16" s="246">
        <v>398</v>
      </c>
      <c r="V16" s="109">
        <f t="shared" si="2"/>
        <v>2388</v>
      </c>
      <c r="W16" s="246">
        <v>5</v>
      </c>
      <c r="X16" s="246" t="s">
        <v>39</v>
      </c>
      <c r="Y16" s="246" t="s">
        <v>88</v>
      </c>
      <c r="Z16" s="246" t="s">
        <v>78</v>
      </c>
      <c r="AA16" s="246" t="s">
        <v>97</v>
      </c>
      <c r="AB16" s="246" t="s">
        <v>340</v>
      </c>
      <c r="AE16" s="116" t="s">
        <v>234</v>
      </c>
      <c r="AG16" s="123"/>
      <c r="AH16" s="123"/>
      <c r="AP16" s="117" t="s">
        <v>80</v>
      </c>
      <c r="AR16" s="118" t="s">
        <v>63</v>
      </c>
      <c r="AV16" s="117" t="s">
        <v>84</v>
      </c>
    </row>
    <row r="17" spans="1:48" s="115" customFormat="1" x14ac:dyDescent="0.15">
      <c r="A17" s="246" t="s">
        <v>51</v>
      </c>
      <c r="B17" s="246" t="s">
        <v>338</v>
      </c>
      <c r="C17" s="246">
        <v>2018</v>
      </c>
      <c r="D17" s="106" t="s">
        <v>398</v>
      </c>
      <c r="E17" s="246" t="s">
        <v>139</v>
      </c>
      <c r="F17" s="246" t="s">
        <v>399</v>
      </c>
      <c r="G17" s="246" t="s">
        <v>42</v>
      </c>
      <c r="H17" s="246" t="s">
        <v>157</v>
      </c>
      <c r="I17" s="246" t="s">
        <v>155</v>
      </c>
      <c r="J17" s="246" t="s">
        <v>38</v>
      </c>
      <c r="K17" s="246" t="s">
        <v>156</v>
      </c>
      <c r="L17" s="246">
        <v>1</v>
      </c>
      <c r="M17" s="246"/>
      <c r="N17" s="246">
        <v>1</v>
      </c>
      <c r="O17" s="246">
        <v>0.85</v>
      </c>
      <c r="P17" s="246">
        <v>0.85</v>
      </c>
      <c r="Q17" s="107">
        <f t="shared" si="0"/>
        <v>0.85</v>
      </c>
      <c r="R17" s="246">
        <v>14.5</v>
      </c>
      <c r="S17" s="246">
        <v>116</v>
      </c>
      <c r="T17" s="108">
        <f t="shared" si="1"/>
        <v>30</v>
      </c>
      <c r="U17" s="246">
        <v>100</v>
      </c>
      <c r="V17" s="109">
        <f t="shared" si="2"/>
        <v>3000</v>
      </c>
      <c r="W17" s="246">
        <v>10</v>
      </c>
      <c r="X17" s="246" t="s">
        <v>46</v>
      </c>
      <c r="Y17" s="246" t="s">
        <v>97</v>
      </c>
      <c r="Z17" s="246" t="s">
        <v>78</v>
      </c>
      <c r="AA17" s="246" t="s">
        <v>69</v>
      </c>
      <c r="AB17" s="246" t="s">
        <v>340</v>
      </c>
      <c r="AE17" s="116" t="s">
        <v>235</v>
      </c>
      <c r="AP17" s="128" t="s">
        <v>236</v>
      </c>
      <c r="AR17" s="118" t="s">
        <v>96</v>
      </c>
      <c r="AV17" s="117" t="s">
        <v>86</v>
      </c>
    </row>
    <row r="18" spans="1:48" s="115" customFormat="1" x14ac:dyDescent="0.15">
      <c r="A18" s="246" t="s">
        <v>51</v>
      </c>
      <c r="B18" s="246" t="s">
        <v>338</v>
      </c>
      <c r="C18" s="246">
        <v>2018</v>
      </c>
      <c r="D18" s="106" t="s">
        <v>398</v>
      </c>
      <c r="E18" s="246" t="s">
        <v>139</v>
      </c>
      <c r="F18" s="246" t="s">
        <v>399</v>
      </c>
      <c r="G18" s="246" t="s">
        <v>42</v>
      </c>
      <c r="H18" s="246" t="s">
        <v>157</v>
      </c>
      <c r="I18" s="246" t="s">
        <v>155</v>
      </c>
      <c r="J18" s="246" t="s">
        <v>38</v>
      </c>
      <c r="K18" s="246" t="s">
        <v>156</v>
      </c>
      <c r="L18" s="246">
        <v>2</v>
      </c>
      <c r="M18" s="246"/>
      <c r="N18" s="246">
        <v>1</v>
      </c>
      <c r="O18" s="246">
        <v>0.8</v>
      </c>
      <c r="P18" s="246">
        <v>0.8</v>
      </c>
      <c r="Q18" s="107">
        <f t="shared" si="0"/>
        <v>0.8</v>
      </c>
      <c r="R18" s="246">
        <v>14.8</v>
      </c>
      <c r="S18" s="246">
        <v>124</v>
      </c>
      <c r="T18" s="108">
        <f t="shared" si="1"/>
        <v>27</v>
      </c>
      <c r="U18" s="246">
        <v>100</v>
      </c>
      <c r="V18" s="109">
        <f t="shared" si="2"/>
        <v>2700</v>
      </c>
      <c r="W18" s="246">
        <v>10</v>
      </c>
      <c r="X18" s="246" t="s">
        <v>46</v>
      </c>
      <c r="Y18" s="246" t="s">
        <v>97</v>
      </c>
      <c r="Z18" s="246" t="s">
        <v>78</v>
      </c>
      <c r="AA18" s="246" t="s">
        <v>69</v>
      </c>
      <c r="AB18" s="246" t="s">
        <v>340</v>
      </c>
      <c r="AE18" s="116" t="s">
        <v>228</v>
      </c>
      <c r="AP18" s="128" t="s">
        <v>237</v>
      </c>
      <c r="AR18" s="118" t="s">
        <v>101</v>
      </c>
      <c r="AV18" s="117" t="s">
        <v>88</v>
      </c>
    </row>
    <row r="19" spans="1:48" s="115" customFormat="1" x14ac:dyDescent="0.15">
      <c r="A19" s="246" t="s">
        <v>51</v>
      </c>
      <c r="B19" s="246" t="s">
        <v>338</v>
      </c>
      <c r="C19" s="246">
        <v>2018</v>
      </c>
      <c r="D19" s="106" t="s">
        <v>398</v>
      </c>
      <c r="E19" s="246" t="s">
        <v>139</v>
      </c>
      <c r="F19" s="246" t="s">
        <v>399</v>
      </c>
      <c r="G19" s="246" t="s">
        <v>42</v>
      </c>
      <c r="H19" s="246" t="s">
        <v>157</v>
      </c>
      <c r="I19" s="246" t="s">
        <v>155</v>
      </c>
      <c r="J19" s="246" t="s">
        <v>38</v>
      </c>
      <c r="K19" s="246" t="s">
        <v>156</v>
      </c>
      <c r="L19" s="246">
        <v>3</v>
      </c>
      <c r="M19" s="246"/>
      <c r="N19" s="246">
        <v>1</v>
      </c>
      <c r="O19" s="246">
        <v>0.9</v>
      </c>
      <c r="P19" s="246">
        <v>0.75</v>
      </c>
      <c r="Q19" s="107">
        <f t="shared" si="0"/>
        <v>0.82499999999999996</v>
      </c>
      <c r="R19" s="246">
        <v>15.2</v>
      </c>
      <c r="S19" s="246">
        <v>122</v>
      </c>
      <c r="T19" s="108">
        <f t="shared" si="1"/>
        <v>27</v>
      </c>
      <c r="U19" s="246">
        <v>100</v>
      </c>
      <c r="V19" s="109">
        <f t="shared" si="2"/>
        <v>2700</v>
      </c>
      <c r="W19" s="246">
        <v>10</v>
      </c>
      <c r="X19" s="246" t="s">
        <v>46</v>
      </c>
      <c r="Y19" s="246" t="s">
        <v>97</v>
      </c>
      <c r="Z19" s="246" t="s">
        <v>78</v>
      </c>
      <c r="AA19" s="246" t="s">
        <v>69</v>
      </c>
      <c r="AB19" s="246" t="s">
        <v>340</v>
      </c>
      <c r="AE19" s="129" t="s">
        <v>225</v>
      </c>
      <c r="AP19" s="128" t="s">
        <v>238</v>
      </c>
      <c r="AR19" s="118" t="s">
        <v>239</v>
      </c>
      <c r="AV19" s="117" t="s">
        <v>90</v>
      </c>
    </row>
    <row r="20" spans="1:48" s="115" customFormat="1" x14ac:dyDescent="0.15">
      <c r="A20" s="246" t="s">
        <v>51</v>
      </c>
      <c r="B20" s="246" t="s">
        <v>338</v>
      </c>
      <c r="C20" s="246">
        <v>2018</v>
      </c>
      <c r="D20" s="106" t="s">
        <v>398</v>
      </c>
      <c r="E20" s="246" t="s">
        <v>139</v>
      </c>
      <c r="F20" s="246" t="s">
        <v>399</v>
      </c>
      <c r="G20" s="246" t="s">
        <v>42</v>
      </c>
      <c r="H20" s="246" t="s">
        <v>165</v>
      </c>
      <c r="I20" s="246" t="s">
        <v>155</v>
      </c>
      <c r="J20" s="246" t="s">
        <v>38</v>
      </c>
      <c r="K20" s="246" t="s">
        <v>156</v>
      </c>
      <c r="L20" s="246">
        <v>1</v>
      </c>
      <c r="M20" s="246"/>
      <c r="N20" s="246">
        <v>1</v>
      </c>
      <c r="O20" s="246">
        <v>0.65</v>
      </c>
      <c r="P20" s="246">
        <v>0.7</v>
      </c>
      <c r="Q20" s="107">
        <f t="shared" si="0"/>
        <v>0.67500000000000004</v>
      </c>
      <c r="R20" s="246">
        <v>17.899999999999999</v>
      </c>
      <c r="S20" s="246">
        <v>108</v>
      </c>
      <c r="T20" s="108">
        <f t="shared" si="1"/>
        <v>33</v>
      </c>
      <c r="U20" s="246">
        <v>100</v>
      </c>
      <c r="V20" s="109">
        <f t="shared" si="2"/>
        <v>3300</v>
      </c>
      <c r="W20" s="246">
        <v>10</v>
      </c>
      <c r="X20" s="246" t="s">
        <v>46</v>
      </c>
      <c r="Y20" s="246" t="s">
        <v>97</v>
      </c>
      <c r="Z20" s="246" t="s">
        <v>78</v>
      </c>
      <c r="AA20" s="246" t="s">
        <v>69</v>
      </c>
      <c r="AB20" s="246" t="s">
        <v>340</v>
      </c>
      <c r="AP20" s="128" t="s">
        <v>240</v>
      </c>
      <c r="AR20" s="118" t="s">
        <v>61</v>
      </c>
    </row>
    <row r="21" spans="1:48" s="115" customFormat="1" x14ac:dyDescent="0.15">
      <c r="A21" s="246" t="s">
        <v>51</v>
      </c>
      <c r="B21" s="246" t="s">
        <v>338</v>
      </c>
      <c r="C21" s="246">
        <v>2018</v>
      </c>
      <c r="D21" s="106" t="s">
        <v>398</v>
      </c>
      <c r="E21" s="246" t="s">
        <v>139</v>
      </c>
      <c r="F21" s="246" t="s">
        <v>399</v>
      </c>
      <c r="G21" s="246" t="s">
        <v>42</v>
      </c>
      <c r="H21" s="246" t="s">
        <v>165</v>
      </c>
      <c r="I21" s="246" t="s">
        <v>155</v>
      </c>
      <c r="J21" s="246" t="s">
        <v>38</v>
      </c>
      <c r="K21" s="246" t="s">
        <v>156</v>
      </c>
      <c r="L21" s="246">
        <v>2</v>
      </c>
      <c r="M21" s="246"/>
      <c r="N21" s="246">
        <v>1</v>
      </c>
      <c r="O21" s="246">
        <v>0.7</v>
      </c>
      <c r="P21" s="246">
        <v>0.7</v>
      </c>
      <c r="Q21" s="107">
        <f t="shared" si="0"/>
        <v>0.7</v>
      </c>
      <c r="R21" s="246">
        <v>17.5</v>
      </c>
      <c r="S21" s="246">
        <v>114</v>
      </c>
      <c r="T21" s="108">
        <f t="shared" si="1"/>
        <v>30</v>
      </c>
      <c r="U21" s="246">
        <v>100</v>
      </c>
      <c r="V21" s="109">
        <f t="shared" si="2"/>
        <v>3000</v>
      </c>
      <c r="W21" s="246">
        <v>10</v>
      </c>
      <c r="X21" s="246" t="s">
        <v>46</v>
      </c>
      <c r="Y21" s="246" t="s">
        <v>97</v>
      </c>
      <c r="Z21" s="246" t="s">
        <v>78</v>
      </c>
      <c r="AA21" s="246" t="s">
        <v>69</v>
      </c>
      <c r="AB21" s="246" t="s">
        <v>340</v>
      </c>
      <c r="AP21" s="128" t="s">
        <v>241</v>
      </c>
      <c r="AR21" s="118" t="s">
        <v>91</v>
      </c>
    </row>
    <row r="22" spans="1:48" s="115" customFormat="1" x14ac:dyDescent="0.15">
      <c r="A22" s="246" t="s">
        <v>51</v>
      </c>
      <c r="B22" s="246" t="s">
        <v>338</v>
      </c>
      <c r="C22" s="246">
        <v>2018</v>
      </c>
      <c r="D22" s="106" t="s">
        <v>398</v>
      </c>
      <c r="E22" s="246" t="s">
        <v>139</v>
      </c>
      <c r="F22" s="246" t="s">
        <v>399</v>
      </c>
      <c r="G22" s="246" t="s">
        <v>42</v>
      </c>
      <c r="H22" s="246" t="s">
        <v>165</v>
      </c>
      <c r="I22" s="246" t="s">
        <v>155</v>
      </c>
      <c r="J22" s="246" t="s">
        <v>38</v>
      </c>
      <c r="K22" s="246" t="s">
        <v>156</v>
      </c>
      <c r="L22" s="246">
        <v>3</v>
      </c>
      <c r="M22" s="246"/>
      <c r="N22" s="246">
        <v>1</v>
      </c>
      <c r="O22" s="246">
        <v>0.7</v>
      </c>
      <c r="P22" s="246">
        <v>0.75</v>
      </c>
      <c r="Q22" s="107">
        <f t="shared" si="0"/>
        <v>0.72499999999999998</v>
      </c>
      <c r="R22" s="246">
        <v>18.3</v>
      </c>
      <c r="S22" s="246">
        <v>118</v>
      </c>
      <c r="T22" s="108">
        <f t="shared" si="1"/>
        <v>30</v>
      </c>
      <c r="U22" s="246">
        <v>100</v>
      </c>
      <c r="V22" s="109">
        <f t="shared" si="2"/>
        <v>3000</v>
      </c>
      <c r="W22" s="246">
        <v>10</v>
      </c>
      <c r="X22" s="246" t="s">
        <v>46</v>
      </c>
      <c r="Y22" s="246" t="s">
        <v>97</v>
      </c>
      <c r="Z22" s="246" t="s">
        <v>78</v>
      </c>
      <c r="AA22" s="246" t="s">
        <v>69</v>
      </c>
      <c r="AB22" s="246" t="s">
        <v>340</v>
      </c>
      <c r="AP22" s="128" t="s">
        <v>242</v>
      </c>
      <c r="AR22" s="128" t="s">
        <v>51</v>
      </c>
    </row>
    <row r="23" spans="1:48" s="115" customFormat="1" x14ac:dyDescent="0.15">
      <c r="A23" s="246" t="s">
        <v>51</v>
      </c>
      <c r="B23" s="246" t="s">
        <v>338</v>
      </c>
      <c r="C23" s="246">
        <v>2018</v>
      </c>
      <c r="D23" s="106" t="s">
        <v>398</v>
      </c>
      <c r="E23" s="246" t="s">
        <v>215</v>
      </c>
      <c r="F23" s="246" t="s">
        <v>216</v>
      </c>
      <c r="G23" s="246" t="s">
        <v>36</v>
      </c>
      <c r="H23" s="246" t="s">
        <v>157</v>
      </c>
      <c r="I23" s="246" t="s">
        <v>155</v>
      </c>
      <c r="J23" s="246" t="s">
        <v>38</v>
      </c>
      <c r="K23" s="246" t="s">
        <v>156</v>
      </c>
      <c r="L23" s="246">
        <v>1</v>
      </c>
      <c r="M23" s="246"/>
      <c r="N23" s="246">
        <v>1</v>
      </c>
      <c r="O23" s="246">
        <v>0.95</v>
      </c>
      <c r="P23" s="246">
        <v>1</v>
      </c>
      <c r="Q23" s="107">
        <f t="shared" si="0"/>
        <v>0.97499999999999998</v>
      </c>
      <c r="R23" s="246">
        <v>16.100000000000001</v>
      </c>
      <c r="S23" s="246">
        <v>140</v>
      </c>
      <c r="T23" s="108">
        <f t="shared" si="1"/>
        <v>22</v>
      </c>
      <c r="U23" s="246">
        <v>98</v>
      </c>
      <c r="V23" s="109">
        <f t="shared" si="2"/>
        <v>2156</v>
      </c>
      <c r="W23" s="246">
        <v>12</v>
      </c>
      <c r="X23" s="246" t="s">
        <v>46</v>
      </c>
      <c r="Y23" s="246" t="s">
        <v>88</v>
      </c>
      <c r="Z23" s="246" t="s">
        <v>69</v>
      </c>
      <c r="AA23" s="246" t="s">
        <v>55</v>
      </c>
      <c r="AB23" s="246" t="s">
        <v>340</v>
      </c>
    </row>
    <row r="24" spans="1:48" s="115" customFormat="1" x14ac:dyDescent="0.15">
      <c r="A24" s="246" t="s">
        <v>51</v>
      </c>
      <c r="B24" s="246" t="s">
        <v>338</v>
      </c>
      <c r="C24" s="246">
        <v>2018</v>
      </c>
      <c r="D24" s="106" t="s">
        <v>398</v>
      </c>
      <c r="E24" s="246" t="s">
        <v>215</v>
      </c>
      <c r="F24" s="246" t="s">
        <v>216</v>
      </c>
      <c r="G24" s="246" t="s">
        <v>36</v>
      </c>
      <c r="H24" s="246" t="s">
        <v>157</v>
      </c>
      <c r="I24" s="246" t="s">
        <v>155</v>
      </c>
      <c r="J24" s="246" t="s">
        <v>38</v>
      </c>
      <c r="K24" s="246" t="s">
        <v>156</v>
      </c>
      <c r="L24" s="246">
        <v>2</v>
      </c>
      <c r="M24" s="246"/>
      <c r="N24" s="246">
        <v>1</v>
      </c>
      <c r="O24" s="246">
        <v>0.9</v>
      </c>
      <c r="P24" s="246">
        <v>1.05</v>
      </c>
      <c r="Q24" s="107">
        <f t="shared" si="0"/>
        <v>0.97500000000000009</v>
      </c>
      <c r="R24" s="246">
        <v>15.8</v>
      </c>
      <c r="S24" s="246">
        <v>144</v>
      </c>
      <c r="T24" s="108">
        <f t="shared" si="1"/>
        <v>22</v>
      </c>
      <c r="U24" s="246">
        <v>98</v>
      </c>
      <c r="V24" s="109">
        <f t="shared" si="2"/>
        <v>2156</v>
      </c>
      <c r="W24" s="246">
        <v>12</v>
      </c>
      <c r="X24" s="246" t="s">
        <v>46</v>
      </c>
      <c r="Y24" s="246" t="s">
        <v>88</v>
      </c>
      <c r="Z24" s="246" t="s">
        <v>69</v>
      </c>
      <c r="AA24" s="246" t="s">
        <v>55</v>
      </c>
      <c r="AB24" s="246" t="s">
        <v>340</v>
      </c>
    </row>
    <row r="25" spans="1:48" s="115" customFormat="1" x14ac:dyDescent="0.15">
      <c r="A25" s="246" t="s">
        <v>51</v>
      </c>
      <c r="B25" s="246" t="s">
        <v>338</v>
      </c>
      <c r="C25" s="246">
        <v>2018</v>
      </c>
      <c r="D25" s="106" t="s">
        <v>398</v>
      </c>
      <c r="E25" s="246" t="s">
        <v>215</v>
      </c>
      <c r="F25" s="246" t="s">
        <v>216</v>
      </c>
      <c r="G25" s="246" t="s">
        <v>36</v>
      </c>
      <c r="H25" s="246" t="s">
        <v>157</v>
      </c>
      <c r="I25" s="246" t="s">
        <v>155</v>
      </c>
      <c r="J25" s="246" t="s">
        <v>38</v>
      </c>
      <c r="K25" s="246" t="s">
        <v>156</v>
      </c>
      <c r="L25" s="246">
        <v>3</v>
      </c>
      <c r="M25" s="246"/>
      <c r="N25" s="246">
        <v>1</v>
      </c>
      <c r="O25" s="246">
        <v>0.9</v>
      </c>
      <c r="P25" s="246">
        <v>0.9</v>
      </c>
      <c r="Q25" s="107">
        <f t="shared" si="0"/>
        <v>0.9</v>
      </c>
      <c r="R25" s="246">
        <v>16.5</v>
      </c>
      <c r="S25" s="246">
        <v>144</v>
      </c>
      <c r="T25" s="108">
        <f t="shared" si="1"/>
        <v>22</v>
      </c>
      <c r="U25" s="246">
        <v>98</v>
      </c>
      <c r="V25" s="109">
        <f t="shared" si="2"/>
        <v>2156</v>
      </c>
      <c r="W25" s="246">
        <v>12</v>
      </c>
      <c r="X25" s="246" t="s">
        <v>46</v>
      </c>
      <c r="Y25" s="246" t="s">
        <v>88</v>
      </c>
      <c r="Z25" s="246" t="s">
        <v>69</v>
      </c>
      <c r="AA25" s="246" t="s">
        <v>55</v>
      </c>
      <c r="AB25" s="246" t="s">
        <v>340</v>
      </c>
    </row>
    <row r="26" spans="1:48" s="115" customFormat="1" x14ac:dyDescent="0.15">
      <c r="A26" s="246" t="s">
        <v>51</v>
      </c>
      <c r="B26" s="246" t="s">
        <v>338</v>
      </c>
      <c r="C26" s="246">
        <v>2018</v>
      </c>
      <c r="D26" s="106" t="s">
        <v>398</v>
      </c>
      <c r="E26" s="246" t="s">
        <v>215</v>
      </c>
      <c r="F26" s="246" t="s">
        <v>216</v>
      </c>
      <c r="G26" s="246" t="s">
        <v>36</v>
      </c>
      <c r="H26" s="246" t="s">
        <v>165</v>
      </c>
      <c r="I26" s="246" t="s">
        <v>155</v>
      </c>
      <c r="J26" s="246" t="s">
        <v>38</v>
      </c>
      <c r="K26" s="246" t="s">
        <v>156</v>
      </c>
      <c r="L26" s="246">
        <v>1</v>
      </c>
      <c r="M26" s="246"/>
      <c r="N26" s="246">
        <v>1</v>
      </c>
      <c r="O26" s="246">
        <v>0.75</v>
      </c>
      <c r="P26" s="246">
        <v>0.85</v>
      </c>
      <c r="Q26" s="107">
        <f t="shared" si="0"/>
        <v>0.8</v>
      </c>
      <c r="R26" s="246">
        <v>15.8</v>
      </c>
      <c r="S26" s="246">
        <v>146</v>
      </c>
      <c r="T26" s="108">
        <f t="shared" si="1"/>
        <v>22</v>
      </c>
      <c r="U26" s="246">
        <v>98</v>
      </c>
      <c r="V26" s="109">
        <f t="shared" si="2"/>
        <v>2156</v>
      </c>
      <c r="W26" s="246">
        <v>12</v>
      </c>
      <c r="X26" s="246" t="s">
        <v>46</v>
      </c>
      <c r="Y26" s="246" t="s">
        <v>88</v>
      </c>
      <c r="Z26" s="246" t="s">
        <v>69</v>
      </c>
      <c r="AA26" s="246" t="s">
        <v>55</v>
      </c>
      <c r="AB26" s="246" t="s">
        <v>340</v>
      </c>
    </row>
    <row r="27" spans="1:48" s="115" customFormat="1" x14ac:dyDescent="0.15">
      <c r="A27" s="246" t="s">
        <v>51</v>
      </c>
      <c r="B27" s="246" t="s">
        <v>338</v>
      </c>
      <c r="C27" s="246">
        <v>2018</v>
      </c>
      <c r="D27" s="106" t="s">
        <v>398</v>
      </c>
      <c r="E27" s="246" t="s">
        <v>215</v>
      </c>
      <c r="F27" s="246" t="s">
        <v>216</v>
      </c>
      <c r="G27" s="246" t="s">
        <v>36</v>
      </c>
      <c r="H27" s="246" t="s">
        <v>165</v>
      </c>
      <c r="I27" s="246" t="s">
        <v>155</v>
      </c>
      <c r="J27" s="246" t="s">
        <v>38</v>
      </c>
      <c r="K27" s="246" t="s">
        <v>156</v>
      </c>
      <c r="L27" s="246">
        <v>2</v>
      </c>
      <c r="M27" s="246"/>
      <c r="N27" s="246">
        <v>1</v>
      </c>
      <c r="O27" s="246">
        <v>0.7</v>
      </c>
      <c r="P27" s="246">
        <v>0.8</v>
      </c>
      <c r="Q27" s="107">
        <f t="shared" si="0"/>
        <v>0.75</v>
      </c>
      <c r="R27" s="246">
        <v>16.2</v>
      </c>
      <c r="S27" s="246">
        <v>148</v>
      </c>
      <c r="T27" s="108">
        <f t="shared" si="1"/>
        <v>22</v>
      </c>
      <c r="U27" s="246">
        <v>98</v>
      </c>
      <c r="V27" s="109">
        <f t="shared" si="2"/>
        <v>2156</v>
      </c>
      <c r="W27" s="246">
        <v>12</v>
      </c>
      <c r="X27" s="246" t="s">
        <v>46</v>
      </c>
      <c r="Y27" s="246" t="s">
        <v>88</v>
      </c>
      <c r="Z27" s="246" t="s">
        <v>69</v>
      </c>
      <c r="AA27" s="246" t="s">
        <v>55</v>
      </c>
      <c r="AB27" s="246" t="s">
        <v>340</v>
      </c>
    </row>
    <row r="28" spans="1:48" s="115" customFormat="1" x14ac:dyDescent="0.15">
      <c r="A28" s="246" t="s">
        <v>51</v>
      </c>
      <c r="B28" s="246" t="s">
        <v>338</v>
      </c>
      <c r="C28" s="246">
        <v>2018</v>
      </c>
      <c r="D28" s="106" t="s">
        <v>398</v>
      </c>
      <c r="E28" s="246" t="s">
        <v>215</v>
      </c>
      <c r="F28" s="246" t="s">
        <v>216</v>
      </c>
      <c r="G28" s="246" t="s">
        <v>36</v>
      </c>
      <c r="H28" s="246" t="s">
        <v>165</v>
      </c>
      <c r="I28" s="246" t="s">
        <v>155</v>
      </c>
      <c r="J28" s="246" t="s">
        <v>38</v>
      </c>
      <c r="K28" s="246" t="s">
        <v>156</v>
      </c>
      <c r="L28" s="246">
        <v>3</v>
      </c>
      <c r="M28" s="246"/>
      <c r="N28" s="246">
        <v>1</v>
      </c>
      <c r="O28" s="246">
        <v>0.75</v>
      </c>
      <c r="P28" s="246">
        <v>0.9</v>
      </c>
      <c r="Q28" s="107">
        <f t="shared" si="0"/>
        <v>0.82499999999999996</v>
      </c>
      <c r="R28" s="246">
        <v>16</v>
      </c>
      <c r="S28" s="246">
        <v>148</v>
      </c>
      <c r="T28" s="108">
        <f t="shared" si="1"/>
        <v>22</v>
      </c>
      <c r="U28" s="246">
        <v>98</v>
      </c>
      <c r="V28" s="109">
        <f t="shared" si="2"/>
        <v>2156</v>
      </c>
      <c r="W28" s="246">
        <v>12</v>
      </c>
      <c r="X28" s="246" t="s">
        <v>46</v>
      </c>
      <c r="Y28" s="246" t="s">
        <v>88</v>
      </c>
      <c r="Z28" s="246" t="s">
        <v>69</v>
      </c>
      <c r="AA28" s="246" t="s">
        <v>55</v>
      </c>
      <c r="AB28" s="246" t="s">
        <v>340</v>
      </c>
    </row>
    <row r="29" spans="1:48" s="115" customFormat="1" x14ac:dyDescent="0.15">
      <c r="A29" s="246" t="s">
        <v>51</v>
      </c>
      <c r="B29" s="246" t="s">
        <v>338</v>
      </c>
      <c r="C29" s="246">
        <v>2018</v>
      </c>
      <c r="D29" s="106" t="s">
        <v>398</v>
      </c>
      <c r="E29" s="246" t="s">
        <v>173</v>
      </c>
      <c r="F29" s="246" t="s">
        <v>202</v>
      </c>
      <c r="G29" s="246" t="s">
        <v>42</v>
      </c>
      <c r="H29" s="246" t="s">
        <v>157</v>
      </c>
      <c r="I29" s="246" t="s">
        <v>155</v>
      </c>
      <c r="J29" s="246" t="s">
        <v>38</v>
      </c>
      <c r="K29" s="246" t="s">
        <v>156</v>
      </c>
      <c r="L29" s="246">
        <v>1</v>
      </c>
      <c r="M29" s="246"/>
      <c r="N29" s="246">
        <v>1</v>
      </c>
      <c r="O29" s="246">
        <v>0.65</v>
      </c>
      <c r="P29" s="246">
        <v>0.75</v>
      </c>
      <c r="Q29" s="107">
        <f t="shared" si="0"/>
        <v>0.7</v>
      </c>
      <c r="R29" s="246">
        <v>15.9</v>
      </c>
      <c r="S29" s="246">
        <v>134</v>
      </c>
      <c r="T29" s="108">
        <f t="shared" si="1"/>
        <v>25</v>
      </c>
      <c r="U29" s="246">
        <v>127</v>
      </c>
      <c r="V29" s="109">
        <f t="shared" si="2"/>
        <v>3175</v>
      </c>
      <c r="W29" s="246">
        <v>8</v>
      </c>
      <c r="X29" s="246" t="s">
        <v>46</v>
      </c>
      <c r="Y29" s="246" t="s">
        <v>78</v>
      </c>
      <c r="Z29" s="246" t="s">
        <v>69</v>
      </c>
      <c r="AA29" s="246" t="s">
        <v>88</v>
      </c>
      <c r="AB29" s="246" t="s">
        <v>340</v>
      </c>
    </row>
    <row r="30" spans="1:48" s="115" customFormat="1" x14ac:dyDescent="0.15">
      <c r="A30" s="246" t="s">
        <v>51</v>
      </c>
      <c r="B30" s="246" t="s">
        <v>338</v>
      </c>
      <c r="C30" s="246">
        <v>2018</v>
      </c>
      <c r="D30" s="106" t="s">
        <v>398</v>
      </c>
      <c r="E30" s="246" t="s">
        <v>173</v>
      </c>
      <c r="F30" s="246" t="s">
        <v>202</v>
      </c>
      <c r="G30" s="246" t="s">
        <v>42</v>
      </c>
      <c r="H30" s="246" t="s">
        <v>157</v>
      </c>
      <c r="I30" s="246" t="s">
        <v>155</v>
      </c>
      <c r="J30" s="246" t="s">
        <v>38</v>
      </c>
      <c r="K30" s="246" t="s">
        <v>156</v>
      </c>
      <c r="L30" s="246">
        <v>2</v>
      </c>
      <c r="M30" s="246"/>
      <c r="N30" s="246">
        <v>1</v>
      </c>
      <c r="O30" s="246">
        <v>0.7</v>
      </c>
      <c r="P30" s="246">
        <v>0.8</v>
      </c>
      <c r="Q30" s="107">
        <f t="shared" si="0"/>
        <v>0.75</v>
      </c>
      <c r="R30" s="246">
        <v>16.399999999999999</v>
      </c>
      <c r="S30" s="246">
        <v>140</v>
      </c>
      <c r="T30" s="108">
        <f t="shared" si="1"/>
        <v>22</v>
      </c>
      <c r="U30" s="246">
        <v>127</v>
      </c>
      <c r="V30" s="109">
        <f t="shared" si="2"/>
        <v>2794</v>
      </c>
      <c r="W30" s="246">
        <v>8</v>
      </c>
      <c r="X30" s="246" t="s">
        <v>46</v>
      </c>
      <c r="Y30" s="246" t="s">
        <v>78</v>
      </c>
      <c r="Z30" s="246" t="s">
        <v>69</v>
      </c>
      <c r="AA30" s="246" t="s">
        <v>88</v>
      </c>
      <c r="AB30" s="246" t="s">
        <v>340</v>
      </c>
    </row>
    <row r="31" spans="1:48" s="115" customFormat="1" x14ac:dyDescent="0.15">
      <c r="A31" s="246" t="s">
        <v>51</v>
      </c>
      <c r="B31" s="246" t="s">
        <v>338</v>
      </c>
      <c r="C31" s="246">
        <v>2018</v>
      </c>
      <c r="D31" s="106" t="s">
        <v>398</v>
      </c>
      <c r="E31" s="246" t="s">
        <v>173</v>
      </c>
      <c r="F31" s="246" t="s">
        <v>202</v>
      </c>
      <c r="G31" s="246" t="s">
        <v>42</v>
      </c>
      <c r="H31" s="246" t="s">
        <v>157</v>
      </c>
      <c r="I31" s="246" t="s">
        <v>155</v>
      </c>
      <c r="J31" s="246" t="s">
        <v>38</v>
      </c>
      <c r="K31" s="246" t="s">
        <v>156</v>
      </c>
      <c r="L31" s="246">
        <v>3</v>
      </c>
      <c r="M31" s="246"/>
      <c r="N31" s="246">
        <v>1</v>
      </c>
      <c r="O31" s="246">
        <v>0.7</v>
      </c>
      <c r="P31" s="246">
        <v>0.7</v>
      </c>
      <c r="Q31" s="107">
        <f t="shared" si="0"/>
        <v>0.7</v>
      </c>
      <c r="R31" s="246">
        <v>15.8</v>
      </c>
      <c r="S31" s="246">
        <v>138</v>
      </c>
      <c r="T31" s="108">
        <f t="shared" si="1"/>
        <v>22</v>
      </c>
      <c r="U31" s="246">
        <v>127</v>
      </c>
      <c r="V31" s="109">
        <f t="shared" si="2"/>
        <v>2794</v>
      </c>
      <c r="W31" s="246">
        <v>8</v>
      </c>
      <c r="X31" s="246" t="s">
        <v>46</v>
      </c>
      <c r="Y31" s="246" t="s">
        <v>78</v>
      </c>
      <c r="Z31" s="246" t="s">
        <v>69</v>
      </c>
      <c r="AA31" s="246" t="s">
        <v>88</v>
      </c>
      <c r="AB31" s="246" t="s">
        <v>340</v>
      </c>
    </row>
    <row r="32" spans="1:48" s="115" customFormat="1" x14ac:dyDescent="0.15">
      <c r="A32" s="246" t="s">
        <v>51</v>
      </c>
      <c r="B32" s="246" t="s">
        <v>338</v>
      </c>
      <c r="C32" s="246">
        <v>2018</v>
      </c>
      <c r="D32" s="106" t="s">
        <v>398</v>
      </c>
      <c r="E32" s="246" t="s">
        <v>173</v>
      </c>
      <c r="F32" s="246" t="s">
        <v>202</v>
      </c>
      <c r="G32" s="246" t="s">
        <v>42</v>
      </c>
      <c r="H32" s="246" t="s">
        <v>165</v>
      </c>
      <c r="I32" s="246" t="s">
        <v>155</v>
      </c>
      <c r="J32" s="246" t="s">
        <v>38</v>
      </c>
      <c r="K32" s="246" t="s">
        <v>156</v>
      </c>
      <c r="L32" s="246">
        <v>1</v>
      </c>
      <c r="M32" s="246"/>
      <c r="N32" s="246">
        <v>1</v>
      </c>
      <c r="O32" s="246">
        <v>0.75</v>
      </c>
      <c r="P32" s="246">
        <v>0.95</v>
      </c>
      <c r="Q32" s="107">
        <f t="shared" si="0"/>
        <v>0.85</v>
      </c>
      <c r="R32" s="246">
        <v>14.8</v>
      </c>
      <c r="S32" s="246">
        <v>162</v>
      </c>
      <c r="T32" s="108">
        <f t="shared" si="1"/>
        <v>18</v>
      </c>
      <c r="U32" s="246">
        <v>127</v>
      </c>
      <c r="V32" s="109">
        <f t="shared" si="2"/>
        <v>2286</v>
      </c>
      <c r="W32" s="246">
        <v>8</v>
      </c>
      <c r="X32" s="246" t="s">
        <v>46</v>
      </c>
      <c r="Y32" s="246" t="s">
        <v>78</v>
      </c>
      <c r="Z32" s="246" t="s">
        <v>69</v>
      </c>
      <c r="AA32" s="246" t="s">
        <v>88</v>
      </c>
      <c r="AB32" s="246" t="s">
        <v>340</v>
      </c>
    </row>
    <row r="33" spans="1:28" s="115" customFormat="1" x14ac:dyDescent="0.15">
      <c r="A33" s="246" t="s">
        <v>51</v>
      </c>
      <c r="B33" s="246" t="s">
        <v>338</v>
      </c>
      <c r="C33" s="246">
        <v>2018</v>
      </c>
      <c r="D33" s="106" t="s">
        <v>398</v>
      </c>
      <c r="E33" s="246" t="s">
        <v>173</v>
      </c>
      <c r="F33" s="246" t="s">
        <v>202</v>
      </c>
      <c r="G33" s="246" t="s">
        <v>42</v>
      </c>
      <c r="H33" s="246" t="s">
        <v>165</v>
      </c>
      <c r="I33" s="246" t="s">
        <v>155</v>
      </c>
      <c r="J33" s="246" t="s">
        <v>38</v>
      </c>
      <c r="K33" s="246" t="s">
        <v>156</v>
      </c>
      <c r="L33" s="246">
        <v>2</v>
      </c>
      <c r="M33" s="246"/>
      <c r="N33" s="246">
        <v>1</v>
      </c>
      <c r="O33" s="246">
        <v>0.8</v>
      </c>
      <c r="P33" s="246">
        <v>0.7</v>
      </c>
      <c r="Q33" s="107">
        <f t="shared" si="0"/>
        <v>0.75</v>
      </c>
      <c r="R33" s="246">
        <v>15.1</v>
      </c>
      <c r="S33" s="246">
        <v>164</v>
      </c>
      <c r="T33" s="108">
        <f t="shared" si="1"/>
        <v>18</v>
      </c>
      <c r="U33" s="246">
        <v>127</v>
      </c>
      <c r="V33" s="109">
        <f t="shared" si="2"/>
        <v>2286</v>
      </c>
      <c r="W33" s="246">
        <v>8</v>
      </c>
      <c r="X33" s="246" t="s">
        <v>46</v>
      </c>
      <c r="Y33" s="246" t="s">
        <v>78</v>
      </c>
      <c r="Z33" s="246" t="s">
        <v>69</v>
      </c>
      <c r="AA33" s="246" t="s">
        <v>88</v>
      </c>
      <c r="AB33" s="246" t="s">
        <v>340</v>
      </c>
    </row>
    <row r="34" spans="1:28" s="115" customFormat="1" x14ac:dyDescent="0.15">
      <c r="A34" s="246" t="s">
        <v>51</v>
      </c>
      <c r="B34" s="246" t="s">
        <v>338</v>
      </c>
      <c r="C34" s="246">
        <v>2018</v>
      </c>
      <c r="D34" s="106" t="s">
        <v>398</v>
      </c>
      <c r="E34" s="246" t="s">
        <v>173</v>
      </c>
      <c r="F34" s="246" t="s">
        <v>202</v>
      </c>
      <c r="G34" s="246" t="s">
        <v>42</v>
      </c>
      <c r="H34" s="246" t="s">
        <v>165</v>
      </c>
      <c r="I34" s="246" t="s">
        <v>155</v>
      </c>
      <c r="J34" s="246" t="s">
        <v>38</v>
      </c>
      <c r="K34" s="246" t="s">
        <v>156</v>
      </c>
      <c r="L34" s="246">
        <v>3</v>
      </c>
      <c r="M34" s="246"/>
      <c r="N34" s="246">
        <v>1</v>
      </c>
      <c r="O34" s="246">
        <v>0.75</v>
      </c>
      <c r="P34" s="246">
        <v>0.75</v>
      </c>
      <c r="Q34" s="107">
        <f t="shared" si="0"/>
        <v>0.75</v>
      </c>
      <c r="R34" s="246">
        <v>153</v>
      </c>
      <c r="S34" s="246">
        <v>164</v>
      </c>
      <c r="T34" s="108">
        <f t="shared" si="1"/>
        <v>18</v>
      </c>
      <c r="U34" s="246">
        <v>127</v>
      </c>
      <c r="V34" s="109">
        <f t="shared" si="2"/>
        <v>2286</v>
      </c>
      <c r="W34" s="246">
        <v>8</v>
      </c>
      <c r="X34" s="246" t="s">
        <v>46</v>
      </c>
      <c r="Y34" s="246" t="s">
        <v>78</v>
      </c>
      <c r="Z34" s="246" t="s">
        <v>69</v>
      </c>
      <c r="AA34" s="246" t="s">
        <v>88</v>
      </c>
      <c r="AB34" s="246" t="s">
        <v>340</v>
      </c>
    </row>
    <row r="35" spans="1:28" s="115" customFormat="1" x14ac:dyDescent="0.15">
      <c r="A35" s="246" t="s">
        <v>51</v>
      </c>
      <c r="B35" s="246" t="s">
        <v>338</v>
      </c>
      <c r="C35" s="246">
        <v>2018</v>
      </c>
      <c r="D35" s="106" t="s">
        <v>398</v>
      </c>
      <c r="E35" s="246" t="s">
        <v>218</v>
      </c>
      <c r="F35" s="246" t="s">
        <v>202</v>
      </c>
      <c r="G35" s="246" t="s">
        <v>42</v>
      </c>
      <c r="H35" s="246" t="s">
        <v>157</v>
      </c>
      <c r="I35" s="246" t="s">
        <v>155</v>
      </c>
      <c r="J35" s="246" t="s">
        <v>38</v>
      </c>
      <c r="K35" s="246" t="s">
        <v>156</v>
      </c>
      <c r="L35" s="246">
        <v>1</v>
      </c>
      <c r="M35" s="246"/>
      <c r="N35" s="246">
        <v>1</v>
      </c>
      <c r="O35" s="246">
        <v>0.7</v>
      </c>
      <c r="P35" s="246">
        <v>0.7</v>
      </c>
      <c r="Q35" s="107">
        <f t="shared" si="0"/>
        <v>0.7</v>
      </c>
      <c r="R35" s="246">
        <v>15.5</v>
      </c>
      <c r="S35" s="246">
        <v>156</v>
      </c>
      <c r="T35" s="108">
        <f t="shared" si="1"/>
        <v>18</v>
      </c>
      <c r="U35" s="246">
        <v>138</v>
      </c>
      <c r="V35" s="109">
        <f t="shared" si="2"/>
        <v>2484</v>
      </c>
      <c r="W35" s="246">
        <v>7</v>
      </c>
      <c r="X35" s="246" t="s">
        <v>46</v>
      </c>
      <c r="Y35" s="246" t="s">
        <v>78</v>
      </c>
      <c r="Z35" s="246" t="s">
        <v>88</v>
      </c>
      <c r="AA35" s="246" t="s">
        <v>102</v>
      </c>
      <c r="AB35" s="246" t="s">
        <v>340</v>
      </c>
    </row>
    <row r="36" spans="1:28" s="115" customFormat="1" x14ac:dyDescent="0.15">
      <c r="A36" s="246" t="s">
        <v>51</v>
      </c>
      <c r="B36" s="246" t="s">
        <v>338</v>
      </c>
      <c r="C36" s="246">
        <v>2018</v>
      </c>
      <c r="D36" s="106" t="s">
        <v>398</v>
      </c>
      <c r="E36" s="246" t="s">
        <v>218</v>
      </c>
      <c r="F36" s="246" t="s">
        <v>202</v>
      </c>
      <c r="G36" s="246" t="s">
        <v>42</v>
      </c>
      <c r="H36" s="246" t="s">
        <v>157</v>
      </c>
      <c r="I36" s="246" t="s">
        <v>155</v>
      </c>
      <c r="J36" s="246" t="s">
        <v>38</v>
      </c>
      <c r="K36" s="246" t="s">
        <v>156</v>
      </c>
      <c r="L36" s="246">
        <v>2</v>
      </c>
      <c r="M36" s="246"/>
      <c r="N36" s="246">
        <v>1</v>
      </c>
      <c r="O36" s="246">
        <v>0.65</v>
      </c>
      <c r="P36" s="246">
        <v>0.75</v>
      </c>
      <c r="Q36" s="107">
        <f t="shared" si="0"/>
        <v>0.7</v>
      </c>
      <c r="R36" s="246">
        <v>15.3</v>
      </c>
      <c r="S36" s="246">
        <v>154</v>
      </c>
      <c r="T36" s="108">
        <f t="shared" si="1"/>
        <v>18</v>
      </c>
      <c r="U36" s="246">
        <v>138</v>
      </c>
      <c r="V36" s="109">
        <f t="shared" si="2"/>
        <v>2484</v>
      </c>
      <c r="W36" s="246">
        <v>7</v>
      </c>
      <c r="X36" s="246" t="s">
        <v>46</v>
      </c>
      <c r="Y36" s="246" t="s">
        <v>78</v>
      </c>
      <c r="Z36" s="246" t="s">
        <v>88</v>
      </c>
      <c r="AA36" s="246" t="s">
        <v>102</v>
      </c>
      <c r="AB36" s="246" t="s">
        <v>340</v>
      </c>
    </row>
    <row r="37" spans="1:28" s="115" customFormat="1" x14ac:dyDescent="0.15">
      <c r="A37" s="246" t="s">
        <v>51</v>
      </c>
      <c r="B37" s="246" t="s">
        <v>338</v>
      </c>
      <c r="C37" s="246">
        <v>2018</v>
      </c>
      <c r="D37" s="106" t="s">
        <v>398</v>
      </c>
      <c r="E37" s="246" t="s">
        <v>218</v>
      </c>
      <c r="F37" s="246" t="s">
        <v>202</v>
      </c>
      <c r="G37" s="246" t="s">
        <v>42</v>
      </c>
      <c r="H37" s="246" t="s">
        <v>157</v>
      </c>
      <c r="I37" s="246" t="s">
        <v>155</v>
      </c>
      <c r="J37" s="246" t="s">
        <v>38</v>
      </c>
      <c r="K37" s="246" t="s">
        <v>156</v>
      </c>
      <c r="L37" s="246">
        <v>3</v>
      </c>
      <c r="M37" s="246"/>
      <c r="N37" s="246">
        <v>1</v>
      </c>
      <c r="O37" s="246">
        <v>0.65</v>
      </c>
      <c r="P37" s="246">
        <v>0.7</v>
      </c>
      <c r="Q37" s="107">
        <f t="shared" si="0"/>
        <v>0.67500000000000004</v>
      </c>
      <c r="R37" s="246">
        <v>16.2</v>
      </c>
      <c r="S37" s="246">
        <v>160</v>
      </c>
      <c r="T37" s="108">
        <f t="shared" si="1"/>
        <v>18</v>
      </c>
      <c r="U37" s="246">
        <v>138</v>
      </c>
      <c r="V37" s="109">
        <f t="shared" si="2"/>
        <v>2484</v>
      </c>
      <c r="W37" s="246">
        <v>7</v>
      </c>
      <c r="X37" s="246" t="s">
        <v>46</v>
      </c>
      <c r="Y37" s="246" t="s">
        <v>78</v>
      </c>
      <c r="Z37" s="246" t="s">
        <v>88</v>
      </c>
      <c r="AA37" s="246" t="s">
        <v>102</v>
      </c>
      <c r="AB37" s="246" t="s">
        <v>340</v>
      </c>
    </row>
    <row r="38" spans="1:28" s="115" customFormat="1" x14ac:dyDescent="0.15">
      <c r="A38" s="246" t="s">
        <v>51</v>
      </c>
      <c r="B38" s="246" t="s">
        <v>338</v>
      </c>
      <c r="C38" s="246">
        <v>2018</v>
      </c>
      <c r="D38" s="106" t="s">
        <v>398</v>
      </c>
      <c r="E38" s="246" t="s">
        <v>218</v>
      </c>
      <c r="F38" s="246" t="s">
        <v>202</v>
      </c>
      <c r="G38" s="246" t="s">
        <v>42</v>
      </c>
      <c r="H38" s="246" t="s">
        <v>165</v>
      </c>
      <c r="I38" s="246" t="s">
        <v>155</v>
      </c>
      <c r="J38" s="246" t="s">
        <v>38</v>
      </c>
      <c r="K38" s="246" t="s">
        <v>156</v>
      </c>
      <c r="L38" s="246">
        <v>1</v>
      </c>
      <c r="M38" s="246"/>
      <c r="N38" s="246">
        <v>4</v>
      </c>
      <c r="O38" s="246">
        <v>0.65</v>
      </c>
      <c r="P38" s="246">
        <v>0.65</v>
      </c>
      <c r="Q38" s="107">
        <f t="shared" si="0"/>
        <v>0.65</v>
      </c>
      <c r="R38" s="246">
        <v>15.1</v>
      </c>
      <c r="S38" s="246">
        <v>132</v>
      </c>
      <c r="T38" s="108">
        <f t="shared" si="1"/>
        <v>25</v>
      </c>
      <c r="U38" s="246">
        <v>498</v>
      </c>
      <c r="V38" s="109">
        <f t="shared" si="2"/>
        <v>3112.5</v>
      </c>
      <c r="W38" s="246">
        <v>7</v>
      </c>
      <c r="X38" s="246" t="s">
        <v>46</v>
      </c>
      <c r="Y38" s="246" t="s">
        <v>78</v>
      </c>
      <c r="Z38" s="246" t="s">
        <v>88</v>
      </c>
      <c r="AA38" s="246" t="s">
        <v>102</v>
      </c>
      <c r="AB38" s="246" t="s">
        <v>340</v>
      </c>
    </row>
    <row r="39" spans="1:28" s="115" customFormat="1" x14ac:dyDescent="0.15">
      <c r="A39" s="246" t="s">
        <v>51</v>
      </c>
      <c r="B39" s="246" t="s">
        <v>338</v>
      </c>
      <c r="C39" s="246">
        <v>2018</v>
      </c>
      <c r="D39" s="106" t="s">
        <v>398</v>
      </c>
      <c r="E39" s="246" t="s">
        <v>218</v>
      </c>
      <c r="F39" s="246" t="s">
        <v>202</v>
      </c>
      <c r="G39" s="246" t="s">
        <v>42</v>
      </c>
      <c r="H39" s="246" t="s">
        <v>165</v>
      </c>
      <c r="I39" s="246" t="s">
        <v>155</v>
      </c>
      <c r="J39" s="246" t="s">
        <v>38</v>
      </c>
      <c r="K39" s="246" t="s">
        <v>156</v>
      </c>
      <c r="L39" s="246">
        <v>2</v>
      </c>
      <c r="M39" s="246"/>
      <c r="N39" s="246">
        <v>4</v>
      </c>
      <c r="O39" s="246">
        <v>0.7</v>
      </c>
      <c r="P39" s="246">
        <v>0.65</v>
      </c>
      <c r="Q39" s="107">
        <f t="shared" si="0"/>
        <v>0.67500000000000004</v>
      </c>
      <c r="R39" s="246">
        <v>15.6</v>
      </c>
      <c r="S39" s="246">
        <v>134</v>
      </c>
      <c r="T39" s="108">
        <f t="shared" si="1"/>
        <v>25</v>
      </c>
      <c r="U39" s="246">
        <v>498</v>
      </c>
      <c r="V39" s="109">
        <f t="shared" si="2"/>
        <v>3112.5</v>
      </c>
      <c r="W39" s="246">
        <v>7</v>
      </c>
      <c r="X39" s="246" t="s">
        <v>46</v>
      </c>
      <c r="Y39" s="246" t="s">
        <v>78</v>
      </c>
      <c r="Z39" s="246" t="s">
        <v>88</v>
      </c>
      <c r="AA39" s="246" t="s">
        <v>102</v>
      </c>
      <c r="AB39" s="246" t="s">
        <v>340</v>
      </c>
    </row>
    <row r="40" spans="1:28" s="115" customFormat="1" x14ac:dyDescent="0.15">
      <c r="A40" s="246" t="s">
        <v>51</v>
      </c>
      <c r="B40" s="246" t="s">
        <v>338</v>
      </c>
      <c r="C40" s="246">
        <v>2018</v>
      </c>
      <c r="D40" s="106" t="s">
        <v>398</v>
      </c>
      <c r="E40" s="246" t="s">
        <v>218</v>
      </c>
      <c r="F40" s="246" t="s">
        <v>202</v>
      </c>
      <c r="G40" s="246" t="s">
        <v>42</v>
      </c>
      <c r="H40" s="246" t="s">
        <v>165</v>
      </c>
      <c r="I40" s="246" t="s">
        <v>155</v>
      </c>
      <c r="J40" s="246" t="s">
        <v>38</v>
      </c>
      <c r="K40" s="246" t="s">
        <v>156</v>
      </c>
      <c r="L40" s="246">
        <v>3</v>
      </c>
      <c r="M40" s="246"/>
      <c r="N40" s="246">
        <v>4</v>
      </c>
      <c r="O40" s="246">
        <v>0.7</v>
      </c>
      <c r="P40" s="246">
        <v>0.7</v>
      </c>
      <c r="Q40" s="107">
        <f t="shared" si="0"/>
        <v>0.7</v>
      </c>
      <c r="R40" s="246">
        <v>15.8</v>
      </c>
      <c r="S40" s="246">
        <v>134</v>
      </c>
      <c r="T40" s="108">
        <f t="shared" si="1"/>
        <v>25</v>
      </c>
      <c r="U40" s="246">
        <v>498</v>
      </c>
      <c r="V40" s="109">
        <f t="shared" si="2"/>
        <v>3112.5</v>
      </c>
      <c r="W40" s="246">
        <v>7</v>
      </c>
      <c r="X40" s="246" t="s">
        <v>46</v>
      </c>
      <c r="Y40" s="246" t="s">
        <v>78</v>
      </c>
      <c r="Z40" s="246" t="s">
        <v>88</v>
      </c>
      <c r="AA40" s="246" t="s">
        <v>102</v>
      </c>
      <c r="AB40" s="246" t="s">
        <v>340</v>
      </c>
    </row>
    <row r="41" spans="1:28" s="115" customFormat="1" x14ac:dyDescent="0.15">
      <c r="A41" s="246" t="s">
        <v>51</v>
      </c>
      <c r="B41" s="246" t="s">
        <v>338</v>
      </c>
      <c r="C41" s="246">
        <v>2018</v>
      </c>
      <c r="D41" s="106" t="s">
        <v>398</v>
      </c>
      <c r="E41" s="246" t="s">
        <v>207</v>
      </c>
      <c r="F41" s="246" t="s">
        <v>208</v>
      </c>
      <c r="G41" s="246" t="s">
        <v>42</v>
      </c>
      <c r="H41" s="246" t="s">
        <v>157</v>
      </c>
      <c r="I41" s="246" t="s">
        <v>155</v>
      </c>
      <c r="J41" s="246" t="s">
        <v>38</v>
      </c>
      <c r="K41" s="246" t="s">
        <v>156</v>
      </c>
      <c r="L41" s="246">
        <v>1</v>
      </c>
      <c r="M41" s="246"/>
      <c r="N41" s="246">
        <v>1</v>
      </c>
      <c r="O41" s="246">
        <v>0.9</v>
      </c>
      <c r="P41" s="246">
        <v>0.8</v>
      </c>
      <c r="Q41" s="107">
        <f t="shared" si="0"/>
        <v>0.85000000000000009</v>
      </c>
      <c r="R41" s="246">
        <v>14.2</v>
      </c>
      <c r="S41" s="246">
        <v>144</v>
      </c>
      <c r="T41" s="108">
        <f t="shared" si="1"/>
        <v>22</v>
      </c>
      <c r="U41" s="246">
        <v>99</v>
      </c>
      <c r="V41" s="109">
        <f t="shared" si="2"/>
        <v>2178</v>
      </c>
      <c r="W41" s="246">
        <v>5</v>
      </c>
      <c r="X41" s="246" t="s">
        <v>39</v>
      </c>
      <c r="Y41" s="246" t="s">
        <v>97</v>
      </c>
      <c r="Z41" s="246" t="s">
        <v>88</v>
      </c>
      <c r="AA41" s="246" t="s">
        <v>69</v>
      </c>
      <c r="AB41" s="246" t="s">
        <v>340</v>
      </c>
    </row>
    <row r="42" spans="1:28" s="115" customFormat="1" x14ac:dyDescent="0.15">
      <c r="A42" s="246" t="s">
        <v>51</v>
      </c>
      <c r="B42" s="246" t="s">
        <v>338</v>
      </c>
      <c r="C42" s="246">
        <v>2018</v>
      </c>
      <c r="D42" s="106" t="s">
        <v>398</v>
      </c>
      <c r="E42" s="246" t="s">
        <v>207</v>
      </c>
      <c r="F42" s="246" t="s">
        <v>208</v>
      </c>
      <c r="G42" s="246" t="s">
        <v>42</v>
      </c>
      <c r="H42" s="246" t="s">
        <v>157</v>
      </c>
      <c r="I42" s="246" t="s">
        <v>155</v>
      </c>
      <c r="J42" s="246" t="s">
        <v>38</v>
      </c>
      <c r="K42" s="246" t="s">
        <v>156</v>
      </c>
      <c r="L42" s="246">
        <v>2</v>
      </c>
      <c r="M42" s="246"/>
      <c r="N42" s="246">
        <v>1</v>
      </c>
      <c r="O42" s="246">
        <v>0.8</v>
      </c>
      <c r="P42" s="246">
        <v>0.75</v>
      </c>
      <c r="Q42" s="107">
        <f t="shared" si="0"/>
        <v>0.77500000000000002</v>
      </c>
      <c r="R42" s="246">
        <v>14.7</v>
      </c>
      <c r="S42" s="246">
        <v>148</v>
      </c>
      <c r="T42" s="108">
        <f t="shared" si="1"/>
        <v>22</v>
      </c>
      <c r="U42" s="246">
        <v>99</v>
      </c>
      <c r="V42" s="109">
        <f t="shared" si="2"/>
        <v>2178</v>
      </c>
      <c r="W42" s="246">
        <v>5</v>
      </c>
      <c r="X42" s="246" t="s">
        <v>39</v>
      </c>
      <c r="Y42" s="246" t="s">
        <v>97</v>
      </c>
      <c r="Z42" s="246" t="s">
        <v>88</v>
      </c>
      <c r="AA42" s="246" t="s">
        <v>69</v>
      </c>
      <c r="AB42" s="246" t="s">
        <v>340</v>
      </c>
    </row>
    <row r="43" spans="1:28" s="115" customFormat="1" x14ac:dyDescent="0.15">
      <c r="A43" s="246" t="s">
        <v>51</v>
      </c>
      <c r="B43" s="246" t="s">
        <v>338</v>
      </c>
      <c r="C43" s="246">
        <v>2018</v>
      </c>
      <c r="D43" s="106" t="s">
        <v>398</v>
      </c>
      <c r="E43" s="246" t="s">
        <v>207</v>
      </c>
      <c r="F43" s="246" t="s">
        <v>208</v>
      </c>
      <c r="G43" s="246" t="s">
        <v>42</v>
      </c>
      <c r="H43" s="246" t="s">
        <v>157</v>
      </c>
      <c r="I43" s="246" t="s">
        <v>155</v>
      </c>
      <c r="J43" s="246" t="s">
        <v>38</v>
      </c>
      <c r="K43" s="246" t="s">
        <v>156</v>
      </c>
      <c r="L43" s="246">
        <v>3</v>
      </c>
      <c r="M43" s="246"/>
      <c r="N43" s="246">
        <v>1</v>
      </c>
      <c r="O43" s="246">
        <v>0.85</v>
      </c>
      <c r="P43" s="246">
        <v>0.85</v>
      </c>
      <c r="Q43" s="107">
        <f t="shared" si="0"/>
        <v>0.85</v>
      </c>
      <c r="R43" s="246">
        <v>13.9</v>
      </c>
      <c r="S43" s="246">
        <v>138</v>
      </c>
      <c r="T43" s="108">
        <f t="shared" si="1"/>
        <v>22</v>
      </c>
      <c r="U43" s="246">
        <v>99</v>
      </c>
      <c r="V43" s="109">
        <f t="shared" si="2"/>
        <v>2178</v>
      </c>
      <c r="W43" s="246">
        <v>5</v>
      </c>
      <c r="X43" s="246" t="s">
        <v>39</v>
      </c>
      <c r="Y43" s="246" t="s">
        <v>97</v>
      </c>
      <c r="Z43" s="246" t="s">
        <v>88</v>
      </c>
      <c r="AA43" s="246" t="s">
        <v>69</v>
      </c>
      <c r="AB43" s="246" t="s">
        <v>340</v>
      </c>
    </row>
    <row r="44" spans="1:28" s="115" customFormat="1" x14ac:dyDescent="0.15">
      <c r="A44" s="246" t="s">
        <v>51</v>
      </c>
      <c r="B44" s="246" t="s">
        <v>338</v>
      </c>
      <c r="C44" s="246">
        <v>2018</v>
      </c>
      <c r="D44" s="106" t="s">
        <v>398</v>
      </c>
      <c r="E44" s="246" t="s">
        <v>207</v>
      </c>
      <c r="F44" s="246" t="s">
        <v>208</v>
      </c>
      <c r="G44" s="246" t="s">
        <v>42</v>
      </c>
      <c r="H44" s="246" t="s">
        <v>165</v>
      </c>
      <c r="I44" s="246" t="s">
        <v>155</v>
      </c>
      <c r="J44" s="246" t="s">
        <v>38</v>
      </c>
      <c r="K44" s="246" t="s">
        <v>156</v>
      </c>
      <c r="L44" s="246">
        <v>1</v>
      </c>
      <c r="M44" s="246"/>
      <c r="N44" s="246">
        <v>1</v>
      </c>
      <c r="O44" s="246">
        <v>0.75</v>
      </c>
      <c r="P44" s="246">
        <v>0.75</v>
      </c>
      <c r="Q44" s="107">
        <f t="shared" si="0"/>
        <v>0.75</v>
      </c>
      <c r="R44" s="246">
        <v>15.5</v>
      </c>
      <c r="S44" s="246">
        <v>144</v>
      </c>
      <c r="T44" s="108">
        <f t="shared" si="1"/>
        <v>22</v>
      </c>
      <c r="U44" s="246">
        <v>99</v>
      </c>
      <c r="V44" s="109">
        <f t="shared" si="2"/>
        <v>2178</v>
      </c>
      <c r="W44" s="246">
        <v>5</v>
      </c>
      <c r="X44" s="246" t="s">
        <v>39</v>
      </c>
      <c r="Y44" s="246" t="s">
        <v>97</v>
      </c>
      <c r="Z44" s="246" t="s">
        <v>88</v>
      </c>
      <c r="AA44" s="246" t="s">
        <v>69</v>
      </c>
      <c r="AB44" s="246" t="s">
        <v>340</v>
      </c>
    </row>
    <row r="45" spans="1:28" s="115" customFormat="1" x14ac:dyDescent="0.15">
      <c r="A45" s="246" t="s">
        <v>51</v>
      </c>
      <c r="B45" s="246" t="s">
        <v>338</v>
      </c>
      <c r="C45" s="246">
        <v>2018</v>
      </c>
      <c r="D45" s="106" t="s">
        <v>398</v>
      </c>
      <c r="E45" s="246" t="s">
        <v>207</v>
      </c>
      <c r="F45" s="246" t="s">
        <v>208</v>
      </c>
      <c r="G45" s="246" t="s">
        <v>42</v>
      </c>
      <c r="H45" s="246" t="s">
        <v>165</v>
      </c>
      <c r="I45" s="246" t="s">
        <v>155</v>
      </c>
      <c r="J45" s="246" t="s">
        <v>38</v>
      </c>
      <c r="K45" s="246" t="s">
        <v>156</v>
      </c>
      <c r="L45" s="246">
        <v>2</v>
      </c>
      <c r="M45" s="246"/>
      <c r="N45" s="246">
        <v>1</v>
      </c>
      <c r="O45" s="246">
        <v>0.7</v>
      </c>
      <c r="P45" s="246">
        <v>0.7</v>
      </c>
      <c r="Q45" s="107">
        <f t="shared" si="0"/>
        <v>0.7</v>
      </c>
      <c r="R45" s="246">
        <v>15.7</v>
      </c>
      <c r="S45" s="246">
        <v>144</v>
      </c>
      <c r="T45" s="108">
        <f t="shared" si="1"/>
        <v>22</v>
      </c>
      <c r="U45" s="246">
        <v>99</v>
      </c>
      <c r="V45" s="109">
        <f t="shared" si="2"/>
        <v>2178</v>
      </c>
      <c r="W45" s="246">
        <v>5</v>
      </c>
      <c r="X45" s="246" t="s">
        <v>39</v>
      </c>
      <c r="Y45" s="246" t="s">
        <v>97</v>
      </c>
      <c r="Z45" s="246" t="s">
        <v>88</v>
      </c>
      <c r="AA45" s="246" t="s">
        <v>69</v>
      </c>
      <c r="AB45" s="246" t="s">
        <v>340</v>
      </c>
    </row>
    <row r="46" spans="1:28" s="115" customFormat="1" x14ac:dyDescent="0.15">
      <c r="A46" s="246" t="s">
        <v>51</v>
      </c>
      <c r="B46" s="246" t="s">
        <v>338</v>
      </c>
      <c r="C46" s="246">
        <v>2018</v>
      </c>
      <c r="D46" s="106" t="s">
        <v>398</v>
      </c>
      <c r="E46" s="246" t="s">
        <v>207</v>
      </c>
      <c r="F46" s="246" t="s">
        <v>208</v>
      </c>
      <c r="G46" s="246" t="s">
        <v>42</v>
      </c>
      <c r="H46" s="246" t="s">
        <v>165</v>
      </c>
      <c r="I46" s="246" t="s">
        <v>155</v>
      </c>
      <c r="J46" s="246" t="s">
        <v>38</v>
      </c>
      <c r="K46" s="246" t="s">
        <v>156</v>
      </c>
      <c r="L46" s="246">
        <v>3</v>
      </c>
      <c r="M46" s="246"/>
      <c r="N46" s="246">
        <v>1</v>
      </c>
      <c r="O46" s="246">
        <v>0.65</v>
      </c>
      <c r="P46" s="246">
        <v>0.8</v>
      </c>
      <c r="Q46" s="107">
        <f t="shared" si="0"/>
        <v>0.72500000000000009</v>
      </c>
      <c r="R46" s="246">
        <v>16.2</v>
      </c>
      <c r="S46" s="246">
        <v>146</v>
      </c>
      <c r="T46" s="108">
        <f t="shared" si="1"/>
        <v>22</v>
      </c>
      <c r="U46" s="246">
        <v>99</v>
      </c>
      <c r="V46" s="109">
        <f t="shared" si="2"/>
        <v>2178</v>
      </c>
      <c r="W46" s="246">
        <v>5</v>
      </c>
      <c r="X46" s="246" t="s">
        <v>39</v>
      </c>
      <c r="Y46" s="246" t="s">
        <v>97</v>
      </c>
      <c r="Z46" s="246" t="s">
        <v>88</v>
      </c>
      <c r="AA46" s="246" t="s">
        <v>69</v>
      </c>
      <c r="AB46" s="246" t="s">
        <v>340</v>
      </c>
    </row>
    <row r="47" spans="1:28" s="115" customFormat="1" x14ac:dyDescent="0.15">
      <c r="A47" s="246" t="s">
        <v>51</v>
      </c>
      <c r="B47" s="246" t="s">
        <v>338</v>
      </c>
      <c r="C47" s="246">
        <v>2018</v>
      </c>
      <c r="D47" s="106" t="s">
        <v>398</v>
      </c>
      <c r="E47" s="246" t="s">
        <v>213</v>
      </c>
      <c r="F47" s="246" t="s">
        <v>201</v>
      </c>
      <c r="G47" s="246" t="s">
        <v>36</v>
      </c>
      <c r="H47" s="246" t="s">
        <v>157</v>
      </c>
      <c r="I47" s="246" t="s">
        <v>155</v>
      </c>
      <c r="J47" s="246" t="s">
        <v>38</v>
      </c>
      <c r="K47" s="246" t="s">
        <v>156</v>
      </c>
      <c r="L47" s="246">
        <v>1</v>
      </c>
      <c r="M47" s="246"/>
      <c r="N47" s="246">
        <v>1</v>
      </c>
      <c r="O47" s="246">
        <v>0.95</v>
      </c>
      <c r="P47" s="246">
        <v>1</v>
      </c>
      <c r="Q47" s="107">
        <f t="shared" si="0"/>
        <v>0.97499999999999998</v>
      </c>
      <c r="R47" s="246">
        <v>15.1</v>
      </c>
      <c r="S47" s="246">
        <v>116</v>
      </c>
      <c r="T47" s="108">
        <f t="shared" si="1"/>
        <v>30</v>
      </c>
      <c r="U47" s="246">
        <v>89</v>
      </c>
      <c r="V47" s="109">
        <f t="shared" si="2"/>
        <v>2670</v>
      </c>
      <c r="W47" s="246">
        <v>2</v>
      </c>
      <c r="X47" s="246" t="s">
        <v>39</v>
      </c>
      <c r="Y47" s="246" t="s">
        <v>97</v>
      </c>
      <c r="Z47" s="246" t="s">
        <v>102</v>
      </c>
      <c r="AA47" s="246" t="s">
        <v>88</v>
      </c>
      <c r="AB47" s="246" t="s">
        <v>340</v>
      </c>
    </row>
    <row r="48" spans="1:28" s="115" customFormat="1" x14ac:dyDescent="0.15">
      <c r="A48" s="246" t="s">
        <v>51</v>
      </c>
      <c r="B48" s="246" t="s">
        <v>338</v>
      </c>
      <c r="C48" s="246">
        <v>2018</v>
      </c>
      <c r="D48" s="106" t="s">
        <v>398</v>
      </c>
      <c r="E48" s="246" t="s">
        <v>213</v>
      </c>
      <c r="F48" s="246" t="s">
        <v>201</v>
      </c>
      <c r="G48" s="246" t="s">
        <v>36</v>
      </c>
      <c r="H48" s="246" t="s">
        <v>157</v>
      </c>
      <c r="I48" s="246" t="s">
        <v>155</v>
      </c>
      <c r="J48" s="246" t="s">
        <v>38</v>
      </c>
      <c r="K48" s="246" t="s">
        <v>156</v>
      </c>
      <c r="L48" s="246">
        <v>2</v>
      </c>
      <c r="M48" s="246"/>
      <c r="N48" s="246">
        <v>1</v>
      </c>
      <c r="O48" s="246">
        <v>1.05</v>
      </c>
      <c r="P48" s="246">
        <v>1.05</v>
      </c>
      <c r="Q48" s="107">
        <f t="shared" si="0"/>
        <v>1.05</v>
      </c>
      <c r="R48" s="246">
        <v>14.9</v>
      </c>
      <c r="S48" s="246">
        <v>102</v>
      </c>
      <c r="T48" s="108">
        <f t="shared" si="1"/>
        <v>33</v>
      </c>
      <c r="U48" s="246">
        <v>89</v>
      </c>
      <c r="V48" s="109">
        <f t="shared" si="2"/>
        <v>2937</v>
      </c>
      <c r="W48" s="246">
        <v>2</v>
      </c>
      <c r="X48" s="246" t="s">
        <v>39</v>
      </c>
      <c r="Y48" s="246" t="s">
        <v>97</v>
      </c>
      <c r="Z48" s="246" t="s">
        <v>102</v>
      </c>
      <c r="AA48" s="246" t="s">
        <v>88</v>
      </c>
      <c r="AB48" s="246" t="s">
        <v>340</v>
      </c>
    </row>
    <row r="49" spans="1:28" s="115" customFormat="1" x14ac:dyDescent="0.15">
      <c r="A49" s="246" t="s">
        <v>51</v>
      </c>
      <c r="B49" s="246" t="s">
        <v>338</v>
      </c>
      <c r="C49" s="246">
        <v>2018</v>
      </c>
      <c r="D49" s="106" t="s">
        <v>398</v>
      </c>
      <c r="E49" s="246" t="s">
        <v>213</v>
      </c>
      <c r="F49" s="246" t="s">
        <v>201</v>
      </c>
      <c r="G49" s="246" t="s">
        <v>36</v>
      </c>
      <c r="H49" s="246" t="s">
        <v>157</v>
      </c>
      <c r="I49" s="246" t="s">
        <v>155</v>
      </c>
      <c r="J49" s="246" t="s">
        <v>38</v>
      </c>
      <c r="K49" s="246" t="s">
        <v>156</v>
      </c>
      <c r="L49" s="246">
        <v>3</v>
      </c>
      <c r="M49" s="246"/>
      <c r="N49" s="246">
        <v>1</v>
      </c>
      <c r="O49" s="246">
        <v>1.1000000000000001</v>
      </c>
      <c r="P49" s="246">
        <v>0.95</v>
      </c>
      <c r="Q49" s="107">
        <f t="shared" si="0"/>
        <v>1.0249999999999999</v>
      </c>
      <c r="R49" s="246">
        <v>14.6</v>
      </c>
      <c r="S49" s="246">
        <v>106</v>
      </c>
      <c r="T49" s="108">
        <f t="shared" si="1"/>
        <v>33</v>
      </c>
      <c r="U49" s="246">
        <v>89</v>
      </c>
      <c r="V49" s="109">
        <f t="shared" si="2"/>
        <v>2937</v>
      </c>
      <c r="W49" s="246">
        <v>2</v>
      </c>
      <c r="X49" s="246" t="s">
        <v>39</v>
      </c>
      <c r="Y49" s="246" t="s">
        <v>97</v>
      </c>
      <c r="Z49" s="246" t="s">
        <v>102</v>
      </c>
      <c r="AA49" s="246" t="s">
        <v>88</v>
      </c>
      <c r="AB49" s="246" t="s">
        <v>340</v>
      </c>
    </row>
    <row r="50" spans="1:28" s="115" customFormat="1" x14ac:dyDescent="0.15">
      <c r="A50" s="246" t="s">
        <v>51</v>
      </c>
      <c r="B50" s="246" t="s">
        <v>338</v>
      </c>
      <c r="C50" s="246">
        <v>2018</v>
      </c>
      <c r="D50" s="106" t="s">
        <v>398</v>
      </c>
      <c r="E50" s="246" t="s">
        <v>213</v>
      </c>
      <c r="F50" s="246" t="s">
        <v>201</v>
      </c>
      <c r="G50" s="246" t="s">
        <v>36</v>
      </c>
      <c r="H50" s="246" t="s">
        <v>165</v>
      </c>
      <c r="I50" s="246" t="s">
        <v>155</v>
      </c>
      <c r="J50" s="246" t="s">
        <v>38</v>
      </c>
      <c r="K50" s="246" t="s">
        <v>156</v>
      </c>
      <c r="L50" s="115">
        <v>1</v>
      </c>
      <c r="N50" s="246">
        <v>3</v>
      </c>
      <c r="O50" s="115">
        <v>0.95</v>
      </c>
      <c r="P50" s="115">
        <v>1.05</v>
      </c>
      <c r="Q50" s="107">
        <f t="shared" si="0"/>
        <v>1</v>
      </c>
      <c r="R50" s="115">
        <v>14.3</v>
      </c>
      <c r="S50" s="115">
        <v>142</v>
      </c>
      <c r="T50" s="108">
        <f t="shared" si="1"/>
        <v>22</v>
      </c>
      <c r="U50" s="246">
        <v>498</v>
      </c>
      <c r="V50" s="109">
        <f t="shared" si="2"/>
        <v>3652</v>
      </c>
      <c r="W50" s="246">
        <v>2</v>
      </c>
      <c r="X50" s="246" t="s">
        <v>39</v>
      </c>
      <c r="Y50" s="246" t="s">
        <v>97</v>
      </c>
      <c r="Z50" s="246" t="s">
        <v>102</v>
      </c>
      <c r="AA50" s="246" t="s">
        <v>88</v>
      </c>
      <c r="AB50" s="246" t="s">
        <v>340</v>
      </c>
    </row>
    <row r="51" spans="1:28" s="115" customFormat="1" x14ac:dyDescent="0.15">
      <c r="A51" s="246" t="s">
        <v>51</v>
      </c>
      <c r="B51" s="246" t="s">
        <v>338</v>
      </c>
      <c r="C51" s="246">
        <v>2018</v>
      </c>
      <c r="D51" s="106" t="s">
        <v>398</v>
      </c>
      <c r="E51" s="246" t="s">
        <v>213</v>
      </c>
      <c r="F51" s="246" t="s">
        <v>201</v>
      </c>
      <c r="G51" s="246" t="s">
        <v>36</v>
      </c>
      <c r="H51" s="246" t="s">
        <v>165</v>
      </c>
      <c r="I51" s="246" t="s">
        <v>155</v>
      </c>
      <c r="J51" s="246" t="s">
        <v>38</v>
      </c>
      <c r="K51" s="246" t="s">
        <v>156</v>
      </c>
      <c r="L51" s="115">
        <v>2</v>
      </c>
      <c r="N51" s="246">
        <v>3</v>
      </c>
      <c r="O51" s="115">
        <v>1</v>
      </c>
      <c r="P51" s="115">
        <v>0.9</v>
      </c>
      <c r="Q51" s="107">
        <f t="shared" si="0"/>
        <v>0.95</v>
      </c>
      <c r="R51" s="115">
        <v>15.3</v>
      </c>
      <c r="S51" s="115">
        <v>148</v>
      </c>
      <c r="T51" s="108">
        <f t="shared" si="1"/>
        <v>22</v>
      </c>
      <c r="U51" s="246">
        <v>498</v>
      </c>
      <c r="V51" s="109">
        <f t="shared" si="2"/>
        <v>3652</v>
      </c>
      <c r="W51" s="246">
        <v>2</v>
      </c>
      <c r="X51" s="246" t="s">
        <v>39</v>
      </c>
      <c r="Y51" s="246" t="s">
        <v>97</v>
      </c>
      <c r="Z51" s="246" t="s">
        <v>102</v>
      </c>
      <c r="AA51" s="246" t="s">
        <v>88</v>
      </c>
      <c r="AB51" s="246" t="s">
        <v>340</v>
      </c>
    </row>
    <row r="52" spans="1:28" s="115" customFormat="1" x14ac:dyDescent="0.15">
      <c r="A52" s="246" t="s">
        <v>51</v>
      </c>
      <c r="B52" s="246" t="s">
        <v>338</v>
      </c>
      <c r="C52" s="246">
        <v>2018</v>
      </c>
      <c r="D52" s="106" t="s">
        <v>398</v>
      </c>
      <c r="E52" s="246" t="s">
        <v>213</v>
      </c>
      <c r="F52" s="246" t="s">
        <v>201</v>
      </c>
      <c r="G52" s="246" t="s">
        <v>36</v>
      </c>
      <c r="H52" s="246" t="s">
        <v>165</v>
      </c>
      <c r="I52" s="246" t="s">
        <v>155</v>
      </c>
      <c r="J52" s="246" t="s">
        <v>38</v>
      </c>
      <c r="K52" s="246" t="s">
        <v>156</v>
      </c>
      <c r="L52" s="115">
        <v>3</v>
      </c>
      <c r="N52" s="246">
        <v>3</v>
      </c>
      <c r="O52" s="115">
        <v>0.95</v>
      </c>
      <c r="P52" s="115">
        <v>1.05</v>
      </c>
      <c r="Q52" s="107">
        <f t="shared" si="0"/>
        <v>1</v>
      </c>
      <c r="R52" s="115">
        <v>15</v>
      </c>
      <c r="S52" s="115">
        <v>150</v>
      </c>
      <c r="T52" s="108">
        <f t="shared" si="1"/>
        <v>22</v>
      </c>
      <c r="U52" s="246">
        <v>498</v>
      </c>
      <c r="V52" s="109">
        <f t="shared" si="2"/>
        <v>3652</v>
      </c>
      <c r="W52" s="246">
        <v>2</v>
      </c>
      <c r="X52" s="246" t="s">
        <v>39</v>
      </c>
      <c r="Y52" s="246" t="s">
        <v>97</v>
      </c>
      <c r="Z52" s="246" t="s">
        <v>102</v>
      </c>
      <c r="AA52" s="246" t="s">
        <v>88</v>
      </c>
      <c r="AB52" s="246" t="s">
        <v>340</v>
      </c>
    </row>
    <row r="53" spans="1:28" x14ac:dyDescent="0.15">
      <c r="A53" s="246" t="s">
        <v>51</v>
      </c>
      <c r="B53" s="246" t="s">
        <v>338</v>
      </c>
      <c r="C53" s="246">
        <v>2018</v>
      </c>
      <c r="D53" s="106" t="s">
        <v>398</v>
      </c>
      <c r="E53" s="246" t="s">
        <v>221</v>
      </c>
      <c r="F53" s="246" t="s">
        <v>222</v>
      </c>
      <c r="G53" s="246" t="s">
        <v>36</v>
      </c>
      <c r="H53" s="246" t="s">
        <v>157</v>
      </c>
      <c r="I53" s="246" t="s">
        <v>155</v>
      </c>
      <c r="J53" s="246" t="s">
        <v>38</v>
      </c>
      <c r="K53" s="246" t="s">
        <v>156</v>
      </c>
      <c r="L53" s="98">
        <v>1</v>
      </c>
      <c r="N53" s="130">
        <v>1</v>
      </c>
      <c r="O53" s="98">
        <v>0.8</v>
      </c>
      <c r="P53" s="98">
        <v>0.85</v>
      </c>
      <c r="Q53" s="132">
        <f>IF(OR(O53="",P53=""),"",AVERAGE(O53,P53))</f>
        <v>0.82499999999999996</v>
      </c>
      <c r="R53" s="98">
        <v>16.399999999999999</v>
      </c>
      <c r="S53" s="98">
        <v>164</v>
      </c>
      <c r="T53" s="132">
        <f>IF(H53="","",IF(OR(H53="GREEN",H53="GK"),IF(S53&gt;=$AX$2,VLOOKUP(S53,$AX$2:$AY$12,2,1),""),IF(S53&gt;=$AZ$2,VLOOKUP(S53,$AZ$2:$BA$12,2,1),"")))</f>
        <v>18</v>
      </c>
      <c r="U53" s="246">
        <v>128</v>
      </c>
      <c r="V53" s="132">
        <f>IF(OR(N53="",U53="",T53=""),"",U53/N53*T53)</f>
        <v>2304</v>
      </c>
      <c r="W53" s="246">
        <v>8</v>
      </c>
      <c r="X53" s="246" t="s">
        <v>46</v>
      </c>
      <c r="Y53" s="246" t="s">
        <v>97</v>
      </c>
      <c r="Z53" s="246" t="s">
        <v>78</v>
      </c>
      <c r="AA53" s="246" t="s">
        <v>88</v>
      </c>
      <c r="AB53" s="246" t="s">
        <v>340</v>
      </c>
    </row>
    <row r="54" spans="1:28" x14ac:dyDescent="0.15">
      <c r="A54" s="246" t="s">
        <v>51</v>
      </c>
      <c r="B54" s="246" t="s">
        <v>338</v>
      </c>
      <c r="C54" s="246">
        <v>2018</v>
      </c>
      <c r="D54" s="106" t="s">
        <v>398</v>
      </c>
      <c r="E54" s="246" t="s">
        <v>221</v>
      </c>
      <c r="F54" s="246" t="s">
        <v>222</v>
      </c>
      <c r="G54" s="246" t="s">
        <v>36</v>
      </c>
      <c r="H54" s="246" t="s">
        <v>157</v>
      </c>
      <c r="I54" s="246" t="s">
        <v>155</v>
      </c>
      <c r="J54" s="246" t="s">
        <v>38</v>
      </c>
      <c r="K54" s="246" t="s">
        <v>156</v>
      </c>
      <c r="L54" s="98">
        <v>2</v>
      </c>
      <c r="N54" s="130">
        <v>1</v>
      </c>
      <c r="O54" s="115">
        <v>0.9</v>
      </c>
      <c r="P54" s="98">
        <v>0.8</v>
      </c>
      <c r="Q54" s="132">
        <f>IF(OR(O54="",P54=""),"",AVERAGE(O54,P54))</f>
        <v>0.85000000000000009</v>
      </c>
      <c r="R54" s="98">
        <v>15.9</v>
      </c>
      <c r="S54" s="98">
        <v>156</v>
      </c>
      <c r="T54" s="132">
        <f>IF(H54="","",IF(OR(H54="GREEN",H54="GK"),IF(S54&gt;=$AX$2,VLOOKUP(S54,$AX$2:$AY$12,2,1),""),IF(S54&gt;=$AZ$2,VLOOKUP(S54,$AZ$2:$BA$12,2,1),"")))</f>
        <v>18</v>
      </c>
      <c r="U54" s="246">
        <v>128</v>
      </c>
      <c r="V54" s="132">
        <f>IF(OR(N54="",U54="",T54=""),"",U54/N54*T54)</f>
        <v>2304</v>
      </c>
      <c r="W54" s="246">
        <v>8</v>
      </c>
      <c r="X54" s="246" t="s">
        <v>46</v>
      </c>
      <c r="Y54" s="246" t="s">
        <v>97</v>
      </c>
      <c r="Z54" s="246" t="s">
        <v>78</v>
      </c>
      <c r="AA54" s="246" t="s">
        <v>88</v>
      </c>
      <c r="AB54" s="246" t="s">
        <v>340</v>
      </c>
    </row>
    <row r="55" spans="1:28" x14ac:dyDescent="0.15">
      <c r="A55" s="246" t="s">
        <v>51</v>
      </c>
      <c r="B55" s="246" t="s">
        <v>338</v>
      </c>
      <c r="C55" s="246">
        <v>2018</v>
      </c>
      <c r="D55" s="106" t="s">
        <v>398</v>
      </c>
      <c r="E55" s="246" t="s">
        <v>221</v>
      </c>
      <c r="F55" s="246" t="s">
        <v>222</v>
      </c>
      <c r="G55" s="246" t="s">
        <v>36</v>
      </c>
      <c r="H55" s="246" t="s">
        <v>157</v>
      </c>
      <c r="I55" s="246" t="s">
        <v>155</v>
      </c>
      <c r="J55" s="246" t="s">
        <v>38</v>
      </c>
      <c r="K55" s="246" t="s">
        <v>156</v>
      </c>
      <c r="L55" s="98">
        <v>3</v>
      </c>
      <c r="N55" s="130">
        <v>1</v>
      </c>
      <c r="O55" s="98">
        <v>0.85</v>
      </c>
      <c r="P55" s="98">
        <v>0.75</v>
      </c>
      <c r="Q55" s="132">
        <f>IF(OR(O55="",P55=""),"",AVERAGE(O55,P55))</f>
        <v>0.8</v>
      </c>
      <c r="R55" s="98">
        <v>17.3</v>
      </c>
      <c r="S55" s="98">
        <v>188</v>
      </c>
      <c r="T55" s="132">
        <f>IF(H55="","",IF(OR(H55="GREEN",H55="GK"),IF(S55&gt;=$AX$2,VLOOKUP(S55,$AX$2:$AY$12,2,1),""),IF(S55&gt;=$AZ$2,VLOOKUP(S55,$AZ$2:$BA$12,2,1),"")))</f>
        <v>16</v>
      </c>
      <c r="U55" s="246">
        <v>128</v>
      </c>
      <c r="V55" s="132">
        <f>IF(OR(N55="",U55="",T55=""),"",U55/N55*T55)</f>
        <v>2048</v>
      </c>
      <c r="W55" s="246">
        <v>8</v>
      </c>
      <c r="X55" s="246" t="s">
        <v>46</v>
      </c>
      <c r="Y55" s="246" t="s">
        <v>97</v>
      </c>
      <c r="Z55" s="246" t="s">
        <v>78</v>
      </c>
      <c r="AA55" s="246" t="s">
        <v>88</v>
      </c>
      <c r="AB55" s="246" t="s">
        <v>340</v>
      </c>
    </row>
    <row r="56" spans="1:28" x14ac:dyDescent="0.15">
      <c r="A56" s="246" t="s">
        <v>51</v>
      </c>
      <c r="B56" s="246" t="s">
        <v>338</v>
      </c>
      <c r="C56" s="246">
        <v>2018</v>
      </c>
      <c r="D56" s="106" t="s">
        <v>398</v>
      </c>
      <c r="E56" s="246" t="s">
        <v>221</v>
      </c>
      <c r="F56" s="246" t="s">
        <v>222</v>
      </c>
      <c r="G56" s="246" t="s">
        <v>36</v>
      </c>
      <c r="H56" s="246" t="s">
        <v>165</v>
      </c>
      <c r="I56" s="246" t="s">
        <v>155</v>
      </c>
      <c r="J56" s="246" t="s">
        <v>38</v>
      </c>
      <c r="K56" s="246" t="s">
        <v>156</v>
      </c>
      <c r="L56" s="98">
        <v>1</v>
      </c>
      <c r="N56" s="130">
        <v>1</v>
      </c>
      <c r="O56" s="98">
        <v>0.75</v>
      </c>
      <c r="P56" s="98">
        <v>0.75</v>
      </c>
      <c r="Q56" s="132">
        <f t="shared" ref="Q56:Q70" si="3">IF(OR(O56="",P56=""),"",AVERAGE(O56,P56))</f>
        <v>0.75</v>
      </c>
      <c r="R56" s="98">
        <v>17.899999999999999</v>
      </c>
      <c r="S56" s="98">
        <v>172</v>
      </c>
      <c r="T56" s="132">
        <f t="shared" ref="T56:T70" si="4">IF(H56="","",IF(OR(H56="GREEN",H56="GK"),IF(S56&gt;=$AX$2,VLOOKUP(S56,$AX$2:$AY$12,2,1),""),IF(S56&gt;=$AZ$2,VLOOKUP(S56,$AZ$2:$BA$12,2,1),"")))</f>
        <v>18</v>
      </c>
      <c r="U56" s="246">
        <v>128</v>
      </c>
      <c r="V56" s="132">
        <f t="shared" ref="V56:V70" si="5">IF(OR(N56="",U56="",T56=""),"",U56/N56*T56)</f>
        <v>2304</v>
      </c>
      <c r="W56" s="246">
        <v>8</v>
      </c>
      <c r="X56" s="246" t="s">
        <v>46</v>
      </c>
      <c r="Y56" s="246" t="s">
        <v>97</v>
      </c>
      <c r="Z56" s="246" t="s">
        <v>78</v>
      </c>
      <c r="AA56" s="246" t="s">
        <v>88</v>
      </c>
      <c r="AB56" s="246" t="s">
        <v>340</v>
      </c>
    </row>
    <row r="57" spans="1:28" x14ac:dyDescent="0.15">
      <c r="A57" s="246" t="s">
        <v>51</v>
      </c>
      <c r="B57" s="246" t="s">
        <v>338</v>
      </c>
      <c r="C57" s="246">
        <v>2018</v>
      </c>
      <c r="D57" s="106" t="s">
        <v>398</v>
      </c>
      <c r="E57" s="246" t="s">
        <v>221</v>
      </c>
      <c r="F57" s="246" t="s">
        <v>222</v>
      </c>
      <c r="G57" s="246" t="s">
        <v>36</v>
      </c>
      <c r="H57" s="246" t="s">
        <v>165</v>
      </c>
      <c r="I57" s="246" t="s">
        <v>155</v>
      </c>
      <c r="J57" s="246" t="s">
        <v>38</v>
      </c>
      <c r="K57" s="246" t="s">
        <v>156</v>
      </c>
      <c r="L57" s="98">
        <v>2</v>
      </c>
      <c r="N57" s="130">
        <v>1</v>
      </c>
      <c r="O57" s="98">
        <v>0.7</v>
      </c>
      <c r="P57" s="98">
        <v>0.9</v>
      </c>
      <c r="Q57" s="132">
        <f t="shared" si="3"/>
        <v>0.8</v>
      </c>
      <c r="R57" s="98">
        <v>16.5</v>
      </c>
      <c r="S57" s="98">
        <v>162</v>
      </c>
      <c r="T57" s="132">
        <f t="shared" si="4"/>
        <v>18</v>
      </c>
      <c r="U57" s="246">
        <v>128</v>
      </c>
      <c r="V57" s="132">
        <f t="shared" si="5"/>
        <v>2304</v>
      </c>
      <c r="W57" s="246">
        <v>8</v>
      </c>
      <c r="X57" s="246" t="s">
        <v>46</v>
      </c>
      <c r="Y57" s="246" t="s">
        <v>97</v>
      </c>
      <c r="Z57" s="246" t="s">
        <v>78</v>
      </c>
      <c r="AA57" s="246" t="s">
        <v>88</v>
      </c>
      <c r="AB57" s="246" t="s">
        <v>340</v>
      </c>
    </row>
    <row r="58" spans="1:28" x14ac:dyDescent="0.15">
      <c r="A58" s="246" t="s">
        <v>51</v>
      </c>
      <c r="B58" s="246" t="s">
        <v>338</v>
      </c>
      <c r="C58" s="246">
        <v>2018</v>
      </c>
      <c r="D58" s="106" t="s">
        <v>398</v>
      </c>
      <c r="E58" s="246" t="s">
        <v>221</v>
      </c>
      <c r="F58" s="246" t="s">
        <v>222</v>
      </c>
      <c r="G58" s="246" t="s">
        <v>36</v>
      </c>
      <c r="H58" s="246" t="s">
        <v>165</v>
      </c>
      <c r="I58" s="246" t="s">
        <v>155</v>
      </c>
      <c r="J58" s="246" t="s">
        <v>38</v>
      </c>
      <c r="K58" s="246" t="s">
        <v>156</v>
      </c>
      <c r="L58" s="98">
        <v>3</v>
      </c>
      <c r="N58" s="130">
        <v>1</v>
      </c>
      <c r="O58" s="98">
        <v>0.75</v>
      </c>
      <c r="P58" s="98">
        <v>0.7</v>
      </c>
      <c r="Q58" s="132">
        <f t="shared" si="3"/>
        <v>0.72499999999999998</v>
      </c>
      <c r="R58" s="98">
        <v>16.8</v>
      </c>
      <c r="S58" s="98">
        <v>166</v>
      </c>
      <c r="T58" s="132">
        <f t="shared" si="4"/>
        <v>18</v>
      </c>
      <c r="U58" s="246">
        <v>128</v>
      </c>
      <c r="V58" s="132">
        <f t="shared" si="5"/>
        <v>2304</v>
      </c>
      <c r="W58" s="246">
        <v>8</v>
      </c>
      <c r="X58" s="246" t="s">
        <v>46</v>
      </c>
      <c r="Y58" s="246" t="s">
        <v>97</v>
      </c>
      <c r="Z58" s="246" t="s">
        <v>78</v>
      </c>
      <c r="AA58" s="246" t="s">
        <v>88</v>
      </c>
      <c r="AB58" s="246" t="s">
        <v>340</v>
      </c>
    </row>
    <row r="59" spans="1:28" x14ac:dyDescent="0.15">
      <c r="A59" s="246" t="s">
        <v>51</v>
      </c>
      <c r="B59" s="246" t="s">
        <v>338</v>
      </c>
      <c r="C59" s="246">
        <v>2018</v>
      </c>
      <c r="D59" s="106" t="s">
        <v>398</v>
      </c>
      <c r="E59" s="246" t="s">
        <v>224</v>
      </c>
      <c r="F59" s="246" t="s">
        <v>201</v>
      </c>
      <c r="G59" s="246" t="s">
        <v>42</v>
      </c>
      <c r="H59" s="246" t="s">
        <v>157</v>
      </c>
      <c r="I59" s="246" t="s">
        <v>155</v>
      </c>
      <c r="J59" s="246" t="s">
        <v>38</v>
      </c>
      <c r="K59" s="246" t="s">
        <v>156</v>
      </c>
      <c r="L59" s="98">
        <v>1</v>
      </c>
      <c r="N59" s="130">
        <v>1</v>
      </c>
      <c r="O59" s="98">
        <v>0.85</v>
      </c>
      <c r="P59" s="98">
        <v>0.95</v>
      </c>
      <c r="Q59" s="132">
        <f t="shared" si="3"/>
        <v>0.89999999999999991</v>
      </c>
      <c r="R59" s="98">
        <v>13.7</v>
      </c>
      <c r="S59" s="98">
        <v>130</v>
      </c>
      <c r="T59" s="132">
        <f t="shared" si="4"/>
        <v>25</v>
      </c>
      <c r="U59" s="246">
        <v>98</v>
      </c>
      <c r="V59" s="132">
        <f t="shared" si="5"/>
        <v>2450</v>
      </c>
      <c r="W59" s="130">
        <v>4</v>
      </c>
      <c r="X59" s="246" t="s">
        <v>46</v>
      </c>
      <c r="Y59" s="246" t="s">
        <v>88</v>
      </c>
      <c r="Z59" s="246" t="s">
        <v>69</v>
      </c>
      <c r="AA59" s="130" t="s">
        <v>78</v>
      </c>
      <c r="AB59" s="246" t="s">
        <v>340</v>
      </c>
    </row>
    <row r="60" spans="1:28" x14ac:dyDescent="0.15">
      <c r="A60" s="246" t="s">
        <v>51</v>
      </c>
      <c r="B60" s="246" t="s">
        <v>338</v>
      </c>
      <c r="C60" s="246">
        <v>2018</v>
      </c>
      <c r="D60" s="106" t="s">
        <v>398</v>
      </c>
      <c r="E60" s="246" t="s">
        <v>224</v>
      </c>
      <c r="F60" s="246" t="s">
        <v>201</v>
      </c>
      <c r="G60" s="246" t="s">
        <v>42</v>
      </c>
      <c r="H60" s="246" t="s">
        <v>157</v>
      </c>
      <c r="I60" s="246" t="s">
        <v>155</v>
      </c>
      <c r="J60" s="246" t="s">
        <v>38</v>
      </c>
      <c r="K60" s="246" t="s">
        <v>156</v>
      </c>
      <c r="L60" s="98">
        <v>2</v>
      </c>
      <c r="N60" s="130">
        <v>1</v>
      </c>
      <c r="O60" s="98">
        <v>0.8</v>
      </c>
      <c r="P60" s="98">
        <v>0.9</v>
      </c>
      <c r="Q60" s="132">
        <f t="shared" si="3"/>
        <v>0.85000000000000009</v>
      </c>
      <c r="R60" s="98">
        <v>14.2</v>
      </c>
      <c r="S60" s="98">
        <v>136</v>
      </c>
      <c r="T60" s="132">
        <f t="shared" si="4"/>
        <v>25</v>
      </c>
      <c r="U60" s="246">
        <v>98</v>
      </c>
      <c r="V60" s="132">
        <f t="shared" si="5"/>
        <v>2450</v>
      </c>
      <c r="W60" s="130">
        <v>4</v>
      </c>
      <c r="X60" s="246" t="s">
        <v>46</v>
      </c>
      <c r="Y60" s="246" t="s">
        <v>88</v>
      </c>
      <c r="Z60" s="246" t="s">
        <v>69</v>
      </c>
      <c r="AA60" s="130" t="s">
        <v>78</v>
      </c>
      <c r="AB60" s="246" t="s">
        <v>340</v>
      </c>
    </row>
    <row r="61" spans="1:28" x14ac:dyDescent="0.15">
      <c r="A61" s="246" t="s">
        <v>51</v>
      </c>
      <c r="B61" s="246" t="s">
        <v>338</v>
      </c>
      <c r="C61" s="246">
        <v>2018</v>
      </c>
      <c r="D61" s="106" t="s">
        <v>398</v>
      </c>
      <c r="E61" s="246" t="s">
        <v>224</v>
      </c>
      <c r="F61" s="246" t="s">
        <v>201</v>
      </c>
      <c r="G61" s="246" t="s">
        <v>42</v>
      </c>
      <c r="H61" s="246" t="s">
        <v>157</v>
      </c>
      <c r="I61" s="246" t="s">
        <v>155</v>
      </c>
      <c r="J61" s="246" t="s">
        <v>38</v>
      </c>
      <c r="K61" s="246" t="s">
        <v>156</v>
      </c>
      <c r="L61" s="98">
        <v>3</v>
      </c>
      <c r="N61" s="130">
        <v>1</v>
      </c>
      <c r="O61" s="98">
        <v>1</v>
      </c>
      <c r="P61" s="98">
        <v>0.95</v>
      </c>
      <c r="Q61" s="132">
        <f t="shared" si="3"/>
        <v>0.97499999999999998</v>
      </c>
      <c r="R61" s="115">
        <v>13.5</v>
      </c>
      <c r="S61" s="98">
        <v>128</v>
      </c>
      <c r="T61" s="132">
        <f t="shared" si="4"/>
        <v>27</v>
      </c>
      <c r="U61" s="246">
        <v>98</v>
      </c>
      <c r="V61" s="132">
        <f t="shared" si="5"/>
        <v>2646</v>
      </c>
      <c r="W61" s="130">
        <v>4</v>
      </c>
      <c r="X61" s="246" t="s">
        <v>46</v>
      </c>
      <c r="Y61" s="246" t="s">
        <v>88</v>
      </c>
      <c r="Z61" s="246" t="s">
        <v>69</v>
      </c>
      <c r="AA61" s="130" t="s">
        <v>78</v>
      </c>
      <c r="AB61" s="246" t="s">
        <v>340</v>
      </c>
    </row>
    <row r="62" spans="1:28" x14ac:dyDescent="0.15">
      <c r="A62" s="246" t="s">
        <v>51</v>
      </c>
      <c r="B62" s="246" t="s">
        <v>338</v>
      </c>
      <c r="C62" s="246">
        <v>2018</v>
      </c>
      <c r="D62" s="106" t="s">
        <v>398</v>
      </c>
      <c r="E62" s="246" t="s">
        <v>224</v>
      </c>
      <c r="F62" s="246" t="s">
        <v>201</v>
      </c>
      <c r="G62" s="246" t="s">
        <v>42</v>
      </c>
      <c r="H62" s="246" t="s">
        <v>165</v>
      </c>
      <c r="I62" s="246" t="s">
        <v>155</v>
      </c>
      <c r="J62" s="246" t="s">
        <v>38</v>
      </c>
      <c r="K62" s="246" t="s">
        <v>156</v>
      </c>
      <c r="L62" s="98">
        <v>1</v>
      </c>
      <c r="N62" s="130">
        <v>1</v>
      </c>
      <c r="O62" s="98">
        <v>0.8</v>
      </c>
      <c r="P62" s="98">
        <v>0.8</v>
      </c>
      <c r="Q62" s="132">
        <f t="shared" si="3"/>
        <v>0.8</v>
      </c>
      <c r="R62" s="98">
        <v>16.600000000000001</v>
      </c>
      <c r="S62" s="98">
        <v>144</v>
      </c>
      <c r="T62" s="132">
        <f t="shared" si="4"/>
        <v>22</v>
      </c>
      <c r="U62" s="246">
        <v>128</v>
      </c>
      <c r="V62" s="132">
        <f t="shared" si="5"/>
        <v>2816</v>
      </c>
      <c r="W62" s="130">
        <v>4</v>
      </c>
      <c r="X62" s="246" t="s">
        <v>46</v>
      </c>
      <c r="Y62" s="246" t="s">
        <v>88</v>
      </c>
      <c r="Z62" s="246" t="s">
        <v>69</v>
      </c>
      <c r="AA62" s="130" t="s">
        <v>78</v>
      </c>
      <c r="AB62" s="246" t="s">
        <v>340</v>
      </c>
    </row>
    <row r="63" spans="1:28" x14ac:dyDescent="0.15">
      <c r="A63" s="246" t="s">
        <v>51</v>
      </c>
      <c r="B63" s="246" t="s">
        <v>338</v>
      </c>
      <c r="C63" s="246">
        <v>2018</v>
      </c>
      <c r="D63" s="106" t="s">
        <v>398</v>
      </c>
      <c r="E63" s="246" t="s">
        <v>224</v>
      </c>
      <c r="F63" s="246" t="s">
        <v>201</v>
      </c>
      <c r="G63" s="246" t="s">
        <v>42</v>
      </c>
      <c r="H63" s="246" t="s">
        <v>165</v>
      </c>
      <c r="I63" s="246" t="s">
        <v>155</v>
      </c>
      <c r="J63" s="246" t="s">
        <v>38</v>
      </c>
      <c r="K63" s="246" t="s">
        <v>156</v>
      </c>
      <c r="L63" s="98">
        <v>2</v>
      </c>
      <c r="N63" s="130">
        <v>1</v>
      </c>
      <c r="O63" s="98">
        <v>0.9</v>
      </c>
      <c r="P63" s="98">
        <v>0.85</v>
      </c>
      <c r="Q63" s="132">
        <f t="shared" si="3"/>
        <v>0.875</v>
      </c>
      <c r="R63" s="98">
        <v>15.4</v>
      </c>
      <c r="S63" s="98">
        <v>142</v>
      </c>
      <c r="T63" s="132">
        <f t="shared" si="4"/>
        <v>22</v>
      </c>
      <c r="U63" s="246">
        <v>128</v>
      </c>
      <c r="V63" s="132">
        <f t="shared" si="5"/>
        <v>2816</v>
      </c>
      <c r="W63" s="130">
        <v>4</v>
      </c>
      <c r="X63" s="246" t="s">
        <v>46</v>
      </c>
      <c r="Y63" s="246" t="s">
        <v>88</v>
      </c>
      <c r="Z63" s="246" t="s">
        <v>69</v>
      </c>
      <c r="AA63" s="130" t="s">
        <v>78</v>
      </c>
      <c r="AB63" s="246" t="s">
        <v>340</v>
      </c>
    </row>
    <row r="64" spans="1:28" x14ac:dyDescent="0.15">
      <c r="A64" s="246" t="s">
        <v>51</v>
      </c>
      <c r="B64" s="246" t="s">
        <v>338</v>
      </c>
      <c r="C64" s="246">
        <v>2018</v>
      </c>
      <c r="D64" s="106" t="s">
        <v>398</v>
      </c>
      <c r="E64" s="246" t="s">
        <v>224</v>
      </c>
      <c r="F64" s="246" t="s">
        <v>201</v>
      </c>
      <c r="G64" s="246" t="s">
        <v>42</v>
      </c>
      <c r="H64" s="246" t="s">
        <v>165</v>
      </c>
      <c r="I64" s="246" t="s">
        <v>155</v>
      </c>
      <c r="J64" s="246" t="s">
        <v>38</v>
      </c>
      <c r="K64" s="246" t="s">
        <v>156</v>
      </c>
      <c r="L64" s="98">
        <v>3</v>
      </c>
      <c r="N64" s="130">
        <v>1</v>
      </c>
      <c r="O64" s="98">
        <v>0.95</v>
      </c>
      <c r="P64" s="98">
        <v>0.95</v>
      </c>
      <c r="Q64" s="132">
        <f t="shared" si="3"/>
        <v>0.95</v>
      </c>
      <c r="R64" s="98">
        <v>15.2</v>
      </c>
      <c r="S64" s="98">
        <v>140</v>
      </c>
      <c r="T64" s="132">
        <f t="shared" si="4"/>
        <v>22</v>
      </c>
      <c r="U64" s="246">
        <v>128</v>
      </c>
      <c r="V64" s="132">
        <f t="shared" si="5"/>
        <v>2816</v>
      </c>
      <c r="W64" s="130">
        <v>4</v>
      </c>
      <c r="X64" s="246" t="s">
        <v>46</v>
      </c>
      <c r="Y64" s="246" t="s">
        <v>88</v>
      </c>
      <c r="Z64" s="246" t="s">
        <v>69</v>
      </c>
      <c r="AA64" s="130" t="s">
        <v>78</v>
      </c>
      <c r="AB64" s="246" t="s">
        <v>340</v>
      </c>
    </row>
    <row r="65" spans="1:28" x14ac:dyDescent="0.15">
      <c r="A65" s="246"/>
      <c r="B65" s="246"/>
      <c r="C65" s="246"/>
      <c r="D65" s="106"/>
      <c r="E65" s="246"/>
      <c r="F65" s="246"/>
      <c r="G65" s="246"/>
      <c r="H65" s="246"/>
      <c r="I65" s="246"/>
      <c r="J65" s="246"/>
      <c r="K65" s="246"/>
      <c r="N65" s="130"/>
      <c r="Q65" s="132" t="str">
        <f t="shared" si="3"/>
        <v/>
      </c>
      <c r="T65" s="132" t="str">
        <f t="shared" si="4"/>
        <v/>
      </c>
      <c r="V65" s="132" t="str">
        <f t="shared" si="5"/>
        <v/>
      </c>
      <c r="W65" s="130"/>
      <c r="X65" s="246"/>
      <c r="Y65" s="246"/>
      <c r="Z65" s="246"/>
      <c r="AA65" s="130"/>
      <c r="AB65" s="246"/>
    </row>
    <row r="66" spans="1:28" x14ac:dyDescent="0.15">
      <c r="A66" s="246"/>
      <c r="B66" s="246"/>
      <c r="C66" s="246"/>
      <c r="D66" s="106"/>
      <c r="E66" s="246"/>
      <c r="F66" s="246"/>
      <c r="G66" s="246"/>
      <c r="H66" s="246"/>
      <c r="I66" s="246"/>
      <c r="J66" s="246"/>
      <c r="K66" s="246"/>
      <c r="N66" s="130"/>
      <c r="Q66" s="132" t="str">
        <f t="shared" si="3"/>
        <v/>
      </c>
      <c r="T66" s="132" t="str">
        <f t="shared" si="4"/>
        <v/>
      </c>
      <c r="V66" s="132" t="str">
        <f t="shared" si="5"/>
        <v/>
      </c>
      <c r="W66" s="130"/>
      <c r="X66" s="246"/>
      <c r="Y66" s="246"/>
      <c r="Z66" s="246"/>
      <c r="AA66" s="130"/>
      <c r="AB66" s="246"/>
    </row>
    <row r="67" spans="1:28" x14ac:dyDescent="0.15">
      <c r="A67" s="246"/>
      <c r="B67" s="246"/>
      <c r="C67" s="246"/>
      <c r="D67" s="106"/>
      <c r="E67" s="246"/>
      <c r="F67" s="246"/>
      <c r="G67" s="246"/>
      <c r="H67" s="246"/>
      <c r="I67" s="246"/>
      <c r="J67" s="246"/>
      <c r="K67" s="246"/>
      <c r="N67" s="130"/>
      <c r="Q67" s="132" t="str">
        <f t="shared" si="3"/>
        <v/>
      </c>
      <c r="T67" s="132" t="str">
        <f t="shared" si="4"/>
        <v/>
      </c>
      <c r="V67" s="132" t="str">
        <f t="shared" si="5"/>
        <v/>
      </c>
      <c r="W67" s="130"/>
      <c r="X67" s="246"/>
      <c r="Y67" s="246"/>
      <c r="Z67" s="246"/>
      <c r="AA67" s="130"/>
      <c r="AB67" s="246"/>
    </row>
    <row r="68" spans="1:28" x14ac:dyDescent="0.15">
      <c r="A68" s="246"/>
      <c r="B68" s="246"/>
      <c r="C68" s="246"/>
      <c r="D68" s="106"/>
      <c r="E68" s="246"/>
      <c r="F68" s="246"/>
      <c r="G68" s="246"/>
      <c r="H68" s="246"/>
      <c r="I68" s="246"/>
      <c r="J68" s="246"/>
      <c r="K68" s="246"/>
      <c r="N68" s="130"/>
      <c r="Q68" s="132" t="str">
        <f t="shared" si="3"/>
        <v/>
      </c>
      <c r="T68" s="132" t="str">
        <f t="shared" si="4"/>
        <v/>
      </c>
      <c r="V68" s="132" t="str">
        <f t="shared" si="5"/>
        <v/>
      </c>
      <c r="W68" s="130"/>
      <c r="X68" s="246"/>
      <c r="Y68" s="246"/>
      <c r="Z68" s="246"/>
      <c r="AA68" s="130"/>
      <c r="AB68" s="246"/>
    </row>
    <row r="69" spans="1:28" x14ac:dyDescent="0.15">
      <c r="A69" s="246"/>
      <c r="B69" s="246"/>
      <c r="C69" s="246"/>
      <c r="D69" s="106"/>
      <c r="E69" s="246"/>
      <c r="F69" s="246"/>
      <c r="G69" s="246"/>
      <c r="H69" s="246"/>
      <c r="I69" s="246"/>
      <c r="J69" s="246"/>
      <c r="K69" s="246"/>
      <c r="N69" s="130"/>
      <c r="Q69" s="132" t="str">
        <f t="shared" si="3"/>
        <v/>
      </c>
      <c r="T69" s="132" t="str">
        <f t="shared" si="4"/>
        <v/>
      </c>
      <c r="V69" s="132" t="str">
        <f t="shared" si="5"/>
        <v/>
      </c>
      <c r="W69" s="130"/>
      <c r="X69" s="246"/>
      <c r="Y69" s="246"/>
      <c r="Z69" s="246"/>
      <c r="AA69" s="130"/>
      <c r="AB69" s="246"/>
    </row>
    <row r="70" spans="1:28" x14ac:dyDescent="0.15">
      <c r="A70" s="246"/>
      <c r="B70" s="246"/>
      <c r="C70" s="246"/>
      <c r="D70" s="106"/>
      <c r="E70" s="246"/>
      <c r="F70" s="246"/>
      <c r="G70" s="246"/>
      <c r="H70" s="246"/>
      <c r="I70" s="246"/>
      <c r="J70" s="246"/>
      <c r="K70" s="246"/>
      <c r="N70" s="130"/>
      <c r="Q70" s="132" t="str">
        <f t="shared" si="3"/>
        <v/>
      </c>
      <c r="T70" s="132" t="str">
        <f t="shared" si="4"/>
        <v/>
      </c>
      <c r="V70" s="132" t="str">
        <f t="shared" si="5"/>
        <v/>
      </c>
      <c r="W70" s="130"/>
      <c r="X70" s="246"/>
      <c r="Y70" s="246"/>
      <c r="Z70" s="246"/>
      <c r="AA70" s="130"/>
      <c r="AB70" s="246"/>
    </row>
    <row r="71" spans="1:28" x14ac:dyDescent="0.15">
      <c r="A71" s="246"/>
      <c r="B71" s="246"/>
      <c r="C71" s="130"/>
      <c r="D71" s="131"/>
      <c r="E71" s="246"/>
      <c r="F71" s="246"/>
      <c r="G71" s="130"/>
      <c r="H71" s="130"/>
      <c r="I71" s="130"/>
      <c r="J71" s="130"/>
      <c r="K71" s="246"/>
      <c r="N71" s="130"/>
      <c r="W71" s="130"/>
      <c r="X71" s="130"/>
      <c r="Y71" s="130"/>
      <c r="Z71" s="130"/>
      <c r="AA71" s="130"/>
      <c r="AB71" s="246"/>
    </row>
    <row r="72" spans="1:28" x14ac:dyDescent="0.15">
      <c r="A72" s="246"/>
      <c r="B72" s="246"/>
      <c r="C72" s="130"/>
      <c r="D72" s="131"/>
      <c r="E72" s="246"/>
      <c r="F72" s="246"/>
      <c r="G72" s="130"/>
      <c r="H72" s="130"/>
      <c r="I72" s="130"/>
      <c r="J72" s="130"/>
      <c r="K72" s="130"/>
      <c r="N72" s="130"/>
      <c r="W72" s="130"/>
      <c r="X72" s="130"/>
      <c r="Y72" s="130"/>
      <c r="Z72" s="130"/>
      <c r="AA72" s="130"/>
      <c r="AB72" s="246"/>
    </row>
    <row r="73" spans="1:28" x14ac:dyDescent="0.15">
      <c r="A73" s="246"/>
      <c r="B73" s="246"/>
      <c r="C73" s="130"/>
      <c r="D73" s="131"/>
      <c r="E73" s="246"/>
      <c r="F73" s="246"/>
      <c r="G73" s="130"/>
      <c r="H73" s="130"/>
      <c r="I73" s="130"/>
      <c r="J73" s="130"/>
      <c r="K73" s="130"/>
      <c r="N73" s="130"/>
      <c r="W73" s="130"/>
      <c r="X73" s="130"/>
      <c r="Y73" s="130"/>
      <c r="Z73" s="130"/>
      <c r="AA73" s="130"/>
      <c r="AB73" s="246"/>
    </row>
    <row r="74" spans="1:28" x14ac:dyDescent="0.15">
      <c r="E74" s="246"/>
      <c r="F74" s="246"/>
    </row>
    <row r="75" spans="1:28" x14ac:dyDescent="0.15">
      <c r="E75" s="246"/>
      <c r="F75" s="246"/>
    </row>
    <row r="76" spans="1:28" x14ac:dyDescent="0.15">
      <c r="E76" s="246"/>
      <c r="F76" s="246"/>
    </row>
    <row r="77" spans="1:28" x14ac:dyDescent="0.15">
      <c r="E77" s="246"/>
      <c r="F77" s="246"/>
    </row>
    <row r="78" spans="1:28" x14ac:dyDescent="0.15">
      <c r="E78" s="246"/>
      <c r="F78" s="246"/>
    </row>
    <row r="79" spans="1:28" x14ac:dyDescent="0.15">
      <c r="E79" s="246"/>
      <c r="F79" s="246"/>
    </row>
    <row r="80" spans="1:28" x14ac:dyDescent="0.15">
      <c r="E80" s="246"/>
      <c r="F80" s="246"/>
    </row>
    <row r="81" spans="5:6" x14ac:dyDescent="0.15">
      <c r="E81" s="246"/>
      <c r="F81" s="246"/>
    </row>
    <row r="82" spans="5:6" x14ac:dyDescent="0.15">
      <c r="E82" s="246"/>
      <c r="F82" s="246"/>
    </row>
    <row r="83" spans="5:6" x14ac:dyDescent="0.15">
      <c r="E83" s="246"/>
      <c r="F83" s="246"/>
    </row>
    <row r="84" spans="5:6" x14ac:dyDescent="0.15">
      <c r="E84" s="246"/>
      <c r="F84" s="246"/>
    </row>
    <row r="85" spans="5:6" x14ac:dyDescent="0.15">
      <c r="E85" s="246"/>
      <c r="F85" s="246"/>
    </row>
    <row r="86" spans="5:6" x14ac:dyDescent="0.15">
      <c r="E86" s="246"/>
      <c r="F86" s="246"/>
    </row>
    <row r="87" spans="5:6" x14ac:dyDescent="0.15">
      <c r="E87" s="246"/>
      <c r="F87" s="246"/>
    </row>
    <row r="88" spans="5:6" x14ac:dyDescent="0.15">
      <c r="E88" s="246"/>
      <c r="F88" s="246"/>
    </row>
    <row r="89" spans="5:6" x14ac:dyDescent="0.15">
      <c r="E89" s="246"/>
      <c r="F89" s="246"/>
    </row>
    <row r="90" spans="5:6" x14ac:dyDescent="0.15">
      <c r="E90" s="246"/>
      <c r="F90" s="246"/>
    </row>
    <row r="91" spans="5:6" x14ac:dyDescent="0.15">
      <c r="E91" s="246"/>
      <c r="F91" s="246"/>
    </row>
    <row r="92" spans="5:6" x14ac:dyDescent="0.15">
      <c r="E92" s="246"/>
      <c r="F92" s="246"/>
    </row>
    <row r="93" spans="5:6" x14ac:dyDescent="0.15">
      <c r="E93" s="246"/>
      <c r="F93" s="246"/>
    </row>
    <row r="94" spans="5:6" x14ac:dyDescent="0.15">
      <c r="E94" s="246"/>
      <c r="F94" s="246"/>
    </row>
    <row r="95" spans="5:6" x14ac:dyDescent="0.15">
      <c r="E95" s="246"/>
      <c r="F95" s="246"/>
    </row>
    <row r="96" spans="5:6" x14ac:dyDescent="0.15">
      <c r="E96" s="246"/>
      <c r="F96" s="246"/>
    </row>
    <row r="97" spans="5:6" x14ac:dyDescent="0.15">
      <c r="E97" s="246"/>
      <c r="F97" s="246"/>
    </row>
    <row r="98" spans="5:6" x14ac:dyDescent="0.15">
      <c r="E98" s="246"/>
      <c r="F98" s="246"/>
    </row>
    <row r="99" spans="5:6" x14ac:dyDescent="0.15">
      <c r="E99" s="246"/>
      <c r="F99" s="246"/>
    </row>
    <row r="100" spans="5:6" x14ac:dyDescent="0.15">
      <c r="E100" s="246"/>
      <c r="F100" s="246"/>
    </row>
    <row r="101" spans="5:6" x14ac:dyDescent="0.15">
      <c r="E101" s="246"/>
      <c r="F101" s="246"/>
    </row>
    <row r="102" spans="5:6" x14ac:dyDescent="0.15">
      <c r="E102" s="246"/>
      <c r="F102" s="246"/>
    </row>
    <row r="103" spans="5:6" x14ac:dyDescent="0.15">
      <c r="E103" s="246"/>
      <c r="F103" s="246"/>
    </row>
    <row r="104" spans="5:6" x14ac:dyDescent="0.15">
      <c r="E104" s="246"/>
      <c r="F104" s="246"/>
    </row>
    <row r="105" spans="5:6" x14ac:dyDescent="0.15">
      <c r="E105" s="246"/>
      <c r="F105" s="246"/>
    </row>
    <row r="106" spans="5:6" x14ac:dyDescent="0.15">
      <c r="E106" s="246"/>
      <c r="F106" s="246"/>
    </row>
    <row r="107" spans="5:6" x14ac:dyDescent="0.15">
      <c r="E107" s="246"/>
      <c r="F107" s="246"/>
    </row>
    <row r="108" spans="5:6" x14ac:dyDescent="0.15">
      <c r="E108" s="246"/>
      <c r="F108" s="246"/>
    </row>
    <row r="109" spans="5:6" x14ac:dyDescent="0.15">
      <c r="E109" s="246"/>
      <c r="F109" s="246"/>
    </row>
    <row r="110" spans="5:6" x14ac:dyDescent="0.15">
      <c r="E110" s="246"/>
      <c r="F110" s="246"/>
    </row>
    <row r="111" spans="5:6" x14ac:dyDescent="0.15">
      <c r="E111" s="246"/>
      <c r="F111" s="246"/>
    </row>
    <row r="112" spans="5:6" x14ac:dyDescent="0.15">
      <c r="E112" s="246"/>
      <c r="F112" s="246"/>
    </row>
    <row r="113" spans="5:6" x14ac:dyDescent="0.15">
      <c r="E113" s="246"/>
      <c r="F113" s="246"/>
    </row>
    <row r="114" spans="5:6" x14ac:dyDescent="0.15">
      <c r="E114" s="246"/>
      <c r="F114" s="246"/>
    </row>
    <row r="115" spans="5:6" x14ac:dyDescent="0.15">
      <c r="E115" s="246"/>
      <c r="F115" s="246"/>
    </row>
    <row r="116" spans="5:6" x14ac:dyDescent="0.15">
      <c r="E116" s="246"/>
      <c r="F116" s="246"/>
    </row>
    <row r="117" spans="5:6" x14ac:dyDescent="0.15">
      <c r="E117" s="246"/>
      <c r="F117" s="246"/>
    </row>
    <row r="118" spans="5:6" x14ac:dyDescent="0.15">
      <c r="E118" s="246"/>
      <c r="F118" s="246"/>
    </row>
    <row r="119" spans="5:6" x14ac:dyDescent="0.15">
      <c r="E119" s="246"/>
      <c r="F119" s="246"/>
    </row>
    <row r="120" spans="5:6" x14ac:dyDescent="0.15">
      <c r="E120" s="246"/>
      <c r="F120" s="246"/>
    </row>
    <row r="121" spans="5:6" x14ac:dyDescent="0.15">
      <c r="E121" s="246"/>
      <c r="F121" s="246"/>
    </row>
    <row r="122" spans="5:6" x14ac:dyDescent="0.15">
      <c r="E122" s="246"/>
      <c r="F122" s="246"/>
    </row>
    <row r="123" spans="5:6" x14ac:dyDescent="0.15">
      <c r="E123" s="246"/>
      <c r="F123" s="246"/>
    </row>
    <row r="124" spans="5:6" x14ac:dyDescent="0.15">
      <c r="E124" s="246"/>
      <c r="F124" s="246"/>
    </row>
    <row r="125" spans="5:6" x14ac:dyDescent="0.15">
      <c r="E125" s="246"/>
      <c r="F125" s="246"/>
    </row>
    <row r="126" spans="5:6" x14ac:dyDescent="0.15">
      <c r="E126" s="246"/>
      <c r="F126" s="246"/>
    </row>
    <row r="127" spans="5:6" x14ac:dyDescent="0.15">
      <c r="E127" s="246"/>
      <c r="F127" s="246"/>
    </row>
    <row r="128" spans="5:6" x14ac:dyDescent="0.15">
      <c r="E128" s="246"/>
      <c r="F128" s="246"/>
    </row>
    <row r="129" spans="5:6" x14ac:dyDescent="0.15">
      <c r="E129" s="246"/>
      <c r="F129" s="246"/>
    </row>
    <row r="130" spans="5:6" x14ac:dyDescent="0.15">
      <c r="E130" s="246"/>
      <c r="F130" s="246"/>
    </row>
    <row r="131" spans="5:6" x14ac:dyDescent="0.15">
      <c r="E131" s="246"/>
      <c r="F131" s="246"/>
    </row>
    <row r="132" spans="5:6" x14ac:dyDescent="0.15">
      <c r="E132" s="246"/>
      <c r="F132" s="246"/>
    </row>
    <row r="133" spans="5:6" x14ac:dyDescent="0.15">
      <c r="E133" s="246"/>
      <c r="F133" s="246"/>
    </row>
    <row r="134" spans="5:6" x14ac:dyDescent="0.15">
      <c r="E134" s="246"/>
      <c r="F134" s="246"/>
    </row>
    <row r="135" spans="5:6" x14ac:dyDescent="0.15">
      <c r="E135" s="246"/>
      <c r="F135" s="246"/>
    </row>
    <row r="136" spans="5:6" x14ac:dyDescent="0.15">
      <c r="E136" s="246"/>
      <c r="F136" s="246"/>
    </row>
    <row r="137" spans="5:6" x14ac:dyDescent="0.15">
      <c r="E137" s="246"/>
      <c r="F137" s="246"/>
    </row>
    <row r="138" spans="5:6" x14ac:dyDescent="0.15">
      <c r="E138" s="246"/>
      <c r="F138" s="246"/>
    </row>
    <row r="139" spans="5:6" x14ac:dyDescent="0.15">
      <c r="E139" s="246"/>
      <c r="F139" s="246"/>
    </row>
    <row r="140" spans="5:6" x14ac:dyDescent="0.15">
      <c r="E140" s="246"/>
      <c r="F140" s="246"/>
    </row>
    <row r="141" spans="5:6" x14ac:dyDescent="0.15">
      <c r="E141" s="246"/>
      <c r="F141" s="246"/>
    </row>
    <row r="142" spans="5:6" x14ac:dyDescent="0.15">
      <c r="E142" s="246"/>
      <c r="F142" s="246"/>
    </row>
    <row r="143" spans="5:6" x14ac:dyDescent="0.15">
      <c r="E143" s="246"/>
      <c r="F143" s="246"/>
    </row>
    <row r="144" spans="5:6" x14ac:dyDescent="0.15">
      <c r="E144" s="246"/>
      <c r="F144" s="246"/>
    </row>
    <row r="145" spans="5:6" x14ac:dyDescent="0.15">
      <c r="E145" s="246"/>
      <c r="F145" s="246"/>
    </row>
    <row r="146" spans="5:6" x14ac:dyDescent="0.15">
      <c r="E146" s="246"/>
      <c r="F146" s="246"/>
    </row>
    <row r="147" spans="5:6" x14ac:dyDescent="0.15">
      <c r="E147" s="246"/>
      <c r="F147" s="246"/>
    </row>
    <row r="148" spans="5:6" x14ac:dyDescent="0.15">
      <c r="E148" s="246"/>
      <c r="F148" s="246"/>
    </row>
    <row r="149" spans="5:6" x14ac:dyDescent="0.15">
      <c r="E149" s="246"/>
      <c r="F149" s="246"/>
    </row>
    <row r="150" spans="5:6" x14ac:dyDescent="0.15">
      <c r="E150" s="246"/>
      <c r="F150" s="246"/>
    </row>
    <row r="151" spans="5:6" x14ac:dyDescent="0.15">
      <c r="E151" s="246"/>
      <c r="F151" s="246"/>
    </row>
    <row r="152" spans="5:6" x14ac:dyDescent="0.15">
      <c r="E152" s="246"/>
      <c r="F152" s="246"/>
    </row>
    <row r="153" spans="5:6" x14ac:dyDescent="0.15">
      <c r="E153" s="246"/>
      <c r="F153" s="246"/>
    </row>
    <row r="154" spans="5:6" x14ac:dyDescent="0.15">
      <c r="E154" s="246"/>
      <c r="F154" s="246"/>
    </row>
    <row r="155" spans="5:6" x14ac:dyDescent="0.15">
      <c r="E155" s="246"/>
      <c r="F155" s="246"/>
    </row>
    <row r="156" spans="5:6" x14ac:dyDescent="0.15">
      <c r="E156" s="246"/>
      <c r="F156" s="246"/>
    </row>
    <row r="157" spans="5:6" x14ac:dyDescent="0.15">
      <c r="E157" s="246"/>
      <c r="F157" s="246"/>
    </row>
    <row r="158" spans="5:6" x14ac:dyDescent="0.15">
      <c r="E158" s="246"/>
      <c r="F158" s="246"/>
    </row>
    <row r="159" spans="5:6" x14ac:dyDescent="0.15">
      <c r="E159" s="246"/>
      <c r="F159" s="246"/>
    </row>
    <row r="160" spans="5:6" x14ac:dyDescent="0.15">
      <c r="E160" s="246"/>
      <c r="F160" s="246"/>
    </row>
    <row r="161" spans="5:6" x14ac:dyDescent="0.15">
      <c r="E161" s="246"/>
      <c r="F161" s="246"/>
    </row>
    <row r="162" spans="5:6" x14ac:dyDescent="0.15">
      <c r="E162" s="246"/>
      <c r="F162" s="246"/>
    </row>
    <row r="163" spans="5:6" x14ac:dyDescent="0.15">
      <c r="E163" s="246"/>
      <c r="F163" s="246"/>
    </row>
    <row r="164" spans="5:6" x14ac:dyDescent="0.15">
      <c r="E164" s="246"/>
      <c r="F164" s="246"/>
    </row>
    <row r="165" spans="5:6" x14ac:dyDescent="0.15">
      <c r="E165" s="246"/>
      <c r="F165" s="246"/>
    </row>
    <row r="166" spans="5:6" x14ac:dyDescent="0.15">
      <c r="E166" s="246"/>
      <c r="F166" s="246"/>
    </row>
    <row r="167" spans="5:6" x14ac:dyDescent="0.15">
      <c r="E167" s="246"/>
      <c r="F167" s="246"/>
    </row>
    <row r="168" spans="5:6" x14ac:dyDescent="0.15">
      <c r="E168" s="246"/>
      <c r="F168" s="246"/>
    </row>
    <row r="169" spans="5:6" x14ac:dyDescent="0.15">
      <c r="E169" s="246"/>
      <c r="F169" s="246"/>
    </row>
    <row r="170" spans="5:6" x14ac:dyDescent="0.15">
      <c r="E170" s="246"/>
      <c r="F170" s="246"/>
    </row>
    <row r="171" spans="5:6" x14ac:dyDescent="0.15">
      <c r="E171" s="246"/>
      <c r="F171" s="246"/>
    </row>
    <row r="172" spans="5:6" x14ac:dyDescent="0.15">
      <c r="E172" s="246"/>
      <c r="F172" s="246"/>
    </row>
    <row r="173" spans="5:6" x14ac:dyDescent="0.15">
      <c r="E173" s="246"/>
      <c r="F173" s="246"/>
    </row>
    <row r="174" spans="5:6" x14ac:dyDescent="0.15">
      <c r="E174" s="246"/>
      <c r="F174" s="246"/>
    </row>
    <row r="175" spans="5:6" x14ac:dyDescent="0.15">
      <c r="E175" s="246"/>
      <c r="F175" s="246"/>
    </row>
    <row r="176" spans="5:6" x14ac:dyDescent="0.15">
      <c r="E176" s="246"/>
      <c r="F176" s="246"/>
    </row>
    <row r="177" spans="5:6" x14ac:dyDescent="0.15">
      <c r="E177" s="246"/>
      <c r="F177" s="246"/>
    </row>
    <row r="178" spans="5:6" x14ac:dyDescent="0.15">
      <c r="E178" s="246"/>
      <c r="F178" s="246"/>
    </row>
    <row r="179" spans="5:6" x14ac:dyDescent="0.15">
      <c r="E179" s="246"/>
      <c r="F179" s="246"/>
    </row>
    <row r="180" spans="5:6" x14ac:dyDescent="0.15">
      <c r="E180" s="246"/>
      <c r="F180" s="246"/>
    </row>
    <row r="181" spans="5:6" x14ac:dyDescent="0.15">
      <c r="E181" s="246"/>
      <c r="F181" s="246"/>
    </row>
    <row r="182" spans="5:6" x14ac:dyDescent="0.15">
      <c r="E182" s="246"/>
      <c r="F182" s="246"/>
    </row>
    <row r="183" spans="5:6" x14ac:dyDescent="0.15">
      <c r="E183" s="246"/>
      <c r="F183" s="246"/>
    </row>
    <row r="184" spans="5:6" x14ac:dyDescent="0.15">
      <c r="E184" s="246"/>
      <c r="F184" s="246"/>
    </row>
    <row r="185" spans="5:6" x14ac:dyDescent="0.15">
      <c r="E185" s="246"/>
      <c r="F185" s="246"/>
    </row>
    <row r="186" spans="5:6" x14ac:dyDescent="0.15">
      <c r="E186" s="246"/>
      <c r="F186" s="246"/>
    </row>
    <row r="187" spans="5:6" x14ac:dyDescent="0.15">
      <c r="E187" s="246"/>
      <c r="F187" s="246"/>
    </row>
    <row r="188" spans="5:6" x14ac:dyDescent="0.15">
      <c r="E188" s="246"/>
      <c r="F188" s="246"/>
    </row>
    <row r="189" spans="5:6" x14ac:dyDescent="0.15">
      <c r="E189" s="246"/>
      <c r="F189" s="246"/>
    </row>
    <row r="190" spans="5:6" x14ac:dyDescent="0.15">
      <c r="E190" s="246"/>
      <c r="F190" s="246"/>
    </row>
    <row r="191" spans="5:6" x14ac:dyDescent="0.15">
      <c r="E191" s="246"/>
      <c r="F191" s="246"/>
    </row>
    <row r="192" spans="5:6" x14ac:dyDescent="0.15">
      <c r="E192" s="246"/>
      <c r="F192" s="246"/>
    </row>
    <row r="193" spans="5:6" x14ac:dyDescent="0.15">
      <c r="E193" s="246"/>
      <c r="F193" s="246"/>
    </row>
    <row r="194" spans="5:6" x14ac:dyDescent="0.15">
      <c r="E194" s="246"/>
      <c r="F194" s="246"/>
    </row>
    <row r="195" spans="5:6" x14ac:dyDescent="0.15">
      <c r="E195" s="246"/>
      <c r="F195" s="246"/>
    </row>
    <row r="196" spans="5:6" x14ac:dyDescent="0.15">
      <c r="E196" s="246"/>
      <c r="F196" s="246"/>
    </row>
    <row r="197" spans="5:6" x14ac:dyDescent="0.15">
      <c r="E197" s="246"/>
      <c r="F197" s="246"/>
    </row>
    <row r="198" spans="5:6" x14ac:dyDescent="0.15">
      <c r="E198" s="246"/>
      <c r="F198" s="246"/>
    </row>
    <row r="199" spans="5:6" x14ac:dyDescent="0.15">
      <c r="E199" s="246"/>
      <c r="F199" s="246"/>
    </row>
    <row r="200" spans="5:6" x14ac:dyDescent="0.15">
      <c r="E200" s="246"/>
      <c r="F200" s="246"/>
    </row>
    <row r="201" spans="5:6" x14ac:dyDescent="0.15">
      <c r="E201" s="246"/>
      <c r="F201" s="246"/>
    </row>
    <row r="202" spans="5:6" x14ac:dyDescent="0.15">
      <c r="E202" s="246"/>
      <c r="F202" s="246"/>
    </row>
    <row r="203" spans="5:6" x14ac:dyDescent="0.15">
      <c r="E203" s="246"/>
      <c r="F203" s="246"/>
    </row>
    <row r="204" spans="5:6" x14ac:dyDescent="0.15">
      <c r="E204" s="246"/>
      <c r="F204" s="246"/>
    </row>
    <row r="205" spans="5:6" x14ac:dyDescent="0.15">
      <c r="E205" s="246"/>
      <c r="F205" s="246"/>
    </row>
    <row r="206" spans="5:6" x14ac:dyDescent="0.15">
      <c r="E206" s="246"/>
      <c r="F206" s="246"/>
    </row>
    <row r="207" spans="5:6" x14ac:dyDescent="0.15">
      <c r="E207" s="246"/>
      <c r="F207" s="246"/>
    </row>
    <row r="208" spans="5:6" x14ac:dyDescent="0.15">
      <c r="E208" s="246"/>
      <c r="F208" s="246"/>
    </row>
    <row r="209" spans="5:6" x14ac:dyDescent="0.15">
      <c r="E209" s="246"/>
      <c r="F209" s="246"/>
    </row>
    <row r="210" spans="5:6" x14ac:dyDescent="0.15">
      <c r="E210" s="246"/>
      <c r="F210" s="246"/>
    </row>
    <row r="211" spans="5:6" x14ac:dyDescent="0.15">
      <c r="E211" s="246"/>
      <c r="F211" s="246"/>
    </row>
    <row r="212" spans="5:6" x14ac:dyDescent="0.15">
      <c r="E212" s="246"/>
      <c r="F212" s="246"/>
    </row>
    <row r="213" spans="5:6" x14ac:dyDescent="0.15">
      <c r="E213" s="246"/>
      <c r="F213" s="246"/>
    </row>
    <row r="214" spans="5:6" x14ac:dyDescent="0.15">
      <c r="E214" s="246"/>
      <c r="F214" s="246"/>
    </row>
    <row r="215" spans="5:6" x14ac:dyDescent="0.15">
      <c r="E215" s="246"/>
      <c r="F215" s="246"/>
    </row>
    <row r="216" spans="5:6" x14ac:dyDescent="0.15">
      <c r="E216" s="246"/>
      <c r="F216" s="246"/>
    </row>
    <row r="217" spans="5:6" x14ac:dyDescent="0.15">
      <c r="E217" s="246"/>
      <c r="F217" s="246"/>
    </row>
    <row r="218" spans="5:6" x14ac:dyDescent="0.15">
      <c r="E218" s="246"/>
      <c r="F218" s="246"/>
    </row>
    <row r="219" spans="5:6" x14ac:dyDescent="0.15">
      <c r="E219" s="246"/>
      <c r="F219" s="246"/>
    </row>
    <row r="220" spans="5:6" x14ac:dyDescent="0.15">
      <c r="E220" s="246"/>
      <c r="F220" s="246"/>
    </row>
    <row r="221" spans="5:6" x14ac:dyDescent="0.15">
      <c r="E221" s="246"/>
      <c r="F221" s="246"/>
    </row>
    <row r="222" spans="5:6" x14ac:dyDescent="0.15">
      <c r="E222" s="246"/>
      <c r="F222" s="246"/>
    </row>
    <row r="223" spans="5:6" x14ac:dyDescent="0.15">
      <c r="E223" s="246"/>
      <c r="F223" s="246"/>
    </row>
    <row r="224" spans="5:6" x14ac:dyDescent="0.15">
      <c r="E224" s="246"/>
      <c r="F224" s="246"/>
    </row>
    <row r="225" spans="5:6" x14ac:dyDescent="0.15">
      <c r="E225" s="246"/>
      <c r="F225" s="246"/>
    </row>
    <row r="226" spans="5:6" x14ac:dyDescent="0.15">
      <c r="E226" s="246"/>
      <c r="F226" s="246"/>
    </row>
    <row r="227" spans="5:6" x14ac:dyDescent="0.15">
      <c r="E227" s="246"/>
      <c r="F227" s="246"/>
    </row>
    <row r="228" spans="5:6" x14ac:dyDescent="0.15">
      <c r="E228" s="246"/>
      <c r="F228" s="246"/>
    </row>
    <row r="229" spans="5:6" x14ac:dyDescent="0.15">
      <c r="E229" s="246"/>
      <c r="F229" s="246"/>
    </row>
    <row r="230" spans="5:6" x14ac:dyDescent="0.15">
      <c r="E230" s="246"/>
      <c r="F230" s="246"/>
    </row>
    <row r="231" spans="5:6" x14ac:dyDescent="0.15">
      <c r="E231" s="246"/>
      <c r="F231" s="246"/>
    </row>
    <row r="232" spans="5:6" x14ac:dyDescent="0.15">
      <c r="E232" s="246"/>
      <c r="F232" s="246"/>
    </row>
    <row r="233" spans="5:6" x14ac:dyDescent="0.15">
      <c r="E233" s="246"/>
      <c r="F233" s="246"/>
    </row>
    <row r="234" spans="5:6" x14ac:dyDescent="0.15">
      <c r="E234" s="246"/>
      <c r="F234" s="246"/>
    </row>
    <row r="235" spans="5:6" x14ac:dyDescent="0.15">
      <c r="E235" s="246"/>
      <c r="F235" s="246"/>
    </row>
    <row r="236" spans="5:6" x14ac:dyDescent="0.15">
      <c r="E236" s="246"/>
      <c r="F236" s="246"/>
    </row>
    <row r="237" spans="5:6" x14ac:dyDescent="0.15">
      <c r="E237" s="246"/>
      <c r="F237" s="246"/>
    </row>
    <row r="238" spans="5:6" x14ac:dyDescent="0.15">
      <c r="E238" s="246"/>
      <c r="F238" s="246"/>
    </row>
    <row r="239" spans="5:6" x14ac:dyDescent="0.15">
      <c r="E239" s="246"/>
      <c r="F239" s="246"/>
    </row>
    <row r="240" spans="5:6" x14ac:dyDescent="0.15">
      <c r="E240" s="246"/>
      <c r="F240" s="246"/>
    </row>
    <row r="241" spans="5:6" x14ac:dyDescent="0.15">
      <c r="E241" s="246"/>
      <c r="F241" s="246"/>
    </row>
    <row r="242" spans="5:6" x14ac:dyDescent="0.15">
      <c r="E242" s="246"/>
      <c r="F242" s="246"/>
    </row>
    <row r="243" spans="5:6" x14ac:dyDescent="0.15">
      <c r="E243" s="246"/>
      <c r="F243" s="246"/>
    </row>
    <row r="244" spans="5:6" x14ac:dyDescent="0.15">
      <c r="E244" s="246"/>
      <c r="F244" s="246"/>
    </row>
    <row r="245" spans="5:6" x14ac:dyDescent="0.15">
      <c r="E245" s="246"/>
      <c r="F245" s="246"/>
    </row>
    <row r="246" spans="5:6" x14ac:dyDescent="0.15">
      <c r="E246" s="246"/>
      <c r="F246" s="246"/>
    </row>
    <row r="247" spans="5:6" x14ac:dyDescent="0.15">
      <c r="E247" s="246"/>
      <c r="F247" s="246"/>
    </row>
    <row r="248" spans="5:6" x14ac:dyDescent="0.15">
      <c r="E248" s="246"/>
      <c r="F248" s="246"/>
    </row>
    <row r="249" spans="5:6" x14ac:dyDescent="0.15">
      <c r="E249" s="246"/>
      <c r="F249" s="246"/>
    </row>
    <row r="250" spans="5:6" x14ac:dyDescent="0.15">
      <c r="E250" s="246"/>
      <c r="F250" s="246"/>
    </row>
    <row r="251" spans="5:6" x14ac:dyDescent="0.15">
      <c r="E251" s="246"/>
      <c r="F251" s="246"/>
    </row>
    <row r="252" spans="5:6" x14ac:dyDescent="0.15">
      <c r="E252" s="246"/>
      <c r="F252" s="246"/>
    </row>
    <row r="253" spans="5:6" x14ac:dyDescent="0.15">
      <c r="E253" s="246"/>
      <c r="F253" s="246"/>
    </row>
    <row r="254" spans="5:6" x14ac:dyDescent="0.15">
      <c r="E254" s="246"/>
      <c r="F254" s="246"/>
    </row>
    <row r="255" spans="5:6" x14ac:dyDescent="0.15">
      <c r="E255" s="246"/>
      <c r="F255" s="246"/>
    </row>
    <row r="256" spans="5:6" x14ac:dyDescent="0.15">
      <c r="E256" s="246"/>
      <c r="F256" s="246"/>
    </row>
    <row r="257" spans="5:6" x14ac:dyDescent="0.15">
      <c r="E257" s="246"/>
      <c r="F257" s="246"/>
    </row>
    <row r="258" spans="5:6" x14ac:dyDescent="0.15">
      <c r="E258" s="246"/>
      <c r="F258" s="246"/>
    </row>
    <row r="259" spans="5:6" x14ac:dyDescent="0.15">
      <c r="E259" s="246"/>
      <c r="F259" s="246"/>
    </row>
    <row r="260" spans="5:6" x14ac:dyDescent="0.15">
      <c r="E260" s="246"/>
      <c r="F260" s="246"/>
    </row>
    <row r="261" spans="5:6" x14ac:dyDescent="0.15">
      <c r="E261" s="246"/>
      <c r="F261" s="246"/>
    </row>
    <row r="262" spans="5:6" x14ac:dyDescent="0.15">
      <c r="E262" s="246"/>
      <c r="F262" s="246"/>
    </row>
    <row r="263" spans="5:6" x14ac:dyDescent="0.15">
      <c r="E263" s="246"/>
      <c r="F263" s="246"/>
    </row>
    <row r="264" spans="5:6" x14ac:dyDescent="0.15">
      <c r="E264" s="246"/>
      <c r="F264" s="246"/>
    </row>
    <row r="265" spans="5:6" x14ac:dyDescent="0.15">
      <c r="E265" s="246"/>
      <c r="F265" s="246"/>
    </row>
    <row r="266" spans="5:6" x14ac:dyDescent="0.15">
      <c r="E266" s="246"/>
      <c r="F266" s="246"/>
    </row>
    <row r="267" spans="5:6" x14ac:dyDescent="0.15">
      <c r="E267" s="246"/>
      <c r="F267" s="246"/>
    </row>
    <row r="268" spans="5:6" x14ac:dyDescent="0.15">
      <c r="E268" s="246"/>
      <c r="F268" s="246"/>
    </row>
    <row r="269" spans="5:6" x14ac:dyDescent="0.15">
      <c r="E269" s="246"/>
      <c r="F269" s="246"/>
    </row>
    <row r="270" spans="5:6" x14ac:dyDescent="0.15">
      <c r="E270" s="246"/>
      <c r="F270" s="246"/>
    </row>
    <row r="271" spans="5:6" x14ac:dyDescent="0.15">
      <c r="E271" s="246"/>
      <c r="F271" s="246"/>
    </row>
    <row r="272" spans="5:6" x14ac:dyDescent="0.15">
      <c r="E272" s="246"/>
      <c r="F272" s="246"/>
    </row>
    <row r="273" spans="5:6" x14ac:dyDescent="0.15">
      <c r="E273" s="246"/>
      <c r="F273" s="246"/>
    </row>
    <row r="274" spans="5:6" x14ac:dyDescent="0.15">
      <c r="E274" s="246"/>
      <c r="F274" s="246"/>
    </row>
    <row r="275" spans="5:6" x14ac:dyDescent="0.15">
      <c r="E275" s="246"/>
      <c r="F275" s="246"/>
    </row>
    <row r="276" spans="5:6" x14ac:dyDescent="0.15">
      <c r="E276" s="246"/>
      <c r="F276" s="246"/>
    </row>
    <row r="277" spans="5:6" x14ac:dyDescent="0.15">
      <c r="E277" s="246"/>
      <c r="F277" s="246"/>
    </row>
    <row r="278" spans="5:6" x14ac:dyDescent="0.15">
      <c r="E278" s="246"/>
      <c r="F278" s="246"/>
    </row>
    <row r="279" spans="5:6" x14ac:dyDescent="0.15">
      <c r="E279" s="246"/>
      <c r="F279" s="246"/>
    </row>
    <row r="280" spans="5:6" x14ac:dyDescent="0.15">
      <c r="E280" s="246"/>
      <c r="F280" s="246"/>
    </row>
    <row r="281" spans="5:6" x14ac:dyDescent="0.15">
      <c r="E281" s="246"/>
      <c r="F281" s="246"/>
    </row>
    <row r="282" spans="5:6" x14ac:dyDescent="0.15">
      <c r="E282" s="246"/>
      <c r="F282" s="246"/>
    </row>
    <row r="283" spans="5:6" x14ac:dyDescent="0.15">
      <c r="E283" s="246"/>
      <c r="F283" s="246"/>
    </row>
    <row r="284" spans="5:6" x14ac:dyDescent="0.15">
      <c r="E284" s="246"/>
      <c r="F284" s="246"/>
    </row>
    <row r="285" spans="5:6" x14ac:dyDescent="0.15">
      <c r="E285" s="246"/>
      <c r="F285" s="246"/>
    </row>
    <row r="286" spans="5:6" x14ac:dyDescent="0.15">
      <c r="E286" s="246"/>
      <c r="F286" s="246"/>
    </row>
    <row r="287" spans="5:6" x14ac:dyDescent="0.15">
      <c r="E287" s="246"/>
      <c r="F287" s="246"/>
    </row>
    <row r="288" spans="5:6" x14ac:dyDescent="0.15">
      <c r="E288" s="246"/>
      <c r="F288" s="246"/>
    </row>
    <row r="289" spans="5:6" x14ac:dyDescent="0.15">
      <c r="E289" s="246"/>
      <c r="F289" s="246"/>
    </row>
    <row r="290" spans="5:6" x14ac:dyDescent="0.15">
      <c r="E290" s="246"/>
      <c r="F290" s="246"/>
    </row>
    <row r="291" spans="5:6" x14ac:dyDescent="0.15">
      <c r="E291" s="246"/>
      <c r="F291" s="246"/>
    </row>
    <row r="292" spans="5:6" x14ac:dyDescent="0.15">
      <c r="E292" s="246"/>
      <c r="F292" s="246"/>
    </row>
    <row r="293" spans="5:6" x14ac:dyDescent="0.15">
      <c r="E293" s="246"/>
      <c r="F293" s="246"/>
    </row>
    <row r="294" spans="5:6" x14ac:dyDescent="0.15">
      <c r="E294" s="246"/>
      <c r="F294" s="246"/>
    </row>
    <row r="295" spans="5:6" x14ac:dyDescent="0.15">
      <c r="E295" s="246"/>
      <c r="F295" s="246"/>
    </row>
    <row r="296" spans="5:6" x14ac:dyDescent="0.15">
      <c r="E296" s="246"/>
      <c r="F296" s="246"/>
    </row>
    <row r="297" spans="5:6" x14ac:dyDescent="0.15">
      <c r="E297" s="246"/>
      <c r="F297" s="246"/>
    </row>
    <row r="298" spans="5:6" x14ac:dyDescent="0.15">
      <c r="E298" s="246"/>
      <c r="F298" s="246"/>
    </row>
    <row r="299" spans="5:6" x14ac:dyDescent="0.15">
      <c r="E299" s="246"/>
      <c r="F299" s="246"/>
    </row>
    <row r="300" spans="5:6" x14ac:dyDescent="0.15">
      <c r="E300" s="246"/>
      <c r="F300" s="246"/>
    </row>
    <row r="301" spans="5:6" x14ac:dyDescent="0.15">
      <c r="E301" s="246"/>
      <c r="F301" s="246"/>
    </row>
    <row r="302" spans="5:6" x14ac:dyDescent="0.15">
      <c r="E302" s="246"/>
      <c r="F302" s="246"/>
    </row>
    <row r="303" spans="5:6" x14ac:dyDescent="0.15">
      <c r="E303" s="246"/>
      <c r="F303" s="246"/>
    </row>
    <row r="304" spans="5:6" x14ac:dyDescent="0.15">
      <c r="E304" s="246"/>
      <c r="F304" s="246"/>
    </row>
    <row r="305" spans="5:6" x14ac:dyDescent="0.15">
      <c r="E305" s="246"/>
      <c r="F305" s="246"/>
    </row>
    <row r="306" spans="5:6" x14ac:dyDescent="0.15">
      <c r="E306" s="246"/>
      <c r="F306" s="246"/>
    </row>
    <row r="307" spans="5:6" x14ac:dyDescent="0.15">
      <c r="E307" s="246"/>
      <c r="F307" s="246"/>
    </row>
    <row r="308" spans="5:6" x14ac:dyDescent="0.15">
      <c r="E308" s="246"/>
      <c r="F308" s="246"/>
    </row>
    <row r="309" spans="5:6" x14ac:dyDescent="0.15">
      <c r="E309" s="246"/>
      <c r="F309" s="246"/>
    </row>
    <row r="310" spans="5:6" x14ac:dyDescent="0.15">
      <c r="E310" s="246"/>
      <c r="F310" s="246"/>
    </row>
    <row r="311" spans="5:6" x14ac:dyDescent="0.15">
      <c r="E311" s="246"/>
      <c r="F311" s="246"/>
    </row>
    <row r="312" spans="5:6" x14ac:dyDescent="0.15">
      <c r="E312" s="246"/>
      <c r="F312" s="246"/>
    </row>
    <row r="313" spans="5:6" x14ac:dyDescent="0.15">
      <c r="E313" s="246"/>
      <c r="F313" s="246"/>
    </row>
    <row r="314" spans="5:6" x14ac:dyDescent="0.15">
      <c r="E314" s="246"/>
      <c r="F314" s="246"/>
    </row>
    <row r="315" spans="5:6" x14ac:dyDescent="0.15">
      <c r="E315" s="246"/>
      <c r="F315" s="246"/>
    </row>
    <row r="316" spans="5:6" x14ac:dyDescent="0.15">
      <c r="E316" s="246"/>
      <c r="F316" s="246"/>
    </row>
    <row r="317" spans="5:6" x14ac:dyDescent="0.15">
      <c r="E317" s="246"/>
      <c r="F317" s="246"/>
    </row>
    <row r="318" spans="5:6" x14ac:dyDescent="0.15">
      <c r="E318" s="246"/>
      <c r="F318" s="246"/>
    </row>
    <row r="319" spans="5:6" x14ac:dyDescent="0.15">
      <c r="E319" s="246"/>
      <c r="F319" s="246"/>
    </row>
    <row r="320" spans="5:6" x14ac:dyDescent="0.15">
      <c r="E320" s="246"/>
      <c r="F320" s="246"/>
    </row>
    <row r="321" spans="5:6" x14ac:dyDescent="0.15">
      <c r="E321" s="246"/>
      <c r="F321" s="246"/>
    </row>
    <row r="322" spans="5:6" x14ac:dyDescent="0.15">
      <c r="E322" s="246"/>
      <c r="F322" s="246"/>
    </row>
    <row r="323" spans="5:6" x14ac:dyDescent="0.15">
      <c r="E323" s="246"/>
      <c r="F323" s="246"/>
    </row>
    <row r="324" spans="5:6" x14ac:dyDescent="0.15">
      <c r="E324" s="246"/>
      <c r="F324" s="246"/>
    </row>
    <row r="325" spans="5:6" x14ac:dyDescent="0.15">
      <c r="E325" s="246"/>
      <c r="F325" s="246"/>
    </row>
    <row r="326" spans="5:6" x14ac:dyDescent="0.15">
      <c r="E326" s="246"/>
      <c r="F326" s="246"/>
    </row>
    <row r="327" spans="5:6" x14ac:dyDescent="0.15">
      <c r="E327" s="246"/>
      <c r="F327" s="246"/>
    </row>
    <row r="328" spans="5:6" x14ac:dyDescent="0.15">
      <c r="E328" s="246"/>
      <c r="F328" s="246"/>
    </row>
    <row r="329" spans="5:6" x14ac:dyDescent="0.15">
      <c r="E329" s="246"/>
      <c r="F329" s="246"/>
    </row>
    <row r="330" spans="5:6" x14ac:dyDescent="0.15">
      <c r="E330" s="246"/>
      <c r="F330" s="246"/>
    </row>
    <row r="331" spans="5:6" x14ac:dyDescent="0.15">
      <c r="E331" s="246"/>
      <c r="F331" s="246"/>
    </row>
    <row r="332" spans="5:6" x14ac:dyDescent="0.15">
      <c r="E332" s="246"/>
      <c r="F332" s="246"/>
    </row>
    <row r="333" spans="5:6" x14ac:dyDescent="0.15">
      <c r="E333" s="246"/>
      <c r="F333" s="246"/>
    </row>
    <row r="334" spans="5:6" x14ac:dyDescent="0.15">
      <c r="E334" s="246"/>
      <c r="F334" s="246"/>
    </row>
    <row r="335" spans="5:6" x14ac:dyDescent="0.15">
      <c r="E335" s="246"/>
      <c r="F335" s="246"/>
    </row>
    <row r="336" spans="5:6" x14ac:dyDescent="0.15">
      <c r="E336" s="246"/>
      <c r="F336" s="246"/>
    </row>
    <row r="337" spans="5:6" x14ac:dyDescent="0.15">
      <c r="E337" s="246"/>
      <c r="F337" s="246"/>
    </row>
    <row r="338" spans="5:6" x14ac:dyDescent="0.15">
      <c r="E338" s="246"/>
      <c r="F338" s="246"/>
    </row>
    <row r="339" spans="5:6" x14ac:dyDescent="0.15">
      <c r="E339" s="246"/>
      <c r="F339" s="246"/>
    </row>
    <row r="340" spans="5:6" x14ac:dyDescent="0.15">
      <c r="E340" s="246"/>
      <c r="F340" s="246"/>
    </row>
    <row r="341" spans="5:6" x14ac:dyDescent="0.15">
      <c r="E341" s="246"/>
      <c r="F341" s="246"/>
    </row>
    <row r="342" spans="5:6" x14ac:dyDescent="0.15">
      <c r="E342" s="246"/>
      <c r="F342" s="246"/>
    </row>
    <row r="343" spans="5:6" x14ac:dyDescent="0.15">
      <c r="E343" s="246"/>
      <c r="F343" s="246"/>
    </row>
    <row r="344" spans="5:6" x14ac:dyDescent="0.15">
      <c r="E344" s="246"/>
      <c r="F344" s="246"/>
    </row>
    <row r="345" spans="5:6" x14ac:dyDescent="0.15">
      <c r="E345" s="246"/>
      <c r="F345" s="246"/>
    </row>
    <row r="346" spans="5:6" x14ac:dyDescent="0.15">
      <c r="E346" s="246"/>
      <c r="F346" s="246"/>
    </row>
    <row r="347" spans="5:6" x14ac:dyDescent="0.15">
      <c r="E347" s="246"/>
      <c r="F347" s="246"/>
    </row>
    <row r="348" spans="5:6" x14ac:dyDescent="0.15">
      <c r="E348" s="246"/>
      <c r="F348" s="246"/>
    </row>
    <row r="349" spans="5:6" x14ac:dyDescent="0.15">
      <c r="E349" s="246"/>
      <c r="F349" s="246"/>
    </row>
    <row r="350" spans="5:6" x14ac:dyDescent="0.15">
      <c r="E350" s="246"/>
      <c r="F350" s="246"/>
    </row>
    <row r="351" spans="5:6" x14ac:dyDescent="0.15">
      <c r="E351" s="246"/>
      <c r="F351" s="246"/>
    </row>
    <row r="352" spans="5:6" x14ac:dyDescent="0.15">
      <c r="E352" s="246"/>
      <c r="F352" s="246"/>
    </row>
    <row r="353" spans="5:6" x14ac:dyDescent="0.15">
      <c r="E353" s="246"/>
      <c r="F353" s="246"/>
    </row>
    <row r="354" spans="5:6" x14ac:dyDescent="0.15">
      <c r="E354" s="246"/>
      <c r="F354" s="246"/>
    </row>
    <row r="355" spans="5:6" x14ac:dyDescent="0.15">
      <c r="E355" s="246"/>
      <c r="F355" s="246"/>
    </row>
    <row r="356" spans="5:6" x14ac:dyDescent="0.15">
      <c r="E356" s="246"/>
      <c r="F356" s="246"/>
    </row>
    <row r="357" spans="5:6" x14ac:dyDescent="0.15">
      <c r="E357" s="246"/>
      <c r="F357" s="246"/>
    </row>
    <row r="358" spans="5:6" x14ac:dyDescent="0.15">
      <c r="E358" s="246"/>
      <c r="F358" s="246"/>
    </row>
    <row r="359" spans="5:6" x14ac:dyDescent="0.15">
      <c r="E359" s="246"/>
      <c r="F359" s="246"/>
    </row>
    <row r="360" spans="5:6" x14ac:dyDescent="0.15">
      <c r="E360" s="246"/>
      <c r="F360" s="246"/>
    </row>
    <row r="361" spans="5:6" x14ac:dyDescent="0.15">
      <c r="E361" s="246"/>
      <c r="F361" s="246"/>
    </row>
    <row r="362" spans="5:6" x14ac:dyDescent="0.15">
      <c r="E362" s="246"/>
      <c r="F362" s="246"/>
    </row>
    <row r="363" spans="5:6" x14ac:dyDescent="0.15">
      <c r="E363" s="246"/>
      <c r="F363" s="246"/>
    </row>
    <row r="364" spans="5:6" x14ac:dyDescent="0.15">
      <c r="E364" s="246"/>
      <c r="F364" s="246"/>
    </row>
    <row r="365" spans="5:6" x14ac:dyDescent="0.15">
      <c r="E365" s="246"/>
      <c r="F365" s="246"/>
    </row>
    <row r="366" spans="5:6" x14ac:dyDescent="0.15">
      <c r="E366" s="246"/>
      <c r="F366" s="246"/>
    </row>
    <row r="367" spans="5:6" x14ac:dyDescent="0.15">
      <c r="E367" s="246"/>
      <c r="F367" s="246"/>
    </row>
    <row r="368" spans="5:6" x14ac:dyDescent="0.15">
      <c r="E368" s="246"/>
      <c r="F368" s="246"/>
    </row>
    <row r="369" spans="5:6" x14ac:dyDescent="0.15">
      <c r="E369" s="246"/>
      <c r="F369" s="246"/>
    </row>
    <row r="370" spans="5:6" x14ac:dyDescent="0.15">
      <c r="E370" s="246"/>
      <c r="F370" s="246"/>
    </row>
    <row r="371" spans="5:6" x14ac:dyDescent="0.15">
      <c r="E371" s="246"/>
      <c r="F371" s="246"/>
    </row>
    <row r="372" spans="5:6" x14ac:dyDescent="0.15">
      <c r="E372" s="246"/>
      <c r="F372" s="246"/>
    </row>
    <row r="373" spans="5:6" x14ac:dyDescent="0.15">
      <c r="E373" s="246"/>
      <c r="F373" s="246"/>
    </row>
    <row r="374" spans="5:6" x14ac:dyDescent="0.15">
      <c r="E374" s="246"/>
      <c r="F374" s="246"/>
    </row>
    <row r="375" spans="5:6" x14ac:dyDescent="0.15">
      <c r="E375" s="246"/>
      <c r="F375" s="246"/>
    </row>
    <row r="376" spans="5:6" x14ac:dyDescent="0.15">
      <c r="E376" s="246"/>
      <c r="F376" s="246"/>
    </row>
    <row r="377" spans="5:6" x14ac:dyDescent="0.15">
      <c r="E377" s="246"/>
      <c r="F377" s="246"/>
    </row>
    <row r="378" spans="5:6" x14ac:dyDescent="0.15">
      <c r="E378" s="246"/>
      <c r="F378" s="246"/>
    </row>
    <row r="379" spans="5:6" x14ac:dyDescent="0.15">
      <c r="E379" s="246"/>
      <c r="F379" s="246"/>
    </row>
    <row r="380" spans="5:6" x14ac:dyDescent="0.15">
      <c r="E380" s="246"/>
      <c r="F380" s="246"/>
    </row>
    <row r="381" spans="5:6" x14ac:dyDescent="0.15">
      <c r="E381" s="246"/>
      <c r="F381" s="246"/>
    </row>
    <row r="382" spans="5:6" x14ac:dyDescent="0.15">
      <c r="E382" s="246"/>
      <c r="F382" s="246"/>
    </row>
    <row r="383" spans="5:6" x14ac:dyDescent="0.15">
      <c r="E383" s="246"/>
      <c r="F383" s="246"/>
    </row>
    <row r="384" spans="5:6" x14ac:dyDescent="0.15">
      <c r="E384" s="246"/>
      <c r="F384" s="246"/>
    </row>
    <row r="385" spans="5:6" x14ac:dyDescent="0.15">
      <c r="E385" s="246"/>
      <c r="F385" s="246"/>
    </row>
    <row r="386" spans="5:6" x14ac:dyDescent="0.15">
      <c r="E386" s="246"/>
      <c r="F386" s="246"/>
    </row>
    <row r="387" spans="5:6" x14ac:dyDescent="0.15">
      <c r="E387" s="246"/>
      <c r="F387" s="246"/>
    </row>
    <row r="388" spans="5:6" x14ac:dyDescent="0.15">
      <c r="E388" s="246"/>
      <c r="F388" s="246"/>
    </row>
    <row r="389" spans="5:6" x14ac:dyDescent="0.15">
      <c r="E389" s="246"/>
      <c r="F389" s="246"/>
    </row>
    <row r="390" spans="5:6" x14ac:dyDescent="0.15">
      <c r="E390" s="246"/>
      <c r="F390" s="246"/>
    </row>
    <row r="391" spans="5:6" x14ac:dyDescent="0.15">
      <c r="E391" s="246"/>
      <c r="F391" s="246"/>
    </row>
    <row r="392" spans="5:6" x14ac:dyDescent="0.15">
      <c r="E392" s="246"/>
      <c r="F392" s="246"/>
    </row>
    <row r="393" spans="5:6" x14ac:dyDescent="0.15">
      <c r="E393" s="246"/>
      <c r="F393" s="246"/>
    </row>
    <row r="394" spans="5:6" x14ac:dyDescent="0.15">
      <c r="E394" s="246"/>
      <c r="F394" s="246"/>
    </row>
    <row r="395" spans="5:6" x14ac:dyDescent="0.15">
      <c r="E395" s="246"/>
      <c r="F395" s="246"/>
    </row>
    <row r="396" spans="5:6" x14ac:dyDescent="0.15">
      <c r="E396" s="246"/>
      <c r="F396" s="246"/>
    </row>
    <row r="397" spans="5:6" x14ac:dyDescent="0.15">
      <c r="E397" s="246"/>
      <c r="F397" s="246"/>
    </row>
    <row r="398" spans="5:6" x14ac:dyDescent="0.15">
      <c r="E398" s="246"/>
      <c r="F398" s="246"/>
    </row>
    <row r="399" spans="5:6" x14ac:dyDescent="0.15">
      <c r="E399" s="246"/>
      <c r="F399" s="246"/>
    </row>
    <row r="400" spans="5:6" x14ac:dyDescent="0.15">
      <c r="E400" s="246"/>
      <c r="F400" s="246"/>
    </row>
    <row r="401" spans="5:6" x14ac:dyDescent="0.15">
      <c r="E401" s="246"/>
      <c r="F401" s="246"/>
    </row>
    <row r="402" spans="5:6" x14ac:dyDescent="0.15">
      <c r="E402" s="246"/>
      <c r="F402" s="246"/>
    </row>
    <row r="403" spans="5:6" x14ac:dyDescent="0.15">
      <c r="E403" s="246"/>
      <c r="F403" s="246"/>
    </row>
    <row r="404" spans="5:6" x14ac:dyDescent="0.15">
      <c r="E404" s="246"/>
      <c r="F404" s="246"/>
    </row>
    <row r="405" spans="5:6" x14ac:dyDescent="0.15">
      <c r="E405" s="246"/>
      <c r="F405" s="246"/>
    </row>
    <row r="406" spans="5:6" x14ac:dyDescent="0.15">
      <c r="E406" s="246"/>
      <c r="F406" s="246"/>
    </row>
    <row r="407" spans="5:6" x14ac:dyDescent="0.15">
      <c r="E407" s="246"/>
      <c r="F407" s="246"/>
    </row>
    <row r="408" spans="5:6" x14ac:dyDescent="0.15">
      <c r="E408" s="246"/>
      <c r="F408" s="246"/>
    </row>
    <row r="409" spans="5:6" x14ac:dyDescent="0.15">
      <c r="E409" s="246"/>
      <c r="F409" s="246"/>
    </row>
    <row r="410" spans="5:6" x14ac:dyDescent="0.15">
      <c r="E410" s="246"/>
      <c r="F410" s="246"/>
    </row>
    <row r="411" spans="5:6" x14ac:dyDescent="0.15">
      <c r="E411" s="246"/>
      <c r="F411" s="246"/>
    </row>
    <row r="412" spans="5:6" x14ac:dyDescent="0.15">
      <c r="E412" s="246"/>
      <c r="F412" s="246"/>
    </row>
    <row r="413" spans="5:6" x14ac:dyDescent="0.15">
      <c r="E413" s="246"/>
      <c r="F413" s="246"/>
    </row>
    <row r="414" spans="5:6" x14ac:dyDescent="0.15">
      <c r="E414" s="246"/>
      <c r="F414" s="246"/>
    </row>
    <row r="415" spans="5:6" x14ac:dyDescent="0.15">
      <c r="E415" s="246"/>
      <c r="F415" s="246"/>
    </row>
    <row r="416" spans="5:6" x14ac:dyDescent="0.15">
      <c r="E416" s="246"/>
      <c r="F416" s="246"/>
    </row>
    <row r="417" spans="5:6" x14ac:dyDescent="0.15">
      <c r="E417" s="246"/>
      <c r="F417" s="246"/>
    </row>
    <row r="418" spans="5:6" x14ac:dyDescent="0.15">
      <c r="E418" s="246"/>
      <c r="F418" s="246"/>
    </row>
    <row r="419" spans="5:6" x14ac:dyDescent="0.15">
      <c r="E419" s="246"/>
      <c r="F419" s="246"/>
    </row>
    <row r="420" spans="5:6" x14ac:dyDescent="0.15">
      <c r="E420" s="246"/>
      <c r="F420" s="246"/>
    </row>
    <row r="421" spans="5:6" x14ac:dyDescent="0.15">
      <c r="E421" s="246"/>
      <c r="F421" s="246"/>
    </row>
    <row r="422" spans="5:6" x14ac:dyDescent="0.15">
      <c r="E422" s="246"/>
      <c r="F422" s="246"/>
    </row>
    <row r="423" spans="5:6" x14ac:dyDescent="0.15">
      <c r="E423" s="246"/>
      <c r="F423" s="246"/>
    </row>
    <row r="424" spans="5:6" x14ac:dyDescent="0.15">
      <c r="E424" s="246"/>
      <c r="F424" s="246"/>
    </row>
    <row r="425" spans="5:6" x14ac:dyDescent="0.15">
      <c r="E425" s="246"/>
      <c r="F425" s="246"/>
    </row>
    <row r="426" spans="5:6" x14ac:dyDescent="0.15">
      <c r="E426" s="246"/>
      <c r="F426" s="246"/>
    </row>
    <row r="427" spans="5:6" x14ac:dyDescent="0.15">
      <c r="E427" s="246"/>
      <c r="F427" s="246"/>
    </row>
    <row r="428" spans="5:6" x14ac:dyDescent="0.15">
      <c r="E428" s="246"/>
      <c r="F428" s="246"/>
    </row>
    <row r="429" spans="5:6" x14ac:dyDescent="0.15">
      <c r="E429" s="246"/>
      <c r="F429" s="246"/>
    </row>
    <row r="430" spans="5:6" x14ac:dyDescent="0.15">
      <c r="E430" s="246"/>
      <c r="F430" s="246"/>
    </row>
    <row r="431" spans="5:6" x14ac:dyDescent="0.15">
      <c r="E431" s="246"/>
      <c r="F431" s="246"/>
    </row>
    <row r="432" spans="5:6" x14ac:dyDescent="0.15">
      <c r="E432" s="246"/>
      <c r="F432" s="246"/>
    </row>
    <row r="433" spans="5:6" x14ac:dyDescent="0.15">
      <c r="E433" s="246"/>
      <c r="F433" s="246"/>
    </row>
    <row r="434" spans="5:6" x14ac:dyDescent="0.15">
      <c r="E434" s="246"/>
      <c r="F434" s="246"/>
    </row>
    <row r="435" spans="5:6" x14ac:dyDescent="0.15">
      <c r="E435" s="246"/>
      <c r="F435" s="246"/>
    </row>
    <row r="436" spans="5:6" x14ac:dyDescent="0.15">
      <c r="E436" s="246"/>
      <c r="F436" s="246"/>
    </row>
    <row r="437" spans="5:6" x14ac:dyDescent="0.15">
      <c r="E437" s="246"/>
      <c r="F437" s="246"/>
    </row>
    <row r="438" spans="5:6" x14ac:dyDescent="0.15">
      <c r="E438" s="246"/>
      <c r="F438" s="246"/>
    </row>
    <row r="439" spans="5:6" x14ac:dyDescent="0.15">
      <c r="E439" s="246"/>
      <c r="F439" s="246"/>
    </row>
    <row r="440" spans="5:6" x14ac:dyDescent="0.15">
      <c r="E440" s="246"/>
      <c r="F440" s="246"/>
    </row>
    <row r="441" spans="5:6" x14ac:dyDescent="0.15">
      <c r="E441" s="246"/>
      <c r="F441" s="246"/>
    </row>
    <row r="442" spans="5:6" x14ac:dyDescent="0.15">
      <c r="E442" s="246"/>
      <c r="F442" s="246"/>
    </row>
    <row r="443" spans="5:6" x14ac:dyDescent="0.15">
      <c r="E443" s="246"/>
      <c r="F443" s="246"/>
    </row>
    <row r="444" spans="5:6" x14ac:dyDescent="0.15">
      <c r="E444" s="246"/>
      <c r="F444" s="246"/>
    </row>
    <row r="445" spans="5:6" x14ac:dyDescent="0.15">
      <c r="E445" s="246"/>
      <c r="F445" s="246"/>
    </row>
    <row r="446" spans="5:6" x14ac:dyDescent="0.15">
      <c r="E446" s="246"/>
      <c r="F446" s="246"/>
    </row>
    <row r="447" spans="5:6" x14ac:dyDescent="0.15">
      <c r="E447" s="246"/>
      <c r="F447" s="246"/>
    </row>
    <row r="448" spans="5:6" x14ac:dyDescent="0.15">
      <c r="E448" s="246"/>
      <c r="F448" s="246"/>
    </row>
    <row r="449" spans="5:6" x14ac:dyDescent="0.15">
      <c r="E449" s="246"/>
      <c r="F449" s="246"/>
    </row>
    <row r="450" spans="5:6" x14ac:dyDescent="0.15">
      <c r="E450" s="246"/>
      <c r="F450" s="246"/>
    </row>
    <row r="451" spans="5:6" x14ac:dyDescent="0.15">
      <c r="E451" s="246"/>
      <c r="F451" s="246"/>
    </row>
    <row r="452" spans="5:6" x14ac:dyDescent="0.15">
      <c r="E452" s="246"/>
      <c r="F452" s="246"/>
    </row>
    <row r="453" spans="5:6" x14ac:dyDescent="0.15">
      <c r="E453" s="246"/>
      <c r="F453" s="246"/>
    </row>
    <row r="454" spans="5:6" x14ac:dyDescent="0.15">
      <c r="E454" s="246"/>
      <c r="F454" s="246"/>
    </row>
    <row r="455" spans="5:6" x14ac:dyDescent="0.15">
      <c r="E455" s="246"/>
      <c r="F455" s="246"/>
    </row>
    <row r="456" spans="5:6" x14ac:dyDescent="0.15">
      <c r="E456" s="246"/>
      <c r="F456" s="246"/>
    </row>
    <row r="457" spans="5:6" x14ac:dyDescent="0.15">
      <c r="E457" s="246"/>
      <c r="F457" s="246"/>
    </row>
    <row r="458" spans="5:6" x14ac:dyDescent="0.15">
      <c r="E458" s="246"/>
      <c r="F458" s="246"/>
    </row>
    <row r="459" spans="5:6" x14ac:dyDescent="0.15">
      <c r="E459" s="246"/>
      <c r="F459" s="246"/>
    </row>
    <row r="460" spans="5:6" x14ac:dyDescent="0.15">
      <c r="E460" s="246"/>
      <c r="F460" s="246"/>
    </row>
    <row r="461" spans="5:6" x14ac:dyDescent="0.15">
      <c r="E461" s="246"/>
      <c r="F461" s="246"/>
    </row>
    <row r="462" spans="5:6" x14ac:dyDescent="0.15">
      <c r="E462" s="246"/>
      <c r="F462" s="246"/>
    </row>
    <row r="463" spans="5:6" x14ac:dyDescent="0.15">
      <c r="E463" s="246"/>
      <c r="F463" s="246"/>
    </row>
    <row r="464" spans="5:6" x14ac:dyDescent="0.15">
      <c r="E464" s="246"/>
      <c r="F464" s="246"/>
    </row>
    <row r="465" spans="5:6" x14ac:dyDescent="0.15">
      <c r="E465" s="246"/>
      <c r="F465" s="246"/>
    </row>
    <row r="466" spans="5:6" x14ac:dyDescent="0.15">
      <c r="E466" s="246"/>
      <c r="F466" s="246"/>
    </row>
    <row r="467" spans="5:6" x14ac:dyDescent="0.15">
      <c r="E467" s="246"/>
      <c r="F467" s="246"/>
    </row>
    <row r="468" spans="5:6" x14ac:dyDescent="0.15">
      <c r="E468" s="246"/>
      <c r="F468" s="246"/>
    </row>
    <row r="469" spans="5:6" x14ac:dyDescent="0.15">
      <c r="E469" s="246"/>
      <c r="F469" s="246"/>
    </row>
    <row r="470" spans="5:6" x14ac:dyDescent="0.15">
      <c r="E470" s="246"/>
      <c r="F470" s="246"/>
    </row>
    <row r="471" spans="5:6" x14ac:dyDescent="0.15">
      <c r="E471" s="246"/>
      <c r="F471" s="246"/>
    </row>
    <row r="472" spans="5:6" x14ac:dyDescent="0.15">
      <c r="E472" s="246"/>
      <c r="F472" s="246"/>
    </row>
    <row r="473" spans="5:6" x14ac:dyDescent="0.15">
      <c r="E473" s="246"/>
      <c r="F473" s="246"/>
    </row>
    <row r="474" spans="5:6" x14ac:dyDescent="0.15">
      <c r="E474" s="246"/>
      <c r="F474" s="246"/>
    </row>
    <row r="475" spans="5:6" x14ac:dyDescent="0.15">
      <c r="E475" s="246"/>
      <c r="F475" s="246"/>
    </row>
    <row r="476" spans="5:6" x14ac:dyDescent="0.15">
      <c r="E476" s="246"/>
      <c r="F476" s="246"/>
    </row>
    <row r="477" spans="5:6" x14ac:dyDescent="0.15">
      <c r="E477" s="246"/>
      <c r="F477" s="246"/>
    </row>
    <row r="478" spans="5:6" x14ac:dyDescent="0.15">
      <c r="E478" s="246"/>
      <c r="F478" s="246"/>
    </row>
    <row r="479" spans="5:6" x14ac:dyDescent="0.15">
      <c r="E479" s="246"/>
      <c r="F479" s="246"/>
    </row>
    <row r="480" spans="5:6" x14ac:dyDescent="0.15">
      <c r="E480" s="246"/>
      <c r="F480" s="246"/>
    </row>
    <row r="481" spans="5:6" x14ac:dyDescent="0.15">
      <c r="E481" s="246"/>
      <c r="F481" s="246"/>
    </row>
    <row r="482" spans="5:6" x14ac:dyDescent="0.15">
      <c r="E482" s="246"/>
      <c r="F482" s="246"/>
    </row>
    <row r="483" spans="5:6" x14ac:dyDescent="0.15">
      <c r="E483" s="246"/>
      <c r="F483" s="246"/>
    </row>
    <row r="484" spans="5:6" x14ac:dyDescent="0.15">
      <c r="E484" s="246"/>
      <c r="F484" s="246"/>
    </row>
    <row r="485" spans="5:6" x14ac:dyDescent="0.15">
      <c r="E485" s="246"/>
      <c r="F485" s="246"/>
    </row>
    <row r="486" spans="5:6" x14ac:dyDescent="0.15">
      <c r="E486" s="246"/>
      <c r="F486" s="246"/>
    </row>
    <row r="487" spans="5:6" x14ac:dyDescent="0.15">
      <c r="E487" s="246"/>
      <c r="F487" s="246"/>
    </row>
    <row r="488" spans="5:6" x14ac:dyDescent="0.15">
      <c r="E488" s="246"/>
      <c r="F488" s="246"/>
    </row>
    <row r="489" spans="5:6" x14ac:dyDescent="0.15">
      <c r="E489" s="246"/>
      <c r="F489" s="246"/>
    </row>
    <row r="490" spans="5:6" x14ac:dyDescent="0.15">
      <c r="E490" s="246"/>
      <c r="F490" s="246"/>
    </row>
    <row r="491" spans="5:6" x14ac:dyDescent="0.15">
      <c r="E491" s="246"/>
      <c r="F491" s="246"/>
    </row>
    <row r="492" spans="5:6" x14ac:dyDescent="0.15">
      <c r="E492" s="246"/>
      <c r="F492" s="246"/>
    </row>
    <row r="493" spans="5:6" x14ac:dyDescent="0.15">
      <c r="E493" s="246"/>
      <c r="F493" s="246"/>
    </row>
    <row r="494" spans="5:6" x14ac:dyDescent="0.15">
      <c r="E494" s="246"/>
      <c r="F494" s="246"/>
    </row>
    <row r="495" spans="5:6" x14ac:dyDescent="0.15">
      <c r="E495" s="246"/>
      <c r="F495" s="246"/>
    </row>
    <row r="496" spans="5:6" x14ac:dyDescent="0.15">
      <c r="E496" s="246"/>
      <c r="F496" s="246"/>
    </row>
    <row r="497" spans="5:6" x14ac:dyDescent="0.15">
      <c r="E497" s="246"/>
      <c r="F497" s="246"/>
    </row>
    <row r="498" spans="5:6" x14ac:dyDescent="0.15">
      <c r="E498" s="246"/>
      <c r="F498" s="246"/>
    </row>
    <row r="499" spans="5:6" x14ac:dyDescent="0.15">
      <c r="E499" s="246"/>
      <c r="F499" s="246"/>
    </row>
    <row r="500" spans="5:6" x14ac:dyDescent="0.15">
      <c r="E500" s="246"/>
      <c r="F500" s="246"/>
    </row>
    <row r="501" spans="5:6" x14ac:dyDescent="0.15">
      <c r="E501" s="246"/>
      <c r="F501" s="246"/>
    </row>
    <row r="502" spans="5:6" x14ac:dyDescent="0.15">
      <c r="E502" s="246"/>
      <c r="F502" s="246"/>
    </row>
    <row r="503" spans="5:6" x14ac:dyDescent="0.15">
      <c r="E503" s="246"/>
      <c r="F503" s="246"/>
    </row>
    <row r="504" spans="5:6" x14ac:dyDescent="0.15">
      <c r="E504" s="246"/>
      <c r="F504" s="246"/>
    </row>
    <row r="505" spans="5:6" x14ac:dyDescent="0.15">
      <c r="E505" s="246"/>
      <c r="F505" s="246"/>
    </row>
    <row r="506" spans="5:6" x14ac:dyDescent="0.15">
      <c r="E506" s="246"/>
      <c r="F506" s="246"/>
    </row>
    <row r="507" spans="5:6" x14ac:dyDescent="0.15">
      <c r="E507" s="246"/>
      <c r="F507" s="246"/>
    </row>
    <row r="508" spans="5:6" x14ac:dyDescent="0.15">
      <c r="E508" s="246"/>
      <c r="F508" s="246"/>
    </row>
    <row r="509" spans="5:6" x14ac:dyDescent="0.15">
      <c r="E509" s="246"/>
      <c r="F509" s="246"/>
    </row>
    <row r="510" spans="5:6" x14ac:dyDescent="0.15">
      <c r="E510" s="246"/>
      <c r="F510" s="246"/>
    </row>
    <row r="511" spans="5:6" x14ac:dyDescent="0.15">
      <c r="E511" s="246"/>
      <c r="F511" s="246"/>
    </row>
    <row r="512" spans="5:6" x14ac:dyDescent="0.15">
      <c r="E512" s="246"/>
      <c r="F512" s="246"/>
    </row>
    <row r="513" spans="5:6" x14ac:dyDescent="0.15">
      <c r="E513" s="246"/>
      <c r="F513" s="246"/>
    </row>
    <row r="514" spans="5:6" x14ac:dyDescent="0.15">
      <c r="E514" s="246"/>
      <c r="F514" s="246"/>
    </row>
    <row r="515" spans="5:6" x14ac:dyDescent="0.15">
      <c r="E515" s="246"/>
      <c r="F515" s="246"/>
    </row>
    <row r="516" spans="5:6" x14ac:dyDescent="0.15">
      <c r="E516" s="246"/>
      <c r="F516" s="246"/>
    </row>
    <row r="517" spans="5:6" x14ac:dyDescent="0.15">
      <c r="E517" s="246"/>
      <c r="F517" s="246"/>
    </row>
    <row r="518" spans="5:6" x14ac:dyDescent="0.15">
      <c r="E518" s="246"/>
      <c r="F518" s="246"/>
    </row>
    <row r="519" spans="5:6" x14ac:dyDescent="0.15">
      <c r="E519" s="246"/>
      <c r="F519" s="246"/>
    </row>
    <row r="520" spans="5:6" x14ac:dyDescent="0.15">
      <c r="E520" s="246"/>
      <c r="F520" s="246"/>
    </row>
    <row r="521" spans="5:6" x14ac:dyDescent="0.15">
      <c r="E521" s="246"/>
      <c r="F521" s="246"/>
    </row>
    <row r="522" spans="5:6" x14ac:dyDescent="0.15">
      <c r="E522" s="246"/>
      <c r="F522" s="246"/>
    </row>
    <row r="523" spans="5:6" x14ac:dyDescent="0.15">
      <c r="E523" s="246"/>
      <c r="F523" s="246"/>
    </row>
    <row r="524" spans="5:6" x14ac:dyDescent="0.15">
      <c r="E524" s="246"/>
      <c r="F524" s="246"/>
    </row>
    <row r="525" spans="5:6" x14ac:dyDescent="0.15">
      <c r="E525" s="246"/>
      <c r="F525" s="246"/>
    </row>
    <row r="526" spans="5:6" x14ac:dyDescent="0.15">
      <c r="E526" s="246"/>
      <c r="F526" s="246"/>
    </row>
    <row r="527" spans="5:6" x14ac:dyDescent="0.15">
      <c r="E527" s="246"/>
      <c r="F527" s="246"/>
    </row>
    <row r="528" spans="5:6" x14ac:dyDescent="0.15">
      <c r="E528" s="246"/>
      <c r="F528" s="246"/>
    </row>
    <row r="529" spans="5:6" x14ac:dyDescent="0.15">
      <c r="E529" s="246"/>
      <c r="F529" s="246"/>
    </row>
    <row r="530" spans="5:6" x14ac:dyDescent="0.15">
      <c r="E530" s="246"/>
      <c r="F530" s="246"/>
    </row>
    <row r="531" spans="5:6" x14ac:dyDescent="0.15">
      <c r="E531" s="246"/>
      <c r="F531" s="246"/>
    </row>
    <row r="532" spans="5:6" x14ac:dyDescent="0.15">
      <c r="E532" s="246"/>
      <c r="F532" s="246"/>
    </row>
    <row r="533" spans="5:6" x14ac:dyDescent="0.15">
      <c r="E533" s="246"/>
      <c r="F533" s="246"/>
    </row>
    <row r="534" spans="5:6" x14ac:dyDescent="0.15">
      <c r="E534" s="246"/>
      <c r="F534" s="246"/>
    </row>
    <row r="535" spans="5:6" x14ac:dyDescent="0.15">
      <c r="E535" s="246"/>
      <c r="F535" s="246"/>
    </row>
    <row r="536" spans="5:6" x14ac:dyDescent="0.15">
      <c r="E536" s="246"/>
      <c r="F536" s="246"/>
    </row>
    <row r="537" spans="5:6" x14ac:dyDescent="0.15">
      <c r="E537" s="246"/>
      <c r="F537" s="246"/>
    </row>
    <row r="538" spans="5:6" x14ac:dyDescent="0.15">
      <c r="E538" s="246"/>
      <c r="F538" s="246"/>
    </row>
    <row r="539" spans="5:6" x14ac:dyDescent="0.15">
      <c r="E539" s="246"/>
      <c r="F539" s="246"/>
    </row>
    <row r="540" spans="5:6" x14ac:dyDescent="0.15">
      <c r="E540" s="246"/>
      <c r="F540" s="246"/>
    </row>
    <row r="541" spans="5:6" x14ac:dyDescent="0.15">
      <c r="E541" s="246"/>
      <c r="F541" s="246"/>
    </row>
    <row r="542" spans="5:6" x14ac:dyDescent="0.15">
      <c r="E542" s="246"/>
      <c r="F542" s="246"/>
    </row>
    <row r="543" spans="5:6" x14ac:dyDescent="0.15">
      <c r="E543" s="246"/>
      <c r="F543" s="246"/>
    </row>
    <row r="544" spans="5:6" x14ac:dyDescent="0.15">
      <c r="E544" s="246"/>
      <c r="F544" s="246"/>
    </row>
    <row r="545" spans="5:6" x14ac:dyDescent="0.15">
      <c r="E545" s="246"/>
      <c r="F545" s="246"/>
    </row>
    <row r="546" spans="5:6" x14ac:dyDescent="0.15">
      <c r="E546" s="246"/>
      <c r="F546" s="246"/>
    </row>
    <row r="547" spans="5:6" x14ac:dyDescent="0.15">
      <c r="E547" s="246"/>
      <c r="F547" s="246"/>
    </row>
    <row r="548" spans="5:6" x14ac:dyDescent="0.15">
      <c r="E548" s="246"/>
      <c r="F548" s="246"/>
    </row>
    <row r="549" spans="5:6" x14ac:dyDescent="0.15">
      <c r="E549" s="246"/>
      <c r="F549" s="246"/>
    </row>
    <row r="550" spans="5:6" x14ac:dyDescent="0.15">
      <c r="E550" s="246"/>
      <c r="F550" s="246"/>
    </row>
    <row r="551" spans="5:6" x14ac:dyDescent="0.15">
      <c r="E551" s="246"/>
      <c r="F551" s="246"/>
    </row>
    <row r="552" spans="5:6" x14ac:dyDescent="0.15">
      <c r="E552" s="246"/>
      <c r="F552" s="246"/>
    </row>
    <row r="553" spans="5:6" x14ac:dyDescent="0.15">
      <c r="E553" s="246"/>
      <c r="F553" s="246"/>
    </row>
    <row r="554" spans="5:6" x14ac:dyDescent="0.15">
      <c r="E554" s="246"/>
      <c r="F554" s="246"/>
    </row>
    <row r="555" spans="5:6" x14ac:dyDescent="0.15">
      <c r="E555" s="246"/>
      <c r="F555" s="246"/>
    </row>
    <row r="556" spans="5:6" x14ac:dyDescent="0.15">
      <c r="E556" s="246"/>
      <c r="F556" s="246"/>
    </row>
    <row r="557" spans="5:6" x14ac:dyDescent="0.15">
      <c r="E557" s="246"/>
      <c r="F557" s="246"/>
    </row>
    <row r="558" spans="5:6" x14ac:dyDescent="0.15">
      <c r="E558" s="246"/>
      <c r="F558" s="246"/>
    </row>
    <row r="559" spans="5:6" x14ac:dyDescent="0.15">
      <c r="E559" s="246"/>
      <c r="F559" s="246"/>
    </row>
    <row r="560" spans="5:6" x14ac:dyDescent="0.15">
      <c r="E560" s="246"/>
      <c r="F560" s="246"/>
    </row>
    <row r="561" spans="5:6" x14ac:dyDescent="0.15">
      <c r="E561" s="246"/>
      <c r="F561" s="246"/>
    </row>
    <row r="562" spans="5:6" x14ac:dyDescent="0.15">
      <c r="E562" s="246"/>
      <c r="F562" s="246"/>
    </row>
    <row r="563" spans="5:6" x14ac:dyDescent="0.15">
      <c r="E563" s="246"/>
      <c r="F563" s="246"/>
    </row>
    <row r="564" spans="5:6" x14ac:dyDescent="0.15">
      <c r="E564" s="246"/>
      <c r="F564" s="246"/>
    </row>
    <row r="565" spans="5:6" x14ac:dyDescent="0.15">
      <c r="E565" s="246"/>
      <c r="F565" s="246"/>
    </row>
    <row r="566" spans="5:6" x14ac:dyDescent="0.15">
      <c r="E566" s="246"/>
      <c r="F566" s="246"/>
    </row>
    <row r="567" spans="5:6" x14ac:dyDescent="0.15">
      <c r="E567" s="246"/>
      <c r="F567" s="246"/>
    </row>
    <row r="568" spans="5:6" x14ac:dyDescent="0.15">
      <c r="E568" s="246"/>
      <c r="F568" s="246"/>
    </row>
    <row r="569" spans="5:6" x14ac:dyDescent="0.15">
      <c r="E569" s="246"/>
      <c r="F569" s="246"/>
    </row>
    <row r="570" spans="5:6" x14ac:dyDescent="0.15">
      <c r="E570" s="246"/>
      <c r="F570" s="246"/>
    </row>
    <row r="571" spans="5:6" x14ac:dyDescent="0.15">
      <c r="E571" s="246"/>
      <c r="F571" s="246"/>
    </row>
    <row r="572" spans="5:6" x14ac:dyDescent="0.15">
      <c r="E572" s="246"/>
      <c r="F572" s="246"/>
    </row>
    <row r="573" spans="5:6" x14ac:dyDescent="0.15">
      <c r="E573" s="246"/>
      <c r="F573" s="246"/>
    </row>
    <row r="574" spans="5:6" x14ac:dyDescent="0.15">
      <c r="E574" s="246"/>
      <c r="F574" s="246"/>
    </row>
    <row r="575" spans="5:6" x14ac:dyDescent="0.15">
      <c r="E575" s="246"/>
      <c r="F575" s="246"/>
    </row>
    <row r="576" spans="5:6" x14ac:dyDescent="0.15">
      <c r="E576" s="246"/>
      <c r="F576" s="246"/>
    </row>
    <row r="577" spans="5:6" x14ac:dyDescent="0.15">
      <c r="E577" s="246"/>
      <c r="F577" s="246"/>
    </row>
    <row r="578" spans="5:6" x14ac:dyDescent="0.15">
      <c r="E578" s="246"/>
      <c r="F578" s="246"/>
    </row>
    <row r="579" spans="5:6" x14ac:dyDescent="0.15">
      <c r="E579" s="246"/>
      <c r="F579" s="246"/>
    </row>
    <row r="580" spans="5:6" x14ac:dyDescent="0.15">
      <c r="E580" s="246"/>
      <c r="F580" s="246"/>
    </row>
    <row r="581" spans="5:6" x14ac:dyDescent="0.15">
      <c r="E581" s="246"/>
      <c r="F581" s="246"/>
    </row>
    <row r="582" spans="5:6" x14ac:dyDescent="0.15">
      <c r="E582" s="246"/>
      <c r="F582" s="246"/>
    </row>
    <row r="583" spans="5:6" x14ac:dyDescent="0.15">
      <c r="E583" s="246"/>
      <c r="F583" s="246"/>
    </row>
    <row r="584" spans="5:6" x14ac:dyDescent="0.15">
      <c r="E584" s="246"/>
      <c r="F584" s="246"/>
    </row>
    <row r="585" spans="5:6" x14ac:dyDescent="0.15">
      <c r="E585" s="246"/>
      <c r="F585" s="246"/>
    </row>
    <row r="586" spans="5:6" x14ac:dyDescent="0.15">
      <c r="E586" s="246"/>
      <c r="F586" s="246"/>
    </row>
    <row r="587" spans="5:6" x14ac:dyDescent="0.15">
      <c r="E587" s="246"/>
      <c r="F587" s="246"/>
    </row>
    <row r="588" spans="5:6" x14ac:dyDescent="0.15">
      <c r="E588" s="246"/>
      <c r="F588" s="246"/>
    </row>
    <row r="589" spans="5:6" x14ac:dyDescent="0.15">
      <c r="E589" s="246"/>
      <c r="F589" s="246"/>
    </row>
    <row r="590" spans="5:6" x14ac:dyDescent="0.15">
      <c r="E590" s="246"/>
      <c r="F590" s="246"/>
    </row>
    <row r="591" spans="5:6" x14ac:dyDescent="0.15">
      <c r="E591" s="246"/>
      <c r="F591" s="246"/>
    </row>
    <row r="592" spans="5:6" x14ac:dyDescent="0.15">
      <c r="E592" s="246"/>
      <c r="F592" s="246"/>
    </row>
    <row r="593" spans="5:6" x14ac:dyDescent="0.15">
      <c r="E593" s="246"/>
      <c r="F593" s="246"/>
    </row>
    <row r="594" spans="5:6" x14ac:dyDescent="0.15">
      <c r="E594" s="246"/>
      <c r="F594" s="246"/>
    </row>
    <row r="595" spans="5:6" x14ac:dyDescent="0.15">
      <c r="E595" s="246"/>
      <c r="F595" s="246"/>
    </row>
    <row r="596" spans="5:6" x14ac:dyDescent="0.15">
      <c r="E596" s="246"/>
      <c r="F596" s="246"/>
    </row>
    <row r="597" spans="5:6" x14ac:dyDescent="0.15">
      <c r="E597" s="246"/>
      <c r="F597" s="246"/>
    </row>
    <row r="598" spans="5:6" x14ac:dyDescent="0.15">
      <c r="E598" s="246"/>
      <c r="F598" s="246"/>
    </row>
    <row r="599" spans="5:6" x14ac:dyDescent="0.15">
      <c r="E599" s="246"/>
      <c r="F599" s="246"/>
    </row>
    <row r="600" spans="5:6" x14ac:dyDescent="0.15">
      <c r="E600" s="246"/>
      <c r="F600" s="246"/>
    </row>
    <row r="601" spans="5:6" x14ac:dyDescent="0.15">
      <c r="E601" s="246"/>
      <c r="F601" s="246"/>
    </row>
    <row r="602" spans="5:6" x14ac:dyDescent="0.15">
      <c r="E602" s="246"/>
      <c r="F602" s="246"/>
    </row>
    <row r="603" spans="5:6" x14ac:dyDescent="0.15">
      <c r="E603" s="246"/>
      <c r="F603" s="246"/>
    </row>
    <row r="604" spans="5:6" x14ac:dyDescent="0.15">
      <c r="E604" s="246"/>
      <c r="F604" s="246"/>
    </row>
    <row r="605" spans="5:6" x14ac:dyDescent="0.15">
      <c r="E605" s="246"/>
      <c r="F605" s="246"/>
    </row>
    <row r="606" spans="5:6" x14ac:dyDescent="0.15">
      <c r="E606" s="246"/>
      <c r="F606" s="246"/>
    </row>
    <row r="607" spans="5:6" x14ac:dyDescent="0.15">
      <c r="E607" s="246"/>
      <c r="F607" s="246"/>
    </row>
    <row r="608" spans="5:6" x14ac:dyDescent="0.15">
      <c r="E608" s="246"/>
      <c r="F608" s="246"/>
    </row>
    <row r="609" spans="5:6" x14ac:dyDescent="0.15">
      <c r="E609" s="246"/>
      <c r="F609" s="246"/>
    </row>
    <row r="610" spans="5:6" x14ac:dyDescent="0.15">
      <c r="E610" s="246"/>
      <c r="F610" s="246"/>
    </row>
    <row r="611" spans="5:6" x14ac:dyDescent="0.15">
      <c r="E611" s="246"/>
      <c r="F611" s="246"/>
    </row>
    <row r="612" spans="5:6" x14ac:dyDescent="0.15">
      <c r="E612" s="246"/>
      <c r="F612" s="246"/>
    </row>
    <row r="613" spans="5:6" x14ac:dyDescent="0.15">
      <c r="E613" s="246"/>
      <c r="F613" s="246"/>
    </row>
    <row r="614" spans="5:6" x14ac:dyDescent="0.15">
      <c r="E614" s="246"/>
      <c r="F614" s="246"/>
    </row>
    <row r="615" spans="5:6" x14ac:dyDescent="0.15">
      <c r="E615" s="246"/>
      <c r="F615" s="246"/>
    </row>
    <row r="616" spans="5:6" x14ac:dyDescent="0.15">
      <c r="E616" s="246"/>
      <c r="F616" s="246"/>
    </row>
    <row r="617" spans="5:6" x14ac:dyDescent="0.15">
      <c r="E617" s="246"/>
      <c r="F617" s="246"/>
    </row>
    <row r="618" spans="5:6" x14ac:dyDescent="0.15">
      <c r="E618" s="246"/>
      <c r="F618" s="246"/>
    </row>
    <row r="619" spans="5:6" x14ac:dyDescent="0.15">
      <c r="E619" s="246"/>
      <c r="F619" s="246"/>
    </row>
    <row r="620" spans="5:6" x14ac:dyDescent="0.15">
      <c r="E620" s="246"/>
      <c r="F620" s="246"/>
    </row>
    <row r="621" spans="5:6" x14ac:dyDescent="0.15">
      <c r="E621" s="246"/>
      <c r="F621" s="246"/>
    </row>
    <row r="622" spans="5:6" x14ac:dyDescent="0.15">
      <c r="E622" s="246"/>
      <c r="F622" s="246"/>
    </row>
    <row r="623" spans="5:6" x14ac:dyDescent="0.15">
      <c r="E623" s="246"/>
      <c r="F623" s="246"/>
    </row>
    <row r="624" spans="5:6" x14ac:dyDescent="0.15">
      <c r="E624" s="246"/>
      <c r="F624" s="246"/>
    </row>
    <row r="625" spans="5:6" x14ac:dyDescent="0.15">
      <c r="E625" s="246"/>
      <c r="F625" s="246"/>
    </row>
    <row r="626" spans="5:6" x14ac:dyDescent="0.15">
      <c r="E626" s="246"/>
      <c r="F626" s="246"/>
    </row>
    <row r="627" spans="5:6" x14ac:dyDescent="0.15">
      <c r="E627" s="246"/>
      <c r="F627" s="246"/>
    </row>
    <row r="628" spans="5:6" x14ac:dyDescent="0.15">
      <c r="E628" s="246"/>
      <c r="F628" s="246"/>
    </row>
    <row r="629" spans="5:6" x14ac:dyDescent="0.15">
      <c r="E629" s="246"/>
      <c r="F629" s="246"/>
    </row>
    <row r="630" spans="5:6" x14ac:dyDescent="0.15">
      <c r="E630" s="246"/>
      <c r="F630" s="246"/>
    </row>
    <row r="631" spans="5:6" x14ac:dyDescent="0.15">
      <c r="E631" s="246"/>
      <c r="F631" s="246"/>
    </row>
    <row r="632" spans="5:6" x14ac:dyDescent="0.15">
      <c r="E632" s="246"/>
      <c r="F632" s="246"/>
    </row>
    <row r="633" spans="5:6" x14ac:dyDescent="0.15">
      <c r="E633" s="246"/>
      <c r="F633" s="246"/>
    </row>
    <row r="634" spans="5:6" x14ac:dyDescent="0.15">
      <c r="E634" s="246"/>
      <c r="F634" s="246"/>
    </row>
    <row r="635" spans="5:6" x14ac:dyDescent="0.15">
      <c r="E635" s="246"/>
      <c r="F635" s="246"/>
    </row>
    <row r="636" spans="5:6" x14ac:dyDescent="0.15">
      <c r="E636" s="246"/>
      <c r="F636" s="246"/>
    </row>
    <row r="637" spans="5:6" x14ac:dyDescent="0.15">
      <c r="E637" s="246"/>
      <c r="F637" s="246"/>
    </row>
    <row r="638" spans="5:6" x14ac:dyDescent="0.15">
      <c r="E638" s="246"/>
      <c r="F638" s="246"/>
    </row>
    <row r="639" spans="5:6" x14ac:dyDescent="0.15">
      <c r="E639" s="246"/>
      <c r="F639" s="246"/>
    </row>
    <row r="640" spans="5:6" x14ac:dyDescent="0.15">
      <c r="E640" s="246"/>
      <c r="F640" s="246"/>
    </row>
    <row r="641" spans="5:6" x14ac:dyDescent="0.15">
      <c r="E641" s="246"/>
      <c r="F641" s="246"/>
    </row>
    <row r="642" spans="5:6" x14ac:dyDescent="0.15">
      <c r="E642" s="246"/>
      <c r="F642" s="246"/>
    </row>
    <row r="643" spans="5:6" x14ac:dyDescent="0.15">
      <c r="E643" s="246"/>
      <c r="F643" s="246"/>
    </row>
    <row r="644" spans="5:6" x14ac:dyDescent="0.15">
      <c r="E644" s="246"/>
      <c r="F644" s="246"/>
    </row>
    <row r="645" spans="5:6" x14ac:dyDescent="0.15">
      <c r="E645" s="246"/>
      <c r="F645" s="246"/>
    </row>
    <row r="646" spans="5:6" x14ac:dyDescent="0.15">
      <c r="E646" s="246"/>
      <c r="F646" s="246"/>
    </row>
    <row r="647" spans="5:6" x14ac:dyDescent="0.15">
      <c r="E647" s="246"/>
      <c r="F647" s="246"/>
    </row>
    <row r="648" spans="5:6" x14ac:dyDescent="0.15">
      <c r="E648" s="246"/>
      <c r="F648" s="246"/>
    </row>
    <row r="649" spans="5:6" x14ac:dyDescent="0.15">
      <c r="E649" s="246"/>
      <c r="F649" s="246"/>
    </row>
    <row r="650" spans="5:6" x14ac:dyDescent="0.15">
      <c r="E650" s="246"/>
      <c r="F650" s="246"/>
    </row>
    <row r="651" spans="5:6" x14ac:dyDescent="0.15">
      <c r="E651" s="246"/>
      <c r="F651" s="246"/>
    </row>
    <row r="652" spans="5:6" x14ac:dyDescent="0.15">
      <c r="E652" s="246"/>
      <c r="F652" s="246"/>
    </row>
    <row r="653" spans="5:6" x14ac:dyDescent="0.15">
      <c r="E653" s="246"/>
      <c r="F653" s="246"/>
    </row>
    <row r="654" spans="5:6" x14ac:dyDescent="0.15">
      <c r="E654" s="246"/>
      <c r="F654" s="246"/>
    </row>
    <row r="655" spans="5:6" x14ac:dyDescent="0.15">
      <c r="E655" s="246"/>
      <c r="F655" s="246"/>
    </row>
    <row r="656" spans="5:6" x14ac:dyDescent="0.15">
      <c r="E656" s="246"/>
      <c r="F656" s="246"/>
    </row>
    <row r="657" spans="5:6" x14ac:dyDescent="0.15">
      <c r="E657" s="246"/>
      <c r="F657" s="246"/>
    </row>
    <row r="658" spans="5:6" x14ac:dyDescent="0.15">
      <c r="E658" s="246"/>
      <c r="F658" s="246"/>
    </row>
    <row r="659" spans="5:6" x14ac:dyDescent="0.15">
      <c r="E659" s="246"/>
      <c r="F659" s="246"/>
    </row>
    <row r="660" spans="5:6" x14ac:dyDescent="0.15">
      <c r="E660" s="246"/>
      <c r="F660" s="246"/>
    </row>
    <row r="661" spans="5:6" x14ac:dyDescent="0.15">
      <c r="E661" s="246"/>
      <c r="F661" s="246"/>
    </row>
    <row r="662" spans="5:6" x14ac:dyDescent="0.15">
      <c r="E662" s="246"/>
      <c r="F662" s="246"/>
    </row>
    <row r="663" spans="5:6" x14ac:dyDescent="0.15">
      <c r="E663" s="246"/>
      <c r="F663" s="246"/>
    </row>
    <row r="664" spans="5:6" x14ac:dyDescent="0.15">
      <c r="E664" s="246"/>
      <c r="F664" s="246"/>
    </row>
    <row r="665" spans="5:6" x14ac:dyDescent="0.15">
      <c r="E665" s="246"/>
      <c r="F665" s="246"/>
    </row>
    <row r="666" spans="5:6" x14ac:dyDescent="0.15">
      <c r="E666" s="246"/>
      <c r="F666" s="246"/>
    </row>
    <row r="667" spans="5:6" x14ac:dyDescent="0.15">
      <c r="E667" s="246"/>
      <c r="F667" s="246"/>
    </row>
    <row r="668" spans="5:6" x14ac:dyDescent="0.15">
      <c r="E668" s="246"/>
      <c r="F668" s="246"/>
    </row>
    <row r="669" spans="5:6" x14ac:dyDescent="0.15">
      <c r="E669" s="246"/>
      <c r="F669" s="246"/>
    </row>
    <row r="670" spans="5:6" x14ac:dyDescent="0.15">
      <c r="E670" s="246"/>
      <c r="F670" s="246"/>
    </row>
    <row r="671" spans="5:6" x14ac:dyDescent="0.15">
      <c r="E671" s="246"/>
      <c r="F671" s="246"/>
    </row>
    <row r="672" spans="5:6" x14ac:dyDescent="0.15">
      <c r="E672" s="246"/>
      <c r="F672" s="246"/>
    </row>
    <row r="673" spans="5:6" x14ac:dyDescent="0.15">
      <c r="E673" s="246"/>
      <c r="F673" s="246"/>
    </row>
    <row r="674" spans="5:6" x14ac:dyDescent="0.15">
      <c r="E674" s="246"/>
      <c r="F674" s="246"/>
    </row>
    <row r="675" spans="5:6" x14ac:dyDescent="0.15">
      <c r="E675" s="246"/>
      <c r="F675" s="246"/>
    </row>
    <row r="676" spans="5:6" x14ac:dyDescent="0.15">
      <c r="E676" s="246"/>
      <c r="F676" s="246"/>
    </row>
    <row r="677" spans="5:6" x14ac:dyDescent="0.15">
      <c r="E677" s="246"/>
      <c r="F677" s="246"/>
    </row>
    <row r="678" spans="5:6" x14ac:dyDescent="0.15">
      <c r="E678" s="246"/>
      <c r="F678" s="246"/>
    </row>
    <row r="679" spans="5:6" x14ac:dyDescent="0.15">
      <c r="E679" s="246"/>
      <c r="F679" s="246"/>
    </row>
    <row r="680" spans="5:6" x14ac:dyDescent="0.15">
      <c r="E680" s="246"/>
      <c r="F680" s="246"/>
    </row>
    <row r="681" spans="5:6" x14ac:dyDescent="0.15">
      <c r="E681" s="246"/>
      <c r="F681" s="246"/>
    </row>
    <row r="682" spans="5:6" x14ac:dyDescent="0.15">
      <c r="E682" s="246"/>
      <c r="F682" s="246"/>
    </row>
    <row r="683" spans="5:6" x14ac:dyDescent="0.15">
      <c r="E683" s="246"/>
      <c r="F683" s="246"/>
    </row>
    <row r="684" spans="5:6" x14ac:dyDescent="0.15">
      <c r="E684" s="246"/>
      <c r="F684" s="246"/>
    </row>
    <row r="685" spans="5:6" x14ac:dyDescent="0.15">
      <c r="E685" s="246"/>
      <c r="F685" s="246"/>
    </row>
    <row r="686" spans="5:6" x14ac:dyDescent="0.15">
      <c r="E686" s="246"/>
      <c r="F686" s="246"/>
    </row>
    <row r="687" spans="5:6" x14ac:dyDescent="0.15">
      <c r="E687" s="246"/>
      <c r="F687" s="246"/>
    </row>
    <row r="688" spans="5:6" x14ac:dyDescent="0.15">
      <c r="E688" s="246"/>
      <c r="F688" s="246"/>
    </row>
    <row r="689" spans="5:6" x14ac:dyDescent="0.15">
      <c r="E689" s="246"/>
      <c r="F689" s="246"/>
    </row>
    <row r="690" spans="5:6" x14ac:dyDescent="0.15">
      <c r="E690" s="246"/>
      <c r="F690" s="246"/>
    </row>
    <row r="691" spans="5:6" x14ac:dyDescent="0.15">
      <c r="E691" s="246"/>
      <c r="F691" s="246"/>
    </row>
    <row r="692" spans="5:6" x14ac:dyDescent="0.15">
      <c r="E692" s="246"/>
      <c r="F692" s="246"/>
    </row>
    <row r="693" spans="5:6" x14ac:dyDescent="0.15">
      <c r="E693" s="246"/>
      <c r="F693" s="246"/>
    </row>
    <row r="694" spans="5:6" x14ac:dyDescent="0.15">
      <c r="E694" s="246"/>
      <c r="F694" s="246"/>
    </row>
    <row r="695" spans="5:6" x14ac:dyDescent="0.15">
      <c r="E695" s="246"/>
      <c r="F695" s="246"/>
    </row>
    <row r="696" spans="5:6" x14ac:dyDescent="0.15">
      <c r="E696" s="246"/>
      <c r="F696" s="246"/>
    </row>
    <row r="697" spans="5:6" x14ac:dyDescent="0.15">
      <c r="E697" s="246"/>
      <c r="F697" s="246"/>
    </row>
    <row r="698" spans="5:6" x14ac:dyDescent="0.15">
      <c r="E698" s="246"/>
      <c r="F698" s="246"/>
    </row>
    <row r="699" spans="5:6" x14ac:dyDescent="0.15">
      <c r="E699" s="246"/>
      <c r="F699" s="246"/>
    </row>
    <row r="700" spans="5:6" x14ac:dyDescent="0.15">
      <c r="E700" s="246"/>
      <c r="F700" s="246"/>
    </row>
    <row r="701" spans="5:6" x14ac:dyDescent="0.15">
      <c r="E701" s="246"/>
      <c r="F701" s="246"/>
    </row>
    <row r="702" spans="5:6" x14ac:dyDescent="0.15">
      <c r="E702" s="246"/>
      <c r="F702" s="246"/>
    </row>
    <row r="703" spans="5:6" x14ac:dyDescent="0.15">
      <c r="E703" s="246"/>
      <c r="F703" s="246"/>
    </row>
    <row r="704" spans="5:6" x14ac:dyDescent="0.15">
      <c r="E704" s="246"/>
      <c r="F704" s="246"/>
    </row>
    <row r="705" spans="5:6" x14ac:dyDescent="0.15">
      <c r="E705" s="246"/>
      <c r="F705" s="246"/>
    </row>
    <row r="706" spans="5:6" x14ac:dyDescent="0.15">
      <c r="E706" s="246"/>
      <c r="F706" s="246"/>
    </row>
    <row r="707" spans="5:6" x14ac:dyDescent="0.15">
      <c r="E707" s="246"/>
      <c r="F707" s="246"/>
    </row>
    <row r="708" spans="5:6" x14ac:dyDescent="0.15">
      <c r="E708" s="246"/>
      <c r="F708" s="246"/>
    </row>
    <row r="709" spans="5:6" x14ac:dyDescent="0.15">
      <c r="E709" s="246"/>
      <c r="F709" s="246"/>
    </row>
    <row r="710" spans="5:6" x14ac:dyDescent="0.15">
      <c r="E710" s="246"/>
      <c r="F710" s="246"/>
    </row>
    <row r="711" spans="5:6" x14ac:dyDescent="0.15">
      <c r="E711" s="246"/>
      <c r="F711" s="246"/>
    </row>
    <row r="712" spans="5:6" x14ac:dyDescent="0.15">
      <c r="E712" s="246"/>
      <c r="F712" s="246"/>
    </row>
    <row r="713" spans="5:6" x14ac:dyDescent="0.15">
      <c r="E713" s="246"/>
      <c r="F713" s="246"/>
    </row>
    <row r="714" spans="5:6" x14ac:dyDescent="0.15">
      <c r="E714" s="246"/>
    </row>
  </sheetData>
  <autoFilter ref="A1:BA70"/>
  <phoneticPr fontId="3"/>
  <dataValidations count="13">
    <dataValidation type="decimal" allowBlank="1" showInputMessage="1" showErrorMessage="1" error="硬度を正しく入力して下さい。" sqref="O2:P482">
      <formula1>0</formula1>
      <formula2>7</formula2>
    </dataValidation>
    <dataValidation type="list" allowBlank="1" showInputMessage="1" showErrorMessage="1" sqref="H65520:H65597 H131056:H131133 H196592:H196669 H262128:H262205 H327664:H327741 H393200:H393277 H458736:H458813 H524272:H524349 H589808:H589885 H655344:H655421 H720880:H720957 H786416:H786493 H851952:H852029 H917488:H917565 H983024:H983101 JD2:JD61 JD65520:JD65597 JD131056:JD131133 JD196592:JD196669 JD262128:JD262205 JD327664:JD327741 JD393200:JD393277 JD458736:JD458813 JD524272:JD524349 JD589808:JD589885 JD655344:JD655421 JD720880:JD720957 JD786416:JD786493 JD851952:JD852029 JD917488:JD917565 JD983024:JD983101 SZ2:SZ61 SZ65520:SZ65597 SZ131056:SZ131133 SZ196592:SZ196669 SZ262128:SZ262205 SZ327664:SZ327741 SZ393200:SZ393277 SZ458736:SZ458813 SZ524272:SZ524349 SZ589808:SZ589885 SZ655344:SZ655421 SZ720880:SZ720957 SZ786416:SZ786493 SZ851952:SZ852029 SZ917488:SZ917565 SZ983024:SZ983101 ACV2:ACV61 ACV65520:ACV65597 ACV131056:ACV131133 ACV196592:ACV196669 ACV262128:ACV262205 ACV327664:ACV327741 ACV393200:ACV393277 ACV458736:ACV458813 ACV524272:ACV524349 ACV589808:ACV589885 ACV655344:ACV655421 ACV720880:ACV720957 ACV786416:ACV786493 ACV851952:ACV852029 ACV917488:ACV917565 ACV983024:ACV983101 AMR2:AMR61 AMR65520:AMR65597 AMR131056:AMR131133 AMR196592:AMR196669 AMR262128:AMR262205 AMR327664:AMR327741 AMR393200:AMR393277 AMR458736:AMR458813 AMR524272:AMR524349 AMR589808:AMR589885 AMR655344:AMR655421 AMR720880:AMR720957 AMR786416:AMR786493 AMR851952:AMR852029 AMR917488:AMR917565 AMR983024:AMR983101 AWN2:AWN61 AWN65520:AWN65597 AWN131056:AWN131133 AWN196592:AWN196669 AWN262128:AWN262205 AWN327664:AWN327741 AWN393200:AWN393277 AWN458736:AWN458813 AWN524272:AWN524349 AWN589808:AWN589885 AWN655344:AWN655421 AWN720880:AWN720957 AWN786416:AWN786493 AWN851952:AWN852029 AWN917488:AWN917565 AWN983024:AWN983101 BGJ2:BGJ61 BGJ65520:BGJ65597 BGJ131056:BGJ131133 BGJ196592:BGJ196669 BGJ262128:BGJ262205 BGJ327664:BGJ327741 BGJ393200:BGJ393277 BGJ458736:BGJ458813 BGJ524272:BGJ524349 BGJ589808:BGJ589885 BGJ655344:BGJ655421 BGJ720880:BGJ720957 BGJ786416:BGJ786493 BGJ851952:BGJ852029 BGJ917488:BGJ917565 BGJ983024:BGJ983101 BQF2:BQF61 BQF65520:BQF65597 BQF131056:BQF131133 BQF196592:BQF196669 BQF262128:BQF262205 BQF327664:BQF327741 BQF393200:BQF393277 BQF458736:BQF458813 BQF524272:BQF524349 BQF589808:BQF589885 BQF655344:BQF655421 BQF720880:BQF720957 BQF786416:BQF786493 BQF851952:BQF852029 BQF917488:BQF917565 BQF983024:BQF983101 CAB2:CAB61 CAB65520:CAB65597 CAB131056:CAB131133 CAB196592:CAB196669 CAB262128:CAB262205 CAB327664:CAB327741 CAB393200:CAB393277 CAB458736:CAB458813 CAB524272:CAB524349 CAB589808:CAB589885 CAB655344:CAB655421 CAB720880:CAB720957 CAB786416:CAB786493 CAB851952:CAB852029 CAB917488:CAB917565 CAB983024:CAB983101 CJX2:CJX61 CJX65520:CJX65597 CJX131056:CJX131133 CJX196592:CJX196669 CJX262128:CJX262205 CJX327664:CJX327741 CJX393200:CJX393277 CJX458736:CJX458813 CJX524272:CJX524349 CJX589808:CJX589885 CJX655344:CJX655421 CJX720880:CJX720957 CJX786416:CJX786493 CJX851952:CJX852029 CJX917488:CJX917565 CJX983024:CJX983101 CTT2:CTT61 CTT65520:CTT65597 CTT131056:CTT131133 CTT196592:CTT196669 CTT262128:CTT262205 CTT327664:CTT327741 CTT393200:CTT393277 CTT458736:CTT458813 CTT524272:CTT524349 CTT589808:CTT589885 CTT655344:CTT655421 CTT720880:CTT720957 CTT786416:CTT786493 CTT851952:CTT852029 CTT917488:CTT917565 CTT983024:CTT983101 DDP2:DDP61 DDP65520:DDP65597 DDP131056:DDP131133 DDP196592:DDP196669 DDP262128:DDP262205 DDP327664:DDP327741 DDP393200:DDP393277 DDP458736:DDP458813 DDP524272:DDP524349 DDP589808:DDP589885 DDP655344:DDP655421 DDP720880:DDP720957 DDP786416:DDP786493 DDP851952:DDP852029 DDP917488:DDP917565 DDP983024:DDP983101 DNL2:DNL61 DNL65520:DNL65597 DNL131056:DNL131133 DNL196592:DNL196669 DNL262128:DNL262205 DNL327664:DNL327741 DNL393200:DNL393277 DNL458736:DNL458813 DNL524272:DNL524349 DNL589808:DNL589885 DNL655344:DNL655421 DNL720880:DNL720957 DNL786416:DNL786493 DNL851952:DNL852029 DNL917488:DNL917565 DNL983024:DNL983101 DXH2:DXH61 DXH65520:DXH65597 DXH131056:DXH131133 DXH196592:DXH196669 DXH262128:DXH262205 DXH327664:DXH327741 DXH393200:DXH393277 DXH458736:DXH458813 DXH524272:DXH524349 DXH589808:DXH589885 DXH655344:DXH655421 DXH720880:DXH720957 DXH786416:DXH786493 DXH851952:DXH852029 DXH917488:DXH917565 DXH983024:DXH983101 EHD2:EHD61 EHD65520:EHD65597 EHD131056:EHD131133 EHD196592:EHD196669 EHD262128:EHD262205 EHD327664:EHD327741 EHD393200:EHD393277 EHD458736:EHD458813 EHD524272:EHD524349 EHD589808:EHD589885 EHD655344:EHD655421 EHD720880:EHD720957 EHD786416:EHD786493 EHD851952:EHD852029 EHD917488:EHD917565 EHD983024:EHD983101 EQZ2:EQZ61 EQZ65520:EQZ65597 EQZ131056:EQZ131133 EQZ196592:EQZ196669 EQZ262128:EQZ262205 EQZ327664:EQZ327741 EQZ393200:EQZ393277 EQZ458736:EQZ458813 EQZ524272:EQZ524349 EQZ589808:EQZ589885 EQZ655344:EQZ655421 EQZ720880:EQZ720957 EQZ786416:EQZ786493 EQZ851952:EQZ852029 EQZ917488:EQZ917565 EQZ983024:EQZ983101 FAV2:FAV61 FAV65520:FAV65597 FAV131056:FAV131133 FAV196592:FAV196669 FAV262128:FAV262205 FAV327664:FAV327741 FAV393200:FAV393277 FAV458736:FAV458813 FAV524272:FAV524349 FAV589808:FAV589885 FAV655344:FAV655421 FAV720880:FAV720957 FAV786416:FAV786493 FAV851952:FAV852029 FAV917488:FAV917565 FAV983024:FAV983101 FKR2:FKR61 FKR65520:FKR65597 FKR131056:FKR131133 FKR196592:FKR196669 FKR262128:FKR262205 FKR327664:FKR327741 FKR393200:FKR393277 FKR458736:FKR458813 FKR524272:FKR524349 FKR589808:FKR589885 FKR655344:FKR655421 FKR720880:FKR720957 FKR786416:FKR786493 FKR851952:FKR852029 FKR917488:FKR917565 FKR983024:FKR983101 FUN2:FUN61 FUN65520:FUN65597 FUN131056:FUN131133 FUN196592:FUN196669 FUN262128:FUN262205 FUN327664:FUN327741 FUN393200:FUN393277 FUN458736:FUN458813 FUN524272:FUN524349 FUN589808:FUN589885 FUN655344:FUN655421 FUN720880:FUN720957 FUN786416:FUN786493 FUN851952:FUN852029 FUN917488:FUN917565 FUN983024:FUN983101 GEJ2:GEJ61 GEJ65520:GEJ65597 GEJ131056:GEJ131133 GEJ196592:GEJ196669 GEJ262128:GEJ262205 GEJ327664:GEJ327741 GEJ393200:GEJ393277 GEJ458736:GEJ458813 GEJ524272:GEJ524349 GEJ589808:GEJ589885 GEJ655344:GEJ655421 GEJ720880:GEJ720957 GEJ786416:GEJ786493 GEJ851952:GEJ852029 GEJ917488:GEJ917565 GEJ983024:GEJ983101 GOF2:GOF61 GOF65520:GOF65597 GOF131056:GOF131133 GOF196592:GOF196669 GOF262128:GOF262205 GOF327664:GOF327741 GOF393200:GOF393277 GOF458736:GOF458813 GOF524272:GOF524349 GOF589808:GOF589885 GOF655344:GOF655421 GOF720880:GOF720957 GOF786416:GOF786493 GOF851952:GOF852029 GOF917488:GOF917565 GOF983024:GOF983101 GYB2:GYB61 GYB65520:GYB65597 GYB131056:GYB131133 GYB196592:GYB196669 GYB262128:GYB262205 GYB327664:GYB327741 GYB393200:GYB393277 GYB458736:GYB458813 GYB524272:GYB524349 GYB589808:GYB589885 GYB655344:GYB655421 GYB720880:GYB720957 GYB786416:GYB786493 GYB851952:GYB852029 GYB917488:GYB917565 GYB983024:GYB983101 HHX2:HHX61 HHX65520:HHX65597 HHX131056:HHX131133 HHX196592:HHX196669 HHX262128:HHX262205 HHX327664:HHX327741 HHX393200:HHX393277 HHX458736:HHX458813 HHX524272:HHX524349 HHX589808:HHX589885 HHX655344:HHX655421 HHX720880:HHX720957 HHX786416:HHX786493 HHX851952:HHX852029 HHX917488:HHX917565 HHX983024:HHX983101 HRT2:HRT61 HRT65520:HRT65597 HRT131056:HRT131133 HRT196592:HRT196669 HRT262128:HRT262205 HRT327664:HRT327741 HRT393200:HRT393277 HRT458736:HRT458813 HRT524272:HRT524349 HRT589808:HRT589885 HRT655344:HRT655421 HRT720880:HRT720957 HRT786416:HRT786493 HRT851952:HRT852029 HRT917488:HRT917565 HRT983024:HRT983101 IBP2:IBP61 IBP65520:IBP65597 IBP131056:IBP131133 IBP196592:IBP196669 IBP262128:IBP262205 IBP327664:IBP327741 IBP393200:IBP393277 IBP458736:IBP458813 IBP524272:IBP524349 IBP589808:IBP589885 IBP655344:IBP655421 IBP720880:IBP720957 IBP786416:IBP786493 IBP851952:IBP852029 IBP917488:IBP917565 IBP983024:IBP983101 ILL2:ILL61 ILL65520:ILL65597 ILL131056:ILL131133 ILL196592:ILL196669 ILL262128:ILL262205 ILL327664:ILL327741 ILL393200:ILL393277 ILL458736:ILL458813 ILL524272:ILL524349 ILL589808:ILL589885 ILL655344:ILL655421 ILL720880:ILL720957 ILL786416:ILL786493 ILL851952:ILL852029 ILL917488:ILL917565 ILL983024:ILL983101 IVH2:IVH61 IVH65520:IVH65597 IVH131056:IVH131133 IVH196592:IVH196669 IVH262128:IVH262205 IVH327664:IVH327741 IVH393200:IVH393277 IVH458736:IVH458813 IVH524272:IVH524349 IVH589808:IVH589885 IVH655344:IVH655421 IVH720880:IVH720957 IVH786416:IVH786493 IVH851952:IVH852029 IVH917488:IVH917565 IVH983024:IVH983101 JFD2:JFD61 JFD65520:JFD65597 JFD131056:JFD131133 JFD196592:JFD196669 JFD262128:JFD262205 JFD327664:JFD327741 JFD393200:JFD393277 JFD458736:JFD458813 JFD524272:JFD524349 JFD589808:JFD589885 JFD655344:JFD655421 JFD720880:JFD720957 JFD786416:JFD786493 JFD851952:JFD852029 JFD917488:JFD917565 JFD983024:JFD983101 JOZ2:JOZ61 JOZ65520:JOZ65597 JOZ131056:JOZ131133 JOZ196592:JOZ196669 JOZ262128:JOZ262205 JOZ327664:JOZ327741 JOZ393200:JOZ393277 JOZ458736:JOZ458813 JOZ524272:JOZ524349 JOZ589808:JOZ589885 JOZ655344:JOZ655421 JOZ720880:JOZ720957 JOZ786416:JOZ786493 JOZ851952:JOZ852029 JOZ917488:JOZ917565 JOZ983024:JOZ983101 JYV2:JYV61 JYV65520:JYV65597 JYV131056:JYV131133 JYV196592:JYV196669 JYV262128:JYV262205 JYV327664:JYV327741 JYV393200:JYV393277 JYV458736:JYV458813 JYV524272:JYV524349 JYV589808:JYV589885 JYV655344:JYV655421 JYV720880:JYV720957 JYV786416:JYV786493 JYV851952:JYV852029 JYV917488:JYV917565 JYV983024:JYV983101 KIR2:KIR61 KIR65520:KIR65597 KIR131056:KIR131133 KIR196592:KIR196669 KIR262128:KIR262205 KIR327664:KIR327741 KIR393200:KIR393277 KIR458736:KIR458813 KIR524272:KIR524349 KIR589808:KIR589885 KIR655344:KIR655421 KIR720880:KIR720957 KIR786416:KIR786493 KIR851952:KIR852029 KIR917488:KIR917565 KIR983024:KIR983101 KSN2:KSN61 KSN65520:KSN65597 KSN131056:KSN131133 KSN196592:KSN196669 KSN262128:KSN262205 KSN327664:KSN327741 KSN393200:KSN393277 KSN458736:KSN458813 KSN524272:KSN524349 KSN589808:KSN589885 KSN655344:KSN655421 KSN720880:KSN720957 KSN786416:KSN786493 KSN851952:KSN852029 KSN917488:KSN917565 KSN983024:KSN983101 LCJ2:LCJ61 LCJ65520:LCJ65597 LCJ131056:LCJ131133 LCJ196592:LCJ196669 LCJ262128:LCJ262205 LCJ327664:LCJ327741 LCJ393200:LCJ393277 LCJ458736:LCJ458813 LCJ524272:LCJ524349 LCJ589808:LCJ589885 LCJ655344:LCJ655421 LCJ720880:LCJ720957 LCJ786416:LCJ786493 LCJ851952:LCJ852029 LCJ917488:LCJ917565 LCJ983024:LCJ983101 LMF2:LMF61 LMF65520:LMF65597 LMF131056:LMF131133 LMF196592:LMF196669 LMF262128:LMF262205 LMF327664:LMF327741 LMF393200:LMF393277 LMF458736:LMF458813 LMF524272:LMF524349 LMF589808:LMF589885 LMF655344:LMF655421 LMF720880:LMF720957 LMF786416:LMF786493 LMF851952:LMF852029 LMF917488:LMF917565 LMF983024:LMF983101 LWB2:LWB61 LWB65520:LWB65597 LWB131056:LWB131133 LWB196592:LWB196669 LWB262128:LWB262205 LWB327664:LWB327741 LWB393200:LWB393277 LWB458736:LWB458813 LWB524272:LWB524349 LWB589808:LWB589885 LWB655344:LWB655421 LWB720880:LWB720957 LWB786416:LWB786493 LWB851952:LWB852029 LWB917488:LWB917565 LWB983024:LWB983101 MFX2:MFX61 MFX65520:MFX65597 MFX131056:MFX131133 MFX196592:MFX196669 MFX262128:MFX262205 MFX327664:MFX327741 MFX393200:MFX393277 MFX458736:MFX458813 MFX524272:MFX524349 MFX589808:MFX589885 MFX655344:MFX655421 MFX720880:MFX720957 MFX786416:MFX786493 MFX851952:MFX852029 MFX917488:MFX917565 MFX983024:MFX983101 MPT2:MPT61 MPT65520:MPT65597 MPT131056:MPT131133 MPT196592:MPT196669 MPT262128:MPT262205 MPT327664:MPT327741 MPT393200:MPT393277 MPT458736:MPT458813 MPT524272:MPT524349 MPT589808:MPT589885 MPT655344:MPT655421 MPT720880:MPT720957 MPT786416:MPT786493 MPT851952:MPT852029 MPT917488:MPT917565 MPT983024:MPT983101 MZP2:MZP61 MZP65520:MZP65597 MZP131056:MZP131133 MZP196592:MZP196669 MZP262128:MZP262205 MZP327664:MZP327741 MZP393200:MZP393277 MZP458736:MZP458813 MZP524272:MZP524349 MZP589808:MZP589885 MZP655344:MZP655421 MZP720880:MZP720957 MZP786416:MZP786493 MZP851952:MZP852029 MZP917488:MZP917565 MZP983024:MZP983101 NJL2:NJL61 NJL65520:NJL65597 NJL131056:NJL131133 NJL196592:NJL196669 NJL262128:NJL262205 NJL327664:NJL327741 NJL393200:NJL393277 NJL458736:NJL458813 NJL524272:NJL524349 NJL589808:NJL589885 NJL655344:NJL655421 NJL720880:NJL720957 NJL786416:NJL786493 NJL851952:NJL852029 NJL917488:NJL917565 NJL983024:NJL983101 NTH2:NTH61 NTH65520:NTH65597 NTH131056:NTH131133 NTH196592:NTH196669 NTH262128:NTH262205 NTH327664:NTH327741 NTH393200:NTH393277 NTH458736:NTH458813 NTH524272:NTH524349 NTH589808:NTH589885 NTH655344:NTH655421 NTH720880:NTH720957 NTH786416:NTH786493 NTH851952:NTH852029 NTH917488:NTH917565 NTH983024:NTH983101 ODD2:ODD61 ODD65520:ODD65597 ODD131056:ODD131133 ODD196592:ODD196669 ODD262128:ODD262205 ODD327664:ODD327741 ODD393200:ODD393277 ODD458736:ODD458813 ODD524272:ODD524349 ODD589808:ODD589885 ODD655344:ODD655421 ODD720880:ODD720957 ODD786416:ODD786493 ODD851952:ODD852029 ODD917488:ODD917565 ODD983024:ODD983101 OMZ2:OMZ61 OMZ65520:OMZ65597 OMZ131056:OMZ131133 OMZ196592:OMZ196669 OMZ262128:OMZ262205 OMZ327664:OMZ327741 OMZ393200:OMZ393277 OMZ458736:OMZ458813 OMZ524272:OMZ524349 OMZ589808:OMZ589885 OMZ655344:OMZ655421 OMZ720880:OMZ720957 OMZ786416:OMZ786493 OMZ851952:OMZ852029 OMZ917488:OMZ917565 OMZ983024:OMZ983101 OWV2:OWV61 OWV65520:OWV65597 OWV131056:OWV131133 OWV196592:OWV196669 OWV262128:OWV262205 OWV327664:OWV327741 OWV393200:OWV393277 OWV458736:OWV458813 OWV524272:OWV524349 OWV589808:OWV589885 OWV655344:OWV655421 OWV720880:OWV720957 OWV786416:OWV786493 OWV851952:OWV852029 OWV917488:OWV917565 OWV983024:OWV983101 PGR2:PGR61 PGR65520:PGR65597 PGR131056:PGR131133 PGR196592:PGR196669 PGR262128:PGR262205 PGR327664:PGR327741 PGR393200:PGR393277 PGR458736:PGR458813 PGR524272:PGR524349 PGR589808:PGR589885 PGR655344:PGR655421 PGR720880:PGR720957 PGR786416:PGR786493 PGR851952:PGR852029 PGR917488:PGR917565 PGR983024:PGR983101 PQN2:PQN61 PQN65520:PQN65597 PQN131056:PQN131133 PQN196592:PQN196669 PQN262128:PQN262205 PQN327664:PQN327741 PQN393200:PQN393277 PQN458736:PQN458813 PQN524272:PQN524349 PQN589808:PQN589885 PQN655344:PQN655421 PQN720880:PQN720957 PQN786416:PQN786493 PQN851952:PQN852029 PQN917488:PQN917565 PQN983024:PQN983101 QAJ2:QAJ61 QAJ65520:QAJ65597 QAJ131056:QAJ131133 QAJ196592:QAJ196669 QAJ262128:QAJ262205 QAJ327664:QAJ327741 QAJ393200:QAJ393277 QAJ458736:QAJ458813 QAJ524272:QAJ524349 QAJ589808:QAJ589885 QAJ655344:QAJ655421 QAJ720880:QAJ720957 QAJ786416:QAJ786493 QAJ851952:QAJ852029 QAJ917488:QAJ917565 QAJ983024:QAJ983101 QKF2:QKF61 QKF65520:QKF65597 QKF131056:QKF131133 QKF196592:QKF196669 QKF262128:QKF262205 QKF327664:QKF327741 QKF393200:QKF393277 QKF458736:QKF458813 QKF524272:QKF524349 QKF589808:QKF589885 QKF655344:QKF655421 QKF720880:QKF720957 QKF786416:QKF786493 QKF851952:QKF852029 QKF917488:QKF917565 QKF983024:QKF983101 QUB2:QUB61 QUB65520:QUB65597 QUB131056:QUB131133 QUB196592:QUB196669 QUB262128:QUB262205 QUB327664:QUB327741 QUB393200:QUB393277 QUB458736:QUB458813 QUB524272:QUB524349 QUB589808:QUB589885 QUB655344:QUB655421 QUB720880:QUB720957 QUB786416:QUB786493 QUB851952:QUB852029 QUB917488:QUB917565 QUB983024:QUB983101 RDX2:RDX61 RDX65520:RDX65597 RDX131056:RDX131133 RDX196592:RDX196669 RDX262128:RDX262205 RDX327664:RDX327741 RDX393200:RDX393277 RDX458736:RDX458813 RDX524272:RDX524349 RDX589808:RDX589885 RDX655344:RDX655421 RDX720880:RDX720957 RDX786416:RDX786493 RDX851952:RDX852029 RDX917488:RDX917565 RDX983024:RDX983101 RNT2:RNT61 RNT65520:RNT65597 RNT131056:RNT131133 RNT196592:RNT196669 RNT262128:RNT262205 RNT327664:RNT327741 RNT393200:RNT393277 RNT458736:RNT458813 RNT524272:RNT524349 RNT589808:RNT589885 RNT655344:RNT655421 RNT720880:RNT720957 RNT786416:RNT786493 RNT851952:RNT852029 RNT917488:RNT917565 RNT983024:RNT983101 RXP2:RXP61 RXP65520:RXP65597 RXP131056:RXP131133 RXP196592:RXP196669 RXP262128:RXP262205 RXP327664:RXP327741 RXP393200:RXP393277 RXP458736:RXP458813 RXP524272:RXP524349 RXP589808:RXP589885 RXP655344:RXP655421 RXP720880:RXP720957 RXP786416:RXP786493 RXP851952:RXP852029 RXP917488:RXP917565 RXP983024:RXP983101 SHL2:SHL61 SHL65520:SHL65597 SHL131056:SHL131133 SHL196592:SHL196669 SHL262128:SHL262205 SHL327664:SHL327741 SHL393200:SHL393277 SHL458736:SHL458813 SHL524272:SHL524349 SHL589808:SHL589885 SHL655344:SHL655421 SHL720880:SHL720957 SHL786416:SHL786493 SHL851952:SHL852029 SHL917488:SHL917565 SHL983024:SHL983101 SRH2:SRH61 SRH65520:SRH65597 SRH131056:SRH131133 SRH196592:SRH196669 SRH262128:SRH262205 SRH327664:SRH327741 SRH393200:SRH393277 SRH458736:SRH458813 SRH524272:SRH524349 SRH589808:SRH589885 SRH655344:SRH655421 SRH720880:SRH720957 SRH786416:SRH786493 SRH851952:SRH852029 SRH917488:SRH917565 SRH983024:SRH983101 TBD2:TBD61 TBD65520:TBD65597 TBD131056:TBD131133 TBD196592:TBD196669 TBD262128:TBD262205 TBD327664:TBD327741 TBD393200:TBD393277 TBD458736:TBD458813 TBD524272:TBD524349 TBD589808:TBD589885 TBD655344:TBD655421 TBD720880:TBD720957 TBD786416:TBD786493 TBD851952:TBD852029 TBD917488:TBD917565 TBD983024:TBD983101 TKZ2:TKZ61 TKZ65520:TKZ65597 TKZ131056:TKZ131133 TKZ196592:TKZ196669 TKZ262128:TKZ262205 TKZ327664:TKZ327741 TKZ393200:TKZ393277 TKZ458736:TKZ458813 TKZ524272:TKZ524349 TKZ589808:TKZ589885 TKZ655344:TKZ655421 TKZ720880:TKZ720957 TKZ786416:TKZ786493 TKZ851952:TKZ852029 TKZ917488:TKZ917565 TKZ983024:TKZ983101 TUV2:TUV61 TUV65520:TUV65597 TUV131056:TUV131133 TUV196592:TUV196669 TUV262128:TUV262205 TUV327664:TUV327741 TUV393200:TUV393277 TUV458736:TUV458813 TUV524272:TUV524349 TUV589808:TUV589885 TUV655344:TUV655421 TUV720880:TUV720957 TUV786416:TUV786493 TUV851952:TUV852029 TUV917488:TUV917565 TUV983024:TUV983101 UER2:UER61 UER65520:UER65597 UER131056:UER131133 UER196592:UER196669 UER262128:UER262205 UER327664:UER327741 UER393200:UER393277 UER458736:UER458813 UER524272:UER524349 UER589808:UER589885 UER655344:UER655421 UER720880:UER720957 UER786416:UER786493 UER851952:UER852029 UER917488:UER917565 UER983024:UER983101 UON2:UON61 UON65520:UON65597 UON131056:UON131133 UON196592:UON196669 UON262128:UON262205 UON327664:UON327741 UON393200:UON393277 UON458736:UON458813 UON524272:UON524349 UON589808:UON589885 UON655344:UON655421 UON720880:UON720957 UON786416:UON786493 UON851952:UON852029 UON917488:UON917565 UON983024:UON983101 UYJ2:UYJ61 UYJ65520:UYJ65597 UYJ131056:UYJ131133 UYJ196592:UYJ196669 UYJ262128:UYJ262205 UYJ327664:UYJ327741 UYJ393200:UYJ393277 UYJ458736:UYJ458813 UYJ524272:UYJ524349 UYJ589808:UYJ589885 UYJ655344:UYJ655421 UYJ720880:UYJ720957 UYJ786416:UYJ786493 UYJ851952:UYJ852029 UYJ917488:UYJ917565 UYJ983024:UYJ983101 VIF2:VIF61 VIF65520:VIF65597 VIF131056:VIF131133 VIF196592:VIF196669 VIF262128:VIF262205 VIF327664:VIF327741 VIF393200:VIF393277 VIF458736:VIF458813 VIF524272:VIF524349 VIF589808:VIF589885 VIF655344:VIF655421 VIF720880:VIF720957 VIF786416:VIF786493 VIF851952:VIF852029 VIF917488:VIF917565 VIF983024:VIF983101 VSB2:VSB61 VSB65520:VSB65597 VSB131056:VSB131133 VSB196592:VSB196669 VSB262128:VSB262205 VSB327664:VSB327741 VSB393200:VSB393277 VSB458736:VSB458813 VSB524272:VSB524349 VSB589808:VSB589885 VSB655344:VSB655421 VSB720880:VSB720957 VSB786416:VSB786493 VSB851952:VSB852029 VSB917488:VSB917565 VSB983024:VSB983101 WBX2:WBX61 WBX65520:WBX65597 WBX131056:WBX131133 WBX196592:WBX196669 WBX262128:WBX262205 WBX327664:WBX327741 WBX393200:WBX393277 WBX458736:WBX458813 WBX524272:WBX524349 WBX589808:WBX589885 WBX655344:WBX655421 WBX720880:WBX720957 WBX786416:WBX786493 WBX851952:WBX852029 WBX917488:WBX917565 WBX983024:WBX983101 WLT2:WLT61 WLT65520:WLT65597 WLT131056:WLT131133 WLT196592:WLT196669 WLT262128:WLT262205 WLT327664:WLT327741 WLT393200:WLT393277 WLT458736:WLT458813 WLT524272:WLT524349 WLT589808:WLT589885 WLT655344:WLT655421 WLT720880:WLT720957 WLT786416:WLT786493 WLT851952:WLT852029 WLT917488:WLT917565 WLT983024:WLT983101 WVP2:WVP61 WVP65520:WVP65597 WVP131056:WVP131133 WVP196592:WVP196669 WVP262128:WVP262205 WVP327664:WVP327741 WVP393200:WVP393277 WVP458736:WVP458813 WVP524272:WVP524349 WVP589808:WVP589885 WVP655344:WVP655421 WVP720880:WVP720957 WVP786416:WVP786493 WVP851952:WVP852029 WVP917488:WVP917565 WVP983024:WVP983101">
      <formula1>$AL$4:$AL$12</formula1>
    </dataValidation>
    <dataValidation type="list" allowBlank="1" showInputMessage="1" showErrorMessage="1" sqref="K2:K482 K65520:K65597 K131056:K131133 K196592:K196669 K262128:K262205 K327664:K327741 K393200:K393277 K458736:K458813 K524272:K524349 K589808:K589885 K655344:K655421 K720880:K720957 K786416:K786493 K851952:K852029 K917488:K917565 K983024:K983101 JG2:JG61 JG65520:JG65597 JG131056:JG131133 JG196592:JG196669 JG262128:JG262205 JG327664:JG327741 JG393200:JG393277 JG458736:JG458813 JG524272:JG524349 JG589808:JG589885 JG655344:JG655421 JG720880:JG720957 JG786416:JG786493 JG851952:JG852029 JG917488:JG917565 JG983024:JG983101 TC2:TC61 TC65520:TC65597 TC131056:TC131133 TC196592:TC196669 TC262128:TC262205 TC327664:TC327741 TC393200:TC393277 TC458736:TC458813 TC524272:TC524349 TC589808:TC589885 TC655344:TC655421 TC720880:TC720957 TC786416:TC786493 TC851952:TC852029 TC917488:TC917565 TC983024:TC983101 ACY2:ACY61 ACY65520:ACY65597 ACY131056:ACY131133 ACY196592:ACY196669 ACY262128:ACY262205 ACY327664:ACY327741 ACY393200:ACY393277 ACY458736:ACY458813 ACY524272:ACY524349 ACY589808:ACY589885 ACY655344:ACY655421 ACY720880:ACY720957 ACY786416:ACY786493 ACY851952:ACY852029 ACY917488:ACY917565 ACY983024:ACY983101 AMU2:AMU61 AMU65520:AMU65597 AMU131056:AMU131133 AMU196592:AMU196669 AMU262128:AMU262205 AMU327664:AMU327741 AMU393200:AMU393277 AMU458736:AMU458813 AMU524272:AMU524349 AMU589808:AMU589885 AMU655344:AMU655421 AMU720880:AMU720957 AMU786416:AMU786493 AMU851952:AMU852029 AMU917488:AMU917565 AMU983024:AMU983101 AWQ2:AWQ61 AWQ65520:AWQ65597 AWQ131056:AWQ131133 AWQ196592:AWQ196669 AWQ262128:AWQ262205 AWQ327664:AWQ327741 AWQ393200:AWQ393277 AWQ458736:AWQ458813 AWQ524272:AWQ524349 AWQ589808:AWQ589885 AWQ655344:AWQ655421 AWQ720880:AWQ720957 AWQ786416:AWQ786493 AWQ851952:AWQ852029 AWQ917488:AWQ917565 AWQ983024:AWQ983101 BGM2:BGM61 BGM65520:BGM65597 BGM131056:BGM131133 BGM196592:BGM196669 BGM262128:BGM262205 BGM327664:BGM327741 BGM393200:BGM393277 BGM458736:BGM458813 BGM524272:BGM524349 BGM589808:BGM589885 BGM655344:BGM655421 BGM720880:BGM720957 BGM786416:BGM786493 BGM851952:BGM852029 BGM917488:BGM917565 BGM983024:BGM983101 BQI2:BQI61 BQI65520:BQI65597 BQI131056:BQI131133 BQI196592:BQI196669 BQI262128:BQI262205 BQI327664:BQI327741 BQI393200:BQI393277 BQI458736:BQI458813 BQI524272:BQI524349 BQI589808:BQI589885 BQI655344:BQI655421 BQI720880:BQI720957 BQI786416:BQI786493 BQI851952:BQI852029 BQI917488:BQI917565 BQI983024:BQI983101 CAE2:CAE61 CAE65520:CAE65597 CAE131056:CAE131133 CAE196592:CAE196669 CAE262128:CAE262205 CAE327664:CAE327741 CAE393200:CAE393277 CAE458736:CAE458813 CAE524272:CAE524349 CAE589808:CAE589885 CAE655344:CAE655421 CAE720880:CAE720957 CAE786416:CAE786493 CAE851952:CAE852029 CAE917488:CAE917565 CAE983024:CAE983101 CKA2:CKA61 CKA65520:CKA65597 CKA131056:CKA131133 CKA196592:CKA196669 CKA262128:CKA262205 CKA327664:CKA327741 CKA393200:CKA393277 CKA458736:CKA458813 CKA524272:CKA524349 CKA589808:CKA589885 CKA655344:CKA655421 CKA720880:CKA720957 CKA786416:CKA786493 CKA851952:CKA852029 CKA917488:CKA917565 CKA983024:CKA983101 CTW2:CTW61 CTW65520:CTW65597 CTW131056:CTW131133 CTW196592:CTW196669 CTW262128:CTW262205 CTW327664:CTW327741 CTW393200:CTW393277 CTW458736:CTW458813 CTW524272:CTW524349 CTW589808:CTW589885 CTW655344:CTW655421 CTW720880:CTW720957 CTW786416:CTW786493 CTW851952:CTW852029 CTW917488:CTW917565 CTW983024:CTW983101 DDS2:DDS61 DDS65520:DDS65597 DDS131056:DDS131133 DDS196592:DDS196669 DDS262128:DDS262205 DDS327664:DDS327741 DDS393200:DDS393277 DDS458736:DDS458813 DDS524272:DDS524349 DDS589808:DDS589885 DDS655344:DDS655421 DDS720880:DDS720957 DDS786416:DDS786493 DDS851952:DDS852029 DDS917488:DDS917565 DDS983024:DDS983101 DNO2:DNO61 DNO65520:DNO65597 DNO131056:DNO131133 DNO196592:DNO196669 DNO262128:DNO262205 DNO327664:DNO327741 DNO393200:DNO393277 DNO458736:DNO458813 DNO524272:DNO524349 DNO589808:DNO589885 DNO655344:DNO655421 DNO720880:DNO720957 DNO786416:DNO786493 DNO851952:DNO852029 DNO917488:DNO917565 DNO983024:DNO983101 DXK2:DXK61 DXK65520:DXK65597 DXK131056:DXK131133 DXK196592:DXK196669 DXK262128:DXK262205 DXK327664:DXK327741 DXK393200:DXK393277 DXK458736:DXK458813 DXK524272:DXK524349 DXK589808:DXK589885 DXK655344:DXK655421 DXK720880:DXK720957 DXK786416:DXK786493 DXK851952:DXK852029 DXK917488:DXK917565 DXK983024:DXK983101 EHG2:EHG61 EHG65520:EHG65597 EHG131056:EHG131133 EHG196592:EHG196669 EHG262128:EHG262205 EHG327664:EHG327741 EHG393200:EHG393277 EHG458736:EHG458813 EHG524272:EHG524349 EHG589808:EHG589885 EHG655344:EHG655421 EHG720880:EHG720957 EHG786416:EHG786493 EHG851952:EHG852029 EHG917488:EHG917565 EHG983024:EHG983101 ERC2:ERC61 ERC65520:ERC65597 ERC131056:ERC131133 ERC196592:ERC196669 ERC262128:ERC262205 ERC327664:ERC327741 ERC393200:ERC393277 ERC458736:ERC458813 ERC524272:ERC524349 ERC589808:ERC589885 ERC655344:ERC655421 ERC720880:ERC720957 ERC786416:ERC786493 ERC851952:ERC852029 ERC917488:ERC917565 ERC983024:ERC983101 FAY2:FAY61 FAY65520:FAY65597 FAY131056:FAY131133 FAY196592:FAY196669 FAY262128:FAY262205 FAY327664:FAY327741 FAY393200:FAY393277 FAY458736:FAY458813 FAY524272:FAY524349 FAY589808:FAY589885 FAY655344:FAY655421 FAY720880:FAY720957 FAY786416:FAY786493 FAY851952:FAY852029 FAY917488:FAY917565 FAY983024:FAY983101 FKU2:FKU61 FKU65520:FKU65597 FKU131056:FKU131133 FKU196592:FKU196669 FKU262128:FKU262205 FKU327664:FKU327741 FKU393200:FKU393277 FKU458736:FKU458813 FKU524272:FKU524349 FKU589808:FKU589885 FKU655344:FKU655421 FKU720880:FKU720957 FKU786416:FKU786493 FKU851952:FKU852029 FKU917488:FKU917565 FKU983024:FKU983101 FUQ2:FUQ61 FUQ65520:FUQ65597 FUQ131056:FUQ131133 FUQ196592:FUQ196669 FUQ262128:FUQ262205 FUQ327664:FUQ327741 FUQ393200:FUQ393277 FUQ458736:FUQ458813 FUQ524272:FUQ524349 FUQ589808:FUQ589885 FUQ655344:FUQ655421 FUQ720880:FUQ720957 FUQ786416:FUQ786493 FUQ851952:FUQ852029 FUQ917488:FUQ917565 FUQ983024:FUQ983101 GEM2:GEM61 GEM65520:GEM65597 GEM131056:GEM131133 GEM196592:GEM196669 GEM262128:GEM262205 GEM327664:GEM327741 GEM393200:GEM393277 GEM458736:GEM458813 GEM524272:GEM524349 GEM589808:GEM589885 GEM655344:GEM655421 GEM720880:GEM720957 GEM786416:GEM786493 GEM851952:GEM852029 GEM917488:GEM917565 GEM983024:GEM983101 GOI2:GOI61 GOI65520:GOI65597 GOI131056:GOI131133 GOI196592:GOI196669 GOI262128:GOI262205 GOI327664:GOI327741 GOI393200:GOI393277 GOI458736:GOI458813 GOI524272:GOI524349 GOI589808:GOI589885 GOI655344:GOI655421 GOI720880:GOI720957 GOI786416:GOI786493 GOI851952:GOI852029 GOI917488:GOI917565 GOI983024:GOI983101 GYE2:GYE61 GYE65520:GYE65597 GYE131056:GYE131133 GYE196592:GYE196669 GYE262128:GYE262205 GYE327664:GYE327741 GYE393200:GYE393277 GYE458736:GYE458813 GYE524272:GYE524349 GYE589808:GYE589885 GYE655344:GYE655421 GYE720880:GYE720957 GYE786416:GYE786493 GYE851952:GYE852029 GYE917488:GYE917565 GYE983024:GYE983101 HIA2:HIA61 HIA65520:HIA65597 HIA131056:HIA131133 HIA196592:HIA196669 HIA262128:HIA262205 HIA327664:HIA327741 HIA393200:HIA393277 HIA458736:HIA458813 HIA524272:HIA524349 HIA589808:HIA589885 HIA655344:HIA655421 HIA720880:HIA720957 HIA786416:HIA786493 HIA851952:HIA852029 HIA917488:HIA917565 HIA983024:HIA983101 HRW2:HRW61 HRW65520:HRW65597 HRW131056:HRW131133 HRW196592:HRW196669 HRW262128:HRW262205 HRW327664:HRW327741 HRW393200:HRW393277 HRW458736:HRW458813 HRW524272:HRW524349 HRW589808:HRW589885 HRW655344:HRW655421 HRW720880:HRW720957 HRW786416:HRW786493 HRW851952:HRW852029 HRW917488:HRW917565 HRW983024:HRW983101 IBS2:IBS61 IBS65520:IBS65597 IBS131056:IBS131133 IBS196592:IBS196669 IBS262128:IBS262205 IBS327664:IBS327741 IBS393200:IBS393277 IBS458736:IBS458813 IBS524272:IBS524349 IBS589808:IBS589885 IBS655344:IBS655421 IBS720880:IBS720957 IBS786416:IBS786493 IBS851952:IBS852029 IBS917488:IBS917565 IBS983024:IBS983101 ILO2:ILO61 ILO65520:ILO65597 ILO131056:ILO131133 ILO196592:ILO196669 ILO262128:ILO262205 ILO327664:ILO327741 ILO393200:ILO393277 ILO458736:ILO458813 ILO524272:ILO524349 ILO589808:ILO589885 ILO655344:ILO655421 ILO720880:ILO720957 ILO786416:ILO786493 ILO851952:ILO852029 ILO917488:ILO917565 ILO983024:ILO983101 IVK2:IVK61 IVK65520:IVK65597 IVK131056:IVK131133 IVK196592:IVK196669 IVK262128:IVK262205 IVK327664:IVK327741 IVK393200:IVK393277 IVK458736:IVK458813 IVK524272:IVK524349 IVK589808:IVK589885 IVK655344:IVK655421 IVK720880:IVK720957 IVK786416:IVK786493 IVK851952:IVK852029 IVK917488:IVK917565 IVK983024:IVK983101 JFG2:JFG61 JFG65520:JFG65597 JFG131056:JFG131133 JFG196592:JFG196669 JFG262128:JFG262205 JFG327664:JFG327741 JFG393200:JFG393277 JFG458736:JFG458813 JFG524272:JFG524349 JFG589808:JFG589885 JFG655344:JFG655421 JFG720880:JFG720957 JFG786416:JFG786493 JFG851952:JFG852029 JFG917488:JFG917565 JFG983024:JFG983101 JPC2:JPC61 JPC65520:JPC65597 JPC131056:JPC131133 JPC196592:JPC196669 JPC262128:JPC262205 JPC327664:JPC327741 JPC393200:JPC393277 JPC458736:JPC458813 JPC524272:JPC524349 JPC589808:JPC589885 JPC655344:JPC655421 JPC720880:JPC720957 JPC786416:JPC786493 JPC851952:JPC852029 JPC917488:JPC917565 JPC983024:JPC983101 JYY2:JYY61 JYY65520:JYY65597 JYY131056:JYY131133 JYY196592:JYY196669 JYY262128:JYY262205 JYY327664:JYY327741 JYY393200:JYY393277 JYY458736:JYY458813 JYY524272:JYY524349 JYY589808:JYY589885 JYY655344:JYY655421 JYY720880:JYY720957 JYY786416:JYY786493 JYY851952:JYY852029 JYY917488:JYY917565 JYY983024:JYY983101 KIU2:KIU61 KIU65520:KIU65597 KIU131056:KIU131133 KIU196592:KIU196669 KIU262128:KIU262205 KIU327664:KIU327741 KIU393200:KIU393277 KIU458736:KIU458813 KIU524272:KIU524349 KIU589808:KIU589885 KIU655344:KIU655421 KIU720880:KIU720957 KIU786416:KIU786493 KIU851952:KIU852029 KIU917488:KIU917565 KIU983024:KIU983101 KSQ2:KSQ61 KSQ65520:KSQ65597 KSQ131056:KSQ131133 KSQ196592:KSQ196669 KSQ262128:KSQ262205 KSQ327664:KSQ327741 KSQ393200:KSQ393277 KSQ458736:KSQ458813 KSQ524272:KSQ524349 KSQ589808:KSQ589885 KSQ655344:KSQ655421 KSQ720880:KSQ720957 KSQ786416:KSQ786493 KSQ851952:KSQ852029 KSQ917488:KSQ917565 KSQ983024:KSQ983101 LCM2:LCM61 LCM65520:LCM65597 LCM131056:LCM131133 LCM196592:LCM196669 LCM262128:LCM262205 LCM327664:LCM327741 LCM393200:LCM393277 LCM458736:LCM458813 LCM524272:LCM524349 LCM589808:LCM589885 LCM655344:LCM655421 LCM720880:LCM720957 LCM786416:LCM786493 LCM851952:LCM852029 LCM917488:LCM917565 LCM983024:LCM983101 LMI2:LMI61 LMI65520:LMI65597 LMI131056:LMI131133 LMI196592:LMI196669 LMI262128:LMI262205 LMI327664:LMI327741 LMI393200:LMI393277 LMI458736:LMI458813 LMI524272:LMI524349 LMI589808:LMI589885 LMI655344:LMI655421 LMI720880:LMI720957 LMI786416:LMI786493 LMI851952:LMI852029 LMI917488:LMI917565 LMI983024:LMI983101 LWE2:LWE61 LWE65520:LWE65597 LWE131056:LWE131133 LWE196592:LWE196669 LWE262128:LWE262205 LWE327664:LWE327741 LWE393200:LWE393277 LWE458736:LWE458813 LWE524272:LWE524349 LWE589808:LWE589885 LWE655344:LWE655421 LWE720880:LWE720957 LWE786416:LWE786493 LWE851952:LWE852029 LWE917488:LWE917565 LWE983024:LWE983101 MGA2:MGA61 MGA65520:MGA65597 MGA131056:MGA131133 MGA196592:MGA196669 MGA262128:MGA262205 MGA327664:MGA327741 MGA393200:MGA393277 MGA458736:MGA458813 MGA524272:MGA524349 MGA589808:MGA589885 MGA655344:MGA655421 MGA720880:MGA720957 MGA786416:MGA786493 MGA851952:MGA852029 MGA917488:MGA917565 MGA983024:MGA983101 MPW2:MPW61 MPW65520:MPW65597 MPW131056:MPW131133 MPW196592:MPW196669 MPW262128:MPW262205 MPW327664:MPW327741 MPW393200:MPW393277 MPW458736:MPW458813 MPW524272:MPW524349 MPW589808:MPW589885 MPW655344:MPW655421 MPW720880:MPW720957 MPW786416:MPW786493 MPW851952:MPW852029 MPW917488:MPW917565 MPW983024:MPW983101 MZS2:MZS61 MZS65520:MZS65597 MZS131056:MZS131133 MZS196592:MZS196669 MZS262128:MZS262205 MZS327664:MZS327741 MZS393200:MZS393277 MZS458736:MZS458813 MZS524272:MZS524349 MZS589808:MZS589885 MZS655344:MZS655421 MZS720880:MZS720957 MZS786416:MZS786493 MZS851952:MZS852029 MZS917488:MZS917565 MZS983024:MZS983101 NJO2:NJO61 NJO65520:NJO65597 NJO131056:NJO131133 NJO196592:NJO196669 NJO262128:NJO262205 NJO327664:NJO327741 NJO393200:NJO393277 NJO458736:NJO458813 NJO524272:NJO524349 NJO589808:NJO589885 NJO655344:NJO655421 NJO720880:NJO720957 NJO786416:NJO786493 NJO851952:NJO852029 NJO917488:NJO917565 NJO983024:NJO983101 NTK2:NTK61 NTK65520:NTK65597 NTK131056:NTK131133 NTK196592:NTK196669 NTK262128:NTK262205 NTK327664:NTK327741 NTK393200:NTK393277 NTK458736:NTK458813 NTK524272:NTK524349 NTK589808:NTK589885 NTK655344:NTK655421 NTK720880:NTK720957 NTK786416:NTK786493 NTK851952:NTK852029 NTK917488:NTK917565 NTK983024:NTK983101 ODG2:ODG61 ODG65520:ODG65597 ODG131056:ODG131133 ODG196592:ODG196669 ODG262128:ODG262205 ODG327664:ODG327741 ODG393200:ODG393277 ODG458736:ODG458813 ODG524272:ODG524349 ODG589808:ODG589885 ODG655344:ODG655421 ODG720880:ODG720957 ODG786416:ODG786493 ODG851952:ODG852029 ODG917488:ODG917565 ODG983024:ODG983101 ONC2:ONC61 ONC65520:ONC65597 ONC131056:ONC131133 ONC196592:ONC196669 ONC262128:ONC262205 ONC327664:ONC327741 ONC393200:ONC393277 ONC458736:ONC458813 ONC524272:ONC524349 ONC589808:ONC589885 ONC655344:ONC655421 ONC720880:ONC720957 ONC786416:ONC786493 ONC851952:ONC852029 ONC917488:ONC917565 ONC983024:ONC983101 OWY2:OWY61 OWY65520:OWY65597 OWY131056:OWY131133 OWY196592:OWY196669 OWY262128:OWY262205 OWY327664:OWY327741 OWY393200:OWY393277 OWY458736:OWY458813 OWY524272:OWY524349 OWY589808:OWY589885 OWY655344:OWY655421 OWY720880:OWY720957 OWY786416:OWY786493 OWY851952:OWY852029 OWY917488:OWY917565 OWY983024:OWY983101 PGU2:PGU61 PGU65520:PGU65597 PGU131056:PGU131133 PGU196592:PGU196669 PGU262128:PGU262205 PGU327664:PGU327741 PGU393200:PGU393277 PGU458736:PGU458813 PGU524272:PGU524349 PGU589808:PGU589885 PGU655344:PGU655421 PGU720880:PGU720957 PGU786416:PGU786493 PGU851952:PGU852029 PGU917488:PGU917565 PGU983024:PGU983101 PQQ2:PQQ61 PQQ65520:PQQ65597 PQQ131056:PQQ131133 PQQ196592:PQQ196669 PQQ262128:PQQ262205 PQQ327664:PQQ327741 PQQ393200:PQQ393277 PQQ458736:PQQ458813 PQQ524272:PQQ524349 PQQ589808:PQQ589885 PQQ655344:PQQ655421 PQQ720880:PQQ720957 PQQ786416:PQQ786493 PQQ851952:PQQ852029 PQQ917488:PQQ917565 PQQ983024:PQQ983101 QAM2:QAM61 QAM65520:QAM65597 QAM131056:QAM131133 QAM196592:QAM196669 QAM262128:QAM262205 QAM327664:QAM327741 QAM393200:QAM393277 QAM458736:QAM458813 QAM524272:QAM524349 QAM589808:QAM589885 QAM655344:QAM655421 QAM720880:QAM720957 QAM786416:QAM786493 QAM851952:QAM852029 QAM917488:QAM917565 QAM983024:QAM983101 QKI2:QKI61 QKI65520:QKI65597 QKI131056:QKI131133 QKI196592:QKI196669 QKI262128:QKI262205 QKI327664:QKI327741 QKI393200:QKI393277 QKI458736:QKI458813 QKI524272:QKI524349 QKI589808:QKI589885 QKI655344:QKI655421 QKI720880:QKI720957 QKI786416:QKI786493 QKI851952:QKI852029 QKI917488:QKI917565 QKI983024:QKI983101 QUE2:QUE61 QUE65520:QUE65597 QUE131056:QUE131133 QUE196592:QUE196669 QUE262128:QUE262205 QUE327664:QUE327741 QUE393200:QUE393277 QUE458736:QUE458813 QUE524272:QUE524349 QUE589808:QUE589885 QUE655344:QUE655421 QUE720880:QUE720957 QUE786416:QUE786493 QUE851952:QUE852029 QUE917488:QUE917565 QUE983024:QUE983101 REA2:REA61 REA65520:REA65597 REA131056:REA131133 REA196592:REA196669 REA262128:REA262205 REA327664:REA327741 REA393200:REA393277 REA458736:REA458813 REA524272:REA524349 REA589808:REA589885 REA655344:REA655421 REA720880:REA720957 REA786416:REA786493 REA851952:REA852029 REA917488:REA917565 REA983024:REA983101 RNW2:RNW61 RNW65520:RNW65597 RNW131056:RNW131133 RNW196592:RNW196669 RNW262128:RNW262205 RNW327664:RNW327741 RNW393200:RNW393277 RNW458736:RNW458813 RNW524272:RNW524349 RNW589808:RNW589885 RNW655344:RNW655421 RNW720880:RNW720957 RNW786416:RNW786493 RNW851952:RNW852029 RNW917488:RNW917565 RNW983024:RNW983101 RXS2:RXS61 RXS65520:RXS65597 RXS131056:RXS131133 RXS196592:RXS196669 RXS262128:RXS262205 RXS327664:RXS327741 RXS393200:RXS393277 RXS458736:RXS458813 RXS524272:RXS524349 RXS589808:RXS589885 RXS655344:RXS655421 RXS720880:RXS720957 RXS786416:RXS786493 RXS851952:RXS852029 RXS917488:RXS917565 RXS983024:RXS983101 SHO2:SHO61 SHO65520:SHO65597 SHO131056:SHO131133 SHO196592:SHO196669 SHO262128:SHO262205 SHO327664:SHO327741 SHO393200:SHO393277 SHO458736:SHO458813 SHO524272:SHO524349 SHO589808:SHO589885 SHO655344:SHO655421 SHO720880:SHO720957 SHO786416:SHO786493 SHO851952:SHO852029 SHO917488:SHO917565 SHO983024:SHO983101 SRK2:SRK61 SRK65520:SRK65597 SRK131056:SRK131133 SRK196592:SRK196669 SRK262128:SRK262205 SRK327664:SRK327741 SRK393200:SRK393277 SRK458736:SRK458813 SRK524272:SRK524349 SRK589808:SRK589885 SRK655344:SRK655421 SRK720880:SRK720957 SRK786416:SRK786493 SRK851952:SRK852029 SRK917488:SRK917565 SRK983024:SRK983101 TBG2:TBG61 TBG65520:TBG65597 TBG131056:TBG131133 TBG196592:TBG196669 TBG262128:TBG262205 TBG327664:TBG327741 TBG393200:TBG393277 TBG458736:TBG458813 TBG524272:TBG524349 TBG589808:TBG589885 TBG655344:TBG655421 TBG720880:TBG720957 TBG786416:TBG786493 TBG851952:TBG852029 TBG917488:TBG917565 TBG983024:TBG983101 TLC2:TLC61 TLC65520:TLC65597 TLC131056:TLC131133 TLC196592:TLC196669 TLC262128:TLC262205 TLC327664:TLC327741 TLC393200:TLC393277 TLC458736:TLC458813 TLC524272:TLC524349 TLC589808:TLC589885 TLC655344:TLC655421 TLC720880:TLC720957 TLC786416:TLC786493 TLC851952:TLC852029 TLC917488:TLC917565 TLC983024:TLC983101 TUY2:TUY61 TUY65520:TUY65597 TUY131056:TUY131133 TUY196592:TUY196669 TUY262128:TUY262205 TUY327664:TUY327741 TUY393200:TUY393277 TUY458736:TUY458813 TUY524272:TUY524349 TUY589808:TUY589885 TUY655344:TUY655421 TUY720880:TUY720957 TUY786416:TUY786493 TUY851952:TUY852029 TUY917488:TUY917565 TUY983024:TUY983101 UEU2:UEU61 UEU65520:UEU65597 UEU131056:UEU131133 UEU196592:UEU196669 UEU262128:UEU262205 UEU327664:UEU327741 UEU393200:UEU393277 UEU458736:UEU458813 UEU524272:UEU524349 UEU589808:UEU589885 UEU655344:UEU655421 UEU720880:UEU720957 UEU786416:UEU786493 UEU851952:UEU852029 UEU917488:UEU917565 UEU983024:UEU983101 UOQ2:UOQ61 UOQ65520:UOQ65597 UOQ131056:UOQ131133 UOQ196592:UOQ196669 UOQ262128:UOQ262205 UOQ327664:UOQ327741 UOQ393200:UOQ393277 UOQ458736:UOQ458813 UOQ524272:UOQ524349 UOQ589808:UOQ589885 UOQ655344:UOQ655421 UOQ720880:UOQ720957 UOQ786416:UOQ786493 UOQ851952:UOQ852029 UOQ917488:UOQ917565 UOQ983024:UOQ983101 UYM2:UYM61 UYM65520:UYM65597 UYM131056:UYM131133 UYM196592:UYM196669 UYM262128:UYM262205 UYM327664:UYM327741 UYM393200:UYM393277 UYM458736:UYM458813 UYM524272:UYM524349 UYM589808:UYM589885 UYM655344:UYM655421 UYM720880:UYM720957 UYM786416:UYM786493 UYM851952:UYM852029 UYM917488:UYM917565 UYM983024:UYM983101 VII2:VII61 VII65520:VII65597 VII131056:VII131133 VII196592:VII196669 VII262128:VII262205 VII327664:VII327741 VII393200:VII393277 VII458736:VII458813 VII524272:VII524349 VII589808:VII589885 VII655344:VII655421 VII720880:VII720957 VII786416:VII786493 VII851952:VII852029 VII917488:VII917565 VII983024:VII983101 VSE2:VSE61 VSE65520:VSE65597 VSE131056:VSE131133 VSE196592:VSE196669 VSE262128:VSE262205 VSE327664:VSE327741 VSE393200:VSE393277 VSE458736:VSE458813 VSE524272:VSE524349 VSE589808:VSE589885 VSE655344:VSE655421 VSE720880:VSE720957 VSE786416:VSE786493 VSE851952:VSE852029 VSE917488:VSE917565 VSE983024:VSE983101 WCA2:WCA61 WCA65520:WCA65597 WCA131056:WCA131133 WCA196592:WCA196669 WCA262128:WCA262205 WCA327664:WCA327741 WCA393200:WCA393277 WCA458736:WCA458813 WCA524272:WCA524349 WCA589808:WCA589885 WCA655344:WCA655421 WCA720880:WCA720957 WCA786416:WCA786493 WCA851952:WCA852029 WCA917488:WCA917565 WCA983024:WCA983101 WLW2:WLW61 WLW65520:WLW65597 WLW131056:WLW131133 WLW196592:WLW196669 WLW262128:WLW262205 WLW327664:WLW327741 WLW393200:WLW393277 WLW458736:WLW458813 WLW524272:WLW524349 WLW589808:WLW589885 WLW655344:WLW655421 WLW720880:WLW720957 WLW786416:WLW786493 WLW851952:WLW852029 WLW917488:WLW917565 WLW983024:WLW983101 WVS2:WVS61 WVS65520:WVS65597 WVS131056:WVS131133 WVS196592:WVS196669 WVS262128:WVS262205 WVS327664:WVS327741 WVS393200:WVS393277 WVS458736:WVS458813 WVS524272:WVS524349 WVS589808:WVS589885 WVS655344:WVS655421 WVS720880:WVS720957 WVS786416:WVS786493 WVS851952:WVS852029 WVS917488:WVS917565 WVS983024:WVS983101">
      <formula1>$AR$2:$AR$22</formula1>
    </dataValidation>
    <dataValidation type="list" allowBlank="1" showInputMessage="1" showErrorMessage="1" sqref="J2:J482 J65520:J65597 J131056:J131133 J196592:J196669 J262128:J262205 J327664:J327741 J393200:J393277 J458736:J458813 J524272:J524349 J589808:J589885 J655344:J655421 J720880:J720957 J786416:J786493 J851952:J852029 J917488:J917565 J983024:J983101 JF2:JF61 JF65520:JF65597 JF131056:JF131133 JF196592:JF196669 JF262128:JF262205 JF327664:JF327741 JF393200:JF393277 JF458736:JF458813 JF524272:JF524349 JF589808:JF589885 JF655344:JF655421 JF720880:JF720957 JF786416:JF786493 JF851952:JF852029 JF917488:JF917565 JF983024:JF983101 TB2:TB61 TB65520:TB65597 TB131056:TB131133 TB196592:TB196669 TB262128:TB262205 TB327664:TB327741 TB393200:TB393277 TB458736:TB458813 TB524272:TB524349 TB589808:TB589885 TB655344:TB655421 TB720880:TB720957 TB786416:TB786493 TB851952:TB852029 TB917488:TB917565 TB983024:TB983101 ACX2:ACX61 ACX65520:ACX65597 ACX131056:ACX131133 ACX196592:ACX196669 ACX262128:ACX262205 ACX327664:ACX327741 ACX393200:ACX393277 ACX458736:ACX458813 ACX524272:ACX524349 ACX589808:ACX589885 ACX655344:ACX655421 ACX720880:ACX720957 ACX786416:ACX786493 ACX851952:ACX852029 ACX917488:ACX917565 ACX983024:ACX983101 AMT2:AMT61 AMT65520:AMT65597 AMT131056:AMT131133 AMT196592:AMT196669 AMT262128:AMT262205 AMT327664:AMT327741 AMT393200:AMT393277 AMT458736:AMT458813 AMT524272:AMT524349 AMT589808:AMT589885 AMT655344:AMT655421 AMT720880:AMT720957 AMT786416:AMT786493 AMT851952:AMT852029 AMT917488:AMT917565 AMT983024:AMT983101 AWP2:AWP61 AWP65520:AWP65597 AWP131056:AWP131133 AWP196592:AWP196669 AWP262128:AWP262205 AWP327664:AWP327741 AWP393200:AWP393277 AWP458736:AWP458813 AWP524272:AWP524349 AWP589808:AWP589885 AWP655344:AWP655421 AWP720880:AWP720957 AWP786416:AWP786493 AWP851952:AWP852029 AWP917488:AWP917565 AWP983024:AWP983101 BGL2:BGL61 BGL65520:BGL65597 BGL131056:BGL131133 BGL196592:BGL196669 BGL262128:BGL262205 BGL327664:BGL327741 BGL393200:BGL393277 BGL458736:BGL458813 BGL524272:BGL524349 BGL589808:BGL589885 BGL655344:BGL655421 BGL720880:BGL720957 BGL786416:BGL786493 BGL851952:BGL852029 BGL917488:BGL917565 BGL983024:BGL983101 BQH2:BQH61 BQH65520:BQH65597 BQH131056:BQH131133 BQH196592:BQH196669 BQH262128:BQH262205 BQH327664:BQH327741 BQH393200:BQH393277 BQH458736:BQH458813 BQH524272:BQH524349 BQH589808:BQH589885 BQH655344:BQH655421 BQH720880:BQH720957 BQH786416:BQH786493 BQH851952:BQH852029 BQH917488:BQH917565 BQH983024:BQH983101 CAD2:CAD61 CAD65520:CAD65597 CAD131056:CAD131133 CAD196592:CAD196669 CAD262128:CAD262205 CAD327664:CAD327741 CAD393200:CAD393277 CAD458736:CAD458813 CAD524272:CAD524349 CAD589808:CAD589885 CAD655344:CAD655421 CAD720880:CAD720957 CAD786416:CAD786493 CAD851952:CAD852029 CAD917488:CAD917565 CAD983024:CAD983101 CJZ2:CJZ61 CJZ65520:CJZ65597 CJZ131056:CJZ131133 CJZ196592:CJZ196669 CJZ262128:CJZ262205 CJZ327664:CJZ327741 CJZ393200:CJZ393277 CJZ458736:CJZ458813 CJZ524272:CJZ524349 CJZ589808:CJZ589885 CJZ655344:CJZ655421 CJZ720880:CJZ720957 CJZ786416:CJZ786493 CJZ851952:CJZ852029 CJZ917488:CJZ917565 CJZ983024:CJZ983101 CTV2:CTV61 CTV65520:CTV65597 CTV131056:CTV131133 CTV196592:CTV196669 CTV262128:CTV262205 CTV327664:CTV327741 CTV393200:CTV393277 CTV458736:CTV458813 CTV524272:CTV524349 CTV589808:CTV589885 CTV655344:CTV655421 CTV720880:CTV720957 CTV786416:CTV786493 CTV851952:CTV852029 CTV917488:CTV917565 CTV983024:CTV983101 DDR2:DDR61 DDR65520:DDR65597 DDR131056:DDR131133 DDR196592:DDR196669 DDR262128:DDR262205 DDR327664:DDR327741 DDR393200:DDR393277 DDR458736:DDR458813 DDR524272:DDR524349 DDR589808:DDR589885 DDR655344:DDR655421 DDR720880:DDR720957 DDR786416:DDR786493 DDR851952:DDR852029 DDR917488:DDR917565 DDR983024:DDR983101 DNN2:DNN61 DNN65520:DNN65597 DNN131056:DNN131133 DNN196592:DNN196669 DNN262128:DNN262205 DNN327664:DNN327741 DNN393200:DNN393277 DNN458736:DNN458813 DNN524272:DNN524349 DNN589808:DNN589885 DNN655344:DNN655421 DNN720880:DNN720957 DNN786416:DNN786493 DNN851952:DNN852029 DNN917488:DNN917565 DNN983024:DNN983101 DXJ2:DXJ61 DXJ65520:DXJ65597 DXJ131056:DXJ131133 DXJ196592:DXJ196669 DXJ262128:DXJ262205 DXJ327664:DXJ327741 DXJ393200:DXJ393277 DXJ458736:DXJ458813 DXJ524272:DXJ524349 DXJ589808:DXJ589885 DXJ655344:DXJ655421 DXJ720880:DXJ720957 DXJ786416:DXJ786493 DXJ851952:DXJ852029 DXJ917488:DXJ917565 DXJ983024:DXJ983101 EHF2:EHF61 EHF65520:EHF65597 EHF131056:EHF131133 EHF196592:EHF196669 EHF262128:EHF262205 EHF327664:EHF327741 EHF393200:EHF393277 EHF458736:EHF458813 EHF524272:EHF524349 EHF589808:EHF589885 EHF655344:EHF655421 EHF720880:EHF720957 EHF786416:EHF786493 EHF851952:EHF852029 EHF917488:EHF917565 EHF983024:EHF983101 ERB2:ERB61 ERB65520:ERB65597 ERB131056:ERB131133 ERB196592:ERB196669 ERB262128:ERB262205 ERB327664:ERB327741 ERB393200:ERB393277 ERB458736:ERB458813 ERB524272:ERB524349 ERB589808:ERB589885 ERB655344:ERB655421 ERB720880:ERB720957 ERB786416:ERB786493 ERB851952:ERB852029 ERB917488:ERB917565 ERB983024:ERB983101 FAX2:FAX61 FAX65520:FAX65597 FAX131056:FAX131133 FAX196592:FAX196669 FAX262128:FAX262205 FAX327664:FAX327741 FAX393200:FAX393277 FAX458736:FAX458813 FAX524272:FAX524349 FAX589808:FAX589885 FAX655344:FAX655421 FAX720880:FAX720957 FAX786416:FAX786493 FAX851952:FAX852029 FAX917488:FAX917565 FAX983024:FAX983101 FKT2:FKT61 FKT65520:FKT65597 FKT131056:FKT131133 FKT196592:FKT196669 FKT262128:FKT262205 FKT327664:FKT327741 FKT393200:FKT393277 FKT458736:FKT458813 FKT524272:FKT524349 FKT589808:FKT589885 FKT655344:FKT655421 FKT720880:FKT720957 FKT786416:FKT786493 FKT851952:FKT852029 FKT917488:FKT917565 FKT983024:FKT983101 FUP2:FUP61 FUP65520:FUP65597 FUP131056:FUP131133 FUP196592:FUP196669 FUP262128:FUP262205 FUP327664:FUP327741 FUP393200:FUP393277 FUP458736:FUP458813 FUP524272:FUP524349 FUP589808:FUP589885 FUP655344:FUP655421 FUP720880:FUP720957 FUP786416:FUP786493 FUP851952:FUP852029 FUP917488:FUP917565 FUP983024:FUP983101 GEL2:GEL61 GEL65520:GEL65597 GEL131056:GEL131133 GEL196592:GEL196669 GEL262128:GEL262205 GEL327664:GEL327741 GEL393200:GEL393277 GEL458736:GEL458813 GEL524272:GEL524349 GEL589808:GEL589885 GEL655344:GEL655421 GEL720880:GEL720957 GEL786416:GEL786493 GEL851952:GEL852029 GEL917488:GEL917565 GEL983024:GEL983101 GOH2:GOH61 GOH65520:GOH65597 GOH131056:GOH131133 GOH196592:GOH196669 GOH262128:GOH262205 GOH327664:GOH327741 GOH393200:GOH393277 GOH458736:GOH458813 GOH524272:GOH524349 GOH589808:GOH589885 GOH655344:GOH655421 GOH720880:GOH720957 GOH786416:GOH786493 GOH851952:GOH852029 GOH917488:GOH917565 GOH983024:GOH983101 GYD2:GYD61 GYD65520:GYD65597 GYD131056:GYD131133 GYD196592:GYD196669 GYD262128:GYD262205 GYD327664:GYD327741 GYD393200:GYD393277 GYD458736:GYD458813 GYD524272:GYD524349 GYD589808:GYD589885 GYD655344:GYD655421 GYD720880:GYD720957 GYD786416:GYD786493 GYD851952:GYD852029 GYD917488:GYD917565 GYD983024:GYD983101 HHZ2:HHZ61 HHZ65520:HHZ65597 HHZ131056:HHZ131133 HHZ196592:HHZ196669 HHZ262128:HHZ262205 HHZ327664:HHZ327741 HHZ393200:HHZ393277 HHZ458736:HHZ458813 HHZ524272:HHZ524349 HHZ589808:HHZ589885 HHZ655344:HHZ655421 HHZ720880:HHZ720957 HHZ786416:HHZ786493 HHZ851952:HHZ852029 HHZ917488:HHZ917565 HHZ983024:HHZ983101 HRV2:HRV61 HRV65520:HRV65597 HRV131056:HRV131133 HRV196592:HRV196669 HRV262128:HRV262205 HRV327664:HRV327741 HRV393200:HRV393277 HRV458736:HRV458813 HRV524272:HRV524349 HRV589808:HRV589885 HRV655344:HRV655421 HRV720880:HRV720957 HRV786416:HRV786493 HRV851952:HRV852029 HRV917488:HRV917565 HRV983024:HRV983101 IBR2:IBR61 IBR65520:IBR65597 IBR131056:IBR131133 IBR196592:IBR196669 IBR262128:IBR262205 IBR327664:IBR327741 IBR393200:IBR393277 IBR458736:IBR458813 IBR524272:IBR524349 IBR589808:IBR589885 IBR655344:IBR655421 IBR720880:IBR720957 IBR786416:IBR786493 IBR851952:IBR852029 IBR917488:IBR917565 IBR983024:IBR983101 ILN2:ILN61 ILN65520:ILN65597 ILN131056:ILN131133 ILN196592:ILN196669 ILN262128:ILN262205 ILN327664:ILN327741 ILN393200:ILN393277 ILN458736:ILN458813 ILN524272:ILN524349 ILN589808:ILN589885 ILN655344:ILN655421 ILN720880:ILN720957 ILN786416:ILN786493 ILN851952:ILN852029 ILN917488:ILN917565 ILN983024:ILN983101 IVJ2:IVJ61 IVJ65520:IVJ65597 IVJ131056:IVJ131133 IVJ196592:IVJ196669 IVJ262128:IVJ262205 IVJ327664:IVJ327741 IVJ393200:IVJ393277 IVJ458736:IVJ458813 IVJ524272:IVJ524349 IVJ589808:IVJ589885 IVJ655344:IVJ655421 IVJ720880:IVJ720957 IVJ786416:IVJ786493 IVJ851952:IVJ852029 IVJ917488:IVJ917565 IVJ983024:IVJ983101 JFF2:JFF61 JFF65520:JFF65597 JFF131056:JFF131133 JFF196592:JFF196669 JFF262128:JFF262205 JFF327664:JFF327741 JFF393200:JFF393277 JFF458736:JFF458813 JFF524272:JFF524349 JFF589808:JFF589885 JFF655344:JFF655421 JFF720880:JFF720957 JFF786416:JFF786493 JFF851952:JFF852029 JFF917488:JFF917565 JFF983024:JFF983101 JPB2:JPB61 JPB65520:JPB65597 JPB131056:JPB131133 JPB196592:JPB196669 JPB262128:JPB262205 JPB327664:JPB327741 JPB393200:JPB393277 JPB458736:JPB458813 JPB524272:JPB524349 JPB589808:JPB589885 JPB655344:JPB655421 JPB720880:JPB720957 JPB786416:JPB786493 JPB851952:JPB852029 JPB917488:JPB917565 JPB983024:JPB983101 JYX2:JYX61 JYX65520:JYX65597 JYX131056:JYX131133 JYX196592:JYX196669 JYX262128:JYX262205 JYX327664:JYX327741 JYX393200:JYX393277 JYX458736:JYX458813 JYX524272:JYX524349 JYX589808:JYX589885 JYX655344:JYX655421 JYX720880:JYX720957 JYX786416:JYX786493 JYX851952:JYX852029 JYX917488:JYX917565 JYX983024:JYX983101 KIT2:KIT61 KIT65520:KIT65597 KIT131056:KIT131133 KIT196592:KIT196669 KIT262128:KIT262205 KIT327664:KIT327741 KIT393200:KIT393277 KIT458736:KIT458813 KIT524272:KIT524349 KIT589808:KIT589885 KIT655344:KIT655421 KIT720880:KIT720957 KIT786416:KIT786493 KIT851952:KIT852029 KIT917488:KIT917565 KIT983024:KIT983101 KSP2:KSP61 KSP65520:KSP65597 KSP131056:KSP131133 KSP196592:KSP196669 KSP262128:KSP262205 KSP327664:KSP327741 KSP393200:KSP393277 KSP458736:KSP458813 KSP524272:KSP524349 KSP589808:KSP589885 KSP655344:KSP655421 KSP720880:KSP720957 KSP786416:KSP786493 KSP851952:KSP852029 KSP917488:KSP917565 KSP983024:KSP983101 LCL2:LCL61 LCL65520:LCL65597 LCL131056:LCL131133 LCL196592:LCL196669 LCL262128:LCL262205 LCL327664:LCL327741 LCL393200:LCL393277 LCL458736:LCL458813 LCL524272:LCL524349 LCL589808:LCL589885 LCL655344:LCL655421 LCL720880:LCL720957 LCL786416:LCL786493 LCL851952:LCL852029 LCL917488:LCL917565 LCL983024:LCL983101 LMH2:LMH61 LMH65520:LMH65597 LMH131056:LMH131133 LMH196592:LMH196669 LMH262128:LMH262205 LMH327664:LMH327741 LMH393200:LMH393277 LMH458736:LMH458813 LMH524272:LMH524349 LMH589808:LMH589885 LMH655344:LMH655421 LMH720880:LMH720957 LMH786416:LMH786493 LMH851952:LMH852029 LMH917488:LMH917565 LMH983024:LMH983101 LWD2:LWD61 LWD65520:LWD65597 LWD131056:LWD131133 LWD196592:LWD196669 LWD262128:LWD262205 LWD327664:LWD327741 LWD393200:LWD393277 LWD458736:LWD458813 LWD524272:LWD524349 LWD589808:LWD589885 LWD655344:LWD655421 LWD720880:LWD720957 LWD786416:LWD786493 LWD851952:LWD852029 LWD917488:LWD917565 LWD983024:LWD983101 MFZ2:MFZ61 MFZ65520:MFZ65597 MFZ131056:MFZ131133 MFZ196592:MFZ196669 MFZ262128:MFZ262205 MFZ327664:MFZ327741 MFZ393200:MFZ393277 MFZ458736:MFZ458813 MFZ524272:MFZ524349 MFZ589808:MFZ589885 MFZ655344:MFZ655421 MFZ720880:MFZ720957 MFZ786416:MFZ786493 MFZ851952:MFZ852029 MFZ917488:MFZ917565 MFZ983024:MFZ983101 MPV2:MPV61 MPV65520:MPV65597 MPV131056:MPV131133 MPV196592:MPV196669 MPV262128:MPV262205 MPV327664:MPV327741 MPV393200:MPV393277 MPV458736:MPV458813 MPV524272:MPV524349 MPV589808:MPV589885 MPV655344:MPV655421 MPV720880:MPV720957 MPV786416:MPV786493 MPV851952:MPV852029 MPV917488:MPV917565 MPV983024:MPV983101 MZR2:MZR61 MZR65520:MZR65597 MZR131056:MZR131133 MZR196592:MZR196669 MZR262128:MZR262205 MZR327664:MZR327741 MZR393200:MZR393277 MZR458736:MZR458813 MZR524272:MZR524349 MZR589808:MZR589885 MZR655344:MZR655421 MZR720880:MZR720957 MZR786416:MZR786493 MZR851952:MZR852029 MZR917488:MZR917565 MZR983024:MZR983101 NJN2:NJN61 NJN65520:NJN65597 NJN131056:NJN131133 NJN196592:NJN196669 NJN262128:NJN262205 NJN327664:NJN327741 NJN393200:NJN393277 NJN458736:NJN458813 NJN524272:NJN524349 NJN589808:NJN589885 NJN655344:NJN655421 NJN720880:NJN720957 NJN786416:NJN786493 NJN851952:NJN852029 NJN917488:NJN917565 NJN983024:NJN983101 NTJ2:NTJ61 NTJ65520:NTJ65597 NTJ131056:NTJ131133 NTJ196592:NTJ196669 NTJ262128:NTJ262205 NTJ327664:NTJ327741 NTJ393200:NTJ393277 NTJ458736:NTJ458813 NTJ524272:NTJ524349 NTJ589808:NTJ589885 NTJ655344:NTJ655421 NTJ720880:NTJ720957 NTJ786416:NTJ786493 NTJ851952:NTJ852029 NTJ917488:NTJ917565 NTJ983024:NTJ983101 ODF2:ODF61 ODF65520:ODF65597 ODF131056:ODF131133 ODF196592:ODF196669 ODF262128:ODF262205 ODF327664:ODF327741 ODF393200:ODF393277 ODF458736:ODF458813 ODF524272:ODF524349 ODF589808:ODF589885 ODF655344:ODF655421 ODF720880:ODF720957 ODF786416:ODF786493 ODF851952:ODF852029 ODF917488:ODF917565 ODF983024:ODF983101 ONB2:ONB61 ONB65520:ONB65597 ONB131056:ONB131133 ONB196592:ONB196669 ONB262128:ONB262205 ONB327664:ONB327741 ONB393200:ONB393277 ONB458736:ONB458813 ONB524272:ONB524349 ONB589808:ONB589885 ONB655344:ONB655421 ONB720880:ONB720957 ONB786416:ONB786493 ONB851952:ONB852029 ONB917488:ONB917565 ONB983024:ONB983101 OWX2:OWX61 OWX65520:OWX65597 OWX131056:OWX131133 OWX196592:OWX196669 OWX262128:OWX262205 OWX327664:OWX327741 OWX393200:OWX393277 OWX458736:OWX458813 OWX524272:OWX524349 OWX589808:OWX589885 OWX655344:OWX655421 OWX720880:OWX720957 OWX786416:OWX786493 OWX851952:OWX852029 OWX917488:OWX917565 OWX983024:OWX983101 PGT2:PGT61 PGT65520:PGT65597 PGT131056:PGT131133 PGT196592:PGT196669 PGT262128:PGT262205 PGT327664:PGT327741 PGT393200:PGT393277 PGT458736:PGT458813 PGT524272:PGT524349 PGT589808:PGT589885 PGT655344:PGT655421 PGT720880:PGT720957 PGT786416:PGT786493 PGT851952:PGT852029 PGT917488:PGT917565 PGT983024:PGT983101 PQP2:PQP61 PQP65520:PQP65597 PQP131056:PQP131133 PQP196592:PQP196669 PQP262128:PQP262205 PQP327664:PQP327741 PQP393200:PQP393277 PQP458736:PQP458813 PQP524272:PQP524349 PQP589808:PQP589885 PQP655344:PQP655421 PQP720880:PQP720957 PQP786416:PQP786493 PQP851952:PQP852029 PQP917488:PQP917565 PQP983024:PQP983101 QAL2:QAL61 QAL65520:QAL65597 QAL131056:QAL131133 QAL196592:QAL196669 QAL262128:QAL262205 QAL327664:QAL327741 QAL393200:QAL393277 QAL458736:QAL458813 QAL524272:QAL524349 QAL589808:QAL589885 QAL655344:QAL655421 QAL720880:QAL720957 QAL786416:QAL786493 QAL851952:QAL852029 QAL917488:QAL917565 QAL983024:QAL983101 QKH2:QKH61 QKH65520:QKH65597 QKH131056:QKH131133 QKH196592:QKH196669 QKH262128:QKH262205 QKH327664:QKH327741 QKH393200:QKH393277 QKH458736:QKH458813 QKH524272:QKH524349 QKH589808:QKH589885 QKH655344:QKH655421 QKH720880:QKH720957 QKH786416:QKH786493 QKH851952:QKH852029 QKH917488:QKH917565 QKH983024:QKH983101 QUD2:QUD61 QUD65520:QUD65597 QUD131056:QUD131133 QUD196592:QUD196669 QUD262128:QUD262205 QUD327664:QUD327741 QUD393200:QUD393277 QUD458736:QUD458813 QUD524272:QUD524349 QUD589808:QUD589885 QUD655344:QUD655421 QUD720880:QUD720957 QUD786416:QUD786493 QUD851952:QUD852029 QUD917488:QUD917565 QUD983024:QUD983101 RDZ2:RDZ61 RDZ65520:RDZ65597 RDZ131056:RDZ131133 RDZ196592:RDZ196669 RDZ262128:RDZ262205 RDZ327664:RDZ327741 RDZ393200:RDZ393277 RDZ458736:RDZ458813 RDZ524272:RDZ524349 RDZ589808:RDZ589885 RDZ655344:RDZ655421 RDZ720880:RDZ720957 RDZ786416:RDZ786493 RDZ851952:RDZ852029 RDZ917488:RDZ917565 RDZ983024:RDZ983101 RNV2:RNV61 RNV65520:RNV65597 RNV131056:RNV131133 RNV196592:RNV196669 RNV262128:RNV262205 RNV327664:RNV327741 RNV393200:RNV393277 RNV458736:RNV458813 RNV524272:RNV524349 RNV589808:RNV589885 RNV655344:RNV655421 RNV720880:RNV720957 RNV786416:RNV786493 RNV851952:RNV852029 RNV917488:RNV917565 RNV983024:RNV983101 RXR2:RXR61 RXR65520:RXR65597 RXR131056:RXR131133 RXR196592:RXR196669 RXR262128:RXR262205 RXR327664:RXR327741 RXR393200:RXR393277 RXR458736:RXR458813 RXR524272:RXR524349 RXR589808:RXR589885 RXR655344:RXR655421 RXR720880:RXR720957 RXR786416:RXR786493 RXR851952:RXR852029 RXR917488:RXR917565 RXR983024:RXR983101 SHN2:SHN61 SHN65520:SHN65597 SHN131056:SHN131133 SHN196592:SHN196669 SHN262128:SHN262205 SHN327664:SHN327741 SHN393200:SHN393277 SHN458736:SHN458813 SHN524272:SHN524349 SHN589808:SHN589885 SHN655344:SHN655421 SHN720880:SHN720957 SHN786416:SHN786493 SHN851952:SHN852029 SHN917488:SHN917565 SHN983024:SHN983101 SRJ2:SRJ61 SRJ65520:SRJ65597 SRJ131056:SRJ131133 SRJ196592:SRJ196669 SRJ262128:SRJ262205 SRJ327664:SRJ327741 SRJ393200:SRJ393277 SRJ458736:SRJ458813 SRJ524272:SRJ524349 SRJ589808:SRJ589885 SRJ655344:SRJ655421 SRJ720880:SRJ720957 SRJ786416:SRJ786493 SRJ851952:SRJ852029 SRJ917488:SRJ917565 SRJ983024:SRJ983101 TBF2:TBF61 TBF65520:TBF65597 TBF131056:TBF131133 TBF196592:TBF196669 TBF262128:TBF262205 TBF327664:TBF327741 TBF393200:TBF393277 TBF458736:TBF458813 TBF524272:TBF524349 TBF589808:TBF589885 TBF655344:TBF655421 TBF720880:TBF720957 TBF786416:TBF786493 TBF851952:TBF852029 TBF917488:TBF917565 TBF983024:TBF983101 TLB2:TLB61 TLB65520:TLB65597 TLB131056:TLB131133 TLB196592:TLB196669 TLB262128:TLB262205 TLB327664:TLB327741 TLB393200:TLB393277 TLB458736:TLB458813 TLB524272:TLB524349 TLB589808:TLB589885 TLB655344:TLB655421 TLB720880:TLB720957 TLB786416:TLB786493 TLB851952:TLB852029 TLB917488:TLB917565 TLB983024:TLB983101 TUX2:TUX61 TUX65520:TUX65597 TUX131056:TUX131133 TUX196592:TUX196669 TUX262128:TUX262205 TUX327664:TUX327741 TUX393200:TUX393277 TUX458736:TUX458813 TUX524272:TUX524349 TUX589808:TUX589885 TUX655344:TUX655421 TUX720880:TUX720957 TUX786416:TUX786493 TUX851952:TUX852029 TUX917488:TUX917565 TUX983024:TUX983101 UET2:UET61 UET65520:UET65597 UET131056:UET131133 UET196592:UET196669 UET262128:UET262205 UET327664:UET327741 UET393200:UET393277 UET458736:UET458813 UET524272:UET524349 UET589808:UET589885 UET655344:UET655421 UET720880:UET720957 UET786416:UET786493 UET851952:UET852029 UET917488:UET917565 UET983024:UET983101 UOP2:UOP61 UOP65520:UOP65597 UOP131056:UOP131133 UOP196592:UOP196669 UOP262128:UOP262205 UOP327664:UOP327741 UOP393200:UOP393277 UOP458736:UOP458813 UOP524272:UOP524349 UOP589808:UOP589885 UOP655344:UOP655421 UOP720880:UOP720957 UOP786416:UOP786493 UOP851952:UOP852029 UOP917488:UOP917565 UOP983024:UOP983101 UYL2:UYL61 UYL65520:UYL65597 UYL131056:UYL131133 UYL196592:UYL196669 UYL262128:UYL262205 UYL327664:UYL327741 UYL393200:UYL393277 UYL458736:UYL458813 UYL524272:UYL524349 UYL589808:UYL589885 UYL655344:UYL655421 UYL720880:UYL720957 UYL786416:UYL786493 UYL851952:UYL852029 UYL917488:UYL917565 UYL983024:UYL983101 VIH2:VIH61 VIH65520:VIH65597 VIH131056:VIH131133 VIH196592:VIH196669 VIH262128:VIH262205 VIH327664:VIH327741 VIH393200:VIH393277 VIH458736:VIH458813 VIH524272:VIH524349 VIH589808:VIH589885 VIH655344:VIH655421 VIH720880:VIH720957 VIH786416:VIH786493 VIH851952:VIH852029 VIH917488:VIH917565 VIH983024:VIH983101 VSD2:VSD61 VSD65520:VSD65597 VSD131056:VSD131133 VSD196592:VSD196669 VSD262128:VSD262205 VSD327664:VSD327741 VSD393200:VSD393277 VSD458736:VSD458813 VSD524272:VSD524349 VSD589808:VSD589885 VSD655344:VSD655421 VSD720880:VSD720957 VSD786416:VSD786493 VSD851952:VSD852029 VSD917488:VSD917565 VSD983024:VSD983101 WBZ2:WBZ61 WBZ65520:WBZ65597 WBZ131056:WBZ131133 WBZ196592:WBZ196669 WBZ262128:WBZ262205 WBZ327664:WBZ327741 WBZ393200:WBZ393277 WBZ458736:WBZ458813 WBZ524272:WBZ524349 WBZ589808:WBZ589885 WBZ655344:WBZ655421 WBZ720880:WBZ720957 WBZ786416:WBZ786493 WBZ851952:WBZ852029 WBZ917488:WBZ917565 WBZ983024:WBZ983101 WLV2:WLV61 WLV65520:WLV65597 WLV131056:WLV131133 WLV196592:WLV196669 WLV262128:WLV262205 WLV327664:WLV327741 WLV393200:WLV393277 WLV458736:WLV458813 WLV524272:WLV524349 WLV589808:WLV589885 WLV655344:WLV655421 WLV720880:WLV720957 WLV786416:WLV786493 WLV851952:WLV852029 WLV917488:WLV917565 WLV983024:WLV983101 WVR2:WVR61 WVR65520:WVR65597 WVR131056:WVR131133 WVR196592:WVR196669 WVR262128:WVR262205 WVR327664:WVR327741 WVR393200:WVR393277 WVR458736:WVR458813 WVR524272:WVR524349 WVR589808:WVR589885 WVR655344:WVR655421 WVR720880:WVR720957 WVR786416:WVR786493 WVR851952:WVR852029 WVR917488:WVR917565 WVR983024:WVR983101">
      <formula1>$AP$2:$AP$22</formula1>
    </dataValidation>
    <dataValidation type="list" allowBlank="1" showInputMessage="1" showErrorMessage="1" sqref="H2:H482">
      <formula1>$AL$2:$AL$8</formula1>
    </dataValidation>
    <dataValidation type="list" allowBlank="1" showInputMessage="1" showErrorMessage="1" sqref="Y2:AA482 JU2:JW61 ANI2:ANK61 BQW2:BQY61 CUK2:CUM61 DXY2:DYA61 FBM2:FBO61 GFA2:GFC61 HIO2:HIQ61 IMC2:IME61 JPQ2:JPS61 KTE2:KTG61 LWS2:LWU61 NAG2:NAI61 ODU2:ODW61 PHI2:PHK61 QKW2:QKY61 ROK2:ROM61 SRY2:SSA61 TVM2:TVO61 UZA2:UZC61 WCO2:WCQ61 TQ2:TS61 AXE2:AXG61 CAS2:CAU61 DEG2:DEI61 EHU2:EHW61 FLI2:FLK61 GOW2:GOY61 HSK2:HSM61 IVY2:IWA61 JZM2:JZO61 LDA2:LDC61 MGO2:MGQ61 NKC2:NKE61 ONQ2:ONS61 PRE2:PRG61 QUS2:QUU61 RYG2:RYI61 TBU2:TBW61 UFI2:UFK61 VIW2:VIY61 WMK2:WMM61 ADM2:ADO61 BHA2:BHC61 CKO2:CKQ61 DOC2:DOE61 ERQ2:ERS61 FVE2:FVG61 GYS2:GYU61 ICG2:ICI61 JFU2:JFW61 KJI2:KJK61 LMW2:LMY61 MQK2:MQM61 NTY2:NUA61 OXM2:OXO61 QBA2:QBC61 REO2:REQ61 SIC2:SIE61 TLQ2:TLS61 UPE2:UPG61 VSS2:VSU61 WWG2:WWI61 Y983024:AA983101 ADM983024:ADO983101 BHA983024:BHC983101 CKO983024:CKQ983101 DOC983024:DOE983101 ERQ983024:ERS983101 FVE983024:FVG983101 GYS983024:GYU983101 ICG983024:ICI983101 JFU983024:JFW983101 KJI983024:KJK983101 LMW983024:LMY983101 MQK983024:MQM983101 NTY983024:NUA983101 OXM983024:OXO983101 QBA983024:QBC983101 REO983024:REQ983101 SIC983024:SIE983101 TLQ983024:TLS983101 UPE983024:UPG983101 VSS983024:VSU983101 WWG983024:WWI983101 Y65520:AA65597 ADM65520:ADO65597 BHA65520:BHC65597 CKO65520:CKQ65597 DOC65520:DOE65597 ERQ65520:ERS65597 FVE65520:FVG65597 GYS65520:GYU65597 ICG65520:ICI65597 JFU65520:JFW65597 KJI65520:KJK65597 LMW65520:LMY65597 MQK65520:MQM65597 NTY65520:NUA65597 OXM65520:OXO65597 QBA65520:QBC65597 REO65520:REQ65597 SIC65520:SIE65597 TLQ65520:TLS65597 UPE65520:UPG65597 VSS65520:VSU65597 WWG65520:WWI65597 JU65520:JW65597 ANI65520:ANK65597 BQW65520:BQY65597 CUK65520:CUM65597 DXY65520:DYA65597 FBM65520:FBO65597 GFA65520:GFC65597 HIO65520:HIQ65597 IMC65520:IME65597 JPQ65520:JPS65597 KTE65520:KTG65597 LWS65520:LWU65597 NAG65520:NAI65597 ODU65520:ODW65597 PHI65520:PHK65597 QKW65520:QKY65597 ROK65520:ROM65597 SRY65520:SSA65597 TVM65520:TVO65597 UZA65520:UZC65597 WCO65520:WCQ65597 TQ65520:TS65597 AXE65520:AXG65597 CAS65520:CAU65597 DEG65520:DEI65597 EHU65520:EHW65597 FLI65520:FLK65597 GOW65520:GOY65597 HSK65520:HSM65597 IVY65520:IWA65597 JZM65520:JZO65597 LDA65520:LDC65597 MGO65520:MGQ65597 NKC65520:NKE65597 ONQ65520:ONS65597 PRE65520:PRG65597 QUS65520:QUU65597 RYG65520:RYI65597 TBU65520:TBW65597 UFI65520:UFK65597 VIW65520:VIY65597 WMK65520:WMM65597 Y131056:AA131133 ADM131056:ADO131133 BHA131056:BHC131133 CKO131056:CKQ131133 DOC131056:DOE131133 ERQ131056:ERS131133 FVE131056:FVG131133 GYS131056:GYU131133 ICG131056:ICI131133 JFU131056:JFW131133 KJI131056:KJK131133 LMW131056:LMY131133 MQK131056:MQM131133 NTY131056:NUA131133 OXM131056:OXO131133 QBA131056:QBC131133 REO131056:REQ131133 SIC131056:SIE131133 TLQ131056:TLS131133 UPE131056:UPG131133 VSS131056:VSU131133 WWG131056:WWI131133 JU131056:JW131133 ANI131056:ANK131133 BQW131056:BQY131133 CUK131056:CUM131133 DXY131056:DYA131133 FBM131056:FBO131133 GFA131056:GFC131133 HIO131056:HIQ131133 IMC131056:IME131133 JPQ131056:JPS131133 KTE131056:KTG131133 LWS131056:LWU131133 NAG131056:NAI131133 ODU131056:ODW131133 PHI131056:PHK131133 QKW131056:QKY131133 ROK131056:ROM131133 SRY131056:SSA131133 TVM131056:TVO131133 UZA131056:UZC131133 WCO131056:WCQ131133 TQ131056:TS131133 AXE131056:AXG131133 CAS131056:CAU131133 DEG131056:DEI131133 EHU131056:EHW131133 FLI131056:FLK131133 GOW131056:GOY131133 HSK131056:HSM131133 IVY131056:IWA131133 JZM131056:JZO131133 LDA131056:LDC131133 MGO131056:MGQ131133 NKC131056:NKE131133 ONQ131056:ONS131133 PRE131056:PRG131133 QUS131056:QUU131133 RYG131056:RYI131133 TBU131056:TBW131133 UFI131056:UFK131133 VIW131056:VIY131133 WMK131056:WMM131133 Y196592:AA196669 ADM196592:ADO196669 BHA196592:BHC196669 CKO196592:CKQ196669 DOC196592:DOE196669 ERQ196592:ERS196669 FVE196592:FVG196669 GYS196592:GYU196669 ICG196592:ICI196669 JFU196592:JFW196669 KJI196592:KJK196669 LMW196592:LMY196669 MQK196592:MQM196669 NTY196592:NUA196669 OXM196592:OXO196669 QBA196592:QBC196669 REO196592:REQ196669 SIC196592:SIE196669 TLQ196592:TLS196669 UPE196592:UPG196669 VSS196592:VSU196669 WWG196592:WWI196669 JU196592:JW196669 ANI196592:ANK196669 BQW196592:BQY196669 CUK196592:CUM196669 DXY196592:DYA196669 FBM196592:FBO196669 GFA196592:GFC196669 HIO196592:HIQ196669 IMC196592:IME196669 JPQ196592:JPS196669 KTE196592:KTG196669 LWS196592:LWU196669 NAG196592:NAI196669 ODU196592:ODW196669 PHI196592:PHK196669 QKW196592:QKY196669 ROK196592:ROM196669 SRY196592:SSA196669 TVM196592:TVO196669 UZA196592:UZC196669 WCO196592:WCQ196669 TQ196592:TS196669 AXE196592:AXG196669 CAS196592:CAU196669 DEG196592:DEI196669 EHU196592:EHW196669 FLI196592:FLK196669 GOW196592:GOY196669 HSK196592:HSM196669 IVY196592:IWA196669 JZM196592:JZO196669 LDA196592:LDC196669 MGO196592:MGQ196669 NKC196592:NKE196669 ONQ196592:ONS196669 PRE196592:PRG196669 QUS196592:QUU196669 RYG196592:RYI196669 TBU196592:TBW196669 UFI196592:UFK196669 VIW196592:VIY196669 WMK196592:WMM196669 Y262128:AA262205 ADM262128:ADO262205 BHA262128:BHC262205 CKO262128:CKQ262205 DOC262128:DOE262205 ERQ262128:ERS262205 FVE262128:FVG262205 GYS262128:GYU262205 ICG262128:ICI262205 JFU262128:JFW262205 KJI262128:KJK262205 LMW262128:LMY262205 MQK262128:MQM262205 NTY262128:NUA262205 OXM262128:OXO262205 QBA262128:QBC262205 REO262128:REQ262205 SIC262128:SIE262205 TLQ262128:TLS262205 UPE262128:UPG262205 VSS262128:VSU262205 WWG262128:WWI262205 JU262128:JW262205 ANI262128:ANK262205 BQW262128:BQY262205 CUK262128:CUM262205 DXY262128:DYA262205 FBM262128:FBO262205 GFA262128:GFC262205 HIO262128:HIQ262205 IMC262128:IME262205 JPQ262128:JPS262205 KTE262128:KTG262205 LWS262128:LWU262205 NAG262128:NAI262205 ODU262128:ODW262205 PHI262128:PHK262205 QKW262128:QKY262205 ROK262128:ROM262205 SRY262128:SSA262205 TVM262128:TVO262205 UZA262128:UZC262205 WCO262128:WCQ262205 TQ262128:TS262205 AXE262128:AXG262205 CAS262128:CAU262205 DEG262128:DEI262205 EHU262128:EHW262205 FLI262128:FLK262205 GOW262128:GOY262205 HSK262128:HSM262205 IVY262128:IWA262205 JZM262128:JZO262205 LDA262128:LDC262205 MGO262128:MGQ262205 NKC262128:NKE262205 ONQ262128:ONS262205 PRE262128:PRG262205 QUS262128:QUU262205 RYG262128:RYI262205 TBU262128:TBW262205 UFI262128:UFK262205 VIW262128:VIY262205 WMK262128:WMM262205 Y327664:AA327741 ADM327664:ADO327741 BHA327664:BHC327741 CKO327664:CKQ327741 DOC327664:DOE327741 ERQ327664:ERS327741 FVE327664:FVG327741 GYS327664:GYU327741 ICG327664:ICI327741 JFU327664:JFW327741 KJI327664:KJK327741 LMW327664:LMY327741 MQK327664:MQM327741 NTY327664:NUA327741 OXM327664:OXO327741 QBA327664:QBC327741 REO327664:REQ327741 SIC327664:SIE327741 TLQ327664:TLS327741 UPE327664:UPG327741 VSS327664:VSU327741 WWG327664:WWI327741 JU327664:JW327741 ANI327664:ANK327741 BQW327664:BQY327741 CUK327664:CUM327741 DXY327664:DYA327741 FBM327664:FBO327741 GFA327664:GFC327741 HIO327664:HIQ327741 IMC327664:IME327741 JPQ327664:JPS327741 KTE327664:KTG327741 LWS327664:LWU327741 NAG327664:NAI327741 ODU327664:ODW327741 PHI327664:PHK327741 QKW327664:QKY327741 ROK327664:ROM327741 SRY327664:SSA327741 TVM327664:TVO327741 UZA327664:UZC327741 WCO327664:WCQ327741 TQ327664:TS327741 AXE327664:AXG327741 CAS327664:CAU327741 DEG327664:DEI327741 EHU327664:EHW327741 FLI327664:FLK327741 GOW327664:GOY327741 HSK327664:HSM327741 IVY327664:IWA327741 JZM327664:JZO327741 LDA327664:LDC327741 MGO327664:MGQ327741 NKC327664:NKE327741 ONQ327664:ONS327741 PRE327664:PRG327741 QUS327664:QUU327741 RYG327664:RYI327741 TBU327664:TBW327741 UFI327664:UFK327741 VIW327664:VIY327741 WMK327664:WMM327741 Y393200:AA393277 ADM393200:ADO393277 BHA393200:BHC393277 CKO393200:CKQ393277 DOC393200:DOE393277 ERQ393200:ERS393277 FVE393200:FVG393277 GYS393200:GYU393277 ICG393200:ICI393277 JFU393200:JFW393277 KJI393200:KJK393277 LMW393200:LMY393277 MQK393200:MQM393277 NTY393200:NUA393277 OXM393200:OXO393277 QBA393200:QBC393277 REO393200:REQ393277 SIC393200:SIE393277 TLQ393200:TLS393277 UPE393200:UPG393277 VSS393200:VSU393277 WWG393200:WWI393277 JU393200:JW393277 ANI393200:ANK393277 BQW393200:BQY393277 CUK393200:CUM393277 DXY393200:DYA393277 FBM393200:FBO393277 GFA393200:GFC393277 HIO393200:HIQ393277 IMC393200:IME393277 JPQ393200:JPS393277 KTE393200:KTG393277 LWS393200:LWU393277 NAG393200:NAI393277 ODU393200:ODW393277 PHI393200:PHK393277 QKW393200:QKY393277 ROK393200:ROM393277 SRY393200:SSA393277 TVM393200:TVO393277 UZA393200:UZC393277 WCO393200:WCQ393277 TQ393200:TS393277 AXE393200:AXG393277 CAS393200:CAU393277 DEG393200:DEI393277 EHU393200:EHW393277 FLI393200:FLK393277 GOW393200:GOY393277 HSK393200:HSM393277 IVY393200:IWA393277 JZM393200:JZO393277 LDA393200:LDC393277 MGO393200:MGQ393277 NKC393200:NKE393277 ONQ393200:ONS393277 PRE393200:PRG393277 QUS393200:QUU393277 RYG393200:RYI393277 TBU393200:TBW393277 UFI393200:UFK393277 VIW393200:VIY393277 WMK393200:WMM393277 Y458736:AA458813 ADM458736:ADO458813 BHA458736:BHC458813 CKO458736:CKQ458813 DOC458736:DOE458813 ERQ458736:ERS458813 FVE458736:FVG458813 GYS458736:GYU458813 ICG458736:ICI458813 JFU458736:JFW458813 KJI458736:KJK458813 LMW458736:LMY458813 MQK458736:MQM458813 NTY458736:NUA458813 OXM458736:OXO458813 QBA458736:QBC458813 REO458736:REQ458813 SIC458736:SIE458813 TLQ458736:TLS458813 UPE458736:UPG458813 VSS458736:VSU458813 WWG458736:WWI458813 JU458736:JW458813 ANI458736:ANK458813 BQW458736:BQY458813 CUK458736:CUM458813 DXY458736:DYA458813 FBM458736:FBO458813 GFA458736:GFC458813 HIO458736:HIQ458813 IMC458736:IME458813 JPQ458736:JPS458813 KTE458736:KTG458813 LWS458736:LWU458813 NAG458736:NAI458813 ODU458736:ODW458813 PHI458736:PHK458813 QKW458736:QKY458813 ROK458736:ROM458813 SRY458736:SSA458813 TVM458736:TVO458813 UZA458736:UZC458813 WCO458736:WCQ458813 TQ458736:TS458813 AXE458736:AXG458813 CAS458736:CAU458813 DEG458736:DEI458813 EHU458736:EHW458813 FLI458736:FLK458813 GOW458736:GOY458813 HSK458736:HSM458813 IVY458736:IWA458813 JZM458736:JZO458813 LDA458736:LDC458813 MGO458736:MGQ458813 NKC458736:NKE458813 ONQ458736:ONS458813 PRE458736:PRG458813 QUS458736:QUU458813 RYG458736:RYI458813 TBU458736:TBW458813 UFI458736:UFK458813 VIW458736:VIY458813 WMK458736:WMM458813 Y524272:AA524349 ADM524272:ADO524349 BHA524272:BHC524349 CKO524272:CKQ524349 DOC524272:DOE524349 ERQ524272:ERS524349 FVE524272:FVG524349 GYS524272:GYU524349 ICG524272:ICI524349 JFU524272:JFW524349 KJI524272:KJK524349 LMW524272:LMY524349 MQK524272:MQM524349 NTY524272:NUA524349 OXM524272:OXO524349 QBA524272:QBC524349 REO524272:REQ524349 SIC524272:SIE524349 TLQ524272:TLS524349 UPE524272:UPG524349 VSS524272:VSU524349 WWG524272:WWI524349 JU524272:JW524349 ANI524272:ANK524349 BQW524272:BQY524349 CUK524272:CUM524349 DXY524272:DYA524349 FBM524272:FBO524349 GFA524272:GFC524349 HIO524272:HIQ524349 IMC524272:IME524349 JPQ524272:JPS524349 KTE524272:KTG524349 LWS524272:LWU524349 NAG524272:NAI524349 ODU524272:ODW524349 PHI524272:PHK524349 QKW524272:QKY524349 ROK524272:ROM524349 SRY524272:SSA524349 TVM524272:TVO524349 UZA524272:UZC524349 WCO524272:WCQ524349 TQ524272:TS524349 AXE524272:AXG524349 CAS524272:CAU524349 DEG524272:DEI524349 EHU524272:EHW524349 FLI524272:FLK524349 GOW524272:GOY524349 HSK524272:HSM524349 IVY524272:IWA524349 JZM524272:JZO524349 LDA524272:LDC524349 MGO524272:MGQ524349 NKC524272:NKE524349 ONQ524272:ONS524349 PRE524272:PRG524349 QUS524272:QUU524349 RYG524272:RYI524349 TBU524272:TBW524349 UFI524272:UFK524349 VIW524272:VIY524349 WMK524272:WMM524349 Y589808:AA589885 ADM589808:ADO589885 BHA589808:BHC589885 CKO589808:CKQ589885 DOC589808:DOE589885 ERQ589808:ERS589885 FVE589808:FVG589885 GYS589808:GYU589885 ICG589808:ICI589885 JFU589808:JFW589885 KJI589808:KJK589885 LMW589808:LMY589885 MQK589808:MQM589885 NTY589808:NUA589885 OXM589808:OXO589885 QBA589808:QBC589885 REO589808:REQ589885 SIC589808:SIE589885 TLQ589808:TLS589885 UPE589808:UPG589885 VSS589808:VSU589885 WWG589808:WWI589885 JU589808:JW589885 ANI589808:ANK589885 BQW589808:BQY589885 CUK589808:CUM589885 DXY589808:DYA589885 FBM589808:FBO589885 GFA589808:GFC589885 HIO589808:HIQ589885 IMC589808:IME589885 JPQ589808:JPS589885 KTE589808:KTG589885 LWS589808:LWU589885 NAG589808:NAI589885 ODU589808:ODW589885 PHI589808:PHK589885 QKW589808:QKY589885 ROK589808:ROM589885 SRY589808:SSA589885 TVM589808:TVO589885 UZA589808:UZC589885 WCO589808:WCQ589885 TQ589808:TS589885 AXE589808:AXG589885 CAS589808:CAU589885 DEG589808:DEI589885 EHU589808:EHW589885 FLI589808:FLK589885 GOW589808:GOY589885 HSK589808:HSM589885 IVY589808:IWA589885 JZM589808:JZO589885 LDA589808:LDC589885 MGO589808:MGQ589885 NKC589808:NKE589885 ONQ589808:ONS589885 PRE589808:PRG589885 QUS589808:QUU589885 RYG589808:RYI589885 TBU589808:TBW589885 UFI589808:UFK589885 VIW589808:VIY589885 WMK589808:WMM589885 Y655344:AA655421 ADM655344:ADO655421 BHA655344:BHC655421 CKO655344:CKQ655421 DOC655344:DOE655421 ERQ655344:ERS655421 FVE655344:FVG655421 GYS655344:GYU655421 ICG655344:ICI655421 JFU655344:JFW655421 KJI655344:KJK655421 LMW655344:LMY655421 MQK655344:MQM655421 NTY655344:NUA655421 OXM655344:OXO655421 QBA655344:QBC655421 REO655344:REQ655421 SIC655344:SIE655421 TLQ655344:TLS655421 UPE655344:UPG655421 VSS655344:VSU655421 WWG655344:WWI655421 JU655344:JW655421 ANI655344:ANK655421 BQW655344:BQY655421 CUK655344:CUM655421 DXY655344:DYA655421 FBM655344:FBO655421 GFA655344:GFC655421 HIO655344:HIQ655421 IMC655344:IME655421 JPQ655344:JPS655421 KTE655344:KTG655421 LWS655344:LWU655421 NAG655344:NAI655421 ODU655344:ODW655421 PHI655344:PHK655421 QKW655344:QKY655421 ROK655344:ROM655421 SRY655344:SSA655421 TVM655344:TVO655421 UZA655344:UZC655421 WCO655344:WCQ655421 TQ655344:TS655421 AXE655344:AXG655421 CAS655344:CAU655421 DEG655344:DEI655421 EHU655344:EHW655421 FLI655344:FLK655421 GOW655344:GOY655421 HSK655344:HSM655421 IVY655344:IWA655421 JZM655344:JZO655421 LDA655344:LDC655421 MGO655344:MGQ655421 NKC655344:NKE655421 ONQ655344:ONS655421 PRE655344:PRG655421 QUS655344:QUU655421 RYG655344:RYI655421 TBU655344:TBW655421 UFI655344:UFK655421 VIW655344:VIY655421 WMK655344:WMM655421 Y720880:AA720957 ADM720880:ADO720957 BHA720880:BHC720957 CKO720880:CKQ720957 DOC720880:DOE720957 ERQ720880:ERS720957 FVE720880:FVG720957 GYS720880:GYU720957 ICG720880:ICI720957 JFU720880:JFW720957 KJI720880:KJK720957 LMW720880:LMY720957 MQK720880:MQM720957 NTY720880:NUA720957 OXM720880:OXO720957 QBA720880:QBC720957 REO720880:REQ720957 SIC720880:SIE720957 TLQ720880:TLS720957 UPE720880:UPG720957 VSS720880:VSU720957 WWG720880:WWI720957 JU720880:JW720957 ANI720880:ANK720957 BQW720880:BQY720957 CUK720880:CUM720957 DXY720880:DYA720957 FBM720880:FBO720957 GFA720880:GFC720957 HIO720880:HIQ720957 IMC720880:IME720957 JPQ720880:JPS720957 KTE720880:KTG720957 LWS720880:LWU720957 NAG720880:NAI720957 ODU720880:ODW720957 PHI720880:PHK720957 QKW720880:QKY720957 ROK720880:ROM720957 SRY720880:SSA720957 TVM720880:TVO720957 UZA720880:UZC720957 WCO720880:WCQ720957 TQ720880:TS720957 AXE720880:AXG720957 CAS720880:CAU720957 DEG720880:DEI720957 EHU720880:EHW720957 FLI720880:FLK720957 GOW720880:GOY720957 HSK720880:HSM720957 IVY720880:IWA720957 JZM720880:JZO720957 LDA720880:LDC720957 MGO720880:MGQ720957 NKC720880:NKE720957 ONQ720880:ONS720957 PRE720880:PRG720957 QUS720880:QUU720957 RYG720880:RYI720957 TBU720880:TBW720957 UFI720880:UFK720957 VIW720880:VIY720957 WMK720880:WMM720957 Y786416:AA786493 ADM786416:ADO786493 BHA786416:BHC786493 CKO786416:CKQ786493 DOC786416:DOE786493 ERQ786416:ERS786493 FVE786416:FVG786493 GYS786416:GYU786493 ICG786416:ICI786493 JFU786416:JFW786493 KJI786416:KJK786493 LMW786416:LMY786493 MQK786416:MQM786493 NTY786416:NUA786493 OXM786416:OXO786493 QBA786416:QBC786493 REO786416:REQ786493 SIC786416:SIE786493 TLQ786416:TLS786493 UPE786416:UPG786493 VSS786416:VSU786493 WWG786416:WWI786493 JU786416:JW786493 ANI786416:ANK786493 BQW786416:BQY786493 CUK786416:CUM786493 DXY786416:DYA786493 FBM786416:FBO786493 GFA786416:GFC786493 HIO786416:HIQ786493 IMC786416:IME786493 JPQ786416:JPS786493 KTE786416:KTG786493 LWS786416:LWU786493 NAG786416:NAI786493 ODU786416:ODW786493 PHI786416:PHK786493 QKW786416:QKY786493 ROK786416:ROM786493 SRY786416:SSA786493 TVM786416:TVO786493 UZA786416:UZC786493 WCO786416:WCQ786493 TQ786416:TS786493 AXE786416:AXG786493 CAS786416:CAU786493 DEG786416:DEI786493 EHU786416:EHW786493 FLI786416:FLK786493 GOW786416:GOY786493 HSK786416:HSM786493 IVY786416:IWA786493 JZM786416:JZO786493 LDA786416:LDC786493 MGO786416:MGQ786493 NKC786416:NKE786493 ONQ786416:ONS786493 PRE786416:PRG786493 QUS786416:QUU786493 RYG786416:RYI786493 TBU786416:TBW786493 UFI786416:UFK786493 VIW786416:VIY786493 WMK786416:WMM786493 Y851952:AA852029 ADM851952:ADO852029 BHA851952:BHC852029 CKO851952:CKQ852029 DOC851952:DOE852029 ERQ851952:ERS852029 FVE851952:FVG852029 GYS851952:GYU852029 ICG851952:ICI852029 JFU851952:JFW852029 KJI851952:KJK852029 LMW851952:LMY852029 MQK851952:MQM852029 NTY851952:NUA852029 OXM851952:OXO852029 QBA851952:QBC852029 REO851952:REQ852029 SIC851952:SIE852029 TLQ851952:TLS852029 UPE851952:UPG852029 VSS851952:VSU852029 WWG851952:WWI852029 JU851952:JW852029 ANI851952:ANK852029 BQW851952:BQY852029 CUK851952:CUM852029 DXY851952:DYA852029 FBM851952:FBO852029 GFA851952:GFC852029 HIO851952:HIQ852029 IMC851952:IME852029 JPQ851952:JPS852029 KTE851952:KTG852029 LWS851952:LWU852029 NAG851952:NAI852029 ODU851952:ODW852029 PHI851952:PHK852029 QKW851952:QKY852029 ROK851952:ROM852029 SRY851952:SSA852029 TVM851952:TVO852029 UZA851952:UZC852029 WCO851952:WCQ852029 TQ851952:TS852029 AXE851952:AXG852029 CAS851952:CAU852029 DEG851952:DEI852029 EHU851952:EHW852029 FLI851952:FLK852029 GOW851952:GOY852029 HSK851952:HSM852029 IVY851952:IWA852029 JZM851952:JZO852029 LDA851952:LDC852029 MGO851952:MGQ852029 NKC851952:NKE852029 ONQ851952:ONS852029 PRE851952:PRG852029 QUS851952:QUU852029 RYG851952:RYI852029 TBU851952:TBW852029 UFI851952:UFK852029 VIW851952:VIY852029 WMK851952:WMM852029 Y917488:AA917565 ADM917488:ADO917565 BHA917488:BHC917565 CKO917488:CKQ917565 DOC917488:DOE917565 ERQ917488:ERS917565 FVE917488:FVG917565 GYS917488:GYU917565 ICG917488:ICI917565 JFU917488:JFW917565 KJI917488:KJK917565 LMW917488:LMY917565 MQK917488:MQM917565 NTY917488:NUA917565 OXM917488:OXO917565 QBA917488:QBC917565 REO917488:REQ917565 SIC917488:SIE917565 TLQ917488:TLS917565 UPE917488:UPG917565 VSS917488:VSU917565 WWG917488:WWI917565 JU917488:JW917565 ANI917488:ANK917565 BQW917488:BQY917565 CUK917488:CUM917565 DXY917488:DYA917565 FBM917488:FBO917565 GFA917488:GFC917565 HIO917488:HIQ917565 IMC917488:IME917565 JPQ917488:JPS917565 KTE917488:KTG917565 LWS917488:LWU917565 NAG917488:NAI917565 ODU917488:ODW917565 PHI917488:PHK917565 QKW917488:QKY917565 ROK917488:ROM917565 SRY917488:SSA917565 TVM917488:TVO917565 UZA917488:UZC917565 WCO917488:WCQ917565 TQ917488:TS917565 AXE917488:AXG917565 CAS917488:CAU917565 DEG917488:DEI917565 EHU917488:EHW917565 FLI917488:FLK917565 GOW917488:GOY917565 HSK917488:HSM917565 IVY917488:IWA917565 JZM917488:JZO917565 LDA917488:LDC917565 MGO917488:MGQ917565 NKC917488:NKE917565 ONQ917488:ONS917565 PRE917488:PRG917565 QUS917488:QUU917565 RYG917488:RYI917565 TBU917488:TBW917565 UFI917488:UFK917565 VIW917488:VIY917565 WMK917488:WMM917565 JU983024:JW983101 ANI983024:ANK983101 BQW983024:BQY983101 CUK983024:CUM983101 DXY983024:DYA983101 FBM983024:FBO983101 GFA983024:GFC983101 HIO983024:HIQ983101 IMC983024:IME983101 JPQ983024:JPS983101 KTE983024:KTG983101 LWS983024:LWU983101 NAG983024:NAI983101 ODU983024:ODW983101 PHI983024:PHK983101 QKW983024:QKY983101 ROK983024:ROM983101 SRY983024:SSA983101 TVM983024:TVO983101 UZA983024:UZC983101 WCO983024:WCQ983101 TQ983024:TS983101 AXE983024:AXG983101 CAS983024:CAU983101 DEG983024:DEI983101 EHU983024:EHW983101 FLI983024:FLK983101 GOW983024:GOY983101 HSK983024:HSM983101 IVY983024:IWA983101 JZM983024:JZO983101 LDA983024:LDC983101 MGO983024:MGQ983101 NKC983024:NKE983101 ONQ983024:ONS983101 PRE983024:PRG983101 QUS983024:QUU983101 RYG983024:RYI983101 TBU983024:TBW983101 UFI983024:UFK983101 VIW983024:VIY983101 WMK983024:WMM983101">
      <formula1>$AV$2:$AV$19</formula1>
    </dataValidation>
    <dataValidation type="list" allowBlank="1" showInputMessage="1" showErrorMessage="1" sqref="X2:X482 X65520:X65597 X131056:X131133 X196592:X196669 X262128:X262205 X327664:X327741 X393200:X393277 X458736:X458813 X524272:X524349 X589808:X589885 X655344:X655421 X720880:X720957 X786416:X786493 X851952:X852029 X917488:X917565 X983024:X983101 JT2:JT61 JT65520:JT65597 JT131056:JT131133 JT196592:JT196669 JT262128:JT262205 JT327664:JT327741 JT393200:JT393277 JT458736:JT458813 JT524272:JT524349 JT589808:JT589885 JT655344:JT655421 JT720880:JT720957 JT786416:JT786493 JT851952:JT852029 JT917488:JT917565 JT983024:JT983101 TP2:TP61 TP65520:TP65597 TP131056:TP131133 TP196592:TP196669 TP262128:TP262205 TP327664:TP327741 TP393200:TP393277 TP458736:TP458813 TP524272:TP524349 TP589808:TP589885 TP655344:TP655421 TP720880:TP720957 TP786416:TP786493 TP851952:TP852029 TP917488:TP917565 TP983024:TP983101 ADL2:ADL61 ADL65520:ADL65597 ADL131056:ADL131133 ADL196592:ADL196669 ADL262128:ADL262205 ADL327664:ADL327741 ADL393200:ADL393277 ADL458736:ADL458813 ADL524272:ADL524349 ADL589808:ADL589885 ADL655344:ADL655421 ADL720880:ADL720957 ADL786416:ADL786493 ADL851952:ADL852029 ADL917488:ADL917565 ADL983024:ADL983101 ANH2:ANH61 ANH65520:ANH65597 ANH131056:ANH131133 ANH196592:ANH196669 ANH262128:ANH262205 ANH327664:ANH327741 ANH393200:ANH393277 ANH458736:ANH458813 ANH524272:ANH524349 ANH589808:ANH589885 ANH655344:ANH655421 ANH720880:ANH720957 ANH786416:ANH786493 ANH851952:ANH852029 ANH917488:ANH917565 ANH983024:ANH983101 AXD2:AXD61 AXD65520:AXD65597 AXD131056:AXD131133 AXD196592:AXD196669 AXD262128:AXD262205 AXD327664:AXD327741 AXD393200:AXD393277 AXD458736:AXD458813 AXD524272:AXD524349 AXD589808:AXD589885 AXD655344:AXD655421 AXD720880:AXD720957 AXD786416:AXD786493 AXD851952:AXD852029 AXD917488:AXD917565 AXD983024:AXD983101 BGZ2:BGZ61 BGZ65520:BGZ65597 BGZ131056:BGZ131133 BGZ196592:BGZ196669 BGZ262128:BGZ262205 BGZ327664:BGZ327741 BGZ393200:BGZ393277 BGZ458736:BGZ458813 BGZ524272:BGZ524349 BGZ589808:BGZ589885 BGZ655344:BGZ655421 BGZ720880:BGZ720957 BGZ786416:BGZ786493 BGZ851952:BGZ852029 BGZ917488:BGZ917565 BGZ983024:BGZ983101 BQV2:BQV61 BQV65520:BQV65597 BQV131056:BQV131133 BQV196592:BQV196669 BQV262128:BQV262205 BQV327664:BQV327741 BQV393200:BQV393277 BQV458736:BQV458813 BQV524272:BQV524349 BQV589808:BQV589885 BQV655344:BQV655421 BQV720880:BQV720957 BQV786416:BQV786493 BQV851952:BQV852029 BQV917488:BQV917565 BQV983024:BQV983101 CAR2:CAR61 CAR65520:CAR65597 CAR131056:CAR131133 CAR196592:CAR196669 CAR262128:CAR262205 CAR327664:CAR327741 CAR393200:CAR393277 CAR458736:CAR458813 CAR524272:CAR524349 CAR589808:CAR589885 CAR655344:CAR655421 CAR720880:CAR720957 CAR786416:CAR786493 CAR851952:CAR852029 CAR917488:CAR917565 CAR983024:CAR983101 CKN2:CKN61 CKN65520:CKN65597 CKN131056:CKN131133 CKN196592:CKN196669 CKN262128:CKN262205 CKN327664:CKN327741 CKN393200:CKN393277 CKN458736:CKN458813 CKN524272:CKN524349 CKN589808:CKN589885 CKN655344:CKN655421 CKN720880:CKN720957 CKN786416:CKN786493 CKN851952:CKN852029 CKN917488:CKN917565 CKN983024:CKN983101 CUJ2:CUJ61 CUJ65520:CUJ65597 CUJ131056:CUJ131133 CUJ196592:CUJ196669 CUJ262128:CUJ262205 CUJ327664:CUJ327741 CUJ393200:CUJ393277 CUJ458736:CUJ458813 CUJ524272:CUJ524349 CUJ589808:CUJ589885 CUJ655344:CUJ655421 CUJ720880:CUJ720957 CUJ786416:CUJ786493 CUJ851952:CUJ852029 CUJ917488:CUJ917565 CUJ983024:CUJ983101 DEF2:DEF61 DEF65520:DEF65597 DEF131056:DEF131133 DEF196592:DEF196669 DEF262128:DEF262205 DEF327664:DEF327741 DEF393200:DEF393277 DEF458736:DEF458813 DEF524272:DEF524349 DEF589808:DEF589885 DEF655344:DEF655421 DEF720880:DEF720957 DEF786416:DEF786493 DEF851952:DEF852029 DEF917488:DEF917565 DEF983024:DEF983101 DOB2:DOB61 DOB65520:DOB65597 DOB131056:DOB131133 DOB196592:DOB196669 DOB262128:DOB262205 DOB327664:DOB327741 DOB393200:DOB393277 DOB458736:DOB458813 DOB524272:DOB524349 DOB589808:DOB589885 DOB655344:DOB655421 DOB720880:DOB720957 DOB786416:DOB786493 DOB851952:DOB852029 DOB917488:DOB917565 DOB983024:DOB983101 DXX2:DXX61 DXX65520:DXX65597 DXX131056:DXX131133 DXX196592:DXX196669 DXX262128:DXX262205 DXX327664:DXX327741 DXX393200:DXX393277 DXX458736:DXX458813 DXX524272:DXX524349 DXX589808:DXX589885 DXX655344:DXX655421 DXX720880:DXX720957 DXX786416:DXX786493 DXX851952:DXX852029 DXX917488:DXX917565 DXX983024:DXX983101 EHT2:EHT61 EHT65520:EHT65597 EHT131056:EHT131133 EHT196592:EHT196669 EHT262128:EHT262205 EHT327664:EHT327741 EHT393200:EHT393277 EHT458736:EHT458813 EHT524272:EHT524349 EHT589808:EHT589885 EHT655344:EHT655421 EHT720880:EHT720957 EHT786416:EHT786493 EHT851952:EHT852029 EHT917488:EHT917565 EHT983024:EHT983101 ERP2:ERP61 ERP65520:ERP65597 ERP131056:ERP131133 ERP196592:ERP196669 ERP262128:ERP262205 ERP327664:ERP327741 ERP393200:ERP393277 ERP458736:ERP458813 ERP524272:ERP524349 ERP589808:ERP589885 ERP655344:ERP655421 ERP720880:ERP720957 ERP786416:ERP786493 ERP851952:ERP852029 ERP917488:ERP917565 ERP983024:ERP983101 FBL2:FBL61 FBL65520:FBL65597 FBL131056:FBL131133 FBL196592:FBL196669 FBL262128:FBL262205 FBL327664:FBL327741 FBL393200:FBL393277 FBL458736:FBL458813 FBL524272:FBL524349 FBL589808:FBL589885 FBL655344:FBL655421 FBL720880:FBL720957 FBL786416:FBL786493 FBL851952:FBL852029 FBL917488:FBL917565 FBL983024:FBL983101 FLH2:FLH61 FLH65520:FLH65597 FLH131056:FLH131133 FLH196592:FLH196669 FLH262128:FLH262205 FLH327664:FLH327741 FLH393200:FLH393277 FLH458736:FLH458813 FLH524272:FLH524349 FLH589808:FLH589885 FLH655344:FLH655421 FLH720880:FLH720957 FLH786416:FLH786493 FLH851952:FLH852029 FLH917488:FLH917565 FLH983024:FLH983101 FVD2:FVD61 FVD65520:FVD65597 FVD131056:FVD131133 FVD196592:FVD196669 FVD262128:FVD262205 FVD327664:FVD327741 FVD393200:FVD393277 FVD458736:FVD458813 FVD524272:FVD524349 FVD589808:FVD589885 FVD655344:FVD655421 FVD720880:FVD720957 FVD786416:FVD786493 FVD851952:FVD852029 FVD917488:FVD917565 FVD983024:FVD983101 GEZ2:GEZ61 GEZ65520:GEZ65597 GEZ131056:GEZ131133 GEZ196592:GEZ196669 GEZ262128:GEZ262205 GEZ327664:GEZ327741 GEZ393200:GEZ393277 GEZ458736:GEZ458813 GEZ524272:GEZ524349 GEZ589808:GEZ589885 GEZ655344:GEZ655421 GEZ720880:GEZ720957 GEZ786416:GEZ786493 GEZ851952:GEZ852029 GEZ917488:GEZ917565 GEZ983024:GEZ983101 GOV2:GOV61 GOV65520:GOV65597 GOV131056:GOV131133 GOV196592:GOV196669 GOV262128:GOV262205 GOV327664:GOV327741 GOV393200:GOV393277 GOV458736:GOV458813 GOV524272:GOV524349 GOV589808:GOV589885 GOV655344:GOV655421 GOV720880:GOV720957 GOV786416:GOV786493 GOV851952:GOV852029 GOV917488:GOV917565 GOV983024:GOV983101 GYR2:GYR61 GYR65520:GYR65597 GYR131056:GYR131133 GYR196592:GYR196669 GYR262128:GYR262205 GYR327664:GYR327741 GYR393200:GYR393277 GYR458736:GYR458813 GYR524272:GYR524349 GYR589808:GYR589885 GYR655344:GYR655421 GYR720880:GYR720957 GYR786416:GYR786493 GYR851952:GYR852029 GYR917488:GYR917565 GYR983024:GYR983101 HIN2:HIN61 HIN65520:HIN65597 HIN131056:HIN131133 HIN196592:HIN196669 HIN262128:HIN262205 HIN327664:HIN327741 HIN393200:HIN393277 HIN458736:HIN458813 HIN524272:HIN524349 HIN589808:HIN589885 HIN655344:HIN655421 HIN720880:HIN720957 HIN786416:HIN786493 HIN851952:HIN852029 HIN917488:HIN917565 HIN983024:HIN983101 HSJ2:HSJ61 HSJ65520:HSJ65597 HSJ131056:HSJ131133 HSJ196592:HSJ196669 HSJ262128:HSJ262205 HSJ327664:HSJ327741 HSJ393200:HSJ393277 HSJ458736:HSJ458813 HSJ524272:HSJ524349 HSJ589808:HSJ589885 HSJ655344:HSJ655421 HSJ720880:HSJ720957 HSJ786416:HSJ786493 HSJ851952:HSJ852029 HSJ917488:HSJ917565 HSJ983024:HSJ983101 ICF2:ICF61 ICF65520:ICF65597 ICF131056:ICF131133 ICF196592:ICF196669 ICF262128:ICF262205 ICF327664:ICF327741 ICF393200:ICF393277 ICF458736:ICF458813 ICF524272:ICF524349 ICF589808:ICF589885 ICF655344:ICF655421 ICF720880:ICF720957 ICF786416:ICF786493 ICF851952:ICF852029 ICF917488:ICF917565 ICF983024:ICF983101 IMB2:IMB61 IMB65520:IMB65597 IMB131056:IMB131133 IMB196592:IMB196669 IMB262128:IMB262205 IMB327664:IMB327741 IMB393200:IMB393277 IMB458736:IMB458813 IMB524272:IMB524349 IMB589808:IMB589885 IMB655344:IMB655421 IMB720880:IMB720957 IMB786416:IMB786493 IMB851952:IMB852029 IMB917488:IMB917565 IMB983024:IMB983101 IVX2:IVX61 IVX65520:IVX65597 IVX131056:IVX131133 IVX196592:IVX196669 IVX262128:IVX262205 IVX327664:IVX327741 IVX393200:IVX393277 IVX458736:IVX458813 IVX524272:IVX524349 IVX589808:IVX589885 IVX655344:IVX655421 IVX720880:IVX720957 IVX786416:IVX786493 IVX851952:IVX852029 IVX917488:IVX917565 IVX983024:IVX983101 JFT2:JFT61 JFT65520:JFT65597 JFT131056:JFT131133 JFT196592:JFT196669 JFT262128:JFT262205 JFT327664:JFT327741 JFT393200:JFT393277 JFT458736:JFT458813 JFT524272:JFT524349 JFT589808:JFT589885 JFT655344:JFT655421 JFT720880:JFT720957 JFT786416:JFT786493 JFT851952:JFT852029 JFT917488:JFT917565 JFT983024:JFT983101 JPP2:JPP61 JPP65520:JPP65597 JPP131056:JPP131133 JPP196592:JPP196669 JPP262128:JPP262205 JPP327664:JPP327741 JPP393200:JPP393277 JPP458736:JPP458813 JPP524272:JPP524349 JPP589808:JPP589885 JPP655344:JPP655421 JPP720880:JPP720957 JPP786416:JPP786493 JPP851952:JPP852029 JPP917488:JPP917565 JPP983024:JPP983101 JZL2:JZL61 JZL65520:JZL65597 JZL131056:JZL131133 JZL196592:JZL196669 JZL262128:JZL262205 JZL327664:JZL327741 JZL393200:JZL393277 JZL458736:JZL458813 JZL524272:JZL524349 JZL589808:JZL589885 JZL655344:JZL655421 JZL720880:JZL720957 JZL786416:JZL786493 JZL851952:JZL852029 JZL917488:JZL917565 JZL983024:JZL983101 KJH2:KJH61 KJH65520:KJH65597 KJH131056:KJH131133 KJH196592:KJH196669 KJH262128:KJH262205 KJH327664:KJH327741 KJH393200:KJH393277 KJH458736:KJH458813 KJH524272:KJH524349 KJH589808:KJH589885 KJH655344:KJH655421 KJH720880:KJH720957 KJH786416:KJH786493 KJH851952:KJH852029 KJH917488:KJH917565 KJH983024:KJH983101 KTD2:KTD61 KTD65520:KTD65597 KTD131056:KTD131133 KTD196592:KTD196669 KTD262128:KTD262205 KTD327664:KTD327741 KTD393200:KTD393277 KTD458736:KTD458813 KTD524272:KTD524349 KTD589808:KTD589885 KTD655344:KTD655421 KTD720880:KTD720957 KTD786416:KTD786493 KTD851952:KTD852029 KTD917488:KTD917565 KTD983024:KTD983101 LCZ2:LCZ61 LCZ65520:LCZ65597 LCZ131056:LCZ131133 LCZ196592:LCZ196669 LCZ262128:LCZ262205 LCZ327664:LCZ327741 LCZ393200:LCZ393277 LCZ458736:LCZ458813 LCZ524272:LCZ524349 LCZ589808:LCZ589885 LCZ655344:LCZ655421 LCZ720880:LCZ720957 LCZ786416:LCZ786493 LCZ851952:LCZ852029 LCZ917488:LCZ917565 LCZ983024:LCZ983101 LMV2:LMV61 LMV65520:LMV65597 LMV131056:LMV131133 LMV196592:LMV196669 LMV262128:LMV262205 LMV327664:LMV327741 LMV393200:LMV393277 LMV458736:LMV458813 LMV524272:LMV524349 LMV589808:LMV589885 LMV655344:LMV655421 LMV720880:LMV720957 LMV786416:LMV786493 LMV851952:LMV852029 LMV917488:LMV917565 LMV983024:LMV983101 LWR2:LWR61 LWR65520:LWR65597 LWR131056:LWR131133 LWR196592:LWR196669 LWR262128:LWR262205 LWR327664:LWR327741 LWR393200:LWR393277 LWR458736:LWR458813 LWR524272:LWR524349 LWR589808:LWR589885 LWR655344:LWR655421 LWR720880:LWR720957 LWR786416:LWR786493 LWR851952:LWR852029 LWR917488:LWR917565 LWR983024:LWR983101 MGN2:MGN61 MGN65520:MGN65597 MGN131056:MGN131133 MGN196592:MGN196669 MGN262128:MGN262205 MGN327664:MGN327741 MGN393200:MGN393277 MGN458736:MGN458813 MGN524272:MGN524349 MGN589808:MGN589885 MGN655344:MGN655421 MGN720880:MGN720957 MGN786416:MGN786493 MGN851952:MGN852029 MGN917488:MGN917565 MGN983024:MGN983101 MQJ2:MQJ61 MQJ65520:MQJ65597 MQJ131056:MQJ131133 MQJ196592:MQJ196669 MQJ262128:MQJ262205 MQJ327664:MQJ327741 MQJ393200:MQJ393277 MQJ458736:MQJ458813 MQJ524272:MQJ524349 MQJ589808:MQJ589885 MQJ655344:MQJ655421 MQJ720880:MQJ720957 MQJ786416:MQJ786493 MQJ851952:MQJ852029 MQJ917488:MQJ917565 MQJ983024:MQJ983101 NAF2:NAF61 NAF65520:NAF65597 NAF131056:NAF131133 NAF196592:NAF196669 NAF262128:NAF262205 NAF327664:NAF327741 NAF393200:NAF393277 NAF458736:NAF458813 NAF524272:NAF524349 NAF589808:NAF589885 NAF655344:NAF655421 NAF720880:NAF720957 NAF786416:NAF786493 NAF851952:NAF852029 NAF917488:NAF917565 NAF983024:NAF983101 NKB2:NKB61 NKB65520:NKB65597 NKB131056:NKB131133 NKB196592:NKB196669 NKB262128:NKB262205 NKB327664:NKB327741 NKB393200:NKB393277 NKB458736:NKB458813 NKB524272:NKB524349 NKB589808:NKB589885 NKB655344:NKB655421 NKB720880:NKB720957 NKB786416:NKB786493 NKB851952:NKB852029 NKB917488:NKB917565 NKB983024:NKB983101 NTX2:NTX61 NTX65520:NTX65597 NTX131056:NTX131133 NTX196592:NTX196669 NTX262128:NTX262205 NTX327664:NTX327741 NTX393200:NTX393277 NTX458736:NTX458813 NTX524272:NTX524349 NTX589808:NTX589885 NTX655344:NTX655421 NTX720880:NTX720957 NTX786416:NTX786493 NTX851952:NTX852029 NTX917488:NTX917565 NTX983024:NTX983101 ODT2:ODT61 ODT65520:ODT65597 ODT131056:ODT131133 ODT196592:ODT196669 ODT262128:ODT262205 ODT327664:ODT327741 ODT393200:ODT393277 ODT458736:ODT458813 ODT524272:ODT524349 ODT589808:ODT589885 ODT655344:ODT655421 ODT720880:ODT720957 ODT786416:ODT786493 ODT851952:ODT852029 ODT917488:ODT917565 ODT983024:ODT983101 ONP2:ONP61 ONP65520:ONP65597 ONP131056:ONP131133 ONP196592:ONP196669 ONP262128:ONP262205 ONP327664:ONP327741 ONP393200:ONP393277 ONP458736:ONP458813 ONP524272:ONP524349 ONP589808:ONP589885 ONP655344:ONP655421 ONP720880:ONP720957 ONP786416:ONP786493 ONP851952:ONP852029 ONP917488:ONP917565 ONP983024:ONP983101 OXL2:OXL61 OXL65520:OXL65597 OXL131056:OXL131133 OXL196592:OXL196669 OXL262128:OXL262205 OXL327664:OXL327741 OXL393200:OXL393277 OXL458736:OXL458813 OXL524272:OXL524349 OXL589808:OXL589885 OXL655344:OXL655421 OXL720880:OXL720957 OXL786416:OXL786493 OXL851952:OXL852029 OXL917488:OXL917565 OXL983024:OXL983101 PHH2:PHH61 PHH65520:PHH65597 PHH131056:PHH131133 PHH196592:PHH196669 PHH262128:PHH262205 PHH327664:PHH327741 PHH393200:PHH393277 PHH458736:PHH458813 PHH524272:PHH524349 PHH589808:PHH589885 PHH655344:PHH655421 PHH720880:PHH720957 PHH786416:PHH786493 PHH851952:PHH852029 PHH917488:PHH917565 PHH983024:PHH983101 PRD2:PRD61 PRD65520:PRD65597 PRD131056:PRD131133 PRD196592:PRD196669 PRD262128:PRD262205 PRD327664:PRD327741 PRD393200:PRD393277 PRD458736:PRD458813 PRD524272:PRD524349 PRD589808:PRD589885 PRD655344:PRD655421 PRD720880:PRD720957 PRD786416:PRD786493 PRD851952:PRD852029 PRD917488:PRD917565 PRD983024:PRD983101 QAZ2:QAZ61 QAZ65520:QAZ65597 QAZ131056:QAZ131133 QAZ196592:QAZ196669 QAZ262128:QAZ262205 QAZ327664:QAZ327741 QAZ393200:QAZ393277 QAZ458736:QAZ458813 QAZ524272:QAZ524349 QAZ589808:QAZ589885 QAZ655344:QAZ655421 QAZ720880:QAZ720957 QAZ786416:QAZ786493 QAZ851952:QAZ852029 QAZ917488:QAZ917565 QAZ983024:QAZ983101 QKV2:QKV61 QKV65520:QKV65597 QKV131056:QKV131133 QKV196592:QKV196669 QKV262128:QKV262205 QKV327664:QKV327741 QKV393200:QKV393277 QKV458736:QKV458813 QKV524272:QKV524349 QKV589808:QKV589885 QKV655344:QKV655421 QKV720880:QKV720957 QKV786416:QKV786493 QKV851952:QKV852029 QKV917488:QKV917565 QKV983024:QKV983101 QUR2:QUR61 QUR65520:QUR65597 QUR131056:QUR131133 QUR196592:QUR196669 QUR262128:QUR262205 QUR327664:QUR327741 QUR393200:QUR393277 QUR458736:QUR458813 QUR524272:QUR524349 QUR589808:QUR589885 QUR655344:QUR655421 QUR720880:QUR720957 QUR786416:QUR786493 QUR851952:QUR852029 QUR917488:QUR917565 QUR983024:QUR983101 REN2:REN61 REN65520:REN65597 REN131056:REN131133 REN196592:REN196669 REN262128:REN262205 REN327664:REN327741 REN393200:REN393277 REN458736:REN458813 REN524272:REN524349 REN589808:REN589885 REN655344:REN655421 REN720880:REN720957 REN786416:REN786493 REN851952:REN852029 REN917488:REN917565 REN983024:REN983101 ROJ2:ROJ61 ROJ65520:ROJ65597 ROJ131056:ROJ131133 ROJ196592:ROJ196669 ROJ262128:ROJ262205 ROJ327664:ROJ327741 ROJ393200:ROJ393277 ROJ458736:ROJ458813 ROJ524272:ROJ524349 ROJ589808:ROJ589885 ROJ655344:ROJ655421 ROJ720880:ROJ720957 ROJ786416:ROJ786493 ROJ851952:ROJ852029 ROJ917488:ROJ917565 ROJ983024:ROJ983101 RYF2:RYF61 RYF65520:RYF65597 RYF131056:RYF131133 RYF196592:RYF196669 RYF262128:RYF262205 RYF327664:RYF327741 RYF393200:RYF393277 RYF458736:RYF458813 RYF524272:RYF524349 RYF589808:RYF589885 RYF655344:RYF655421 RYF720880:RYF720957 RYF786416:RYF786493 RYF851952:RYF852029 RYF917488:RYF917565 RYF983024:RYF983101 SIB2:SIB61 SIB65520:SIB65597 SIB131056:SIB131133 SIB196592:SIB196669 SIB262128:SIB262205 SIB327664:SIB327741 SIB393200:SIB393277 SIB458736:SIB458813 SIB524272:SIB524349 SIB589808:SIB589885 SIB655344:SIB655421 SIB720880:SIB720957 SIB786416:SIB786493 SIB851952:SIB852029 SIB917488:SIB917565 SIB983024:SIB983101 SRX2:SRX61 SRX65520:SRX65597 SRX131056:SRX131133 SRX196592:SRX196669 SRX262128:SRX262205 SRX327664:SRX327741 SRX393200:SRX393277 SRX458736:SRX458813 SRX524272:SRX524349 SRX589808:SRX589885 SRX655344:SRX655421 SRX720880:SRX720957 SRX786416:SRX786493 SRX851952:SRX852029 SRX917488:SRX917565 SRX983024:SRX983101 TBT2:TBT61 TBT65520:TBT65597 TBT131056:TBT131133 TBT196592:TBT196669 TBT262128:TBT262205 TBT327664:TBT327741 TBT393200:TBT393277 TBT458736:TBT458813 TBT524272:TBT524349 TBT589808:TBT589885 TBT655344:TBT655421 TBT720880:TBT720957 TBT786416:TBT786493 TBT851952:TBT852029 TBT917488:TBT917565 TBT983024:TBT983101 TLP2:TLP61 TLP65520:TLP65597 TLP131056:TLP131133 TLP196592:TLP196669 TLP262128:TLP262205 TLP327664:TLP327741 TLP393200:TLP393277 TLP458736:TLP458813 TLP524272:TLP524349 TLP589808:TLP589885 TLP655344:TLP655421 TLP720880:TLP720957 TLP786416:TLP786493 TLP851952:TLP852029 TLP917488:TLP917565 TLP983024:TLP983101 TVL2:TVL61 TVL65520:TVL65597 TVL131056:TVL131133 TVL196592:TVL196669 TVL262128:TVL262205 TVL327664:TVL327741 TVL393200:TVL393277 TVL458736:TVL458813 TVL524272:TVL524349 TVL589808:TVL589885 TVL655344:TVL655421 TVL720880:TVL720957 TVL786416:TVL786493 TVL851952:TVL852029 TVL917488:TVL917565 TVL983024:TVL983101 UFH2:UFH61 UFH65520:UFH65597 UFH131056:UFH131133 UFH196592:UFH196669 UFH262128:UFH262205 UFH327664:UFH327741 UFH393200:UFH393277 UFH458736:UFH458813 UFH524272:UFH524349 UFH589808:UFH589885 UFH655344:UFH655421 UFH720880:UFH720957 UFH786416:UFH786493 UFH851952:UFH852029 UFH917488:UFH917565 UFH983024:UFH983101 UPD2:UPD61 UPD65520:UPD65597 UPD131056:UPD131133 UPD196592:UPD196669 UPD262128:UPD262205 UPD327664:UPD327741 UPD393200:UPD393277 UPD458736:UPD458813 UPD524272:UPD524349 UPD589808:UPD589885 UPD655344:UPD655421 UPD720880:UPD720957 UPD786416:UPD786493 UPD851952:UPD852029 UPD917488:UPD917565 UPD983024:UPD983101 UYZ2:UYZ61 UYZ65520:UYZ65597 UYZ131056:UYZ131133 UYZ196592:UYZ196669 UYZ262128:UYZ262205 UYZ327664:UYZ327741 UYZ393200:UYZ393277 UYZ458736:UYZ458813 UYZ524272:UYZ524349 UYZ589808:UYZ589885 UYZ655344:UYZ655421 UYZ720880:UYZ720957 UYZ786416:UYZ786493 UYZ851952:UYZ852029 UYZ917488:UYZ917565 UYZ983024:UYZ983101 VIV2:VIV61 VIV65520:VIV65597 VIV131056:VIV131133 VIV196592:VIV196669 VIV262128:VIV262205 VIV327664:VIV327741 VIV393200:VIV393277 VIV458736:VIV458813 VIV524272:VIV524349 VIV589808:VIV589885 VIV655344:VIV655421 VIV720880:VIV720957 VIV786416:VIV786493 VIV851952:VIV852029 VIV917488:VIV917565 VIV983024:VIV983101 VSR2:VSR61 VSR65520:VSR65597 VSR131056:VSR131133 VSR196592:VSR196669 VSR262128:VSR262205 VSR327664:VSR327741 VSR393200:VSR393277 VSR458736:VSR458813 VSR524272:VSR524349 VSR589808:VSR589885 VSR655344:VSR655421 VSR720880:VSR720957 VSR786416:VSR786493 VSR851952:VSR852029 VSR917488:VSR917565 VSR983024:VSR983101 WCN2:WCN61 WCN65520:WCN65597 WCN131056:WCN131133 WCN196592:WCN196669 WCN262128:WCN262205 WCN327664:WCN327741 WCN393200:WCN393277 WCN458736:WCN458813 WCN524272:WCN524349 WCN589808:WCN589885 WCN655344:WCN655421 WCN720880:WCN720957 WCN786416:WCN786493 WCN851952:WCN852029 WCN917488:WCN917565 WCN983024:WCN983101 WMJ2:WMJ61 WMJ65520:WMJ65597 WMJ131056:WMJ131133 WMJ196592:WMJ196669 WMJ262128:WMJ262205 WMJ327664:WMJ327741 WMJ393200:WMJ393277 WMJ458736:WMJ458813 WMJ524272:WMJ524349 WMJ589808:WMJ589885 WMJ655344:WMJ655421 WMJ720880:WMJ720957 WMJ786416:WMJ786493 WMJ851952:WMJ852029 WMJ917488:WMJ917565 WMJ983024:WMJ983101 WWF2:WWF61 WWF65520:WWF65597 WWF131056:WWF131133 WWF196592:WWF196669 WWF262128:WWF262205 WWF327664:WWF327741 WWF393200:WWF393277 WWF458736:WWF458813 WWF524272:WWF524349 WWF589808:WWF589885 WWF655344:WWF655421 WWF720880:WWF720957 WWF786416:WWF786493 WWF851952:WWF852029 WWF917488:WWF917565 WWF983024:WWF983101">
      <formula1>$AT$2:$AT$3</formula1>
    </dataValidation>
    <dataValidation type="list" allowBlank="1" showInputMessage="1" showErrorMessage="1" sqref="F2:F713 F65520:F65597 F131056:F131133 F196592:F196669 F262128:F262205 F327664:F327741 F393200:F393277 F458736:F458813 F524272:F524349 F589808:F589885 F655344:F655421 F720880:F720957 F786416:F786493 F851952:F852029 F917488:F917565 F983024:F983101 JB2:JB61 JB65520:JB65597 JB131056:JB131133 JB196592:JB196669 JB262128:JB262205 JB327664:JB327741 JB393200:JB393277 JB458736:JB458813 JB524272:JB524349 JB589808:JB589885 JB655344:JB655421 JB720880:JB720957 JB786416:JB786493 JB851952:JB852029 JB917488:JB917565 JB983024:JB983101 SX2:SX61 SX65520:SX65597 SX131056:SX131133 SX196592:SX196669 SX262128:SX262205 SX327664:SX327741 SX393200:SX393277 SX458736:SX458813 SX524272:SX524349 SX589808:SX589885 SX655344:SX655421 SX720880:SX720957 SX786416:SX786493 SX851952:SX852029 SX917488:SX917565 SX983024:SX983101 ACT2:ACT61 ACT65520:ACT65597 ACT131056:ACT131133 ACT196592:ACT196669 ACT262128:ACT262205 ACT327664:ACT327741 ACT393200:ACT393277 ACT458736:ACT458813 ACT524272:ACT524349 ACT589808:ACT589885 ACT655344:ACT655421 ACT720880:ACT720957 ACT786416:ACT786493 ACT851952:ACT852029 ACT917488:ACT917565 ACT983024:ACT983101 AMP2:AMP61 AMP65520:AMP65597 AMP131056:AMP131133 AMP196592:AMP196669 AMP262128:AMP262205 AMP327664:AMP327741 AMP393200:AMP393277 AMP458736:AMP458813 AMP524272:AMP524349 AMP589808:AMP589885 AMP655344:AMP655421 AMP720880:AMP720957 AMP786416:AMP786493 AMP851952:AMP852029 AMP917488:AMP917565 AMP983024:AMP983101 AWL2:AWL61 AWL65520:AWL65597 AWL131056:AWL131133 AWL196592:AWL196669 AWL262128:AWL262205 AWL327664:AWL327741 AWL393200:AWL393277 AWL458736:AWL458813 AWL524272:AWL524349 AWL589808:AWL589885 AWL655344:AWL655421 AWL720880:AWL720957 AWL786416:AWL786493 AWL851952:AWL852029 AWL917488:AWL917565 AWL983024:AWL983101 BGH2:BGH61 BGH65520:BGH65597 BGH131056:BGH131133 BGH196592:BGH196669 BGH262128:BGH262205 BGH327664:BGH327741 BGH393200:BGH393277 BGH458736:BGH458813 BGH524272:BGH524349 BGH589808:BGH589885 BGH655344:BGH655421 BGH720880:BGH720957 BGH786416:BGH786493 BGH851952:BGH852029 BGH917488:BGH917565 BGH983024:BGH983101 BQD2:BQD61 BQD65520:BQD65597 BQD131056:BQD131133 BQD196592:BQD196669 BQD262128:BQD262205 BQD327664:BQD327741 BQD393200:BQD393277 BQD458736:BQD458813 BQD524272:BQD524349 BQD589808:BQD589885 BQD655344:BQD655421 BQD720880:BQD720957 BQD786416:BQD786493 BQD851952:BQD852029 BQD917488:BQD917565 BQD983024:BQD983101 BZZ2:BZZ61 BZZ65520:BZZ65597 BZZ131056:BZZ131133 BZZ196592:BZZ196669 BZZ262128:BZZ262205 BZZ327664:BZZ327741 BZZ393200:BZZ393277 BZZ458736:BZZ458813 BZZ524272:BZZ524349 BZZ589808:BZZ589885 BZZ655344:BZZ655421 BZZ720880:BZZ720957 BZZ786416:BZZ786493 BZZ851952:BZZ852029 BZZ917488:BZZ917565 BZZ983024:BZZ983101 CJV2:CJV61 CJV65520:CJV65597 CJV131056:CJV131133 CJV196592:CJV196669 CJV262128:CJV262205 CJV327664:CJV327741 CJV393200:CJV393277 CJV458736:CJV458813 CJV524272:CJV524349 CJV589808:CJV589885 CJV655344:CJV655421 CJV720880:CJV720957 CJV786416:CJV786493 CJV851952:CJV852029 CJV917488:CJV917565 CJV983024:CJV983101 CTR2:CTR61 CTR65520:CTR65597 CTR131056:CTR131133 CTR196592:CTR196669 CTR262128:CTR262205 CTR327664:CTR327741 CTR393200:CTR393277 CTR458736:CTR458813 CTR524272:CTR524349 CTR589808:CTR589885 CTR655344:CTR655421 CTR720880:CTR720957 CTR786416:CTR786493 CTR851952:CTR852029 CTR917488:CTR917565 CTR983024:CTR983101 DDN2:DDN61 DDN65520:DDN65597 DDN131056:DDN131133 DDN196592:DDN196669 DDN262128:DDN262205 DDN327664:DDN327741 DDN393200:DDN393277 DDN458736:DDN458813 DDN524272:DDN524349 DDN589808:DDN589885 DDN655344:DDN655421 DDN720880:DDN720957 DDN786416:DDN786493 DDN851952:DDN852029 DDN917488:DDN917565 DDN983024:DDN983101 DNJ2:DNJ61 DNJ65520:DNJ65597 DNJ131056:DNJ131133 DNJ196592:DNJ196669 DNJ262128:DNJ262205 DNJ327664:DNJ327741 DNJ393200:DNJ393277 DNJ458736:DNJ458813 DNJ524272:DNJ524349 DNJ589808:DNJ589885 DNJ655344:DNJ655421 DNJ720880:DNJ720957 DNJ786416:DNJ786493 DNJ851952:DNJ852029 DNJ917488:DNJ917565 DNJ983024:DNJ983101 DXF2:DXF61 DXF65520:DXF65597 DXF131056:DXF131133 DXF196592:DXF196669 DXF262128:DXF262205 DXF327664:DXF327741 DXF393200:DXF393277 DXF458736:DXF458813 DXF524272:DXF524349 DXF589808:DXF589885 DXF655344:DXF655421 DXF720880:DXF720957 DXF786416:DXF786493 DXF851952:DXF852029 DXF917488:DXF917565 DXF983024:DXF983101 EHB2:EHB61 EHB65520:EHB65597 EHB131056:EHB131133 EHB196592:EHB196669 EHB262128:EHB262205 EHB327664:EHB327741 EHB393200:EHB393277 EHB458736:EHB458813 EHB524272:EHB524349 EHB589808:EHB589885 EHB655344:EHB655421 EHB720880:EHB720957 EHB786416:EHB786493 EHB851952:EHB852029 EHB917488:EHB917565 EHB983024:EHB983101 EQX2:EQX61 EQX65520:EQX65597 EQX131056:EQX131133 EQX196592:EQX196669 EQX262128:EQX262205 EQX327664:EQX327741 EQX393200:EQX393277 EQX458736:EQX458813 EQX524272:EQX524349 EQX589808:EQX589885 EQX655344:EQX655421 EQX720880:EQX720957 EQX786416:EQX786493 EQX851952:EQX852029 EQX917488:EQX917565 EQX983024:EQX983101 FAT2:FAT61 FAT65520:FAT65597 FAT131056:FAT131133 FAT196592:FAT196669 FAT262128:FAT262205 FAT327664:FAT327741 FAT393200:FAT393277 FAT458736:FAT458813 FAT524272:FAT524349 FAT589808:FAT589885 FAT655344:FAT655421 FAT720880:FAT720957 FAT786416:FAT786493 FAT851952:FAT852029 FAT917488:FAT917565 FAT983024:FAT983101 FKP2:FKP61 FKP65520:FKP65597 FKP131056:FKP131133 FKP196592:FKP196669 FKP262128:FKP262205 FKP327664:FKP327741 FKP393200:FKP393277 FKP458736:FKP458813 FKP524272:FKP524349 FKP589808:FKP589885 FKP655344:FKP655421 FKP720880:FKP720957 FKP786416:FKP786493 FKP851952:FKP852029 FKP917488:FKP917565 FKP983024:FKP983101 FUL2:FUL61 FUL65520:FUL65597 FUL131056:FUL131133 FUL196592:FUL196669 FUL262128:FUL262205 FUL327664:FUL327741 FUL393200:FUL393277 FUL458736:FUL458813 FUL524272:FUL524349 FUL589808:FUL589885 FUL655344:FUL655421 FUL720880:FUL720957 FUL786416:FUL786493 FUL851952:FUL852029 FUL917488:FUL917565 FUL983024:FUL983101 GEH2:GEH61 GEH65520:GEH65597 GEH131056:GEH131133 GEH196592:GEH196669 GEH262128:GEH262205 GEH327664:GEH327741 GEH393200:GEH393277 GEH458736:GEH458813 GEH524272:GEH524349 GEH589808:GEH589885 GEH655344:GEH655421 GEH720880:GEH720957 GEH786416:GEH786493 GEH851952:GEH852029 GEH917488:GEH917565 GEH983024:GEH983101 GOD2:GOD61 GOD65520:GOD65597 GOD131056:GOD131133 GOD196592:GOD196669 GOD262128:GOD262205 GOD327664:GOD327741 GOD393200:GOD393277 GOD458736:GOD458813 GOD524272:GOD524349 GOD589808:GOD589885 GOD655344:GOD655421 GOD720880:GOD720957 GOD786416:GOD786493 GOD851952:GOD852029 GOD917488:GOD917565 GOD983024:GOD983101 GXZ2:GXZ61 GXZ65520:GXZ65597 GXZ131056:GXZ131133 GXZ196592:GXZ196669 GXZ262128:GXZ262205 GXZ327664:GXZ327741 GXZ393200:GXZ393277 GXZ458736:GXZ458813 GXZ524272:GXZ524349 GXZ589808:GXZ589885 GXZ655344:GXZ655421 GXZ720880:GXZ720957 GXZ786416:GXZ786493 GXZ851952:GXZ852029 GXZ917488:GXZ917565 GXZ983024:GXZ983101 HHV2:HHV61 HHV65520:HHV65597 HHV131056:HHV131133 HHV196592:HHV196669 HHV262128:HHV262205 HHV327664:HHV327741 HHV393200:HHV393277 HHV458736:HHV458813 HHV524272:HHV524349 HHV589808:HHV589885 HHV655344:HHV655421 HHV720880:HHV720957 HHV786416:HHV786493 HHV851952:HHV852029 HHV917488:HHV917565 HHV983024:HHV983101 HRR2:HRR61 HRR65520:HRR65597 HRR131056:HRR131133 HRR196592:HRR196669 HRR262128:HRR262205 HRR327664:HRR327741 HRR393200:HRR393277 HRR458736:HRR458813 HRR524272:HRR524349 HRR589808:HRR589885 HRR655344:HRR655421 HRR720880:HRR720957 HRR786416:HRR786493 HRR851952:HRR852029 HRR917488:HRR917565 HRR983024:HRR983101 IBN2:IBN61 IBN65520:IBN65597 IBN131056:IBN131133 IBN196592:IBN196669 IBN262128:IBN262205 IBN327664:IBN327741 IBN393200:IBN393277 IBN458736:IBN458813 IBN524272:IBN524349 IBN589808:IBN589885 IBN655344:IBN655421 IBN720880:IBN720957 IBN786416:IBN786493 IBN851952:IBN852029 IBN917488:IBN917565 IBN983024:IBN983101 ILJ2:ILJ61 ILJ65520:ILJ65597 ILJ131056:ILJ131133 ILJ196592:ILJ196669 ILJ262128:ILJ262205 ILJ327664:ILJ327741 ILJ393200:ILJ393277 ILJ458736:ILJ458813 ILJ524272:ILJ524349 ILJ589808:ILJ589885 ILJ655344:ILJ655421 ILJ720880:ILJ720957 ILJ786416:ILJ786493 ILJ851952:ILJ852029 ILJ917488:ILJ917565 ILJ983024:ILJ983101 IVF2:IVF61 IVF65520:IVF65597 IVF131056:IVF131133 IVF196592:IVF196669 IVF262128:IVF262205 IVF327664:IVF327741 IVF393200:IVF393277 IVF458736:IVF458813 IVF524272:IVF524349 IVF589808:IVF589885 IVF655344:IVF655421 IVF720880:IVF720957 IVF786416:IVF786493 IVF851952:IVF852029 IVF917488:IVF917565 IVF983024:IVF983101 JFB2:JFB61 JFB65520:JFB65597 JFB131056:JFB131133 JFB196592:JFB196669 JFB262128:JFB262205 JFB327664:JFB327741 JFB393200:JFB393277 JFB458736:JFB458813 JFB524272:JFB524349 JFB589808:JFB589885 JFB655344:JFB655421 JFB720880:JFB720957 JFB786416:JFB786493 JFB851952:JFB852029 JFB917488:JFB917565 JFB983024:JFB983101 JOX2:JOX61 JOX65520:JOX65597 JOX131056:JOX131133 JOX196592:JOX196669 JOX262128:JOX262205 JOX327664:JOX327741 JOX393200:JOX393277 JOX458736:JOX458813 JOX524272:JOX524349 JOX589808:JOX589885 JOX655344:JOX655421 JOX720880:JOX720957 JOX786416:JOX786493 JOX851952:JOX852029 JOX917488:JOX917565 JOX983024:JOX983101 JYT2:JYT61 JYT65520:JYT65597 JYT131056:JYT131133 JYT196592:JYT196669 JYT262128:JYT262205 JYT327664:JYT327741 JYT393200:JYT393277 JYT458736:JYT458813 JYT524272:JYT524349 JYT589808:JYT589885 JYT655344:JYT655421 JYT720880:JYT720957 JYT786416:JYT786493 JYT851952:JYT852029 JYT917488:JYT917565 JYT983024:JYT983101 KIP2:KIP61 KIP65520:KIP65597 KIP131056:KIP131133 KIP196592:KIP196669 KIP262128:KIP262205 KIP327664:KIP327741 KIP393200:KIP393277 KIP458736:KIP458813 KIP524272:KIP524349 KIP589808:KIP589885 KIP655344:KIP655421 KIP720880:KIP720957 KIP786416:KIP786493 KIP851952:KIP852029 KIP917488:KIP917565 KIP983024:KIP983101 KSL2:KSL61 KSL65520:KSL65597 KSL131056:KSL131133 KSL196592:KSL196669 KSL262128:KSL262205 KSL327664:KSL327741 KSL393200:KSL393277 KSL458736:KSL458813 KSL524272:KSL524349 KSL589808:KSL589885 KSL655344:KSL655421 KSL720880:KSL720957 KSL786416:KSL786493 KSL851952:KSL852029 KSL917488:KSL917565 KSL983024:KSL983101 LCH2:LCH61 LCH65520:LCH65597 LCH131056:LCH131133 LCH196592:LCH196669 LCH262128:LCH262205 LCH327664:LCH327741 LCH393200:LCH393277 LCH458736:LCH458813 LCH524272:LCH524349 LCH589808:LCH589885 LCH655344:LCH655421 LCH720880:LCH720957 LCH786416:LCH786493 LCH851952:LCH852029 LCH917488:LCH917565 LCH983024:LCH983101 LMD2:LMD61 LMD65520:LMD65597 LMD131056:LMD131133 LMD196592:LMD196669 LMD262128:LMD262205 LMD327664:LMD327741 LMD393200:LMD393277 LMD458736:LMD458813 LMD524272:LMD524349 LMD589808:LMD589885 LMD655344:LMD655421 LMD720880:LMD720957 LMD786416:LMD786493 LMD851952:LMD852029 LMD917488:LMD917565 LMD983024:LMD983101 LVZ2:LVZ61 LVZ65520:LVZ65597 LVZ131056:LVZ131133 LVZ196592:LVZ196669 LVZ262128:LVZ262205 LVZ327664:LVZ327741 LVZ393200:LVZ393277 LVZ458736:LVZ458813 LVZ524272:LVZ524349 LVZ589808:LVZ589885 LVZ655344:LVZ655421 LVZ720880:LVZ720957 LVZ786416:LVZ786493 LVZ851952:LVZ852029 LVZ917488:LVZ917565 LVZ983024:LVZ983101 MFV2:MFV61 MFV65520:MFV65597 MFV131056:MFV131133 MFV196592:MFV196669 MFV262128:MFV262205 MFV327664:MFV327741 MFV393200:MFV393277 MFV458736:MFV458813 MFV524272:MFV524349 MFV589808:MFV589885 MFV655344:MFV655421 MFV720880:MFV720957 MFV786416:MFV786493 MFV851952:MFV852029 MFV917488:MFV917565 MFV983024:MFV983101 MPR2:MPR61 MPR65520:MPR65597 MPR131056:MPR131133 MPR196592:MPR196669 MPR262128:MPR262205 MPR327664:MPR327741 MPR393200:MPR393277 MPR458736:MPR458813 MPR524272:MPR524349 MPR589808:MPR589885 MPR655344:MPR655421 MPR720880:MPR720957 MPR786416:MPR786493 MPR851952:MPR852029 MPR917488:MPR917565 MPR983024:MPR983101 MZN2:MZN61 MZN65520:MZN65597 MZN131056:MZN131133 MZN196592:MZN196669 MZN262128:MZN262205 MZN327664:MZN327741 MZN393200:MZN393277 MZN458736:MZN458813 MZN524272:MZN524349 MZN589808:MZN589885 MZN655344:MZN655421 MZN720880:MZN720957 MZN786416:MZN786493 MZN851952:MZN852029 MZN917488:MZN917565 MZN983024:MZN983101 NJJ2:NJJ61 NJJ65520:NJJ65597 NJJ131056:NJJ131133 NJJ196592:NJJ196669 NJJ262128:NJJ262205 NJJ327664:NJJ327741 NJJ393200:NJJ393277 NJJ458736:NJJ458813 NJJ524272:NJJ524349 NJJ589808:NJJ589885 NJJ655344:NJJ655421 NJJ720880:NJJ720957 NJJ786416:NJJ786493 NJJ851952:NJJ852029 NJJ917488:NJJ917565 NJJ983024:NJJ983101 NTF2:NTF61 NTF65520:NTF65597 NTF131056:NTF131133 NTF196592:NTF196669 NTF262128:NTF262205 NTF327664:NTF327741 NTF393200:NTF393277 NTF458736:NTF458813 NTF524272:NTF524349 NTF589808:NTF589885 NTF655344:NTF655421 NTF720880:NTF720957 NTF786416:NTF786493 NTF851952:NTF852029 NTF917488:NTF917565 NTF983024:NTF983101 ODB2:ODB61 ODB65520:ODB65597 ODB131056:ODB131133 ODB196592:ODB196669 ODB262128:ODB262205 ODB327664:ODB327741 ODB393200:ODB393277 ODB458736:ODB458813 ODB524272:ODB524349 ODB589808:ODB589885 ODB655344:ODB655421 ODB720880:ODB720957 ODB786416:ODB786493 ODB851952:ODB852029 ODB917488:ODB917565 ODB983024:ODB983101 OMX2:OMX61 OMX65520:OMX65597 OMX131056:OMX131133 OMX196592:OMX196669 OMX262128:OMX262205 OMX327664:OMX327741 OMX393200:OMX393277 OMX458736:OMX458813 OMX524272:OMX524349 OMX589808:OMX589885 OMX655344:OMX655421 OMX720880:OMX720957 OMX786416:OMX786493 OMX851952:OMX852029 OMX917488:OMX917565 OMX983024:OMX983101 OWT2:OWT61 OWT65520:OWT65597 OWT131056:OWT131133 OWT196592:OWT196669 OWT262128:OWT262205 OWT327664:OWT327741 OWT393200:OWT393277 OWT458736:OWT458813 OWT524272:OWT524349 OWT589808:OWT589885 OWT655344:OWT655421 OWT720880:OWT720957 OWT786416:OWT786493 OWT851952:OWT852029 OWT917488:OWT917565 OWT983024:OWT983101 PGP2:PGP61 PGP65520:PGP65597 PGP131056:PGP131133 PGP196592:PGP196669 PGP262128:PGP262205 PGP327664:PGP327741 PGP393200:PGP393277 PGP458736:PGP458813 PGP524272:PGP524349 PGP589808:PGP589885 PGP655344:PGP655421 PGP720880:PGP720957 PGP786416:PGP786493 PGP851952:PGP852029 PGP917488:PGP917565 PGP983024:PGP983101 PQL2:PQL61 PQL65520:PQL65597 PQL131056:PQL131133 PQL196592:PQL196669 PQL262128:PQL262205 PQL327664:PQL327741 PQL393200:PQL393277 PQL458736:PQL458813 PQL524272:PQL524349 PQL589808:PQL589885 PQL655344:PQL655421 PQL720880:PQL720957 PQL786416:PQL786493 PQL851952:PQL852029 PQL917488:PQL917565 PQL983024:PQL983101 QAH2:QAH61 QAH65520:QAH65597 QAH131056:QAH131133 QAH196592:QAH196669 QAH262128:QAH262205 QAH327664:QAH327741 QAH393200:QAH393277 QAH458736:QAH458813 QAH524272:QAH524349 QAH589808:QAH589885 QAH655344:QAH655421 QAH720880:QAH720957 QAH786416:QAH786493 QAH851952:QAH852029 QAH917488:QAH917565 QAH983024:QAH983101 QKD2:QKD61 QKD65520:QKD65597 QKD131056:QKD131133 QKD196592:QKD196669 QKD262128:QKD262205 QKD327664:QKD327741 QKD393200:QKD393277 QKD458736:QKD458813 QKD524272:QKD524349 QKD589808:QKD589885 QKD655344:QKD655421 QKD720880:QKD720957 QKD786416:QKD786493 QKD851952:QKD852029 QKD917488:QKD917565 QKD983024:QKD983101 QTZ2:QTZ61 QTZ65520:QTZ65597 QTZ131056:QTZ131133 QTZ196592:QTZ196669 QTZ262128:QTZ262205 QTZ327664:QTZ327741 QTZ393200:QTZ393277 QTZ458736:QTZ458813 QTZ524272:QTZ524349 QTZ589808:QTZ589885 QTZ655344:QTZ655421 QTZ720880:QTZ720957 QTZ786416:QTZ786493 QTZ851952:QTZ852029 QTZ917488:QTZ917565 QTZ983024:QTZ983101 RDV2:RDV61 RDV65520:RDV65597 RDV131056:RDV131133 RDV196592:RDV196669 RDV262128:RDV262205 RDV327664:RDV327741 RDV393200:RDV393277 RDV458736:RDV458813 RDV524272:RDV524349 RDV589808:RDV589885 RDV655344:RDV655421 RDV720880:RDV720957 RDV786416:RDV786493 RDV851952:RDV852029 RDV917488:RDV917565 RDV983024:RDV983101 RNR2:RNR61 RNR65520:RNR65597 RNR131056:RNR131133 RNR196592:RNR196669 RNR262128:RNR262205 RNR327664:RNR327741 RNR393200:RNR393277 RNR458736:RNR458813 RNR524272:RNR524349 RNR589808:RNR589885 RNR655344:RNR655421 RNR720880:RNR720957 RNR786416:RNR786493 RNR851952:RNR852029 RNR917488:RNR917565 RNR983024:RNR983101 RXN2:RXN61 RXN65520:RXN65597 RXN131056:RXN131133 RXN196592:RXN196669 RXN262128:RXN262205 RXN327664:RXN327741 RXN393200:RXN393277 RXN458736:RXN458813 RXN524272:RXN524349 RXN589808:RXN589885 RXN655344:RXN655421 RXN720880:RXN720957 RXN786416:RXN786493 RXN851952:RXN852029 RXN917488:RXN917565 RXN983024:RXN983101 SHJ2:SHJ61 SHJ65520:SHJ65597 SHJ131056:SHJ131133 SHJ196592:SHJ196669 SHJ262128:SHJ262205 SHJ327664:SHJ327741 SHJ393200:SHJ393277 SHJ458736:SHJ458813 SHJ524272:SHJ524349 SHJ589808:SHJ589885 SHJ655344:SHJ655421 SHJ720880:SHJ720957 SHJ786416:SHJ786493 SHJ851952:SHJ852029 SHJ917488:SHJ917565 SHJ983024:SHJ983101 SRF2:SRF61 SRF65520:SRF65597 SRF131056:SRF131133 SRF196592:SRF196669 SRF262128:SRF262205 SRF327664:SRF327741 SRF393200:SRF393277 SRF458736:SRF458813 SRF524272:SRF524349 SRF589808:SRF589885 SRF655344:SRF655421 SRF720880:SRF720957 SRF786416:SRF786493 SRF851952:SRF852029 SRF917488:SRF917565 SRF983024:SRF983101 TBB2:TBB61 TBB65520:TBB65597 TBB131056:TBB131133 TBB196592:TBB196669 TBB262128:TBB262205 TBB327664:TBB327741 TBB393200:TBB393277 TBB458736:TBB458813 TBB524272:TBB524349 TBB589808:TBB589885 TBB655344:TBB655421 TBB720880:TBB720957 TBB786416:TBB786493 TBB851952:TBB852029 TBB917488:TBB917565 TBB983024:TBB983101 TKX2:TKX61 TKX65520:TKX65597 TKX131056:TKX131133 TKX196592:TKX196669 TKX262128:TKX262205 TKX327664:TKX327741 TKX393200:TKX393277 TKX458736:TKX458813 TKX524272:TKX524349 TKX589808:TKX589885 TKX655344:TKX655421 TKX720880:TKX720957 TKX786416:TKX786493 TKX851952:TKX852029 TKX917488:TKX917565 TKX983024:TKX983101 TUT2:TUT61 TUT65520:TUT65597 TUT131056:TUT131133 TUT196592:TUT196669 TUT262128:TUT262205 TUT327664:TUT327741 TUT393200:TUT393277 TUT458736:TUT458813 TUT524272:TUT524349 TUT589808:TUT589885 TUT655344:TUT655421 TUT720880:TUT720957 TUT786416:TUT786493 TUT851952:TUT852029 TUT917488:TUT917565 TUT983024:TUT983101 UEP2:UEP61 UEP65520:UEP65597 UEP131056:UEP131133 UEP196592:UEP196669 UEP262128:UEP262205 UEP327664:UEP327741 UEP393200:UEP393277 UEP458736:UEP458813 UEP524272:UEP524349 UEP589808:UEP589885 UEP655344:UEP655421 UEP720880:UEP720957 UEP786416:UEP786493 UEP851952:UEP852029 UEP917488:UEP917565 UEP983024:UEP983101 UOL2:UOL61 UOL65520:UOL65597 UOL131056:UOL131133 UOL196592:UOL196669 UOL262128:UOL262205 UOL327664:UOL327741 UOL393200:UOL393277 UOL458736:UOL458813 UOL524272:UOL524349 UOL589808:UOL589885 UOL655344:UOL655421 UOL720880:UOL720957 UOL786416:UOL786493 UOL851952:UOL852029 UOL917488:UOL917565 UOL983024:UOL983101 UYH2:UYH61 UYH65520:UYH65597 UYH131056:UYH131133 UYH196592:UYH196669 UYH262128:UYH262205 UYH327664:UYH327741 UYH393200:UYH393277 UYH458736:UYH458813 UYH524272:UYH524349 UYH589808:UYH589885 UYH655344:UYH655421 UYH720880:UYH720957 UYH786416:UYH786493 UYH851952:UYH852029 UYH917488:UYH917565 UYH983024:UYH983101 VID2:VID61 VID65520:VID65597 VID131056:VID131133 VID196592:VID196669 VID262128:VID262205 VID327664:VID327741 VID393200:VID393277 VID458736:VID458813 VID524272:VID524349 VID589808:VID589885 VID655344:VID655421 VID720880:VID720957 VID786416:VID786493 VID851952:VID852029 VID917488:VID917565 VID983024:VID983101 VRZ2:VRZ61 VRZ65520:VRZ65597 VRZ131056:VRZ131133 VRZ196592:VRZ196669 VRZ262128:VRZ262205 VRZ327664:VRZ327741 VRZ393200:VRZ393277 VRZ458736:VRZ458813 VRZ524272:VRZ524349 VRZ589808:VRZ589885 VRZ655344:VRZ655421 VRZ720880:VRZ720957 VRZ786416:VRZ786493 VRZ851952:VRZ852029 VRZ917488:VRZ917565 VRZ983024:VRZ983101 WBV2:WBV61 WBV65520:WBV65597 WBV131056:WBV131133 WBV196592:WBV196669 WBV262128:WBV262205 WBV327664:WBV327741 WBV393200:WBV393277 WBV458736:WBV458813 WBV524272:WBV524349 WBV589808:WBV589885 WBV655344:WBV655421 WBV720880:WBV720957 WBV786416:WBV786493 WBV851952:WBV852029 WBV917488:WBV917565 WBV983024:WBV983101 WLR2:WLR61 WLR65520:WLR65597 WLR131056:WLR131133 WLR196592:WLR196669 WLR262128:WLR262205 WLR327664:WLR327741 WLR393200:WLR393277 WLR458736:WLR458813 WLR524272:WLR524349 WLR589808:WLR589885 WLR655344:WLR655421 WLR720880:WLR720957 WLR786416:WLR786493 WLR851952:WLR852029 WLR917488:WLR917565 WLR983024:WLR983101 WVN2:WVN61 WVN65520:WVN65597 WVN131056:WVN131133 WVN196592:WVN196669 WVN262128:WVN262205 WVN327664:WVN327741 WVN393200:WVN393277 WVN458736:WVN458813 WVN524272:WVN524349 WVN589808:WVN589885 WVN655344:WVN655421 WVN720880:WVN720957 WVN786416:WVN786493 WVN851952:WVN852029 WVN917488:WVN917565 WVN983024:WVN983101">
      <formula1>$AH$2:$AH$11</formula1>
    </dataValidation>
    <dataValidation type="list" allowBlank="1" showInputMessage="1" showErrorMessage="1" sqref="E2:E714 E65520:E65597 E131056:E131133 E196592:E196669 E262128:E262205 E327664:E327741 E393200:E393277 E458736:E458813 E524272:E524349 E589808:E589885 E655344:E655421 E720880:E720957 E786416:E786493 E851952:E852029 E917488:E917565 E983024:E983101 JA2:JA61 JA65520:JA65597 JA131056:JA131133 JA196592:JA196669 JA262128:JA262205 JA327664:JA327741 JA393200:JA393277 JA458736:JA458813 JA524272:JA524349 JA589808:JA589885 JA655344:JA655421 JA720880:JA720957 JA786416:JA786493 JA851952:JA852029 JA917488:JA917565 JA983024:JA983101 SW2:SW61 SW65520:SW65597 SW131056:SW131133 SW196592:SW196669 SW262128:SW262205 SW327664:SW327741 SW393200:SW393277 SW458736:SW458813 SW524272:SW524349 SW589808:SW589885 SW655344:SW655421 SW720880:SW720957 SW786416:SW786493 SW851952:SW852029 SW917488:SW917565 SW983024:SW983101 ACS2:ACS61 ACS65520:ACS65597 ACS131056:ACS131133 ACS196592:ACS196669 ACS262128:ACS262205 ACS327664:ACS327741 ACS393200:ACS393277 ACS458736:ACS458813 ACS524272:ACS524349 ACS589808:ACS589885 ACS655344:ACS655421 ACS720880:ACS720957 ACS786416:ACS786493 ACS851952:ACS852029 ACS917488:ACS917565 ACS983024:ACS983101 AMO2:AMO61 AMO65520:AMO65597 AMO131056:AMO131133 AMO196592:AMO196669 AMO262128:AMO262205 AMO327664:AMO327741 AMO393200:AMO393277 AMO458736:AMO458813 AMO524272:AMO524349 AMO589808:AMO589885 AMO655344:AMO655421 AMO720880:AMO720957 AMO786416:AMO786493 AMO851952:AMO852029 AMO917488:AMO917565 AMO983024:AMO983101 AWK2:AWK61 AWK65520:AWK65597 AWK131056:AWK131133 AWK196592:AWK196669 AWK262128:AWK262205 AWK327664:AWK327741 AWK393200:AWK393277 AWK458736:AWK458813 AWK524272:AWK524349 AWK589808:AWK589885 AWK655344:AWK655421 AWK720880:AWK720957 AWK786416:AWK786493 AWK851952:AWK852029 AWK917488:AWK917565 AWK983024:AWK983101 BGG2:BGG61 BGG65520:BGG65597 BGG131056:BGG131133 BGG196592:BGG196669 BGG262128:BGG262205 BGG327664:BGG327741 BGG393200:BGG393277 BGG458736:BGG458813 BGG524272:BGG524349 BGG589808:BGG589885 BGG655344:BGG655421 BGG720880:BGG720957 BGG786416:BGG786493 BGG851952:BGG852029 BGG917488:BGG917565 BGG983024:BGG983101 BQC2:BQC61 BQC65520:BQC65597 BQC131056:BQC131133 BQC196592:BQC196669 BQC262128:BQC262205 BQC327664:BQC327741 BQC393200:BQC393277 BQC458736:BQC458813 BQC524272:BQC524349 BQC589808:BQC589885 BQC655344:BQC655421 BQC720880:BQC720957 BQC786416:BQC786493 BQC851952:BQC852029 BQC917488:BQC917565 BQC983024:BQC983101 BZY2:BZY61 BZY65520:BZY65597 BZY131056:BZY131133 BZY196592:BZY196669 BZY262128:BZY262205 BZY327664:BZY327741 BZY393200:BZY393277 BZY458736:BZY458813 BZY524272:BZY524349 BZY589808:BZY589885 BZY655344:BZY655421 BZY720880:BZY720957 BZY786416:BZY786493 BZY851952:BZY852029 BZY917488:BZY917565 BZY983024:BZY983101 CJU2:CJU61 CJU65520:CJU65597 CJU131056:CJU131133 CJU196592:CJU196669 CJU262128:CJU262205 CJU327664:CJU327741 CJU393200:CJU393277 CJU458736:CJU458813 CJU524272:CJU524349 CJU589808:CJU589885 CJU655344:CJU655421 CJU720880:CJU720957 CJU786416:CJU786493 CJU851952:CJU852029 CJU917488:CJU917565 CJU983024:CJU983101 CTQ2:CTQ61 CTQ65520:CTQ65597 CTQ131056:CTQ131133 CTQ196592:CTQ196669 CTQ262128:CTQ262205 CTQ327664:CTQ327741 CTQ393200:CTQ393277 CTQ458736:CTQ458813 CTQ524272:CTQ524349 CTQ589808:CTQ589885 CTQ655344:CTQ655421 CTQ720880:CTQ720957 CTQ786416:CTQ786493 CTQ851952:CTQ852029 CTQ917488:CTQ917565 CTQ983024:CTQ983101 DDM2:DDM61 DDM65520:DDM65597 DDM131056:DDM131133 DDM196592:DDM196669 DDM262128:DDM262205 DDM327664:DDM327741 DDM393200:DDM393277 DDM458736:DDM458813 DDM524272:DDM524349 DDM589808:DDM589885 DDM655344:DDM655421 DDM720880:DDM720957 DDM786416:DDM786493 DDM851952:DDM852029 DDM917488:DDM917565 DDM983024:DDM983101 DNI2:DNI61 DNI65520:DNI65597 DNI131056:DNI131133 DNI196592:DNI196669 DNI262128:DNI262205 DNI327664:DNI327741 DNI393200:DNI393277 DNI458736:DNI458813 DNI524272:DNI524349 DNI589808:DNI589885 DNI655344:DNI655421 DNI720880:DNI720957 DNI786416:DNI786493 DNI851952:DNI852029 DNI917488:DNI917565 DNI983024:DNI983101 DXE2:DXE61 DXE65520:DXE65597 DXE131056:DXE131133 DXE196592:DXE196669 DXE262128:DXE262205 DXE327664:DXE327741 DXE393200:DXE393277 DXE458736:DXE458813 DXE524272:DXE524349 DXE589808:DXE589885 DXE655344:DXE655421 DXE720880:DXE720957 DXE786416:DXE786493 DXE851952:DXE852029 DXE917488:DXE917565 DXE983024:DXE983101 EHA2:EHA61 EHA65520:EHA65597 EHA131056:EHA131133 EHA196592:EHA196669 EHA262128:EHA262205 EHA327664:EHA327741 EHA393200:EHA393277 EHA458736:EHA458813 EHA524272:EHA524349 EHA589808:EHA589885 EHA655344:EHA655421 EHA720880:EHA720957 EHA786416:EHA786493 EHA851952:EHA852029 EHA917488:EHA917565 EHA983024:EHA983101 EQW2:EQW61 EQW65520:EQW65597 EQW131056:EQW131133 EQW196592:EQW196669 EQW262128:EQW262205 EQW327664:EQW327741 EQW393200:EQW393277 EQW458736:EQW458813 EQW524272:EQW524349 EQW589808:EQW589885 EQW655344:EQW655421 EQW720880:EQW720957 EQW786416:EQW786493 EQW851952:EQW852029 EQW917488:EQW917565 EQW983024:EQW983101 FAS2:FAS61 FAS65520:FAS65597 FAS131056:FAS131133 FAS196592:FAS196669 FAS262128:FAS262205 FAS327664:FAS327741 FAS393200:FAS393277 FAS458736:FAS458813 FAS524272:FAS524349 FAS589808:FAS589885 FAS655344:FAS655421 FAS720880:FAS720957 FAS786416:FAS786493 FAS851952:FAS852029 FAS917488:FAS917565 FAS983024:FAS983101 FKO2:FKO61 FKO65520:FKO65597 FKO131056:FKO131133 FKO196592:FKO196669 FKO262128:FKO262205 FKO327664:FKO327741 FKO393200:FKO393277 FKO458736:FKO458813 FKO524272:FKO524349 FKO589808:FKO589885 FKO655344:FKO655421 FKO720880:FKO720957 FKO786416:FKO786493 FKO851952:FKO852029 FKO917488:FKO917565 FKO983024:FKO983101 FUK2:FUK61 FUK65520:FUK65597 FUK131056:FUK131133 FUK196592:FUK196669 FUK262128:FUK262205 FUK327664:FUK327741 FUK393200:FUK393277 FUK458736:FUK458813 FUK524272:FUK524349 FUK589808:FUK589885 FUK655344:FUK655421 FUK720880:FUK720957 FUK786416:FUK786493 FUK851952:FUK852029 FUK917488:FUK917565 FUK983024:FUK983101 GEG2:GEG61 GEG65520:GEG65597 GEG131056:GEG131133 GEG196592:GEG196669 GEG262128:GEG262205 GEG327664:GEG327741 GEG393200:GEG393277 GEG458736:GEG458813 GEG524272:GEG524349 GEG589808:GEG589885 GEG655344:GEG655421 GEG720880:GEG720957 GEG786416:GEG786493 GEG851952:GEG852029 GEG917488:GEG917565 GEG983024:GEG983101 GOC2:GOC61 GOC65520:GOC65597 GOC131056:GOC131133 GOC196592:GOC196669 GOC262128:GOC262205 GOC327664:GOC327741 GOC393200:GOC393277 GOC458736:GOC458813 GOC524272:GOC524349 GOC589808:GOC589885 GOC655344:GOC655421 GOC720880:GOC720957 GOC786416:GOC786493 GOC851952:GOC852029 GOC917488:GOC917565 GOC983024:GOC983101 GXY2:GXY61 GXY65520:GXY65597 GXY131056:GXY131133 GXY196592:GXY196669 GXY262128:GXY262205 GXY327664:GXY327741 GXY393200:GXY393277 GXY458736:GXY458813 GXY524272:GXY524349 GXY589808:GXY589885 GXY655344:GXY655421 GXY720880:GXY720957 GXY786416:GXY786493 GXY851952:GXY852029 GXY917488:GXY917565 GXY983024:GXY983101 HHU2:HHU61 HHU65520:HHU65597 HHU131056:HHU131133 HHU196592:HHU196669 HHU262128:HHU262205 HHU327664:HHU327741 HHU393200:HHU393277 HHU458736:HHU458813 HHU524272:HHU524349 HHU589808:HHU589885 HHU655344:HHU655421 HHU720880:HHU720957 HHU786416:HHU786493 HHU851952:HHU852029 HHU917488:HHU917565 HHU983024:HHU983101 HRQ2:HRQ61 HRQ65520:HRQ65597 HRQ131056:HRQ131133 HRQ196592:HRQ196669 HRQ262128:HRQ262205 HRQ327664:HRQ327741 HRQ393200:HRQ393277 HRQ458736:HRQ458813 HRQ524272:HRQ524349 HRQ589808:HRQ589885 HRQ655344:HRQ655421 HRQ720880:HRQ720957 HRQ786416:HRQ786493 HRQ851952:HRQ852029 HRQ917488:HRQ917565 HRQ983024:HRQ983101 IBM2:IBM61 IBM65520:IBM65597 IBM131056:IBM131133 IBM196592:IBM196669 IBM262128:IBM262205 IBM327664:IBM327741 IBM393200:IBM393277 IBM458736:IBM458813 IBM524272:IBM524349 IBM589808:IBM589885 IBM655344:IBM655421 IBM720880:IBM720957 IBM786416:IBM786493 IBM851952:IBM852029 IBM917488:IBM917565 IBM983024:IBM983101 ILI2:ILI61 ILI65520:ILI65597 ILI131056:ILI131133 ILI196592:ILI196669 ILI262128:ILI262205 ILI327664:ILI327741 ILI393200:ILI393277 ILI458736:ILI458813 ILI524272:ILI524349 ILI589808:ILI589885 ILI655344:ILI655421 ILI720880:ILI720957 ILI786416:ILI786493 ILI851952:ILI852029 ILI917488:ILI917565 ILI983024:ILI983101 IVE2:IVE61 IVE65520:IVE65597 IVE131056:IVE131133 IVE196592:IVE196669 IVE262128:IVE262205 IVE327664:IVE327741 IVE393200:IVE393277 IVE458736:IVE458813 IVE524272:IVE524349 IVE589808:IVE589885 IVE655344:IVE655421 IVE720880:IVE720957 IVE786416:IVE786493 IVE851952:IVE852029 IVE917488:IVE917565 IVE983024:IVE983101 JFA2:JFA61 JFA65520:JFA65597 JFA131056:JFA131133 JFA196592:JFA196669 JFA262128:JFA262205 JFA327664:JFA327741 JFA393200:JFA393277 JFA458736:JFA458813 JFA524272:JFA524349 JFA589808:JFA589885 JFA655344:JFA655421 JFA720880:JFA720957 JFA786416:JFA786493 JFA851952:JFA852029 JFA917488:JFA917565 JFA983024:JFA983101 JOW2:JOW61 JOW65520:JOW65597 JOW131056:JOW131133 JOW196592:JOW196669 JOW262128:JOW262205 JOW327664:JOW327741 JOW393200:JOW393277 JOW458736:JOW458813 JOW524272:JOW524349 JOW589808:JOW589885 JOW655344:JOW655421 JOW720880:JOW720957 JOW786416:JOW786493 JOW851952:JOW852029 JOW917488:JOW917565 JOW983024:JOW983101 JYS2:JYS61 JYS65520:JYS65597 JYS131056:JYS131133 JYS196592:JYS196669 JYS262128:JYS262205 JYS327664:JYS327741 JYS393200:JYS393277 JYS458736:JYS458813 JYS524272:JYS524349 JYS589808:JYS589885 JYS655344:JYS655421 JYS720880:JYS720957 JYS786416:JYS786493 JYS851952:JYS852029 JYS917488:JYS917565 JYS983024:JYS983101 KIO2:KIO61 KIO65520:KIO65597 KIO131056:KIO131133 KIO196592:KIO196669 KIO262128:KIO262205 KIO327664:KIO327741 KIO393200:KIO393277 KIO458736:KIO458813 KIO524272:KIO524349 KIO589808:KIO589885 KIO655344:KIO655421 KIO720880:KIO720957 KIO786416:KIO786493 KIO851952:KIO852029 KIO917488:KIO917565 KIO983024:KIO983101 KSK2:KSK61 KSK65520:KSK65597 KSK131056:KSK131133 KSK196592:KSK196669 KSK262128:KSK262205 KSK327664:KSK327741 KSK393200:KSK393277 KSK458736:KSK458813 KSK524272:KSK524349 KSK589808:KSK589885 KSK655344:KSK655421 KSK720880:KSK720957 KSK786416:KSK786493 KSK851952:KSK852029 KSK917488:KSK917565 KSK983024:KSK983101 LCG2:LCG61 LCG65520:LCG65597 LCG131056:LCG131133 LCG196592:LCG196669 LCG262128:LCG262205 LCG327664:LCG327741 LCG393200:LCG393277 LCG458736:LCG458813 LCG524272:LCG524349 LCG589808:LCG589885 LCG655344:LCG655421 LCG720880:LCG720957 LCG786416:LCG786493 LCG851952:LCG852029 LCG917488:LCG917565 LCG983024:LCG983101 LMC2:LMC61 LMC65520:LMC65597 LMC131056:LMC131133 LMC196592:LMC196669 LMC262128:LMC262205 LMC327664:LMC327741 LMC393200:LMC393277 LMC458736:LMC458813 LMC524272:LMC524349 LMC589808:LMC589885 LMC655344:LMC655421 LMC720880:LMC720957 LMC786416:LMC786493 LMC851952:LMC852029 LMC917488:LMC917565 LMC983024:LMC983101 LVY2:LVY61 LVY65520:LVY65597 LVY131056:LVY131133 LVY196592:LVY196669 LVY262128:LVY262205 LVY327664:LVY327741 LVY393200:LVY393277 LVY458736:LVY458813 LVY524272:LVY524349 LVY589808:LVY589885 LVY655344:LVY655421 LVY720880:LVY720957 LVY786416:LVY786493 LVY851952:LVY852029 LVY917488:LVY917565 LVY983024:LVY983101 MFU2:MFU61 MFU65520:MFU65597 MFU131056:MFU131133 MFU196592:MFU196669 MFU262128:MFU262205 MFU327664:MFU327741 MFU393200:MFU393277 MFU458736:MFU458813 MFU524272:MFU524349 MFU589808:MFU589885 MFU655344:MFU655421 MFU720880:MFU720957 MFU786416:MFU786493 MFU851952:MFU852029 MFU917488:MFU917565 MFU983024:MFU983101 MPQ2:MPQ61 MPQ65520:MPQ65597 MPQ131056:MPQ131133 MPQ196592:MPQ196669 MPQ262128:MPQ262205 MPQ327664:MPQ327741 MPQ393200:MPQ393277 MPQ458736:MPQ458813 MPQ524272:MPQ524349 MPQ589808:MPQ589885 MPQ655344:MPQ655421 MPQ720880:MPQ720957 MPQ786416:MPQ786493 MPQ851952:MPQ852029 MPQ917488:MPQ917565 MPQ983024:MPQ983101 MZM2:MZM61 MZM65520:MZM65597 MZM131056:MZM131133 MZM196592:MZM196669 MZM262128:MZM262205 MZM327664:MZM327741 MZM393200:MZM393277 MZM458736:MZM458813 MZM524272:MZM524349 MZM589808:MZM589885 MZM655344:MZM655421 MZM720880:MZM720957 MZM786416:MZM786493 MZM851952:MZM852029 MZM917488:MZM917565 MZM983024:MZM983101 NJI2:NJI61 NJI65520:NJI65597 NJI131056:NJI131133 NJI196592:NJI196669 NJI262128:NJI262205 NJI327664:NJI327741 NJI393200:NJI393277 NJI458736:NJI458813 NJI524272:NJI524349 NJI589808:NJI589885 NJI655344:NJI655421 NJI720880:NJI720957 NJI786416:NJI786493 NJI851952:NJI852029 NJI917488:NJI917565 NJI983024:NJI983101 NTE2:NTE61 NTE65520:NTE65597 NTE131056:NTE131133 NTE196592:NTE196669 NTE262128:NTE262205 NTE327664:NTE327741 NTE393200:NTE393277 NTE458736:NTE458813 NTE524272:NTE524349 NTE589808:NTE589885 NTE655344:NTE655421 NTE720880:NTE720957 NTE786416:NTE786493 NTE851952:NTE852029 NTE917488:NTE917565 NTE983024:NTE983101 ODA2:ODA61 ODA65520:ODA65597 ODA131056:ODA131133 ODA196592:ODA196669 ODA262128:ODA262205 ODA327664:ODA327741 ODA393200:ODA393277 ODA458736:ODA458813 ODA524272:ODA524349 ODA589808:ODA589885 ODA655344:ODA655421 ODA720880:ODA720957 ODA786416:ODA786493 ODA851952:ODA852029 ODA917488:ODA917565 ODA983024:ODA983101 OMW2:OMW61 OMW65520:OMW65597 OMW131056:OMW131133 OMW196592:OMW196669 OMW262128:OMW262205 OMW327664:OMW327741 OMW393200:OMW393277 OMW458736:OMW458813 OMW524272:OMW524349 OMW589808:OMW589885 OMW655344:OMW655421 OMW720880:OMW720957 OMW786416:OMW786493 OMW851952:OMW852029 OMW917488:OMW917565 OMW983024:OMW983101 OWS2:OWS61 OWS65520:OWS65597 OWS131056:OWS131133 OWS196592:OWS196669 OWS262128:OWS262205 OWS327664:OWS327741 OWS393200:OWS393277 OWS458736:OWS458813 OWS524272:OWS524349 OWS589808:OWS589885 OWS655344:OWS655421 OWS720880:OWS720957 OWS786416:OWS786493 OWS851952:OWS852029 OWS917488:OWS917565 OWS983024:OWS983101 PGO2:PGO61 PGO65520:PGO65597 PGO131056:PGO131133 PGO196592:PGO196669 PGO262128:PGO262205 PGO327664:PGO327741 PGO393200:PGO393277 PGO458736:PGO458813 PGO524272:PGO524349 PGO589808:PGO589885 PGO655344:PGO655421 PGO720880:PGO720957 PGO786416:PGO786493 PGO851952:PGO852029 PGO917488:PGO917565 PGO983024:PGO983101 PQK2:PQK61 PQK65520:PQK65597 PQK131056:PQK131133 PQK196592:PQK196669 PQK262128:PQK262205 PQK327664:PQK327741 PQK393200:PQK393277 PQK458736:PQK458813 PQK524272:PQK524349 PQK589808:PQK589885 PQK655344:PQK655421 PQK720880:PQK720957 PQK786416:PQK786493 PQK851952:PQK852029 PQK917488:PQK917565 PQK983024:PQK983101 QAG2:QAG61 QAG65520:QAG65597 QAG131056:QAG131133 QAG196592:QAG196669 QAG262128:QAG262205 QAG327664:QAG327741 QAG393200:QAG393277 QAG458736:QAG458813 QAG524272:QAG524349 QAG589808:QAG589885 QAG655344:QAG655421 QAG720880:QAG720957 QAG786416:QAG786493 QAG851952:QAG852029 QAG917488:QAG917565 QAG983024:QAG983101 QKC2:QKC61 QKC65520:QKC65597 QKC131056:QKC131133 QKC196592:QKC196669 QKC262128:QKC262205 QKC327664:QKC327741 QKC393200:QKC393277 QKC458736:QKC458813 QKC524272:QKC524349 QKC589808:QKC589885 QKC655344:QKC655421 QKC720880:QKC720957 QKC786416:QKC786493 QKC851952:QKC852029 QKC917488:QKC917565 QKC983024:QKC983101 QTY2:QTY61 QTY65520:QTY65597 QTY131056:QTY131133 QTY196592:QTY196669 QTY262128:QTY262205 QTY327664:QTY327741 QTY393200:QTY393277 QTY458736:QTY458813 QTY524272:QTY524349 QTY589808:QTY589885 QTY655344:QTY655421 QTY720880:QTY720957 QTY786416:QTY786493 QTY851952:QTY852029 QTY917488:QTY917565 QTY983024:QTY983101 RDU2:RDU61 RDU65520:RDU65597 RDU131056:RDU131133 RDU196592:RDU196669 RDU262128:RDU262205 RDU327664:RDU327741 RDU393200:RDU393277 RDU458736:RDU458813 RDU524272:RDU524349 RDU589808:RDU589885 RDU655344:RDU655421 RDU720880:RDU720957 RDU786416:RDU786493 RDU851952:RDU852029 RDU917488:RDU917565 RDU983024:RDU983101 RNQ2:RNQ61 RNQ65520:RNQ65597 RNQ131056:RNQ131133 RNQ196592:RNQ196669 RNQ262128:RNQ262205 RNQ327664:RNQ327741 RNQ393200:RNQ393277 RNQ458736:RNQ458813 RNQ524272:RNQ524349 RNQ589808:RNQ589885 RNQ655344:RNQ655421 RNQ720880:RNQ720957 RNQ786416:RNQ786493 RNQ851952:RNQ852029 RNQ917488:RNQ917565 RNQ983024:RNQ983101 RXM2:RXM61 RXM65520:RXM65597 RXM131056:RXM131133 RXM196592:RXM196669 RXM262128:RXM262205 RXM327664:RXM327741 RXM393200:RXM393277 RXM458736:RXM458813 RXM524272:RXM524349 RXM589808:RXM589885 RXM655344:RXM655421 RXM720880:RXM720957 RXM786416:RXM786493 RXM851952:RXM852029 RXM917488:RXM917565 RXM983024:RXM983101 SHI2:SHI61 SHI65520:SHI65597 SHI131056:SHI131133 SHI196592:SHI196669 SHI262128:SHI262205 SHI327664:SHI327741 SHI393200:SHI393277 SHI458736:SHI458813 SHI524272:SHI524349 SHI589808:SHI589885 SHI655344:SHI655421 SHI720880:SHI720957 SHI786416:SHI786493 SHI851952:SHI852029 SHI917488:SHI917565 SHI983024:SHI983101 SRE2:SRE61 SRE65520:SRE65597 SRE131056:SRE131133 SRE196592:SRE196669 SRE262128:SRE262205 SRE327664:SRE327741 SRE393200:SRE393277 SRE458736:SRE458813 SRE524272:SRE524349 SRE589808:SRE589885 SRE655344:SRE655421 SRE720880:SRE720957 SRE786416:SRE786493 SRE851952:SRE852029 SRE917488:SRE917565 SRE983024:SRE983101 TBA2:TBA61 TBA65520:TBA65597 TBA131056:TBA131133 TBA196592:TBA196669 TBA262128:TBA262205 TBA327664:TBA327741 TBA393200:TBA393277 TBA458736:TBA458813 TBA524272:TBA524349 TBA589808:TBA589885 TBA655344:TBA655421 TBA720880:TBA720957 TBA786416:TBA786493 TBA851952:TBA852029 TBA917488:TBA917565 TBA983024:TBA983101 TKW2:TKW61 TKW65520:TKW65597 TKW131056:TKW131133 TKW196592:TKW196669 TKW262128:TKW262205 TKW327664:TKW327741 TKW393200:TKW393277 TKW458736:TKW458813 TKW524272:TKW524349 TKW589808:TKW589885 TKW655344:TKW655421 TKW720880:TKW720957 TKW786416:TKW786493 TKW851952:TKW852029 TKW917488:TKW917565 TKW983024:TKW983101 TUS2:TUS61 TUS65520:TUS65597 TUS131056:TUS131133 TUS196592:TUS196669 TUS262128:TUS262205 TUS327664:TUS327741 TUS393200:TUS393277 TUS458736:TUS458813 TUS524272:TUS524349 TUS589808:TUS589885 TUS655344:TUS655421 TUS720880:TUS720957 TUS786416:TUS786493 TUS851952:TUS852029 TUS917488:TUS917565 TUS983024:TUS983101 UEO2:UEO61 UEO65520:UEO65597 UEO131056:UEO131133 UEO196592:UEO196669 UEO262128:UEO262205 UEO327664:UEO327741 UEO393200:UEO393277 UEO458736:UEO458813 UEO524272:UEO524349 UEO589808:UEO589885 UEO655344:UEO655421 UEO720880:UEO720957 UEO786416:UEO786493 UEO851952:UEO852029 UEO917488:UEO917565 UEO983024:UEO983101 UOK2:UOK61 UOK65520:UOK65597 UOK131056:UOK131133 UOK196592:UOK196669 UOK262128:UOK262205 UOK327664:UOK327741 UOK393200:UOK393277 UOK458736:UOK458813 UOK524272:UOK524349 UOK589808:UOK589885 UOK655344:UOK655421 UOK720880:UOK720957 UOK786416:UOK786493 UOK851952:UOK852029 UOK917488:UOK917565 UOK983024:UOK983101 UYG2:UYG61 UYG65520:UYG65597 UYG131056:UYG131133 UYG196592:UYG196669 UYG262128:UYG262205 UYG327664:UYG327741 UYG393200:UYG393277 UYG458736:UYG458813 UYG524272:UYG524349 UYG589808:UYG589885 UYG655344:UYG655421 UYG720880:UYG720957 UYG786416:UYG786493 UYG851952:UYG852029 UYG917488:UYG917565 UYG983024:UYG983101 VIC2:VIC61 VIC65520:VIC65597 VIC131056:VIC131133 VIC196592:VIC196669 VIC262128:VIC262205 VIC327664:VIC327741 VIC393200:VIC393277 VIC458736:VIC458813 VIC524272:VIC524349 VIC589808:VIC589885 VIC655344:VIC655421 VIC720880:VIC720957 VIC786416:VIC786493 VIC851952:VIC852029 VIC917488:VIC917565 VIC983024:VIC983101 VRY2:VRY61 VRY65520:VRY65597 VRY131056:VRY131133 VRY196592:VRY196669 VRY262128:VRY262205 VRY327664:VRY327741 VRY393200:VRY393277 VRY458736:VRY458813 VRY524272:VRY524349 VRY589808:VRY589885 VRY655344:VRY655421 VRY720880:VRY720957 VRY786416:VRY786493 VRY851952:VRY852029 VRY917488:VRY917565 VRY983024:VRY983101 WBU2:WBU61 WBU65520:WBU65597 WBU131056:WBU131133 WBU196592:WBU196669 WBU262128:WBU262205 WBU327664:WBU327741 WBU393200:WBU393277 WBU458736:WBU458813 WBU524272:WBU524349 WBU589808:WBU589885 WBU655344:WBU655421 WBU720880:WBU720957 WBU786416:WBU786493 WBU851952:WBU852029 WBU917488:WBU917565 WBU983024:WBU983101 WLQ2:WLQ61 WLQ65520:WLQ65597 WLQ131056:WLQ131133 WLQ196592:WLQ196669 WLQ262128:WLQ262205 WLQ327664:WLQ327741 WLQ393200:WLQ393277 WLQ458736:WLQ458813 WLQ524272:WLQ524349 WLQ589808:WLQ589885 WLQ655344:WLQ655421 WLQ720880:WLQ720957 WLQ786416:WLQ786493 WLQ851952:WLQ852029 WLQ917488:WLQ917565 WLQ983024:WLQ983101 WVM2:WVM61 WVM65520:WVM65597 WVM131056:WVM131133 WVM196592:WVM196669 WVM262128:WVM262205 WVM327664:WVM327741 WVM393200:WVM393277 WVM458736:WVM458813 WVM524272:WVM524349 WVM589808:WVM589885 WVM655344:WVM655421 WVM720880:WVM720957 WVM786416:WVM786493 WVM851952:WVM852029 WVM917488:WVM917565 WVM983024:WVM983101">
      <formula1>$AG$2:$AG$11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20 IX65520 ST65520 ACP65520 AML65520 AWH65520 BGD65520 BPZ65520 BZV65520 CJR65520 CTN65520 DDJ65520 DNF65520 DXB65520 EGX65520 EQT65520 FAP65520 FKL65520 FUH65520 GED65520 GNZ65520 GXV65520 HHR65520 HRN65520 IBJ65520 ILF65520 IVB65520 JEX65520 JOT65520 JYP65520 KIL65520 KSH65520 LCD65520 LLZ65520 LVV65520 MFR65520 MPN65520 MZJ65520 NJF65520 NTB65520 OCX65520 OMT65520 OWP65520 PGL65520 PQH65520 QAD65520 QJZ65520 QTV65520 RDR65520 RNN65520 RXJ65520 SHF65520 SRB65520 TAX65520 TKT65520 TUP65520 UEL65520 UOH65520 UYD65520 VHZ65520 VRV65520 WBR65520 WLN65520 WVJ65520 B131056 IX131056 ST131056 ACP131056 AML131056 AWH131056 BGD131056 BPZ131056 BZV131056 CJR131056 CTN131056 DDJ131056 DNF131056 DXB131056 EGX131056 EQT131056 FAP131056 FKL131056 FUH131056 GED131056 GNZ131056 GXV131056 HHR131056 HRN131056 IBJ131056 ILF131056 IVB131056 JEX131056 JOT131056 JYP131056 KIL131056 KSH131056 LCD131056 LLZ131056 LVV131056 MFR131056 MPN131056 MZJ131056 NJF131056 NTB131056 OCX131056 OMT131056 OWP131056 PGL131056 PQH131056 QAD131056 QJZ131056 QTV131056 RDR131056 RNN131056 RXJ131056 SHF131056 SRB131056 TAX131056 TKT131056 TUP131056 UEL131056 UOH131056 UYD131056 VHZ131056 VRV131056 WBR131056 WLN131056 WVJ131056 B196592 IX196592 ST196592 ACP196592 AML196592 AWH196592 BGD196592 BPZ196592 BZV196592 CJR196592 CTN196592 DDJ196592 DNF196592 DXB196592 EGX196592 EQT196592 FAP196592 FKL196592 FUH196592 GED196592 GNZ196592 GXV196592 HHR196592 HRN196592 IBJ196592 ILF196592 IVB196592 JEX196592 JOT196592 JYP196592 KIL196592 KSH196592 LCD196592 LLZ196592 LVV196592 MFR196592 MPN196592 MZJ196592 NJF196592 NTB196592 OCX196592 OMT196592 OWP196592 PGL196592 PQH196592 QAD196592 QJZ196592 QTV196592 RDR196592 RNN196592 RXJ196592 SHF196592 SRB196592 TAX196592 TKT196592 TUP196592 UEL196592 UOH196592 UYD196592 VHZ196592 VRV196592 WBR196592 WLN196592 WVJ196592 B262128 IX262128 ST262128 ACP262128 AML262128 AWH262128 BGD262128 BPZ262128 BZV262128 CJR262128 CTN262128 DDJ262128 DNF262128 DXB262128 EGX262128 EQT262128 FAP262128 FKL262128 FUH262128 GED262128 GNZ262128 GXV262128 HHR262128 HRN262128 IBJ262128 ILF262128 IVB262128 JEX262128 JOT262128 JYP262128 KIL262128 KSH262128 LCD262128 LLZ262128 LVV262128 MFR262128 MPN262128 MZJ262128 NJF262128 NTB262128 OCX262128 OMT262128 OWP262128 PGL262128 PQH262128 QAD262128 QJZ262128 QTV262128 RDR262128 RNN262128 RXJ262128 SHF262128 SRB262128 TAX262128 TKT262128 TUP262128 UEL262128 UOH262128 UYD262128 VHZ262128 VRV262128 WBR262128 WLN262128 WVJ262128 B327664 IX327664 ST327664 ACP327664 AML327664 AWH327664 BGD327664 BPZ327664 BZV327664 CJR327664 CTN327664 DDJ327664 DNF327664 DXB327664 EGX327664 EQT327664 FAP327664 FKL327664 FUH327664 GED327664 GNZ327664 GXV327664 HHR327664 HRN327664 IBJ327664 ILF327664 IVB327664 JEX327664 JOT327664 JYP327664 KIL327664 KSH327664 LCD327664 LLZ327664 LVV327664 MFR327664 MPN327664 MZJ327664 NJF327664 NTB327664 OCX327664 OMT327664 OWP327664 PGL327664 PQH327664 QAD327664 QJZ327664 QTV327664 RDR327664 RNN327664 RXJ327664 SHF327664 SRB327664 TAX327664 TKT327664 TUP327664 UEL327664 UOH327664 UYD327664 VHZ327664 VRV327664 WBR327664 WLN327664 WVJ327664 B393200 IX393200 ST393200 ACP393200 AML393200 AWH393200 BGD393200 BPZ393200 BZV393200 CJR393200 CTN393200 DDJ393200 DNF393200 DXB393200 EGX393200 EQT393200 FAP393200 FKL393200 FUH393200 GED393200 GNZ393200 GXV393200 HHR393200 HRN393200 IBJ393200 ILF393200 IVB393200 JEX393200 JOT393200 JYP393200 KIL393200 KSH393200 LCD393200 LLZ393200 LVV393200 MFR393200 MPN393200 MZJ393200 NJF393200 NTB393200 OCX393200 OMT393200 OWP393200 PGL393200 PQH393200 QAD393200 QJZ393200 QTV393200 RDR393200 RNN393200 RXJ393200 SHF393200 SRB393200 TAX393200 TKT393200 TUP393200 UEL393200 UOH393200 UYD393200 VHZ393200 VRV393200 WBR393200 WLN393200 WVJ393200 B458736 IX458736 ST458736 ACP458736 AML458736 AWH458736 BGD458736 BPZ458736 BZV458736 CJR458736 CTN458736 DDJ458736 DNF458736 DXB458736 EGX458736 EQT458736 FAP458736 FKL458736 FUH458736 GED458736 GNZ458736 GXV458736 HHR458736 HRN458736 IBJ458736 ILF458736 IVB458736 JEX458736 JOT458736 JYP458736 KIL458736 KSH458736 LCD458736 LLZ458736 LVV458736 MFR458736 MPN458736 MZJ458736 NJF458736 NTB458736 OCX458736 OMT458736 OWP458736 PGL458736 PQH458736 QAD458736 QJZ458736 QTV458736 RDR458736 RNN458736 RXJ458736 SHF458736 SRB458736 TAX458736 TKT458736 TUP458736 UEL458736 UOH458736 UYD458736 VHZ458736 VRV458736 WBR458736 WLN458736 WVJ458736 B524272 IX524272 ST524272 ACP524272 AML524272 AWH524272 BGD524272 BPZ524272 BZV524272 CJR524272 CTN524272 DDJ524272 DNF524272 DXB524272 EGX524272 EQT524272 FAP524272 FKL524272 FUH524272 GED524272 GNZ524272 GXV524272 HHR524272 HRN524272 IBJ524272 ILF524272 IVB524272 JEX524272 JOT524272 JYP524272 KIL524272 KSH524272 LCD524272 LLZ524272 LVV524272 MFR524272 MPN524272 MZJ524272 NJF524272 NTB524272 OCX524272 OMT524272 OWP524272 PGL524272 PQH524272 QAD524272 QJZ524272 QTV524272 RDR524272 RNN524272 RXJ524272 SHF524272 SRB524272 TAX524272 TKT524272 TUP524272 UEL524272 UOH524272 UYD524272 VHZ524272 VRV524272 WBR524272 WLN524272 WVJ524272 B589808 IX589808 ST589808 ACP589808 AML589808 AWH589808 BGD589808 BPZ589808 BZV589808 CJR589808 CTN589808 DDJ589808 DNF589808 DXB589808 EGX589808 EQT589808 FAP589808 FKL589808 FUH589808 GED589808 GNZ589808 GXV589808 HHR589808 HRN589808 IBJ589808 ILF589808 IVB589808 JEX589808 JOT589808 JYP589808 KIL589808 KSH589808 LCD589808 LLZ589808 LVV589808 MFR589808 MPN589808 MZJ589808 NJF589808 NTB589808 OCX589808 OMT589808 OWP589808 PGL589808 PQH589808 QAD589808 QJZ589808 QTV589808 RDR589808 RNN589808 RXJ589808 SHF589808 SRB589808 TAX589808 TKT589808 TUP589808 UEL589808 UOH589808 UYD589808 VHZ589808 VRV589808 WBR589808 WLN589808 WVJ589808 B655344 IX655344 ST655344 ACP655344 AML655344 AWH655344 BGD655344 BPZ655344 BZV655344 CJR655344 CTN655344 DDJ655344 DNF655344 DXB655344 EGX655344 EQT655344 FAP655344 FKL655344 FUH655344 GED655344 GNZ655344 GXV655344 HHR655344 HRN655344 IBJ655344 ILF655344 IVB655344 JEX655344 JOT655344 JYP655344 KIL655344 KSH655344 LCD655344 LLZ655344 LVV655344 MFR655344 MPN655344 MZJ655344 NJF655344 NTB655344 OCX655344 OMT655344 OWP655344 PGL655344 PQH655344 QAD655344 QJZ655344 QTV655344 RDR655344 RNN655344 RXJ655344 SHF655344 SRB655344 TAX655344 TKT655344 TUP655344 UEL655344 UOH655344 UYD655344 VHZ655344 VRV655344 WBR655344 WLN655344 WVJ655344 B720880 IX720880 ST720880 ACP720880 AML720880 AWH720880 BGD720880 BPZ720880 BZV720880 CJR720880 CTN720880 DDJ720880 DNF720880 DXB720880 EGX720880 EQT720880 FAP720880 FKL720880 FUH720880 GED720880 GNZ720880 GXV720880 HHR720880 HRN720880 IBJ720880 ILF720880 IVB720880 JEX720880 JOT720880 JYP720880 KIL720880 KSH720880 LCD720880 LLZ720880 LVV720880 MFR720880 MPN720880 MZJ720880 NJF720880 NTB720880 OCX720880 OMT720880 OWP720880 PGL720880 PQH720880 QAD720880 QJZ720880 QTV720880 RDR720880 RNN720880 RXJ720880 SHF720880 SRB720880 TAX720880 TKT720880 TUP720880 UEL720880 UOH720880 UYD720880 VHZ720880 VRV720880 WBR720880 WLN720880 WVJ720880 B786416 IX786416 ST786416 ACP786416 AML786416 AWH786416 BGD786416 BPZ786416 BZV786416 CJR786416 CTN786416 DDJ786416 DNF786416 DXB786416 EGX786416 EQT786416 FAP786416 FKL786416 FUH786416 GED786416 GNZ786416 GXV786416 HHR786416 HRN786416 IBJ786416 ILF786416 IVB786416 JEX786416 JOT786416 JYP786416 KIL786416 KSH786416 LCD786416 LLZ786416 LVV786416 MFR786416 MPN786416 MZJ786416 NJF786416 NTB786416 OCX786416 OMT786416 OWP786416 PGL786416 PQH786416 QAD786416 QJZ786416 QTV786416 RDR786416 RNN786416 RXJ786416 SHF786416 SRB786416 TAX786416 TKT786416 TUP786416 UEL786416 UOH786416 UYD786416 VHZ786416 VRV786416 WBR786416 WLN786416 WVJ786416 B851952 IX851952 ST851952 ACP851952 AML851952 AWH851952 BGD851952 BPZ851952 BZV851952 CJR851952 CTN851952 DDJ851952 DNF851952 DXB851952 EGX851952 EQT851952 FAP851952 FKL851952 FUH851952 GED851952 GNZ851952 GXV851952 HHR851952 HRN851952 IBJ851952 ILF851952 IVB851952 JEX851952 JOT851952 JYP851952 KIL851952 KSH851952 LCD851952 LLZ851952 LVV851952 MFR851952 MPN851952 MZJ851952 NJF851952 NTB851952 OCX851952 OMT851952 OWP851952 PGL851952 PQH851952 QAD851952 QJZ851952 QTV851952 RDR851952 RNN851952 RXJ851952 SHF851952 SRB851952 TAX851952 TKT851952 TUP851952 UEL851952 UOH851952 UYD851952 VHZ851952 VRV851952 WBR851952 WLN851952 WVJ851952 B917488 IX917488 ST917488 ACP917488 AML917488 AWH917488 BGD917488 BPZ917488 BZV917488 CJR917488 CTN917488 DDJ917488 DNF917488 DXB917488 EGX917488 EQT917488 FAP917488 FKL917488 FUH917488 GED917488 GNZ917488 GXV917488 HHR917488 HRN917488 IBJ917488 ILF917488 IVB917488 JEX917488 JOT917488 JYP917488 KIL917488 KSH917488 LCD917488 LLZ917488 LVV917488 MFR917488 MPN917488 MZJ917488 NJF917488 NTB917488 OCX917488 OMT917488 OWP917488 PGL917488 PQH917488 QAD917488 QJZ917488 QTV917488 RDR917488 RNN917488 RXJ917488 SHF917488 SRB917488 TAX917488 TKT917488 TUP917488 UEL917488 UOH917488 UYD917488 VHZ917488 VRV917488 WBR917488 WLN917488 WVJ917488 B983024 IX983024 ST983024 ACP983024 AML983024 AWH983024 BGD983024 BPZ983024 BZV983024 CJR983024 CTN983024 DDJ983024 DNF983024 DXB983024 EGX983024 EQT983024 FAP983024 FKL983024 FUH983024 GED983024 GNZ983024 GXV983024 HHR983024 HRN983024 IBJ983024 ILF983024 IVB983024 JEX983024 JOT983024 JYP983024 KIL983024 KSH983024 LCD983024 LLZ983024 LVV983024 MFR983024 MPN983024 MZJ983024 NJF983024 NTB983024 OCX983024 OMT983024 OWP983024 PGL983024 PQH983024 QAD983024 QJZ983024 QTV983024 RDR983024 RNN983024 RXJ983024 SHF983024 SRB983024 TAX983024 TKT983024 TUP983024 UEL983024 UOH983024 UYD983024 VHZ983024 VRV983024 WBR983024 WLN983024 WVJ983024 B2:B70"/>
    <dataValidation type="list" allowBlank="1" showInputMessage="1" showErrorMessage="1" sqref="A2:A482 A65520:A65597 A131056:A131133 A196592:A196669 A262128:A262205 A327664:A327741 A393200:A393277 A458736:A458813 A524272:A524349 A589808:A589885 A655344:A655421 A720880:A720957 A786416:A786493 A851952:A852029 A917488:A917565 A983024:A983101 IW2:IW61 IW65520:IW65597 IW131056:IW131133 IW196592:IW196669 IW262128:IW262205 IW327664:IW327741 IW393200:IW393277 IW458736:IW458813 IW524272:IW524349 IW589808:IW589885 IW655344:IW655421 IW720880:IW720957 IW786416:IW786493 IW851952:IW852029 IW917488:IW917565 IW983024:IW983101 SS2:SS61 SS65520:SS65597 SS131056:SS131133 SS196592:SS196669 SS262128:SS262205 SS327664:SS327741 SS393200:SS393277 SS458736:SS458813 SS524272:SS524349 SS589808:SS589885 SS655344:SS655421 SS720880:SS720957 SS786416:SS786493 SS851952:SS852029 SS917488:SS917565 SS983024:SS983101 ACO2:ACO61 ACO65520:ACO65597 ACO131056:ACO131133 ACO196592:ACO196669 ACO262128:ACO262205 ACO327664:ACO327741 ACO393200:ACO393277 ACO458736:ACO458813 ACO524272:ACO524349 ACO589808:ACO589885 ACO655344:ACO655421 ACO720880:ACO720957 ACO786416:ACO786493 ACO851952:ACO852029 ACO917488:ACO917565 ACO983024:ACO983101 AMK2:AMK61 AMK65520:AMK65597 AMK131056:AMK131133 AMK196592:AMK196669 AMK262128:AMK262205 AMK327664:AMK327741 AMK393200:AMK393277 AMK458736:AMK458813 AMK524272:AMK524349 AMK589808:AMK589885 AMK655344:AMK655421 AMK720880:AMK720957 AMK786416:AMK786493 AMK851952:AMK852029 AMK917488:AMK917565 AMK983024:AMK983101 AWG2:AWG61 AWG65520:AWG65597 AWG131056:AWG131133 AWG196592:AWG196669 AWG262128:AWG262205 AWG327664:AWG327741 AWG393200:AWG393277 AWG458736:AWG458813 AWG524272:AWG524349 AWG589808:AWG589885 AWG655344:AWG655421 AWG720880:AWG720957 AWG786416:AWG786493 AWG851952:AWG852029 AWG917488:AWG917565 AWG983024:AWG983101 BGC2:BGC61 BGC65520:BGC65597 BGC131056:BGC131133 BGC196592:BGC196669 BGC262128:BGC262205 BGC327664:BGC327741 BGC393200:BGC393277 BGC458736:BGC458813 BGC524272:BGC524349 BGC589808:BGC589885 BGC655344:BGC655421 BGC720880:BGC720957 BGC786416:BGC786493 BGC851952:BGC852029 BGC917488:BGC917565 BGC983024:BGC983101 BPY2:BPY61 BPY65520:BPY65597 BPY131056:BPY131133 BPY196592:BPY196669 BPY262128:BPY262205 BPY327664:BPY327741 BPY393200:BPY393277 BPY458736:BPY458813 BPY524272:BPY524349 BPY589808:BPY589885 BPY655344:BPY655421 BPY720880:BPY720957 BPY786416:BPY786493 BPY851952:BPY852029 BPY917488:BPY917565 BPY983024:BPY983101 BZU2:BZU61 BZU65520:BZU65597 BZU131056:BZU131133 BZU196592:BZU196669 BZU262128:BZU262205 BZU327664:BZU327741 BZU393200:BZU393277 BZU458736:BZU458813 BZU524272:BZU524349 BZU589808:BZU589885 BZU655344:BZU655421 BZU720880:BZU720957 BZU786416:BZU786493 BZU851952:BZU852029 BZU917488:BZU917565 BZU983024:BZU983101 CJQ2:CJQ61 CJQ65520:CJQ65597 CJQ131056:CJQ131133 CJQ196592:CJQ196669 CJQ262128:CJQ262205 CJQ327664:CJQ327741 CJQ393200:CJQ393277 CJQ458736:CJQ458813 CJQ524272:CJQ524349 CJQ589808:CJQ589885 CJQ655344:CJQ655421 CJQ720880:CJQ720957 CJQ786416:CJQ786493 CJQ851952:CJQ852029 CJQ917488:CJQ917565 CJQ983024:CJQ983101 CTM2:CTM61 CTM65520:CTM65597 CTM131056:CTM131133 CTM196592:CTM196669 CTM262128:CTM262205 CTM327664:CTM327741 CTM393200:CTM393277 CTM458736:CTM458813 CTM524272:CTM524349 CTM589808:CTM589885 CTM655344:CTM655421 CTM720880:CTM720957 CTM786416:CTM786493 CTM851952:CTM852029 CTM917488:CTM917565 CTM983024:CTM983101 DDI2:DDI61 DDI65520:DDI65597 DDI131056:DDI131133 DDI196592:DDI196669 DDI262128:DDI262205 DDI327664:DDI327741 DDI393200:DDI393277 DDI458736:DDI458813 DDI524272:DDI524349 DDI589808:DDI589885 DDI655344:DDI655421 DDI720880:DDI720957 DDI786416:DDI786493 DDI851952:DDI852029 DDI917488:DDI917565 DDI983024:DDI983101 DNE2:DNE61 DNE65520:DNE65597 DNE131056:DNE131133 DNE196592:DNE196669 DNE262128:DNE262205 DNE327664:DNE327741 DNE393200:DNE393277 DNE458736:DNE458813 DNE524272:DNE524349 DNE589808:DNE589885 DNE655344:DNE655421 DNE720880:DNE720957 DNE786416:DNE786493 DNE851952:DNE852029 DNE917488:DNE917565 DNE983024:DNE983101 DXA2:DXA61 DXA65520:DXA65597 DXA131056:DXA131133 DXA196592:DXA196669 DXA262128:DXA262205 DXA327664:DXA327741 DXA393200:DXA393277 DXA458736:DXA458813 DXA524272:DXA524349 DXA589808:DXA589885 DXA655344:DXA655421 DXA720880:DXA720957 DXA786416:DXA786493 DXA851952:DXA852029 DXA917488:DXA917565 DXA983024:DXA983101 EGW2:EGW61 EGW65520:EGW65597 EGW131056:EGW131133 EGW196592:EGW196669 EGW262128:EGW262205 EGW327664:EGW327741 EGW393200:EGW393277 EGW458736:EGW458813 EGW524272:EGW524349 EGW589808:EGW589885 EGW655344:EGW655421 EGW720880:EGW720957 EGW786416:EGW786493 EGW851952:EGW852029 EGW917488:EGW917565 EGW983024:EGW983101 EQS2:EQS61 EQS65520:EQS65597 EQS131056:EQS131133 EQS196592:EQS196669 EQS262128:EQS262205 EQS327664:EQS327741 EQS393200:EQS393277 EQS458736:EQS458813 EQS524272:EQS524349 EQS589808:EQS589885 EQS655344:EQS655421 EQS720880:EQS720957 EQS786416:EQS786493 EQS851952:EQS852029 EQS917488:EQS917565 EQS983024:EQS983101 FAO2:FAO61 FAO65520:FAO65597 FAO131056:FAO131133 FAO196592:FAO196669 FAO262128:FAO262205 FAO327664:FAO327741 FAO393200:FAO393277 FAO458736:FAO458813 FAO524272:FAO524349 FAO589808:FAO589885 FAO655344:FAO655421 FAO720880:FAO720957 FAO786416:FAO786493 FAO851952:FAO852029 FAO917488:FAO917565 FAO983024:FAO983101 FKK2:FKK61 FKK65520:FKK65597 FKK131056:FKK131133 FKK196592:FKK196669 FKK262128:FKK262205 FKK327664:FKK327741 FKK393200:FKK393277 FKK458736:FKK458813 FKK524272:FKK524349 FKK589808:FKK589885 FKK655344:FKK655421 FKK720880:FKK720957 FKK786416:FKK786493 FKK851952:FKK852029 FKK917488:FKK917565 FKK983024:FKK983101 FUG2:FUG61 FUG65520:FUG65597 FUG131056:FUG131133 FUG196592:FUG196669 FUG262128:FUG262205 FUG327664:FUG327741 FUG393200:FUG393277 FUG458736:FUG458813 FUG524272:FUG524349 FUG589808:FUG589885 FUG655344:FUG655421 FUG720880:FUG720957 FUG786416:FUG786493 FUG851952:FUG852029 FUG917488:FUG917565 FUG983024:FUG983101 GEC2:GEC61 GEC65520:GEC65597 GEC131056:GEC131133 GEC196592:GEC196669 GEC262128:GEC262205 GEC327664:GEC327741 GEC393200:GEC393277 GEC458736:GEC458813 GEC524272:GEC524349 GEC589808:GEC589885 GEC655344:GEC655421 GEC720880:GEC720957 GEC786416:GEC786493 GEC851952:GEC852029 GEC917488:GEC917565 GEC983024:GEC983101 GNY2:GNY61 GNY65520:GNY65597 GNY131056:GNY131133 GNY196592:GNY196669 GNY262128:GNY262205 GNY327664:GNY327741 GNY393200:GNY393277 GNY458736:GNY458813 GNY524272:GNY524349 GNY589808:GNY589885 GNY655344:GNY655421 GNY720880:GNY720957 GNY786416:GNY786493 GNY851952:GNY852029 GNY917488:GNY917565 GNY983024:GNY983101 GXU2:GXU61 GXU65520:GXU65597 GXU131056:GXU131133 GXU196592:GXU196669 GXU262128:GXU262205 GXU327664:GXU327741 GXU393200:GXU393277 GXU458736:GXU458813 GXU524272:GXU524349 GXU589808:GXU589885 GXU655344:GXU655421 GXU720880:GXU720957 GXU786416:GXU786493 GXU851952:GXU852029 GXU917488:GXU917565 GXU983024:GXU983101 HHQ2:HHQ61 HHQ65520:HHQ65597 HHQ131056:HHQ131133 HHQ196592:HHQ196669 HHQ262128:HHQ262205 HHQ327664:HHQ327741 HHQ393200:HHQ393277 HHQ458736:HHQ458813 HHQ524272:HHQ524349 HHQ589808:HHQ589885 HHQ655344:HHQ655421 HHQ720880:HHQ720957 HHQ786416:HHQ786493 HHQ851952:HHQ852029 HHQ917488:HHQ917565 HHQ983024:HHQ983101 HRM2:HRM61 HRM65520:HRM65597 HRM131056:HRM131133 HRM196592:HRM196669 HRM262128:HRM262205 HRM327664:HRM327741 HRM393200:HRM393277 HRM458736:HRM458813 HRM524272:HRM524349 HRM589808:HRM589885 HRM655344:HRM655421 HRM720880:HRM720957 HRM786416:HRM786493 HRM851952:HRM852029 HRM917488:HRM917565 HRM983024:HRM983101 IBI2:IBI61 IBI65520:IBI65597 IBI131056:IBI131133 IBI196592:IBI196669 IBI262128:IBI262205 IBI327664:IBI327741 IBI393200:IBI393277 IBI458736:IBI458813 IBI524272:IBI524349 IBI589808:IBI589885 IBI655344:IBI655421 IBI720880:IBI720957 IBI786416:IBI786493 IBI851952:IBI852029 IBI917488:IBI917565 IBI983024:IBI983101 ILE2:ILE61 ILE65520:ILE65597 ILE131056:ILE131133 ILE196592:ILE196669 ILE262128:ILE262205 ILE327664:ILE327741 ILE393200:ILE393277 ILE458736:ILE458813 ILE524272:ILE524349 ILE589808:ILE589885 ILE655344:ILE655421 ILE720880:ILE720957 ILE786416:ILE786493 ILE851952:ILE852029 ILE917488:ILE917565 ILE983024:ILE983101 IVA2:IVA61 IVA65520:IVA65597 IVA131056:IVA131133 IVA196592:IVA196669 IVA262128:IVA262205 IVA327664:IVA327741 IVA393200:IVA393277 IVA458736:IVA458813 IVA524272:IVA524349 IVA589808:IVA589885 IVA655344:IVA655421 IVA720880:IVA720957 IVA786416:IVA786493 IVA851952:IVA852029 IVA917488:IVA917565 IVA983024:IVA983101 JEW2:JEW61 JEW65520:JEW65597 JEW131056:JEW131133 JEW196592:JEW196669 JEW262128:JEW262205 JEW327664:JEW327741 JEW393200:JEW393277 JEW458736:JEW458813 JEW524272:JEW524349 JEW589808:JEW589885 JEW655344:JEW655421 JEW720880:JEW720957 JEW786416:JEW786493 JEW851952:JEW852029 JEW917488:JEW917565 JEW983024:JEW983101 JOS2:JOS61 JOS65520:JOS65597 JOS131056:JOS131133 JOS196592:JOS196669 JOS262128:JOS262205 JOS327664:JOS327741 JOS393200:JOS393277 JOS458736:JOS458813 JOS524272:JOS524349 JOS589808:JOS589885 JOS655344:JOS655421 JOS720880:JOS720957 JOS786416:JOS786493 JOS851952:JOS852029 JOS917488:JOS917565 JOS983024:JOS983101 JYO2:JYO61 JYO65520:JYO65597 JYO131056:JYO131133 JYO196592:JYO196669 JYO262128:JYO262205 JYO327664:JYO327741 JYO393200:JYO393277 JYO458736:JYO458813 JYO524272:JYO524349 JYO589808:JYO589885 JYO655344:JYO655421 JYO720880:JYO720957 JYO786416:JYO786493 JYO851952:JYO852029 JYO917488:JYO917565 JYO983024:JYO983101 KIK2:KIK61 KIK65520:KIK65597 KIK131056:KIK131133 KIK196592:KIK196669 KIK262128:KIK262205 KIK327664:KIK327741 KIK393200:KIK393277 KIK458736:KIK458813 KIK524272:KIK524349 KIK589808:KIK589885 KIK655344:KIK655421 KIK720880:KIK720957 KIK786416:KIK786493 KIK851952:KIK852029 KIK917488:KIK917565 KIK983024:KIK983101 KSG2:KSG61 KSG65520:KSG65597 KSG131056:KSG131133 KSG196592:KSG196669 KSG262128:KSG262205 KSG327664:KSG327741 KSG393200:KSG393277 KSG458736:KSG458813 KSG524272:KSG524349 KSG589808:KSG589885 KSG655344:KSG655421 KSG720880:KSG720957 KSG786416:KSG786493 KSG851952:KSG852029 KSG917488:KSG917565 KSG983024:KSG983101 LCC2:LCC61 LCC65520:LCC65597 LCC131056:LCC131133 LCC196592:LCC196669 LCC262128:LCC262205 LCC327664:LCC327741 LCC393200:LCC393277 LCC458736:LCC458813 LCC524272:LCC524349 LCC589808:LCC589885 LCC655344:LCC655421 LCC720880:LCC720957 LCC786416:LCC786493 LCC851952:LCC852029 LCC917488:LCC917565 LCC983024:LCC983101 LLY2:LLY61 LLY65520:LLY65597 LLY131056:LLY131133 LLY196592:LLY196669 LLY262128:LLY262205 LLY327664:LLY327741 LLY393200:LLY393277 LLY458736:LLY458813 LLY524272:LLY524349 LLY589808:LLY589885 LLY655344:LLY655421 LLY720880:LLY720957 LLY786416:LLY786493 LLY851952:LLY852029 LLY917488:LLY917565 LLY983024:LLY983101 LVU2:LVU61 LVU65520:LVU65597 LVU131056:LVU131133 LVU196592:LVU196669 LVU262128:LVU262205 LVU327664:LVU327741 LVU393200:LVU393277 LVU458736:LVU458813 LVU524272:LVU524349 LVU589808:LVU589885 LVU655344:LVU655421 LVU720880:LVU720957 LVU786416:LVU786493 LVU851952:LVU852029 LVU917488:LVU917565 LVU983024:LVU983101 MFQ2:MFQ61 MFQ65520:MFQ65597 MFQ131056:MFQ131133 MFQ196592:MFQ196669 MFQ262128:MFQ262205 MFQ327664:MFQ327741 MFQ393200:MFQ393277 MFQ458736:MFQ458813 MFQ524272:MFQ524349 MFQ589808:MFQ589885 MFQ655344:MFQ655421 MFQ720880:MFQ720957 MFQ786416:MFQ786493 MFQ851952:MFQ852029 MFQ917488:MFQ917565 MFQ983024:MFQ983101 MPM2:MPM61 MPM65520:MPM65597 MPM131056:MPM131133 MPM196592:MPM196669 MPM262128:MPM262205 MPM327664:MPM327741 MPM393200:MPM393277 MPM458736:MPM458813 MPM524272:MPM524349 MPM589808:MPM589885 MPM655344:MPM655421 MPM720880:MPM720957 MPM786416:MPM786493 MPM851952:MPM852029 MPM917488:MPM917565 MPM983024:MPM983101 MZI2:MZI61 MZI65520:MZI65597 MZI131056:MZI131133 MZI196592:MZI196669 MZI262128:MZI262205 MZI327664:MZI327741 MZI393200:MZI393277 MZI458736:MZI458813 MZI524272:MZI524349 MZI589808:MZI589885 MZI655344:MZI655421 MZI720880:MZI720957 MZI786416:MZI786493 MZI851952:MZI852029 MZI917488:MZI917565 MZI983024:MZI983101 NJE2:NJE61 NJE65520:NJE65597 NJE131056:NJE131133 NJE196592:NJE196669 NJE262128:NJE262205 NJE327664:NJE327741 NJE393200:NJE393277 NJE458736:NJE458813 NJE524272:NJE524349 NJE589808:NJE589885 NJE655344:NJE655421 NJE720880:NJE720957 NJE786416:NJE786493 NJE851952:NJE852029 NJE917488:NJE917565 NJE983024:NJE983101 NTA2:NTA61 NTA65520:NTA65597 NTA131056:NTA131133 NTA196592:NTA196669 NTA262128:NTA262205 NTA327664:NTA327741 NTA393200:NTA393277 NTA458736:NTA458813 NTA524272:NTA524349 NTA589808:NTA589885 NTA655344:NTA655421 NTA720880:NTA720957 NTA786416:NTA786493 NTA851952:NTA852029 NTA917488:NTA917565 NTA983024:NTA983101 OCW2:OCW61 OCW65520:OCW65597 OCW131056:OCW131133 OCW196592:OCW196669 OCW262128:OCW262205 OCW327664:OCW327741 OCW393200:OCW393277 OCW458736:OCW458813 OCW524272:OCW524349 OCW589808:OCW589885 OCW655344:OCW655421 OCW720880:OCW720957 OCW786416:OCW786493 OCW851952:OCW852029 OCW917488:OCW917565 OCW983024:OCW983101 OMS2:OMS61 OMS65520:OMS65597 OMS131056:OMS131133 OMS196592:OMS196669 OMS262128:OMS262205 OMS327664:OMS327741 OMS393200:OMS393277 OMS458736:OMS458813 OMS524272:OMS524349 OMS589808:OMS589885 OMS655344:OMS655421 OMS720880:OMS720957 OMS786416:OMS786493 OMS851952:OMS852029 OMS917488:OMS917565 OMS983024:OMS983101 OWO2:OWO61 OWO65520:OWO65597 OWO131056:OWO131133 OWO196592:OWO196669 OWO262128:OWO262205 OWO327664:OWO327741 OWO393200:OWO393277 OWO458736:OWO458813 OWO524272:OWO524349 OWO589808:OWO589885 OWO655344:OWO655421 OWO720880:OWO720957 OWO786416:OWO786493 OWO851952:OWO852029 OWO917488:OWO917565 OWO983024:OWO983101 PGK2:PGK61 PGK65520:PGK65597 PGK131056:PGK131133 PGK196592:PGK196669 PGK262128:PGK262205 PGK327664:PGK327741 PGK393200:PGK393277 PGK458736:PGK458813 PGK524272:PGK524349 PGK589808:PGK589885 PGK655344:PGK655421 PGK720880:PGK720957 PGK786416:PGK786493 PGK851952:PGK852029 PGK917488:PGK917565 PGK983024:PGK983101 PQG2:PQG61 PQG65520:PQG65597 PQG131056:PQG131133 PQG196592:PQG196669 PQG262128:PQG262205 PQG327664:PQG327741 PQG393200:PQG393277 PQG458736:PQG458813 PQG524272:PQG524349 PQG589808:PQG589885 PQG655344:PQG655421 PQG720880:PQG720957 PQG786416:PQG786493 PQG851952:PQG852029 PQG917488:PQG917565 PQG983024:PQG983101 QAC2:QAC61 QAC65520:QAC65597 QAC131056:QAC131133 QAC196592:QAC196669 QAC262128:QAC262205 QAC327664:QAC327741 QAC393200:QAC393277 QAC458736:QAC458813 QAC524272:QAC524349 QAC589808:QAC589885 QAC655344:QAC655421 QAC720880:QAC720957 QAC786416:QAC786493 QAC851952:QAC852029 QAC917488:QAC917565 QAC983024:QAC983101 QJY2:QJY61 QJY65520:QJY65597 QJY131056:QJY131133 QJY196592:QJY196669 QJY262128:QJY262205 QJY327664:QJY327741 QJY393200:QJY393277 QJY458736:QJY458813 QJY524272:QJY524349 QJY589808:QJY589885 QJY655344:QJY655421 QJY720880:QJY720957 QJY786416:QJY786493 QJY851952:QJY852029 QJY917488:QJY917565 QJY983024:QJY983101 QTU2:QTU61 QTU65520:QTU65597 QTU131056:QTU131133 QTU196592:QTU196669 QTU262128:QTU262205 QTU327664:QTU327741 QTU393200:QTU393277 QTU458736:QTU458813 QTU524272:QTU524349 QTU589808:QTU589885 QTU655344:QTU655421 QTU720880:QTU720957 QTU786416:QTU786493 QTU851952:QTU852029 QTU917488:QTU917565 QTU983024:QTU983101 RDQ2:RDQ61 RDQ65520:RDQ65597 RDQ131056:RDQ131133 RDQ196592:RDQ196669 RDQ262128:RDQ262205 RDQ327664:RDQ327741 RDQ393200:RDQ393277 RDQ458736:RDQ458813 RDQ524272:RDQ524349 RDQ589808:RDQ589885 RDQ655344:RDQ655421 RDQ720880:RDQ720957 RDQ786416:RDQ786493 RDQ851952:RDQ852029 RDQ917488:RDQ917565 RDQ983024:RDQ983101 RNM2:RNM61 RNM65520:RNM65597 RNM131056:RNM131133 RNM196592:RNM196669 RNM262128:RNM262205 RNM327664:RNM327741 RNM393200:RNM393277 RNM458736:RNM458813 RNM524272:RNM524349 RNM589808:RNM589885 RNM655344:RNM655421 RNM720880:RNM720957 RNM786416:RNM786493 RNM851952:RNM852029 RNM917488:RNM917565 RNM983024:RNM983101 RXI2:RXI61 RXI65520:RXI65597 RXI131056:RXI131133 RXI196592:RXI196669 RXI262128:RXI262205 RXI327664:RXI327741 RXI393200:RXI393277 RXI458736:RXI458813 RXI524272:RXI524349 RXI589808:RXI589885 RXI655344:RXI655421 RXI720880:RXI720957 RXI786416:RXI786493 RXI851952:RXI852029 RXI917488:RXI917565 RXI983024:RXI983101 SHE2:SHE61 SHE65520:SHE65597 SHE131056:SHE131133 SHE196592:SHE196669 SHE262128:SHE262205 SHE327664:SHE327741 SHE393200:SHE393277 SHE458736:SHE458813 SHE524272:SHE524349 SHE589808:SHE589885 SHE655344:SHE655421 SHE720880:SHE720957 SHE786416:SHE786493 SHE851952:SHE852029 SHE917488:SHE917565 SHE983024:SHE983101 SRA2:SRA61 SRA65520:SRA65597 SRA131056:SRA131133 SRA196592:SRA196669 SRA262128:SRA262205 SRA327664:SRA327741 SRA393200:SRA393277 SRA458736:SRA458813 SRA524272:SRA524349 SRA589808:SRA589885 SRA655344:SRA655421 SRA720880:SRA720957 SRA786416:SRA786493 SRA851952:SRA852029 SRA917488:SRA917565 SRA983024:SRA983101 TAW2:TAW61 TAW65520:TAW65597 TAW131056:TAW131133 TAW196592:TAW196669 TAW262128:TAW262205 TAW327664:TAW327741 TAW393200:TAW393277 TAW458736:TAW458813 TAW524272:TAW524349 TAW589808:TAW589885 TAW655344:TAW655421 TAW720880:TAW720957 TAW786416:TAW786493 TAW851952:TAW852029 TAW917488:TAW917565 TAW983024:TAW983101 TKS2:TKS61 TKS65520:TKS65597 TKS131056:TKS131133 TKS196592:TKS196669 TKS262128:TKS262205 TKS327664:TKS327741 TKS393200:TKS393277 TKS458736:TKS458813 TKS524272:TKS524349 TKS589808:TKS589885 TKS655344:TKS655421 TKS720880:TKS720957 TKS786416:TKS786493 TKS851952:TKS852029 TKS917488:TKS917565 TKS983024:TKS983101 TUO2:TUO61 TUO65520:TUO65597 TUO131056:TUO131133 TUO196592:TUO196669 TUO262128:TUO262205 TUO327664:TUO327741 TUO393200:TUO393277 TUO458736:TUO458813 TUO524272:TUO524349 TUO589808:TUO589885 TUO655344:TUO655421 TUO720880:TUO720957 TUO786416:TUO786493 TUO851952:TUO852029 TUO917488:TUO917565 TUO983024:TUO983101 UEK2:UEK61 UEK65520:UEK65597 UEK131056:UEK131133 UEK196592:UEK196669 UEK262128:UEK262205 UEK327664:UEK327741 UEK393200:UEK393277 UEK458736:UEK458813 UEK524272:UEK524349 UEK589808:UEK589885 UEK655344:UEK655421 UEK720880:UEK720957 UEK786416:UEK786493 UEK851952:UEK852029 UEK917488:UEK917565 UEK983024:UEK983101 UOG2:UOG61 UOG65520:UOG65597 UOG131056:UOG131133 UOG196592:UOG196669 UOG262128:UOG262205 UOG327664:UOG327741 UOG393200:UOG393277 UOG458736:UOG458813 UOG524272:UOG524349 UOG589808:UOG589885 UOG655344:UOG655421 UOG720880:UOG720957 UOG786416:UOG786493 UOG851952:UOG852029 UOG917488:UOG917565 UOG983024:UOG983101 UYC2:UYC61 UYC65520:UYC65597 UYC131056:UYC131133 UYC196592:UYC196669 UYC262128:UYC262205 UYC327664:UYC327741 UYC393200:UYC393277 UYC458736:UYC458813 UYC524272:UYC524349 UYC589808:UYC589885 UYC655344:UYC655421 UYC720880:UYC720957 UYC786416:UYC786493 UYC851952:UYC852029 UYC917488:UYC917565 UYC983024:UYC983101 VHY2:VHY61 VHY65520:VHY65597 VHY131056:VHY131133 VHY196592:VHY196669 VHY262128:VHY262205 VHY327664:VHY327741 VHY393200:VHY393277 VHY458736:VHY458813 VHY524272:VHY524349 VHY589808:VHY589885 VHY655344:VHY655421 VHY720880:VHY720957 VHY786416:VHY786493 VHY851952:VHY852029 VHY917488:VHY917565 VHY983024:VHY983101 VRU2:VRU61 VRU65520:VRU65597 VRU131056:VRU131133 VRU196592:VRU196669 VRU262128:VRU262205 VRU327664:VRU327741 VRU393200:VRU393277 VRU458736:VRU458813 VRU524272:VRU524349 VRU589808:VRU589885 VRU655344:VRU655421 VRU720880:VRU720957 VRU786416:VRU786493 VRU851952:VRU852029 VRU917488:VRU917565 VRU983024:VRU983101 WBQ2:WBQ61 WBQ65520:WBQ65597 WBQ131056:WBQ131133 WBQ196592:WBQ196669 WBQ262128:WBQ262205 WBQ327664:WBQ327741 WBQ393200:WBQ393277 WBQ458736:WBQ458813 WBQ524272:WBQ524349 WBQ589808:WBQ589885 WBQ655344:WBQ655421 WBQ720880:WBQ720957 WBQ786416:WBQ786493 WBQ851952:WBQ852029 WBQ917488:WBQ917565 WBQ983024:WBQ983101 WLM2:WLM61 WLM65520:WLM65597 WLM131056:WLM131133 WLM196592:WLM196669 WLM262128:WLM262205 WLM327664:WLM327741 WLM393200:WLM393277 WLM458736:WLM458813 WLM524272:WLM524349 WLM589808:WLM589885 WLM655344:WLM655421 WLM720880:WLM720957 WLM786416:WLM786493 WLM851952:WLM852029 WLM917488:WLM917565 WLM983024:WLM983101 WVI2:WVI61 WVI65520:WVI65597 WVI131056:WVI131133 WVI196592:WVI196669 WVI262128:WVI262205 WVI327664:WVI327741 WVI393200:WVI393277 WVI458736:WVI458813 WVI524272:WVI524349 WVI589808:WVI589885 WVI655344:WVI655421 WVI720880:WVI720957 WVI786416:WVI786493 WVI851952:WVI852029 WVI917488:WVI917565 WVI983024:WVI983101">
      <formula1>$AE$2:$AE$19</formula1>
    </dataValidation>
    <dataValidation type="list" allowBlank="1" showInputMessage="1" showErrorMessage="1" sqref="G2:G482 G65520:G65597 G131056:G131133 G196592:G196669 G262128:G262205 G327664:G327741 G393200:G393277 G458736:G458813 G524272:G524349 G589808:G589885 G655344:G655421 G720880:G720957 G786416:G786493 G851952:G852029 G917488:G917565 G983024:G983101 JC2:JC61 JC65520:JC65597 JC131056:JC131133 JC196592:JC196669 JC262128:JC262205 JC327664:JC327741 JC393200:JC393277 JC458736:JC458813 JC524272:JC524349 JC589808:JC589885 JC655344:JC655421 JC720880:JC720957 JC786416:JC786493 JC851952:JC852029 JC917488:JC917565 JC983024:JC983101 SY2:SY61 SY65520:SY65597 SY131056:SY131133 SY196592:SY196669 SY262128:SY262205 SY327664:SY327741 SY393200:SY393277 SY458736:SY458813 SY524272:SY524349 SY589808:SY589885 SY655344:SY655421 SY720880:SY720957 SY786416:SY786493 SY851952:SY852029 SY917488:SY917565 SY983024:SY983101 ACU2:ACU61 ACU65520:ACU65597 ACU131056:ACU131133 ACU196592:ACU196669 ACU262128:ACU262205 ACU327664:ACU327741 ACU393200:ACU393277 ACU458736:ACU458813 ACU524272:ACU524349 ACU589808:ACU589885 ACU655344:ACU655421 ACU720880:ACU720957 ACU786416:ACU786493 ACU851952:ACU852029 ACU917488:ACU917565 ACU983024:ACU983101 AMQ2:AMQ61 AMQ65520:AMQ65597 AMQ131056:AMQ131133 AMQ196592:AMQ196669 AMQ262128:AMQ262205 AMQ327664:AMQ327741 AMQ393200:AMQ393277 AMQ458736:AMQ458813 AMQ524272:AMQ524349 AMQ589808:AMQ589885 AMQ655344:AMQ655421 AMQ720880:AMQ720957 AMQ786416:AMQ786493 AMQ851952:AMQ852029 AMQ917488:AMQ917565 AMQ983024:AMQ983101 AWM2:AWM61 AWM65520:AWM65597 AWM131056:AWM131133 AWM196592:AWM196669 AWM262128:AWM262205 AWM327664:AWM327741 AWM393200:AWM393277 AWM458736:AWM458813 AWM524272:AWM524349 AWM589808:AWM589885 AWM655344:AWM655421 AWM720880:AWM720957 AWM786416:AWM786493 AWM851952:AWM852029 AWM917488:AWM917565 AWM983024:AWM983101 BGI2:BGI61 BGI65520:BGI65597 BGI131056:BGI131133 BGI196592:BGI196669 BGI262128:BGI262205 BGI327664:BGI327741 BGI393200:BGI393277 BGI458736:BGI458813 BGI524272:BGI524349 BGI589808:BGI589885 BGI655344:BGI655421 BGI720880:BGI720957 BGI786416:BGI786493 BGI851952:BGI852029 BGI917488:BGI917565 BGI983024:BGI983101 BQE2:BQE61 BQE65520:BQE65597 BQE131056:BQE131133 BQE196592:BQE196669 BQE262128:BQE262205 BQE327664:BQE327741 BQE393200:BQE393277 BQE458736:BQE458813 BQE524272:BQE524349 BQE589808:BQE589885 BQE655344:BQE655421 BQE720880:BQE720957 BQE786416:BQE786493 BQE851952:BQE852029 BQE917488:BQE917565 BQE983024:BQE983101 CAA2:CAA61 CAA65520:CAA65597 CAA131056:CAA131133 CAA196592:CAA196669 CAA262128:CAA262205 CAA327664:CAA327741 CAA393200:CAA393277 CAA458736:CAA458813 CAA524272:CAA524349 CAA589808:CAA589885 CAA655344:CAA655421 CAA720880:CAA720957 CAA786416:CAA786493 CAA851952:CAA852029 CAA917488:CAA917565 CAA983024:CAA983101 CJW2:CJW61 CJW65520:CJW65597 CJW131056:CJW131133 CJW196592:CJW196669 CJW262128:CJW262205 CJW327664:CJW327741 CJW393200:CJW393277 CJW458736:CJW458813 CJW524272:CJW524349 CJW589808:CJW589885 CJW655344:CJW655421 CJW720880:CJW720957 CJW786416:CJW786493 CJW851952:CJW852029 CJW917488:CJW917565 CJW983024:CJW983101 CTS2:CTS61 CTS65520:CTS65597 CTS131056:CTS131133 CTS196592:CTS196669 CTS262128:CTS262205 CTS327664:CTS327741 CTS393200:CTS393277 CTS458736:CTS458813 CTS524272:CTS524349 CTS589808:CTS589885 CTS655344:CTS655421 CTS720880:CTS720957 CTS786416:CTS786493 CTS851952:CTS852029 CTS917488:CTS917565 CTS983024:CTS983101 DDO2:DDO61 DDO65520:DDO65597 DDO131056:DDO131133 DDO196592:DDO196669 DDO262128:DDO262205 DDO327664:DDO327741 DDO393200:DDO393277 DDO458736:DDO458813 DDO524272:DDO524349 DDO589808:DDO589885 DDO655344:DDO655421 DDO720880:DDO720957 DDO786416:DDO786493 DDO851952:DDO852029 DDO917488:DDO917565 DDO983024:DDO983101 DNK2:DNK61 DNK65520:DNK65597 DNK131056:DNK131133 DNK196592:DNK196669 DNK262128:DNK262205 DNK327664:DNK327741 DNK393200:DNK393277 DNK458736:DNK458813 DNK524272:DNK524349 DNK589808:DNK589885 DNK655344:DNK655421 DNK720880:DNK720957 DNK786416:DNK786493 DNK851952:DNK852029 DNK917488:DNK917565 DNK983024:DNK983101 DXG2:DXG61 DXG65520:DXG65597 DXG131056:DXG131133 DXG196592:DXG196669 DXG262128:DXG262205 DXG327664:DXG327741 DXG393200:DXG393277 DXG458736:DXG458813 DXG524272:DXG524349 DXG589808:DXG589885 DXG655344:DXG655421 DXG720880:DXG720957 DXG786416:DXG786493 DXG851952:DXG852029 DXG917488:DXG917565 DXG983024:DXG983101 EHC2:EHC61 EHC65520:EHC65597 EHC131056:EHC131133 EHC196592:EHC196669 EHC262128:EHC262205 EHC327664:EHC327741 EHC393200:EHC393277 EHC458736:EHC458813 EHC524272:EHC524349 EHC589808:EHC589885 EHC655344:EHC655421 EHC720880:EHC720957 EHC786416:EHC786493 EHC851952:EHC852029 EHC917488:EHC917565 EHC983024:EHC983101 EQY2:EQY61 EQY65520:EQY65597 EQY131056:EQY131133 EQY196592:EQY196669 EQY262128:EQY262205 EQY327664:EQY327741 EQY393200:EQY393277 EQY458736:EQY458813 EQY524272:EQY524349 EQY589808:EQY589885 EQY655344:EQY655421 EQY720880:EQY720957 EQY786416:EQY786493 EQY851952:EQY852029 EQY917488:EQY917565 EQY983024:EQY983101 FAU2:FAU61 FAU65520:FAU65597 FAU131056:FAU131133 FAU196592:FAU196669 FAU262128:FAU262205 FAU327664:FAU327741 FAU393200:FAU393277 FAU458736:FAU458813 FAU524272:FAU524349 FAU589808:FAU589885 FAU655344:FAU655421 FAU720880:FAU720957 FAU786416:FAU786493 FAU851952:FAU852029 FAU917488:FAU917565 FAU983024:FAU983101 FKQ2:FKQ61 FKQ65520:FKQ65597 FKQ131056:FKQ131133 FKQ196592:FKQ196669 FKQ262128:FKQ262205 FKQ327664:FKQ327741 FKQ393200:FKQ393277 FKQ458736:FKQ458813 FKQ524272:FKQ524349 FKQ589808:FKQ589885 FKQ655344:FKQ655421 FKQ720880:FKQ720957 FKQ786416:FKQ786493 FKQ851952:FKQ852029 FKQ917488:FKQ917565 FKQ983024:FKQ983101 FUM2:FUM61 FUM65520:FUM65597 FUM131056:FUM131133 FUM196592:FUM196669 FUM262128:FUM262205 FUM327664:FUM327741 FUM393200:FUM393277 FUM458736:FUM458813 FUM524272:FUM524349 FUM589808:FUM589885 FUM655344:FUM655421 FUM720880:FUM720957 FUM786416:FUM786493 FUM851952:FUM852029 FUM917488:FUM917565 FUM983024:FUM983101 GEI2:GEI61 GEI65520:GEI65597 GEI131056:GEI131133 GEI196592:GEI196669 GEI262128:GEI262205 GEI327664:GEI327741 GEI393200:GEI393277 GEI458736:GEI458813 GEI524272:GEI524349 GEI589808:GEI589885 GEI655344:GEI655421 GEI720880:GEI720957 GEI786416:GEI786493 GEI851952:GEI852029 GEI917488:GEI917565 GEI983024:GEI983101 GOE2:GOE61 GOE65520:GOE65597 GOE131056:GOE131133 GOE196592:GOE196669 GOE262128:GOE262205 GOE327664:GOE327741 GOE393200:GOE393277 GOE458736:GOE458813 GOE524272:GOE524349 GOE589808:GOE589885 GOE655344:GOE655421 GOE720880:GOE720957 GOE786416:GOE786493 GOE851952:GOE852029 GOE917488:GOE917565 GOE983024:GOE983101 GYA2:GYA61 GYA65520:GYA65597 GYA131056:GYA131133 GYA196592:GYA196669 GYA262128:GYA262205 GYA327664:GYA327741 GYA393200:GYA393277 GYA458736:GYA458813 GYA524272:GYA524349 GYA589808:GYA589885 GYA655344:GYA655421 GYA720880:GYA720957 GYA786416:GYA786493 GYA851952:GYA852029 GYA917488:GYA917565 GYA983024:GYA983101 HHW2:HHW61 HHW65520:HHW65597 HHW131056:HHW131133 HHW196592:HHW196669 HHW262128:HHW262205 HHW327664:HHW327741 HHW393200:HHW393277 HHW458736:HHW458813 HHW524272:HHW524349 HHW589808:HHW589885 HHW655344:HHW655421 HHW720880:HHW720957 HHW786416:HHW786493 HHW851952:HHW852029 HHW917488:HHW917565 HHW983024:HHW983101 HRS2:HRS61 HRS65520:HRS65597 HRS131056:HRS131133 HRS196592:HRS196669 HRS262128:HRS262205 HRS327664:HRS327741 HRS393200:HRS393277 HRS458736:HRS458813 HRS524272:HRS524349 HRS589808:HRS589885 HRS655344:HRS655421 HRS720880:HRS720957 HRS786416:HRS786493 HRS851952:HRS852029 HRS917488:HRS917565 HRS983024:HRS983101 IBO2:IBO61 IBO65520:IBO65597 IBO131056:IBO131133 IBO196592:IBO196669 IBO262128:IBO262205 IBO327664:IBO327741 IBO393200:IBO393277 IBO458736:IBO458813 IBO524272:IBO524349 IBO589808:IBO589885 IBO655344:IBO655421 IBO720880:IBO720957 IBO786416:IBO786493 IBO851952:IBO852029 IBO917488:IBO917565 IBO983024:IBO983101 ILK2:ILK61 ILK65520:ILK65597 ILK131056:ILK131133 ILK196592:ILK196669 ILK262128:ILK262205 ILK327664:ILK327741 ILK393200:ILK393277 ILK458736:ILK458813 ILK524272:ILK524349 ILK589808:ILK589885 ILK655344:ILK655421 ILK720880:ILK720957 ILK786416:ILK786493 ILK851952:ILK852029 ILK917488:ILK917565 ILK983024:ILK983101 IVG2:IVG61 IVG65520:IVG65597 IVG131056:IVG131133 IVG196592:IVG196669 IVG262128:IVG262205 IVG327664:IVG327741 IVG393200:IVG393277 IVG458736:IVG458813 IVG524272:IVG524349 IVG589808:IVG589885 IVG655344:IVG655421 IVG720880:IVG720957 IVG786416:IVG786493 IVG851952:IVG852029 IVG917488:IVG917565 IVG983024:IVG983101 JFC2:JFC61 JFC65520:JFC65597 JFC131056:JFC131133 JFC196592:JFC196669 JFC262128:JFC262205 JFC327664:JFC327741 JFC393200:JFC393277 JFC458736:JFC458813 JFC524272:JFC524349 JFC589808:JFC589885 JFC655344:JFC655421 JFC720880:JFC720957 JFC786416:JFC786493 JFC851952:JFC852029 JFC917488:JFC917565 JFC983024:JFC983101 JOY2:JOY61 JOY65520:JOY65597 JOY131056:JOY131133 JOY196592:JOY196669 JOY262128:JOY262205 JOY327664:JOY327741 JOY393200:JOY393277 JOY458736:JOY458813 JOY524272:JOY524349 JOY589808:JOY589885 JOY655344:JOY655421 JOY720880:JOY720957 JOY786416:JOY786493 JOY851952:JOY852029 JOY917488:JOY917565 JOY983024:JOY983101 JYU2:JYU61 JYU65520:JYU65597 JYU131056:JYU131133 JYU196592:JYU196669 JYU262128:JYU262205 JYU327664:JYU327741 JYU393200:JYU393277 JYU458736:JYU458813 JYU524272:JYU524349 JYU589808:JYU589885 JYU655344:JYU655421 JYU720880:JYU720957 JYU786416:JYU786493 JYU851952:JYU852029 JYU917488:JYU917565 JYU983024:JYU983101 KIQ2:KIQ61 KIQ65520:KIQ65597 KIQ131056:KIQ131133 KIQ196592:KIQ196669 KIQ262128:KIQ262205 KIQ327664:KIQ327741 KIQ393200:KIQ393277 KIQ458736:KIQ458813 KIQ524272:KIQ524349 KIQ589808:KIQ589885 KIQ655344:KIQ655421 KIQ720880:KIQ720957 KIQ786416:KIQ786493 KIQ851952:KIQ852029 KIQ917488:KIQ917565 KIQ983024:KIQ983101 KSM2:KSM61 KSM65520:KSM65597 KSM131056:KSM131133 KSM196592:KSM196669 KSM262128:KSM262205 KSM327664:KSM327741 KSM393200:KSM393277 KSM458736:KSM458813 KSM524272:KSM524349 KSM589808:KSM589885 KSM655344:KSM655421 KSM720880:KSM720957 KSM786416:KSM786493 KSM851952:KSM852029 KSM917488:KSM917565 KSM983024:KSM983101 LCI2:LCI61 LCI65520:LCI65597 LCI131056:LCI131133 LCI196592:LCI196669 LCI262128:LCI262205 LCI327664:LCI327741 LCI393200:LCI393277 LCI458736:LCI458813 LCI524272:LCI524349 LCI589808:LCI589885 LCI655344:LCI655421 LCI720880:LCI720957 LCI786416:LCI786493 LCI851952:LCI852029 LCI917488:LCI917565 LCI983024:LCI983101 LME2:LME61 LME65520:LME65597 LME131056:LME131133 LME196592:LME196669 LME262128:LME262205 LME327664:LME327741 LME393200:LME393277 LME458736:LME458813 LME524272:LME524349 LME589808:LME589885 LME655344:LME655421 LME720880:LME720957 LME786416:LME786493 LME851952:LME852029 LME917488:LME917565 LME983024:LME983101 LWA2:LWA61 LWA65520:LWA65597 LWA131056:LWA131133 LWA196592:LWA196669 LWA262128:LWA262205 LWA327664:LWA327741 LWA393200:LWA393277 LWA458736:LWA458813 LWA524272:LWA524349 LWA589808:LWA589885 LWA655344:LWA655421 LWA720880:LWA720957 LWA786416:LWA786493 LWA851952:LWA852029 LWA917488:LWA917565 LWA983024:LWA983101 MFW2:MFW61 MFW65520:MFW65597 MFW131056:MFW131133 MFW196592:MFW196669 MFW262128:MFW262205 MFW327664:MFW327741 MFW393200:MFW393277 MFW458736:MFW458813 MFW524272:MFW524349 MFW589808:MFW589885 MFW655344:MFW655421 MFW720880:MFW720957 MFW786416:MFW786493 MFW851952:MFW852029 MFW917488:MFW917565 MFW983024:MFW983101 MPS2:MPS61 MPS65520:MPS65597 MPS131056:MPS131133 MPS196592:MPS196669 MPS262128:MPS262205 MPS327664:MPS327741 MPS393200:MPS393277 MPS458736:MPS458813 MPS524272:MPS524349 MPS589808:MPS589885 MPS655344:MPS655421 MPS720880:MPS720957 MPS786416:MPS786493 MPS851952:MPS852029 MPS917488:MPS917565 MPS983024:MPS983101 MZO2:MZO61 MZO65520:MZO65597 MZO131056:MZO131133 MZO196592:MZO196669 MZO262128:MZO262205 MZO327664:MZO327741 MZO393200:MZO393277 MZO458736:MZO458813 MZO524272:MZO524349 MZO589808:MZO589885 MZO655344:MZO655421 MZO720880:MZO720957 MZO786416:MZO786493 MZO851952:MZO852029 MZO917488:MZO917565 MZO983024:MZO983101 NJK2:NJK61 NJK65520:NJK65597 NJK131056:NJK131133 NJK196592:NJK196669 NJK262128:NJK262205 NJK327664:NJK327741 NJK393200:NJK393277 NJK458736:NJK458813 NJK524272:NJK524349 NJK589808:NJK589885 NJK655344:NJK655421 NJK720880:NJK720957 NJK786416:NJK786493 NJK851952:NJK852029 NJK917488:NJK917565 NJK983024:NJK983101 NTG2:NTG61 NTG65520:NTG65597 NTG131056:NTG131133 NTG196592:NTG196669 NTG262128:NTG262205 NTG327664:NTG327741 NTG393200:NTG393277 NTG458736:NTG458813 NTG524272:NTG524349 NTG589808:NTG589885 NTG655344:NTG655421 NTG720880:NTG720957 NTG786416:NTG786493 NTG851952:NTG852029 NTG917488:NTG917565 NTG983024:NTG983101 ODC2:ODC61 ODC65520:ODC65597 ODC131056:ODC131133 ODC196592:ODC196669 ODC262128:ODC262205 ODC327664:ODC327741 ODC393200:ODC393277 ODC458736:ODC458813 ODC524272:ODC524349 ODC589808:ODC589885 ODC655344:ODC655421 ODC720880:ODC720957 ODC786416:ODC786493 ODC851952:ODC852029 ODC917488:ODC917565 ODC983024:ODC983101 OMY2:OMY61 OMY65520:OMY65597 OMY131056:OMY131133 OMY196592:OMY196669 OMY262128:OMY262205 OMY327664:OMY327741 OMY393200:OMY393277 OMY458736:OMY458813 OMY524272:OMY524349 OMY589808:OMY589885 OMY655344:OMY655421 OMY720880:OMY720957 OMY786416:OMY786493 OMY851952:OMY852029 OMY917488:OMY917565 OMY983024:OMY983101 OWU2:OWU61 OWU65520:OWU65597 OWU131056:OWU131133 OWU196592:OWU196669 OWU262128:OWU262205 OWU327664:OWU327741 OWU393200:OWU393277 OWU458736:OWU458813 OWU524272:OWU524349 OWU589808:OWU589885 OWU655344:OWU655421 OWU720880:OWU720957 OWU786416:OWU786493 OWU851952:OWU852029 OWU917488:OWU917565 OWU983024:OWU983101 PGQ2:PGQ61 PGQ65520:PGQ65597 PGQ131056:PGQ131133 PGQ196592:PGQ196669 PGQ262128:PGQ262205 PGQ327664:PGQ327741 PGQ393200:PGQ393277 PGQ458736:PGQ458813 PGQ524272:PGQ524349 PGQ589808:PGQ589885 PGQ655344:PGQ655421 PGQ720880:PGQ720957 PGQ786416:PGQ786493 PGQ851952:PGQ852029 PGQ917488:PGQ917565 PGQ983024:PGQ983101 PQM2:PQM61 PQM65520:PQM65597 PQM131056:PQM131133 PQM196592:PQM196669 PQM262128:PQM262205 PQM327664:PQM327741 PQM393200:PQM393277 PQM458736:PQM458813 PQM524272:PQM524349 PQM589808:PQM589885 PQM655344:PQM655421 PQM720880:PQM720957 PQM786416:PQM786493 PQM851952:PQM852029 PQM917488:PQM917565 PQM983024:PQM983101 QAI2:QAI61 QAI65520:QAI65597 QAI131056:QAI131133 QAI196592:QAI196669 QAI262128:QAI262205 QAI327664:QAI327741 QAI393200:QAI393277 QAI458736:QAI458813 QAI524272:QAI524349 QAI589808:QAI589885 QAI655344:QAI655421 QAI720880:QAI720957 QAI786416:QAI786493 QAI851952:QAI852029 QAI917488:QAI917565 QAI983024:QAI983101 QKE2:QKE61 QKE65520:QKE65597 QKE131056:QKE131133 QKE196592:QKE196669 QKE262128:QKE262205 QKE327664:QKE327741 QKE393200:QKE393277 QKE458736:QKE458813 QKE524272:QKE524349 QKE589808:QKE589885 QKE655344:QKE655421 QKE720880:QKE720957 QKE786416:QKE786493 QKE851952:QKE852029 QKE917488:QKE917565 QKE983024:QKE983101 QUA2:QUA61 QUA65520:QUA65597 QUA131056:QUA131133 QUA196592:QUA196669 QUA262128:QUA262205 QUA327664:QUA327741 QUA393200:QUA393277 QUA458736:QUA458813 QUA524272:QUA524349 QUA589808:QUA589885 QUA655344:QUA655421 QUA720880:QUA720957 QUA786416:QUA786493 QUA851952:QUA852029 QUA917488:QUA917565 QUA983024:QUA983101 RDW2:RDW61 RDW65520:RDW65597 RDW131056:RDW131133 RDW196592:RDW196669 RDW262128:RDW262205 RDW327664:RDW327741 RDW393200:RDW393277 RDW458736:RDW458813 RDW524272:RDW524349 RDW589808:RDW589885 RDW655344:RDW655421 RDW720880:RDW720957 RDW786416:RDW786493 RDW851952:RDW852029 RDW917488:RDW917565 RDW983024:RDW983101 RNS2:RNS61 RNS65520:RNS65597 RNS131056:RNS131133 RNS196592:RNS196669 RNS262128:RNS262205 RNS327664:RNS327741 RNS393200:RNS393277 RNS458736:RNS458813 RNS524272:RNS524349 RNS589808:RNS589885 RNS655344:RNS655421 RNS720880:RNS720957 RNS786416:RNS786493 RNS851952:RNS852029 RNS917488:RNS917565 RNS983024:RNS983101 RXO2:RXO61 RXO65520:RXO65597 RXO131056:RXO131133 RXO196592:RXO196669 RXO262128:RXO262205 RXO327664:RXO327741 RXO393200:RXO393277 RXO458736:RXO458813 RXO524272:RXO524349 RXO589808:RXO589885 RXO655344:RXO655421 RXO720880:RXO720957 RXO786416:RXO786493 RXO851952:RXO852029 RXO917488:RXO917565 RXO983024:RXO983101 SHK2:SHK61 SHK65520:SHK65597 SHK131056:SHK131133 SHK196592:SHK196669 SHK262128:SHK262205 SHK327664:SHK327741 SHK393200:SHK393277 SHK458736:SHK458813 SHK524272:SHK524349 SHK589808:SHK589885 SHK655344:SHK655421 SHK720880:SHK720957 SHK786416:SHK786493 SHK851952:SHK852029 SHK917488:SHK917565 SHK983024:SHK983101 SRG2:SRG61 SRG65520:SRG65597 SRG131056:SRG131133 SRG196592:SRG196669 SRG262128:SRG262205 SRG327664:SRG327741 SRG393200:SRG393277 SRG458736:SRG458813 SRG524272:SRG524349 SRG589808:SRG589885 SRG655344:SRG655421 SRG720880:SRG720957 SRG786416:SRG786493 SRG851952:SRG852029 SRG917488:SRG917565 SRG983024:SRG983101 TBC2:TBC61 TBC65520:TBC65597 TBC131056:TBC131133 TBC196592:TBC196669 TBC262128:TBC262205 TBC327664:TBC327741 TBC393200:TBC393277 TBC458736:TBC458813 TBC524272:TBC524349 TBC589808:TBC589885 TBC655344:TBC655421 TBC720880:TBC720957 TBC786416:TBC786493 TBC851952:TBC852029 TBC917488:TBC917565 TBC983024:TBC983101 TKY2:TKY61 TKY65520:TKY65597 TKY131056:TKY131133 TKY196592:TKY196669 TKY262128:TKY262205 TKY327664:TKY327741 TKY393200:TKY393277 TKY458736:TKY458813 TKY524272:TKY524349 TKY589808:TKY589885 TKY655344:TKY655421 TKY720880:TKY720957 TKY786416:TKY786493 TKY851952:TKY852029 TKY917488:TKY917565 TKY983024:TKY983101 TUU2:TUU61 TUU65520:TUU65597 TUU131056:TUU131133 TUU196592:TUU196669 TUU262128:TUU262205 TUU327664:TUU327741 TUU393200:TUU393277 TUU458736:TUU458813 TUU524272:TUU524349 TUU589808:TUU589885 TUU655344:TUU655421 TUU720880:TUU720957 TUU786416:TUU786493 TUU851952:TUU852029 TUU917488:TUU917565 TUU983024:TUU983101 UEQ2:UEQ61 UEQ65520:UEQ65597 UEQ131056:UEQ131133 UEQ196592:UEQ196669 UEQ262128:UEQ262205 UEQ327664:UEQ327741 UEQ393200:UEQ393277 UEQ458736:UEQ458813 UEQ524272:UEQ524349 UEQ589808:UEQ589885 UEQ655344:UEQ655421 UEQ720880:UEQ720957 UEQ786416:UEQ786493 UEQ851952:UEQ852029 UEQ917488:UEQ917565 UEQ983024:UEQ983101 UOM2:UOM61 UOM65520:UOM65597 UOM131056:UOM131133 UOM196592:UOM196669 UOM262128:UOM262205 UOM327664:UOM327741 UOM393200:UOM393277 UOM458736:UOM458813 UOM524272:UOM524349 UOM589808:UOM589885 UOM655344:UOM655421 UOM720880:UOM720957 UOM786416:UOM786493 UOM851952:UOM852029 UOM917488:UOM917565 UOM983024:UOM983101 UYI2:UYI61 UYI65520:UYI65597 UYI131056:UYI131133 UYI196592:UYI196669 UYI262128:UYI262205 UYI327664:UYI327741 UYI393200:UYI393277 UYI458736:UYI458813 UYI524272:UYI524349 UYI589808:UYI589885 UYI655344:UYI655421 UYI720880:UYI720957 UYI786416:UYI786493 UYI851952:UYI852029 UYI917488:UYI917565 UYI983024:UYI983101 VIE2:VIE61 VIE65520:VIE65597 VIE131056:VIE131133 VIE196592:VIE196669 VIE262128:VIE262205 VIE327664:VIE327741 VIE393200:VIE393277 VIE458736:VIE458813 VIE524272:VIE524349 VIE589808:VIE589885 VIE655344:VIE655421 VIE720880:VIE720957 VIE786416:VIE786493 VIE851952:VIE852029 VIE917488:VIE917565 VIE983024:VIE983101 VSA2:VSA61 VSA65520:VSA65597 VSA131056:VSA131133 VSA196592:VSA196669 VSA262128:VSA262205 VSA327664:VSA327741 VSA393200:VSA393277 VSA458736:VSA458813 VSA524272:VSA524349 VSA589808:VSA589885 VSA655344:VSA655421 VSA720880:VSA720957 VSA786416:VSA786493 VSA851952:VSA852029 VSA917488:VSA917565 VSA983024:VSA983101 WBW2:WBW61 WBW65520:WBW65597 WBW131056:WBW131133 WBW196592:WBW196669 WBW262128:WBW262205 WBW327664:WBW327741 WBW393200:WBW393277 WBW458736:WBW458813 WBW524272:WBW524349 WBW589808:WBW589885 WBW655344:WBW655421 WBW720880:WBW720957 WBW786416:WBW786493 WBW851952:WBW852029 WBW917488:WBW917565 WBW983024:WBW983101 WLS2:WLS61 WLS65520:WLS65597 WLS131056:WLS131133 WLS196592:WLS196669 WLS262128:WLS262205 WLS327664:WLS327741 WLS393200:WLS393277 WLS458736:WLS458813 WLS524272:WLS524349 WLS589808:WLS589885 WLS655344:WLS655421 WLS720880:WLS720957 WLS786416:WLS786493 WLS851952:WLS852029 WLS917488:WLS917565 WLS983024:WLS983101 WVO2:WVO61 WVO65520:WVO65597 WVO131056:WVO131133 WVO196592:WVO196669 WVO262128:WVO262205 WVO327664:WVO327741 WVO393200:WVO393277 WVO458736:WVO458813 WVO524272:WVO524349 WVO589808:WVO589885 WVO655344:WVO655421 WVO720880:WVO720957 WVO786416:WVO786493 WVO851952:WVO852029 WVO917488:WVO917565 WVO983024:WVO983101">
      <formula1>$AJ$2:$AJ$4</formula1>
    </dataValidation>
    <dataValidation type="list" allowBlank="1" showInputMessage="1" showErrorMessage="1" sqref="I2:I482 I65520:I65597 I131056:I131133 I196592:I196669 I262128:I262205 I327664:I327741 I393200:I393277 I458736:I458813 I524272:I524349 I589808:I589885 I655344:I655421 I720880:I720957 I786416:I786493 I851952:I852029 I917488:I917565 I983024:I983101 JE2:JE61 JE65520:JE65597 JE131056:JE131133 JE196592:JE196669 JE262128:JE262205 JE327664:JE327741 JE393200:JE393277 JE458736:JE458813 JE524272:JE524349 JE589808:JE589885 JE655344:JE655421 JE720880:JE720957 JE786416:JE786493 JE851952:JE852029 JE917488:JE917565 JE983024:JE983101 TA2:TA61 TA65520:TA65597 TA131056:TA131133 TA196592:TA196669 TA262128:TA262205 TA327664:TA327741 TA393200:TA393277 TA458736:TA458813 TA524272:TA524349 TA589808:TA589885 TA655344:TA655421 TA720880:TA720957 TA786416:TA786493 TA851952:TA852029 TA917488:TA917565 TA983024:TA983101 ACW2:ACW61 ACW65520:ACW65597 ACW131056:ACW131133 ACW196592:ACW196669 ACW262128:ACW262205 ACW327664:ACW327741 ACW393200:ACW393277 ACW458736:ACW458813 ACW524272:ACW524349 ACW589808:ACW589885 ACW655344:ACW655421 ACW720880:ACW720957 ACW786416:ACW786493 ACW851952:ACW852029 ACW917488:ACW917565 ACW983024:ACW983101 AMS2:AMS61 AMS65520:AMS65597 AMS131056:AMS131133 AMS196592:AMS196669 AMS262128:AMS262205 AMS327664:AMS327741 AMS393200:AMS393277 AMS458736:AMS458813 AMS524272:AMS524349 AMS589808:AMS589885 AMS655344:AMS655421 AMS720880:AMS720957 AMS786416:AMS786493 AMS851952:AMS852029 AMS917488:AMS917565 AMS983024:AMS983101 AWO2:AWO61 AWO65520:AWO65597 AWO131056:AWO131133 AWO196592:AWO196669 AWO262128:AWO262205 AWO327664:AWO327741 AWO393200:AWO393277 AWO458736:AWO458813 AWO524272:AWO524349 AWO589808:AWO589885 AWO655344:AWO655421 AWO720880:AWO720957 AWO786416:AWO786493 AWO851952:AWO852029 AWO917488:AWO917565 AWO983024:AWO983101 BGK2:BGK61 BGK65520:BGK65597 BGK131056:BGK131133 BGK196592:BGK196669 BGK262128:BGK262205 BGK327664:BGK327741 BGK393200:BGK393277 BGK458736:BGK458813 BGK524272:BGK524349 BGK589808:BGK589885 BGK655344:BGK655421 BGK720880:BGK720957 BGK786416:BGK786493 BGK851952:BGK852029 BGK917488:BGK917565 BGK983024:BGK983101 BQG2:BQG61 BQG65520:BQG65597 BQG131056:BQG131133 BQG196592:BQG196669 BQG262128:BQG262205 BQG327664:BQG327741 BQG393200:BQG393277 BQG458736:BQG458813 BQG524272:BQG524349 BQG589808:BQG589885 BQG655344:BQG655421 BQG720880:BQG720957 BQG786416:BQG786493 BQG851952:BQG852029 BQG917488:BQG917565 BQG983024:BQG983101 CAC2:CAC61 CAC65520:CAC65597 CAC131056:CAC131133 CAC196592:CAC196669 CAC262128:CAC262205 CAC327664:CAC327741 CAC393200:CAC393277 CAC458736:CAC458813 CAC524272:CAC524349 CAC589808:CAC589885 CAC655344:CAC655421 CAC720880:CAC720957 CAC786416:CAC786493 CAC851952:CAC852029 CAC917488:CAC917565 CAC983024:CAC983101 CJY2:CJY61 CJY65520:CJY65597 CJY131056:CJY131133 CJY196592:CJY196669 CJY262128:CJY262205 CJY327664:CJY327741 CJY393200:CJY393277 CJY458736:CJY458813 CJY524272:CJY524349 CJY589808:CJY589885 CJY655344:CJY655421 CJY720880:CJY720957 CJY786416:CJY786493 CJY851952:CJY852029 CJY917488:CJY917565 CJY983024:CJY983101 CTU2:CTU61 CTU65520:CTU65597 CTU131056:CTU131133 CTU196592:CTU196669 CTU262128:CTU262205 CTU327664:CTU327741 CTU393200:CTU393277 CTU458736:CTU458813 CTU524272:CTU524349 CTU589808:CTU589885 CTU655344:CTU655421 CTU720880:CTU720957 CTU786416:CTU786493 CTU851952:CTU852029 CTU917488:CTU917565 CTU983024:CTU983101 DDQ2:DDQ61 DDQ65520:DDQ65597 DDQ131056:DDQ131133 DDQ196592:DDQ196669 DDQ262128:DDQ262205 DDQ327664:DDQ327741 DDQ393200:DDQ393277 DDQ458736:DDQ458813 DDQ524272:DDQ524349 DDQ589808:DDQ589885 DDQ655344:DDQ655421 DDQ720880:DDQ720957 DDQ786416:DDQ786493 DDQ851952:DDQ852029 DDQ917488:DDQ917565 DDQ983024:DDQ983101 DNM2:DNM61 DNM65520:DNM65597 DNM131056:DNM131133 DNM196592:DNM196669 DNM262128:DNM262205 DNM327664:DNM327741 DNM393200:DNM393277 DNM458736:DNM458813 DNM524272:DNM524349 DNM589808:DNM589885 DNM655344:DNM655421 DNM720880:DNM720957 DNM786416:DNM786493 DNM851952:DNM852029 DNM917488:DNM917565 DNM983024:DNM983101 DXI2:DXI61 DXI65520:DXI65597 DXI131056:DXI131133 DXI196592:DXI196669 DXI262128:DXI262205 DXI327664:DXI327741 DXI393200:DXI393277 DXI458736:DXI458813 DXI524272:DXI524349 DXI589808:DXI589885 DXI655344:DXI655421 DXI720880:DXI720957 DXI786416:DXI786493 DXI851952:DXI852029 DXI917488:DXI917565 DXI983024:DXI983101 EHE2:EHE61 EHE65520:EHE65597 EHE131056:EHE131133 EHE196592:EHE196669 EHE262128:EHE262205 EHE327664:EHE327741 EHE393200:EHE393277 EHE458736:EHE458813 EHE524272:EHE524349 EHE589808:EHE589885 EHE655344:EHE655421 EHE720880:EHE720957 EHE786416:EHE786493 EHE851952:EHE852029 EHE917488:EHE917565 EHE983024:EHE983101 ERA2:ERA61 ERA65520:ERA65597 ERA131056:ERA131133 ERA196592:ERA196669 ERA262128:ERA262205 ERA327664:ERA327741 ERA393200:ERA393277 ERA458736:ERA458813 ERA524272:ERA524349 ERA589808:ERA589885 ERA655344:ERA655421 ERA720880:ERA720957 ERA786416:ERA786493 ERA851952:ERA852029 ERA917488:ERA917565 ERA983024:ERA983101 FAW2:FAW61 FAW65520:FAW65597 FAW131056:FAW131133 FAW196592:FAW196669 FAW262128:FAW262205 FAW327664:FAW327741 FAW393200:FAW393277 FAW458736:FAW458813 FAW524272:FAW524349 FAW589808:FAW589885 FAW655344:FAW655421 FAW720880:FAW720957 FAW786416:FAW786493 FAW851952:FAW852029 FAW917488:FAW917565 FAW983024:FAW983101 FKS2:FKS61 FKS65520:FKS65597 FKS131056:FKS131133 FKS196592:FKS196669 FKS262128:FKS262205 FKS327664:FKS327741 FKS393200:FKS393277 FKS458736:FKS458813 FKS524272:FKS524349 FKS589808:FKS589885 FKS655344:FKS655421 FKS720880:FKS720957 FKS786416:FKS786493 FKS851952:FKS852029 FKS917488:FKS917565 FKS983024:FKS983101 FUO2:FUO61 FUO65520:FUO65597 FUO131056:FUO131133 FUO196592:FUO196669 FUO262128:FUO262205 FUO327664:FUO327741 FUO393200:FUO393277 FUO458736:FUO458813 FUO524272:FUO524349 FUO589808:FUO589885 FUO655344:FUO655421 FUO720880:FUO720957 FUO786416:FUO786493 FUO851952:FUO852029 FUO917488:FUO917565 FUO983024:FUO983101 GEK2:GEK61 GEK65520:GEK65597 GEK131056:GEK131133 GEK196592:GEK196669 GEK262128:GEK262205 GEK327664:GEK327741 GEK393200:GEK393277 GEK458736:GEK458813 GEK524272:GEK524349 GEK589808:GEK589885 GEK655344:GEK655421 GEK720880:GEK720957 GEK786416:GEK786493 GEK851952:GEK852029 GEK917488:GEK917565 GEK983024:GEK983101 GOG2:GOG61 GOG65520:GOG65597 GOG131056:GOG131133 GOG196592:GOG196669 GOG262128:GOG262205 GOG327664:GOG327741 GOG393200:GOG393277 GOG458736:GOG458813 GOG524272:GOG524349 GOG589808:GOG589885 GOG655344:GOG655421 GOG720880:GOG720957 GOG786416:GOG786493 GOG851952:GOG852029 GOG917488:GOG917565 GOG983024:GOG983101 GYC2:GYC61 GYC65520:GYC65597 GYC131056:GYC131133 GYC196592:GYC196669 GYC262128:GYC262205 GYC327664:GYC327741 GYC393200:GYC393277 GYC458736:GYC458813 GYC524272:GYC524349 GYC589808:GYC589885 GYC655344:GYC655421 GYC720880:GYC720957 GYC786416:GYC786493 GYC851952:GYC852029 GYC917488:GYC917565 GYC983024:GYC983101 HHY2:HHY61 HHY65520:HHY65597 HHY131056:HHY131133 HHY196592:HHY196669 HHY262128:HHY262205 HHY327664:HHY327741 HHY393200:HHY393277 HHY458736:HHY458813 HHY524272:HHY524349 HHY589808:HHY589885 HHY655344:HHY655421 HHY720880:HHY720957 HHY786416:HHY786493 HHY851952:HHY852029 HHY917488:HHY917565 HHY983024:HHY983101 HRU2:HRU61 HRU65520:HRU65597 HRU131056:HRU131133 HRU196592:HRU196669 HRU262128:HRU262205 HRU327664:HRU327741 HRU393200:HRU393277 HRU458736:HRU458813 HRU524272:HRU524349 HRU589808:HRU589885 HRU655344:HRU655421 HRU720880:HRU720957 HRU786416:HRU786493 HRU851952:HRU852029 HRU917488:HRU917565 HRU983024:HRU983101 IBQ2:IBQ61 IBQ65520:IBQ65597 IBQ131056:IBQ131133 IBQ196592:IBQ196669 IBQ262128:IBQ262205 IBQ327664:IBQ327741 IBQ393200:IBQ393277 IBQ458736:IBQ458813 IBQ524272:IBQ524349 IBQ589808:IBQ589885 IBQ655344:IBQ655421 IBQ720880:IBQ720957 IBQ786416:IBQ786493 IBQ851952:IBQ852029 IBQ917488:IBQ917565 IBQ983024:IBQ983101 ILM2:ILM61 ILM65520:ILM65597 ILM131056:ILM131133 ILM196592:ILM196669 ILM262128:ILM262205 ILM327664:ILM327741 ILM393200:ILM393277 ILM458736:ILM458813 ILM524272:ILM524349 ILM589808:ILM589885 ILM655344:ILM655421 ILM720880:ILM720957 ILM786416:ILM786493 ILM851952:ILM852029 ILM917488:ILM917565 ILM983024:ILM983101 IVI2:IVI61 IVI65520:IVI65597 IVI131056:IVI131133 IVI196592:IVI196669 IVI262128:IVI262205 IVI327664:IVI327741 IVI393200:IVI393277 IVI458736:IVI458813 IVI524272:IVI524349 IVI589808:IVI589885 IVI655344:IVI655421 IVI720880:IVI720957 IVI786416:IVI786493 IVI851952:IVI852029 IVI917488:IVI917565 IVI983024:IVI983101 JFE2:JFE61 JFE65520:JFE65597 JFE131056:JFE131133 JFE196592:JFE196669 JFE262128:JFE262205 JFE327664:JFE327741 JFE393200:JFE393277 JFE458736:JFE458813 JFE524272:JFE524349 JFE589808:JFE589885 JFE655344:JFE655421 JFE720880:JFE720957 JFE786416:JFE786493 JFE851952:JFE852029 JFE917488:JFE917565 JFE983024:JFE983101 JPA2:JPA61 JPA65520:JPA65597 JPA131056:JPA131133 JPA196592:JPA196669 JPA262128:JPA262205 JPA327664:JPA327741 JPA393200:JPA393277 JPA458736:JPA458813 JPA524272:JPA524349 JPA589808:JPA589885 JPA655344:JPA655421 JPA720880:JPA720957 JPA786416:JPA786493 JPA851952:JPA852029 JPA917488:JPA917565 JPA983024:JPA983101 JYW2:JYW61 JYW65520:JYW65597 JYW131056:JYW131133 JYW196592:JYW196669 JYW262128:JYW262205 JYW327664:JYW327741 JYW393200:JYW393277 JYW458736:JYW458813 JYW524272:JYW524349 JYW589808:JYW589885 JYW655344:JYW655421 JYW720880:JYW720957 JYW786416:JYW786493 JYW851952:JYW852029 JYW917488:JYW917565 JYW983024:JYW983101 KIS2:KIS61 KIS65520:KIS65597 KIS131056:KIS131133 KIS196592:KIS196669 KIS262128:KIS262205 KIS327664:KIS327741 KIS393200:KIS393277 KIS458736:KIS458813 KIS524272:KIS524349 KIS589808:KIS589885 KIS655344:KIS655421 KIS720880:KIS720957 KIS786416:KIS786493 KIS851952:KIS852029 KIS917488:KIS917565 KIS983024:KIS983101 KSO2:KSO61 KSO65520:KSO65597 KSO131056:KSO131133 KSO196592:KSO196669 KSO262128:KSO262205 KSO327664:KSO327741 KSO393200:KSO393277 KSO458736:KSO458813 KSO524272:KSO524349 KSO589808:KSO589885 KSO655344:KSO655421 KSO720880:KSO720957 KSO786416:KSO786493 KSO851952:KSO852029 KSO917488:KSO917565 KSO983024:KSO983101 LCK2:LCK61 LCK65520:LCK65597 LCK131056:LCK131133 LCK196592:LCK196669 LCK262128:LCK262205 LCK327664:LCK327741 LCK393200:LCK393277 LCK458736:LCK458813 LCK524272:LCK524349 LCK589808:LCK589885 LCK655344:LCK655421 LCK720880:LCK720957 LCK786416:LCK786493 LCK851952:LCK852029 LCK917488:LCK917565 LCK983024:LCK983101 LMG2:LMG61 LMG65520:LMG65597 LMG131056:LMG131133 LMG196592:LMG196669 LMG262128:LMG262205 LMG327664:LMG327741 LMG393200:LMG393277 LMG458736:LMG458813 LMG524272:LMG524349 LMG589808:LMG589885 LMG655344:LMG655421 LMG720880:LMG720957 LMG786416:LMG786493 LMG851952:LMG852029 LMG917488:LMG917565 LMG983024:LMG983101 LWC2:LWC61 LWC65520:LWC65597 LWC131056:LWC131133 LWC196592:LWC196669 LWC262128:LWC262205 LWC327664:LWC327741 LWC393200:LWC393277 LWC458736:LWC458813 LWC524272:LWC524349 LWC589808:LWC589885 LWC655344:LWC655421 LWC720880:LWC720957 LWC786416:LWC786493 LWC851952:LWC852029 LWC917488:LWC917565 LWC983024:LWC983101 MFY2:MFY61 MFY65520:MFY65597 MFY131056:MFY131133 MFY196592:MFY196669 MFY262128:MFY262205 MFY327664:MFY327741 MFY393200:MFY393277 MFY458736:MFY458813 MFY524272:MFY524349 MFY589808:MFY589885 MFY655344:MFY655421 MFY720880:MFY720957 MFY786416:MFY786493 MFY851952:MFY852029 MFY917488:MFY917565 MFY983024:MFY983101 MPU2:MPU61 MPU65520:MPU65597 MPU131056:MPU131133 MPU196592:MPU196669 MPU262128:MPU262205 MPU327664:MPU327741 MPU393200:MPU393277 MPU458736:MPU458813 MPU524272:MPU524349 MPU589808:MPU589885 MPU655344:MPU655421 MPU720880:MPU720957 MPU786416:MPU786493 MPU851952:MPU852029 MPU917488:MPU917565 MPU983024:MPU983101 MZQ2:MZQ61 MZQ65520:MZQ65597 MZQ131056:MZQ131133 MZQ196592:MZQ196669 MZQ262128:MZQ262205 MZQ327664:MZQ327741 MZQ393200:MZQ393277 MZQ458736:MZQ458813 MZQ524272:MZQ524349 MZQ589808:MZQ589885 MZQ655344:MZQ655421 MZQ720880:MZQ720957 MZQ786416:MZQ786493 MZQ851952:MZQ852029 MZQ917488:MZQ917565 MZQ983024:MZQ983101 NJM2:NJM61 NJM65520:NJM65597 NJM131056:NJM131133 NJM196592:NJM196669 NJM262128:NJM262205 NJM327664:NJM327741 NJM393200:NJM393277 NJM458736:NJM458813 NJM524272:NJM524349 NJM589808:NJM589885 NJM655344:NJM655421 NJM720880:NJM720957 NJM786416:NJM786493 NJM851952:NJM852029 NJM917488:NJM917565 NJM983024:NJM983101 NTI2:NTI61 NTI65520:NTI65597 NTI131056:NTI131133 NTI196592:NTI196669 NTI262128:NTI262205 NTI327664:NTI327741 NTI393200:NTI393277 NTI458736:NTI458813 NTI524272:NTI524349 NTI589808:NTI589885 NTI655344:NTI655421 NTI720880:NTI720957 NTI786416:NTI786493 NTI851952:NTI852029 NTI917488:NTI917565 NTI983024:NTI983101 ODE2:ODE61 ODE65520:ODE65597 ODE131056:ODE131133 ODE196592:ODE196669 ODE262128:ODE262205 ODE327664:ODE327741 ODE393200:ODE393277 ODE458736:ODE458813 ODE524272:ODE524349 ODE589808:ODE589885 ODE655344:ODE655421 ODE720880:ODE720957 ODE786416:ODE786493 ODE851952:ODE852029 ODE917488:ODE917565 ODE983024:ODE983101 ONA2:ONA61 ONA65520:ONA65597 ONA131056:ONA131133 ONA196592:ONA196669 ONA262128:ONA262205 ONA327664:ONA327741 ONA393200:ONA393277 ONA458736:ONA458813 ONA524272:ONA524349 ONA589808:ONA589885 ONA655344:ONA655421 ONA720880:ONA720957 ONA786416:ONA786493 ONA851952:ONA852029 ONA917488:ONA917565 ONA983024:ONA983101 OWW2:OWW61 OWW65520:OWW65597 OWW131056:OWW131133 OWW196592:OWW196669 OWW262128:OWW262205 OWW327664:OWW327741 OWW393200:OWW393277 OWW458736:OWW458813 OWW524272:OWW524349 OWW589808:OWW589885 OWW655344:OWW655421 OWW720880:OWW720957 OWW786416:OWW786493 OWW851952:OWW852029 OWW917488:OWW917565 OWW983024:OWW983101 PGS2:PGS61 PGS65520:PGS65597 PGS131056:PGS131133 PGS196592:PGS196669 PGS262128:PGS262205 PGS327664:PGS327741 PGS393200:PGS393277 PGS458736:PGS458813 PGS524272:PGS524349 PGS589808:PGS589885 PGS655344:PGS655421 PGS720880:PGS720957 PGS786416:PGS786493 PGS851952:PGS852029 PGS917488:PGS917565 PGS983024:PGS983101 PQO2:PQO61 PQO65520:PQO65597 PQO131056:PQO131133 PQO196592:PQO196669 PQO262128:PQO262205 PQO327664:PQO327741 PQO393200:PQO393277 PQO458736:PQO458813 PQO524272:PQO524349 PQO589808:PQO589885 PQO655344:PQO655421 PQO720880:PQO720957 PQO786416:PQO786493 PQO851952:PQO852029 PQO917488:PQO917565 PQO983024:PQO983101 QAK2:QAK61 QAK65520:QAK65597 QAK131056:QAK131133 QAK196592:QAK196669 QAK262128:QAK262205 QAK327664:QAK327741 QAK393200:QAK393277 QAK458736:QAK458813 QAK524272:QAK524349 QAK589808:QAK589885 QAK655344:QAK655421 QAK720880:QAK720957 QAK786416:QAK786493 QAK851952:QAK852029 QAK917488:QAK917565 QAK983024:QAK983101 QKG2:QKG61 QKG65520:QKG65597 QKG131056:QKG131133 QKG196592:QKG196669 QKG262128:QKG262205 QKG327664:QKG327741 QKG393200:QKG393277 QKG458736:QKG458813 QKG524272:QKG524349 QKG589808:QKG589885 QKG655344:QKG655421 QKG720880:QKG720957 QKG786416:QKG786493 QKG851952:QKG852029 QKG917488:QKG917565 QKG983024:QKG983101 QUC2:QUC61 QUC65520:QUC65597 QUC131056:QUC131133 QUC196592:QUC196669 QUC262128:QUC262205 QUC327664:QUC327741 QUC393200:QUC393277 QUC458736:QUC458813 QUC524272:QUC524349 QUC589808:QUC589885 QUC655344:QUC655421 QUC720880:QUC720957 QUC786416:QUC786493 QUC851952:QUC852029 QUC917488:QUC917565 QUC983024:QUC983101 RDY2:RDY61 RDY65520:RDY65597 RDY131056:RDY131133 RDY196592:RDY196669 RDY262128:RDY262205 RDY327664:RDY327741 RDY393200:RDY393277 RDY458736:RDY458813 RDY524272:RDY524349 RDY589808:RDY589885 RDY655344:RDY655421 RDY720880:RDY720957 RDY786416:RDY786493 RDY851952:RDY852029 RDY917488:RDY917565 RDY983024:RDY983101 RNU2:RNU61 RNU65520:RNU65597 RNU131056:RNU131133 RNU196592:RNU196669 RNU262128:RNU262205 RNU327664:RNU327741 RNU393200:RNU393277 RNU458736:RNU458813 RNU524272:RNU524349 RNU589808:RNU589885 RNU655344:RNU655421 RNU720880:RNU720957 RNU786416:RNU786493 RNU851952:RNU852029 RNU917488:RNU917565 RNU983024:RNU983101 RXQ2:RXQ61 RXQ65520:RXQ65597 RXQ131056:RXQ131133 RXQ196592:RXQ196669 RXQ262128:RXQ262205 RXQ327664:RXQ327741 RXQ393200:RXQ393277 RXQ458736:RXQ458813 RXQ524272:RXQ524349 RXQ589808:RXQ589885 RXQ655344:RXQ655421 RXQ720880:RXQ720957 RXQ786416:RXQ786493 RXQ851952:RXQ852029 RXQ917488:RXQ917565 RXQ983024:RXQ983101 SHM2:SHM61 SHM65520:SHM65597 SHM131056:SHM131133 SHM196592:SHM196669 SHM262128:SHM262205 SHM327664:SHM327741 SHM393200:SHM393277 SHM458736:SHM458813 SHM524272:SHM524349 SHM589808:SHM589885 SHM655344:SHM655421 SHM720880:SHM720957 SHM786416:SHM786493 SHM851952:SHM852029 SHM917488:SHM917565 SHM983024:SHM983101 SRI2:SRI61 SRI65520:SRI65597 SRI131056:SRI131133 SRI196592:SRI196669 SRI262128:SRI262205 SRI327664:SRI327741 SRI393200:SRI393277 SRI458736:SRI458813 SRI524272:SRI524349 SRI589808:SRI589885 SRI655344:SRI655421 SRI720880:SRI720957 SRI786416:SRI786493 SRI851952:SRI852029 SRI917488:SRI917565 SRI983024:SRI983101 TBE2:TBE61 TBE65520:TBE65597 TBE131056:TBE131133 TBE196592:TBE196669 TBE262128:TBE262205 TBE327664:TBE327741 TBE393200:TBE393277 TBE458736:TBE458813 TBE524272:TBE524349 TBE589808:TBE589885 TBE655344:TBE655421 TBE720880:TBE720957 TBE786416:TBE786493 TBE851952:TBE852029 TBE917488:TBE917565 TBE983024:TBE983101 TLA2:TLA61 TLA65520:TLA65597 TLA131056:TLA131133 TLA196592:TLA196669 TLA262128:TLA262205 TLA327664:TLA327741 TLA393200:TLA393277 TLA458736:TLA458813 TLA524272:TLA524349 TLA589808:TLA589885 TLA655344:TLA655421 TLA720880:TLA720957 TLA786416:TLA786493 TLA851952:TLA852029 TLA917488:TLA917565 TLA983024:TLA983101 TUW2:TUW61 TUW65520:TUW65597 TUW131056:TUW131133 TUW196592:TUW196669 TUW262128:TUW262205 TUW327664:TUW327741 TUW393200:TUW393277 TUW458736:TUW458813 TUW524272:TUW524349 TUW589808:TUW589885 TUW655344:TUW655421 TUW720880:TUW720957 TUW786416:TUW786493 TUW851952:TUW852029 TUW917488:TUW917565 TUW983024:TUW983101 UES2:UES61 UES65520:UES65597 UES131056:UES131133 UES196592:UES196669 UES262128:UES262205 UES327664:UES327741 UES393200:UES393277 UES458736:UES458813 UES524272:UES524349 UES589808:UES589885 UES655344:UES655421 UES720880:UES720957 UES786416:UES786493 UES851952:UES852029 UES917488:UES917565 UES983024:UES983101 UOO2:UOO61 UOO65520:UOO65597 UOO131056:UOO131133 UOO196592:UOO196669 UOO262128:UOO262205 UOO327664:UOO327741 UOO393200:UOO393277 UOO458736:UOO458813 UOO524272:UOO524349 UOO589808:UOO589885 UOO655344:UOO655421 UOO720880:UOO720957 UOO786416:UOO786493 UOO851952:UOO852029 UOO917488:UOO917565 UOO983024:UOO983101 UYK2:UYK61 UYK65520:UYK65597 UYK131056:UYK131133 UYK196592:UYK196669 UYK262128:UYK262205 UYK327664:UYK327741 UYK393200:UYK393277 UYK458736:UYK458813 UYK524272:UYK524349 UYK589808:UYK589885 UYK655344:UYK655421 UYK720880:UYK720957 UYK786416:UYK786493 UYK851952:UYK852029 UYK917488:UYK917565 UYK983024:UYK983101 VIG2:VIG61 VIG65520:VIG65597 VIG131056:VIG131133 VIG196592:VIG196669 VIG262128:VIG262205 VIG327664:VIG327741 VIG393200:VIG393277 VIG458736:VIG458813 VIG524272:VIG524349 VIG589808:VIG589885 VIG655344:VIG655421 VIG720880:VIG720957 VIG786416:VIG786493 VIG851952:VIG852029 VIG917488:VIG917565 VIG983024:VIG983101 VSC2:VSC61 VSC65520:VSC65597 VSC131056:VSC131133 VSC196592:VSC196669 VSC262128:VSC262205 VSC327664:VSC327741 VSC393200:VSC393277 VSC458736:VSC458813 VSC524272:VSC524349 VSC589808:VSC589885 VSC655344:VSC655421 VSC720880:VSC720957 VSC786416:VSC786493 VSC851952:VSC852029 VSC917488:VSC917565 VSC983024:VSC983101 WBY2:WBY61 WBY65520:WBY65597 WBY131056:WBY131133 WBY196592:WBY196669 WBY262128:WBY262205 WBY327664:WBY327741 WBY393200:WBY393277 WBY458736:WBY458813 WBY524272:WBY524349 WBY589808:WBY589885 WBY655344:WBY655421 WBY720880:WBY720957 WBY786416:WBY786493 WBY851952:WBY852029 WBY917488:WBY917565 WBY983024:WBY983101 WLU2:WLU61 WLU65520:WLU65597 WLU131056:WLU131133 WLU196592:WLU196669 WLU262128:WLU262205 WLU327664:WLU327741 WLU393200:WLU393277 WLU458736:WLU458813 WLU524272:WLU524349 WLU589808:WLU589885 WLU655344:WLU655421 WLU720880:WLU720957 WLU786416:WLU786493 WLU851952:WLU852029 WLU917488:WLU917565 WLU983024:WLU983101 WVQ2:WVQ61 WVQ65520:WVQ65597 WVQ131056:WVQ131133 WVQ196592:WVQ196669 WVQ262128:WVQ262205 WVQ327664:WVQ327741 WVQ393200:WVQ393277 WVQ458736:WVQ458813 WVQ524272:WVQ524349 WVQ589808:WVQ589885 WVQ655344:WVQ655421 WVQ720880:WVQ720957 WVQ786416:WVQ786493 WVQ851952:WVQ852029 WVQ917488:WVQ917565 WVQ983024:WVQ983101">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20"/>
  <sheetViews>
    <sheetView zoomScale="80" zoomScaleNormal="80" workbookViewId="0">
      <selection activeCell="I51" sqref="I51"/>
    </sheetView>
  </sheetViews>
  <sheetFormatPr defaultRowHeight="13.5" x14ac:dyDescent="0.15"/>
  <cols>
    <col min="1" max="3" width="9" style="208" customWidth="1"/>
    <col min="4" max="4" width="10.5" style="208" customWidth="1"/>
    <col min="5" max="5" width="11.25" style="208" bestFit="1" customWidth="1"/>
    <col min="6" max="7" width="9" style="208"/>
    <col min="8" max="10" width="9" style="208" customWidth="1"/>
    <col min="11" max="11" width="11.375" style="208" customWidth="1"/>
    <col min="12" max="16" width="9" style="208" customWidth="1"/>
    <col min="17" max="17" width="9" style="217" customWidth="1"/>
    <col min="18" max="18" width="9" style="208"/>
    <col min="19" max="19" width="9.5" style="208" bestFit="1" customWidth="1"/>
    <col min="20" max="20" width="9" style="217" customWidth="1"/>
    <col min="21" max="21" width="9" style="208"/>
    <col min="22" max="22" width="9" style="217" customWidth="1"/>
    <col min="23" max="28" width="9" style="208"/>
    <col min="29" max="29" width="26.5" style="208" customWidth="1"/>
    <col min="30" max="32" width="9" style="208"/>
    <col min="33" max="33" width="15.75" style="208" bestFit="1" customWidth="1"/>
    <col min="34" max="34" width="15" style="208" bestFit="1" customWidth="1"/>
    <col min="35" max="256" width="9" style="208"/>
    <col min="257" max="259" width="9" style="208" customWidth="1"/>
    <col min="260" max="260" width="10.5" style="208" customWidth="1"/>
    <col min="261" max="261" width="11.25" style="208" bestFit="1" customWidth="1"/>
    <col min="262" max="263" width="9" style="208"/>
    <col min="264" max="273" width="9" style="208" customWidth="1"/>
    <col min="274" max="274" width="9" style="208"/>
    <col min="275" max="275" width="9.5" style="208" bestFit="1" customWidth="1"/>
    <col min="276" max="276" width="9" style="208" customWidth="1"/>
    <col min="277" max="277" width="9" style="208"/>
    <col min="278" max="278" width="9" style="208" customWidth="1"/>
    <col min="279" max="284" width="9" style="208"/>
    <col min="285" max="285" width="26.5" style="208" customWidth="1"/>
    <col min="286" max="288" width="9" style="208"/>
    <col min="289" max="289" width="14.75" style="208" bestFit="1" customWidth="1"/>
    <col min="290" max="512" width="9" style="208"/>
    <col min="513" max="515" width="9" style="208" customWidth="1"/>
    <col min="516" max="516" width="10.5" style="208" customWidth="1"/>
    <col min="517" max="517" width="11.25" style="208" bestFit="1" customWidth="1"/>
    <col min="518" max="519" width="9" style="208"/>
    <col min="520" max="529" width="9" style="208" customWidth="1"/>
    <col min="530" max="530" width="9" style="208"/>
    <col min="531" max="531" width="9.5" style="208" bestFit="1" customWidth="1"/>
    <col min="532" max="532" width="9" style="208" customWidth="1"/>
    <col min="533" max="533" width="9" style="208"/>
    <col min="534" max="534" width="9" style="208" customWidth="1"/>
    <col min="535" max="540" width="9" style="208"/>
    <col min="541" max="541" width="26.5" style="208" customWidth="1"/>
    <col min="542" max="544" width="9" style="208"/>
    <col min="545" max="545" width="14.75" style="208" bestFit="1" customWidth="1"/>
    <col min="546" max="768" width="9" style="208"/>
    <col min="769" max="771" width="9" style="208" customWidth="1"/>
    <col min="772" max="772" width="10.5" style="208" customWidth="1"/>
    <col min="773" max="773" width="11.25" style="208" bestFit="1" customWidth="1"/>
    <col min="774" max="775" width="9" style="208"/>
    <col min="776" max="785" width="9" style="208" customWidth="1"/>
    <col min="786" max="786" width="9" style="208"/>
    <col min="787" max="787" width="9.5" style="208" bestFit="1" customWidth="1"/>
    <col min="788" max="788" width="9" style="208" customWidth="1"/>
    <col min="789" max="789" width="9" style="208"/>
    <col min="790" max="790" width="9" style="208" customWidth="1"/>
    <col min="791" max="796" width="9" style="208"/>
    <col min="797" max="797" width="26.5" style="208" customWidth="1"/>
    <col min="798" max="800" width="9" style="208"/>
    <col min="801" max="801" width="14.75" style="208" bestFit="1" customWidth="1"/>
    <col min="802" max="1024" width="9" style="208"/>
    <col min="1025" max="1027" width="9" style="208" customWidth="1"/>
    <col min="1028" max="1028" width="10.5" style="208" customWidth="1"/>
    <col min="1029" max="1029" width="11.25" style="208" bestFit="1" customWidth="1"/>
    <col min="1030" max="1031" width="9" style="208"/>
    <col min="1032" max="1041" width="9" style="208" customWidth="1"/>
    <col min="1042" max="1042" width="9" style="208"/>
    <col min="1043" max="1043" width="9.5" style="208" bestFit="1" customWidth="1"/>
    <col min="1044" max="1044" width="9" style="208" customWidth="1"/>
    <col min="1045" max="1045" width="9" style="208"/>
    <col min="1046" max="1046" width="9" style="208" customWidth="1"/>
    <col min="1047" max="1052" width="9" style="208"/>
    <col min="1053" max="1053" width="26.5" style="208" customWidth="1"/>
    <col min="1054" max="1056" width="9" style="208"/>
    <col min="1057" max="1057" width="14.75" style="208" bestFit="1" customWidth="1"/>
    <col min="1058" max="1280" width="9" style="208"/>
    <col min="1281" max="1283" width="9" style="208" customWidth="1"/>
    <col min="1284" max="1284" width="10.5" style="208" customWidth="1"/>
    <col min="1285" max="1285" width="11.25" style="208" bestFit="1" customWidth="1"/>
    <col min="1286" max="1287" width="9" style="208"/>
    <col min="1288" max="1297" width="9" style="208" customWidth="1"/>
    <col min="1298" max="1298" width="9" style="208"/>
    <col min="1299" max="1299" width="9.5" style="208" bestFit="1" customWidth="1"/>
    <col min="1300" max="1300" width="9" style="208" customWidth="1"/>
    <col min="1301" max="1301" width="9" style="208"/>
    <col min="1302" max="1302" width="9" style="208" customWidth="1"/>
    <col min="1303" max="1308" width="9" style="208"/>
    <col min="1309" max="1309" width="26.5" style="208" customWidth="1"/>
    <col min="1310" max="1312" width="9" style="208"/>
    <col min="1313" max="1313" width="14.75" style="208" bestFit="1" customWidth="1"/>
    <col min="1314" max="1536" width="9" style="208"/>
    <col min="1537" max="1539" width="9" style="208" customWidth="1"/>
    <col min="1540" max="1540" width="10.5" style="208" customWidth="1"/>
    <col min="1541" max="1541" width="11.25" style="208" bestFit="1" customWidth="1"/>
    <col min="1542" max="1543" width="9" style="208"/>
    <col min="1544" max="1553" width="9" style="208" customWidth="1"/>
    <col min="1554" max="1554" width="9" style="208"/>
    <col min="1555" max="1555" width="9.5" style="208" bestFit="1" customWidth="1"/>
    <col min="1556" max="1556" width="9" style="208" customWidth="1"/>
    <col min="1557" max="1557" width="9" style="208"/>
    <col min="1558" max="1558" width="9" style="208" customWidth="1"/>
    <col min="1559" max="1564" width="9" style="208"/>
    <col min="1565" max="1565" width="26.5" style="208" customWidth="1"/>
    <col min="1566" max="1568" width="9" style="208"/>
    <col min="1569" max="1569" width="14.75" style="208" bestFit="1" customWidth="1"/>
    <col min="1570" max="1792" width="9" style="208"/>
    <col min="1793" max="1795" width="9" style="208" customWidth="1"/>
    <col min="1796" max="1796" width="10.5" style="208" customWidth="1"/>
    <col min="1797" max="1797" width="11.25" style="208" bestFit="1" customWidth="1"/>
    <col min="1798" max="1799" width="9" style="208"/>
    <col min="1800" max="1809" width="9" style="208" customWidth="1"/>
    <col min="1810" max="1810" width="9" style="208"/>
    <col min="1811" max="1811" width="9.5" style="208" bestFit="1" customWidth="1"/>
    <col min="1812" max="1812" width="9" style="208" customWidth="1"/>
    <col min="1813" max="1813" width="9" style="208"/>
    <col min="1814" max="1814" width="9" style="208" customWidth="1"/>
    <col min="1815" max="1820" width="9" style="208"/>
    <col min="1821" max="1821" width="26.5" style="208" customWidth="1"/>
    <col min="1822" max="1824" width="9" style="208"/>
    <col min="1825" max="1825" width="14.75" style="208" bestFit="1" customWidth="1"/>
    <col min="1826" max="2048" width="9" style="208"/>
    <col min="2049" max="2051" width="9" style="208" customWidth="1"/>
    <col min="2052" max="2052" width="10.5" style="208" customWidth="1"/>
    <col min="2053" max="2053" width="11.25" style="208" bestFit="1" customWidth="1"/>
    <col min="2054" max="2055" width="9" style="208"/>
    <col min="2056" max="2065" width="9" style="208" customWidth="1"/>
    <col min="2066" max="2066" width="9" style="208"/>
    <col min="2067" max="2067" width="9.5" style="208" bestFit="1" customWidth="1"/>
    <col min="2068" max="2068" width="9" style="208" customWidth="1"/>
    <col min="2069" max="2069" width="9" style="208"/>
    <col min="2070" max="2070" width="9" style="208" customWidth="1"/>
    <col min="2071" max="2076" width="9" style="208"/>
    <col min="2077" max="2077" width="26.5" style="208" customWidth="1"/>
    <col min="2078" max="2080" width="9" style="208"/>
    <col min="2081" max="2081" width="14.75" style="208" bestFit="1" customWidth="1"/>
    <col min="2082" max="2304" width="9" style="208"/>
    <col min="2305" max="2307" width="9" style="208" customWidth="1"/>
    <col min="2308" max="2308" width="10.5" style="208" customWidth="1"/>
    <col min="2309" max="2309" width="11.25" style="208" bestFit="1" customWidth="1"/>
    <col min="2310" max="2311" width="9" style="208"/>
    <col min="2312" max="2321" width="9" style="208" customWidth="1"/>
    <col min="2322" max="2322" width="9" style="208"/>
    <col min="2323" max="2323" width="9.5" style="208" bestFit="1" customWidth="1"/>
    <col min="2324" max="2324" width="9" style="208" customWidth="1"/>
    <col min="2325" max="2325" width="9" style="208"/>
    <col min="2326" max="2326" width="9" style="208" customWidth="1"/>
    <col min="2327" max="2332" width="9" style="208"/>
    <col min="2333" max="2333" width="26.5" style="208" customWidth="1"/>
    <col min="2334" max="2336" width="9" style="208"/>
    <col min="2337" max="2337" width="14.75" style="208" bestFit="1" customWidth="1"/>
    <col min="2338" max="2560" width="9" style="208"/>
    <col min="2561" max="2563" width="9" style="208" customWidth="1"/>
    <col min="2564" max="2564" width="10.5" style="208" customWidth="1"/>
    <col min="2565" max="2565" width="11.25" style="208" bestFit="1" customWidth="1"/>
    <col min="2566" max="2567" width="9" style="208"/>
    <col min="2568" max="2577" width="9" style="208" customWidth="1"/>
    <col min="2578" max="2578" width="9" style="208"/>
    <col min="2579" max="2579" width="9.5" style="208" bestFit="1" customWidth="1"/>
    <col min="2580" max="2580" width="9" style="208" customWidth="1"/>
    <col min="2581" max="2581" width="9" style="208"/>
    <col min="2582" max="2582" width="9" style="208" customWidth="1"/>
    <col min="2583" max="2588" width="9" style="208"/>
    <col min="2589" max="2589" width="26.5" style="208" customWidth="1"/>
    <col min="2590" max="2592" width="9" style="208"/>
    <col min="2593" max="2593" width="14.75" style="208" bestFit="1" customWidth="1"/>
    <col min="2594" max="2816" width="9" style="208"/>
    <col min="2817" max="2819" width="9" style="208" customWidth="1"/>
    <col min="2820" max="2820" width="10.5" style="208" customWidth="1"/>
    <col min="2821" max="2821" width="11.25" style="208" bestFit="1" customWidth="1"/>
    <col min="2822" max="2823" width="9" style="208"/>
    <col min="2824" max="2833" width="9" style="208" customWidth="1"/>
    <col min="2834" max="2834" width="9" style="208"/>
    <col min="2835" max="2835" width="9.5" style="208" bestFit="1" customWidth="1"/>
    <col min="2836" max="2836" width="9" style="208" customWidth="1"/>
    <col min="2837" max="2837" width="9" style="208"/>
    <col min="2838" max="2838" width="9" style="208" customWidth="1"/>
    <col min="2839" max="2844" width="9" style="208"/>
    <col min="2845" max="2845" width="26.5" style="208" customWidth="1"/>
    <col min="2846" max="2848" width="9" style="208"/>
    <col min="2849" max="2849" width="14.75" style="208" bestFit="1" customWidth="1"/>
    <col min="2850" max="3072" width="9" style="208"/>
    <col min="3073" max="3075" width="9" style="208" customWidth="1"/>
    <col min="3076" max="3076" width="10.5" style="208" customWidth="1"/>
    <col min="3077" max="3077" width="11.25" style="208" bestFit="1" customWidth="1"/>
    <col min="3078" max="3079" width="9" style="208"/>
    <col min="3080" max="3089" width="9" style="208" customWidth="1"/>
    <col min="3090" max="3090" width="9" style="208"/>
    <col min="3091" max="3091" width="9.5" style="208" bestFit="1" customWidth="1"/>
    <col min="3092" max="3092" width="9" style="208" customWidth="1"/>
    <col min="3093" max="3093" width="9" style="208"/>
    <col min="3094" max="3094" width="9" style="208" customWidth="1"/>
    <col min="3095" max="3100" width="9" style="208"/>
    <col min="3101" max="3101" width="26.5" style="208" customWidth="1"/>
    <col min="3102" max="3104" width="9" style="208"/>
    <col min="3105" max="3105" width="14.75" style="208" bestFit="1" customWidth="1"/>
    <col min="3106" max="3328" width="9" style="208"/>
    <col min="3329" max="3331" width="9" style="208" customWidth="1"/>
    <col min="3332" max="3332" width="10.5" style="208" customWidth="1"/>
    <col min="3333" max="3333" width="11.25" style="208" bestFit="1" customWidth="1"/>
    <col min="3334" max="3335" width="9" style="208"/>
    <col min="3336" max="3345" width="9" style="208" customWidth="1"/>
    <col min="3346" max="3346" width="9" style="208"/>
    <col min="3347" max="3347" width="9.5" style="208" bestFit="1" customWidth="1"/>
    <col min="3348" max="3348" width="9" style="208" customWidth="1"/>
    <col min="3349" max="3349" width="9" style="208"/>
    <col min="3350" max="3350" width="9" style="208" customWidth="1"/>
    <col min="3351" max="3356" width="9" style="208"/>
    <col min="3357" max="3357" width="26.5" style="208" customWidth="1"/>
    <col min="3358" max="3360" width="9" style="208"/>
    <col min="3361" max="3361" width="14.75" style="208" bestFit="1" customWidth="1"/>
    <col min="3362" max="3584" width="9" style="208"/>
    <col min="3585" max="3587" width="9" style="208" customWidth="1"/>
    <col min="3588" max="3588" width="10.5" style="208" customWidth="1"/>
    <col min="3589" max="3589" width="11.25" style="208" bestFit="1" customWidth="1"/>
    <col min="3590" max="3591" width="9" style="208"/>
    <col min="3592" max="3601" width="9" style="208" customWidth="1"/>
    <col min="3602" max="3602" width="9" style="208"/>
    <col min="3603" max="3603" width="9.5" style="208" bestFit="1" customWidth="1"/>
    <col min="3604" max="3604" width="9" style="208" customWidth="1"/>
    <col min="3605" max="3605" width="9" style="208"/>
    <col min="3606" max="3606" width="9" style="208" customWidth="1"/>
    <col min="3607" max="3612" width="9" style="208"/>
    <col min="3613" max="3613" width="26.5" style="208" customWidth="1"/>
    <col min="3614" max="3616" width="9" style="208"/>
    <col min="3617" max="3617" width="14.75" style="208" bestFit="1" customWidth="1"/>
    <col min="3618" max="3840" width="9" style="208"/>
    <col min="3841" max="3843" width="9" style="208" customWidth="1"/>
    <col min="3844" max="3844" width="10.5" style="208" customWidth="1"/>
    <col min="3845" max="3845" width="11.25" style="208" bestFit="1" customWidth="1"/>
    <col min="3846" max="3847" width="9" style="208"/>
    <col min="3848" max="3857" width="9" style="208" customWidth="1"/>
    <col min="3858" max="3858" width="9" style="208"/>
    <col min="3859" max="3859" width="9.5" style="208" bestFit="1" customWidth="1"/>
    <col min="3860" max="3860" width="9" style="208" customWidth="1"/>
    <col min="3861" max="3861" width="9" style="208"/>
    <col min="3862" max="3862" width="9" style="208" customWidth="1"/>
    <col min="3863" max="3868" width="9" style="208"/>
    <col min="3869" max="3869" width="26.5" style="208" customWidth="1"/>
    <col min="3870" max="3872" width="9" style="208"/>
    <col min="3873" max="3873" width="14.75" style="208" bestFit="1" customWidth="1"/>
    <col min="3874" max="4096" width="9" style="208"/>
    <col min="4097" max="4099" width="9" style="208" customWidth="1"/>
    <col min="4100" max="4100" width="10.5" style="208" customWidth="1"/>
    <col min="4101" max="4101" width="11.25" style="208" bestFit="1" customWidth="1"/>
    <col min="4102" max="4103" width="9" style="208"/>
    <col min="4104" max="4113" width="9" style="208" customWidth="1"/>
    <col min="4114" max="4114" width="9" style="208"/>
    <col min="4115" max="4115" width="9.5" style="208" bestFit="1" customWidth="1"/>
    <col min="4116" max="4116" width="9" style="208" customWidth="1"/>
    <col min="4117" max="4117" width="9" style="208"/>
    <col min="4118" max="4118" width="9" style="208" customWidth="1"/>
    <col min="4119" max="4124" width="9" style="208"/>
    <col min="4125" max="4125" width="26.5" style="208" customWidth="1"/>
    <col min="4126" max="4128" width="9" style="208"/>
    <col min="4129" max="4129" width="14.75" style="208" bestFit="1" customWidth="1"/>
    <col min="4130" max="4352" width="9" style="208"/>
    <col min="4353" max="4355" width="9" style="208" customWidth="1"/>
    <col min="4356" max="4356" width="10.5" style="208" customWidth="1"/>
    <col min="4357" max="4357" width="11.25" style="208" bestFit="1" customWidth="1"/>
    <col min="4358" max="4359" width="9" style="208"/>
    <col min="4360" max="4369" width="9" style="208" customWidth="1"/>
    <col min="4370" max="4370" width="9" style="208"/>
    <col min="4371" max="4371" width="9.5" style="208" bestFit="1" customWidth="1"/>
    <col min="4372" max="4372" width="9" style="208" customWidth="1"/>
    <col min="4373" max="4373" width="9" style="208"/>
    <col min="4374" max="4374" width="9" style="208" customWidth="1"/>
    <col min="4375" max="4380" width="9" style="208"/>
    <col min="4381" max="4381" width="26.5" style="208" customWidth="1"/>
    <col min="4382" max="4384" width="9" style="208"/>
    <col min="4385" max="4385" width="14.75" style="208" bestFit="1" customWidth="1"/>
    <col min="4386" max="4608" width="9" style="208"/>
    <col min="4609" max="4611" width="9" style="208" customWidth="1"/>
    <col min="4612" max="4612" width="10.5" style="208" customWidth="1"/>
    <col min="4613" max="4613" width="11.25" style="208" bestFit="1" customWidth="1"/>
    <col min="4614" max="4615" width="9" style="208"/>
    <col min="4616" max="4625" width="9" style="208" customWidth="1"/>
    <col min="4626" max="4626" width="9" style="208"/>
    <col min="4627" max="4627" width="9.5" style="208" bestFit="1" customWidth="1"/>
    <col min="4628" max="4628" width="9" style="208" customWidth="1"/>
    <col min="4629" max="4629" width="9" style="208"/>
    <col min="4630" max="4630" width="9" style="208" customWidth="1"/>
    <col min="4631" max="4636" width="9" style="208"/>
    <col min="4637" max="4637" width="26.5" style="208" customWidth="1"/>
    <col min="4638" max="4640" width="9" style="208"/>
    <col min="4641" max="4641" width="14.75" style="208" bestFit="1" customWidth="1"/>
    <col min="4642" max="4864" width="9" style="208"/>
    <col min="4865" max="4867" width="9" style="208" customWidth="1"/>
    <col min="4868" max="4868" width="10.5" style="208" customWidth="1"/>
    <col min="4869" max="4869" width="11.25" style="208" bestFit="1" customWidth="1"/>
    <col min="4870" max="4871" width="9" style="208"/>
    <col min="4872" max="4881" width="9" style="208" customWidth="1"/>
    <col min="4882" max="4882" width="9" style="208"/>
    <col min="4883" max="4883" width="9.5" style="208" bestFit="1" customWidth="1"/>
    <col min="4884" max="4884" width="9" style="208" customWidth="1"/>
    <col min="4885" max="4885" width="9" style="208"/>
    <col min="4886" max="4886" width="9" style="208" customWidth="1"/>
    <col min="4887" max="4892" width="9" style="208"/>
    <col min="4893" max="4893" width="26.5" style="208" customWidth="1"/>
    <col min="4894" max="4896" width="9" style="208"/>
    <col min="4897" max="4897" width="14.75" style="208" bestFit="1" customWidth="1"/>
    <col min="4898" max="5120" width="9" style="208"/>
    <col min="5121" max="5123" width="9" style="208" customWidth="1"/>
    <col min="5124" max="5124" width="10.5" style="208" customWidth="1"/>
    <col min="5125" max="5125" width="11.25" style="208" bestFit="1" customWidth="1"/>
    <col min="5126" max="5127" width="9" style="208"/>
    <col min="5128" max="5137" width="9" style="208" customWidth="1"/>
    <col min="5138" max="5138" width="9" style="208"/>
    <col min="5139" max="5139" width="9.5" style="208" bestFit="1" customWidth="1"/>
    <col min="5140" max="5140" width="9" style="208" customWidth="1"/>
    <col min="5141" max="5141" width="9" style="208"/>
    <col min="5142" max="5142" width="9" style="208" customWidth="1"/>
    <col min="5143" max="5148" width="9" style="208"/>
    <col min="5149" max="5149" width="26.5" style="208" customWidth="1"/>
    <col min="5150" max="5152" width="9" style="208"/>
    <col min="5153" max="5153" width="14.75" style="208" bestFit="1" customWidth="1"/>
    <col min="5154" max="5376" width="9" style="208"/>
    <col min="5377" max="5379" width="9" style="208" customWidth="1"/>
    <col min="5380" max="5380" width="10.5" style="208" customWidth="1"/>
    <col min="5381" max="5381" width="11.25" style="208" bestFit="1" customWidth="1"/>
    <col min="5382" max="5383" width="9" style="208"/>
    <col min="5384" max="5393" width="9" style="208" customWidth="1"/>
    <col min="5394" max="5394" width="9" style="208"/>
    <col min="5395" max="5395" width="9.5" style="208" bestFit="1" customWidth="1"/>
    <col min="5396" max="5396" width="9" style="208" customWidth="1"/>
    <col min="5397" max="5397" width="9" style="208"/>
    <col min="5398" max="5398" width="9" style="208" customWidth="1"/>
    <col min="5399" max="5404" width="9" style="208"/>
    <col min="5405" max="5405" width="26.5" style="208" customWidth="1"/>
    <col min="5406" max="5408" width="9" style="208"/>
    <col min="5409" max="5409" width="14.75" style="208" bestFit="1" customWidth="1"/>
    <col min="5410" max="5632" width="9" style="208"/>
    <col min="5633" max="5635" width="9" style="208" customWidth="1"/>
    <col min="5636" max="5636" width="10.5" style="208" customWidth="1"/>
    <col min="5637" max="5637" width="11.25" style="208" bestFit="1" customWidth="1"/>
    <col min="5638" max="5639" width="9" style="208"/>
    <col min="5640" max="5649" width="9" style="208" customWidth="1"/>
    <col min="5650" max="5650" width="9" style="208"/>
    <col min="5651" max="5651" width="9.5" style="208" bestFit="1" customWidth="1"/>
    <col min="5652" max="5652" width="9" style="208" customWidth="1"/>
    <col min="5653" max="5653" width="9" style="208"/>
    <col min="5654" max="5654" width="9" style="208" customWidth="1"/>
    <col min="5655" max="5660" width="9" style="208"/>
    <col min="5661" max="5661" width="26.5" style="208" customWidth="1"/>
    <col min="5662" max="5664" width="9" style="208"/>
    <col min="5665" max="5665" width="14.75" style="208" bestFit="1" customWidth="1"/>
    <col min="5666" max="5888" width="9" style="208"/>
    <col min="5889" max="5891" width="9" style="208" customWidth="1"/>
    <col min="5892" max="5892" width="10.5" style="208" customWidth="1"/>
    <col min="5893" max="5893" width="11.25" style="208" bestFit="1" customWidth="1"/>
    <col min="5894" max="5895" width="9" style="208"/>
    <col min="5896" max="5905" width="9" style="208" customWidth="1"/>
    <col min="5906" max="5906" width="9" style="208"/>
    <col min="5907" max="5907" width="9.5" style="208" bestFit="1" customWidth="1"/>
    <col min="5908" max="5908" width="9" style="208" customWidth="1"/>
    <col min="5909" max="5909" width="9" style="208"/>
    <col min="5910" max="5910" width="9" style="208" customWidth="1"/>
    <col min="5911" max="5916" width="9" style="208"/>
    <col min="5917" max="5917" width="26.5" style="208" customWidth="1"/>
    <col min="5918" max="5920" width="9" style="208"/>
    <col min="5921" max="5921" width="14.75" style="208" bestFit="1" customWidth="1"/>
    <col min="5922" max="6144" width="9" style="208"/>
    <col min="6145" max="6147" width="9" style="208" customWidth="1"/>
    <col min="6148" max="6148" width="10.5" style="208" customWidth="1"/>
    <col min="6149" max="6149" width="11.25" style="208" bestFit="1" customWidth="1"/>
    <col min="6150" max="6151" width="9" style="208"/>
    <col min="6152" max="6161" width="9" style="208" customWidth="1"/>
    <col min="6162" max="6162" width="9" style="208"/>
    <col min="6163" max="6163" width="9.5" style="208" bestFit="1" customWidth="1"/>
    <col min="6164" max="6164" width="9" style="208" customWidth="1"/>
    <col min="6165" max="6165" width="9" style="208"/>
    <col min="6166" max="6166" width="9" style="208" customWidth="1"/>
    <col min="6167" max="6172" width="9" style="208"/>
    <col min="6173" max="6173" width="26.5" style="208" customWidth="1"/>
    <col min="6174" max="6176" width="9" style="208"/>
    <col min="6177" max="6177" width="14.75" style="208" bestFit="1" customWidth="1"/>
    <col min="6178" max="6400" width="9" style="208"/>
    <col min="6401" max="6403" width="9" style="208" customWidth="1"/>
    <col min="6404" max="6404" width="10.5" style="208" customWidth="1"/>
    <col min="6405" max="6405" width="11.25" style="208" bestFit="1" customWidth="1"/>
    <col min="6406" max="6407" width="9" style="208"/>
    <col min="6408" max="6417" width="9" style="208" customWidth="1"/>
    <col min="6418" max="6418" width="9" style="208"/>
    <col min="6419" max="6419" width="9.5" style="208" bestFit="1" customWidth="1"/>
    <col min="6420" max="6420" width="9" style="208" customWidth="1"/>
    <col min="6421" max="6421" width="9" style="208"/>
    <col min="6422" max="6422" width="9" style="208" customWidth="1"/>
    <col min="6423" max="6428" width="9" style="208"/>
    <col min="6429" max="6429" width="26.5" style="208" customWidth="1"/>
    <col min="6430" max="6432" width="9" style="208"/>
    <col min="6433" max="6433" width="14.75" style="208" bestFit="1" customWidth="1"/>
    <col min="6434" max="6656" width="9" style="208"/>
    <col min="6657" max="6659" width="9" style="208" customWidth="1"/>
    <col min="6660" max="6660" width="10.5" style="208" customWidth="1"/>
    <col min="6661" max="6661" width="11.25" style="208" bestFit="1" customWidth="1"/>
    <col min="6662" max="6663" width="9" style="208"/>
    <col min="6664" max="6673" width="9" style="208" customWidth="1"/>
    <col min="6674" max="6674" width="9" style="208"/>
    <col min="6675" max="6675" width="9.5" style="208" bestFit="1" customWidth="1"/>
    <col min="6676" max="6676" width="9" style="208" customWidth="1"/>
    <col min="6677" max="6677" width="9" style="208"/>
    <col min="6678" max="6678" width="9" style="208" customWidth="1"/>
    <col min="6679" max="6684" width="9" style="208"/>
    <col min="6685" max="6685" width="26.5" style="208" customWidth="1"/>
    <col min="6686" max="6688" width="9" style="208"/>
    <col min="6689" max="6689" width="14.75" style="208" bestFit="1" customWidth="1"/>
    <col min="6690" max="6912" width="9" style="208"/>
    <col min="6913" max="6915" width="9" style="208" customWidth="1"/>
    <col min="6916" max="6916" width="10.5" style="208" customWidth="1"/>
    <col min="6917" max="6917" width="11.25" style="208" bestFit="1" customWidth="1"/>
    <col min="6918" max="6919" width="9" style="208"/>
    <col min="6920" max="6929" width="9" style="208" customWidth="1"/>
    <col min="6930" max="6930" width="9" style="208"/>
    <col min="6931" max="6931" width="9.5" style="208" bestFit="1" customWidth="1"/>
    <col min="6932" max="6932" width="9" style="208" customWidth="1"/>
    <col min="6933" max="6933" width="9" style="208"/>
    <col min="6934" max="6934" width="9" style="208" customWidth="1"/>
    <col min="6935" max="6940" width="9" style="208"/>
    <col min="6941" max="6941" width="26.5" style="208" customWidth="1"/>
    <col min="6942" max="6944" width="9" style="208"/>
    <col min="6945" max="6945" width="14.75" style="208" bestFit="1" customWidth="1"/>
    <col min="6946" max="7168" width="9" style="208"/>
    <col min="7169" max="7171" width="9" style="208" customWidth="1"/>
    <col min="7172" max="7172" width="10.5" style="208" customWidth="1"/>
    <col min="7173" max="7173" width="11.25" style="208" bestFit="1" customWidth="1"/>
    <col min="7174" max="7175" width="9" style="208"/>
    <col min="7176" max="7185" width="9" style="208" customWidth="1"/>
    <col min="7186" max="7186" width="9" style="208"/>
    <col min="7187" max="7187" width="9.5" style="208" bestFit="1" customWidth="1"/>
    <col min="7188" max="7188" width="9" style="208" customWidth="1"/>
    <col min="7189" max="7189" width="9" style="208"/>
    <col min="7190" max="7190" width="9" style="208" customWidth="1"/>
    <col min="7191" max="7196" width="9" style="208"/>
    <col min="7197" max="7197" width="26.5" style="208" customWidth="1"/>
    <col min="7198" max="7200" width="9" style="208"/>
    <col min="7201" max="7201" width="14.75" style="208" bestFit="1" customWidth="1"/>
    <col min="7202" max="7424" width="9" style="208"/>
    <col min="7425" max="7427" width="9" style="208" customWidth="1"/>
    <col min="7428" max="7428" width="10.5" style="208" customWidth="1"/>
    <col min="7429" max="7429" width="11.25" style="208" bestFit="1" customWidth="1"/>
    <col min="7430" max="7431" width="9" style="208"/>
    <col min="7432" max="7441" width="9" style="208" customWidth="1"/>
    <col min="7442" max="7442" width="9" style="208"/>
    <col min="7443" max="7443" width="9.5" style="208" bestFit="1" customWidth="1"/>
    <col min="7444" max="7444" width="9" style="208" customWidth="1"/>
    <col min="7445" max="7445" width="9" style="208"/>
    <col min="7446" max="7446" width="9" style="208" customWidth="1"/>
    <col min="7447" max="7452" width="9" style="208"/>
    <col min="7453" max="7453" width="26.5" style="208" customWidth="1"/>
    <col min="7454" max="7456" width="9" style="208"/>
    <col min="7457" max="7457" width="14.75" style="208" bestFit="1" customWidth="1"/>
    <col min="7458" max="7680" width="9" style="208"/>
    <col min="7681" max="7683" width="9" style="208" customWidth="1"/>
    <col min="7684" max="7684" width="10.5" style="208" customWidth="1"/>
    <col min="7685" max="7685" width="11.25" style="208" bestFit="1" customWidth="1"/>
    <col min="7686" max="7687" width="9" style="208"/>
    <col min="7688" max="7697" width="9" style="208" customWidth="1"/>
    <col min="7698" max="7698" width="9" style="208"/>
    <col min="7699" max="7699" width="9.5" style="208" bestFit="1" customWidth="1"/>
    <col min="7700" max="7700" width="9" style="208" customWidth="1"/>
    <col min="7701" max="7701" width="9" style="208"/>
    <col min="7702" max="7702" width="9" style="208" customWidth="1"/>
    <col min="7703" max="7708" width="9" style="208"/>
    <col min="7709" max="7709" width="26.5" style="208" customWidth="1"/>
    <col min="7710" max="7712" width="9" style="208"/>
    <col min="7713" max="7713" width="14.75" style="208" bestFit="1" customWidth="1"/>
    <col min="7714" max="7936" width="9" style="208"/>
    <col min="7937" max="7939" width="9" style="208" customWidth="1"/>
    <col min="7940" max="7940" width="10.5" style="208" customWidth="1"/>
    <col min="7941" max="7941" width="11.25" style="208" bestFit="1" customWidth="1"/>
    <col min="7942" max="7943" width="9" style="208"/>
    <col min="7944" max="7953" width="9" style="208" customWidth="1"/>
    <col min="7954" max="7954" width="9" style="208"/>
    <col min="7955" max="7955" width="9.5" style="208" bestFit="1" customWidth="1"/>
    <col min="7956" max="7956" width="9" style="208" customWidth="1"/>
    <col min="7957" max="7957" width="9" style="208"/>
    <col min="7958" max="7958" width="9" style="208" customWidth="1"/>
    <col min="7959" max="7964" width="9" style="208"/>
    <col min="7965" max="7965" width="26.5" style="208" customWidth="1"/>
    <col min="7966" max="7968" width="9" style="208"/>
    <col min="7969" max="7969" width="14.75" style="208" bestFit="1" customWidth="1"/>
    <col min="7970" max="8192" width="9" style="208"/>
    <col min="8193" max="8195" width="9" style="208" customWidth="1"/>
    <col min="8196" max="8196" width="10.5" style="208" customWidth="1"/>
    <col min="8197" max="8197" width="11.25" style="208" bestFit="1" customWidth="1"/>
    <col min="8198" max="8199" width="9" style="208"/>
    <col min="8200" max="8209" width="9" style="208" customWidth="1"/>
    <col min="8210" max="8210" width="9" style="208"/>
    <col min="8211" max="8211" width="9.5" style="208" bestFit="1" customWidth="1"/>
    <col min="8212" max="8212" width="9" style="208" customWidth="1"/>
    <col min="8213" max="8213" width="9" style="208"/>
    <col min="8214" max="8214" width="9" style="208" customWidth="1"/>
    <col min="8215" max="8220" width="9" style="208"/>
    <col min="8221" max="8221" width="26.5" style="208" customWidth="1"/>
    <col min="8222" max="8224" width="9" style="208"/>
    <col min="8225" max="8225" width="14.75" style="208" bestFit="1" customWidth="1"/>
    <col min="8226" max="8448" width="9" style="208"/>
    <col min="8449" max="8451" width="9" style="208" customWidth="1"/>
    <col min="8452" max="8452" width="10.5" style="208" customWidth="1"/>
    <col min="8453" max="8453" width="11.25" style="208" bestFit="1" customWidth="1"/>
    <col min="8454" max="8455" width="9" style="208"/>
    <col min="8456" max="8465" width="9" style="208" customWidth="1"/>
    <col min="8466" max="8466" width="9" style="208"/>
    <col min="8467" max="8467" width="9.5" style="208" bestFit="1" customWidth="1"/>
    <col min="8468" max="8468" width="9" style="208" customWidth="1"/>
    <col min="8469" max="8469" width="9" style="208"/>
    <col min="8470" max="8470" width="9" style="208" customWidth="1"/>
    <col min="8471" max="8476" width="9" style="208"/>
    <col min="8477" max="8477" width="26.5" style="208" customWidth="1"/>
    <col min="8478" max="8480" width="9" style="208"/>
    <col min="8481" max="8481" width="14.75" style="208" bestFit="1" customWidth="1"/>
    <col min="8482" max="8704" width="9" style="208"/>
    <col min="8705" max="8707" width="9" style="208" customWidth="1"/>
    <col min="8708" max="8708" width="10.5" style="208" customWidth="1"/>
    <col min="8709" max="8709" width="11.25" style="208" bestFit="1" customWidth="1"/>
    <col min="8710" max="8711" width="9" style="208"/>
    <col min="8712" max="8721" width="9" style="208" customWidth="1"/>
    <col min="8722" max="8722" width="9" style="208"/>
    <col min="8723" max="8723" width="9.5" style="208" bestFit="1" customWidth="1"/>
    <col min="8724" max="8724" width="9" style="208" customWidth="1"/>
    <col min="8725" max="8725" width="9" style="208"/>
    <col min="8726" max="8726" width="9" style="208" customWidth="1"/>
    <col min="8727" max="8732" width="9" style="208"/>
    <col min="8733" max="8733" width="26.5" style="208" customWidth="1"/>
    <col min="8734" max="8736" width="9" style="208"/>
    <col min="8737" max="8737" width="14.75" style="208" bestFit="1" customWidth="1"/>
    <col min="8738" max="8960" width="9" style="208"/>
    <col min="8961" max="8963" width="9" style="208" customWidth="1"/>
    <col min="8964" max="8964" width="10.5" style="208" customWidth="1"/>
    <col min="8965" max="8965" width="11.25" style="208" bestFit="1" customWidth="1"/>
    <col min="8966" max="8967" width="9" style="208"/>
    <col min="8968" max="8977" width="9" style="208" customWidth="1"/>
    <col min="8978" max="8978" width="9" style="208"/>
    <col min="8979" max="8979" width="9.5" style="208" bestFit="1" customWidth="1"/>
    <col min="8980" max="8980" width="9" style="208" customWidth="1"/>
    <col min="8981" max="8981" width="9" style="208"/>
    <col min="8982" max="8982" width="9" style="208" customWidth="1"/>
    <col min="8983" max="8988" width="9" style="208"/>
    <col min="8989" max="8989" width="26.5" style="208" customWidth="1"/>
    <col min="8990" max="8992" width="9" style="208"/>
    <col min="8993" max="8993" width="14.75" style="208" bestFit="1" customWidth="1"/>
    <col min="8994" max="9216" width="9" style="208"/>
    <col min="9217" max="9219" width="9" style="208" customWidth="1"/>
    <col min="9220" max="9220" width="10.5" style="208" customWidth="1"/>
    <col min="9221" max="9221" width="11.25" style="208" bestFit="1" customWidth="1"/>
    <col min="9222" max="9223" width="9" style="208"/>
    <col min="9224" max="9233" width="9" style="208" customWidth="1"/>
    <col min="9234" max="9234" width="9" style="208"/>
    <col min="9235" max="9235" width="9.5" style="208" bestFit="1" customWidth="1"/>
    <col min="9236" max="9236" width="9" style="208" customWidth="1"/>
    <col min="9237" max="9237" width="9" style="208"/>
    <col min="9238" max="9238" width="9" style="208" customWidth="1"/>
    <col min="9239" max="9244" width="9" style="208"/>
    <col min="9245" max="9245" width="26.5" style="208" customWidth="1"/>
    <col min="9246" max="9248" width="9" style="208"/>
    <col min="9249" max="9249" width="14.75" style="208" bestFit="1" customWidth="1"/>
    <col min="9250" max="9472" width="9" style="208"/>
    <col min="9473" max="9475" width="9" style="208" customWidth="1"/>
    <col min="9476" max="9476" width="10.5" style="208" customWidth="1"/>
    <col min="9477" max="9477" width="11.25" style="208" bestFit="1" customWidth="1"/>
    <col min="9478" max="9479" width="9" style="208"/>
    <col min="9480" max="9489" width="9" style="208" customWidth="1"/>
    <col min="9490" max="9490" width="9" style="208"/>
    <col min="9491" max="9491" width="9.5" style="208" bestFit="1" customWidth="1"/>
    <col min="9492" max="9492" width="9" style="208" customWidth="1"/>
    <col min="9493" max="9493" width="9" style="208"/>
    <col min="9494" max="9494" width="9" style="208" customWidth="1"/>
    <col min="9495" max="9500" width="9" style="208"/>
    <col min="9501" max="9501" width="26.5" style="208" customWidth="1"/>
    <col min="9502" max="9504" width="9" style="208"/>
    <col min="9505" max="9505" width="14.75" style="208" bestFit="1" customWidth="1"/>
    <col min="9506" max="9728" width="9" style="208"/>
    <col min="9729" max="9731" width="9" style="208" customWidth="1"/>
    <col min="9732" max="9732" width="10.5" style="208" customWidth="1"/>
    <col min="9733" max="9733" width="11.25" style="208" bestFit="1" customWidth="1"/>
    <col min="9734" max="9735" width="9" style="208"/>
    <col min="9736" max="9745" width="9" style="208" customWidth="1"/>
    <col min="9746" max="9746" width="9" style="208"/>
    <col min="9747" max="9747" width="9.5" style="208" bestFit="1" customWidth="1"/>
    <col min="9748" max="9748" width="9" style="208" customWidth="1"/>
    <col min="9749" max="9749" width="9" style="208"/>
    <col min="9750" max="9750" width="9" style="208" customWidth="1"/>
    <col min="9751" max="9756" width="9" style="208"/>
    <col min="9757" max="9757" width="26.5" style="208" customWidth="1"/>
    <col min="9758" max="9760" width="9" style="208"/>
    <col min="9761" max="9761" width="14.75" style="208" bestFit="1" customWidth="1"/>
    <col min="9762" max="9984" width="9" style="208"/>
    <col min="9985" max="9987" width="9" style="208" customWidth="1"/>
    <col min="9988" max="9988" width="10.5" style="208" customWidth="1"/>
    <col min="9989" max="9989" width="11.25" style="208" bestFit="1" customWidth="1"/>
    <col min="9990" max="9991" width="9" style="208"/>
    <col min="9992" max="10001" width="9" style="208" customWidth="1"/>
    <col min="10002" max="10002" width="9" style="208"/>
    <col min="10003" max="10003" width="9.5" style="208" bestFit="1" customWidth="1"/>
    <col min="10004" max="10004" width="9" style="208" customWidth="1"/>
    <col min="10005" max="10005" width="9" style="208"/>
    <col min="10006" max="10006" width="9" style="208" customWidth="1"/>
    <col min="10007" max="10012" width="9" style="208"/>
    <col min="10013" max="10013" width="26.5" style="208" customWidth="1"/>
    <col min="10014" max="10016" width="9" style="208"/>
    <col min="10017" max="10017" width="14.75" style="208" bestFit="1" customWidth="1"/>
    <col min="10018" max="10240" width="9" style="208"/>
    <col min="10241" max="10243" width="9" style="208" customWidth="1"/>
    <col min="10244" max="10244" width="10.5" style="208" customWidth="1"/>
    <col min="10245" max="10245" width="11.25" style="208" bestFit="1" customWidth="1"/>
    <col min="10246" max="10247" width="9" style="208"/>
    <col min="10248" max="10257" width="9" style="208" customWidth="1"/>
    <col min="10258" max="10258" width="9" style="208"/>
    <col min="10259" max="10259" width="9.5" style="208" bestFit="1" customWidth="1"/>
    <col min="10260" max="10260" width="9" style="208" customWidth="1"/>
    <col min="10261" max="10261" width="9" style="208"/>
    <col min="10262" max="10262" width="9" style="208" customWidth="1"/>
    <col min="10263" max="10268" width="9" style="208"/>
    <col min="10269" max="10269" width="26.5" style="208" customWidth="1"/>
    <col min="10270" max="10272" width="9" style="208"/>
    <col min="10273" max="10273" width="14.75" style="208" bestFit="1" customWidth="1"/>
    <col min="10274" max="10496" width="9" style="208"/>
    <col min="10497" max="10499" width="9" style="208" customWidth="1"/>
    <col min="10500" max="10500" width="10.5" style="208" customWidth="1"/>
    <col min="10501" max="10501" width="11.25" style="208" bestFit="1" customWidth="1"/>
    <col min="10502" max="10503" width="9" style="208"/>
    <col min="10504" max="10513" width="9" style="208" customWidth="1"/>
    <col min="10514" max="10514" width="9" style="208"/>
    <col min="10515" max="10515" width="9.5" style="208" bestFit="1" customWidth="1"/>
    <col min="10516" max="10516" width="9" style="208" customWidth="1"/>
    <col min="10517" max="10517" width="9" style="208"/>
    <col min="10518" max="10518" width="9" style="208" customWidth="1"/>
    <col min="10519" max="10524" width="9" style="208"/>
    <col min="10525" max="10525" width="26.5" style="208" customWidth="1"/>
    <col min="10526" max="10528" width="9" style="208"/>
    <col min="10529" max="10529" width="14.75" style="208" bestFit="1" customWidth="1"/>
    <col min="10530" max="10752" width="9" style="208"/>
    <col min="10753" max="10755" width="9" style="208" customWidth="1"/>
    <col min="10756" max="10756" width="10.5" style="208" customWidth="1"/>
    <col min="10757" max="10757" width="11.25" style="208" bestFit="1" customWidth="1"/>
    <col min="10758" max="10759" width="9" style="208"/>
    <col min="10760" max="10769" width="9" style="208" customWidth="1"/>
    <col min="10770" max="10770" width="9" style="208"/>
    <col min="10771" max="10771" width="9.5" style="208" bestFit="1" customWidth="1"/>
    <col min="10772" max="10772" width="9" style="208" customWidth="1"/>
    <col min="10773" max="10773" width="9" style="208"/>
    <col min="10774" max="10774" width="9" style="208" customWidth="1"/>
    <col min="10775" max="10780" width="9" style="208"/>
    <col min="10781" max="10781" width="26.5" style="208" customWidth="1"/>
    <col min="10782" max="10784" width="9" style="208"/>
    <col min="10785" max="10785" width="14.75" style="208" bestFit="1" customWidth="1"/>
    <col min="10786" max="11008" width="9" style="208"/>
    <col min="11009" max="11011" width="9" style="208" customWidth="1"/>
    <col min="11012" max="11012" width="10.5" style="208" customWidth="1"/>
    <col min="11013" max="11013" width="11.25" style="208" bestFit="1" customWidth="1"/>
    <col min="11014" max="11015" width="9" style="208"/>
    <col min="11016" max="11025" width="9" style="208" customWidth="1"/>
    <col min="11026" max="11026" width="9" style="208"/>
    <col min="11027" max="11027" width="9.5" style="208" bestFit="1" customWidth="1"/>
    <col min="11028" max="11028" width="9" style="208" customWidth="1"/>
    <col min="11029" max="11029" width="9" style="208"/>
    <col min="11030" max="11030" width="9" style="208" customWidth="1"/>
    <col min="11031" max="11036" width="9" style="208"/>
    <col min="11037" max="11037" width="26.5" style="208" customWidth="1"/>
    <col min="11038" max="11040" width="9" style="208"/>
    <col min="11041" max="11041" width="14.75" style="208" bestFit="1" customWidth="1"/>
    <col min="11042" max="11264" width="9" style="208"/>
    <col min="11265" max="11267" width="9" style="208" customWidth="1"/>
    <col min="11268" max="11268" width="10.5" style="208" customWidth="1"/>
    <col min="11269" max="11269" width="11.25" style="208" bestFit="1" customWidth="1"/>
    <col min="11270" max="11271" width="9" style="208"/>
    <col min="11272" max="11281" width="9" style="208" customWidth="1"/>
    <col min="11282" max="11282" width="9" style="208"/>
    <col min="11283" max="11283" width="9.5" style="208" bestFit="1" customWidth="1"/>
    <col min="11284" max="11284" width="9" style="208" customWidth="1"/>
    <col min="11285" max="11285" width="9" style="208"/>
    <col min="11286" max="11286" width="9" style="208" customWidth="1"/>
    <col min="11287" max="11292" width="9" style="208"/>
    <col min="11293" max="11293" width="26.5" style="208" customWidth="1"/>
    <col min="11294" max="11296" width="9" style="208"/>
    <col min="11297" max="11297" width="14.75" style="208" bestFit="1" customWidth="1"/>
    <col min="11298" max="11520" width="9" style="208"/>
    <col min="11521" max="11523" width="9" style="208" customWidth="1"/>
    <col min="11524" max="11524" width="10.5" style="208" customWidth="1"/>
    <col min="11525" max="11525" width="11.25" style="208" bestFit="1" customWidth="1"/>
    <col min="11526" max="11527" width="9" style="208"/>
    <col min="11528" max="11537" width="9" style="208" customWidth="1"/>
    <col min="11538" max="11538" width="9" style="208"/>
    <col min="11539" max="11539" width="9.5" style="208" bestFit="1" customWidth="1"/>
    <col min="11540" max="11540" width="9" style="208" customWidth="1"/>
    <col min="11541" max="11541" width="9" style="208"/>
    <col min="11542" max="11542" width="9" style="208" customWidth="1"/>
    <col min="11543" max="11548" width="9" style="208"/>
    <col min="11549" max="11549" width="26.5" style="208" customWidth="1"/>
    <col min="11550" max="11552" width="9" style="208"/>
    <col min="11553" max="11553" width="14.75" style="208" bestFit="1" customWidth="1"/>
    <col min="11554" max="11776" width="9" style="208"/>
    <col min="11777" max="11779" width="9" style="208" customWidth="1"/>
    <col min="11780" max="11780" width="10.5" style="208" customWidth="1"/>
    <col min="11781" max="11781" width="11.25" style="208" bestFit="1" customWidth="1"/>
    <col min="11782" max="11783" width="9" style="208"/>
    <col min="11784" max="11793" width="9" style="208" customWidth="1"/>
    <col min="11794" max="11794" width="9" style="208"/>
    <col min="11795" max="11795" width="9.5" style="208" bestFit="1" customWidth="1"/>
    <col min="11796" max="11796" width="9" style="208" customWidth="1"/>
    <col min="11797" max="11797" width="9" style="208"/>
    <col min="11798" max="11798" width="9" style="208" customWidth="1"/>
    <col min="11799" max="11804" width="9" style="208"/>
    <col min="11805" max="11805" width="26.5" style="208" customWidth="1"/>
    <col min="11806" max="11808" width="9" style="208"/>
    <col min="11809" max="11809" width="14.75" style="208" bestFit="1" customWidth="1"/>
    <col min="11810" max="12032" width="9" style="208"/>
    <col min="12033" max="12035" width="9" style="208" customWidth="1"/>
    <col min="12036" max="12036" width="10.5" style="208" customWidth="1"/>
    <col min="12037" max="12037" width="11.25" style="208" bestFit="1" customWidth="1"/>
    <col min="12038" max="12039" width="9" style="208"/>
    <col min="12040" max="12049" width="9" style="208" customWidth="1"/>
    <col min="12050" max="12050" width="9" style="208"/>
    <col min="12051" max="12051" width="9.5" style="208" bestFit="1" customWidth="1"/>
    <col min="12052" max="12052" width="9" style="208" customWidth="1"/>
    <col min="12053" max="12053" width="9" style="208"/>
    <col min="12054" max="12054" width="9" style="208" customWidth="1"/>
    <col min="12055" max="12060" width="9" style="208"/>
    <col min="12061" max="12061" width="26.5" style="208" customWidth="1"/>
    <col min="12062" max="12064" width="9" style="208"/>
    <col min="12065" max="12065" width="14.75" style="208" bestFit="1" customWidth="1"/>
    <col min="12066" max="12288" width="9" style="208"/>
    <col min="12289" max="12291" width="9" style="208" customWidth="1"/>
    <col min="12292" max="12292" width="10.5" style="208" customWidth="1"/>
    <col min="12293" max="12293" width="11.25" style="208" bestFit="1" customWidth="1"/>
    <col min="12294" max="12295" width="9" style="208"/>
    <col min="12296" max="12305" width="9" style="208" customWidth="1"/>
    <col min="12306" max="12306" width="9" style="208"/>
    <col min="12307" max="12307" width="9.5" style="208" bestFit="1" customWidth="1"/>
    <col min="12308" max="12308" width="9" style="208" customWidth="1"/>
    <col min="12309" max="12309" width="9" style="208"/>
    <col min="12310" max="12310" width="9" style="208" customWidth="1"/>
    <col min="12311" max="12316" width="9" style="208"/>
    <col min="12317" max="12317" width="26.5" style="208" customWidth="1"/>
    <col min="12318" max="12320" width="9" style="208"/>
    <col min="12321" max="12321" width="14.75" style="208" bestFit="1" customWidth="1"/>
    <col min="12322" max="12544" width="9" style="208"/>
    <col min="12545" max="12547" width="9" style="208" customWidth="1"/>
    <col min="12548" max="12548" width="10.5" style="208" customWidth="1"/>
    <col min="12549" max="12549" width="11.25" style="208" bestFit="1" customWidth="1"/>
    <col min="12550" max="12551" width="9" style="208"/>
    <col min="12552" max="12561" width="9" style="208" customWidth="1"/>
    <col min="12562" max="12562" width="9" style="208"/>
    <col min="12563" max="12563" width="9.5" style="208" bestFit="1" customWidth="1"/>
    <col min="12564" max="12564" width="9" style="208" customWidth="1"/>
    <col min="12565" max="12565" width="9" style="208"/>
    <col min="12566" max="12566" width="9" style="208" customWidth="1"/>
    <col min="12567" max="12572" width="9" style="208"/>
    <col min="12573" max="12573" width="26.5" style="208" customWidth="1"/>
    <col min="12574" max="12576" width="9" style="208"/>
    <col min="12577" max="12577" width="14.75" style="208" bestFit="1" customWidth="1"/>
    <col min="12578" max="12800" width="9" style="208"/>
    <col min="12801" max="12803" width="9" style="208" customWidth="1"/>
    <col min="12804" max="12804" width="10.5" style="208" customWidth="1"/>
    <col min="12805" max="12805" width="11.25" style="208" bestFit="1" customWidth="1"/>
    <col min="12806" max="12807" width="9" style="208"/>
    <col min="12808" max="12817" width="9" style="208" customWidth="1"/>
    <col min="12818" max="12818" width="9" style="208"/>
    <col min="12819" max="12819" width="9.5" style="208" bestFit="1" customWidth="1"/>
    <col min="12820" max="12820" width="9" style="208" customWidth="1"/>
    <col min="12821" max="12821" width="9" style="208"/>
    <col min="12822" max="12822" width="9" style="208" customWidth="1"/>
    <col min="12823" max="12828" width="9" style="208"/>
    <col min="12829" max="12829" width="26.5" style="208" customWidth="1"/>
    <col min="12830" max="12832" width="9" style="208"/>
    <col min="12833" max="12833" width="14.75" style="208" bestFit="1" customWidth="1"/>
    <col min="12834" max="13056" width="9" style="208"/>
    <col min="13057" max="13059" width="9" style="208" customWidth="1"/>
    <col min="13060" max="13060" width="10.5" style="208" customWidth="1"/>
    <col min="13061" max="13061" width="11.25" style="208" bestFit="1" customWidth="1"/>
    <col min="13062" max="13063" width="9" style="208"/>
    <col min="13064" max="13073" width="9" style="208" customWidth="1"/>
    <col min="13074" max="13074" width="9" style="208"/>
    <col min="13075" max="13075" width="9.5" style="208" bestFit="1" customWidth="1"/>
    <col min="13076" max="13076" width="9" style="208" customWidth="1"/>
    <col min="13077" max="13077" width="9" style="208"/>
    <col min="13078" max="13078" width="9" style="208" customWidth="1"/>
    <col min="13079" max="13084" width="9" style="208"/>
    <col min="13085" max="13085" width="26.5" style="208" customWidth="1"/>
    <col min="13086" max="13088" width="9" style="208"/>
    <col min="13089" max="13089" width="14.75" style="208" bestFit="1" customWidth="1"/>
    <col min="13090" max="13312" width="9" style="208"/>
    <col min="13313" max="13315" width="9" style="208" customWidth="1"/>
    <col min="13316" max="13316" width="10.5" style="208" customWidth="1"/>
    <col min="13317" max="13317" width="11.25" style="208" bestFit="1" customWidth="1"/>
    <col min="13318" max="13319" width="9" style="208"/>
    <col min="13320" max="13329" width="9" style="208" customWidth="1"/>
    <col min="13330" max="13330" width="9" style="208"/>
    <col min="13331" max="13331" width="9.5" style="208" bestFit="1" customWidth="1"/>
    <col min="13332" max="13332" width="9" style="208" customWidth="1"/>
    <col min="13333" max="13333" width="9" style="208"/>
    <col min="13334" max="13334" width="9" style="208" customWidth="1"/>
    <col min="13335" max="13340" width="9" style="208"/>
    <col min="13341" max="13341" width="26.5" style="208" customWidth="1"/>
    <col min="13342" max="13344" width="9" style="208"/>
    <col min="13345" max="13345" width="14.75" style="208" bestFit="1" customWidth="1"/>
    <col min="13346" max="13568" width="9" style="208"/>
    <col min="13569" max="13571" width="9" style="208" customWidth="1"/>
    <col min="13572" max="13572" width="10.5" style="208" customWidth="1"/>
    <col min="13573" max="13573" width="11.25" style="208" bestFit="1" customWidth="1"/>
    <col min="13574" max="13575" width="9" style="208"/>
    <col min="13576" max="13585" width="9" style="208" customWidth="1"/>
    <col min="13586" max="13586" width="9" style="208"/>
    <col min="13587" max="13587" width="9.5" style="208" bestFit="1" customWidth="1"/>
    <col min="13588" max="13588" width="9" style="208" customWidth="1"/>
    <col min="13589" max="13589" width="9" style="208"/>
    <col min="13590" max="13590" width="9" style="208" customWidth="1"/>
    <col min="13591" max="13596" width="9" style="208"/>
    <col min="13597" max="13597" width="26.5" style="208" customWidth="1"/>
    <col min="13598" max="13600" width="9" style="208"/>
    <col min="13601" max="13601" width="14.75" style="208" bestFit="1" customWidth="1"/>
    <col min="13602" max="13824" width="9" style="208"/>
    <col min="13825" max="13827" width="9" style="208" customWidth="1"/>
    <col min="13828" max="13828" width="10.5" style="208" customWidth="1"/>
    <col min="13829" max="13829" width="11.25" style="208" bestFit="1" customWidth="1"/>
    <col min="13830" max="13831" width="9" style="208"/>
    <col min="13832" max="13841" width="9" style="208" customWidth="1"/>
    <col min="13842" max="13842" width="9" style="208"/>
    <col min="13843" max="13843" width="9.5" style="208" bestFit="1" customWidth="1"/>
    <col min="13844" max="13844" width="9" style="208" customWidth="1"/>
    <col min="13845" max="13845" width="9" style="208"/>
    <col min="13846" max="13846" width="9" style="208" customWidth="1"/>
    <col min="13847" max="13852" width="9" style="208"/>
    <col min="13853" max="13853" width="26.5" style="208" customWidth="1"/>
    <col min="13854" max="13856" width="9" style="208"/>
    <col min="13857" max="13857" width="14.75" style="208" bestFit="1" customWidth="1"/>
    <col min="13858" max="14080" width="9" style="208"/>
    <col min="14081" max="14083" width="9" style="208" customWidth="1"/>
    <col min="14084" max="14084" width="10.5" style="208" customWidth="1"/>
    <col min="14085" max="14085" width="11.25" style="208" bestFit="1" customWidth="1"/>
    <col min="14086" max="14087" width="9" style="208"/>
    <col min="14088" max="14097" width="9" style="208" customWidth="1"/>
    <col min="14098" max="14098" width="9" style="208"/>
    <col min="14099" max="14099" width="9.5" style="208" bestFit="1" customWidth="1"/>
    <col min="14100" max="14100" width="9" style="208" customWidth="1"/>
    <col min="14101" max="14101" width="9" style="208"/>
    <col min="14102" max="14102" width="9" style="208" customWidth="1"/>
    <col min="14103" max="14108" width="9" style="208"/>
    <col min="14109" max="14109" width="26.5" style="208" customWidth="1"/>
    <col min="14110" max="14112" width="9" style="208"/>
    <col min="14113" max="14113" width="14.75" style="208" bestFit="1" customWidth="1"/>
    <col min="14114" max="14336" width="9" style="208"/>
    <col min="14337" max="14339" width="9" style="208" customWidth="1"/>
    <col min="14340" max="14340" width="10.5" style="208" customWidth="1"/>
    <col min="14341" max="14341" width="11.25" style="208" bestFit="1" customWidth="1"/>
    <col min="14342" max="14343" width="9" style="208"/>
    <col min="14344" max="14353" width="9" style="208" customWidth="1"/>
    <col min="14354" max="14354" width="9" style="208"/>
    <col min="14355" max="14355" width="9.5" style="208" bestFit="1" customWidth="1"/>
    <col min="14356" max="14356" width="9" style="208" customWidth="1"/>
    <col min="14357" max="14357" width="9" style="208"/>
    <col min="14358" max="14358" width="9" style="208" customWidth="1"/>
    <col min="14359" max="14364" width="9" style="208"/>
    <col min="14365" max="14365" width="26.5" style="208" customWidth="1"/>
    <col min="14366" max="14368" width="9" style="208"/>
    <col min="14369" max="14369" width="14.75" style="208" bestFit="1" customWidth="1"/>
    <col min="14370" max="14592" width="9" style="208"/>
    <col min="14593" max="14595" width="9" style="208" customWidth="1"/>
    <col min="14596" max="14596" width="10.5" style="208" customWidth="1"/>
    <col min="14597" max="14597" width="11.25" style="208" bestFit="1" customWidth="1"/>
    <col min="14598" max="14599" width="9" style="208"/>
    <col min="14600" max="14609" width="9" style="208" customWidth="1"/>
    <col min="14610" max="14610" width="9" style="208"/>
    <col min="14611" max="14611" width="9.5" style="208" bestFit="1" customWidth="1"/>
    <col min="14612" max="14612" width="9" style="208" customWidth="1"/>
    <col min="14613" max="14613" width="9" style="208"/>
    <col min="14614" max="14614" width="9" style="208" customWidth="1"/>
    <col min="14615" max="14620" width="9" style="208"/>
    <col min="14621" max="14621" width="26.5" style="208" customWidth="1"/>
    <col min="14622" max="14624" width="9" style="208"/>
    <col min="14625" max="14625" width="14.75" style="208" bestFit="1" customWidth="1"/>
    <col min="14626" max="14848" width="9" style="208"/>
    <col min="14849" max="14851" width="9" style="208" customWidth="1"/>
    <col min="14852" max="14852" width="10.5" style="208" customWidth="1"/>
    <col min="14853" max="14853" width="11.25" style="208" bestFit="1" customWidth="1"/>
    <col min="14854" max="14855" width="9" style="208"/>
    <col min="14856" max="14865" width="9" style="208" customWidth="1"/>
    <col min="14866" max="14866" width="9" style="208"/>
    <col min="14867" max="14867" width="9.5" style="208" bestFit="1" customWidth="1"/>
    <col min="14868" max="14868" width="9" style="208" customWidth="1"/>
    <col min="14869" max="14869" width="9" style="208"/>
    <col min="14870" max="14870" width="9" style="208" customWidth="1"/>
    <col min="14871" max="14876" width="9" style="208"/>
    <col min="14877" max="14877" width="26.5" style="208" customWidth="1"/>
    <col min="14878" max="14880" width="9" style="208"/>
    <col min="14881" max="14881" width="14.75" style="208" bestFit="1" customWidth="1"/>
    <col min="14882" max="15104" width="9" style="208"/>
    <col min="15105" max="15107" width="9" style="208" customWidth="1"/>
    <col min="15108" max="15108" width="10.5" style="208" customWidth="1"/>
    <col min="15109" max="15109" width="11.25" style="208" bestFit="1" customWidth="1"/>
    <col min="15110" max="15111" width="9" style="208"/>
    <col min="15112" max="15121" width="9" style="208" customWidth="1"/>
    <col min="15122" max="15122" width="9" style="208"/>
    <col min="15123" max="15123" width="9.5" style="208" bestFit="1" customWidth="1"/>
    <col min="15124" max="15124" width="9" style="208" customWidth="1"/>
    <col min="15125" max="15125" width="9" style="208"/>
    <col min="15126" max="15126" width="9" style="208" customWidth="1"/>
    <col min="15127" max="15132" width="9" style="208"/>
    <col min="15133" max="15133" width="26.5" style="208" customWidth="1"/>
    <col min="15134" max="15136" width="9" style="208"/>
    <col min="15137" max="15137" width="14.75" style="208" bestFit="1" customWidth="1"/>
    <col min="15138" max="15360" width="9" style="208"/>
    <col min="15361" max="15363" width="9" style="208" customWidth="1"/>
    <col min="15364" max="15364" width="10.5" style="208" customWidth="1"/>
    <col min="15365" max="15365" width="11.25" style="208" bestFit="1" customWidth="1"/>
    <col min="15366" max="15367" width="9" style="208"/>
    <col min="15368" max="15377" width="9" style="208" customWidth="1"/>
    <col min="15378" max="15378" width="9" style="208"/>
    <col min="15379" max="15379" width="9.5" style="208" bestFit="1" customWidth="1"/>
    <col min="15380" max="15380" width="9" style="208" customWidth="1"/>
    <col min="15381" max="15381" width="9" style="208"/>
    <col min="15382" max="15382" width="9" style="208" customWidth="1"/>
    <col min="15383" max="15388" width="9" style="208"/>
    <col min="15389" max="15389" width="26.5" style="208" customWidth="1"/>
    <col min="15390" max="15392" width="9" style="208"/>
    <col min="15393" max="15393" width="14.75" style="208" bestFit="1" customWidth="1"/>
    <col min="15394" max="15616" width="9" style="208"/>
    <col min="15617" max="15619" width="9" style="208" customWidth="1"/>
    <col min="15620" max="15620" width="10.5" style="208" customWidth="1"/>
    <col min="15621" max="15621" width="11.25" style="208" bestFit="1" customWidth="1"/>
    <col min="15622" max="15623" width="9" style="208"/>
    <col min="15624" max="15633" width="9" style="208" customWidth="1"/>
    <col min="15634" max="15634" width="9" style="208"/>
    <col min="15635" max="15635" width="9.5" style="208" bestFit="1" customWidth="1"/>
    <col min="15636" max="15636" width="9" style="208" customWidth="1"/>
    <col min="15637" max="15637" width="9" style="208"/>
    <col min="15638" max="15638" width="9" style="208" customWidth="1"/>
    <col min="15639" max="15644" width="9" style="208"/>
    <col min="15645" max="15645" width="26.5" style="208" customWidth="1"/>
    <col min="15646" max="15648" width="9" style="208"/>
    <col min="15649" max="15649" width="14.75" style="208" bestFit="1" customWidth="1"/>
    <col min="15650" max="15872" width="9" style="208"/>
    <col min="15873" max="15875" width="9" style="208" customWidth="1"/>
    <col min="15876" max="15876" width="10.5" style="208" customWidth="1"/>
    <col min="15877" max="15877" width="11.25" style="208" bestFit="1" customWidth="1"/>
    <col min="15878" max="15879" width="9" style="208"/>
    <col min="15880" max="15889" width="9" style="208" customWidth="1"/>
    <col min="15890" max="15890" width="9" style="208"/>
    <col min="15891" max="15891" width="9.5" style="208" bestFit="1" customWidth="1"/>
    <col min="15892" max="15892" width="9" style="208" customWidth="1"/>
    <col min="15893" max="15893" width="9" style="208"/>
    <col min="15894" max="15894" width="9" style="208" customWidth="1"/>
    <col min="15895" max="15900" width="9" style="208"/>
    <col min="15901" max="15901" width="26.5" style="208" customWidth="1"/>
    <col min="15902" max="15904" width="9" style="208"/>
    <col min="15905" max="15905" width="14.75" style="208" bestFit="1" customWidth="1"/>
    <col min="15906" max="16128" width="9" style="208"/>
    <col min="16129" max="16131" width="9" style="208" customWidth="1"/>
    <col min="16132" max="16132" width="10.5" style="208" customWidth="1"/>
    <col min="16133" max="16133" width="11.25" style="208" bestFit="1" customWidth="1"/>
    <col min="16134" max="16135" width="9" style="208"/>
    <col min="16136" max="16145" width="9" style="208" customWidth="1"/>
    <col min="16146" max="16146" width="9" style="208"/>
    <col min="16147" max="16147" width="9.5" style="208" bestFit="1" customWidth="1"/>
    <col min="16148" max="16148" width="9" style="208" customWidth="1"/>
    <col min="16149" max="16149" width="9" style="208"/>
    <col min="16150" max="16150" width="9" style="208" customWidth="1"/>
    <col min="16151" max="16156" width="9" style="208"/>
    <col min="16157" max="16157" width="26.5" style="208" customWidth="1"/>
    <col min="16158" max="16160" width="9" style="208"/>
    <col min="16161" max="16161" width="14.75" style="208" bestFit="1" customWidth="1"/>
    <col min="16162" max="16384" width="9" style="208"/>
  </cols>
  <sheetData>
    <row r="1" spans="1:53" ht="44.25" customHeight="1" x14ac:dyDescent="0.15">
      <c r="A1" s="133" t="s">
        <v>243</v>
      </c>
      <c r="B1" s="202" t="s">
        <v>1</v>
      </c>
      <c r="C1" s="202" t="s">
        <v>159</v>
      </c>
      <c r="D1" s="203" t="s">
        <v>3</v>
      </c>
      <c r="E1" s="203" t="s">
        <v>400</v>
      </c>
      <c r="F1" s="203" t="s">
        <v>5</v>
      </c>
      <c r="G1" s="203" t="s">
        <v>6</v>
      </c>
      <c r="H1" s="203" t="s">
        <v>244</v>
      </c>
      <c r="I1" s="203" t="s">
        <v>8</v>
      </c>
      <c r="J1" s="203" t="s">
        <v>9</v>
      </c>
      <c r="K1" s="203" t="s">
        <v>10</v>
      </c>
      <c r="L1" s="203" t="s">
        <v>160</v>
      </c>
      <c r="M1" s="203" t="s">
        <v>12</v>
      </c>
      <c r="N1" s="203" t="s">
        <v>13</v>
      </c>
      <c r="O1" s="203" t="s">
        <v>161</v>
      </c>
      <c r="P1" s="203" t="s">
        <v>15</v>
      </c>
      <c r="Q1" s="204" t="s">
        <v>16</v>
      </c>
      <c r="R1" s="203" t="s">
        <v>17</v>
      </c>
      <c r="S1" s="203" t="s">
        <v>18</v>
      </c>
      <c r="T1" s="204" t="s">
        <v>19</v>
      </c>
      <c r="U1" s="205" t="s">
        <v>108</v>
      </c>
      <c r="V1" s="206" t="s">
        <v>20</v>
      </c>
      <c r="W1" s="203" t="s">
        <v>21</v>
      </c>
      <c r="X1" s="203" t="s">
        <v>22</v>
      </c>
      <c r="Y1" s="203" t="s">
        <v>23</v>
      </c>
      <c r="Z1" s="203" t="s">
        <v>24</v>
      </c>
      <c r="AA1" s="134" t="s">
        <v>25</v>
      </c>
      <c r="AB1" s="135" t="s">
        <v>26</v>
      </c>
      <c r="AC1" s="136"/>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162</v>
      </c>
      <c r="AY1" s="214" t="s">
        <v>163</v>
      </c>
      <c r="AZ1" s="214" t="s">
        <v>174</v>
      </c>
      <c r="BA1" s="215" t="s">
        <v>164</v>
      </c>
    </row>
    <row r="2" spans="1:53" s="143" customFormat="1" x14ac:dyDescent="0.15">
      <c r="A2" s="137" t="s">
        <v>61</v>
      </c>
      <c r="B2" s="137" t="s">
        <v>339</v>
      </c>
      <c r="C2" s="137">
        <v>2018</v>
      </c>
      <c r="D2" s="138" t="s">
        <v>361</v>
      </c>
      <c r="E2" s="137" t="s">
        <v>246</v>
      </c>
      <c r="F2" s="137" t="s">
        <v>245</v>
      </c>
      <c r="G2" s="137" t="s">
        <v>42</v>
      </c>
      <c r="H2" s="247" t="s">
        <v>157</v>
      </c>
      <c r="I2" s="247" t="s">
        <v>155</v>
      </c>
      <c r="J2" s="137" t="s">
        <v>38</v>
      </c>
      <c r="K2" s="247" t="s">
        <v>156</v>
      </c>
      <c r="L2" s="247">
        <v>1</v>
      </c>
      <c r="M2" s="247"/>
      <c r="N2" s="247">
        <v>1</v>
      </c>
      <c r="O2" s="247">
        <v>0.7</v>
      </c>
      <c r="P2" s="247">
        <v>0.7</v>
      </c>
      <c r="Q2" s="139">
        <f t="shared" ref="Q2:Q66" si="0">IF(OR(O2="",P2=""),"",AVERAGE(O2,P2))</f>
        <v>0.7</v>
      </c>
      <c r="R2" s="247">
        <v>14.5</v>
      </c>
      <c r="S2" s="247">
        <v>110</v>
      </c>
      <c r="T2" s="140">
        <f t="shared" ref="T2:T65" si="1">IF(H2="","",IF(OR(H2="GREEN",H2="GK"),IF(S2&gt;=$AX$2,VLOOKUP(S2,$AX$2:$AY$15,2,1),""),IF(S2&gt;=$AZ$2,VLOOKUP(S2,$AZ$2:$BA$15,2,1),"")))</f>
        <v>33</v>
      </c>
      <c r="U2" s="247">
        <v>118</v>
      </c>
      <c r="V2" s="141">
        <f>IF(OR(N2="",U2="",T2=""),"",U2/N2*T2)</f>
        <v>3894</v>
      </c>
      <c r="W2" s="247">
        <v>4</v>
      </c>
      <c r="X2" s="137" t="s">
        <v>39</v>
      </c>
      <c r="Y2" s="247" t="s">
        <v>86</v>
      </c>
      <c r="Z2" s="247" t="s">
        <v>78</v>
      </c>
      <c r="AA2" s="247" t="s">
        <v>88</v>
      </c>
      <c r="AB2" s="137" t="s">
        <v>401</v>
      </c>
      <c r="AC2" s="142"/>
      <c r="AE2" s="218" t="s">
        <v>35</v>
      </c>
      <c r="AG2" s="49" t="s">
        <v>246</v>
      </c>
      <c r="AH2" s="49" t="s">
        <v>245</v>
      </c>
      <c r="AJ2" s="144" t="s">
        <v>36</v>
      </c>
      <c r="AL2" s="219" t="s">
        <v>127</v>
      </c>
      <c r="AN2" s="144" t="s">
        <v>37</v>
      </c>
      <c r="AP2" s="219" t="s">
        <v>38</v>
      </c>
      <c r="AR2" s="219" t="s">
        <v>402</v>
      </c>
      <c r="AT2" s="144" t="s">
        <v>39</v>
      </c>
      <c r="AV2" s="219" t="s">
        <v>40</v>
      </c>
      <c r="AX2" s="145">
        <v>1</v>
      </c>
      <c r="AY2" s="146">
        <v>50</v>
      </c>
      <c r="AZ2" s="146">
        <v>1</v>
      </c>
      <c r="BA2" s="147">
        <v>50</v>
      </c>
    </row>
    <row r="3" spans="1:53" x14ac:dyDescent="0.15">
      <c r="A3" s="137" t="s">
        <v>61</v>
      </c>
      <c r="B3" s="137" t="s">
        <v>403</v>
      </c>
      <c r="C3" s="137">
        <v>2018</v>
      </c>
      <c r="D3" s="138" t="s">
        <v>404</v>
      </c>
      <c r="E3" s="137" t="s">
        <v>246</v>
      </c>
      <c r="F3" s="137" t="s">
        <v>245</v>
      </c>
      <c r="G3" s="137" t="s">
        <v>42</v>
      </c>
      <c r="H3" s="247" t="s">
        <v>157</v>
      </c>
      <c r="I3" s="247" t="s">
        <v>155</v>
      </c>
      <c r="J3" s="137" t="s">
        <v>38</v>
      </c>
      <c r="K3" s="247" t="s">
        <v>156</v>
      </c>
      <c r="L3" s="247">
        <v>2</v>
      </c>
      <c r="M3" s="247"/>
      <c r="N3" s="247">
        <v>1</v>
      </c>
      <c r="O3" s="247">
        <v>0.85</v>
      </c>
      <c r="P3" s="247">
        <v>0.8</v>
      </c>
      <c r="Q3" s="139">
        <f t="shared" si="0"/>
        <v>0.82499999999999996</v>
      </c>
      <c r="R3" s="247">
        <v>15.3</v>
      </c>
      <c r="S3" s="247">
        <v>111</v>
      </c>
      <c r="T3" s="140">
        <f t="shared" si="1"/>
        <v>33</v>
      </c>
      <c r="U3" s="247">
        <v>118</v>
      </c>
      <c r="V3" s="141">
        <f t="shared" ref="V3:V66" si="2">IF(OR(N3="",U3="",T3=""),"",U3/N3*T3)</f>
        <v>3894</v>
      </c>
      <c r="W3" s="247">
        <v>4</v>
      </c>
      <c r="X3" s="137" t="s">
        <v>39</v>
      </c>
      <c r="Y3" s="247" t="s">
        <v>86</v>
      </c>
      <c r="Z3" s="247" t="s">
        <v>78</v>
      </c>
      <c r="AA3" s="247" t="s">
        <v>88</v>
      </c>
      <c r="AB3" s="137" t="s">
        <v>401</v>
      </c>
      <c r="AC3" s="142"/>
      <c r="AE3" s="223" t="s">
        <v>41</v>
      </c>
      <c r="AG3" s="49" t="s">
        <v>247</v>
      </c>
      <c r="AH3" s="49" t="s">
        <v>248</v>
      </c>
      <c r="AJ3" s="224" t="s">
        <v>42</v>
      </c>
      <c r="AL3" s="224" t="s">
        <v>128</v>
      </c>
      <c r="AN3" s="224" t="s">
        <v>43</v>
      </c>
      <c r="AP3" s="224" t="s">
        <v>44</v>
      </c>
      <c r="AR3" s="238" t="s">
        <v>45</v>
      </c>
      <c r="AT3" s="224" t="s">
        <v>46</v>
      </c>
      <c r="AV3" s="238" t="s">
        <v>47</v>
      </c>
      <c r="AX3" s="225">
        <v>72</v>
      </c>
      <c r="AY3" s="226">
        <v>46</v>
      </c>
      <c r="AZ3" s="226">
        <v>71</v>
      </c>
      <c r="BA3" s="227">
        <v>42</v>
      </c>
    </row>
    <row r="4" spans="1:53" x14ac:dyDescent="0.15">
      <c r="A4" s="137" t="s">
        <v>61</v>
      </c>
      <c r="B4" s="137" t="s">
        <v>403</v>
      </c>
      <c r="C4" s="137">
        <v>2018</v>
      </c>
      <c r="D4" s="138" t="s">
        <v>404</v>
      </c>
      <c r="E4" s="137" t="s">
        <v>246</v>
      </c>
      <c r="F4" s="137" t="s">
        <v>245</v>
      </c>
      <c r="G4" s="137" t="s">
        <v>42</v>
      </c>
      <c r="H4" s="247" t="s">
        <v>157</v>
      </c>
      <c r="I4" s="247" t="s">
        <v>155</v>
      </c>
      <c r="J4" s="137" t="s">
        <v>38</v>
      </c>
      <c r="K4" s="247" t="s">
        <v>156</v>
      </c>
      <c r="L4" s="247">
        <v>3</v>
      </c>
      <c r="M4" s="247"/>
      <c r="N4" s="247">
        <v>1</v>
      </c>
      <c r="O4" s="247">
        <v>0.7</v>
      </c>
      <c r="P4" s="247">
        <v>0.5</v>
      </c>
      <c r="Q4" s="139">
        <f t="shared" si="0"/>
        <v>0.6</v>
      </c>
      <c r="R4" s="247">
        <v>14</v>
      </c>
      <c r="S4" s="247">
        <v>124</v>
      </c>
      <c r="T4" s="140">
        <f t="shared" si="1"/>
        <v>27</v>
      </c>
      <c r="U4" s="247">
        <v>118</v>
      </c>
      <c r="V4" s="141">
        <f t="shared" si="2"/>
        <v>3186</v>
      </c>
      <c r="W4" s="247">
        <v>4</v>
      </c>
      <c r="X4" s="137" t="s">
        <v>39</v>
      </c>
      <c r="Y4" s="247" t="s">
        <v>86</v>
      </c>
      <c r="Z4" s="247" t="s">
        <v>78</v>
      </c>
      <c r="AA4" s="247" t="s">
        <v>88</v>
      </c>
      <c r="AB4" s="137" t="s">
        <v>401</v>
      </c>
      <c r="AC4" s="142"/>
      <c r="AE4" s="223" t="s">
        <v>34</v>
      </c>
      <c r="AG4" s="49" t="s">
        <v>249</v>
      </c>
      <c r="AH4" s="49" t="s">
        <v>250</v>
      </c>
      <c r="AJ4" s="228" t="s">
        <v>48</v>
      </c>
      <c r="AL4" s="228" t="s">
        <v>129</v>
      </c>
      <c r="AN4" s="229" t="s">
        <v>49</v>
      </c>
      <c r="AP4" s="224" t="s">
        <v>405</v>
      </c>
      <c r="AR4" s="238" t="s">
        <v>406</v>
      </c>
      <c r="AT4" s="229"/>
      <c r="AV4" s="238" t="s">
        <v>50</v>
      </c>
      <c r="AX4" s="225">
        <v>75</v>
      </c>
      <c r="AY4" s="226">
        <v>42</v>
      </c>
      <c r="AZ4" s="226">
        <v>76</v>
      </c>
      <c r="BA4" s="227">
        <v>39</v>
      </c>
    </row>
    <row r="5" spans="1:53" x14ac:dyDescent="0.15">
      <c r="A5" s="137" t="s">
        <v>61</v>
      </c>
      <c r="B5" s="137" t="s">
        <v>403</v>
      </c>
      <c r="C5" s="137">
        <v>2018</v>
      </c>
      <c r="D5" s="138" t="s">
        <v>404</v>
      </c>
      <c r="E5" s="137" t="s">
        <v>246</v>
      </c>
      <c r="F5" s="137" t="s">
        <v>245</v>
      </c>
      <c r="G5" s="137" t="s">
        <v>42</v>
      </c>
      <c r="H5" s="247" t="s">
        <v>165</v>
      </c>
      <c r="I5" s="247" t="s">
        <v>155</v>
      </c>
      <c r="J5" s="137" t="s">
        <v>38</v>
      </c>
      <c r="K5" s="247" t="s">
        <v>156</v>
      </c>
      <c r="L5" s="247">
        <v>1</v>
      </c>
      <c r="M5" s="247"/>
      <c r="N5" s="247">
        <v>1</v>
      </c>
      <c r="O5" s="247">
        <v>0.5</v>
      </c>
      <c r="P5" s="247">
        <v>0.5</v>
      </c>
      <c r="Q5" s="139">
        <f t="shared" si="0"/>
        <v>0.5</v>
      </c>
      <c r="R5" s="247">
        <v>16.8</v>
      </c>
      <c r="S5" s="247">
        <v>130</v>
      </c>
      <c r="T5" s="140">
        <f t="shared" si="1"/>
        <v>25</v>
      </c>
      <c r="U5" s="247">
        <v>137</v>
      </c>
      <c r="V5" s="141">
        <f t="shared" si="2"/>
        <v>3425</v>
      </c>
      <c r="W5" s="247">
        <v>4</v>
      </c>
      <c r="X5" s="137" t="s">
        <v>39</v>
      </c>
      <c r="Y5" s="247" t="s">
        <v>86</v>
      </c>
      <c r="Z5" s="247" t="s">
        <v>78</v>
      </c>
      <c r="AA5" s="247" t="s">
        <v>88</v>
      </c>
      <c r="AB5" s="137" t="s">
        <v>401</v>
      </c>
      <c r="AC5" s="142"/>
      <c r="AE5" s="223" t="s">
        <v>51</v>
      </c>
      <c r="AG5" s="49" t="s">
        <v>251</v>
      </c>
      <c r="AH5" s="49" t="s">
        <v>252</v>
      </c>
      <c r="AJ5" s="228"/>
      <c r="AL5" s="230" t="s">
        <v>407</v>
      </c>
      <c r="AN5" s="230" t="s">
        <v>408</v>
      </c>
      <c r="AP5" s="224" t="s">
        <v>409</v>
      </c>
      <c r="AR5" s="238" t="s">
        <v>54</v>
      </c>
      <c r="AT5" s="247"/>
      <c r="AV5" s="238" t="s">
        <v>55</v>
      </c>
      <c r="AX5" s="225">
        <v>84</v>
      </c>
      <c r="AY5" s="226">
        <v>39</v>
      </c>
      <c r="AZ5" s="226">
        <v>84</v>
      </c>
      <c r="BA5" s="227">
        <v>36</v>
      </c>
    </row>
    <row r="6" spans="1:53" x14ac:dyDescent="0.15">
      <c r="A6" s="137" t="s">
        <v>61</v>
      </c>
      <c r="B6" s="137" t="s">
        <v>403</v>
      </c>
      <c r="C6" s="137">
        <v>2018</v>
      </c>
      <c r="D6" s="138" t="s">
        <v>404</v>
      </c>
      <c r="E6" s="137" t="s">
        <v>246</v>
      </c>
      <c r="F6" s="137" t="s">
        <v>245</v>
      </c>
      <c r="G6" s="137" t="s">
        <v>42</v>
      </c>
      <c r="H6" s="247" t="s">
        <v>165</v>
      </c>
      <c r="I6" s="247" t="s">
        <v>155</v>
      </c>
      <c r="J6" s="137" t="s">
        <v>38</v>
      </c>
      <c r="K6" s="247" t="s">
        <v>156</v>
      </c>
      <c r="L6" s="247">
        <v>2</v>
      </c>
      <c r="M6" s="247"/>
      <c r="N6" s="247">
        <v>1</v>
      </c>
      <c r="O6" s="247">
        <v>0.5</v>
      </c>
      <c r="P6" s="247">
        <v>0.6</v>
      </c>
      <c r="Q6" s="139">
        <f t="shared" si="0"/>
        <v>0.55000000000000004</v>
      </c>
      <c r="R6" s="247">
        <v>16.7</v>
      </c>
      <c r="S6" s="247">
        <v>131</v>
      </c>
      <c r="T6" s="140">
        <f t="shared" si="1"/>
        <v>25</v>
      </c>
      <c r="U6" s="247">
        <v>137</v>
      </c>
      <c r="V6" s="141">
        <f t="shared" si="2"/>
        <v>3425</v>
      </c>
      <c r="W6" s="247">
        <v>4</v>
      </c>
      <c r="X6" s="137" t="s">
        <v>39</v>
      </c>
      <c r="Y6" s="247" t="s">
        <v>86</v>
      </c>
      <c r="Z6" s="247" t="s">
        <v>78</v>
      </c>
      <c r="AA6" s="247" t="s">
        <v>88</v>
      </c>
      <c r="AB6" s="137" t="s">
        <v>401</v>
      </c>
      <c r="AC6" s="142"/>
      <c r="AE6" s="223" t="s">
        <v>56</v>
      </c>
      <c r="AG6" s="49" t="s">
        <v>253</v>
      </c>
      <c r="AH6" s="49" t="s">
        <v>254</v>
      </c>
      <c r="AJ6" s="228"/>
      <c r="AL6" s="230" t="s">
        <v>410</v>
      </c>
      <c r="AN6" s="230" t="s">
        <v>411</v>
      </c>
      <c r="AP6" s="224" t="s">
        <v>53</v>
      </c>
      <c r="AR6" s="238" t="s">
        <v>59</v>
      </c>
      <c r="AT6" s="247"/>
      <c r="AV6" s="238" t="s">
        <v>60</v>
      </c>
      <c r="AX6" s="225">
        <v>97</v>
      </c>
      <c r="AY6" s="226">
        <v>36</v>
      </c>
      <c r="AZ6" s="226">
        <v>99</v>
      </c>
      <c r="BA6" s="227">
        <v>33</v>
      </c>
    </row>
    <row r="7" spans="1:53" x14ac:dyDescent="0.15">
      <c r="A7" s="137" t="s">
        <v>61</v>
      </c>
      <c r="B7" s="137" t="s">
        <v>403</v>
      </c>
      <c r="C7" s="137">
        <v>2018</v>
      </c>
      <c r="D7" s="138" t="s">
        <v>404</v>
      </c>
      <c r="E7" s="137" t="s">
        <v>246</v>
      </c>
      <c r="F7" s="137" t="s">
        <v>245</v>
      </c>
      <c r="G7" s="137" t="s">
        <v>42</v>
      </c>
      <c r="H7" s="247" t="s">
        <v>165</v>
      </c>
      <c r="I7" s="247" t="s">
        <v>155</v>
      </c>
      <c r="J7" s="137" t="s">
        <v>38</v>
      </c>
      <c r="K7" s="247" t="s">
        <v>156</v>
      </c>
      <c r="L7" s="247">
        <v>3</v>
      </c>
      <c r="M7" s="247"/>
      <c r="N7" s="247">
        <v>1</v>
      </c>
      <c r="O7" s="247">
        <v>0.5</v>
      </c>
      <c r="P7" s="247">
        <v>0.5</v>
      </c>
      <c r="Q7" s="139">
        <f t="shared" si="0"/>
        <v>0.5</v>
      </c>
      <c r="R7" s="247">
        <v>15.5</v>
      </c>
      <c r="S7" s="247">
        <v>130</v>
      </c>
      <c r="T7" s="140">
        <f t="shared" si="1"/>
        <v>25</v>
      </c>
      <c r="U7" s="247">
        <v>137</v>
      </c>
      <c r="V7" s="141">
        <f t="shared" si="2"/>
        <v>3425</v>
      </c>
      <c r="W7" s="247">
        <v>4</v>
      </c>
      <c r="X7" s="137" t="s">
        <v>39</v>
      </c>
      <c r="Y7" s="247" t="s">
        <v>86</v>
      </c>
      <c r="Z7" s="247" t="s">
        <v>78</v>
      </c>
      <c r="AA7" s="247" t="s">
        <v>88</v>
      </c>
      <c r="AB7" s="137" t="s">
        <v>401</v>
      </c>
      <c r="AC7" s="142"/>
      <c r="AE7" s="223" t="s">
        <v>61</v>
      </c>
      <c r="AG7" s="49" t="s">
        <v>255</v>
      </c>
      <c r="AH7" s="49" t="s">
        <v>256</v>
      </c>
      <c r="AJ7" s="228"/>
      <c r="AL7" s="235" t="s">
        <v>412</v>
      </c>
      <c r="AN7" s="148"/>
      <c r="AP7" s="224" t="s">
        <v>58</v>
      </c>
      <c r="AR7" s="231" t="s">
        <v>122</v>
      </c>
      <c r="AT7" s="247"/>
      <c r="AV7" s="238" t="s">
        <v>64</v>
      </c>
      <c r="AX7" s="225">
        <v>109</v>
      </c>
      <c r="AY7" s="226">
        <v>33</v>
      </c>
      <c r="AZ7" s="226">
        <v>113</v>
      </c>
      <c r="BA7" s="227">
        <v>30</v>
      </c>
    </row>
    <row r="8" spans="1:53" x14ac:dyDescent="0.15">
      <c r="A8" s="137" t="s">
        <v>61</v>
      </c>
      <c r="B8" s="137" t="s">
        <v>371</v>
      </c>
      <c r="C8" s="137">
        <v>2018</v>
      </c>
      <c r="D8" s="138" t="s">
        <v>372</v>
      </c>
      <c r="E8" s="137" t="s">
        <v>247</v>
      </c>
      <c r="F8" s="137" t="s">
        <v>248</v>
      </c>
      <c r="G8" s="137" t="s">
        <v>42</v>
      </c>
      <c r="H8" s="247" t="s">
        <v>157</v>
      </c>
      <c r="I8" s="247" t="s">
        <v>155</v>
      </c>
      <c r="J8" s="137" t="s">
        <v>38</v>
      </c>
      <c r="K8" s="247" t="s">
        <v>156</v>
      </c>
      <c r="L8" s="247">
        <v>1</v>
      </c>
      <c r="M8" s="247"/>
      <c r="N8" s="247">
        <v>1</v>
      </c>
      <c r="O8" s="247">
        <v>0.85</v>
      </c>
      <c r="P8" s="247">
        <v>0.9</v>
      </c>
      <c r="Q8" s="139">
        <f t="shared" si="0"/>
        <v>0.875</v>
      </c>
      <c r="R8" s="247">
        <v>18.3</v>
      </c>
      <c r="S8" s="247">
        <v>126</v>
      </c>
      <c r="T8" s="140">
        <f t="shared" si="1"/>
        <v>27</v>
      </c>
      <c r="U8" s="247">
        <v>138</v>
      </c>
      <c r="V8" s="141">
        <f t="shared" si="2"/>
        <v>3726</v>
      </c>
      <c r="W8" s="247">
        <v>7</v>
      </c>
      <c r="X8" s="137" t="s">
        <v>46</v>
      </c>
      <c r="Y8" s="247" t="s">
        <v>97</v>
      </c>
      <c r="Z8" s="247" t="s">
        <v>88</v>
      </c>
      <c r="AA8" s="247" t="s">
        <v>69</v>
      </c>
      <c r="AB8" s="137" t="s">
        <v>413</v>
      </c>
      <c r="AC8" s="142"/>
      <c r="AE8" s="223" t="s">
        <v>59</v>
      </c>
      <c r="AG8" s="49" t="s">
        <v>257</v>
      </c>
      <c r="AH8" s="49" t="s">
        <v>258</v>
      </c>
      <c r="AJ8" s="229"/>
      <c r="AL8" s="235" t="s">
        <v>346</v>
      </c>
      <c r="AN8" s="230"/>
      <c r="AP8" s="224" t="s">
        <v>62</v>
      </c>
      <c r="AR8" s="238" t="s">
        <v>81</v>
      </c>
      <c r="AV8" s="238" t="s">
        <v>97</v>
      </c>
      <c r="AX8" s="225">
        <v>119</v>
      </c>
      <c r="AY8" s="226">
        <v>30</v>
      </c>
      <c r="AZ8" s="226">
        <v>121</v>
      </c>
      <c r="BA8" s="227">
        <v>27</v>
      </c>
    </row>
    <row r="9" spans="1:53" x14ac:dyDescent="0.15">
      <c r="A9" s="137" t="s">
        <v>61</v>
      </c>
      <c r="B9" s="137" t="s">
        <v>371</v>
      </c>
      <c r="C9" s="137">
        <v>2018</v>
      </c>
      <c r="D9" s="138" t="s">
        <v>372</v>
      </c>
      <c r="E9" s="137" t="s">
        <v>247</v>
      </c>
      <c r="F9" s="137" t="s">
        <v>248</v>
      </c>
      <c r="G9" s="137" t="s">
        <v>42</v>
      </c>
      <c r="H9" s="247" t="s">
        <v>157</v>
      </c>
      <c r="I9" s="247" t="s">
        <v>155</v>
      </c>
      <c r="J9" s="137" t="s">
        <v>38</v>
      </c>
      <c r="K9" s="247" t="s">
        <v>156</v>
      </c>
      <c r="L9" s="247">
        <v>2</v>
      </c>
      <c r="M9" s="247"/>
      <c r="N9" s="247">
        <v>1</v>
      </c>
      <c r="O9" s="247">
        <v>0.7</v>
      </c>
      <c r="P9" s="247">
        <v>0.75</v>
      </c>
      <c r="Q9" s="139">
        <f t="shared" si="0"/>
        <v>0.72499999999999998</v>
      </c>
      <c r="R9" s="247">
        <v>15.5</v>
      </c>
      <c r="S9" s="247">
        <v>123</v>
      </c>
      <c r="T9" s="140">
        <f t="shared" si="1"/>
        <v>27</v>
      </c>
      <c r="U9" s="247">
        <v>138</v>
      </c>
      <c r="V9" s="141">
        <f t="shared" si="2"/>
        <v>3726</v>
      </c>
      <c r="W9" s="247">
        <v>7</v>
      </c>
      <c r="X9" s="137" t="s">
        <v>46</v>
      </c>
      <c r="Y9" s="247" t="s">
        <v>97</v>
      </c>
      <c r="Z9" s="247" t="s">
        <v>88</v>
      </c>
      <c r="AA9" s="247" t="s">
        <v>69</v>
      </c>
      <c r="AB9" s="137" t="s">
        <v>413</v>
      </c>
      <c r="AC9" s="142"/>
      <c r="AE9" s="223" t="s">
        <v>98</v>
      </c>
      <c r="AG9" s="49" t="s">
        <v>133</v>
      </c>
      <c r="AH9" s="49" t="s">
        <v>259</v>
      </c>
      <c r="AL9" s="230"/>
      <c r="AN9" s="230"/>
      <c r="AP9" s="224" t="s">
        <v>95</v>
      </c>
      <c r="AR9" s="231" t="s">
        <v>89</v>
      </c>
      <c r="AV9" s="238" t="s">
        <v>102</v>
      </c>
      <c r="AX9" s="225">
        <v>128</v>
      </c>
      <c r="AY9" s="226">
        <v>27</v>
      </c>
      <c r="AZ9" s="226">
        <v>129</v>
      </c>
      <c r="BA9" s="227">
        <v>25</v>
      </c>
    </row>
    <row r="10" spans="1:53" x14ac:dyDescent="0.15">
      <c r="A10" s="137" t="s">
        <v>61</v>
      </c>
      <c r="B10" s="137" t="s">
        <v>374</v>
      </c>
      <c r="C10" s="137">
        <v>2018</v>
      </c>
      <c r="D10" s="138" t="s">
        <v>375</v>
      </c>
      <c r="E10" s="137" t="s">
        <v>247</v>
      </c>
      <c r="F10" s="137" t="s">
        <v>248</v>
      </c>
      <c r="G10" s="137" t="s">
        <v>42</v>
      </c>
      <c r="H10" s="247" t="s">
        <v>157</v>
      </c>
      <c r="I10" s="247" t="s">
        <v>155</v>
      </c>
      <c r="J10" s="137" t="s">
        <v>38</v>
      </c>
      <c r="K10" s="247" t="s">
        <v>156</v>
      </c>
      <c r="L10" s="247">
        <v>3</v>
      </c>
      <c r="M10" s="247"/>
      <c r="N10" s="247">
        <v>1</v>
      </c>
      <c r="O10" s="247">
        <v>0.9</v>
      </c>
      <c r="P10" s="247">
        <v>0.95</v>
      </c>
      <c r="Q10" s="139">
        <f t="shared" si="0"/>
        <v>0.92500000000000004</v>
      </c>
      <c r="R10" s="247">
        <v>12.8</v>
      </c>
      <c r="S10" s="247">
        <v>126</v>
      </c>
      <c r="T10" s="140">
        <f t="shared" si="1"/>
        <v>27</v>
      </c>
      <c r="U10" s="247">
        <v>138</v>
      </c>
      <c r="V10" s="141">
        <f t="shared" si="2"/>
        <v>3726</v>
      </c>
      <c r="W10" s="247">
        <v>7</v>
      </c>
      <c r="X10" s="137" t="s">
        <v>46</v>
      </c>
      <c r="Y10" s="247" t="s">
        <v>97</v>
      </c>
      <c r="Z10" s="247" t="s">
        <v>88</v>
      </c>
      <c r="AA10" s="247" t="s">
        <v>69</v>
      </c>
      <c r="AB10" s="137" t="s">
        <v>414</v>
      </c>
      <c r="AC10" s="142"/>
      <c r="AE10" s="223" t="s">
        <v>103</v>
      </c>
      <c r="AG10" s="49" t="s">
        <v>260</v>
      </c>
      <c r="AH10" s="49" t="s">
        <v>261</v>
      </c>
      <c r="AL10" s="228"/>
      <c r="AP10" s="224" t="s">
        <v>100</v>
      </c>
      <c r="AR10" s="231" t="s">
        <v>123</v>
      </c>
      <c r="AV10" s="238" t="s">
        <v>106</v>
      </c>
      <c r="AX10" s="225">
        <v>138</v>
      </c>
      <c r="AY10" s="226">
        <v>25</v>
      </c>
      <c r="AZ10" s="226">
        <v>138</v>
      </c>
      <c r="BA10" s="227">
        <v>22</v>
      </c>
    </row>
    <row r="11" spans="1:53" x14ac:dyDescent="0.15">
      <c r="A11" s="137" t="s">
        <v>415</v>
      </c>
      <c r="B11" s="137" t="s">
        <v>374</v>
      </c>
      <c r="C11" s="137">
        <v>2018</v>
      </c>
      <c r="D11" s="138" t="s">
        <v>375</v>
      </c>
      <c r="E11" s="137" t="s">
        <v>247</v>
      </c>
      <c r="F11" s="137" t="s">
        <v>248</v>
      </c>
      <c r="G11" s="137" t="s">
        <v>42</v>
      </c>
      <c r="H11" s="247" t="s">
        <v>165</v>
      </c>
      <c r="I11" s="247" t="s">
        <v>155</v>
      </c>
      <c r="J11" s="137" t="s">
        <v>38</v>
      </c>
      <c r="K11" s="247" t="s">
        <v>156</v>
      </c>
      <c r="L11" s="247">
        <v>1</v>
      </c>
      <c r="M11" s="247"/>
      <c r="N11" s="247">
        <v>1</v>
      </c>
      <c r="O11" s="247">
        <v>0.6</v>
      </c>
      <c r="P11" s="247">
        <v>0.65</v>
      </c>
      <c r="Q11" s="139">
        <f t="shared" si="0"/>
        <v>0.625</v>
      </c>
      <c r="R11" s="247">
        <v>14.6</v>
      </c>
      <c r="S11" s="247">
        <v>135</v>
      </c>
      <c r="T11" s="140">
        <f t="shared" si="1"/>
        <v>25</v>
      </c>
      <c r="U11" s="247">
        <v>158</v>
      </c>
      <c r="V11" s="141">
        <f t="shared" si="2"/>
        <v>3950</v>
      </c>
      <c r="W11" s="247">
        <v>7</v>
      </c>
      <c r="X11" s="137" t="s">
        <v>46</v>
      </c>
      <c r="Y11" s="247" t="s">
        <v>97</v>
      </c>
      <c r="Z11" s="247" t="s">
        <v>88</v>
      </c>
      <c r="AA11" s="247" t="s">
        <v>69</v>
      </c>
      <c r="AB11" s="137" t="s">
        <v>414</v>
      </c>
      <c r="AC11" s="142"/>
      <c r="AE11" s="223" t="s">
        <v>65</v>
      </c>
      <c r="AG11" s="49" t="s">
        <v>262</v>
      </c>
      <c r="AH11" s="49" t="s">
        <v>261</v>
      </c>
      <c r="AL11" s="149"/>
      <c r="AP11" s="224" t="s">
        <v>104</v>
      </c>
      <c r="AR11" s="231" t="s">
        <v>87</v>
      </c>
      <c r="AV11" s="150" t="s">
        <v>416</v>
      </c>
      <c r="AX11" s="225">
        <v>151</v>
      </c>
      <c r="AY11" s="226">
        <v>22</v>
      </c>
      <c r="AZ11" s="226">
        <v>152</v>
      </c>
      <c r="BA11" s="227">
        <v>18</v>
      </c>
    </row>
    <row r="12" spans="1:53" x14ac:dyDescent="0.15">
      <c r="A12" s="137" t="s">
        <v>61</v>
      </c>
      <c r="B12" s="137" t="s">
        <v>381</v>
      </c>
      <c r="C12" s="137">
        <v>2018</v>
      </c>
      <c r="D12" s="138" t="s">
        <v>382</v>
      </c>
      <c r="E12" s="137" t="s">
        <v>247</v>
      </c>
      <c r="F12" s="137" t="s">
        <v>248</v>
      </c>
      <c r="G12" s="137" t="s">
        <v>42</v>
      </c>
      <c r="H12" s="247" t="s">
        <v>165</v>
      </c>
      <c r="I12" s="247" t="s">
        <v>155</v>
      </c>
      <c r="J12" s="137" t="s">
        <v>38</v>
      </c>
      <c r="K12" s="247" t="s">
        <v>156</v>
      </c>
      <c r="L12" s="247">
        <v>2</v>
      </c>
      <c r="M12" s="247"/>
      <c r="N12" s="247">
        <v>1</v>
      </c>
      <c r="O12" s="247">
        <v>0.5</v>
      </c>
      <c r="P12" s="247">
        <v>0.5</v>
      </c>
      <c r="Q12" s="139">
        <f t="shared" si="0"/>
        <v>0.5</v>
      </c>
      <c r="R12" s="247">
        <v>13</v>
      </c>
      <c r="S12" s="247">
        <v>135</v>
      </c>
      <c r="T12" s="140">
        <f t="shared" si="1"/>
        <v>25</v>
      </c>
      <c r="U12" s="247">
        <v>158</v>
      </c>
      <c r="V12" s="141">
        <f t="shared" si="2"/>
        <v>3950</v>
      </c>
      <c r="W12" s="247">
        <v>7</v>
      </c>
      <c r="X12" s="137" t="s">
        <v>46</v>
      </c>
      <c r="Y12" s="247" t="s">
        <v>97</v>
      </c>
      <c r="Z12" s="247" t="s">
        <v>88</v>
      </c>
      <c r="AA12" s="247" t="s">
        <v>69</v>
      </c>
      <c r="AB12" s="137" t="s">
        <v>417</v>
      </c>
      <c r="AC12" s="142"/>
      <c r="AE12" s="223" t="s">
        <v>70</v>
      </c>
      <c r="AG12" s="224"/>
      <c r="AH12" s="223"/>
      <c r="AL12" s="149"/>
      <c r="AP12" s="224" t="s">
        <v>67</v>
      </c>
      <c r="AR12" s="231" t="s">
        <v>124</v>
      </c>
      <c r="AV12" s="150" t="s">
        <v>418</v>
      </c>
      <c r="AX12" s="225">
        <v>180</v>
      </c>
      <c r="AY12" s="226">
        <v>18</v>
      </c>
      <c r="AZ12" s="226">
        <v>181</v>
      </c>
      <c r="BA12" s="227">
        <v>16</v>
      </c>
    </row>
    <row r="13" spans="1:53" x14ac:dyDescent="0.15">
      <c r="A13" s="137" t="s">
        <v>61</v>
      </c>
      <c r="B13" s="137" t="s">
        <v>385</v>
      </c>
      <c r="C13" s="137">
        <v>2018</v>
      </c>
      <c r="D13" s="138" t="s">
        <v>386</v>
      </c>
      <c r="E13" s="137" t="s">
        <v>247</v>
      </c>
      <c r="F13" s="137" t="s">
        <v>248</v>
      </c>
      <c r="G13" s="137" t="s">
        <v>42</v>
      </c>
      <c r="H13" s="247" t="s">
        <v>165</v>
      </c>
      <c r="I13" s="247" t="s">
        <v>155</v>
      </c>
      <c r="J13" s="137" t="s">
        <v>38</v>
      </c>
      <c r="K13" s="247" t="s">
        <v>156</v>
      </c>
      <c r="L13" s="247">
        <v>3</v>
      </c>
      <c r="M13" s="247"/>
      <c r="N13" s="247">
        <v>1</v>
      </c>
      <c r="O13" s="247">
        <v>0.5</v>
      </c>
      <c r="P13" s="247">
        <v>0.6</v>
      </c>
      <c r="Q13" s="139">
        <f t="shared" si="0"/>
        <v>0.55000000000000004</v>
      </c>
      <c r="R13" s="247">
        <v>17.100000000000001</v>
      </c>
      <c r="S13" s="247">
        <v>133</v>
      </c>
      <c r="T13" s="140">
        <f t="shared" si="1"/>
        <v>25</v>
      </c>
      <c r="U13" s="247">
        <v>158</v>
      </c>
      <c r="V13" s="141">
        <f t="shared" si="2"/>
        <v>3950</v>
      </c>
      <c r="W13" s="247">
        <v>7</v>
      </c>
      <c r="X13" s="137" t="s">
        <v>46</v>
      </c>
      <c r="Y13" s="247" t="s">
        <v>97</v>
      </c>
      <c r="Z13" s="247" t="s">
        <v>88</v>
      </c>
      <c r="AA13" s="247" t="s">
        <v>69</v>
      </c>
      <c r="AB13" s="137" t="s">
        <v>419</v>
      </c>
      <c r="AC13" s="142"/>
      <c r="AE13" s="223" t="s">
        <v>73</v>
      </c>
      <c r="AG13" s="224"/>
      <c r="AH13" s="223"/>
      <c r="AL13" s="151"/>
      <c r="AP13" s="224" t="s">
        <v>71</v>
      </c>
      <c r="AR13" s="231" t="s">
        <v>103</v>
      </c>
      <c r="AV13" s="150" t="s">
        <v>420</v>
      </c>
      <c r="AX13" s="225"/>
      <c r="AY13" s="226"/>
      <c r="AZ13" s="226"/>
      <c r="BA13" s="227"/>
    </row>
    <row r="14" spans="1:53" x14ac:dyDescent="0.15">
      <c r="A14" s="137" t="s">
        <v>61</v>
      </c>
      <c r="B14" s="137" t="s">
        <v>387</v>
      </c>
      <c r="C14" s="137">
        <v>2018</v>
      </c>
      <c r="D14" s="138" t="s">
        <v>388</v>
      </c>
      <c r="E14" s="137" t="s">
        <v>249</v>
      </c>
      <c r="F14" s="137" t="s">
        <v>250</v>
      </c>
      <c r="G14" s="137" t="s">
        <v>42</v>
      </c>
      <c r="H14" s="247" t="s">
        <v>157</v>
      </c>
      <c r="I14" s="247" t="s">
        <v>155</v>
      </c>
      <c r="J14" s="137" t="s">
        <v>38</v>
      </c>
      <c r="K14" s="247" t="s">
        <v>156</v>
      </c>
      <c r="L14" s="247">
        <v>1</v>
      </c>
      <c r="M14" s="247"/>
      <c r="N14" s="247">
        <v>1</v>
      </c>
      <c r="O14" s="247">
        <v>0.75</v>
      </c>
      <c r="P14" s="247">
        <v>0.75</v>
      </c>
      <c r="Q14" s="139">
        <f t="shared" si="0"/>
        <v>0.75</v>
      </c>
      <c r="R14" s="247">
        <v>15.3</v>
      </c>
      <c r="S14" s="247">
        <v>126</v>
      </c>
      <c r="T14" s="140">
        <f t="shared" si="1"/>
        <v>27</v>
      </c>
      <c r="U14" s="247">
        <v>138</v>
      </c>
      <c r="V14" s="141">
        <f t="shared" si="2"/>
        <v>3726</v>
      </c>
      <c r="W14" s="247">
        <v>13</v>
      </c>
      <c r="X14" s="137" t="s">
        <v>46</v>
      </c>
      <c r="Y14" s="247" t="s">
        <v>55</v>
      </c>
      <c r="Z14" s="247" t="s">
        <v>69</v>
      </c>
      <c r="AA14" s="247" t="s">
        <v>47</v>
      </c>
      <c r="AB14" s="137" t="s">
        <v>421</v>
      </c>
      <c r="AC14" s="142"/>
      <c r="AE14" s="223" t="s">
        <v>76</v>
      </c>
      <c r="AG14" s="224"/>
      <c r="AH14" s="223"/>
      <c r="AL14" s="235"/>
      <c r="AP14" s="224" t="s">
        <v>74</v>
      </c>
      <c r="AR14" s="231" t="s">
        <v>125</v>
      </c>
      <c r="AV14" s="150" t="s">
        <v>422</v>
      </c>
      <c r="AX14" s="225"/>
      <c r="AY14" s="226"/>
      <c r="AZ14" s="226"/>
      <c r="BA14" s="227"/>
    </row>
    <row r="15" spans="1:53" x14ac:dyDescent="0.15">
      <c r="A15" s="137" t="s">
        <v>61</v>
      </c>
      <c r="B15" s="137" t="s">
        <v>387</v>
      </c>
      <c r="C15" s="137">
        <v>2018</v>
      </c>
      <c r="D15" s="138" t="s">
        <v>388</v>
      </c>
      <c r="E15" s="137" t="s">
        <v>249</v>
      </c>
      <c r="F15" s="137" t="s">
        <v>250</v>
      </c>
      <c r="G15" s="137" t="s">
        <v>42</v>
      </c>
      <c r="H15" s="247" t="s">
        <v>157</v>
      </c>
      <c r="I15" s="247" t="s">
        <v>155</v>
      </c>
      <c r="J15" s="137" t="s">
        <v>38</v>
      </c>
      <c r="K15" s="247" t="s">
        <v>156</v>
      </c>
      <c r="L15" s="247">
        <v>2</v>
      </c>
      <c r="M15" s="247"/>
      <c r="N15" s="247">
        <v>1</v>
      </c>
      <c r="O15" s="247">
        <v>0.7</v>
      </c>
      <c r="P15" s="247">
        <v>0.75</v>
      </c>
      <c r="Q15" s="139">
        <f t="shared" si="0"/>
        <v>0.72499999999999998</v>
      </c>
      <c r="R15" s="142">
        <v>18.2</v>
      </c>
      <c r="S15" s="247">
        <v>123</v>
      </c>
      <c r="T15" s="140">
        <f t="shared" si="1"/>
        <v>27</v>
      </c>
      <c r="U15" s="247">
        <v>138</v>
      </c>
      <c r="V15" s="141">
        <f t="shared" si="2"/>
        <v>3726</v>
      </c>
      <c r="W15" s="247">
        <v>13</v>
      </c>
      <c r="X15" s="137" t="s">
        <v>46</v>
      </c>
      <c r="Y15" s="247" t="s">
        <v>55</v>
      </c>
      <c r="Z15" s="247" t="s">
        <v>69</v>
      </c>
      <c r="AA15" s="247" t="s">
        <v>47</v>
      </c>
      <c r="AB15" s="137" t="s">
        <v>421</v>
      </c>
      <c r="AC15" s="142"/>
      <c r="AE15" s="223" t="s">
        <v>79</v>
      </c>
      <c r="AG15" s="224"/>
      <c r="AH15" s="224"/>
      <c r="AL15" s="235"/>
      <c r="AP15" s="224" t="s">
        <v>77</v>
      </c>
      <c r="AR15" s="231" t="s">
        <v>94</v>
      </c>
      <c r="AV15" s="150" t="s">
        <v>423</v>
      </c>
      <c r="AX15" s="232"/>
      <c r="AY15" s="233"/>
      <c r="AZ15" s="233"/>
      <c r="BA15" s="234"/>
    </row>
    <row r="16" spans="1:53" x14ac:dyDescent="0.15">
      <c r="A16" s="137" t="s">
        <v>61</v>
      </c>
      <c r="B16" s="137" t="s">
        <v>389</v>
      </c>
      <c r="C16" s="137">
        <v>2018</v>
      </c>
      <c r="D16" s="138" t="s">
        <v>390</v>
      </c>
      <c r="E16" s="137" t="s">
        <v>249</v>
      </c>
      <c r="F16" s="137" t="s">
        <v>250</v>
      </c>
      <c r="G16" s="137" t="s">
        <v>42</v>
      </c>
      <c r="H16" s="247" t="s">
        <v>157</v>
      </c>
      <c r="I16" s="247" t="s">
        <v>155</v>
      </c>
      <c r="J16" s="137" t="s">
        <v>38</v>
      </c>
      <c r="K16" s="247" t="s">
        <v>156</v>
      </c>
      <c r="L16" s="247">
        <v>3</v>
      </c>
      <c r="M16" s="247"/>
      <c r="N16" s="247">
        <v>1</v>
      </c>
      <c r="O16" s="247">
        <v>0.8</v>
      </c>
      <c r="P16" s="247">
        <v>0.85</v>
      </c>
      <c r="Q16" s="139">
        <f t="shared" si="0"/>
        <v>0.82499999999999996</v>
      </c>
      <c r="R16" s="247">
        <v>17.100000000000001</v>
      </c>
      <c r="S16" s="247">
        <v>126</v>
      </c>
      <c r="T16" s="140">
        <f t="shared" si="1"/>
        <v>27</v>
      </c>
      <c r="U16" s="247">
        <v>138</v>
      </c>
      <c r="V16" s="141">
        <f t="shared" si="2"/>
        <v>3726</v>
      </c>
      <c r="W16" s="247">
        <v>13</v>
      </c>
      <c r="X16" s="137" t="s">
        <v>46</v>
      </c>
      <c r="Y16" s="247" t="s">
        <v>55</v>
      </c>
      <c r="Z16" s="247" t="s">
        <v>69</v>
      </c>
      <c r="AA16" s="247" t="s">
        <v>47</v>
      </c>
      <c r="AB16" s="137" t="s">
        <v>424</v>
      </c>
      <c r="AC16" s="142"/>
      <c r="AE16" s="223" t="s">
        <v>82</v>
      </c>
      <c r="AG16" s="224"/>
      <c r="AH16" s="224"/>
      <c r="AP16" s="224" t="s">
        <v>80</v>
      </c>
      <c r="AR16" s="238" t="s">
        <v>63</v>
      </c>
      <c r="AV16" s="150" t="s">
        <v>425</v>
      </c>
    </row>
    <row r="17" spans="1:48" x14ac:dyDescent="0.15">
      <c r="A17" s="137" t="s">
        <v>61</v>
      </c>
      <c r="B17" s="137" t="s">
        <v>389</v>
      </c>
      <c r="C17" s="137">
        <v>2018</v>
      </c>
      <c r="D17" s="138" t="s">
        <v>390</v>
      </c>
      <c r="E17" s="137" t="s">
        <v>249</v>
      </c>
      <c r="F17" s="137" t="s">
        <v>250</v>
      </c>
      <c r="G17" s="137" t="s">
        <v>42</v>
      </c>
      <c r="H17" s="247" t="s">
        <v>165</v>
      </c>
      <c r="I17" s="247" t="s">
        <v>155</v>
      </c>
      <c r="J17" s="137" t="s">
        <v>38</v>
      </c>
      <c r="K17" s="247" t="s">
        <v>156</v>
      </c>
      <c r="L17" s="247">
        <v>1</v>
      </c>
      <c r="M17" s="247"/>
      <c r="N17" s="247">
        <v>1</v>
      </c>
      <c r="O17" s="247">
        <v>0.7</v>
      </c>
      <c r="P17" s="247">
        <v>0.7</v>
      </c>
      <c r="Q17" s="139">
        <f t="shared" si="0"/>
        <v>0.7</v>
      </c>
      <c r="R17" s="247">
        <v>17.8</v>
      </c>
      <c r="S17" s="247">
        <v>133</v>
      </c>
      <c r="T17" s="140">
        <f t="shared" si="1"/>
        <v>25</v>
      </c>
      <c r="U17" s="247">
        <v>158</v>
      </c>
      <c r="V17" s="141">
        <f t="shared" si="2"/>
        <v>3950</v>
      </c>
      <c r="W17" s="247">
        <v>13</v>
      </c>
      <c r="X17" s="137" t="s">
        <v>46</v>
      </c>
      <c r="Y17" s="247" t="s">
        <v>55</v>
      </c>
      <c r="Z17" s="247" t="s">
        <v>69</v>
      </c>
      <c r="AA17" s="247" t="s">
        <v>47</v>
      </c>
      <c r="AB17" s="137" t="s">
        <v>424</v>
      </c>
      <c r="AC17" s="142"/>
      <c r="AE17" s="223" t="s">
        <v>85</v>
      </c>
      <c r="AP17" s="239" t="s">
        <v>110</v>
      </c>
      <c r="AR17" s="238" t="s">
        <v>96</v>
      </c>
      <c r="AV17" s="150" t="s">
        <v>426</v>
      </c>
    </row>
    <row r="18" spans="1:48" x14ac:dyDescent="0.15">
      <c r="A18" s="137" t="s">
        <v>61</v>
      </c>
      <c r="B18" s="137" t="s">
        <v>389</v>
      </c>
      <c r="C18" s="137">
        <v>2018</v>
      </c>
      <c r="D18" s="138" t="s">
        <v>390</v>
      </c>
      <c r="E18" s="137" t="s">
        <v>249</v>
      </c>
      <c r="F18" s="137" t="s">
        <v>250</v>
      </c>
      <c r="G18" s="137" t="s">
        <v>42</v>
      </c>
      <c r="H18" s="247" t="s">
        <v>165</v>
      </c>
      <c r="I18" s="247" t="s">
        <v>155</v>
      </c>
      <c r="J18" s="137" t="s">
        <v>38</v>
      </c>
      <c r="K18" s="247" t="s">
        <v>156</v>
      </c>
      <c r="L18" s="247">
        <v>2</v>
      </c>
      <c r="M18" s="247"/>
      <c r="N18" s="247">
        <v>1</v>
      </c>
      <c r="O18" s="247">
        <v>0.75</v>
      </c>
      <c r="P18" s="247">
        <v>0.75</v>
      </c>
      <c r="Q18" s="139">
        <f t="shared" si="0"/>
        <v>0.75</v>
      </c>
      <c r="R18" s="247">
        <v>17.2</v>
      </c>
      <c r="S18" s="247">
        <v>134</v>
      </c>
      <c r="T18" s="140">
        <f t="shared" si="1"/>
        <v>25</v>
      </c>
      <c r="U18" s="247">
        <v>158</v>
      </c>
      <c r="V18" s="141">
        <f t="shared" si="2"/>
        <v>3950</v>
      </c>
      <c r="W18" s="247">
        <v>13</v>
      </c>
      <c r="X18" s="137" t="s">
        <v>46</v>
      </c>
      <c r="Y18" s="247" t="s">
        <v>55</v>
      </c>
      <c r="Z18" s="247" t="s">
        <v>69</v>
      </c>
      <c r="AA18" s="247" t="s">
        <v>47</v>
      </c>
      <c r="AB18" s="137" t="s">
        <v>424</v>
      </c>
      <c r="AC18" s="142"/>
      <c r="AE18" s="223" t="s">
        <v>87</v>
      </c>
      <c r="AP18" s="239" t="s">
        <v>111</v>
      </c>
      <c r="AR18" s="238" t="s">
        <v>101</v>
      </c>
      <c r="AV18" s="150" t="s">
        <v>347</v>
      </c>
    </row>
    <row r="19" spans="1:48" x14ac:dyDescent="0.15">
      <c r="A19" s="137" t="s">
        <v>61</v>
      </c>
      <c r="B19" s="137" t="s">
        <v>381</v>
      </c>
      <c r="C19" s="137">
        <v>2018</v>
      </c>
      <c r="D19" s="138" t="s">
        <v>382</v>
      </c>
      <c r="E19" s="137" t="s">
        <v>249</v>
      </c>
      <c r="F19" s="137" t="s">
        <v>250</v>
      </c>
      <c r="G19" s="137" t="s">
        <v>42</v>
      </c>
      <c r="H19" s="247" t="s">
        <v>165</v>
      </c>
      <c r="I19" s="247" t="s">
        <v>155</v>
      </c>
      <c r="J19" s="137" t="s">
        <v>38</v>
      </c>
      <c r="K19" s="247" t="s">
        <v>156</v>
      </c>
      <c r="L19" s="247">
        <v>3</v>
      </c>
      <c r="M19" s="247"/>
      <c r="N19" s="247">
        <v>1</v>
      </c>
      <c r="O19" s="247">
        <v>0.8</v>
      </c>
      <c r="P19" s="247">
        <v>0.7</v>
      </c>
      <c r="Q19" s="139">
        <f t="shared" si="0"/>
        <v>0.75</v>
      </c>
      <c r="R19" s="247">
        <v>17.3</v>
      </c>
      <c r="S19" s="247">
        <v>136</v>
      </c>
      <c r="T19" s="140">
        <f t="shared" si="1"/>
        <v>25</v>
      </c>
      <c r="U19" s="247">
        <v>158</v>
      </c>
      <c r="V19" s="141">
        <f t="shared" si="2"/>
        <v>3950</v>
      </c>
      <c r="W19" s="247">
        <v>13</v>
      </c>
      <c r="X19" s="137" t="s">
        <v>46</v>
      </c>
      <c r="Y19" s="247" t="s">
        <v>55</v>
      </c>
      <c r="Z19" s="247" t="s">
        <v>69</v>
      </c>
      <c r="AA19" s="247" t="s">
        <v>47</v>
      </c>
      <c r="AB19" s="137" t="s">
        <v>417</v>
      </c>
      <c r="AC19" s="142"/>
      <c r="AE19" s="236" t="s">
        <v>89</v>
      </c>
      <c r="AP19" s="239" t="s">
        <v>112</v>
      </c>
      <c r="AR19" s="231" t="s">
        <v>126</v>
      </c>
      <c r="AV19" s="150" t="s">
        <v>427</v>
      </c>
    </row>
    <row r="20" spans="1:48" x14ac:dyDescent="0.15">
      <c r="A20" s="137" t="s">
        <v>61</v>
      </c>
      <c r="B20" s="137" t="s">
        <v>381</v>
      </c>
      <c r="C20" s="137">
        <v>2018</v>
      </c>
      <c r="D20" s="138" t="s">
        <v>382</v>
      </c>
      <c r="E20" s="137" t="s">
        <v>251</v>
      </c>
      <c r="F20" s="137" t="s">
        <v>252</v>
      </c>
      <c r="G20" s="137" t="s">
        <v>42</v>
      </c>
      <c r="H20" s="247" t="s">
        <v>157</v>
      </c>
      <c r="I20" s="247" t="s">
        <v>155</v>
      </c>
      <c r="J20" s="137" t="s">
        <v>38</v>
      </c>
      <c r="K20" s="247" t="s">
        <v>156</v>
      </c>
      <c r="L20" s="247">
        <v>1</v>
      </c>
      <c r="M20" s="247"/>
      <c r="N20" s="247">
        <v>1</v>
      </c>
      <c r="O20" s="247">
        <v>0.6</v>
      </c>
      <c r="P20" s="247">
        <v>0.55000000000000004</v>
      </c>
      <c r="Q20" s="139">
        <f t="shared" si="0"/>
        <v>0.57499999999999996</v>
      </c>
      <c r="R20" s="247">
        <v>17.7</v>
      </c>
      <c r="S20" s="247">
        <v>126</v>
      </c>
      <c r="T20" s="140">
        <f t="shared" si="1"/>
        <v>27</v>
      </c>
      <c r="U20" s="247">
        <v>138</v>
      </c>
      <c r="V20" s="141">
        <f t="shared" si="2"/>
        <v>3726</v>
      </c>
      <c r="W20" s="247">
        <v>7</v>
      </c>
      <c r="X20" s="137" t="s">
        <v>39</v>
      </c>
      <c r="Y20" s="247" t="s">
        <v>88</v>
      </c>
      <c r="Z20" s="247" t="s">
        <v>78</v>
      </c>
      <c r="AA20" s="247" t="s">
        <v>86</v>
      </c>
      <c r="AB20" s="137" t="s">
        <v>417</v>
      </c>
      <c r="AC20" s="142"/>
      <c r="AE20" s="223"/>
      <c r="AP20" s="239" t="s">
        <v>113</v>
      </c>
      <c r="AR20" s="238" t="s">
        <v>105</v>
      </c>
      <c r="AV20" s="150" t="s">
        <v>428</v>
      </c>
    </row>
    <row r="21" spans="1:48" x14ac:dyDescent="0.15">
      <c r="A21" s="137" t="s">
        <v>61</v>
      </c>
      <c r="B21" s="137" t="s">
        <v>381</v>
      </c>
      <c r="C21" s="137">
        <v>2018</v>
      </c>
      <c r="D21" s="138" t="s">
        <v>382</v>
      </c>
      <c r="E21" s="137" t="s">
        <v>251</v>
      </c>
      <c r="F21" s="137" t="s">
        <v>252</v>
      </c>
      <c r="G21" s="137" t="s">
        <v>42</v>
      </c>
      <c r="H21" s="247" t="s">
        <v>157</v>
      </c>
      <c r="I21" s="247" t="s">
        <v>155</v>
      </c>
      <c r="J21" s="137" t="s">
        <v>38</v>
      </c>
      <c r="K21" s="247" t="s">
        <v>156</v>
      </c>
      <c r="L21" s="247">
        <v>2</v>
      </c>
      <c r="M21" s="247"/>
      <c r="N21" s="247">
        <v>1</v>
      </c>
      <c r="O21" s="247">
        <v>0.65</v>
      </c>
      <c r="P21" s="247">
        <v>0.5</v>
      </c>
      <c r="Q21" s="139">
        <f t="shared" si="0"/>
        <v>0.57499999999999996</v>
      </c>
      <c r="R21" s="247">
        <v>17.7</v>
      </c>
      <c r="S21" s="247">
        <v>127</v>
      </c>
      <c r="T21" s="140">
        <f t="shared" si="1"/>
        <v>27</v>
      </c>
      <c r="U21" s="247">
        <v>138</v>
      </c>
      <c r="V21" s="141">
        <f t="shared" si="2"/>
        <v>3726</v>
      </c>
      <c r="W21" s="247">
        <v>7</v>
      </c>
      <c r="X21" s="137" t="s">
        <v>39</v>
      </c>
      <c r="Y21" s="247" t="s">
        <v>88</v>
      </c>
      <c r="Z21" s="247" t="s">
        <v>78</v>
      </c>
      <c r="AA21" s="247" t="s">
        <v>86</v>
      </c>
      <c r="AB21" s="137" t="s">
        <v>417</v>
      </c>
      <c r="AC21" s="142"/>
      <c r="AE21" s="223"/>
      <c r="AP21" s="239" t="s">
        <v>114</v>
      </c>
      <c r="AR21" s="238" t="s">
        <v>68</v>
      </c>
      <c r="AV21" s="150" t="s">
        <v>429</v>
      </c>
    </row>
    <row r="22" spans="1:48" x14ac:dyDescent="0.15">
      <c r="A22" s="137" t="s">
        <v>61</v>
      </c>
      <c r="B22" s="137" t="s">
        <v>381</v>
      </c>
      <c r="C22" s="137">
        <v>2018</v>
      </c>
      <c r="D22" s="138" t="s">
        <v>382</v>
      </c>
      <c r="E22" s="137" t="s">
        <v>251</v>
      </c>
      <c r="F22" s="137" t="s">
        <v>252</v>
      </c>
      <c r="G22" s="137" t="s">
        <v>42</v>
      </c>
      <c r="H22" s="247" t="s">
        <v>157</v>
      </c>
      <c r="I22" s="247" t="s">
        <v>155</v>
      </c>
      <c r="J22" s="137" t="s">
        <v>38</v>
      </c>
      <c r="K22" s="247" t="s">
        <v>156</v>
      </c>
      <c r="L22" s="247">
        <v>3</v>
      </c>
      <c r="M22" s="247"/>
      <c r="N22" s="247">
        <v>1</v>
      </c>
      <c r="O22" s="142">
        <v>0.5</v>
      </c>
      <c r="P22" s="247">
        <v>0.55000000000000004</v>
      </c>
      <c r="Q22" s="139">
        <f t="shared" si="0"/>
        <v>0.52500000000000002</v>
      </c>
      <c r="R22" s="247">
        <v>18.3</v>
      </c>
      <c r="S22" s="247">
        <v>121</v>
      </c>
      <c r="T22" s="140">
        <f t="shared" si="1"/>
        <v>27</v>
      </c>
      <c r="U22" s="247">
        <v>138</v>
      </c>
      <c r="V22" s="141">
        <f t="shared" si="2"/>
        <v>3726</v>
      </c>
      <c r="W22" s="247">
        <v>7</v>
      </c>
      <c r="X22" s="137" t="s">
        <v>39</v>
      </c>
      <c r="Y22" s="247" t="s">
        <v>88</v>
      </c>
      <c r="Z22" s="247" t="s">
        <v>78</v>
      </c>
      <c r="AA22" s="247" t="s">
        <v>86</v>
      </c>
      <c r="AB22" s="137" t="s">
        <v>417</v>
      </c>
      <c r="AC22" s="142"/>
      <c r="AE22" s="236"/>
      <c r="AP22" s="239" t="s">
        <v>115</v>
      </c>
      <c r="AR22" s="238" t="s">
        <v>83</v>
      </c>
      <c r="AV22" s="224"/>
    </row>
    <row r="23" spans="1:48" x14ac:dyDescent="0.15">
      <c r="A23" s="137" t="s">
        <v>61</v>
      </c>
      <c r="B23" s="137" t="s">
        <v>381</v>
      </c>
      <c r="C23" s="137">
        <v>2018</v>
      </c>
      <c r="D23" s="138" t="s">
        <v>382</v>
      </c>
      <c r="E23" s="137" t="s">
        <v>251</v>
      </c>
      <c r="F23" s="137" t="s">
        <v>252</v>
      </c>
      <c r="G23" s="137" t="s">
        <v>42</v>
      </c>
      <c r="H23" s="247" t="s">
        <v>165</v>
      </c>
      <c r="I23" s="247" t="s">
        <v>155</v>
      </c>
      <c r="J23" s="137" t="s">
        <v>38</v>
      </c>
      <c r="K23" s="247" t="s">
        <v>156</v>
      </c>
      <c r="L23" s="247">
        <v>1</v>
      </c>
      <c r="M23" s="247"/>
      <c r="N23" s="247">
        <v>1</v>
      </c>
      <c r="O23" s="247">
        <v>0.5</v>
      </c>
      <c r="P23" s="247">
        <v>0.5</v>
      </c>
      <c r="Q23" s="139">
        <f t="shared" si="0"/>
        <v>0.5</v>
      </c>
      <c r="R23" s="247">
        <v>17.3</v>
      </c>
      <c r="S23" s="247">
        <v>98</v>
      </c>
      <c r="T23" s="140">
        <f t="shared" si="1"/>
        <v>36</v>
      </c>
      <c r="U23" s="247">
        <v>149</v>
      </c>
      <c r="V23" s="141">
        <f t="shared" si="2"/>
        <v>5364</v>
      </c>
      <c r="W23" s="247">
        <v>7</v>
      </c>
      <c r="X23" s="137" t="s">
        <v>39</v>
      </c>
      <c r="Y23" s="247" t="s">
        <v>88</v>
      </c>
      <c r="Z23" s="247" t="s">
        <v>78</v>
      </c>
      <c r="AA23" s="247" t="s">
        <v>86</v>
      </c>
      <c r="AB23" s="137" t="s">
        <v>417</v>
      </c>
      <c r="AC23" s="142"/>
      <c r="AE23" s="223"/>
      <c r="AP23" s="239" t="s">
        <v>394</v>
      </c>
      <c r="AR23" s="238" t="s">
        <v>61</v>
      </c>
    </row>
    <row r="24" spans="1:48" x14ac:dyDescent="0.15">
      <c r="A24" s="137" t="s">
        <v>61</v>
      </c>
      <c r="B24" s="137" t="s">
        <v>381</v>
      </c>
      <c r="C24" s="137">
        <v>2018</v>
      </c>
      <c r="D24" s="138" t="s">
        <v>382</v>
      </c>
      <c r="E24" s="137" t="s">
        <v>251</v>
      </c>
      <c r="F24" s="137" t="s">
        <v>252</v>
      </c>
      <c r="G24" s="137" t="s">
        <v>42</v>
      </c>
      <c r="H24" s="247" t="s">
        <v>165</v>
      </c>
      <c r="I24" s="247" t="s">
        <v>155</v>
      </c>
      <c r="J24" s="137" t="s">
        <v>38</v>
      </c>
      <c r="K24" s="247" t="s">
        <v>156</v>
      </c>
      <c r="L24" s="247">
        <v>2</v>
      </c>
      <c r="M24" s="247"/>
      <c r="N24" s="247">
        <v>1</v>
      </c>
      <c r="O24" s="247">
        <v>0.5</v>
      </c>
      <c r="P24" s="247">
        <v>0.55000000000000004</v>
      </c>
      <c r="Q24" s="139">
        <f t="shared" si="0"/>
        <v>0.52500000000000002</v>
      </c>
      <c r="R24" s="247">
        <v>18</v>
      </c>
      <c r="S24" s="247">
        <v>102</v>
      </c>
      <c r="T24" s="140">
        <f t="shared" si="1"/>
        <v>33</v>
      </c>
      <c r="U24" s="247">
        <v>149</v>
      </c>
      <c r="V24" s="141">
        <f t="shared" si="2"/>
        <v>4917</v>
      </c>
      <c r="W24" s="247">
        <v>7</v>
      </c>
      <c r="X24" s="137" t="s">
        <v>39</v>
      </c>
      <c r="Y24" s="247" t="s">
        <v>88</v>
      </c>
      <c r="Z24" s="247" t="s">
        <v>78</v>
      </c>
      <c r="AA24" s="247" t="s">
        <v>86</v>
      </c>
      <c r="AB24" s="137" t="s">
        <v>417</v>
      </c>
      <c r="AC24" s="142"/>
      <c r="AE24" s="223"/>
      <c r="AP24" s="239" t="s">
        <v>395</v>
      </c>
      <c r="AR24" s="238" t="s">
        <v>91</v>
      </c>
    </row>
    <row r="25" spans="1:48" x14ac:dyDescent="0.15">
      <c r="A25" s="137" t="s">
        <v>61</v>
      </c>
      <c r="B25" s="137" t="s">
        <v>381</v>
      </c>
      <c r="C25" s="137">
        <v>2018</v>
      </c>
      <c r="D25" s="138" t="s">
        <v>382</v>
      </c>
      <c r="E25" s="137" t="s">
        <v>251</v>
      </c>
      <c r="F25" s="137" t="s">
        <v>252</v>
      </c>
      <c r="G25" s="137" t="s">
        <v>42</v>
      </c>
      <c r="H25" s="247" t="s">
        <v>165</v>
      </c>
      <c r="I25" s="247" t="s">
        <v>155</v>
      </c>
      <c r="J25" s="137" t="s">
        <v>38</v>
      </c>
      <c r="K25" s="247" t="s">
        <v>156</v>
      </c>
      <c r="L25" s="247">
        <v>3</v>
      </c>
      <c r="M25" s="247"/>
      <c r="N25" s="247">
        <v>1</v>
      </c>
      <c r="O25" s="247">
        <v>0.55000000000000004</v>
      </c>
      <c r="P25" s="247">
        <v>0.55000000000000004</v>
      </c>
      <c r="Q25" s="139">
        <f t="shared" si="0"/>
        <v>0.55000000000000004</v>
      </c>
      <c r="R25" s="247">
        <v>17.100000000000001</v>
      </c>
      <c r="S25" s="247">
        <v>106</v>
      </c>
      <c r="T25" s="140">
        <f t="shared" si="1"/>
        <v>33</v>
      </c>
      <c r="U25" s="247">
        <v>149</v>
      </c>
      <c r="V25" s="141">
        <f t="shared" si="2"/>
        <v>4917</v>
      </c>
      <c r="W25" s="247">
        <v>7</v>
      </c>
      <c r="X25" s="137" t="s">
        <v>39</v>
      </c>
      <c r="Y25" s="247" t="s">
        <v>88</v>
      </c>
      <c r="Z25" s="247" t="s">
        <v>78</v>
      </c>
      <c r="AA25" s="247" t="s">
        <v>86</v>
      </c>
      <c r="AB25" s="137" t="s">
        <v>417</v>
      </c>
      <c r="AC25" s="142"/>
      <c r="AE25" s="236"/>
      <c r="AP25" s="239" t="s">
        <v>116</v>
      </c>
      <c r="AR25" s="42" t="s">
        <v>92</v>
      </c>
    </row>
    <row r="26" spans="1:48" x14ac:dyDescent="0.15">
      <c r="A26" s="137" t="s">
        <v>61</v>
      </c>
      <c r="B26" s="137" t="s">
        <v>381</v>
      </c>
      <c r="C26" s="137">
        <v>2018</v>
      </c>
      <c r="D26" s="138" t="s">
        <v>382</v>
      </c>
      <c r="E26" s="137" t="s">
        <v>251</v>
      </c>
      <c r="F26" s="137" t="s">
        <v>252</v>
      </c>
      <c r="G26" s="137" t="s">
        <v>42</v>
      </c>
      <c r="H26" s="247" t="s">
        <v>157</v>
      </c>
      <c r="I26" s="247" t="s">
        <v>158</v>
      </c>
      <c r="J26" s="137" t="s">
        <v>38</v>
      </c>
      <c r="K26" s="247" t="s">
        <v>156</v>
      </c>
      <c r="L26" s="247">
        <v>1</v>
      </c>
      <c r="M26" s="247"/>
      <c r="N26" s="247">
        <v>2</v>
      </c>
      <c r="O26" s="247">
        <v>0.6</v>
      </c>
      <c r="P26" s="142">
        <v>0.65</v>
      </c>
      <c r="Q26" s="139">
        <f t="shared" si="0"/>
        <v>0.625</v>
      </c>
      <c r="R26" s="247">
        <v>15.2</v>
      </c>
      <c r="S26" s="247">
        <v>110</v>
      </c>
      <c r="T26" s="140">
        <f t="shared" si="1"/>
        <v>33</v>
      </c>
      <c r="U26" s="247">
        <v>386</v>
      </c>
      <c r="V26" s="141">
        <f t="shared" si="2"/>
        <v>6369</v>
      </c>
      <c r="W26" s="247">
        <v>7</v>
      </c>
      <c r="X26" s="137" t="s">
        <v>39</v>
      </c>
      <c r="Y26" s="247" t="s">
        <v>88</v>
      </c>
      <c r="Z26" s="247" t="s">
        <v>78</v>
      </c>
      <c r="AA26" s="247" t="s">
        <v>86</v>
      </c>
      <c r="AB26" s="137" t="s">
        <v>417</v>
      </c>
      <c r="AC26" s="142"/>
      <c r="AD26" s="235"/>
      <c r="AE26" s="236"/>
      <c r="AP26" s="239" t="s">
        <v>117</v>
      </c>
      <c r="AR26" s="224" t="s">
        <v>289</v>
      </c>
    </row>
    <row r="27" spans="1:48" x14ac:dyDescent="0.15">
      <c r="A27" s="137" t="s">
        <v>61</v>
      </c>
      <c r="B27" s="137" t="s">
        <v>381</v>
      </c>
      <c r="C27" s="137">
        <v>2018</v>
      </c>
      <c r="D27" s="138" t="s">
        <v>382</v>
      </c>
      <c r="E27" s="137" t="s">
        <v>251</v>
      </c>
      <c r="F27" s="137" t="s">
        <v>252</v>
      </c>
      <c r="G27" s="137" t="s">
        <v>42</v>
      </c>
      <c r="H27" s="247" t="s">
        <v>157</v>
      </c>
      <c r="I27" s="247" t="s">
        <v>158</v>
      </c>
      <c r="J27" s="137" t="s">
        <v>38</v>
      </c>
      <c r="K27" s="247" t="s">
        <v>156</v>
      </c>
      <c r="L27" s="247">
        <v>2</v>
      </c>
      <c r="M27" s="247"/>
      <c r="N27" s="247">
        <v>2</v>
      </c>
      <c r="O27" s="247">
        <v>0.6</v>
      </c>
      <c r="P27" s="142">
        <v>0.7</v>
      </c>
      <c r="Q27" s="139">
        <f t="shared" si="0"/>
        <v>0.64999999999999991</v>
      </c>
      <c r="R27" s="247">
        <v>15.6</v>
      </c>
      <c r="S27" s="247">
        <v>111</v>
      </c>
      <c r="T27" s="140">
        <f t="shared" si="1"/>
        <v>33</v>
      </c>
      <c r="U27" s="247">
        <v>386</v>
      </c>
      <c r="V27" s="141">
        <f t="shared" si="2"/>
        <v>6369</v>
      </c>
      <c r="W27" s="247">
        <v>7</v>
      </c>
      <c r="X27" s="137" t="s">
        <v>39</v>
      </c>
      <c r="Y27" s="247" t="s">
        <v>88</v>
      </c>
      <c r="Z27" s="247" t="s">
        <v>78</v>
      </c>
      <c r="AA27" s="247" t="s">
        <v>86</v>
      </c>
      <c r="AB27" s="137" t="s">
        <v>417</v>
      </c>
      <c r="AC27" s="142"/>
      <c r="AD27" s="235"/>
      <c r="AE27" s="229"/>
      <c r="AP27" s="239" t="s">
        <v>118</v>
      </c>
      <c r="AR27" s="224"/>
    </row>
    <row r="28" spans="1:48" x14ac:dyDescent="0.15">
      <c r="A28" s="137" t="s">
        <v>61</v>
      </c>
      <c r="B28" s="137" t="s">
        <v>381</v>
      </c>
      <c r="C28" s="137">
        <v>2018</v>
      </c>
      <c r="D28" s="138" t="s">
        <v>382</v>
      </c>
      <c r="E28" s="137" t="s">
        <v>251</v>
      </c>
      <c r="F28" s="137" t="s">
        <v>252</v>
      </c>
      <c r="G28" s="137" t="s">
        <v>42</v>
      </c>
      <c r="H28" s="247" t="s">
        <v>157</v>
      </c>
      <c r="I28" s="247" t="s">
        <v>158</v>
      </c>
      <c r="J28" s="137" t="s">
        <v>38</v>
      </c>
      <c r="K28" s="247" t="s">
        <v>156</v>
      </c>
      <c r="L28" s="247">
        <v>3</v>
      </c>
      <c r="M28" s="247"/>
      <c r="N28" s="247">
        <v>2</v>
      </c>
      <c r="O28" s="247">
        <v>0.5</v>
      </c>
      <c r="P28" s="142">
        <v>0.5</v>
      </c>
      <c r="Q28" s="139">
        <f t="shared" si="0"/>
        <v>0.5</v>
      </c>
      <c r="R28" s="247">
        <v>15.1</v>
      </c>
      <c r="S28" s="247">
        <v>108</v>
      </c>
      <c r="T28" s="140">
        <f t="shared" si="1"/>
        <v>33</v>
      </c>
      <c r="U28" s="247">
        <v>386</v>
      </c>
      <c r="V28" s="141">
        <f t="shared" si="2"/>
        <v>6369</v>
      </c>
      <c r="W28" s="247">
        <v>7</v>
      </c>
      <c r="X28" s="137" t="s">
        <v>39</v>
      </c>
      <c r="Y28" s="247" t="s">
        <v>88</v>
      </c>
      <c r="Z28" s="247" t="s">
        <v>78</v>
      </c>
      <c r="AA28" s="247" t="s">
        <v>86</v>
      </c>
      <c r="AB28" s="137" t="s">
        <v>417</v>
      </c>
      <c r="AC28" s="142"/>
      <c r="AD28" s="235"/>
      <c r="AP28" s="228"/>
      <c r="AR28" s="224"/>
    </row>
    <row r="29" spans="1:48" x14ac:dyDescent="0.15">
      <c r="A29" s="137" t="s">
        <v>61</v>
      </c>
      <c r="B29" s="137" t="s">
        <v>381</v>
      </c>
      <c r="C29" s="137">
        <v>2018</v>
      </c>
      <c r="D29" s="138" t="s">
        <v>382</v>
      </c>
      <c r="E29" s="137" t="s">
        <v>251</v>
      </c>
      <c r="F29" s="137" t="s">
        <v>252</v>
      </c>
      <c r="G29" s="137" t="s">
        <v>42</v>
      </c>
      <c r="H29" s="247" t="s">
        <v>165</v>
      </c>
      <c r="I29" s="247" t="s">
        <v>158</v>
      </c>
      <c r="J29" s="137" t="s">
        <v>38</v>
      </c>
      <c r="K29" s="247" t="s">
        <v>156</v>
      </c>
      <c r="L29" s="247">
        <v>1</v>
      </c>
      <c r="M29" s="247"/>
      <c r="N29" s="247">
        <v>2</v>
      </c>
      <c r="O29" s="247">
        <v>0.5</v>
      </c>
      <c r="P29" s="247">
        <v>0.5</v>
      </c>
      <c r="Q29" s="139">
        <f t="shared" si="0"/>
        <v>0.5</v>
      </c>
      <c r="R29" s="247">
        <v>16.8</v>
      </c>
      <c r="S29" s="247">
        <v>106</v>
      </c>
      <c r="T29" s="140">
        <f t="shared" si="1"/>
        <v>33</v>
      </c>
      <c r="U29" s="247">
        <v>429</v>
      </c>
      <c r="V29" s="141">
        <f t="shared" si="2"/>
        <v>7078.5</v>
      </c>
      <c r="W29" s="247">
        <v>7</v>
      </c>
      <c r="X29" s="137" t="s">
        <v>39</v>
      </c>
      <c r="Y29" s="247" t="s">
        <v>88</v>
      </c>
      <c r="Z29" s="247" t="s">
        <v>78</v>
      </c>
      <c r="AA29" s="247" t="s">
        <v>86</v>
      </c>
      <c r="AB29" s="137" t="s">
        <v>417</v>
      </c>
      <c r="AC29" s="142"/>
    </row>
    <row r="30" spans="1:48" x14ac:dyDescent="0.15">
      <c r="A30" s="137" t="s">
        <v>61</v>
      </c>
      <c r="B30" s="137" t="s">
        <v>381</v>
      </c>
      <c r="C30" s="137">
        <v>2018</v>
      </c>
      <c r="D30" s="138" t="s">
        <v>382</v>
      </c>
      <c r="E30" s="137" t="s">
        <v>251</v>
      </c>
      <c r="F30" s="137" t="s">
        <v>252</v>
      </c>
      <c r="G30" s="137" t="s">
        <v>42</v>
      </c>
      <c r="H30" s="247" t="s">
        <v>165</v>
      </c>
      <c r="I30" s="247" t="s">
        <v>158</v>
      </c>
      <c r="J30" s="137" t="s">
        <v>38</v>
      </c>
      <c r="K30" s="247" t="s">
        <v>156</v>
      </c>
      <c r="L30" s="247">
        <v>2</v>
      </c>
      <c r="M30" s="247"/>
      <c r="N30" s="247">
        <v>2</v>
      </c>
      <c r="O30" s="247">
        <v>0.5</v>
      </c>
      <c r="P30" s="142">
        <v>0.5</v>
      </c>
      <c r="Q30" s="139">
        <f t="shared" si="0"/>
        <v>0.5</v>
      </c>
      <c r="R30" s="247">
        <v>16.7</v>
      </c>
      <c r="S30" s="247">
        <v>108</v>
      </c>
      <c r="T30" s="140">
        <f t="shared" si="1"/>
        <v>33</v>
      </c>
      <c r="U30" s="247">
        <v>429</v>
      </c>
      <c r="V30" s="141">
        <f t="shared" si="2"/>
        <v>7078.5</v>
      </c>
      <c r="W30" s="247">
        <v>7</v>
      </c>
      <c r="X30" s="137" t="s">
        <v>39</v>
      </c>
      <c r="Y30" s="247" t="s">
        <v>88</v>
      </c>
      <c r="Z30" s="247" t="s">
        <v>78</v>
      </c>
      <c r="AA30" s="247" t="s">
        <v>86</v>
      </c>
      <c r="AB30" s="137" t="s">
        <v>417</v>
      </c>
      <c r="AC30" s="142"/>
    </row>
    <row r="31" spans="1:48" x14ac:dyDescent="0.15">
      <c r="A31" s="137" t="s">
        <v>61</v>
      </c>
      <c r="B31" s="137" t="s">
        <v>381</v>
      </c>
      <c r="C31" s="137">
        <v>2018</v>
      </c>
      <c r="D31" s="138" t="s">
        <v>382</v>
      </c>
      <c r="E31" s="137" t="s">
        <v>251</v>
      </c>
      <c r="F31" s="137" t="s">
        <v>252</v>
      </c>
      <c r="G31" s="137" t="s">
        <v>42</v>
      </c>
      <c r="H31" s="247" t="s">
        <v>165</v>
      </c>
      <c r="I31" s="247" t="s">
        <v>158</v>
      </c>
      <c r="J31" s="137" t="s">
        <v>38</v>
      </c>
      <c r="K31" s="247" t="s">
        <v>156</v>
      </c>
      <c r="L31" s="247">
        <v>3</v>
      </c>
      <c r="M31" s="247"/>
      <c r="N31" s="247">
        <v>2</v>
      </c>
      <c r="O31" s="247">
        <v>0.5</v>
      </c>
      <c r="P31" s="247">
        <v>0.5</v>
      </c>
      <c r="Q31" s="139">
        <f t="shared" si="0"/>
        <v>0.5</v>
      </c>
      <c r="R31" s="247">
        <v>16.2</v>
      </c>
      <c r="S31" s="247">
        <v>111</v>
      </c>
      <c r="T31" s="140">
        <f t="shared" si="1"/>
        <v>33</v>
      </c>
      <c r="U31" s="247">
        <v>429</v>
      </c>
      <c r="V31" s="141">
        <f t="shared" si="2"/>
        <v>7078.5</v>
      </c>
      <c r="W31" s="247">
        <v>7</v>
      </c>
      <c r="X31" s="137" t="s">
        <v>39</v>
      </c>
      <c r="Y31" s="247" t="s">
        <v>88</v>
      </c>
      <c r="Z31" s="247" t="s">
        <v>78</v>
      </c>
      <c r="AA31" s="247" t="s">
        <v>86</v>
      </c>
      <c r="AB31" s="137" t="s">
        <v>417</v>
      </c>
      <c r="AC31" s="142"/>
    </row>
    <row r="32" spans="1:48" x14ac:dyDescent="0.15">
      <c r="A32" s="137" t="s">
        <v>61</v>
      </c>
      <c r="B32" s="137" t="s">
        <v>381</v>
      </c>
      <c r="C32" s="137">
        <v>2018</v>
      </c>
      <c r="D32" s="138" t="s">
        <v>382</v>
      </c>
      <c r="E32" s="137" t="s">
        <v>253</v>
      </c>
      <c r="F32" s="137" t="s">
        <v>254</v>
      </c>
      <c r="G32" s="137" t="s">
        <v>42</v>
      </c>
      <c r="H32" s="247" t="s">
        <v>157</v>
      </c>
      <c r="I32" s="247" t="s">
        <v>155</v>
      </c>
      <c r="J32" s="137" t="s">
        <v>38</v>
      </c>
      <c r="K32" s="247" t="s">
        <v>156</v>
      </c>
      <c r="L32" s="247">
        <v>1</v>
      </c>
      <c r="M32" s="247"/>
      <c r="N32" s="247">
        <v>5</v>
      </c>
      <c r="O32" s="247">
        <v>0.75</v>
      </c>
      <c r="P32" s="247">
        <v>0.7</v>
      </c>
      <c r="Q32" s="139">
        <f t="shared" si="0"/>
        <v>0.72499999999999998</v>
      </c>
      <c r="R32" s="247">
        <v>15.5</v>
      </c>
      <c r="S32" s="247">
        <v>106</v>
      </c>
      <c r="T32" s="140">
        <f t="shared" si="1"/>
        <v>33</v>
      </c>
      <c r="U32" s="247">
        <v>429</v>
      </c>
      <c r="V32" s="141">
        <f t="shared" si="2"/>
        <v>2831.4</v>
      </c>
      <c r="W32" s="247">
        <v>9</v>
      </c>
      <c r="X32" s="137" t="s">
        <v>39</v>
      </c>
      <c r="Y32" s="247" t="s">
        <v>78</v>
      </c>
      <c r="Z32" s="247" t="s">
        <v>88</v>
      </c>
      <c r="AA32" s="247" t="s">
        <v>69</v>
      </c>
      <c r="AB32" s="137" t="s">
        <v>417</v>
      </c>
      <c r="AC32" s="142"/>
    </row>
    <row r="33" spans="1:29" x14ac:dyDescent="0.15">
      <c r="A33" s="137" t="s">
        <v>61</v>
      </c>
      <c r="B33" s="137" t="s">
        <v>381</v>
      </c>
      <c r="C33" s="137">
        <v>2018</v>
      </c>
      <c r="D33" s="138" t="s">
        <v>382</v>
      </c>
      <c r="E33" s="137" t="s">
        <v>253</v>
      </c>
      <c r="F33" s="137" t="s">
        <v>254</v>
      </c>
      <c r="G33" s="137" t="s">
        <v>42</v>
      </c>
      <c r="H33" s="247" t="s">
        <v>157</v>
      </c>
      <c r="I33" s="247" t="s">
        <v>155</v>
      </c>
      <c r="J33" s="137" t="s">
        <v>38</v>
      </c>
      <c r="K33" s="247" t="s">
        <v>156</v>
      </c>
      <c r="L33" s="247">
        <v>2</v>
      </c>
      <c r="M33" s="247"/>
      <c r="N33" s="247">
        <v>5</v>
      </c>
      <c r="O33" s="247">
        <v>0.65</v>
      </c>
      <c r="P33" s="247">
        <v>0.65</v>
      </c>
      <c r="Q33" s="139">
        <f t="shared" si="0"/>
        <v>0.65</v>
      </c>
      <c r="R33" s="247">
        <v>15.8</v>
      </c>
      <c r="S33" s="247">
        <v>128</v>
      </c>
      <c r="T33" s="140">
        <f t="shared" si="1"/>
        <v>27</v>
      </c>
      <c r="U33" s="247">
        <v>429</v>
      </c>
      <c r="V33" s="141">
        <f t="shared" si="2"/>
        <v>2316.6</v>
      </c>
      <c r="W33" s="247">
        <v>9</v>
      </c>
      <c r="X33" s="137" t="s">
        <v>39</v>
      </c>
      <c r="Y33" s="247" t="s">
        <v>78</v>
      </c>
      <c r="Z33" s="247" t="s">
        <v>88</v>
      </c>
      <c r="AA33" s="247" t="s">
        <v>69</v>
      </c>
      <c r="AB33" s="137" t="s">
        <v>417</v>
      </c>
      <c r="AC33" s="142"/>
    </row>
    <row r="34" spans="1:29" x14ac:dyDescent="0.15">
      <c r="A34" s="137" t="s">
        <v>61</v>
      </c>
      <c r="B34" s="137" t="s">
        <v>381</v>
      </c>
      <c r="C34" s="137">
        <v>2018</v>
      </c>
      <c r="D34" s="138" t="s">
        <v>382</v>
      </c>
      <c r="E34" s="137" t="s">
        <v>253</v>
      </c>
      <c r="F34" s="137" t="s">
        <v>254</v>
      </c>
      <c r="G34" s="137" t="s">
        <v>42</v>
      </c>
      <c r="H34" s="247" t="s">
        <v>157</v>
      </c>
      <c r="I34" s="247" t="s">
        <v>155</v>
      </c>
      <c r="J34" s="137" t="s">
        <v>38</v>
      </c>
      <c r="K34" s="247" t="s">
        <v>156</v>
      </c>
      <c r="L34" s="247">
        <v>3</v>
      </c>
      <c r="M34" s="247"/>
      <c r="N34" s="247">
        <v>5</v>
      </c>
      <c r="O34" s="247">
        <v>0.6</v>
      </c>
      <c r="P34" s="247">
        <v>0.5</v>
      </c>
      <c r="Q34" s="139">
        <f t="shared" si="0"/>
        <v>0.55000000000000004</v>
      </c>
      <c r="R34" s="247">
        <v>15.2</v>
      </c>
      <c r="S34" s="247">
        <v>124</v>
      </c>
      <c r="T34" s="140">
        <f t="shared" si="1"/>
        <v>27</v>
      </c>
      <c r="U34" s="247">
        <v>429</v>
      </c>
      <c r="V34" s="141">
        <f t="shared" si="2"/>
        <v>2316.6</v>
      </c>
      <c r="W34" s="247">
        <v>9</v>
      </c>
      <c r="X34" s="137" t="s">
        <v>39</v>
      </c>
      <c r="Y34" s="247" t="s">
        <v>78</v>
      </c>
      <c r="Z34" s="247" t="s">
        <v>88</v>
      </c>
      <c r="AA34" s="247" t="s">
        <v>69</v>
      </c>
      <c r="AB34" s="137" t="s">
        <v>417</v>
      </c>
      <c r="AC34" s="142"/>
    </row>
    <row r="35" spans="1:29" x14ac:dyDescent="0.15">
      <c r="A35" s="137" t="s">
        <v>61</v>
      </c>
      <c r="B35" s="137" t="s">
        <v>381</v>
      </c>
      <c r="C35" s="137">
        <v>2018</v>
      </c>
      <c r="D35" s="138" t="s">
        <v>382</v>
      </c>
      <c r="E35" s="137" t="s">
        <v>253</v>
      </c>
      <c r="F35" s="137" t="s">
        <v>254</v>
      </c>
      <c r="G35" s="137" t="s">
        <v>42</v>
      </c>
      <c r="H35" s="247" t="s">
        <v>165</v>
      </c>
      <c r="I35" s="247" t="s">
        <v>155</v>
      </c>
      <c r="J35" s="137" t="s">
        <v>38</v>
      </c>
      <c r="K35" s="247" t="s">
        <v>156</v>
      </c>
      <c r="L35" s="247">
        <v>1</v>
      </c>
      <c r="M35" s="247"/>
      <c r="N35" s="247">
        <v>1</v>
      </c>
      <c r="O35" s="247">
        <v>0.5</v>
      </c>
      <c r="P35" s="247">
        <v>0.5</v>
      </c>
      <c r="Q35" s="139">
        <f t="shared" si="0"/>
        <v>0.5</v>
      </c>
      <c r="R35" s="247">
        <v>16.7</v>
      </c>
      <c r="S35" s="247">
        <v>133</v>
      </c>
      <c r="T35" s="140">
        <f t="shared" si="1"/>
        <v>25</v>
      </c>
      <c r="U35" s="247">
        <v>100</v>
      </c>
      <c r="V35" s="141">
        <f t="shared" si="2"/>
        <v>2500</v>
      </c>
      <c r="W35" s="247">
        <v>9</v>
      </c>
      <c r="X35" s="137" t="s">
        <v>39</v>
      </c>
      <c r="Y35" s="247" t="s">
        <v>78</v>
      </c>
      <c r="Z35" s="247" t="s">
        <v>88</v>
      </c>
      <c r="AA35" s="247" t="s">
        <v>69</v>
      </c>
      <c r="AB35" s="137" t="s">
        <v>417</v>
      </c>
      <c r="AC35" s="142"/>
    </row>
    <row r="36" spans="1:29" x14ac:dyDescent="0.15">
      <c r="A36" s="137" t="s">
        <v>61</v>
      </c>
      <c r="B36" s="137" t="s">
        <v>381</v>
      </c>
      <c r="C36" s="137">
        <v>2018</v>
      </c>
      <c r="D36" s="138" t="s">
        <v>382</v>
      </c>
      <c r="E36" s="137" t="s">
        <v>253</v>
      </c>
      <c r="F36" s="137" t="s">
        <v>254</v>
      </c>
      <c r="G36" s="137" t="s">
        <v>42</v>
      </c>
      <c r="H36" s="247" t="s">
        <v>165</v>
      </c>
      <c r="I36" s="247" t="s">
        <v>155</v>
      </c>
      <c r="J36" s="137" t="s">
        <v>38</v>
      </c>
      <c r="K36" s="247" t="s">
        <v>156</v>
      </c>
      <c r="L36" s="247">
        <v>2</v>
      </c>
      <c r="M36" s="247"/>
      <c r="N36" s="247">
        <v>1</v>
      </c>
      <c r="O36" s="247">
        <v>0.5</v>
      </c>
      <c r="P36" s="247">
        <v>0.5</v>
      </c>
      <c r="Q36" s="139">
        <f t="shared" si="0"/>
        <v>0.5</v>
      </c>
      <c r="R36" s="247">
        <v>16.399999999999999</v>
      </c>
      <c r="S36" s="247">
        <v>132</v>
      </c>
      <c r="T36" s="140">
        <f t="shared" si="1"/>
        <v>25</v>
      </c>
      <c r="U36" s="247">
        <v>100</v>
      </c>
      <c r="V36" s="141">
        <f t="shared" si="2"/>
        <v>2500</v>
      </c>
      <c r="W36" s="247">
        <v>9</v>
      </c>
      <c r="X36" s="137" t="s">
        <v>39</v>
      </c>
      <c r="Y36" s="247" t="s">
        <v>78</v>
      </c>
      <c r="Z36" s="247" t="s">
        <v>88</v>
      </c>
      <c r="AA36" s="247" t="s">
        <v>69</v>
      </c>
      <c r="AB36" s="137" t="s">
        <v>417</v>
      </c>
      <c r="AC36" s="142"/>
    </row>
    <row r="37" spans="1:29" x14ac:dyDescent="0.15">
      <c r="A37" s="137" t="s">
        <v>61</v>
      </c>
      <c r="B37" s="137" t="s">
        <v>381</v>
      </c>
      <c r="C37" s="137">
        <v>2018</v>
      </c>
      <c r="D37" s="138" t="s">
        <v>382</v>
      </c>
      <c r="E37" s="137" t="s">
        <v>253</v>
      </c>
      <c r="F37" s="137" t="s">
        <v>254</v>
      </c>
      <c r="G37" s="137" t="s">
        <v>42</v>
      </c>
      <c r="H37" s="247" t="s">
        <v>165</v>
      </c>
      <c r="I37" s="247" t="s">
        <v>155</v>
      </c>
      <c r="J37" s="137" t="s">
        <v>38</v>
      </c>
      <c r="K37" s="247" t="s">
        <v>156</v>
      </c>
      <c r="L37" s="247">
        <v>3</v>
      </c>
      <c r="M37" s="247"/>
      <c r="N37" s="247">
        <v>1</v>
      </c>
      <c r="O37" s="247">
        <v>0.6</v>
      </c>
      <c r="P37" s="247">
        <v>0.55000000000000004</v>
      </c>
      <c r="Q37" s="139">
        <f t="shared" si="0"/>
        <v>0.57499999999999996</v>
      </c>
      <c r="R37" s="247">
        <v>16.600000000000001</v>
      </c>
      <c r="S37" s="247">
        <v>128</v>
      </c>
      <c r="T37" s="140">
        <f t="shared" si="1"/>
        <v>27</v>
      </c>
      <c r="U37" s="247">
        <v>100</v>
      </c>
      <c r="V37" s="141">
        <f t="shared" si="2"/>
        <v>2700</v>
      </c>
      <c r="W37" s="247">
        <v>9</v>
      </c>
      <c r="X37" s="137" t="s">
        <v>39</v>
      </c>
      <c r="Y37" s="247" t="s">
        <v>78</v>
      </c>
      <c r="Z37" s="247" t="s">
        <v>88</v>
      </c>
      <c r="AA37" s="247" t="s">
        <v>69</v>
      </c>
      <c r="AB37" s="137" t="s">
        <v>417</v>
      </c>
      <c r="AC37" s="142"/>
    </row>
    <row r="38" spans="1:29" x14ac:dyDescent="0.15">
      <c r="A38" s="137" t="s">
        <v>61</v>
      </c>
      <c r="B38" s="137" t="s">
        <v>381</v>
      </c>
      <c r="C38" s="137">
        <v>2018</v>
      </c>
      <c r="D38" s="138" t="s">
        <v>382</v>
      </c>
      <c r="E38" s="137" t="s">
        <v>253</v>
      </c>
      <c r="F38" s="137" t="s">
        <v>254</v>
      </c>
      <c r="G38" s="137" t="s">
        <v>42</v>
      </c>
      <c r="H38" s="247" t="s">
        <v>157</v>
      </c>
      <c r="I38" s="247" t="s">
        <v>158</v>
      </c>
      <c r="J38" s="137" t="s">
        <v>38</v>
      </c>
      <c r="K38" s="247" t="s">
        <v>156</v>
      </c>
      <c r="L38" s="247">
        <v>1</v>
      </c>
      <c r="M38" s="247"/>
      <c r="N38" s="247">
        <v>1</v>
      </c>
      <c r="O38" s="247">
        <v>0.5</v>
      </c>
      <c r="P38" s="247">
        <v>0.55000000000000004</v>
      </c>
      <c r="Q38" s="139">
        <f t="shared" si="0"/>
        <v>0.52500000000000002</v>
      </c>
      <c r="R38" s="247">
        <v>15.6</v>
      </c>
      <c r="S38" s="247">
        <v>113</v>
      </c>
      <c r="T38" s="140">
        <f t="shared" si="1"/>
        <v>30</v>
      </c>
      <c r="U38" s="247">
        <v>100</v>
      </c>
      <c r="V38" s="141">
        <f t="shared" si="2"/>
        <v>3000</v>
      </c>
      <c r="W38" s="247">
        <v>9</v>
      </c>
      <c r="X38" s="137" t="s">
        <v>39</v>
      </c>
      <c r="Y38" s="247" t="s">
        <v>78</v>
      </c>
      <c r="Z38" s="247" t="s">
        <v>88</v>
      </c>
      <c r="AA38" s="247" t="s">
        <v>69</v>
      </c>
      <c r="AB38" s="137" t="s">
        <v>417</v>
      </c>
      <c r="AC38" s="142"/>
    </row>
    <row r="39" spans="1:29" x14ac:dyDescent="0.15">
      <c r="A39" s="137" t="s">
        <v>61</v>
      </c>
      <c r="B39" s="137" t="s">
        <v>381</v>
      </c>
      <c r="C39" s="137">
        <v>2018</v>
      </c>
      <c r="D39" s="138" t="s">
        <v>382</v>
      </c>
      <c r="E39" s="137" t="s">
        <v>253</v>
      </c>
      <c r="F39" s="137" t="s">
        <v>254</v>
      </c>
      <c r="G39" s="137" t="s">
        <v>42</v>
      </c>
      <c r="H39" s="247" t="s">
        <v>157</v>
      </c>
      <c r="I39" s="247" t="s">
        <v>158</v>
      </c>
      <c r="J39" s="137" t="s">
        <v>38</v>
      </c>
      <c r="K39" s="247" t="s">
        <v>156</v>
      </c>
      <c r="L39" s="247">
        <v>2</v>
      </c>
      <c r="M39" s="247"/>
      <c r="N39" s="247">
        <v>1</v>
      </c>
      <c r="O39" s="247">
        <v>0.5</v>
      </c>
      <c r="P39" s="247">
        <v>0.6</v>
      </c>
      <c r="Q39" s="139">
        <f t="shared" si="0"/>
        <v>0.55000000000000004</v>
      </c>
      <c r="R39" s="247">
        <v>16.100000000000001</v>
      </c>
      <c r="S39" s="247">
        <v>118</v>
      </c>
      <c r="T39" s="140">
        <f t="shared" si="1"/>
        <v>30</v>
      </c>
      <c r="U39" s="247">
        <v>100</v>
      </c>
      <c r="V39" s="141">
        <f t="shared" si="2"/>
        <v>3000</v>
      </c>
      <c r="W39" s="247">
        <v>9</v>
      </c>
      <c r="X39" s="137" t="s">
        <v>39</v>
      </c>
      <c r="Y39" s="247" t="s">
        <v>78</v>
      </c>
      <c r="Z39" s="247" t="s">
        <v>88</v>
      </c>
      <c r="AA39" s="247" t="s">
        <v>69</v>
      </c>
      <c r="AB39" s="137" t="s">
        <v>417</v>
      </c>
      <c r="AC39" s="142"/>
    </row>
    <row r="40" spans="1:29" x14ac:dyDescent="0.15">
      <c r="A40" s="137" t="s">
        <v>61</v>
      </c>
      <c r="B40" s="137" t="s">
        <v>381</v>
      </c>
      <c r="C40" s="137">
        <v>2018</v>
      </c>
      <c r="D40" s="138" t="s">
        <v>382</v>
      </c>
      <c r="E40" s="137" t="s">
        <v>253</v>
      </c>
      <c r="F40" s="137" t="s">
        <v>254</v>
      </c>
      <c r="G40" s="137" t="s">
        <v>42</v>
      </c>
      <c r="H40" s="247" t="s">
        <v>157</v>
      </c>
      <c r="I40" s="247" t="s">
        <v>158</v>
      </c>
      <c r="J40" s="137" t="s">
        <v>38</v>
      </c>
      <c r="K40" s="247" t="s">
        <v>156</v>
      </c>
      <c r="L40" s="247">
        <v>3</v>
      </c>
      <c r="M40" s="247"/>
      <c r="N40" s="247">
        <v>1</v>
      </c>
      <c r="O40" s="247">
        <v>0.5</v>
      </c>
      <c r="P40" s="247">
        <v>0.65</v>
      </c>
      <c r="Q40" s="139">
        <f t="shared" si="0"/>
        <v>0.57499999999999996</v>
      </c>
      <c r="R40" s="247">
        <v>15.9</v>
      </c>
      <c r="S40" s="247">
        <v>114</v>
      </c>
      <c r="T40" s="140">
        <f t="shared" si="1"/>
        <v>30</v>
      </c>
      <c r="U40" s="247">
        <v>100</v>
      </c>
      <c r="V40" s="141">
        <f t="shared" si="2"/>
        <v>3000</v>
      </c>
      <c r="W40" s="247">
        <v>9</v>
      </c>
      <c r="X40" s="137" t="s">
        <v>39</v>
      </c>
      <c r="Y40" s="247" t="s">
        <v>78</v>
      </c>
      <c r="Z40" s="247" t="s">
        <v>88</v>
      </c>
      <c r="AA40" s="247" t="s">
        <v>69</v>
      </c>
      <c r="AB40" s="137" t="s">
        <v>417</v>
      </c>
      <c r="AC40" s="142"/>
    </row>
    <row r="41" spans="1:29" x14ac:dyDescent="0.15">
      <c r="A41" s="137" t="s">
        <v>61</v>
      </c>
      <c r="B41" s="137" t="s">
        <v>381</v>
      </c>
      <c r="C41" s="137">
        <v>2018</v>
      </c>
      <c r="D41" s="138" t="s">
        <v>382</v>
      </c>
      <c r="E41" s="137" t="s">
        <v>255</v>
      </c>
      <c r="F41" s="137" t="s">
        <v>256</v>
      </c>
      <c r="G41" s="137" t="s">
        <v>42</v>
      </c>
      <c r="H41" s="247" t="s">
        <v>157</v>
      </c>
      <c r="I41" s="247" t="s">
        <v>155</v>
      </c>
      <c r="J41" s="137" t="s">
        <v>38</v>
      </c>
      <c r="K41" s="247" t="s">
        <v>156</v>
      </c>
      <c r="L41" s="247">
        <v>1</v>
      </c>
      <c r="M41" s="247"/>
      <c r="N41" s="247">
        <v>1</v>
      </c>
      <c r="O41" s="247">
        <v>0.6</v>
      </c>
      <c r="P41" s="247">
        <v>0.65</v>
      </c>
      <c r="Q41" s="139">
        <f t="shared" si="0"/>
        <v>0.625</v>
      </c>
      <c r="R41" s="247">
        <v>11.4</v>
      </c>
      <c r="S41" s="247">
        <v>98</v>
      </c>
      <c r="T41" s="140">
        <f t="shared" si="1"/>
        <v>36</v>
      </c>
      <c r="U41" s="247">
        <v>98</v>
      </c>
      <c r="V41" s="141">
        <f t="shared" si="2"/>
        <v>3528</v>
      </c>
      <c r="W41" s="247">
        <v>11</v>
      </c>
      <c r="X41" s="137" t="s">
        <v>46</v>
      </c>
      <c r="Y41" s="247" t="s">
        <v>97</v>
      </c>
      <c r="Z41" s="247" t="s">
        <v>78</v>
      </c>
      <c r="AA41" s="247" t="s">
        <v>88</v>
      </c>
      <c r="AB41" s="137" t="s">
        <v>417</v>
      </c>
      <c r="AC41" s="142"/>
    </row>
    <row r="42" spans="1:29" x14ac:dyDescent="0.15">
      <c r="A42" s="137" t="s">
        <v>61</v>
      </c>
      <c r="B42" s="137" t="s">
        <v>381</v>
      </c>
      <c r="C42" s="137">
        <v>2018</v>
      </c>
      <c r="D42" s="138" t="s">
        <v>382</v>
      </c>
      <c r="E42" s="137" t="s">
        <v>255</v>
      </c>
      <c r="F42" s="137" t="s">
        <v>256</v>
      </c>
      <c r="G42" s="137" t="s">
        <v>42</v>
      </c>
      <c r="H42" s="247" t="s">
        <v>157</v>
      </c>
      <c r="I42" s="247" t="s">
        <v>155</v>
      </c>
      <c r="J42" s="137" t="s">
        <v>38</v>
      </c>
      <c r="K42" s="247" t="s">
        <v>156</v>
      </c>
      <c r="L42" s="247">
        <v>2</v>
      </c>
      <c r="M42" s="247"/>
      <c r="N42" s="247">
        <v>1</v>
      </c>
      <c r="O42" s="247">
        <v>0.6</v>
      </c>
      <c r="P42" s="247">
        <v>0.6</v>
      </c>
      <c r="Q42" s="139">
        <f t="shared" si="0"/>
        <v>0.6</v>
      </c>
      <c r="R42" s="247">
        <v>11.9</v>
      </c>
      <c r="S42" s="247">
        <v>105</v>
      </c>
      <c r="T42" s="140">
        <f t="shared" si="1"/>
        <v>33</v>
      </c>
      <c r="U42" s="247">
        <v>98</v>
      </c>
      <c r="V42" s="141">
        <f t="shared" si="2"/>
        <v>3234</v>
      </c>
      <c r="W42" s="247">
        <v>11</v>
      </c>
      <c r="X42" s="137" t="s">
        <v>46</v>
      </c>
      <c r="Y42" s="247" t="s">
        <v>97</v>
      </c>
      <c r="Z42" s="247" t="s">
        <v>78</v>
      </c>
      <c r="AA42" s="247" t="s">
        <v>88</v>
      </c>
      <c r="AB42" s="137" t="s">
        <v>417</v>
      </c>
      <c r="AC42" s="142"/>
    </row>
    <row r="43" spans="1:29" x14ac:dyDescent="0.15">
      <c r="A43" s="137" t="s">
        <v>61</v>
      </c>
      <c r="B43" s="137" t="s">
        <v>381</v>
      </c>
      <c r="C43" s="137">
        <v>2018</v>
      </c>
      <c r="D43" s="138" t="s">
        <v>382</v>
      </c>
      <c r="E43" s="137" t="s">
        <v>255</v>
      </c>
      <c r="F43" s="137" t="s">
        <v>256</v>
      </c>
      <c r="G43" s="137" t="s">
        <v>42</v>
      </c>
      <c r="H43" s="247" t="s">
        <v>157</v>
      </c>
      <c r="I43" s="247" t="s">
        <v>155</v>
      </c>
      <c r="J43" s="137" t="s">
        <v>38</v>
      </c>
      <c r="K43" s="247" t="s">
        <v>156</v>
      </c>
      <c r="L43" s="247">
        <v>3</v>
      </c>
      <c r="M43" s="247"/>
      <c r="N43" s="247">
        <v>1</v>
      </c>
      <c r="O43" s="247">
        <v>0.7</v>
      </c>
      <c r="P43" s="247">
        <v>0.6</v>
      </c>
      <c r="Q43" s="139">
        <f t="shared" si="0"/>
        <v>0.64999999999999991</v>
      </c>
      <c r="R43" s="247">
        <v>12.3</v>
      </c>
      <c r="S43" s="247">
        <v>108</v>
      </c>
      <c r="T43" s="140">
        <f t="shared" si="1"/>
        <v>33</v>
      </c>
      <c r="U43" s="247">
        <v>98</v>
      </c>
      <c r="V43" s="141">
        <f t="shared" si="2"/>
        <v>3234</v>
      </c>
      <c r="W43" s="247">
        <v>11</v>
      </c>
      <c r="X43" s="137" t="s">
        <v>46</v>
      </c>
      <c r="Y43" s="247" t="s">
        <v>97</v>
      </c>
      <c r="Z43" s="247" t="s">
        <v>78</v>
      </c>
      <c r="AA43" s="247" t="s">
        <v>88</v>
      </c>
      <c r="AB43" s="137" t="s">
        <v>417</v>
      </c>
      <c r="AC43" s="142"/>
    </row>
    <row r="44" spans="1:29" x14ac:dyDescent="0.15">
      <c r="A44" s="137" t="s">
        <v>61</v>
      </c>
      <c r="B44" s="137" t="s">
        <v>381</v>
      </c>
      <c r="C44" s="137">
        <v>2018</v>
      </c>
      <c r="D44" s="138" t="s">
        <v>382</v>
      </c>
      <c r="E44" s="137" t="s">
        <v>255</v>
      </c>
      <c r="F44" s="137" t="s">
        <v>256</v>
      </c>
      <c r="G44" s="137" t="s">
        <v>42</v>
      </c>
      <c r="H44" s="247" t="s">
        <v>165</v>
      </c>
      <c r="I44" s="247" t="s">
        <v>155</v>
      </c>
      <c r="J44" s="137" t="s">
        <v>38</v>
      </c>
      <c r="K44" s="247" t="s">
        <v>156</v>
      </c>
      <c r="L44" s="247">
        <v>1</v>
      </c>
      <c r="M44" s="247"/>
      <c r="N44" s="247">
        <v>1</v>
      </c>
      <c r="O44" s="247">
        <v>0.5</v>
      </c>
      <c r="P44" s="247">
        <v>0.55000000000000004</v>
      </c>
      <c r="Q44" s="139">
        <f t="shared" si="0"/>
        <v>0.52500000000000002</v>
      </c>
      <c r="R44" s="247">
        <v>17.5</v>
      </c>
      <c r="S44" s="247">
        <v>110</v>
      </c>
      <c r="T44" s="140">
        <f t="shared" si="1"/>
        <v>33</v>
      </c>
      <c r="U44" s="247">
        <v>128</v>
      </c>
      <c r="V44" s="141">
        <f t="shared" si="2"/>
        <v>4224</v>
      </c>
      <c r="W44" s="247">
        <v>11</v>
      </c>
      <c r="X44" s="137" t="s">
        <v>46</v>
      </c>
      <c r="Y44" s="247" t="s">
        <v>97</v>
      </c>
      <c r="Z44" s="247" t="s">
        <v>78</v>
      </c>
      <c r="AA44" s="247" t="s">
        <v>88</v>
      </c>
      <c r="AB44" s="137" t="s">
        <v>417</v>
      </c>
      <c r="AC44" s="247"/>
    </row>
    <row r="45" spans="1:29" x14ac:dyDescent="0.15">
      <c r="A45" s="137" t="s">
        <v>61</v>
      </c>
      <c r="B45" s="137" t="s">
        <v>381</v>
      </c>
      <c r="C45" s="137">
        <v>2018</v>
      </c>
      <c r="D45" s="138" t="s">
        <v>382</v>
      </c>
      <c r="E45" s="137" t="s">
        <v>255</v>
      </c>
      <c r="F45" s="137" t="s">
        <v>256</v>
      </c>
      <c r="G45" s="137" t="s">
        <v>42</v>
      </c>
      <c r="H45" s="247" t="s">
        <v>165</v>
      </c>
      <c r="I45" s="247" t="s">
        <v>155</v>
      </c>
      <c r="J45" s="137" t="s">
        <v>38</v>
      </c>
      <c r="K45" s="247" t="s">
        <v>156</v>
      </c>
      <c r="L45" s="247">
        <v>2</v>
      </c>
      <c r="M45" s="247"/>
      <c r="N45" s="247">
        <v>1</v>
      </c>
      <c r="O45" s="247">
        <v>0.55000000000000004</v>
      </c>
      <c r="P45" s="247">
        <v>0.55000000000000004</v>
      </c>
      <c r="Q45" s="139">
        <f t="shared" si="0"/>
        <v>0.55000000000000004</v>
      </c>
      <c r="R45" s="247">
        <v>17.2</v>
      </c>
      <c r="S45" s="247">
        <v>107</v>
      </c>
      <c r="T45" s="140">
        <f t="shared" si="1"/>
        <v>33</v>
      </c>
      <c r="U45" s="247">
        <v>128</v>
      </c>
      <c r="V45" s="141">
        <f t="shared" si="2"/>
        <v>4224</v>
      </c>
      <c r="W45" s="247">
        <v>11</v>
      </c>
      <c r="X45" s="137" t="s">
        <v>46</v>
      </c>
      <c r="Y45" s="247" t="s">
        <v>97</v>
      </c>
      <c r="Z45" s="247" t="s">
        <v>78</v>
      </c>
      <c r="AA45" s="247" t="s">
        <v>88</v>
      </c>
      <c r="AB45" s="137" t="s">
        <v>417</v>
      </c>
      <c r="AC45" s="247"/>
    </row>
    <row r="46" spans="1:29" x14ac:dyDescent="0.15">
      <c r="A46" s="137" t="s">
        <v>61</v>
      </c>
      <c r="B46" s="137" t="s">
        <v>381</v>
      </c>
      <c r="C46" s="137">
        <v>2018</v>
      </c>
      <c r="D46" s="138" t="s">
        <v>382</v>
      </c>
      <c r="E46" s="137" t="s">
        <v>255</v>
      </c>
      <c r="F46" s="137" t="s">
        <v>256</v>
      </c>
      <c r="G46" s="137" t="s">
        <v>42</v>
      </c>
      <c r="H46" s="247" t="s">
        <v>165</v>
      </c>
      <c r="I46" s="247" t="s">
        <v>155</v>
      </c>
      <c r="J46" s="137" t="s">
        <v>38</v>
      </c>
      <c r="K46" s="247" t="s">
        <v>156</v>
      </c>
      <c r="L46" s="247">
        <v>3</v>
      </c>
      <c r="M46" s="247"/>
      <c r="N46" s="247">
        <v>1</v>
      </c>
      <c r="O46" s="247">
        <v>0.65</v>
      </c>
      <c r="P46" s="247">
        <v>0.5</v>
      </c>
      <c r="Q46" s="139">
        <f t="shared" si="0"/>
        <v>0.57499999999999996</v>
      </c>
      <c r="R46" s="247">
        <v>17.100000000000001</v>
      </c>
      <c r="S46" s="247">
        <v>116</v>
      </c>
      <c r="T46" s="140">
        <f t="shared" si="1"/>
        <v>30</v>
      </c>
      <c r="U46" s="247">
        <v>128</v>
      </c>
      <c r="V46" s="141">
        <f t="shared" si="2"/>
        <v>3840</v>
      </c>
      <c r="W46" s="247">
        <v>11</v>
      </c>
      <c r="X46" s="137" t="s">
        <v>46</v>
      </c>
      <c r="Y46" s="247" t="s">
        <v>97</v>
      </c>
      <c r="Z46" s="247" t="s">
        <v>78</v>
      </c>
      <c r="AA46" s="247" t="s">
        <v>88</v>
      </c>
      <c r="AB46" s="137" t="s">
        <v>417</v>
      </c>
      <c r="AC46" s="247"/>
    </row>
    <row r="47" spans="1:29" x14ac:dyDescent="0.15">
      <c r="A47" s="137" t="s">
        <v>61</v>
      </c>
      <c r="B47" s="137" t="s">
        <v>381</v>
      </c>
      <c r="C47" s="137">
        <v>2018</v>
      </c>
      <c r="D47" s="138" t="s">
        <v>382</v>
      </c>
      <c r="E47" s="137" t="s">
        <v>257</v>
      </c>
      <c r="F47" s="137" t="s">
        <v>258</v>
      </c>
      <c r="G47" s="137" t="s">
        <v>42</v>
      </c>
      <c r="H47" s="247" t="s">
        <v>157</v>
      </c>
      <c r="I47" s="247" t="s">
        <v>155</v>
      </c>
      <c r="J47" s="137" t="s">
        <v>38</v>
      </c>
      <c r="K47" s="247" t="s">
        <v>156</v>
      </c>
      <c r="L47" s="247">
        <v>1</v>
      </c>
      <c r="M47" s="247"/>
      <c r="N47" s="247">
        <v>1</v>
      </c>
      <c r="O47" s="247">
        <v>0.5</v>
      </c>
      <c r="P47" s="247">
        <v>0.5</v>
      </c>
      <c r="Q47" s="139">
        <f t="shared" si="0"/>
        <v>0.5</v>
      </c>
      <c r="R47" s="247">
        <v>14.1</v>
      </c>
      <c r="S47" s="247">
        <v>121</v>
      </c>
      <c r="T47" s="140">
        <f t="shared" si="1"/>
        <v>27</v>
      </c>
      <c r="U47" s="247">
        <v>105</v>
      </c>
      <c r="V47" s="141">
        <f t="shared" si="2"/>
        <v>2835</v>
      </c>
      <c r="W47" s="247">
        <v>9</v>
      </c>
      <c r="X47" s="137" t="s">
        <v>39</v>
      </c>
      <c r="Y47" s="247" t="s">
        <v>78</v>
      </c>
      <c r="Z47" s="247" t="s">
        <v>88</v>
      </c>
      <c r="AA47" s="247" t="s">
        <v>102</v>
      </c>
      <c r="AB47" s="137" t="s">
        <v>417</v>
      </c>
      <c r="AC47" s="142"/>
    </row>
    <row r="48" spans="1:29" x14ac:dyDescent="0.15">
      <c r="A48" s="137" t="s">
        <v>61</v>
      </c>
      <c r="B48" s="137" t="s">
        <v>381</v>
      </c>
      <c r="C48" s="137">
        <v>2018</v>
      </c>
      <c r="D48" s="138" t="s">
        <v>382</v>
      </c>
      <c r="E48" s="137" t="s">
        <v>257</v>
      </c>
      <c r="F48" s="137" t="s">
        <v>258</v>
      </c>
      <c r="G48" s="137" t="s">
        <v>42</v>
      </c>
      <c r="H48" s="247" t="s">
        <v>157</v>
      </c>
      <c r="I48" s="247" t="s">
        <v>155</v>
      </c>
      <c r="J48" s="137" t="s">
        <v>38</v>
      </c>
      <c r="K48" s="247" t="s">
        <v>156</v>
      </c>
      <c r="L48" s="247">
        <v>2</v>
      </c>
      <c r="M48" s="247"/>
      <c r="N48" s="247">
        <v>1</v>
      </c>
      <c r="O48" s="247">
        <v>0.6</v>
      </c>
      <c r="P48" s="247">
        <v>0.55000000000000004</v>
      </c>
      <c r="Q48" s="139">
        <f t="shared" si="0"/>
        <v>0.57499999999999996</v>
      </c>
      <c r="R48" s="247">
        <v>15</v>
      </c>
      <c r="S48" s="247">
        <v>131</v>
      </c>
      <c r="T48" s="140">
        <f t="shared" si="1"/>
        <v>25</v>
      </c>
      <c r="U48" s="247">
        <v>105</v>
      </c>
      <c r="V48" s="141">
        <f t="shared" si="2"/>
        <v>2625</v>
      </c>
      <c r="W48" s="247">
        <v>9</v>
      </c>
      <c r="X48" s="137" t="s">
        <v>39</v>
      </c>
      <c r="Y48" s="247" t="s">
        <v>78</v>
      </c>
      <c r="Z48" s="247" t="s">
        <v>88</v>
      </c>
      <c r="AA48" s="247" t="s">
        <v>102</v>
      </c>
      <c r="AB48" s="137" t="s">
        <v>417</v>
      </c>
      <c r="AC48" s="142"/>
    </row>
    <row r="49" spans="1:29" x14ac:dyDescent="0.15">
      <c r="A49" s="137" t="s">
        <v>61</v>
      </c>
      <c r="B49" s="137" t="s">
        <v>381</v>
      </c>
      <c r="C49" s="137">
        <v>2018</v>
      </c>
      <c r="D49" s="138" t="s">
        <v>382</v>
      </c>
      <c r="E49" s="137" t="s">
        <v>257</v>
      </c>
      <c r="F49" s="137" t="s">
        <v>258</v>
      </c>
      <c r="G49" s="137" t="s">
        <v>42</v>
      </c>
      <c r="H49" s="247" t="s">
        <v>157</v>
      </c>
      <c r="I49" s="247" t="s">
        <v>155</v>
      </c>
      <c r="J49" s="137" t="s">
        <v>38</v>
      </c>
      <c r="K49" s="247" t="s">
        <v>156</v>
      </c>
      <c r="L49" s="247">
        <v>3</v>
      </c>
      <c r="M49" s="247"/>
      <c r="N49" s="247">
        <v>1</v>
      </c>
      <c r="O49" s="247">
        <v>0.5</v>
      </c>
      <c r="P49" s="247">
        <v>0.5</v>
      </c>
      <c r="Q49" s="139">
        <f t="shared" si="0"/>
        <v>0.5</v>
      </c>
      <c r="R49" s="247">
        <v>15.2</v>
      </c>
      <c r="S49" s="247">
        <v>126</v>
      </c>
      <c r="T49" s="140">
        <f t="shared" si="1"/>
        <v>27</v>
      </c>
      <c r="U49" s="247">
        <v>105</v>
      </c>
      <c r="V49" s="141">
        <f t="shared" si="2"/>
        <v>2835</v>
      </c>
      <c r="W49" s="247">
        <v>9</v>
      </c>
      <c r="X49" s="137" t="s">
        <v>39</v>
      </c>
      <c r="Y49" s="247" t="s">
        <v>78</v>
      </c>
      <c r="Z49" s="247" t="s">
        <v>88</v>
      </c>
      <c r="AA49" s="247" t="s">
        <v>102</v>
      </c>
      <c r="AB49" s="137" t="s">
        <v>417</v>
      </c>
      <c r="AC49" s="142"/>
    </row>
    <row r="50" spans="1:29" x14ac:dyDescent="0.15">
      <c r="A50" s="137" t="s">
        <v>61</v>
      </c>
      <c r="B50" s="137" t="s">
        <v>381</v>
      </c>
      <c r="C50" s="137">
        <v>2018</v>
      </c>
      <c r="D50" s="138" t="s">
        <v>382</v>
      </c>
      <c r="E50" s="137" t="s">
        <v>257</v>
      </c>
      <c r="F50" s="137" t="s">
        <v>258</v>
      </c>
      <c r="G50" s="137" t="s">
        <v>42</v>
      </c>
      <c r="H50" s="247" t="s">
        <v>165</v>
      </c>
      <c r="I50" s="247" t="s">
        <v>155</v>
      </c>
      <c r="J50" s="137" t="s">
        <v>38</v>
      </c>
      <c r="K50" s="247" t="s">
        <v>156</v>
      </c>
      <c r="L50" s="247">
        <v>1</v>
      </c>
      <c r="M50" s="247"/>
      <c r="N50" s="247">
        <v>1</v>
      </c>
      <c r="O50" s="247">
        <v>0.5</v>
      </c>
      <c r="P50" s="247">
        <v>0.5</v>
      </c>
      <c r="Q50" s="139">
        <f t="shared" si="0"/>
        <v>0.5</v>
      </c>
      <c r="R50" s="247">
        <v>16.600000000000001</v>
      </c>
      <c r="S50" s="247">
        <v>122</v>
      </c>
      <c r="T50" s="140">
        <f t="shared" si="1"/>
        <v>27</v>
      </c>
      <c r="U50" s="247">
        <v>149</v>
      </c>
      <c r="V50" s="141">
        <f t="shared" si="2"/>
        <v>4023</v>
      </c>
      <c r="W50" s="247">
        <v>9</v>
      </c>
      <c r="X50" s="137" t="s">
        <v>39</v>
      </c>
      <c r="Y50" s="247" t="s">
        <v>78</v>
      </c>
      <c r="Z50" s="247" t="s">
        <v>88</v>
      </c>
      <c r="AA50" s="247" t="s">
        <v>102</v>
      </c>
      <c r="AB50" s="137" t="s">
        <v>417</v>
      </c>
      <c r="AC50" s="142"/>
    </row>
    <row r="51" spans="1:29" x14ac:dyDescent="0.15">
      <c r="A51" s="137" t="s">
        <v>61</v>
      </c>
      <c r="B51" s="137" t="s">
        <v>381</v>
      </c>
      <c r="C51" s="137">
        <v>2018</v>
      </c>
      <c r="D51" s="138" t="s">
        <v>382</v>
      </c>
      <c r="E51" s="137" t="s">
        <v>257</v>
      </c>
      <c r="F51" s="137" t="s">
        <v>258</v>
      </c>
      <c r="G51" s="137" t="s">
        <v>42</v>
      </c>
      <c r="H51" s="247" t="s">
        <v>165</v>
      </c>
      <c r="I51" s="247" t="s">
        <v>155</v>
      </c>
      <c r="J51" s="137" t="s">
        <v>38</v>
      </c>
      <c r="K51" s="247" t="s">
        <v>156</v>
      </c>
      <c r="L51" s="247">
        <v>2</v>
      </c>
      <c r="M51" s="247"/>
      <c r="N51" s="247">
        <v>1</v>
      </c>
      <c r="O51" s="247">
        <v>0.55000000000000004</v>
      </c>
      <c r="P51" s="247">
        <v>0.5</v>
      </c>
      <c r="Q51" s="139">
        <f t="shared" si="0"/>
        <v>0.52500000000000002</v>
      </c>
      <c r="R51" s="247">
        <v>16.399999999999999</v>
      </c>
      <c r="S51" s="247">
        <v>137</v>
      </c>
      <c r="T51" s="140">
        <f t="shared" si="1"/>
        <v>25</v>
      </c>
      <c r="U51" s="247">
        <v>149</v>
      </c>
      <c r="V51" s="141">
        <f t="shared" si="2"/>
        <v>3725</v>
      </c>
      <c r="W51" s="247">
        <v>9</v>
      </c>
      <c r="X51" s="137" t="s">
        <v>39</v>
      </c>
      <c r="Y51" s="247" t="s">
        <v>78</v>
      </c>
      <c r="Z51" s="247" t="s">
        <v>88</v>
      </c>
      <c r="AA51" s="247" t="s">
        <v>102</v>
      </c>
      <c r="AB51" s="137" t="s">
        <v>417</v>
      </c>
      <c r="AC51" s="142"/>
    </row>
    <row r="52" spans="1:29" x14ac:dyDescent="0.15">
      <c r="A52" s="137" t="s">
        <v>61</v>
      </c>
      <c r="B52" s="137" t="s">
        <v>381</v>
      </c>
      <c r="C52" s="137">
        <v>2018</v>
      </c>
      <c r="D52" s="138" t="s">
        <v>382</v>
      </c>
      <c r="E52" s="137" t="s">
        <v>257</v>
      </c>
      <c r="F52" s="137" t="s">
        <v>258</v>
      </c>
      <c r="G52" s="137" t="s">
        <v>42</v>
      </c>
      <c r="H52" s="247" t="s">
        <v>165</v>
      </c>
      <c r="I52" s="247" t="s">
        <v>155</v>
      </c>
      <c r="J52" s="137" t="s">
        <v>38</v>
      </c>
      <c r="K52" s="247" t="s">
        <v>156</v>
      </c>
      <c r="L52" s="247">
        <v>3</v>
      </c>
      <c r="M52" s="247"/>
      <c r="N52" s="247">
        <v>1</v>
      </c>
      <c r="O52" s="247">
        <v>0.5</v>
      </c>
      <c r="P52" s="247">
        <v>0.5</v>
      </c>
      <c r="Q52" s="139">
        <f t="shared" si="0"/>
        <v>0.5</v>
      </c>
      <c r="R52" s="247">
        <v>16.100000000000001</v>
      </c>
      <c r="S52" s="247">
        <v>129</v>
      </c>
      <c r="T52" s="140">
        <f t="shared" si="1"/>
        <v>25</v>
      </c>
      <c r="U52" s="247">
        <v>149</v>
      </c>
      <c r="V52" s="141">
        <f t="shared" si="2"/>
        <v>3725</v>
      </c>
      <c r="W52" s="247">
        <v>9</v>
      </c>
      <c r="X52" s="137" t="s">
        <v>39</v>
      </c>
      <c r="Y52" s="247" t="s">
        <v>78</v>
      </c>
      <c r="Z52" s="247" t="s">
        <v>88</v>
      </c>
      <c r="AA52" s="247" t="s">
        <v>102</v>
      </c>
      <c r="AB52" s="137" t="s">
        <v>417</v>
      </c>
      <c r="AC52" s="142"/>
    </row>
    <row r="53" spans="1:29" x14ac:dyDescent="0.15">
      <c r="A53" s="137" t="s">
        <v>61</v>
      </c>
      <c r="B53" s="137" t="s">
        <v>381</v>
      </c>
      <c r="C53" s="137">
        <v>2018</v>
      </c>
      <c r="D53" s="138" t="s">
        <v>382</v>
      </c>
      <c r="E53" s="137" t="s">
        <v>133</v>
      </c>
      <c r="F53" s="137" t="s">
        <v>259</v>
      </c>
      <c r="G53" s="137" t="s">
        <v>42</v>
      </c>
      <c r="H53" s="247" t="s">
        <v>157</v>
      </c>
      <c r="I53" s="247" t="s">
        <v>155</v>
      </c>
      <c r="J53" s="137" t="s">
        <v>38</v>
      </c>
      <c r="K53" s="247" t="s">
        <v>156</v>
      </c>
      <c r="L53" s="247">
        <v>1</v>
      </c>
      <c r="M53" s="247"/>
      <c r="N53" s="247">
        <v>1</v>
      </c>
      <c r="O53" s="247">
        <v>0.5</v>
      </c>
      <c r="P53" s="247">
        <v>0.5</v>
      </c>
      <c r="Q53" s="139">
        <f t="shared" si="0"/>
        <v>0.5</v>
      </c>
      <c r="R53" s="247">
        <v>13.5</v>
      </c>
      <c r="S53" s="247">
        <v>144</v>
      </c>
      <c r="T53" s="140">
        <f t="shared" si="1"/>
        <v>22</v>
      </c>
      <c r="U53" s="247">
        <v>84</v>
      </c>
      <c r="V53" s="141">
        <f t="shared" si="2"/>
        <v>1848</v>
      </c>
      <c r="W53" s="247">
        <v>11</v>
      </c>
      <c r="X53" s="137" t="s">
        <v>46</v>
      </c>
      <c r="Y53" s="247" t="s">
        <v>78</v>
      </c>
      <c r="Z53" s="247" t="s">
        <v>88</v>
      </c>
      <c r="AA53" s="247" t="s">
        <v>102</v>
      </c>
      <c r="AB53" s="137" t="s">
        <v>417</v>
      </c>
      <c r="AC53" s="142"/>
    </row>
    <row r="54" spans="1:29" x14ac:dyDescent="0.15">
      <c r="A54" s="137" t="s">
        <v>61</v>
      </c>
      <c r="B54" s="137" t="s">
        <v>381</v>
      </c>
      <c r="C54" s="137">
        <v>2018</v>
      </c>
      <c r="D54" s="138" t="s">
        <v>382</v>
      </c>
      <c r="E54" s="137" t="s">
        <v>133</v>
      </c>
      <c r="F54" s="137" t="s">
        <v>259</v>
      </c>
      <c r="G54" s="137" t="s">
        <v>42</v>
      </c>
      <c r="H54" s="247" t="s">
        <v>157</v>
      </c>
      <c r="I54" s="247" t="s">
        <v>155</v>
      </c>
      <c r="J54" s="137" t="s">
        <v>38</v>
      </c>
      <c r="K54" s="247" t="s">
        <v>156</v>
      </c>
      <c r="L54" s="247">
        <v>2</v>
      </c>
      <c r="M54" s="247"/>
      <c r="N54" s="247">
        <v>1</v>
      </c>
      <c r="O54" s="247">
        <v>0.5</v>
      </c>
      <c r="P54" s="247">
        <v>0.5</v>
      </c>
      <c r="Q54" s="139">
        <f t="shared" si="0"/>
        <v>0.5</v>
      </c>
      <c r="R54" s="247">
        <v>13.9</v>
      </c>
      <c r="S54" s="247">
        <v>138</v>
      </c>
      <c r="T54" s="140">
        <f t="shared" si="1"/>
        <v>22</v>
      </c>
      <c r="U54" s="247">
        <v>84</v>
      </c>
      <c r="V54" s="141">
        <f t="shared" si="2"/>
        <v>1848</v>
      </c>
      <c r="W54" s="247">
        <v>11</v>
      </c>
      <c r="X54" s="137" t="s">
        <v>46</v>
      </c>
      <c r="Y54" s="247" t="s">
        <v>78</v>
      </c>
      <c r="Z54" s="247" t="s">
        <v>88</v>
      </c>
      <c r="AA54" s="247" t="s">
        <v>102</v>
      </c>
      <c r="AB54" s="137" t="s">
        <v>417</v>
      </c>
      <c r="AC54" s="142"/>
    </row>
    <row r="55" spans="1:29" x14ac:dyDescent="0.15">
      <c r="A55" s="137" t="s">
        <v>61</v>
      </c>
      <c r="B55" s="137" t="s">
        <v>381</v>
      </c>
      <c r="C55" s="137">
        <v>2018</v>
      </c>
      <c r="D55" s="138" t="s">
        <v>382</v>
      </c>
      <c r="E55" s="137" t="s">
        <v>133</v>
      </c>
      <c r="F55" s="137" t="s">
        <v>259</v>
      </c>
      <c r="G55" s="137" t="s">
        <v>42</v>
      </c>
      <c r="H55" s="247" t="s">
        <v>157</v>
      </c>
      <c r="I55" s="247" t="s">
        <v>155</v>
      </c>
      <c r="J55" s="137" t="s">
        <v>38</v>
      </c>
      <c r="K55" s="247" t="s">
        <v>156</v>
      </c>
      <c r="L55" s="247">
        <v>3</v>
      </c>
      <c r="M55" s="247"/>
      <c r="N55" s="247">
        <v>1</v>
      </c>
      <c r="O55" s="247">
        <v>0.5</v>
      </c>
      <c r="P55" s="247">
        <v>0.55000000000000004</v>
      </c>
      <c r="Q55" s="139">
        <f t="shared" si="0"/>
        <v>0.52500000000000002</v>
      </c>
      <c r="R55" s="247">
        <v>13.2</v>
      </c>
      <c r="S55" s="247">
        <v>138</v>
      </c>
      <c r="T55" s="140">
        <f t="shared" si="1"/>
        <v>22</v>
      </c>
      <c r="U55" s="247">
        <v>84</v>
      </c>
      <c r="V55" s="141">
        <f t="shared" si="2"/>
        <v>1848</v>
      </c>
      <c r="W55" s="247">
        <v>11</v>
      </c>
      <c r="X55" s="137" t="s">
        <v>46</v>
      </c>
      <c r="Y55" s="247" t="s">
        <v>78</v>
      </c>
      <c r="Z55" s="247" t="s">
        <v>88</v>
      </c>
      <c r="AA55" s="247" t="s">
        <v>102</v>
      </c>
      <c r="AB55" s="137" t="s">
        <v>417</v>
      </c>
      <c r="AC55" s="142"/>
    </row>
    <row r="56" spans="1:29" x14ac:dyDescent="0.15">
      <c r="A56" s="137" t="s">
        <v>61</v>
      </c>
      <c r="B56" s="137" t="s">
        <v>381</v>
      </c>
      <c r="C56" s="137">
        <v>2018</v>
      </c>
      <c r="D56" s="138" t="s">
        <v>382</v>
      </c>
      <c r="E56" s="137" t="s">
        <v>133</v>
      </c>
      <c r="F56" s="137" t="s">
        <v>259</v>
      </c>
      <c r="G56" s="137" t="s">
        <v>42</v>
      </c>
      <c r="H56" s="247" t="s">
        <v>165</v>
      </c>
      <c r="I56" s="247" t="s">
        <v>155</v>
      </c>
      <c r="J56" s="137" t="s">
        <v>38</v>
      </c>
      <c r="K56" s="247" t="s">
        <v>156</v>
      </c>
      <c r="L56" s="247">
        <v>1</v>
      </c>
      <c r="M56" s="247"/>
      <c r="N56" s="247">
        <v>1</v>
      </c>
      <c r="O56" s="247">
        <v>0.5</v>
      </c>
      <c r="P56" s="247">
        <v>0.5</v>
      </c>
      <c r="Q56" s="139">
        <f t="shared" si="0"/>
        <v>0.5</v>
      </c>
      <c r="R56" s="247">
        <v>16.2</v>
      </c>
      <c r="S56" s="247">
        <v>146</v>
      </c>
      <c r="T56" s="140">
        <f t="shared" si="1"/>
        <v>22</v>
      </c>
      <c r="U56" s="247">
        <v>149</v>
      </c>
      <c r="V56" s="141">
        <f t="shared" si="2"/>
        <v>3278</v>
      </c>
      <c r="W56" s="247">
        <v>11</v>
      </c>
      <c r="X56" s="137" t="s">
        <v>46</v>
      </c>
      <c r="Y56" s="247" t="s">
        <v>78</v>
      </c>
      <c r="Z56" s="247" t="s">
        <v>88</v>
      </c>
      <c r="AA56" s="247" t="s">
        <v>102</v>
      </c>
      <c r="AB56" s="137" t="s">
        <v>417</v>
      </c>
      <c r="AC56" s="142"/>
    </row>
    <row r="57" spans="1:29" x14ac:dyDescent="0.15">
      <c r="A57" s="137" t="s">
        <v>61</v>
      </c>
      <c r="B57" s="137" t="s">
        <v>381</v>
      </c>
      <c r="C57" s="137">
        <v>2018</v>
      </c>
      <c r="D57" s="138" t="s">
        <v>382</v>
      </c>
      <c r="E57" s="137" t="s">
        <v>133</v>
      </c>
      <c r="F57" s="137" t="s">
        <v>259</v>
      </c>
      <c r="G57" s="137" t="s">
        <v>42</v>
      </c>
      <c r="H57" s="247" t="s">
        <v>165</v>
      </c>
      <c r="I57" s="247" t="s">
        <v>155</v>
      </c>
      <c r="J57" s="137" t="s">
        <v>38</v>
      </c>
      <c r="K57" s="247" t="s">
        <v>156</v>
      </c>
      <c r="L57" s="247">
        <v>2</v>
      </c>
      <c r="M57" s="247"/>
      <c r="N57" s="247">
        <v>1</v>
      </c>
      <c r="O57" s="247">
        <v>0.5</v>
      </c>
      <c r="P57" s="247">
        <v>0.55000000000000004</v>
      </c>
      <c r="Q57" s="139">
        <f t="shared" si="0"/>
        <v>0.52500000000000002</v>
      </c>
      <c r="R57" s="247">
        <v>16.8</v>
      </c>
      <c r="S57" s="247">
        <v>148</v>
      </c>
      <c r="T57" s="140">
        <f t="shared" si="1"/>
        <v>22</v>
      </c>
      <c r="U57" s="247">
        <v>149</v>
      </c>
      <c r="V57" s="141">
        <f t="shared" si="2"/>
        <v>3278</v>
      </c>
      <c r="W57" s="247">
        <v>11</v>
      </c>
      <c r="X57" s="137" t="s">
        <v>46</v>
      </c>
      <c r="Y57" s="247" t="s">
        <v>78</v>
      </c>
      <c r="Z57" s="247" t="s">
        <v>88</v>
      </c>
      <c r="AA57" s="247" t="s">
        <v>102</v>
      </c>
      <c r="AB57" s="137" t="s">
        <v>417</v>
      </c>
      <c r="AC57" s="142"/>
    </row>
    <row r="58" spans="1:29" x14ac:dyDescent="0.15">
      <c r="A58" s="137" t="s">
        <v>61</v>
      </c>
      <c r="B58" s="137" t="s">
        <v>381</v>
      </c>
      <c r="C58" s="137">
        <v>2018</v>
      </c>
      <c r="D58" s="138" t="s">
        <v>382</v>
      </c>
      <c r="E58" s="137" t="s">
        <v>133</v>
      </c>
      <c r="F58" s="137" t="s">
        <v>259</v>
      </c>
      <c r="G58" s="137" t="s">
        <v>42</v>
      </c>
      <c r="H58" s="247" t="s">
        <v>165</v>
      </c>
      <c r="I58" s="247" t="s">
        <v>155</v>
      </c>
      <c r="J58" s="137" t="s">
        <v>38</v>
      </c>
      <c r="K58" s="247" t="s">
        <v>156</v>
      </c>
      <c r="L58" s="247">
        <v>3</v>
      </c>
      <c r="M58" s="247"/>
      <c r="N58" s="247">
        <v>1</v>
      </c>
      <c r="O58" s="247">
        <v>0.5</v>
      </c>
      <c r="P58" s="247">
        <v>0.55000000000000004</v>
      </c>
      <c r="Q58" s="139">
        <f t="shared" si="0"/>
        <v>0.52500000000000002</v>
      </c>
      <c r="R58" s="247">
        <v>16.399999999999999</v>
      </c>
      <c r="S58" s="247">
        <v>145</v>
      </c>
      <c r="T58" s="140">
        <f t="shared" si="1"/>
        <v>22</v>
      </c>
      <c r="U58" s="247">
        <v>149</v>
      </c>
      <c r="V58" s="141">
        <f t="shared" si="2"/>
        <v>3278</v>
      </c>
      <c r="W58" s="247">
        <v>11</v>
      </c>
      <c r="X58" s="137" t="s">
        <v>46</v>
      </c>
      <c r="Y58" s="247" t="s">
        <v>78</v>
      </c>
      <c r="Z58" s="247" t="s">
        <v>88</v>
      </c>
      <c r="AA58" s="247" t="s">
        <v>102</v>
      </c>
      <c r="AB58" s="137" t="s">
        <v>417</v>
      </c>
      <c r="AC58" s="142"/>
    </row>
    <row r="59" spans="1:29" x14ac:dyDescent="0.15">
      <c r="A59" s="137" t="s">
        <v>61</v>
      </c>
      <c r="B59" s="137" t="s">
        <v>381</v>
      </c>
      <c r="C59" s="137">
        <v>2018</v>
      </c>
      <c r="D59" s="138" t="s">
        <v>382</v>
      </c>
      <c r="E59" s="137" t="s">
        <v>260</v>
      </c>
      <c r="F59" s="137" t="s">
        <v>261</v>
      </c>
      <c r="G59" s="137" t="s">
        <v>42</v>
      </c>
      <c r="H59" s="247" t="s">
        <v>157</v>
      </c>
      <c r="I59" s="247" t="s">
        <v>155</v>
      </c>
      <c r="J59" s="137" t="s">
        <v>38</v>
      </c>
      <c r="K59" s="247" t="s">
        <v>156</v>
      </c>
      <c r="L59" s="247">
        <v>1</v>
      </c>
      <c r="M59" s="247"/>
      <c r="N59" s="247">
        <v>1</v>
      </c>
      <c r="O59" s="247">
        <v>0.65</v>
      </c>
      <c r="P59" s="247">
        <v>0.65</v>
      </c>
      <c r="Q59" s="139">
        <f t="shared" si="0"/>
        <v>0.65</v>
      </c>
      <c r="R59" s="247">
        <v>17.2</v>
      </c>
      <c r="S59" s="247">
        <v>87</v>
      </c>
      <c r="T59" s="140">
        <f t="shared" si="1"/>
        <v>36</v>
      </c>
      <c r="U59" s="247">
        <v>128</v>
      </c>
      <c r="V59" s="141">
        <f t="shared" si="2"/>
        <v>4608</v>
      </c>
      <c r="W59" s="247">
        <v>8</v>
      </c>
      <c r="X59" s="137" t="s">
        <v>46</v>
      </c>
      <c r="Y59" s="247" t="s">
        <v>78</v>
      </c>
      <c r="Z59" s="247" t="s">
        <v>97</v>
      </c>
      <c r="AA59" s="247" t="s">
        <v>86</v>
      </c>
      <c r="AB59" s="137" t="s">
        <v>417</v>
      </c>
      <c r="AC59" s="247"/>
    </row>
    <row r="60" spans="1:29" x14ac:dyDescent="0.15">
      <c r="A60" s="137" t="s">
        <v>61</v>
      </c>
      <c r="B60" s="137" t="s">
        <v>381</v>
      </c>
      <c r="C60" s="137">
        <v>2018</v>
      </c>
      <c r="D60" s="138" t="s">
        <v>382</v>
      </c>
      <c r="E60" s="137" t="s">
        <v>260</v>
      </c>
      <c r="F60" s="137" t="s">
        <v>261</v>
      </c>
      <c r="G60" s="137" t="s">
        <v>42</v>
      </c>
      <c r="H60" s="247" t="s">
        <v>157</v>
      </c>
      <c r="I60" s="247" t="s">
        <v>155</v>
      </c>
      <c r="J60" s="137" t="s">
        <v>38</v>
      </c>
      <c r="K60" s="247" t="s">
        <v>156</v>
      </c>
      <c r="L60" s="247">
        <v>2</v>
      </c>
      <c r="M60" s="247"/>
      <c r="N60" s="247">
        <v>1</v>
      </c>
      <c r="O60" s="247">
        <v>0.6</v>
      </c>
      <c r="P60" s="247">
        <v>0.5</v>
      </c>
      <c r="Q60" s="139">
        <f t="shared" si="0"/>
        <v>0.55000000000000004</v>
      </c>
      <c r="R60" s="247">
        <v>16.5</v>
      </c>
      <c r="S60" s="247">
        <v>92</v>
      </c>
      <c r="T60" s="140">
        <f t="shared" si="1"/>
        <v>36</v>
      </c>
      <c r="U60" s="247">
        <v>128</v>
      </c>
      <c r="V60" s="141">
        <f t="shared" si="2"/>
        <v>4608</v>
      </c>
      <c r="W60" s="247">
        <v>8</v>
      </c>
      <c r="X60" s="137" t="s">
        <v>46</v>
      </c>
      <c r="Y60" s="247" t="s">
        <v>78</v>
      </c>
      <c r="Z60" s="247" t="s">
        <v>97</v>
      </c>
      <c r="AA60" s="247" t="s">
        <v>86</v>
      </c>
      <c r="AB60" s="137" t="s">
        <v>417</v>
      </c>
      <c r="AC60" s="247"/>
    </row>
    <row r="61" spans="1:29" x14ac:dyDescent="0.15">
      <c r="A61" s="137" t="s">
        <v>61</v>
      </c>
      <c r="B61" s="137" t="s">
        <v>381</v>
      </c>
      <c r="C61" s="137">
        <v>2018</v>
      </c>
      <c r="D61" s="138" t="s">
        <v>382</v>
      </c>
      <c r="E61" s="137" t="s">
        <v>260</v>
      </c>
      <c r="F61" s="137" t="s">
        <v>261</v>
      </c>
      <c r="G61" s="137" t="s">
        <v>42</v>
      </c>
      <c r="H61" s="247" t="s">
        <v>157</v>
      </c>
      <c r="I61" s="247" t="s">
        <v>155</v>
      </c>
      <c r="J61" s="137" t="s">
        <v>38</v>
      </c>
      <c r="K61" s="247" t="s">
        <v>156</v>
      </c>
      <c r="L61" s="247">
        <v>3</v>
      </c>
      <c r="M61" s="247"/>
      <c r="N61" s="247">
        <v>1</v>
      </c>
      <c r="O61" s="247">
        <v>0.55000000000000004</v>
      </c>
      <c r="P61" s="247">
        <v>0.65</v>
      </c>
      <c r="Q61" s="139">
        <f t="shared" si="0"/>
        <v>0.60000000000000009</v>
      </c>
      <c r="R61" s="247">
        <v>17</v>
      </c>
      <c r="S61" s="247">
        <v>88</v>
      </c>
      <c r="T61" s="140">
        <f t="shared" si="1"/>
        <v>36</v>
      </c>
      <c r="U61" s="247">
        <v>128</v>
      </c>
      <c r="V61" s="141">
        <f t="shared" si="2"/>
        <v>4608</v>
      </c>
      <c r="W61" s="247">
        <v>8</v>
      </c>
      <c r="X61" s="137" t="s">
        <v>46</v>
      </c>
      <c r="Y61" s="247" t="s">
        <v>78</v>
      </c>
      <c r="Z61" s="247" t="s">
        <v>97</v>
      </c>
      <c r="AA61" s="247" t="s">
        <v>86</v>
      </c>
      <c r="AB61" s="137" t="s">
        <v>417</v>
      </c>
      <c r="AC61" s="247"/>
    </row>
    <row r="62" spans="1:29" x14ac:dyDescent="0.15">
      <c r="A62" s="137" t="s">
        <v>61</v>
      </c>
      <c r="B62" s="137" t="s">
        <v>381</v>
      </c>
      <c r="C62" s="137">
        <v>2018</v>
      </c>
      <c r="D62" s="138" t="s">
        <v>382</v>
      </c>
      <c r="E62" s="137" t="s">
        <v>260</v>
      </c>
      <c r="F62" s="137" t="s">
        <v>261</v>
      </c>
      <c r="G62" s="137" t="s">
        <v>42</v>
      </c>
      <c r="H62" s="247" t="s">
        <v>165</v>
      </c>
      <c r="I62" s="247" t="s">
        <v>155</v>
      </c>
      <c r="J62" s="137" t="s">
        <v>38</v>
      </c>
      <c r="K62" s="247" t="s">
        <v>156</v>
      </c>
      <c r="L62" s="247">
        <v>1</v>
      </c>
      <c r="M62" s="247"/>
      <c r="N62" s="247">
        <v>1</v>
      </c>
      <c r="O62" s="247">
        <v>0.5</v>
      </c>
      <c r="P62" s="247">
        <v>0.5</v>
      </c>
      <c r="Q62" s="139">
        <f>IF(OR(O62="",P62=""),"",AVERAGE(O62,P62))</f>
        <v>0.5</v>
      </c>
      <c r="R62" s="247">
        <v>18</v>
      </c>
      <c r="S62" s="247">
        <v>143</v>
      </c>
      <c r="T62" s="140">
        <f t="shared" si="1"/>
        <v>22</v>
      </c>
      <c r="U62" s="247">
        <v>138</v>
      </c>
      <c r="V62" s="141">
        <f t="shared" si="2"/>
        <v>3036</v>
      </c>
      <c r="W62" s="247">
        <v>8</v>
      </c>
      <c r="X62" s="137" t="s">
        <v>46</v>
      </c>
      <c r="Y62" s="247" t="s">
        <v>78</v>
      </c>
      <c r="Z62" s="247" t="s">
        <v>97</v>
      </c>
      <c r="AA62" s="247" t="s">
        <v>86</v>
      </c>
      <c r="AB62" s="137" t="s">
        <v>417</v>
      </c>
      <c r="AC62" s="247"/>
    </row>
    <row r="63" spans="1:29" x14ac:dyDescent="0.15">
      <c r="A63" s="137" t="s">
        <v>61</v>
      </c>
      <c r="B63" s="137" t="s">
        <v>381</v>
      </c>
      <c r="C63" s="137">
        <v>2018</v>
      </c>
      <c r="D63" s="138" t="s">
        <v>382</v>
      </c>
      <c r="E63" s="137" t="s">
        <v>260</v>
      </c>
      <c r="F63" s="137" t="s">
        <v>261</v>
      </c>
      <c r="G63" s="137" t="s">
        <v>42</v>
      </c>
      <c r="H63" s="247" t="s">
        <v>165</v>
      </c>
      <c r="I63" s="247" t="s">
        <v>155</v>
      </c>
      <c r="J63" s="137" t="s">
        <v>38</v>
      </c>
      <c r="K63" s="247" t="s">
        <v>156</v>
      </c>
      <c r="L63" s="247">
        <v>2</v>
      </c>
      <c r="M63" s="247"/>
      <c r="N63" s="247">
        <v>1</v>
      </c>
      <c r="O63" s="247">
        <v>0.65</v>
      </c>
      <c r="P63" s="247">
        <v>0.55000000000000004</v>
      </c>
      <c r="Q63" s="139">
        <f t="shared" si="0"/>
        <v>0.60000000000000009</v>
      </c>
      <c r="R63" s="247">
        <v>18</v>
      </c>
      <c r="S63" s="247">
        <v>149</v>
      </c>
      <c r="T63" s="140">
        <f t="shared" si="1"/>
        <v>22</v>
      </c>
      <c r="U63" s="247">
        <v>138</v>
      </c>
      <c r="V63" s="141">
        <f t="shared" si="2"/>
        <v>3036</v>
      </c>
      <c r="W63" s="247">
        <v>8</v>
      </c>
      <c r="X63" s="137" t="s">
        <v>46</v>
      </c>
      <c r="Y63" s="247" t="s">
        <v>78</v>
      </c>
      <c r="Z63" s="247" t="s">
        <v>97</v>
      </c>
      <c r="AA63" s="247" t="s">
        <v>86</v>
      </c>
      <c r="AB63" s="137" t="s">
        <v>417</v>
      </c>
      <c r="AC63" s="247"/>
    </row>
    <row r="64" spans="1:29" x14ac:dyDescent="0.15">
      <c r="A64" s="137" t="s">
        <v>61</v>
      </c>
      <c r="B64" s="137" t="s">
        <v>381</v>
      </c>
      <c r="C64" s="137">
        <v>2018</v>
      </c>
      <c r="D64" s="138" t="s">
        <v>382</v>
      </c>
      <c r="E64" s="137" t="s">
        <v>260</v>
      </c>
      <c r="F64" s="137" t="s">
        <v>261</v>
      </c>
      <c r="G64" s="137" t="s">
        <v>42</v>
      </c>
      <c r="H64" s="247" t="s">
        <v>165</v>
      </c>
      <c r="I64" s="247" t="s">
        <v>155</v>
      </c>
      <c r="J64" s="137" t="s">
        <v>38</v>
      </c>
      <c r="K64" s="247" t="s">
        <v>156</v>
      </c>
      <c r="L64" s="247">
        <v>3</v>
      </c>
      <c r="M64" s="247"/>
      <c r="N64" s="247">
        <v>1</v>
      </c>
      <c r="O64" s="247">
        <v>0.55000000000000004</v>
      </c>
      <c r="P64" s="247">
        <v>0.55000000000000004</v>
      </c>
      <c r="Q64" s="139">
        <f t="shared" si="0"/>
        <v>0.55000000000000004</v>
      </c>
      <c r="R64" s="247">
        <v>18.100000000000001</v>
      </c>
      <c r="S64" s="247">
        <v>138</v>
      </c>
      <c r="T64" s="140">
        <f t="shared" si="1"/>
        <v>22</v>
      </c>
      <c r="U64" s="247">
        <v>138</v>
      </c>
      <c r="V64" s="141">
        <f t="shared" si="2"/>
        <v>3036</v>
      </c>
      <c r="W64" s="247">
        <v>8</v>
      </c>
      <c r="X64" s="137" t="s">
        <v>46</v>
      </c>
      <c r="Y64" s="247" t="s">
        <v>78</v>
      </c>
      <c r="Z64" s="247" t="s">
        <v>97</v>
      </c>
      <c r="AA64" s="247" t="s">
        <v>86</v>
      </c>
      <c r="AB64" s="137" t="s">
        <v>417</v>
      </c>
      <c r="AC64" s="247"/>
    </row>
    <row r="65" spans="1:29" x14ac:dyDescent="0.15">
      <c r="A65" s="137" t="s">
        <v>61</v>
      </c>
      <c r="B65" s="137" t="s">
        <v>381</v>
      </c>
      <c r="C65" s="137">
        <v>2018</v>
      </c>
      <c r="D65" s="138" t="s">
        <v>382</v>
      </c>
      <c r="E65" s="137" t="s">
        <v>262</v>
      </c>
      <c r="F65" s="137" t="s">
        <v>261</v>
      </c>
      <c r="G65" s="137" t="s">
        <v>42</v>
      </c>
      <c r="H65" s="247" t="s">
        <v>157</v>
      </c>
      <c r="I65" s="247" t="s">
        <v>155</v>
      </c>
      <c r="J65" s="137" t="s">
        <v>38</v>
      </c>
      <c r="K65" s="247" t="s">
        <v>156</v>
      </c>
      <c r="L65" s="247">
        <v>1</v>
      </c>
      <c r="M65" s="247"/>
      <c r="N65" s="247">
        <v>1</v>
      </c>
      <c r="O65" s="247">
        <v>0.65</v>
      </c>
      <c r="P65" s="247">
        <v>0.7</v>
      </c>
      <c r="Q65" s="139">
        <f t="shared" si="0"/>
        <v>0.67500000000000004</v>
      </c>
      <c r="R65" s="247">
        <v>14.6</v>
      </c>
      <c r="S65" s="247">
        <v>132</v>
      </c>
      <c r="T65" s="140">
        <f t="shared" si="1"/>
        <v>25</v>
      </c>
      <c r="U65" s="247">
        <v>149</v>
      </c>
      <c r="V65" s="141">
        <f t="shared" si="2"/>
        <v>3725</v>
      </c>
      <c r="W65" s="247">
        <v>11</v>
      </c>
      <c r="X65" s="137" t="s">
        <v>46</v>
      </c>
      <c r="Y65" s="247" t="s">
        <v>78</v>
      </c>
      <c r="Z65" s="247" t="s">
        <v>97</v>
      </c>
      <c r="AA65" s="247" t="s">
        <v>88</v>
      </c>
      <c r="AB65" s="137" t="s">
        <v>417</v>
      </c>
      <c r="AC65" s="142"/>
    </row>
    <row r="66" spans="1:29" x14ac:dyDescent="0.15">
      <c r="A66" s="137" t="s">
        <v>61</v>
      </c>
      <c r="B66" s="137" t="s">
        <v>381</v>
      </c>
      <c r="C66" s="137">
        <v>2018</v>
      </c>
      <c r="D66" s="138" t="s">
        <v>382</v>
      </c>
      <c r="E66" s="137" t="s">
        <v>262</v>
      </c>
      <c r="F66" s="137" t="s">
        <v>261</v>
      </c>
      <c r="G66" s="137" t="s">
        <v>42</v>
      </c>
      <c r="H66" s="247" t="s">
        <v>157</v>
      </c>
      <c r="I66" s="247" t="s">
        <v>155</v>
      </c>
      <c r="J66" s="137" t="s">
        <v>38</v>
      </c>
      <c r="K66" s="247" t="s">
        <v>156</v>
      </c>
      <c r="L66" s="247">
        <v>2</v>
      </c>
      <c r="M66" s="247"/>
      <c r="N66" s="247">
        <v>1</v>
      </c>
      <c r="O66" s="247">
        <v>0.7</v>
      </c>
      <c r="P66" s="247">
        <v>0.7</v>
      </c>
      <c r="Q66" s="139">
        <f t="shared" si="0"/>
        <v>0.7</v>
      </c>
      <c r="R66" s="247">
        <v>17.399999999999999</v>
      </c>
      <c r="S66" s="247">
        <v>137</v>
      </c>
      <c r="T66" s="140">
        <f t="shared" ref="T66:T85" si="3">IF(H66="","",IF(OR(H66="GREEN",H66="GK"),IF(S66&gt;=$AX$2,VLOOKUP(S66,$AX$2:$AY$15,2,1),""),IF(S66&gt;=$AZ$2,VLOOKUP(S66,$AZ$2:$BA$15,2,1),"")))</f>
        <v>25</v>
      </c>
      <c r="U66" s="247">
        <v>149</v>
      </c>
      <c r="V66" s="141">
        <f t="shared" si="2"/>
        <v>3725</v>
      </c>
      <c r="W66" s="247">
        <v>11</v>
      </c>
      <c r="X66" s="137" t="s">
        <v>46</v>
      </c>
      <c r="Y66" s="247" t="s">
        <v>78</v>
      </c>
      <c r="Z66" s="247" t="s">
        <v>97</v>
      </c>
      <c r="AA66" s="247" t="s">
        <v>88</v>
      </c>
      <c r="AB66" s="137" t="s">
        <v>417</v>
      </c>
      <c r="AC66" s="142"/>
    </row>
    <row r="67" spans="1:29" x14ac:dyDescent="0.15">
      <c r="A67" s="137" t="s">
        <v>61</v>
      </c>
      <c r="B67" s="137" t="s">
        <v>381</v>
      </c>
      <c r="C67" s="137">
        <v>2018</v>
      </c>
      <c r="D67" s="138" t="s">
        <v>382</v>
      </c>
      <c r="E67" s="137" t="s">
        <v>262</v>
      </c>
      <c r="F67" s="137" t="s">
        <v>261</v>
      </c>
      <c r="G67" s="137" t="s">
        <v>42</v>
      </c>
      <c r="H67" s="247" t="s">
        <v>157</v>
      </c>
      <c r="I67" s="247" t="s">
        <v>155</v>
      </c>
      <c r="J67" s="137" t="s">
        <v>38</v>
      </c>
      <c r="K67" s="247" t="s">
        <v>156</v>
      </c>
      <c r="L67" s="247">
        <v>3</v>
      </c>
      <c r="M67" s="247"/>
      <c r="N67" s="247">
        <v>1</v>
      </c>
      <c r="O67" s="247">
        <v>0.65</v>
      </c>
      <c r="P67" s="247">
        <v>0.65</v>
      </c>
      <c r="Q67" s="139">
        <f t="shared" ref="Q67:Q85" si="4">IF(OR(O67="",P67=""),"",AVERAGE(O67,P67))</f>
        <v>0.65</v>
      </c>
      <c r="R67" s="247">
        <v>17.3</v>
      </c>
      <c r="S67" s="247">
        <v>140</v>
      </c>
      <c r="T67" s="140">
        <f t="shared" si="3"/>
        <v>22</v>
      </c>
      <c r="U67" s="247">
        <v>149</v>
      </c>
      <c r="V67" s="141">
        <f t="shared" ref="V67:V85" si="5">IF(OR(N67="",U67="",T67=""),"",U67/N67*T67)</f>
        <v>3278</v>
      </c>
      <c r="W67" s="247">
        <v>11</v>
      </c>
      <c r="X67" s="137" t="s">
        <v>46</v>
      </c>
      <c r="Y67" s="247" t="s">
        <v>78</v>
      </c>
      <c r="Z67" s="247" t="s">
        <v>97</v>
      </c>
      <c r="AA67" s="247" t="s">
        <v>88</v>
      </c>
      <c r="AB67" s="137" t="s">
        <v>417</v>
      </c>
      <c r="AC67" s="142"/>
    </row>
    <row r="68" spans="1:29" x14ac:dyDescent="0.15">
      <c r="A68" s="137" t="s">
        <v>61</v>
      </c>
      <c r="B68" s="137" t="s">
        <v>381</v>
      </c>
      <c r="C68" s="137">
        <v>2018</v>
      </c>
      <c r="D68" s="138" t="s">
        <v>382</v>
      </c>
      <c r="E68" s="137" t="s">
        <v>262</v>
      </c>
      <c r="F68" s="137" t="s">
        <v>261</v>
      </c>
      <c r="G68" s="137" t="s">
        <v>42</v>
      </c>
      <c r="H68" s="247" t="s">
        <v>165</v>
      </c>
      <c r="I68" s="247" t="s">
        <v>155</v>
      </c>
      <c r="J68" s="137" t="s">
        <v>38</v>
      </c>
      <c r="K68" s="247" t="s">
        <v>156</v>
      </c>
      <c r="L68" s="247">
        <v>1</v>
      </c>
      <c r="M68" s="247"/>
      <c r="N68" s="247">
        <v>1</v>
      </c>
      <c r="O68" s="247">
        <v>0.7</v>
      </c>
      <c r="P68" s="247">
        <v>0.7</v>
      </c>
      <c r="Q68" s="139">
        <f t="shared" si="4"/>
        <v>0.7</v>
      </c>
      <c r="R68" s="247">
        <v>17.3</v>
      </c>
      <c r="S68" s="247">
        <v>153</v>
      </c>
      <c r="T68" s="140">
        <f t="shared" si="3"/>
        <v>18</v>
      </c>
      <c r="U68" s="247">
        <v>149</v>
      </c>
      <c r="V68" s="141">
        <f t="shared" si="5"/>
        <v>2682</v>
      </c>
      <c r="W68" s="247">
        <v>11</v>
      </c>
      <c r="X68" s="137" t="s">
        <v>46</v>
      </c>
      <c r="Y68" s="247" t="s">
        <v>78</v>
      </c>
      <c r="Z68" s="247" t="s">
        <v>97</v>
      </c>
      <c r="AA68" s="247" t="s">
        <v>88</v>
      </c>
      <c r="AB68" s="137" t="s">
        <v>417</v>
      </c>
      <c r="AC68" s="142"/>
    </row>
    <row r="69" spans="1:29" x14ac:dyDescent="0.15">
      <c r="A69" s="137" t="s">
        <v>61</v>
      </c>
      <c r="B69" s="137" t="s">
        <v>381</v>
      </c>
      <c r="C69" s="137">
        <v>2018</v>
      </c>
      <c r="D69" s="138" t="s">
        <v>382</v>
      </c>
      <c r="E69" s="137" t="s">
        <v>262</v>
      </c>
      <c r="F69" s="137" t="s">
        <v>261</v>
      </c>
      <c r="G69" s="137" t="s">
        <v>42</v>
      </c>
      <c r="H69" s="247" t="s">
        <v>165</v>
      </c>
      <c r="I69" s="247" t="s">
        <v>155</v>
      </c>
      <c r="J69" s="137" t="s">
        <v>38</v>
      </c>
      <c r="K69" s="247" t="s">
        <v>156</v>
      </c>
      <c r="L69" s="247">
        <v>2</v>
      </c>
      <c r="M69" s="247"/>
      <c r="N69" s="247">
        <v>1</v>
      </c>
      <c r="O69" s="247">
        <v>0.65</v>
      </c>
      <c r="P69" s="247">
        <v>0.6</v>
      </c>
      <c r="Q69" s="139">
        <f t="shared" si="4"/>
        <v>0.625</v>
      </c>
      <c r="R69" s="247">
        <v>17.5</v>
      </c>
      <c r="S69" s="247">
        <v>148</v>
      </c>
      <c r="T69" s="140">
        <f t="shared" si="3"/>
        <v>22</v>
      </c>
      <c r="U69" s="247">
        <v>149</v>
      </c>
      <c r="V69" s="141">
        <f t="shared" si="5"/>
        <v>3278</v>
      </c>
      <c r="W69" s="247">
        <v>11</v>
      </c>
      <c r="X69" s="137" t="s">
        <v>46</v>
      </c>
      <c r="Y69" s="247" t="s">
        <v>78</v>
      </c>
      <c r="Z69" s="247" t="s">
        <v>97</v>
      </c>
      <c r="AA69" s="247" t="s">
        <v>88</v>
      </c>
      <c r="AB69" s="137" t="s">
        <v>417</v>
      </c>
      <c r="AC69" s="142"/>
    </row>
    <row r="70" spans="1:29" x14ac:dyDescent="0.15">
      <c r="A70" s="137" t="s">
        <v>61</v>
      </c>
      <c r="B70" s="137" t="s">
        <v>381</v>
      </c>
      <c r="C70" s="137">
        <v>2018</v>
      </c>
      <c r="D70" s="138" t="s">
        <v>382</v>
      </c>
      <c r="E70" s="137" t="s">
        <v>262</v>
      </c>
      <c r="F70" s="137" t="s">
        <v>261</v>
      </c>
      <c r="G70" s="137" t="s">
        <v>42</v>
      </c>
      <c r="H70" s="247" t="s">
        <v>165</v>
      </c>
      <c r="I70" s="247" t="s">
        <v>155</v>
      </c>
      <c r="J70" s="137" t="s">
        <v>38</v>
      </c>
      <c r="K70" s="247" t="s">
        <v>156</v>
      </c>
      <c r="L70" s="247">
        <v>3</v>
      </c>
      <c r="M70" s="247"/>
      <c r="N70" s="247">
        <v>1</v>
      </c>
      <c r="O70" s="247">
        <v>0.5</v>
      </c>
      <c r="P70" s="247">
        <v>0.55000000000000004</v>
      </c>
      <c r="Q70" s="139">
        <f t="shared" si="4"/>
        <v>0.52500000000000002</v>
      </c>
      <c r="R70" s="247">
        <v>17.2</v>
      </c>
      <c r="S70" s="247">
        <v>146</v>
      </c>
      <c r="T70" s="140">
        <f t="shared" si="3"/>
        <v>22</v>
      </c>
      <c r="U70" s="247">
        <v>149</v>
      </c>
      <c r="V70" s="141">
        <f t="shared" si="5"/>
        <v>3278</v>
      </c>
      <c r="W70" s="247">
        <v>11</v>
      </c>
      <c r="X70" s="137" t="s">
        <v>46</v>
      </c>
      <c r="Y70" s="247" t="s">
        <v>78</v>
      </c>
      <c r="Z70" s="247" t="s">
        <v>97</v>
      </c>
      <c r="AA70" s="247" t="s">
        <v>88</v>
      </c>
      <c r="AB70" s="137" t="s">
        <v>417</v>
      </c>
      <c r="AC70" s="142"/>
    </row>
    <row r="71" spans="1:29" x14ac:dyDescent="0.15">
      <c r="A71" s="137"/>
      <c r="B71" s="137"/>
      <c r="C71" s="137"/>
      <c r="D71" s="138"/>
      <c r="E71" s="137"/>
      <c r="F71" s="137"/>
      <c r="G71" s="137"/>
      <c r="H71" s="247"/>
      <c r="I71" s="247"/>
      <c r="J71" s="137"/>
      <c r="K71" s="247"/>
      <c r="L71" s="247"/>
      <c r="M71" s="247"/>
      <c r="N71" s="247"/>
      <c r="O71" s="247"/>
      <c r="P71" s="247"/>
      <c r="Q71" s="139"/>
      <c r="R71" s="247"/>
      <c r="S71" s="247"/>
      <c r="T71" s="140"/>
      <c r="U71" s="247"/>
      <c r="V71" s="141"/>
      <c r="W71" s="247"/>
      <c r="X71" s="137"/>
      <c r="Y71" s="247"/>
      <c r="Z71" s="247"/>
      <c r="AA71" s="247"/>
      <c r="AB71" s="137"/>
      <c r="AC71" s="142"/>
    </row>
    <row r="72" spans="1:29" x14ac:dyDescent="0.15">
      <c r="A72" s="137"/>
      <c r="B72" s="137"/>
      <c r="C72" s="137"/>
      <c r="D72" s="138"/>
      <c r="E72" s="137"/>
      <c r="F72" s="137"/>
      <c r="G72" s="137"/>
      <c r="H72" s="247"/>
      <c r="I72" s="247"/>
      <c r="J72" s="137"/>
      <c r="K72" s="247"/>
      <c r="L72" s="247"/>
      <c r="M72" s="247"/>
      <c r="N72" s="247"/>
      <c r="O72" s="247"/>
      <c r="P72" s="247"/>
      <c r="Q72" s="139"/>
      <c r="R72" s="247"/>
      <c r="S72" s="247"/>
      <c r="T72" s="140"/>
      <c r="U72" s="247"/>
      <c r="V72" s="141"/>
      <c r="W72" s="247"/>
      <c r="X72" s="137"/>
      <c r="Y72" s="247"/>
      <c r="Z72" s="247"/>
      <c r="AA72" s="247"/>
      <c r="AB72" s="137"/>
      <c r="AC72" s="142"/>
    </row>
    <row r="73" spans="1:29" x14ac:dyDescent="0.15">
      <c r="A73" s="137"/>
      <c r="B73" s="137"/>
      <c r="C73" s="137"/>
      <c r="D73" s="138"/>
      <c r="E73" s="137"/>
      <c r="F73" s="137"/>
      <c r="G73" s="137"/>
      <c r="H73" s="247"/>
      <c r="I73" s="247"/>
      <c r="J73" s="137"/>
      <c r="K73" s="247"/>
      <c r="L73" s="247"/>
      <c r="M73" s="247"/>
      <c r="N73" s="247"/>
      <c r="O73" s="247"/>
      <c r="P73" s="247"/>
      <c r="Q73" s="139"/>
      <c r="R73" s="247"/>
      <c r="S73" s="247"/>
      <c r="T73" s="140"/>
      <c r="U73" s="247"/>
      <c r="V73" s="141"/>
      <c r="W73" s="247"/>
      <c r="X73" s="137"/>
      <c r="Y73" s="247"/>
      <c r="Z73" s="247"/>
      <c r="AA73" s="247"/>
      <c r="AB73" s="137"/>
      <c r="AC73" s="142"/>
    </row>
    <row r="74" spans="1:29" x14ac:dyDescent="0.15">
      <c r="A74" s="137"/>
      <c r="B74" s="137"/>
      <c r="C74" s="137"/>
      <c r="D74" s="138"/>
      <c r="E74" s="137"/>
      <c r="F74" s="137"/>
      <c r="G74" s="137"/>
      <c r="H74" s="247"/>
      <c r="I74" s="247"/>
      <c r="J74" s="137"/>
      <c r="K74" s="247"/>
      <c r="L74" s="247"/>
      <c r="M74" s="247"/>
      <c r="N74" s="247"/>
      <c r="O74" s="247"/>
      <c r="P74" s="247"/>
      <c r="Q74" s="139"/>
      <c r="R74" s="247"/>
      <c r="S74" s="247"/>
      <c r="T74" s="140"/>
      <c r="U74" s="247"/>
      <c r="V74" s="141"/>
      <c r="W74" s="247"/>
      <c r="X74" s="137"/>
      <c r="Y74" s="247"/>
      <c r="Z74" s="247"/>
      <c r="AA74" s="247"/>
      <c r="AB74" s="137"/>
      <c r="AC74" s="247"/>
    </row>
    <row r="75" spans="1:29" x14ac:dyDescent="0.15">
      <c r="A75" s="137"/>
      <c r="B75" s="137"/>
      <c r="C75" s="137"/>
      <c r="D75" s="138"/>
      <c r="E75" s="137"/>
      <c r="F75" s="137"/>
      <c r="G75" s="137"/>
      <c r="H75" s="247"/>
      <c r="I75" s="247"/>
      <c r="J75" s="137"/>
      <c r="K75" s="247"/>
      <c r="L75" s="247"/>
      <c r="M75" s="247"/>
      <c r="N75" s="247"/>
      <c r="O75" s="247"/>
      <c r="P75" s="247"/>
      <c r="Q75" s="139"/>
      <c r="R75" s="247"/>
      <c r="S75" s="247"/>
      <c r="T75" s="140"/>
      <c r="U75" s="247"/>
      <c r="V75" s="141"/>
      <c r="W75" s="247"/>
      <c r="X75" s="137"/>
      <c r="Y75" s="247"/>
      <c r="Z75" s="247"/>
      <c r="AA75" s="247"/>
      <c r="AB75" s="137"/>
      <c r="AC75" s="247"/>
    </row>
    <row r="76" spans="1:29" x14ac:dyDescent="0.15">
      <c r="A76" s="137"/>
      <c r="B76" s="137"/>
      <c r="C76" s="137"/>
      <c r="D76" s="138"/>
      <c r="E76" s="137"/>
      <c r="F76" s="137"/>
      <c r="G76" s="137"/>
      <c r="H76" s="247"/>
      <c r="I76" s="247"/>
      <c r="J76" s="137"/>
      <c r="K76" s="247"/>
      <c r="L76" s="247"/>
      <c r="M76" s="247"/>
      <c r="N76" s="247"/>
      <c r="O76" s="247"/>
      <c r="P76" s="247"/>
      <c r="Q76" s="139"/>
      <c r="R76" s="247"/>
      <c r="S76" s="247"/>
      <c r="T76" s="140"/>
      <c r="U76" s="247"/>
      <c r="V76" s="141"/>
      <c r="W76" s="247"/>
      <c r="X76" s="137"/>
      <c r="Y76" s="247"/>
      <c r="Z76" s="247"/>
      <c r="AA76" s="247"/>
      <c r="AB76" s="137"/>
      <c r="AC76" s="247"/>
    </row>
    <row r="77" spans="1:29" x14ac:dyDescent="0.15">
      <c r="A77" s="137"/>
      <c r="B77" s="137"/>
      <c r="C77" s="137"/>
      <c r="D77" s="138"/>
      <c r="E77" s="137"/>
      <c r="F77" s="137"/>
      <c r="G77" s="137"/>
      <c r="H77" s="247"/>
      <c r="I77" s="247"/>
      <c r="J77" s="137"/>
      <c r="K77" s="247"/>
      <c r="L77" s="247"/>
      <c r="M77" s="247"/>
      <c r="N77" s="247"/>
      <c r="O77" s="247"/>
      <c r="P77" s="247"/>
      <c r="Q77" s="139"/>
      <c r="R77" s="247"/>
      <c r="S77" s="247"/>
      <c r="T77" s="140"/>
      <c r="U77" s="247"/>
      <c r="V77" s="141"/>
      <c r="W77" s="247"/>
      <c r="X77" s="137"/>
      <c r="Y77" s="247"/>
      <c r="Z77" s="247"/>
      <c r="AA77" s="247"/>
      <c r="AB77" s="137"/>
      <c r="AC77" s="247"/>
    </row>
    <row r="78" spans="1:29" x14ac:dyDescent="0.15">
      <c r="A78" s="137"/>
      <c r="B78" s="137"/>
      <c r="C78" s="137"/>
      <c r="D78" s="138"/>
      <c r="E78" s="137"/>
      <c r="F78" s="137"/>
      <c r="G78" s="137"/>
      <c r="H78" s="247"/>
      <c r="I78" s="247"/>
      <c r="J78" s="137"/>
      <c r="K78" s="247"/>
      <c r="L78" s="247"/>
      <c r="M78" s="247"/>
      <c r="N78" s="247"/>
      <c r="O78" s="247"/>
      <c r="P78" s="247"/>
      <c r="Q78" s="139"/>
      <c r="R78" s="247"/>
      <c r="S78" s="247"/>
      <c r="T78" s="140"/>
      <c r="U78" s="247"/>
      <c r="V78" s="141"/>
      <c r="W78" s="247"/>
      <c r="X78" s="137"/>
      <c r="Y78" s="247"/>
      <c r="Z78" s="247"/>
      <c r="AA78" s="247"/>
      <c r="AB78" s="137"/>
      <c r="AC78" s="247"/>
    </row>
    <row r="79" spans="1:29" x14ac:dyDescent="0.15">
      <c r="A79" s="137"/>
      <c r="B79" s="137"/>
      <c r="C79" s="137"/>
      <c r="D79" s="138"/>
      <c r="E79" s="137"/>
      <c r="F79" s="137"/>
      <c r="G79" s="137"/>
      <c r="H79" s="247"/>
      <c r="I79" s="247"/>
      <c r="J79" s="137"/>
      <c r="K79" s="247"/>
      <c r="L79" s="247"/>
      <c r="M79" s="247"/>
      <c r="N79" s="247"/>
      <c r="O79" s="247"/>
      <c r="P79" s="247"/>
      <c r="Q79" s="139"/>
      <c r="R79" s="247"/>
      <c r="S79" s="247"/>
      <c r="T79" s="140"/>
      <c r="U79" s="247"/>
      <c r="V79" s="141"/>
      <c r="W79" s="247"/>
      <c r="X79" s="137"/>
      <c r="Y79" s="247"/>
      <c r="Z79" s="247"/>
      <c r="AA79" s="247"/>
      <c r="AB79" s="137"/>
      <c r="AC79" s="247"/>
    </row>
    <row r="80" spans="1:29" x14ac:dyDescent="0.15">
      <c r="A80" s="137"/>
      <c r="B80" s="137"/>
      <c r="C80" s="137"/>
      <c r="D80" s="138"/>
      <c r="E80" s="137"/>
      <c r="F80" s="137"/>
      <c r="G80" s="137"/>
      <c r="H80" s="247"/>
      <c r="I80" s="247"/>
      <c r="J80" s="137"/>
      <c r="K80" s="247"/>
      <c r="L80" s="247"/>
      <c r="M80" s="247"/>
      <c r="N80" s="247"/>
      <c r="O80" s="247"/>
      <c r="P80" s="247"/>
      <c r="Q80" s="139" t="str">
        <f t="shared" si="4"/>
        <v/>
      </c>
      <c r="R80" s="247"/>
      <c r="S80" s="247"/>
      <c r="T80" s="140" t="str">
        <f t="shared" si="3"/>
        <v/>
      </c>
      <c r="U80" s="247"/>
      <c r="V80" s="141" t="str">
        <f t="shared" si="5"/>
        <v/>
      </c>
      <c r="W80" s="247"/>
      <c r="X80" s="137"/>
      <c r="Y80" s="247"/>
      <c r="Z80" s="247"/>
      <c r="AA80" s="247"/>
      <c r="AB80" s="137"/>
      <c r="AC80" s="247"/>
    </row>
    <row r="81" spans="1:29" x14ac:dyDescent="0.15">
      <c r="A81" s="137"/>
      <c r="B81" s="137"/>
      <c r="C81" s="137"/>
      <c r="D81" s="138"/>
      <c r="E81" s="137"/>
      <c r="F81" s="137"/>
      <c r="G81" s="137"/>
      <c r="H81" s="247"/>
      <c r="I81" s="247"/>
      <c r="J81" s="137"/>
      <c r="K81" s="247"/>
      <c r="L81" s="247"/>
      <c r="M81" s="247"/>
      <c r="N81" s="247"/>
      <c r="O81" s="247"/>
      <c r="P81" s="247"/>
      <c r="Q81" s="139" t="str">
        <f t="shared" si="4"/>
        <v/>
      </c>
      <c r="R81" s="247"/>
      <c r="S81" s="247"/>
      <c r="T81" s="140" t="str">
        <f t="shared" si="3"/>
        <v/>
      </c>
      <c r="U81" s="247"/>
      <c r="V81" s="141" t="str">
        <f t="shared" si="5"/>
        <v/>
      </c>
      <c r="W81" s="247"/>
      <c r="X81" s="137"/>
      <c r="Y81" s="247"/>
      <c r="Z81" s="247"/>
      <c r="AA81" s="247"/>
      <c r="AB81" s="137"/>
      <c r="AC81" s="247"/>
    </row>
    <row r="82" spans="1:29" x14ac:dyDescent="0.15">
      <c r="A82" s="137"/>
      <c r="B82" s="137"/>
      <c r="C82" s="137"/>
      <c r="D82" s="138"/>
      <c r="E82" s="137"/>
      <c r="F82" s="137"/>
      <c r="G82" s="137"/>
      <c r="H82" s="247"/>
      <c r="I82" s="247"/>
      <c r="J82" s="137"/>
      <c r="K82" s="247"/>
      <c r="L82" s="247"/>
      <c r="M82" s="247"/>
      <c r="N82" s="247"/>
      <c r="O82" s="247"/>
      <c r="P82" s="247"/>
      <c r="Q82" s="139" t="str">
        <f t="shared" si="4"/>
        <v/>
      </c>
      <c r="R82" s="247"/>
      <c r="S82" s="247"/>
      <c r="T82" s="140" t="str">
        <f t="shared" si="3"/>
        <v/>
      </c>
      <c r="U82" s="247"/>
      <c r="V82" s="141" t="str">
        <f t="shared" si="5"/>
        <v/>
      </c>
      <c r="W82" s="247"/>
      <c r="X82" s="137"/>
      <c r="Y82" s="247"/>
      <c r="Z82" s="247"/>
      <c r="AA82" s="247"/>
      <c r="AB82" s="137"/>
      <c r="AC82" s="247"/>
    </row>
    <row r="83" spans="1:29" x14ac:dyDescent="0.15">
      <c r="A83" s="137"/>
      <c r="B83" s="137"/>
      <c r="C83" s="137"/>
      <c r="D83" s="138"/>
      <c r="E83" s="137"/>
      <c r="F83" s="137"/>
      <c r="G83" s="137"/>
      <c r="H83" s="247"/>
      <c r="I83" s="247"/>
      <c r="J83" s="137"/>
      <c r="K83" s="247"/>
      <c r="L83" s="247"/>
      <c r="M83" s="247"/>
      <c r="N83" s="247"/>
      <c r="O83" s="247"/>
      <c r="P83" s="247"/>
      <c r="Q83" s="139" t="str">
        <f t="shared" si="4"/>
        <v/>
      </c>
      <c r="R83" s="247"/>
      <c r="S83" s="247"/>
      <c r="T83" s="140" t="str">
        <f t="shared" si="3"/>
        <v/>
      </c>
      <c r="U83" s="247"/>
      <c r="V83" s="141" t="str">
        <f t="shared" si="5"/>
        <v/>
      </c>
      <c r="W83" s="247"/>
      <c r="X83" s="137"/>
      <c r="Y83" s="247"/>
      <c r="Z83" s="247"/>
      <c r="AA83" s="247"/>
      <c r="AB83" s="137"/>
      <c r="AC83" s="247"/>
    </row>
    <row r="84" spans="1:29" x14ac:dyDescent="0.15">
      <c r="A84" s="137"/>
      <c r="B84" s="137"/>
      <c r="C84" s="137"/>
      <c r="D84" s="138"/>
      <c r="E84" s="137"/>
      <c r="F84" s="137"/>
      <c r="G84" s="137"/>
      <c r="H84" s="247"/>
      <c r="I84" s="247"/>
      <c r="J84" s="137"/>
      <c r="K84" s="247"/>
      <c r="L84" s="247"/>
      <c r="M84" s="247"/>
      <c r="N84" s="247"/>
      <c r="O84" s="247"/>
      <c r="P84" s="247"/>
      <c r="Q84" s="139" t="str">
        <f t="shared" si="4"/>
        <v/>
      </c>
      <c r="R84" s="247"/>
      <c r="S84" s="247"/>
      <c r="T84" s="140" t="str">
        <f t="shared" si="3"/>
        <v/>
      </c>
      <c r="U84" s="247"/>
      <c r="V84" s="141" t="str">
        <f t="shared" si="5"/>
        <v/>
      </c>
      <c r="W84" s="247"/>
      <c r="X84" s="137"/>
      <c r="Y84" s="247"/>
      <c r="Z84" s="247"/>
      <c r="AA84" s="247"/>
      <c r="AB84" s="137"/>
      <c r="AC84" s="247"/>
    </row>
    <row r="85" spans="1:29" x14ac:dyDescent="0.15">
      <c r="A85" s="137"/>
      <c r="B85" s="137"/>
      <c r="C85" s="137"/>
      <c r="D85" s="138"/>
      <c r="E85" s="137"/>
      <c r="F85" s="137"/>
      <c r="G85" s="137"/>
      <c r="H85" s="247"/>
      <c r="I85" s="247"/>
      <c r="J85" s="137"/>
      <c r="K85" s="247"/>
      <c r="L85" s="247"/>
      <c r="M85" s="247"/>
      <c r="N85" s="247"/>
      <c r="O85" s="247"/>
      <c r="P85" s="247"/>
      <c r="Q85" s="139" t="str">
        <f t="shared" si="4"/>
        <v/>
      </c>
      <c r="R85" s="247"/>
      <c r="S85" s="247"/>
      <c r="T85" s="140" t="str">
        <f t="shared" si="3"/>
        <v/>
      </c>
      <c r="U85" s="247"/>
      <c r="V85" s="141" t="str">
        <f t="shared" si="5"/>
        <v/>
      </c>
      <c r="W85" s="247"/>
      <c r="X85" s="137"/>
      <c r="Y85" s="247"/>
      <c r="Z85" s="247"/>
      <c r="AA85" s="247"/>
      <c r="AB85" s="137"/>
      <c r="AC85" s="247"/>
    </row>
    <row r="86" spans="1:29" x14ac:dyDescent="0.15">
      <c r="A86" s="137"/>
      <c r="B86" s="137"/>
      <c r="C86" s="137"/>
      <c r="D86" s="138"/>
      <c r="E86" s="247"/>
      <c r="F86" s="247"/>
      <c r="G86" s="137"/>
      <c r="H86" s="247"/>
      <c r="I86" s="247"/>
      <c r="J86" s="137"/>
      <c r="K86" s="247"/>
      <c r="L86" s="247"/>
      <c r="M86" s="247"/>
      <c r="N86" s="247"/>
      <c r="O86" s="247"/>
      <c r="P86" s="247"/>
      <c r="Q86" s="139"/>
      <c r="R86" s="247"/>
      <c r="S86" s="247"/>
      <c r="T86" s="140"/>
      <c r="U86" s="247"/>
      <c r="V86" s="141"/>
      <c r="W86" s="247"/>
      <c r="X86" s="137"/>
      <c r="Y86" s="247"/>
      <c r="Z86" s="247"/>
      <c r="AA86" s="247"/>
      <c r="AB86" s="137"/>
      <c r="AC86" s="247"/>
    </row>
    <row r="87" spans="1:29" x14ac:dyDescent="0.15">
      <c r="A87" s="137"/>
      <c r="B87" s="137"/>
      <c r="C87" s="137"/>
      <c r="D87" s="138"/>
      <c r="E87" s="247"/>
      <c r="F87" s="247"/>
      <c r="G87" s="137"/>
      <c r="H87" s="247"/>
      <c r="I87" s="247"/>
      <c r="J87" s="137"/>
      <c r="K87" s="247"/>
      <c r="L87" s="247"/>
      <c r="M87" s="247"/>
      <c r="N87" s="247"/>
      <c r="O87" s="247"/>
      <c r="P87" s="247"/>
      <c r="Q87" s="139"/>
      <c r="R87" s="247"/>
      <c r="S87" s="247"/>
      <c r="T87" s="140"/>
      <c r="U87" s="247"/>
      <c r="V87" s="141"/>
      <c r="W87" s="247"/>
      <c r="X87" s="137"/>
      <c r="Y87" s="247"/>
      <c r="Z87" s="247"/>
      <c r="AA87" s="247"/>
      <c r="AB87" s="137"/>
      <c r="AC87" s="247"/>
    </row>
    <row r="88" spans="1:29" x14ac:dyDescent="0.15">
      <c r="A88" s="137"/>
      <c r="B88" s="137"/>
      <c r="C88" s="137"/>
      <c r="D88" s="138"/>
      <c r="E88" s="247"/>
      <c r="F88" s="247"/>
      <c r="G88" s="137"/>
      <c r="H88" s="247"/>
      <c r="I88" s="247"/>
      <c r="J88" s="137"/>
      <c r="K88" s="247"/>
      <c r="L88" s="247"/>
      <c r="M88" s="247"/>
      <c r="N88" s="247"/>
      <c r="O88" s="247"/>
      <c r="P88" s="247"/>
      <c r="Q88" s="139"/>
      <c r="R88" s="247"/>
      <c r="S88" s="247"/>
      <c r="T88" s="140"/>
      <c r="U88" s="247"/>
      <c r="V88" s="141"/>
      <c r="W88" s="247"/>
      <c r="X88" s="137"/>
      <c r="Y88" s="247"/>
      <c r="Z88" s="247"/>
      <c r="AA88" s="247"/>
      <c r="AB88" s="137"/>
      <c r="AC88" s="247"/>
    </row>
    <row r="89" spans="1:29" x14ac:dyDescent="0.15">
      <c r="A89" s="137"/>
      <c r="B89" s="137"/>
      <c r="C89" s="137"/>
      <c r="D89" s="138"/>
      <c r="E89" s="247"/>
      <c r="F89" s="247"/>
      <c r="G89" s="137"/>
      <c r="H89" s="247"/>
      <c r="I89" s="247"/>
      <c r="J89" s="137"/>
      <c r="K89" s="247"/>
      <c r="L89" s="247"/>
      <c r="M89" s="247"/>
      <c r="N89" s="247"/>
      <c r="O89" s="247"/>
      <c r="P89" s="247"/>
      <c r="Q89" s="139"/>
      <c r="R89" s="247"/>
      <c r="S89" s="247"/>
      <c r="T89" s="140"/>
      <c r="U89" s="247"/>
      <c r="V89" s="141"/>
      <c r="W89" s="247"/>
      <c r="X89" s="137"/>
      <c r="Y89" s="247"/>
      <c r="Z89" s="247"/>
      <c r="AA89" s="247"/>
      <c r="AB89" s="137"/>
      <c r="AC89" s="247"/>
    </row>
    <row r="90" spans="1:29" x14ac:dyDescent="0.15">
      <c r="A90" s="137"/>
      <c r="B90" s="137"/>
      <c r="C90" s="137"/>
      <c r="D90" s="138"/>
      <c r="E90" s="247"/>
      <c r="F90" s="247"/>
      <c r="G90" s="137"/>
      <c r="H90" s="247"/>
      <c r="I90" s="247"/>
      <c r="J90" s="137"/>
      <c r="K90" s="247"/>
      <c r="L90" s="247"/>
      <c r="M90" s="247"/>
      <c r="N90" s="247"/>
      <c r="O90" s="247"/>
      <c r="P90" s="247"/>
      <c r="Q90" s="139"/>
      <c r="R90" s="247"/>
      <c r="S90" s="247"/>
      <c r="T90" s="140"/>
      <c r="U90" s="247"/>
      <c r="V90" s="141"/>
      <c r="W90" s="247"/>
      <c r="X90" s="137"/>
      <c r="Y90" s="247"/>
      <c r="Z90" s="247"/>
      <c r="AA90" s="247"/>
      <c r="AB90" s="137"/>
      <c r="AC90" s="247"/>
    </row>
    <row r="91" spans="1:29" x14ac:dyDescent="0.15">
      <c r="A91" s="137"/>
      <c r="B91" s="137"/>
      <c r="C91" s="137"/>
      <c r="D91" s="138"/>
      <c r="E91" s="247"/>
      <c r="F91" s="247"/>
      <c r="G91" s="137"/>
      <c r="H91" s="247"/>
      <c r="I91" s="247"/>
      <c r="J91" s="137"/>
      <c r="K91" s="247"/>
      <c r="L91" s="247"/>
      <c r="M91" s="247"/>
      <c r="N91" s="247"/>
      <c r="O91" s="247"/>
      <c r="P91" s="247"/>
      <c r="Q91" s="139"/>
      <c r="R91" s="247"/>
      <c r="S91" s="247"/>
      <c r="T91" s="140"/>
      <c r="U91" s="247"/>
      <c r="V91" s="141"/>
      <c r="W91" s="247"/>
      <c r="X91" s="137"/>
      <c r="Y91" s="247"/>
      <c r="Z91" s="247"/>
      <c r="AA91" s="247"/>
      <c r="AB91" s="137"/>
      <c r="AC91" s="247"/>
    </row>
    <row r="92" spans="1:29" x14ac:dyDescent="0.15">
      <c r="A92" s="137"/>
      <c r="B92" s="137"/>
      <c r="C92" s="137"/>
      <c r="D92" s="138"/>
      <c r="E92" s="247"/>
      <c r="F92" s="247"/>
      <c r="G92" s="137"/>
      <c r="H92" s="247"/>
      <c r="I92" s="247"/>
      <c r="J92" s="137"/>
      <c r="K92" s="247"/>
      <c r="L92" s="247"/>
      <c r="M92" s="247"/>
      <c r="N92" s="247"/>
      <c r="O92" s="247"/>
      <c r="P92" s="247"/>
      <c r="Q92" s="139"/>
      <c r="R92" s="247"/>
      <c r="S92" s="247"/>
      <c r="T92" s="140"/>
      <c r="U92" s="247"/>
      <c r="V92" s="141"/>
      <c r="W92" s="247"/>
      <c r="X92" s="137"/>
      <c r="Y92" s="247"/>
      <c r="Z92" s="247"/>
      <c r="AA92" s="247"/>
      <c r="AB92" s="137"/>
      <c r="AC92" s="247"/>
    </row>
    <row r="93" spans="1:29" x14ac:dyDescent="0.15">
      <c r="A93" s="137"/>
      <c r="B93" s="137"/>
      <c r="C93" s="137"/>
      <c r="D93" s="138"/>
      <c r="E93" s="247"/>
      <c r="F93" s="247"/>
      <c r="G93" s="137"/>
      <c r="H93" s="247"/>
      <c r="I93" s="247"/>
      <c r="J93" s="137"/>
      <c r="K93" s="247"/>
      <c r="L93" s="247"/>
      <c r="M93" s="247"/>
      <c r="N93" s="247"/>
      <c r="O93" s="247"/>
      <c r="P93" s="247"/>
      <c r="Q93" s="139"/>
      <c r="R93" s="247"/>
      <c r="S93" s="247"/>
      <c r="T93" s="140"/>
      <c r="U93" s="247"/>
      <c r="V93" s="141"/>
      <c r="W93" s="247"/>
      <c r="X93" s="137"/>
      <c r="Y93" s="247"/>
      <c r="Z93" s="247"/>
      <c r="AA93" s="247"/>
      <c r="AB93" s="137"/>
      <c r="AC93" s="247"/>
    </row>
    <row r="94" spans="1:29" x14ac:dyDescent="0.15">
      <c r="A94" s="137"/>
      <c r="B94" s="137"/>
      <c r="C94" s="137"/>
      <c r="D94" s="138"/>
      <c r="E94" s="247"/>
      <c r="F94" s="247"/>
      <c r="G94" s="137"/>
      <c r="H94" s="247"/>
      <c r="I94" s="247"/>
      <c r="J94" s="137"/>
      <c r="K94" s="247"/>
      <c r="L94" s="247"/>
      <c r="M94" s="247"/>
      <c r="N94" s="247"/>
      <c r="O94" s="247"/>
      <c r="P94" s="247"/>
      <c r="Q94" s="139"/>
      <c r="R94" s="247"/>
      <c r="S94" s="247"/>
      <c r="T94" s="140"/>
      <c r="U94" s="247"/>
      <c r="V94" s="141"/>
      <c r="W94" s="247"/>
      <c r="X94" s="137"/>
      <c r="Y94" s="247"/>
      <c r="Z94" s="247"/>
      <c r="AA94" s="247"/>
      <c r="AB94" s="137"/>
      <c r="AC94" s="247"/>
    </row>
    <row r="95" spans="1:29" x14ac:dyDescent="0.15">
      <c r="K95" s="247"/>
      <c r="AC95" s="247"/>
    </row>
    <row r="96" spans="1:29" x14ac:dyDescent="0.15">
      <c r="A96" s="137"/>
      <c r="B96" s="137"/>
      <c r="C96" s="137"/>
      <c r="D96" s="138"/>
      <c r="E96" s="247"/>
      <c r="F96" s="247"/>
      <c r="G96" s="137"/>
      <c r="H96" s="247"/>
      <c r="I96" s="247"/>
      <c r="J96" s="137"/>
      <c r="K96" s="247"/>
      <c r="L96" s="247"/>
      <c r="M96" s="247"/>
      <c r="N96" s="247"/>
      <c r="O96" s="247"/>
      <c r="P96" s="247"/>
      <c r="Q96" s="139"/>
      <c r="R96" s="247"/>
      <c r="S96" s="247"/>
      <c r="T96" s="140"/>
      <c r="U96" s="247"/>
      <c r="V96" s="141"/>
      <c r="W96" s="247"/>
      <c r="X96" s="137"/>
      <c r="Y96" s="247"/>
      <c r="Z96" s="247"/>
      <c r="AA96" s="247"/>
      <c r="AB96" s="137"/>
      <c r="AC96" s="247"/>
    </row>
    <row r="97" spans="1:29" x14ac:dyDescent="0.15">
      <c r="A97" s="137"/>
      <c r="B97" s="137"/>
      <c r="C97" s="137"/>
      <c r="D97" s="138"/>
      <c r="E97" s="247"/>
      <c r="F97" s="247"/>
      <c r="G97" s="137"/>
      <c r="H97" s="247"/>
      <c r="I97" s="247"/>
      <c r="J97" s="137"/>
      <c r="K97" s="247"/>
      <c r="L97" s="247"/>
      <c r="M97" s="247"/>
      <c r="N97" s="247"/>
      <c r="O97" s="247"/>
      <c r="P97" s="247"/>
      <c r="Q97" s="139"/>
      <c r="R97" s="247"/>
      <c r="S97" s="247"/>
      <c r="T97" s="140"/>
      <c r="U97" s="247"/>
      <c r="V97" s="141"/>
      <c r="W97" s="247"/>
      <c r="X97" s="137"/>
      <c r="Y97" s="247"/>
      <c r="Z97" s="247"/>
      <c r="AA97" s="247"/>
      <c r="AB97" s="137"/>
      <c r="AC97" s="247"/>
    </row>
    <row r="98" spans="1:29" x14ac:dyDescent="0.15">
      <c r="A98" s="137"/>
      <c r="B98" s="137"/>
      <c r="C98" s="137"/>
      <c r="D98" s="138"/>
      <c r="E98" s="247"/>
      <c r="F98" s="247"/>
      <c r="G98" s="137"/>
      <c r="H98" s="247"/>
      <c r="I98" s="247"/>
      <c r="J98" s="137"/>
      <c r="K98" s="247"/>
      <c r="L98" s="247"/>
      <c r="M98" s="247"/>
      <c r="N98" s="247"/>
      <c r="O98" s="247"/>
      <c r="P98" s="247"/>
      <c r="Q98" s="139"/>
      <c r="R98" s="247"/>
      <c r="S98" s="247"/>
      <c r="T98" s="140"/>
      <c r="U98" s="247"/>
      <c r="V98" s="141"/>
      <c r="W98" s="247"/>
      <c r="X98" s="137"/>
      <c r="Y98" s="247"/>
      <c r="Z98" s="247"/>
      <c r="AA98" s="247"/>
      <c r="AB98" s="137"/>
      <c r="AC98" s="247"/>
    </row>
    <row r="99" spans="1:29" x14ac:dyDescent="0.15">
      <c r="A99" s="137"/>
      <c r="B99" s="137"/>
      <c r="C99" s="137"/>
      <c r="D99" s="138"/>
      <c r="E99" s="247"/>
      <c r="F99" s="247"/>
      <c r="G99" s="137"/>
      <c r="H99" s="247"/>
      <c r="I99" s="247"/>
      <c r="J99" s="137"/>
      <c r="K99" s="247"/>
      <c r="L99" s="247"/>
      <c r="M99" s="247"/>
      <c r="N99" s="247"/>
      <c r="O99" s="247"/>
      <c r="P99" s="247"/>
      <c r="Q99" s="139"/>
      <c r="R99" s="247"/>
      <c r="S99" s="247"/>
      <c r="T99" s="140"/>
      <c r="U99" s="247"/>
      <c r="V99" s="141"/>
      <c r="W99" s="247"/>
      <c r="X99" s="137"/>
      <c r="Y99" s="247"/>
      <c r="Z99" s="247"/>
      <c r="AA99" s="247"/>
      <c r="AB99" s="137"/>
      <c r="AC99" s="247"/>
    </row>
    <row r="100" spans="1:29" x14ac:dyDescent="0.15">
      <c r="A100" s="137"/>
      <c r="B100" s="137"/>
      <c r="C100" s="137"/>
      <c r="D100" s="138"/>
      <c r="E100" s="247"/>
      <c r="F100" s="247"/>
      <c r="G100" s="137"/>
      <c r="H100" s="247"/>
      <c r="I100" s="247"/>
      <c r="J100" s="137"/>
      <c r="K100" s="247"/>
      <c r="L100" s="247"/>
      <c r="M100" s="247"/>
      <c r="N100" s="247"/>
      <c r="O100" s="247"/>
      <c r="P100" s="247"/>
      <c r="Q100" s="139"/>
      <c r="R100" s="247"/>
      <c r="S100" s="247"/>
      <c r="T100" s="140"/>
      <c r="U100" s="247"/>
      <c r="V100" s="141"/>
      <c r="W100" s="247"/>
      <c r="X100" s="137"/>
      <c r="Y100" s="247"/>
      <c r="Z100" s="247"/>
      <c r="AA100" s="247"/>
      <c r="AB100" s="137"/>
      <c r="AC100" s="247"/>
    </row>
    <row r="101" spans="1:29" x14ac:dyDescent="0.15">
      <c r="A101" s="137"/>
      <c r="B101" s="137"/>
      <c r="C101" s="137"/>
      <c r="D101" s="138"/>
      <c r="E101" s="247"/>
      <c r="F101" s="247"/>
      <c r="G101" s="137"/>
      <c r="H101" s="247"/>
      <c r="I101" s="247"/>
      <c r="J101" s="137"/>
      <c r="K101" s="247"/>
      <c r="L101" s="247"/>
      <c r="M101" s="247"/>
      <c r="N101" s="247"/>
      <c r="O101" s="247"/>
      <c r="P101" s="247"/>
      <c r="Q101" s="139"/>
      <c r="R101" s="247"/>
      <c r="S101" s="247"/>
      <c r="T101" s="140"/>
      <c r="U101" s="247"/>
      <c r="V101" s="141"/>
      <c r="W101" s="247"/>
      <c r="X101" s="137"/>
      <c r="Y101" s="247"/>
      <c r="Z101" s="247"/>
      <c r="AA101" s="247"/>
      <c r="AB101" s="137"/>
      <c r="AC101" s="247"/>
    </row>
    <row r="102" spans="1:29" x14ac:dyDescent="0.15">
      <c r="A102" s="137"/>
      <c r="B102" s="137"/>
      <c r="C102" s="137"/>
      <c r="D102" s="138"/>
      <c r="E102" s="247"/>
      <c r="F102" s="247"/>
      <c r="G102" s="137"/>
      <c r="H102" s="247"/>
      <c r="I102" s="247"/>
      <c r="J102" s="137"/>
      <c r="K102" s="247"/>
      <c r="L102" s="247"/>
      <c r="M102" s="247"/>
      <c r="N102" s="247"/>
      <c r="O102" s="247"/>
      <c r="P102" s="247"/>
      <c r="Q102" s="139"/>
      <c r="R102" s="247"/>
      <c r="S102" s="247"/>
      <c r="T102" s="140"/>
      <c r="U102" s="247"/>
      <c r="V102" s="141"/>
      <c r="W102" s="247"/>
      <c r="X102" s="137"/>
      <c r="Y102" s="247"/>
      <c r="Z102" s="247"/>
      <c r="AA102" s="247"/>
      <c r="AB102" s="137"/>
      <c r="AC102" s="247"/>
    </row>
    <row r="103" spans="1:29" x14ac:dyDescent="0.15">
      <c r="A103" s="137"/>
      <c r="B103" s="137"/>
      <c r="C103" s="137"/>
      <c r="D103" s="138"/>
      <c r="E103" s="247"/>
      <c r="F103" s="247"/>
      <c r="G103" s="137"/>
      <c r="H103" s="247"/>
      <c r="I103" s="247"/>
      <c r="J103" s="137"/>
      <c r="K103" s="247"/>
      <c r="L103" s="247"/>
      <c r="M103" s="247"/>
      <c r="N103" s="247"/>
      <c r="O103" s="247"/>
      <c r="P103" s="247"/>
      <c r="Q103" s="139"/>
      <c r="R103" s="247"/>
      <c r="S103" s="247"/>
      <c r="T103" s="140"/>
      <c r="U103" s="247"/>
      <c r="V103" s="141"/>
      <c r="W103" s="247"/>
      <c r="X103" s="137"/>
      <c r="Y103" s="247"/>
      <c r="Z103" s="247"/>
      <c r="AA103" s="247"/>
      <c r="AB103" s="137"/>
      <c r="AC103" s="247"/>
    </row>
    <row r="104" spans="1:29" x14ac:dyDescent="0.15">
      <c r="A104" s="137"/>
      <c r="B104" s="137"/>
      <c r="C104" s="137"/>
      <c r="D104" s="138"/>
      <c r="E104" s="247"/>
      <c r="F104" s="247"/>
      <c r="G104" s="137"/>
      <c r="H104" s="247"/>
      <c r="I104" s="247"/>
      <c r="J104" s="137"/>
      <c r="K104" s="247"/>
      <c r="L104" s="247"/>
      <c r="M104" s="247"/>
      <c r="N104" s="247"/>
      <c r="O104" s="247"/>
      <c r="P104" s="247"/>
      <c r="Q104" s="139"/>
      <c r="R104" s="247"/>
      <c r="S104" s="247"/>
      <c r="T104" s="140"/>
      <c r="U104" s="247"/>
      <c r="V104" s="141"/>
      <c r="W104" s="247"/>
      <c r="X104" s="137"/>
      <c r="Y104" s="247"/>
      <c r="Z104" s="247"/>
      <c r="AA104" s="247"/>
      <c r="AB104" s="137"/>
      <c r="AC104" s="247"/>
    </row>
    <row r="105" spans="1:29" x14ac:dyDescent="0.15">
      <c r="A105" s="137"/>
      <c r="B105" s="137"/>
      <c r="C105" s="137"/>
      <c r="D105" s="138"/>
      <c r="E105" s="247"/>
      <c r="F105" s="247"/>
      <c r="G105" s="137"/>
      <c r="H105" s="247"/>
      <c r="I105" s="247"/>
      <c r="J105" s="137"/>
      <c r="K105" s="247"/>
      <c r="L105" s="247"/>
      <c r="M105" s="247"/>
      <c r="N105" s="247"/>
      <c r="O105" s="247"/>
      <c r="P105" s="247"/>
      <c r="Q105" s="139"/>
      <c r="R105" s="247"/>
      <c r="S105" s="247"/>
      <c r="T105" s="140"/>
      <c r="U105" s="247"/>
      <c r="V105" s="141"/>
      <c r="W105" s="247"/>
      <c r="X105" s="137"/>
      <c r="Y105" s="247"/>
      <c r="Z105" s="247"/>
      <c r="AA105" s="247"/>
      <c r="AB105" s="137"/>
      <c r="AC105" s="247"/>
    </row>
    <row r="106" spans="1:29" x14ac:dyDescent="0.15">
      <c r="A106" s="137"/>
      <c r="B106" s="137"/>
      <c r="C106" s="137"/>
      <c r="D106" s="138"/>
      <c r="E106" s="247"/>
      <c r="F106" s="247"/>
      <c r="G106" s="137"/>
      <c r="H106" s="247"/>
      <c r="I106" s="247"/>
      <c r="J106" s="137"/>
      <c r="K106" s="247"/>
      <c r="L106" s="247"/>
      <c r="M106" s="247"/>
      <c r="N106" s="247"/>
      <c r="O106" s="247"/>
      <c r="P106" s="247"/>
      <c r="Q106" s="139"/>
      <c r="R106" s="247"/>
      <c r="S106" s="247"/>
      <c r="T106" s="140"/>
      <c r="U106" s="247"/>
      <c r="V106" s="141"/>
      <c r="W106" s="247"/>
      <c r="X106" s="137"/>
      <c r="Y106" s="247"/>
      <c r="Z106" s="247"/>
      <c r="AA106" s="247"/>
      <c r="AB106" s="137"/>
      <c r="AC106" s="247"/>
    </row>
    <row r="107" spans="1:29" x14ac:dyDescent="0.15">
      <c r="A107" s="137"/>
      <c r="B107" s="137"/>
      <c r="C107" s="137"/>
      <c r="D107" s="138"/>
      <c r="E107" s="247"/>
      <c r="F107" s="247"/>
      <c r="G107" s="137"/>
      <c r="H107" s="247"/>
      <c r="I107" s="247"/>
      <c r="J107" s="137"/>
      <c r="K107" s="247"/>
      <c r="L107" s="247"/>
      <c r="M107" s="247"/>
      <c r="N107" s="247"/>
      <c r="O107" s="247"/>
      <c r="P107" s="247"/>
      <c r="Q107" s="139"/>
      <c r="R107" s="247"/>
      <c r="S107" s="247"/>
      <c r="T107" s="140"/>
      <c r="U107" s="247"/>
      <c r="V107" s="141"/>
      <c r="W107" s="247"/>
      <c r="X107" s="137"/>
      <c r="Y107" s="247"/>
      <c r="Z107" s="247"/>
      <c r="AA107" s="247"/>
      <c r="AB107" s="137"/>
      <c r="AC107" s="247"/>
    </row>
    <row r="108" spans="1:29" x14ac:dyDescent="0.15">
      <c r="A108" s="137"/>
      <c r="B108" s="137"/>
      <c r="C108" s="137"/>
      <c r="D108" s="138"/>
      <c r="E108" s="247"/>
      <c r="F108" s="247"/>
      <c r="G108" s="137"/>
      <c r="H108" s="247"/>
      <c r="I108" s="247"/>
      <c r="J108" s="137"/>
      <c r="K108" s="247"/>
      <c r="L108" s="247"/>
      <c r="M108" s="247"/>
      <c r="N108" s="247"/>
      <c r="O108" s="247"/>
      <c r="P108" s="247"/>
      <c r="Q108" s="139"/>
      <c r="R108" s="247"/>
      <c r="S108" s="247"/>
      <c r="T108" s="140"/>
      <c r="U108" s="247"/>
      <c r="V108" s="141"/>
      <c r="W108" s="247"/>
      <c r="X108" s="137"/>
      <c r="Y108" s="247"/>
      <c r="Z108" s="247"/>
      <c r="AA108" s="247"/>
      <c r="AB108" s="137"/>
      <c r="AC108" s="247"/>
    </row>
    <row r="109" spans="1:29" x14ac:dyDescent="0.15">
      <c r="A109" s="137"/>
      <c r="B109" s="137"/>
      <c r="C109" s="137"/>
      <c r="D109" s="138"/>
      <c r="E109" s="247"/>
      <c r="F109" s="247"/>
      <c r="G109" s="137"/>
      <c r="H109" s="247"/>
      <c r="I109" s="247"/>
      <c r="J109" s="137"/>
      <c r="K109" s="247"/>
      <c r="L109" s="247"/>
      <c r="M109" s="247"/>
      <c r="N109" s="247"/>
      <c r="O109" s="247"/>
      <c r="P109" s="247"/>
      <c r="Q109" s="139"/>
      <c r="R109" s="247"/>
      <c r="S109" s="247"/>
      <c r="T109" s="140"/>
      <c r="U109" s="247"/>
      <c r="V109" s="141"/>
      <c r="W109" s="247"/>
      <c r="X109" s="137"/>
      <c r="Y109" s="247"/>
      <c r="Z109" s="247"/>
      <c r="AA109" s="247"/>
      <c r="AB109" s="137"/>
      <c r="AC109" s="247"/>
    </row>
    <row r="110" spans="1:29" x14ac:dyDescent="0.15">
      <c r="A110" s="137"/>
      <c r="B110" s="137"/>
      <c r="C110" s="137"/>
      <c r="D110" s="138"/>
      <c r="E110" s="247"/>
      <c r="F110" s="247"/>
      <c r="G110" s="137"/>
      <c r="H110" s="247"/>
      <c r="I110" s="247"/>
      <c r="J110" s="137"/>
      <c r="K110" s="247"/>
      <c r="L110" s="247"/>
      <c r="M110" s="247"/>
      <c r="N110" s="247"/>
      <c r="O110" s="247"/>
      <c r="P110" s="247"/>
      <c r="Q110" s="139"/>
      <c r="R110" s="247"/>
      <c r="S110" s="247"/>
      <c r="T110" s="140"/>
      <c r="U110" s="247"/>
      <c r="V110" s="141"/>
      <c r="W110" s="247"/>
      <c r="X110" s="137"/>
      <c r="Y110" s="247"/>
      <c r="Z110" s="247"/>
      <c r="AA110" s="247"/>
      <c r="AB110" s="137"/>
      <c r="AC110" s="247"/>
    </row>
    <row r="111" spans="1:29" x14ac:dyDescent="0.15">
      <c r="A111" s="137"/>
      <c r="B111" s="137"/>
      <c r="C111" s="137"/>
      <c r="D111" s="138"/>
      <c r="E111" s="247"/>
      <c r="F111" s="247"/>
      <c r="G111" s="137"/>
      <c r="H111" s="247"/>
      <c r="I111" s="247"/>
      <c r="J111" s="137"/>
      <c r="K111" s="247"/>
      <c r="L111" s="247"/>
      <c r="M111" s="247"/>
      <c r="N111" s="247"/>
      <c r="O111" s="247"/>
      <c r="P111" s="247"/>
      <c r="Q111" s="139"/>
      <c r="R111" s="247"/>
      <c r="S111" s="247"/>
      <c r="T111" s="140"/>
      <c r="U111" s="247"/>
      <c r="V111" s="141"/>
      <c r="W111" s="247"/>
      <c r="X111" s="137"/>
      <c r="Y111" s="247"/>
      <c r="Z111" s="247"/>
      <c r="AA111" s="247"/>
      <c r="AB111" s="137"/>
      <c r="AC111" s="247"/>
    </row>
    <row r="112" spans="1:29" x14ac:dyDescent="0.15">
      <c r="A112" s="137"/>
      <c r="B112" s="137"/>
      <c r="C112" s="137"/>
      <c r="D112" s="138"/>
      <c r="E112" s="247"/>
      <c r="F112" s="247"/>
      <c r="G112" s="137"/>
      <c r="H112" s="247"/>
      <c r="I112" s="247"/>
      <c r="J112" s="137"/>
      <c r="K112" s="247"/>
      <c r="L112" s="247"/>
      <c r="M112" s="247"/>
      <c r="N112" s="247"/>
      <c r="O112" s="247"/>
      <c r="P112" s="247"/>
      <c r="Q112" s="139"/>
      <c r="R112" s="247"/>
      <c r="S112" s="247"/>
      <c r="T112" s="140"/>
      <c r="U112" s="247"/>
      <c r="V112" s="141"/>
      <c r="W112" s="247"/>
      <c r="X112" s="137"/>
      <c r="Y112" s="247"/>
      <c r="Z112" s="247"/>
      <c r="AA112" s="247"/>
      <c r="AB112" s="137"/>
      <c r="AC112" s="247"/>
    </row>
    <row r="113" spans="1:29" x14ac:dyDescent="0.15">
      <c r="A113" s="247"/>
      <c r="B113" s="247"/>
      <c r="C113" s="247"/>
      <c r="D113" s="247"/>
      <c r="E113" s="247"/>
      <c r="F113" s="247"/>
      <c r="G113" s="247"/>
      <c r="H113" s="247"/>
      <c r="I113" s="247"/>
      <c r="J113" s="247"/>
      <c r="K113" s="247"/>
      <c r="L113" s="247"/>
      <c r="M113" s="247"/>
      <c r="N113" s="247"/>
      <c r="O113" s="247"/>
      <c r="P113" s="247"/>
      <c r="Q113" s="140"/>
      <c r="R113" s="247"/>
      <c r="S113" s="247"/>
      <c r="T113" s="140"/>
      <c r="U113" s="247"/>
      <c r="V113" s="140"/>
      <c r="W113" s="247"/>
      <c r="X113" s="247"/>
      <c r="Y113" s="247"/>
      <c r="Z113" s="247"/>
      <c r="AA113" s="247"/>
      <c r="AB113" s="247"/>
      <c r="AC113" s="247"/>
    </row>
    <row r="114" spans="1:29" x14ac:dyDescent="0.15">
      <c r="A114" s="247"/>
      <c r="B114" s="247"/>
      <c r="C114" s="247"/>
      <c r="D114" s="247"/>
      <c r="E114" s="247"/>
      <c r="F114" s="247"/>
      <c r="G114" s="247"/>
      <c r="H114" s="247"/>
      <c r="I114" s="247"/>
      <c r="J114" s="247"/>
      <c r="K114" s="247"/>
      <c r="L114" s="247" t="s">
        <v>430</v>
      </c>
      <c r="M114" s="247"/>
      <c r="N114" s="247"/>
      <c r="O114" s="247"/>
      <c r="P114" s="247"/>
      <c r="Q114" s="140"/>
      <c r="R114" s="247"/>
      <c r="S114" s="247"/>
      <c r="T114" s="140"/>
      <c r="U114" s="247"/>
      <c r="V114" s="140"/>
      <c r="W114" s="247"/>
      <c r="X114" s="247"/>
      <c r="Y114" s="247"/>
      <c r="Z114" s="247"/>
      <c r="AA114" s="247"/>
      <c r="AB114" s="247"/>
      <c r="AC114" s="247"/>
    </row>
    <row r="115" spans="1:29" x14ac:dyDescent="0.15">
      <c r="K115" s="247"/>
    </row>
    <row r="116" spans="1:29" x14ac:dyDescent="0.15">
      <c r="K116" s="247"/>
    </row>
    <row r="117" spans="1:29" x14ac:dyDescent="0.15">
      <c r="K117" s="247"/>
    </row>
    <row r="118" spans="1:29" x14ac:dyDescent="0.15">
      <c r="K118" s="247"/>
    </row>
    <row r="119" spans="1:29" x14ac:dyDescent="0.15">
      <c r="K119" s="247"/>
    </row>
    <row r="120" spans="1:29" x14ac:dyDescent="0.15">
      <c r="K120" s="247"/>
    </row>
  </sheetData>
  <autoFilter ref="A1:BA1"/>
  <phoneticPr fontId="3"/>
  <dataValidations count="21">
    <dataValidation type="list" allowBlank="1" showInputMessage="1" showErrorMessage="1" sqref="K2:K120">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formula1>$AV$2:$AV$22</formula1>
    </dataValidation>
    <dataValidation type="list" allowBlank="1" showInputMessage="1" showErrorMessage="1" sqref="K121:K500">
      <formula1>$AR$2:$AR$25</formula1>
    </dataValidation>
    <dataValidation type="list" allowBlank="1" showInputMessage="1" showErrorMessage="1" sqref="J96:J500 J2:J94">
      <formula1>$AP$2:$AP$27</formula1>
    </dataValidation>
    <dataValidation type="list" allowBlank="1" showInputMessage="1" showErrorMessage="1" sqref="F96:F500 F2:F94">
      <formula1>$AH$2:$AH$10</formula1>
    </dataValidation>
    <dataValidation type="list" allowBlank="1" showInputMessage="1" showErrorMessage="1" sqref="E96:E500 E2:E94">
      <formula1>$AG$2:$AG$11</formula1>
    </dataValidation>
    <dataValidation type="list" allowBlank="1" showInputMessage="1" showErrorMessage="1" sqref="A96:A500 A2:A94">
      <formula1>$AE$2:$AE$19</formula1>
    </dataValidation>
    <dataValidation type="list" allowBlank="1" showInputMessage="1" showErrorMessage="1" sqref="H96:H500 H2:H94">
      <formula1>$AL$2:$AL$8</formula1>
    </dataValidation>
    <dataValidation type="list" allowBlank="1" showInputMessage="1" showErrorMessage="1" sqref="Y96:AA500 Y2:AA94">
      <formula1>$AV$2:$AV$21</formula1>
    </dataValidation>
    <dataValidation type="decimal" allowBlank="1" showInputMessage="1" showErrorMessage="1" error="硬度を正しく入力して下さい。" sqref="O96:P500 O14:P19 O5:O7 P20:P40 P5:P13 O20:O22 O41:P94">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zoomScale="85" zoomScaleNormal="85" workbookViewId="0">
      <selection activeCell="O22" sqref="O22"/>
    </sheetView>
  </sheetViews>
  <sheetFormatPr defaultColWidth="8.875" defaultRowHeight="13.5" x14ac:dyDescent="0.15"/>
  <cols>
    <col min="1" max="3" width="8.875" style="208"/>
    <col min="4" max="4" width="13.5" style="208" bestFit="1" customWidth="1"/>
    <col min="5" max="5" width="9.625" style="208" bestFit="1" customWidth="1"/>
    <col min="6" max="16" width="8.875" style="208"/>
    <col min="17" max="17" width="8.875" style="217"/>
    <col min="18" max="19" width="8.875" style="208"/>
    <col min="20" max="20" width="8.875" style="217"/>
    <col min="21" max="21" width="8.875" style="208"/>
    <col min="22" max="22" width="8.875" style="217"/>
    <col min="23" max="32" width="8.875" style="208"/>
    <col min="33" max="33" width="19.625" style="208" bestFit="1" customWidth="1"/>
    <col min="34" max="259" width="8.875" style="208"/>
    <col min="260" max="260" width="10.5" style="208" bestFit="1" customWidth="1"/>
    <col min="261" max="261" width="9.625" style="208" bestFit="1" customWidth="1"/>
    <col min="262" max="515" width="8.875" style="208"/>
    <col min="516" max="516" width="10.5" style="208" bestFit="1" customWidth="1"/>
    <col min="517" max="517" width="9.625" style="208" bestFit="1" customWidth="1"/>
    <col min="518" max="771" width="8.875" style="208"/>
    <col min="772" max="772" width="10.5" style="208" bestFit="1" customWidth="1"/>
    <col min="773" max="773" width="9.625" style="208" bestFit="1" customWidth="1"/>
    <col min="774" max="1027" width="8.875" style="208"/>
    <col min="1028" max="1028" width="10.5" style="208" bestFit="1" customWidth="1"/>
    <col min="1029" max="1029" width="9.625" style="208" bestFit="1" customWidth="1"/>
    <col min="1030" max="1283" width="8.875" style="208"/>
    <col min="1284" max="1284" width="10.5" style="208" bestFit="1" customWidth="1"/>
    <col min="1285" max="1285" width="9.625" style="208" bestFit="1" customWidth="1"/>
    <col min="1286" max="1539" width="8.875" style="208"/>
    <col min="1540" max="1540" width="10.5" style="208" bestFit="1" customWidth="1"/>
    <col min="1541" max="1541" width="9.625" style="208" bestFit="1" customWidth="1"/>
    <col min="1542" max="1795" width="8.875" style="208"/>
    <col min="1796" max="1796" width="10.5" style="208" bestFit="1" customWidth="1"/>
    <col min="1797" max="1797" width="9.625" style="208" bestFit="1" customWidth="1"/>
    <col min="1798" max="2051" width="8.875" style="208"/>
    <col min="2052" max="2052" width="10.5" style="208" bestFit="1" customWidth="1"/>
    <col min="2053" max="2053" width="9.625" style="208" bestFit="1" customWidth="1"/>
    <col min="2054" max="2307" width="8.875" style="208"/>
    <col min="2308" max="2308" width="10.5" style="208" bestFit="1" customWidth="1"/>
    <col min="2309" max="2309" width="9.625" style="208" bestFit="1" customWidth="1"/>
    <col min="2310" max="2563" width="8.875" style="208"/>
    <col min="2564" max="2564" width="10.5" style="208" bestFit="1" customWidth="1"/>
    <col min="2565" max="2565" width="9.625" style="208" bestFit="1" customWidth="1"/>
    <col min="2566" max="2819" width="8.875" style="208"/>
    <col min="2820" max="2820" width="10.5" style="208" bestFit="1" customWidth="1"/>
    <col min="2821" max="2821" width="9.625" style="208" bestFit="1" customWidth="1"/>
    <col min="2822" max="3075" width="8.875" style="208"/>
    <col min="3076" max="3076" width="10.5" style="208" bestFit="1" customWidth="1"/>
    <col min="3077" max="3077" width="9.625" style="208" bestFit="1" customWidth="1"/>
    <col min="3078" max="3331" width="8.875" style="208"/>
    <col min="3332" max="3332" width="10.5" style="208" bestFit="1" customWidth="1"/>
    <col min="3333" max="3333" width="9.625" style="208" bestFit="1" customWidth="1"/>
    <col min="3334" max="3587" width="8.875" style="208"/>
    <col min="3588" max="3588" width="10.5" style="208" bestFit="1" customWidth="1"/>
    <col min="3589" max="3589" width="9.625" style="208" bestFit="1" customWidth="1"/>
    <col min="3590" max="3843" width="8.875" style="208"/>
    <col min="3844" max="3844" width="10.5" style="208" bestFit="1" customWidth="1"/>
    <col min="3845" max="3845" width="9.625" style="208" bestFit="1" customWidth="1"/>
    <col min="3846" max="4099" width="8.875" style="208"/>
    <col min="4100" max="4100" width="10.5" style="208" bestFit="1" customWidth="1"/>
    <col min="4101" max="4101" width="9.625" style="208" bestFit="1" customWidth="1"/>
    <col min="4102" max="4355" width="8.875" style="208"/>
    <col min="4356" max="4356" width="10.5" style="208" bestFit="1" customWidth="1"/>
    <col min="4357" max="4357" width="9.625" style="208" bestFit="1" customWidth="1"/>
    <col min="4358" max="4611" width="8.875" style="208"/>
    <col min="4612" max="4612" width="10.5" style="208" bestFit="1" customWidth="1"/>
    <col min="4613" max="4613" width="9.625" style="208" bestFit="1" customWidth="1"/>
    <col min="4614" max="4867" width="8.875" style="208"/>
    <col min="4868" max="4868" width="10.5" style="208" bestFit="1" customWidth="1"/>
    <col min="4869" max="4869" width="9.625" style="208" bestFit="1" customWidth="1"/>
    <col min="4870" max="5123" width="8.875" style="208"/>
    <col min="5124" max="5124" width="10.5" style="208" bestFit="1" customWidth="1"/>
    <col min="5125" max="5125" width="9.625" style="208" bestFit="1" customWidth="1"/>
    <col min="5126" max="5379" width="8.875" style="208"/>
    <col min="5380" max="5380" width="10.5" style="208" bestFit="1" customWidth="1"/>
    <col min="5381" max="5381" width="9.625" style="208" bestFit="1" customWidth="1"/>
    <col min="5382" max="5635" width="8.875" style="208"/>
    <col min="5636" max="5636" width="10.5" style="208" bestFit="1" customWidth="1"/>
    <col min="5637" max="5637" width="9.625" style="208" bestFit="1" customWidth="1"/>
    <col min="5638" max="5891" width="8.875" style="208"/>
    <col min="5892" max="5892" width="10.5" style="208" bestFit="1" customWidth="1"/>
    <col min="5893" max="5893" width="9.625" style="208" bestFit="1" customWidth="1"/>
    <col min="5894" max="6147" width="8.875" style="208"/>
    <col min="6148" max="6148" width="10.5" style="208" bestFit="1" customWidth="1"/>
    <col min="6149" max="6149" width="9.625" style="208" bestFit="1" customWidth="1"/>
    <col min="6150" max="6403" width="8.875" style="208"/>
    <col min="6404" max="6404" width="10.5" style="208" bestFit="1" customWidth="1"/>
    <col min="6405" max="6405" width="9.625" style="208" bestFit="1" customWidth="1"/>
    <col min="6406" max="6659" width="8.875" style="208"/>
    <col min="6660" max="6660" width="10.5" style="208" bestFit="1" customWidth="1"/>
    <col min="6661" max="6661" width="9.625" style="208" bestFit="1" customWidth="1"/>
    <col min="6662" max="6915" width="8.875" style="208"/>
    <col min="6916" max="6916" width="10.5" style="208" bestFit="1" customWidth="1"/>
    <col min="6917" max="6917" width="9.625" style="208" bestFit="1" customWidth="1"/>
    <col min="6918" max="7171" width="8.875" style="208"/>
    <col min="7172" max="7172" width="10.5" style="208" bestFit="1" customWidth="1"/>
    <col min="7173" max="7173" width="9.625" style="208" bestFit="1" customWidth="1"/>
    <col min="7174" max="7427" width="8.875" style="208"/>
    <col min="7428" max="7428" width="10.5" style="208" bestFit="1" customWidth="1"/>
    <col min="7429" max="7429" width="9.625" style="208" bestFit="1" customWidth="1"/>
    <col min="7430" max="7683" width="8.875" style="208"/>
    <col min="7684" max="7684" width="10.5" style="208" bestFit="1" customWidth="1"/>
    <col min="7685" max="7685" width="9.625" style="208" bestFit="1" customWidth="1"/>
    <col min="7686" max="7939" width="8.875" style="208"/>
    <col min="7940" max="7940" width="10.5" style="208" bestFit="1" customWidth="1"/>
    <col min="7941" max="7941" width="9.625" style="208" bestFit="1" customWidth="1"/>
    <col min="7942" max="8195" width="8.875" style="208"/>
    <col min="8196" max="8196" width="10.5" style="208" bestFit="1" customWidth="1"/>
    <col min="8197" max="8197" width="9.625" style="208" bestFit="1" customWidth="1"/>
    <col min="8198" max="8451" width="8.875" style="208"/>
    <col min="8452" max="8452" width="10.5" style="208" bestFit="1" customWidth="1"/>
    <col min="8453" max="8453" width="9.625" style="208" bestFit="1" customWidth="1"/>
    <col min="8454" max="8707" width="8.875" style="208"/>
    <col min="8708" max="8708" width="10.5" style="208" bestFit="1" customWidth="1"/>
    <col min="8709" max="8709" width="9.625" style="208" bestFit="1" customWidth="1"/>
    <col min="8710" max="8963" width="8.875" style="208"/>
    <col min="8964" max="8964" width="10.5" style="208" bestFit="1" customWidth="1"/>
    <col min="8965" max="8965" width="9.625" style="208" bestFit="1" customWidth="1"/>
    <col min="8966" max="9219" width="8.875" style="208"/>
    <col min="9220" max="9220" width="10.5" style="208" bestFit="1" customWidth="1"/>
    <col min="9221" max="9221" width="9.625" style="208" bestFit="1" customWidth="1"/>
    <col min="9222" max="9475" width="8.875" style="208"/>
    <col min="9476" max="9476" width="10.5" style="208" bestFit="1" customWidth="1"/>
    <col min="9477" max="9477" width="9.625" style="208" bestFit="1" customWidth="1"/>
    <col min="9478" max="9731" width="8.875" style="208"/>
    <col min="9732" max="9732" width="10.5" style="208" bestFit="1" customWidth="1"/>
    <col min="9733" max="9733" width="9.625" style="208" bestFit="1" customWidth="1"/>
    <col min="9734" max="9987" width="8.875" style="208"/>
    <col min="9988" max="9988" width="10.5" style="208" bestFit="1" customWidth="1"/>
    <col min="9989" max="9989" width="9.625" style="208" bestFit="1" customWidth="1"/>
    <col min="9990" max="10243" width="8.875" style="208"/>
    <col min="10244" max="10244" width="10.5" style="208" bestFit="1" customWidth="1"/>
    <col min="10245" max="10245" width="9.625" style="208" bestFit="1" customWidth="1"/>
    <col min="10246" max="10499" width="8.875" style="208"/>
    <col min="10500" max="10500" width="10.5" style="208" bestFit="1" customWidth="1"/>
    <col min="10501" max="10501" width="9.625" style="208" bestFit="1" customWidth="1"/>
    <col min="10502" max="10755" width="8.875" style="208"/>
    <col min="10756" max="10756" width="10.5" style="208" bestFit="1" customWidth="1"/>
    <col min="10757" max="10757" width="9.625" style="208" bestFit="1" customWidth="1"/>
    <col min="10758" max="11011" width="8.875" style="208"/>
    <col min="11012" max="11012" width="10.5" style="208" bestFit="1" customWidth="1"/>
    <col min="11013" max="11013" width="9.625" style="208" bestFit="1" customWidth="1"/>
    <col min="11014" max="11267" width="8.875" style="208"/>
    <col min="11268" max="11268" width="10.5" style="208" bestFit="1" customWidth="1"/>
    <col min="11269" max="11269" width="9.625" style="208" bestFit="1" customWidth="1"/>
    <col min="11270" max="11523" width="8.875" style="208"/>
    <col min="11524" max="11524" width="10.5" style="208" bestFit="1" customWidth="1"/>
    <col min="11525" max="11525" width="9.625" style="208" bestFit="1" customWidth="1"/>
    <col min="11526" max="11779" width="8.875" style="208"/>
    <col min="11780" max="11780" width="10.5" style="208" bestFit="1" customWidth="1"/>
    <col min="11781" max="11781" width="9.625" style="208" bestFit="1" customWidth="1"/>
    <col min="11782" max="12035" width="8.875" style="208"/>
    <col min="12036" max="12036" width="10.5" style="208" bestFit="1" customWidth="1"/>
    <col min="12037" max="12037" width="9.625" style="208" bestFit="1" customWidth="1"/>
    <col min="12038" max="12291" width="8.875" style="208"/>
    <col min="12292" max="12292" width="10.5" style="208" bestFit="1" customWidth="1"/>
    <col min="12293" max="12293" width="9.625" style="208" bestFit="1" customWidth="1"/>
    <col min="12294" max="12547" width="8.875" style="208"/>
    <col min="12548" max="12548" width="10.5" style="208" bestFit="1" customWidth="1"/>
    <col min="12549" max="12549" width="9.625" style="208" bestFit="1" customWidth="1"/>
    <col min="12550" max="12803" width="8.875" style="208"/>
    <col min="12804" max="12804" width="10.5" style="208" bestFit="1" customWidth="1"/>
    <col min="12805" max="12805" width="9.625" style="208" bestFit="1" customWidth="1"/>
    <col min="12806" max="13059" width="8.875" style="208"/>
    <col min="13060" max="13060" width="10.5" style="208" bestFit="1" customWidth="1"/>
    <col min="13061" max="13061" width="9.625" style="208" bestFit="1" customWidth="1"/>
    <col min="13062" max="13315" width="8.875" style="208"/>
    <col min="13316" max="13316" width="10.5" style="208" bestFit="1" customWidth="1"/>
    <col min="13317" max="13317" width="9.625" style="208" bestFit="1" customWidth="1"/>
    <col min="13318" max="13571" width="8.875" style="208"/>
    <col min="13572" max="13572" width="10.5" style="208" bestFit="1" customWidth="1"/>
    <col min="13573" max="13573" width="9.625" style="208" bestFit="1" customWidth="1"/>
    <col min="13574" max="13827" width="8.875" style="208"/>
    <col min="13828" max="13828" width="10.5" style="208" bestFit="1" customWidth="1"/>
    <col min="13829" max="13829" width="9.625" style="208" bestFit="1" customWidth="1"/>
    <col min="13830" max="14083" width="8.875" style="208"/>
    <col min="14084" max="14084" width="10.5" style="208" bestFit="1" customWidth="1"/>
    <col min="14085" max="14085" width="9.625" style="208" bestFit="1" customWidth="1"/>
    <col min="14086" max="14339" width="8.875" style="208"/>
    <col min="14340" max="14340" width="10.5" style="208" bestFit="1" customWidth="1"/>
    <col min="14341" max="14341" width="9.625" style="208" bestFit="1" customWidth="1"/>
    <col min="14342" max="14595" width="8.875" style="208"/>
    <col min="14596" max="14596" width="10.5" style="208" bestFit="1" customWidth="1"/>
    <col min="14597" max="14597" width="9.625" style="208" bestFit="1" customWidth="1"/>
    <col min="14598" max="14851" width="8.875" style="208"/>
    <col min="14852" max="14852" width="10.5" style="208" bestFit="1" customWidth="1"/>
    <col min="14853" max="14853" width="9.625" style="208" bestFit="1" customWidth="1"/>
    <col min="14854" max="15107" width="8.875" style="208"/>
    <col min="15108" max="15108" width="10.5" style="208" bestFit="1" customWidth="1"/>
    <col min="15109" max="15109" width="9.625" style="208" bestFit="1" customWidth="1"/>
    <col min="15110" max="15363" width="8.875" style="208"/>
    <col min="15364" max="15364" width="10.5" style="208" bestFit="1" customWidth="1"/>
    <col min="15365" max="15365" width="9.625" style="208" bestFit="1" customWidth="1"/>
    <col min="15366" max="15619" width="8.875" style="208"/>
    <col min="15620" max="15620" width="10.5" style="208" bestFit="1" customWidth="1"/>
    <col min="15621" max="15621" width="9.625" style="208" bestFit="1" customWidth="1"/>
    <col min="15622" max="15875" width="8.875" style="208"/>
    <col min="15876" max="15876" width="10.5" style="208" bestFit="1" customWidth="1"/>
    <col min="15877" max="15877" width="9.625" style="208" bestFit="1" customWidth="1"/>
    <col min="15878" max="16131" width="8.875" style="208"/>
    <col min="16132" max="16132" width="10.5" style="208" bestFit="1" customWidth="1"/>
    <col min="16133" max="16133" width="9.625" style="208" bestFit="1" customWidth="1"/>
    <col min="16134" max="16384" width="8.875" style="208"/>
  </cols>
  <sheetData>
    <row r="1" spans="1:53" ht="45" x14ac:dyDescent="0.15">
      <c r="A1" s="240" t="s">
        <v>0</v>
      </c>
      <c r="B1" s="202" t="s">
        <v>1</v>
      </c>
      <c r="C1" s="202" t="s">
        <v>159</v>
      </c>
      <c r="D1" s="203" t="s">
        <v>3</v>
      </c>
      <c r="E1" s="241" t="s">
        <v>4</v>
      </c>
      <c r="F1" s="241" t="s">
        <v>5</v>
      </c>
      <c r="G1" s="241" t="s">
        <v>6</v>
      </c>
      <c r="H1" s="241" t="s">
        <v>7</v>
      </c>
      <c r="I1" s="241" t="s">
        <v>8</v>
      </c>
      <c r="J1" s="241" t="s">
        <v>9</v>
      </c>
      <c r="K1" s="241" t="s">
        <v>10</v>
      </c>
      <c r="L1" s="203" t="s">
        <v>160</v>
      </c>
      <c r="M1" s="203" t="s">
        <v>12</v>
      </c>
      <c r="N1" s="203" t="s">
        <v>431</v>
      </c>
      <c r="O1" s="203" t="s">
        <v>161</v>
      </c>
      <c r="P1" s="203" t="s">
        <v>15</v>
      </c>
      <c r="Q1" s="204" t="s">
        <v>16</v>
      </c>
      <c r="R1" s="203" t="s">
        <v>17</v>
      </c>
      <c r="S1" s="203" t="s">
        <v>18</v>
      </c>
      <c r="T1" s="204" t="s">
        <v>19</v>
      </c>
      <c r="U1" s="205" t="s">
        <v>319</v>
      </c>
      <c r="V1" s="206" t="s">
        <v>20</v>
      </c>
      <c r="W1" s="203" t="s">
        <v>21</v>
      </c>
      <c r="X1" s="241" t="s">
        <v>22</v>
      </c>
      <c r="Y1" s="241" t="s">
        <v>23</v>
      </c>
      <c r="Z1" s="241" t="s">
        <v>24</v>
      </c>
      <c r="AA1" s="242" t="s">
        <v>25</v>
      </c>
      <c r="AB1" s="207" t="s">
        <v>26</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162</v>
      </c>
      <c r="AY1" s="214" t="s">
        <v>163</v>
      </c>
      <c r="AZ1" s="214" t="s">
        <v>174</v>
      </c>
      <c r="BA1" s="215" t="s">
        <v>164</v>
      </c>
    </row>
    <row r="2" spans="1:53" x14ac:dyDescent="0.15">
      <c r="A2" s="208" t="s">
        <v>59</v>
      </c>
      <c r="B2" s="237" t="s">
        <v>339</v>
      </c>
      <c r="C2" s="152">
        <v>2018</v>
      </c>
      <c r="D2" s="153" t="s">
        <v>432</v>
      </c>
      <c r="E2" s="208" t="s">
        <v>433</v>
      </c>
      <c r="F2" s="208" t="s">
        <v>303</v>
      </c>
      <c r="G2" s="208" t="s">
        <v>36</v>
      </c>
      <c r="H2" s="208" t="s">
        <v>165</v>
      </c>
      <c r="I2" s="208" t="s">
        <v>155</v>
      </c>
      <c r="J2" s="208" t="s">
        <v>38</v>
      </c>
      <c r="K2" s="208" t="s">
        <v>156</v>
      </c>
      <c r="L2" s="208">
        <v>1</v>
      </c>
      <c r="N2" s="208">
        <v>4</v>
      </c>
      <c r="O2" s="208">
        <v>0.56000000000000005</v>
      </c>
      <c r="P2" s="208">
        <v>0.55000000000000004</v>
      </c>
      <c r="Q2" s="245">
        <f>IF(OR(O2="",P2=""),"",AVERAGE(O2,P2))</f>
        <v>0.55500000000000005</v>
      </c>
      <c r="R2" s="208">
        <v>16.899999999999999</v>
      </c>
      <c r="S2" s="208">
        <v>134</v>
      </c>
      <c r="T2" s="217">
        <f t="shared" ref="T2:T73" si="0">IF(H2="","",IF(OR(H2="GREEN",H2="GK"),IF(S2&gt;=$AX$2,VLOOKUP(S2,$AX$2:$AY$12,2,1),""),IF(S2&gt;=$AZ$2,VLOOKUP(S2,$AZ$2:$BA$12,2,1),"")))</f>
        <v>25</v>
      </c>
      <c r="U2" s="208">
        <v>480</v>
      </c>
      <c r="V2" s="217">
        <f t="shared" ref="V2:V70" si="1">IF(J2="","",IF(OR(J2="GREEN",J2="GK"),IF(U2&gt;=$AX$2,VLOOKUP(U2,$AX$2:$AY$12,2,1),""),IF(U2&gt;=$AZ$2,VLOOKUP(U2,$AZ$2:$BA$12,2,1),"")))</f>
        <v>16</v>
      </c>
      <c r="W2" s="208">
        <v>2</v>
      </c>
      <c r="X2" s="208" t="s">
        <v>39</v>
      </c>
      <c r="Y2" s="208" t="s">
        <v>78</v>
      </c>
      <c r="Z2" s="208" t="s">
        <v>102</v>
      </c>
      <c r="AA2" s="208" t="s">
        <v>69</v>
      </c>
      <c r="AB2" s="237" t="s">
        <v>434</v>
      </c>
      <c r="AE2" s="218" t="s">
        <v>35</v>
      </c>
      <c r="AG2" s="154" t="s">
        <v>310</v>
      </c>
      <c r="AH2" s="155" t="s">
        <v>302</v>
      </c>
      <c r="AJ2" s="248" t="s">
        <v>36</v>
      </c>
      <c r="AL2" s="219" t="s">
        <v>127</v>
      </c>
      <c r="AN2" s="156" t="s">
        <v>435</v>
      </c>
      <c r="AP2" s="219" t="s">
        <v>38</v>
      </c>
      <c r="AR2" s="219" t="s">
        <v>436</v>
      </c>
      <c r="AT2" s="248" t="s">
        <v>39</v>
      </c>
      <c r="AV2" s="224" t="s">
        <v>55</v>
      </c>
      <c r="AX2" s="157">
        <v>1</v>
      </c>
      <c r="AY2" s="158">
        <v>50</v>
      </c>
      <c r="AZ2" s="158">
        <v>1</v>
      </c>
      <c r="BA2" s="159">
        <v>50</v>
      </c>
    </row>
    <row r="3" spans="1:53" x14ac:dyDescent="0.15">
      <c r="A3" s="208" t="s">
        <v>59</v>
      </c>
      <c r="B3" s="237" t="s">
        <v>437</v>
      </c>
      <c r="C3" s="152">
        <v>2018</v>
      </c>
      <c r="D3" s="153" t="s">
        <v>438</v>
      </c>
      <c r="E3" s="208" t="s">
        <v>439</v>
      </c>
      <c r="F3" s="208" t="s">
        <v>303</v>
      </c>
      <c r="G3" s="208" t="s">
        <v>36</v>
      </c>
      <c r="H3" s="208" t="s">
        <v>165</v>
      </c>
      <c r="I3" s="208" t="s">
        <v>155</v>
      </c>
      <c r="J3" s="208" t="s">
        <v>38</v>
      </c>
      <c r="K3" s="208" t="s">
        <v>156</v>
      </c>
      <c r="L3" s="208">
        <v>2</v>
      </c>
      <c r="N3" s="208">
        <v>4</v>
      </c>
      <c r="O3" s="208">
        <v>0.65</v>
      </c>
      <c r="P3" s="208">
        <v>0.63</v>
      </c>
      <c r="Q3" s="245">
        <f t="shared" ref="Q3:Q73" si="2">IF(OR(O3="",P3=""),"",AVERAGE(O3,P3))</f>
        <v>0.64</v>
      </c>
      <c r="R3" s="208">
        <v>15.7</v>
      </c>
      <c r="S3" s="208">
        <v>135</v>
      </c>
      <c r="T3" s="217">
        <f t="shared" si="0"/>
        <v>25</v>
      </c>
      <c r="U3" s="208">
        <v>480</v>
      </c>
      <c r="V3" s="217">
        <f t="shared" si="1"/>
        <v>16</v>
      </c>
      <c r="W3" s="208">
        <v>2</v>
      </c>
      <c r="X3" s="208" t="s">
        <v>39</v>
      </c>
      <c r="Y3" s="208" t="s">
        <v>78</v>
      </c>
      <c r="Z3" s="208" t="s">
        <v>102</v>
      </c>
      <c r="AA3" s="208" t="s">
        <v>69</v>
      </c>
      <c r="AB3" s="237" t="s">
        <v>440</v>
      </c>
      <c r="AE3" s="223" t="s">
        <v>41</v>
      </c>
      <c r="AG3" s="154" t="s">
        <v>311</v>
      </c>
      <c r="AH3" s="155" t="s">
        <v>303</v>
      </c>
      <c r="AJ3" s="224" t="s">
        <v>42</v>
      </c>
      <c r="AL3" s="224" t="s">
        <v>128</v>
      </c>
      <c r="AN3" s="224" t="s">
        <v>43</v>
      </c>
      <c r="AP3" s="224" t="s">
        <v>44</v>
      </c>
      <c r="AR3" s="238" t="s">
        <v>45</v>
      </c>
      <c r="AT3" s="224" t="s">
        <v>46</v>
      </c>
      <c r="AV3" s="224" t="s">
        <v>441</v>
      </c>
      <c r="AX3" s="225">
        <v>72</v>
      </c>
      <c r="AY3" s="226">
        <v>46</v>
      </c>
      <c r="AZ3" s="226">
        <v>71</v>
      </c>
      <c r="BA3" s="227">
        <v>42</v>
      </c>
    </row>
    <row r="4" spans="1:53" x14ac:dyDescent="0.15">
      <c r="A4" s="208" t="s">
        <v>59</v>
      </c>
      <c r="B4" s="237" t="s">
        <v>437</v>
      </c>
      <c r="C4" s="152">
        <v>2018</v>
      </c>
      <c r="D4" s="153" t="s">
        <v>438</v>
      </c>
      <c r="E4" s="208" t="s">
        <v>439</v>
      </c>
      <c r="F4" s="208" t="s">
        <v>303</v>
      </c>
      <c r="G4" s="208" t="s">
        <v>36</v>
      </c>
      <c r="H4" s="208" t="s">
        <v>165</v>
      </c>
      <c r="I4" s="208" t="s">
        <v>442</v>
      </c>
      <c r="J4" s="208" t="s">
        <v>38</v>
      </c>
      <c r="K4" s="208" t="s">
        <v>156</v>
      </c>
      <c r="L4" s="208">
        <v>3</v>
      </c>
      <c r="N4" s="208">
        <v>4</v>
      </c>
      <c r="O4" s="208">
        <v>0.56000000000000005</v>
      </c>
      <c r="P4" s="208">
        <v>0.62</v>
      </c>
      <c r="Q4" s="245">
        <f t="shared" si="2"/>
        <v>0.59000000000000008</v>
      </c>
      <c r="R4" s="208">
        <v>16.5</v>
      </c>
      <c r="S4" s="208">
        <v>138</v>
      </c>
      <c r="T4" s="217">
        <f t="shared" si="0"/>
        <v>22</v>
      </c>
      <c r="U4" s="208">
        <v>480</v>
      </c>
      <c r="V4" s="217">
        <f t="shared" si="1"/>
        <v>16</v>
      </c>
      <c r="W4" s="208">
        <v>2</v>
      </c>
      <c r="X4" s="208" t="s">
        <v>39</v>
      </c>
      <c r="Y4" s="208" t="s">
        <v>78</v>
      </c>
      <c r="Z4" s="208" t="s">
        <v>102</v>
      </c>
      <c r="AA4" s="208" t="s">
        <v>69</v>
      </c>
      <c r="AB4" s="237" t="s">
        <v>440</v>
      </c>
      <c r="AE4" s="223" t="s">
        <v>34</v>
      </c>
      <c r="AG4" s="154" t="s">
        <v>312</v>
      </c>
      <c r="AH4" s="155" t="s">
        <v>304</v>
      </c>
      <c r="AJ4" s="228" t="s">
        <v>48</v>
      </c>
      <c r="AL4" s="228" t="s">
        <v>129</v>
      </c>
      <c r="AN4" s="229" t="s">
        <v>49</v>
      </c>
      <c r="AP4" s="224" t="s">
        <v>443</v>
      </c>
      <c r="AR4" s="238" t="s">
        <v>263</v>
      </c>
      <c r="AT4" s="229"/>
      <c r="AV4" s="224" t="s">
        <v>444</v>
      </c>
      <c r="AX4" s="225">
        <v>75</v>
      </c>
      <c r="AY4" s="226">
        <v>42</v>
      </c>
      <c r="AZ4" s="226">
        <v>76</v>
      </c>
      <c r="BA4" s="227">
        <v>39</v>
      </c>
    </row>
    <row r="5" spans="1:53" x14ac:dyDescent="0.15">
      <c r="A5" s="208" t="s">
        <v>59</v>
      </c>
      <c r="B5" s="237" t="s">
        <v>437</v>
      </c>
      <c r="C5" s="152">
        <v>2018</v>
      </c>
      <c r="D5" s="153" t="s">
        <v>438</v>
      </c>
      <c r="E5" s="208" t="s">
        <v>439</v>
      </c>
      <c r="F5" s="208" t="s">
        <v>303</v>
      </c>
      <c r="G5" s="208" t="s">
        <v>36</v>
      </c>
      <c r="H5" s="208" t="s">
        <v>157</v>
      </c>
      <c r="I5" s="208" t="s">
        <v>155</v>
      </c>
      <c r="J5" s="208" t="s">
        <v>38</v>
      </c>
      <c r="K5" s="208" t="s">
        <v>156</v>
      </c>
      <c r="L5" s="208">
        <v>1</v>
      </c>
      <c r="N5" s="208">
        <v>1</v>
      </c>
      <c r="O5" s="208">
        <v>0.75</v>
      </c>
      <c r="P5" s="208">
        <v>0.52</v>
      </c>
      <c r="Q5" s="245">
        <f t="shared" si="2"/>
        <v>0.63500000000000001</v>
      </c>
      <c r="R5" s="208">
        <v>15.7</v>
      </c>
      <c r="S5" s="208">
        <v>140</v>
      </c>
      <c r="T5" s="217">
        <f t="shared" si="0"/>
        <v>22</v>
      </c>
      <c r="U5" s="208">
        <v>128</v>
      </c>
      <c r="V5" s="217">
        <f t="shared" si="1"/>
        <v>27</v>
      </c>
      <c r="W5" s="208">
        <v>2</v>
      </c>
      <c r="X5" s="208" t="s">
        <v>39</v>
      </c>
      <c r="Y5" s="208" t="s">
        <v>78</v>
      </c>
      <c r="Z5" s="208" t="s">
        <v>102</v>
      </c>
      <c r="AA5" s="208" t="s">
        <v>69</v>
      </c>
      <c r="AB5" s="237" t="s">
        <v>440</v>
      </c>
      <c r="AE5" s="223" t="s">
        <v>51</v>
      </c>
      <c r="AG5" s="154" t="s">
        <v>264</v>
      </c>
      <c r="AH5" s="155" t="s">
        <v>305</v>
      </c>
      <c r="AJ5" s="229"/>
      <c r="AL5" s="230" t="s">
        <v>445</v>
      </c>
      <c r="AN5" s="72" t="s">
        <v>446</v>
      </c>
      <c r="AP5" s="224" t="s">
        <v>447</v>
      </c>
      <c r="AR5" s="238" t="s">
        <v>54</v>
      </c>
      <c r="AV5" s="224" t="s">
        <v>448</v>
      </c>
      <c r="AX5" s="225">
        <v>84</v>
      </c>
      <c r="AY5" s="226">
        <v>39</v>
      </c>
      <c r="AZ5" s="226">
        <v>84</v>
      </c>
      <c r="BA5" s="227">
        <v>36</v>
      </c>
    </row>
    <row r="6" spans="1:53" x14ac:dyDescent="0.15">
      <c r="A6" s="208" t="s">
        <v>59</v>
      </c>
      <c r="B6" s="237" t="s">
        <v>437</v>
      </c>
      <c r="C6" s="152">
        <v>2018</v>
      </c>
      <c r="D6" s="153" t="s">
        <v>438</v>
      </c>
      <c r="E6" s="208" t="s">
        <v>439</v>
      </c>
      <c r="F6" s="208" t="s">
        <v>303</v>
      </c>
      <c r="G6" s="208" t="s">
        <v>36</v>
      </c>
      <c r="H6" s="208" t="s">
        <v>157</v>
      </c>
      <c r="I6" s="208" t="s">
        <v>155</v>
      </c>
      <c r="J6" s="208" t="s">
        <v>38</v>
      </c>
      <c r="K6" s="208" t="s">
        <v>156</v>
      </c>
      <c r="L6" s="208">
        <v>2</v>
      </c>
      <c r="N6" s="208">
        <v>1</v>
      </c>
      <c r="O6" s="208">
        <v>0.43</v>
      </c>
      <c r="P6" s="208">
        <v>0.62</v>
      </c>
      <c r="Q6" s="245">
        <f t="shared" si="2"/>
        <v>0.52500000000000002</v>
      </c>
      <c r="R6" s="208">
        <v>15.8</v>
      </c>
      <c r="S6" s="208">
        <v>140</v>
      </c>
      <c r="T6" s="217">
        <f t="shared" si="0"/>
        <v>22</v>
      </c>
      <c r="U6" s="208">
        <v>128</v>
      </c>
      <c r="V6" s="217">
        <f t="shared" si="1"/>
        <v>27</v>
      </c>
      <c r="W6" s="208">
        <v>2</v>
      </c>
      <c r="X6" s="208" t="s">
        <v>39</v>
      </c>
      <c r="Y6" s="208" t="s">
        <v>78</v>
      </c>
      <c r="Z6" s="208" t="s">
        <v>102</v>
      </c>
      <c r="AA6" s="208" t="s">
        <v>69</v>
      </c>
      <c r="AB6" s="237" t="s">
        <v>440</v>
      </c>
      <c r="AE6" s="223" t="s">
        <v>56</v>
      </c>
      <c r="AG6" s="154" t="s">
        <v>313</v>
      </c>
      <c r="AH6" s="155" t="s">
        <v>306</v>
      </c>
      <c r="AL6" s="230" t="s">
        <v>449</v>
      </c>
      <c r="AN6" s="230" t="s">
        <v>450</v>
      </c>
      <c r="AP6" s="224" t="s">
        <v>53</v>
      </c>
      <c r="AR6" s="238" t="s">
        <v>172</v>
      </c>
      <c r="AV6" s="224" t="s">
        <v>60</v>
      </c>
      <c r="AX6" s="225">
        <v>97</v>
      </c>
      <c r="AY6" s="226">
        <v>36</v>
      </c>
      <c r="AZ6" s="226">
        <v>99</v>
      </c>
      <c r="BA6" s="227">
        <v>33</v>
      </c>
    </row>
    <row r="7" spans="1:53" x14ac:dyDescent="0.15">
      <c r="A7" s="208" t="s">
        <v>59</v>
      </c>
      <c r="B7" s="237" t="s">
        <v>381</v>
      </c>
      <c r="C7" s="152">
        <v>2018</v>
      </c>
      <c r="D7" s="153" t="s">
        <v>451</v>
      </c>
      <c r="E7" s="208" t="s">
        <v>452</v>
      </c>
      <c r="F7" s="208" t="s">
        <v>303</v>
      </c>
      <c r="G7" s="208" t="s">
        <v>36</v>
      </c>
      <c r="H7" s="208" t="s">
        <v>157</v>
      </c>
      <c r="I7" s="208" t="s">
        <v>155</v>
      </c>
      <c r="J7" s="208" t="s">
        <v>38</v>
      </c>
      <c r="K7" s="208" t="s">
        <v>156</v>
      </c>
      <c r="L7" s="208">
        <v>3</v>
      </c>
      <c r="N7" s="208">
        <v>1</v>
      </c>
      <c r="O7" s="208">
        <v>0.69</v>
      </c>
      <c r="P7" s="208">
        <v>0.53</v>
      </c>
      <c r="Q7" s="245">
        <f t="shared" si="2"/>
        <v>0.61</v>
      </c>
      <c r="R7" s="208">
        <v>15.2</v>
      </c>
      <c r="S7" s="208">
        <v>138</v>
      </c>
      <c r="T7" s="217">
        <f t="shared" si="0"/>
        <v>22</v>
      </c>
      <c r="U7" s="208">
        <v>128</v>
      </c>
      <c r="V7" s="217">
        <f t="shared" si="1"/>
        <v>27</v>
      </c>
      <c r="W7" s="208">
        <v>2</v>
      </c>
      <c r="X7" s="208" t="s">
        <v>39</v>
      </c>
      <c r="Y7" s="208" t="s">
        <v>78</v>
      </c>
      <c r="Z7" s="208" t="s">
        <v>102</v>
      </c>
      <c r="AA7" s="208" t="s">
        <v>69</v>
      </c>
      <c r="AB7" s="237" t="s">
        <v>453</v>
      </c>
      <c r="AE7" s="223" t="s">
        <v>61</v>
      </c>
      <c r="AG7" s="154" t="s">
        <v>314</v>
      </c>
      <c r="AH7" s="155" t="s">
        <v>307</v>
      </c>
      <c r="AL7" s="235" t="s">
        <v>454</v>
      </c>
      <c r="AP7" s="224" t="s">
        <v>58</v>
      </c>
      <c r="AR7" s="231" t="s">
        <v>265</v>
      </c>
      <c r="AV7" s="224" t="s">
        <v>64</v>
      </c>
      <c r="AX7" s="225">
        <v>109</v>
      </c>
      <c r="AY7" s="226">
        <v>33</v>
      </c>
      <c r="AZ7" s="226">
        <v>113</v>
      </c>
      <c r="BA7" s="227">
        <v>30</v>
      </c>
    </row>
    <row r="8" spans="1:53" x14ac:dyDescent="0.15">
      <c r="A8" s="208" t="s">
        <v>59</v>
      </c>
      <c r="B8" s="237" t="s">
        <v>455</v>
      </c>
      <c r="C8" s="152">
        <v>2018</v>
      </c>
      <c r="D8" s="153" t="s">
        <v>456</v>
      </c>
      <c r="E8" s="208" t="s">
        <v>310</v>
      </c>
      <c r="F8" s="208" t="s">
        <v>302</v>
      </c>
      <c r="G8" s="208" t="s">
        <v>36</v>
      </c>
      <c r="H8" s="208" t="s">
        <v>165</v>
      </c>
      <c r="I8" s="208" t="s">
        <v>155</v>
      </c>
      <c r="J8" s="208" t="s">
        <v>38</v>
      </c>
      <c r="K8" s="208" t="s">
        <v>156</v>
      </c>
      <c r="L8" s="208">
        <v>1</v>
      </c>
      <c r="N8" s="208">
        <v>4</v>
      </c>
      <c r="O8" s="208">
        <v>0.65</v>
      </c>
      <c r="P8" s="208">
        <v>0.45</v>
      </c>
      <c r="Q8" s="245">
        <f t="shared" si="2"/>
        <v>0.55000000000000004</v>
      </c>
      <c r="R8" s="208">
        <v>16.2</v>
      </c>
      <c r="S8" s="208">
        <v>100</v>
      </c>
      <c r="T8" s="217">
        <f t="shared" si="0"/>
        <v>33</v>
      </c>
      <c r="U8" s="208">
        <v>437</v>
      </c>
      <c r="V8" s="217">
        <f t="shared" si="1"/>
        <v>16</v>
      </c>
      <c r="W8" s="208">
        <v>6</v>
      </c>
      <c r="X8" s="208" t="s">
        <v>39</v>
      </c>
      <c r="Y8" s="208" t="s">
        <v>88</v>
      </c>
      <c r="Z8" s="208" t="s">
        <v>69</v>
      </c>
      <c r="AA8" s="208" t="s">
        <v>102</v>
      </c>
      <c r="AB8" s="237" t="s">
        <v>440</v>
      </c>
      <c r="AE8" s="223" t="s">
        <v>59</v>
      </c>
      <c r="AG8" s="160" t="s">
        <v>315</v>
      </c>
      <c r="AH8" s="155" t="s">
        <v>308</v>
      </c>
      <c r="AL8" s="235" t="s">
        <v>457</v>
      </c>
      <c r="AP8" s="224" t="s">
        <v>62</v>
      </c>
      <c r="AR8" s="238" t="s">
        <v>81</v>
      </c>
      <c r="AV8" s="224" t="s">
        <v>97</v>
      </c>
      <c r="AX8" s="225">
        <v>119</v>
      </c>
      <c r="AY8" s="226">
        <v>30</v>
      </c>
      <c r="AZ8" s="226">
        <v>121</v>
      </c>
      <c r="BA8" s="227">
        <v>27</v>
      </c>
    </row>
    <row r="9" spans="1:53" x14ac:dyDescent="0.15">
      <c r="A9" s="208" t="s">
        <v>59</v>
      </c>
      <c r="B9" s="237" t="s">
        <v>437</v>
      </c>
      <c r="C9" s="152">
        <v>2018</v>
      </c>
      <c r="D9" s="153" t="s">
        <v>438</v>
      </c>
      <c r="E9" s="208" t="s">
        <v>310</v>
      </c>
      <c r="F9" s="208" t="s">
        <v>302</v>
      </c>
      <c r="G9" s="208" t="s">
        <v>36</v>
      </c>
      <c r="H9" s="208" t="s">
        <v>165</v>
      </c>
      <c r="I9" s="208" t="s">
        <v>155</v>
      </c>
      <c r="J9" s="208" t="s">
        <v>38</v>
      </c>
      <c r="K9" s="208" t="s">
        <v>156</v>
      </c>
      <c r="L9" s="208">
        <v>2</v>
      </c>
      <c r="N9" s="208">
        <v>4</v>
      </c>
      <c r="O9" s="208">
        <v>0.56000000000000005</v>
      </c>
      <c r="P9" s="208">
        <v>0.52</v>
      </c>
      <c r="Q9" s="245">
        <f t="shared" si="2"/>
        <v>0.54</v>
      </c>
      <c r="R9" s="208">
        <v>16.8</v>
      </c>
      <c r="S9" s="208">
        <v>104</v>
      </c>
      <c r="T9" s="217">
        <f t="shared" si="0"/>
        <v>33</v>
      </c>
      <c r="U9" s="208">
        <v>437</v>
      </c>
      <c r="V9" s="217">
        <f t="shared" si="1"/>
        <v>16</v>
      </c>
      <c r="W9" s="208">
        <v>6</v>
      </c>
      <c r="X9" s="208" t="s">
        <v>39</v>
      </c>
      <c r="Y9" s="208" t="s">
        <v>88</v>
      </c>
      <c r="Z9" s="208" t="s">
        <v>69</v>
      </c>
      <c r="AA9" s="208" t="s">
        <v>102</v>
      </c>
      <c r="AB9" s="237" t="s">
        <v>440</v>
      </c>
      <c r="AE9" s="223" t="s">
        <v>98</v>
      </c>
      <c r="AG9" s="160" t="s">
        <v>316</v>
      </c>
      <c r="AH9" s="155" t="s">
        <v>308</v>
      </c>
      <c r="AL9" s="230"/>
      <c r="AP9" s="224" t="s">
        <v>267</v>
      </c>
      <c r="AR9" s="231" t="s">
        <v>89</v>
      </c>
      <c r="AV9" s="224" t="s">
        <v>102</v>
      </c>
      <c r="AX9" s="225">
        <v>128</v>
      </c>
      <c r="AY9" s="226">
        <v>27</v>
      </c>
      <c r="AZ9" s="226">
        <v>129</v>
      </c>
      <c r="BA9" s="227">
        <v>25</v>
      </c>
    </row>
    <row r="10" spans="1:53" x14ac:dyDescent="0.15">
      <c r="A10" s="208" t="s">
        <v>59</v>
      </c>
      <c r="B10" s="237" t="s">
        <v>374</v>
      </c>
      <c r="C10" s="152">
        <v>2018</v>
      </c>
      <c r="D10" s="153" t="s">
        <v>458</v>
      </c>
      <c r="E10" s="208" t="s">
        <v>310</v>
      </c>
      <c r="F10" s="208" t="s">
        <v>302</v>
      </c>
      <c r="G10" s="208" t="s">
        <v>36</v>
      </c>
      <c r="H10" s="208" t="s">
        <v>165</v>
      </c>
      <c r="I10" s="208" t="s">
        <v>155</v>
      </c>
      <c r="J10" s="208" t="s">
        <v>38</v>
      </c>
      <c r="K10" s="208" t="s">
        <v>156</v>
      </c>
      <c r="L10" s="208">
        <v>3</v>
      </c>
      <c r="N10" s="208">
        <v>4</v>
      </c>
      <c r="O10" s="208">
        <v>0.66</v>
      </c>
      <c r="P10" s="208">
        <v>0.67</v>
      </c>
      <c r="Q10" s="245">
        <f t="shared" si="2"/>
        <v>0.66500000000000004</v>
      </c>
      <c r="R10" s="208">
        <v>16.7</v>
      </c>
      <c r="S10" s="208">
        <v>100</v>
      </c>
      <c r="T10" s="217">
        <f t="shared" si="0"/>
        <v>33</v>
      </c>
      <c r="U10" s="208">
        <v>437</v>
      </c>
      <c r="V10" s="217">
        <f t="shared" si="1"/>
        <v>16</v>
      </c>
      <c r="W10" s="208">
        <v>6</v>
      </c>
      <c r="X10" s="208" t="s">
        <v>39</v>
      </c>
      <c r="Y10" s="208" t="s">
        <v>88</v>
      </c>
      <c r="Z10" s="208" t="s">
        <v>69</v>
      </c>
      <c r="AA10" s="208" t="s">
        <v>102</v>
      </c>
      <c r="AB10" s="237" t="s">
        <v>440</v>
      </c>
      <c r="AE10" s="223" t="s">
        <v>103</v>
      </c>
      <c r="AG10" s="154" t="s">
        <v>317</v>
      </c>
      <c r="AH10" s="155" t="s">
        <v>305</v>
      </c>
      <c r="AL10" s="88"/>
      <c r="AP10" s="224" t="s">
        <v>100</v>
      </c>
      <c r="AR10" s="231" t="s">
        <v>123</v>
      </c>
      <c r="AV10" s="224" t="s">
        <v>106</v>
      </c>
      <c r="AX10" s="225">
        <v>138</v>
      </c>
      <c r="AY10" s="226">
        <v>25</v>
      </c>
      <c r="AZ10" s="226">
        <v>138</v>
      </c>
      <c r="BA10" s="227">
        <v>22</v>
      </c>
    </row>
    <row r="11" spans="1:53" x14ac:dyDescent="0.15">
      <c r="A11" s="208" t="s">
        <v>59</v>
      </c>
      <c r="B11" s="237" t="s">
        <v>437</v>
      </c>
      <c r="C11" s="152">
        <v>2018</v>
      </c>
      <c r="D11" s="153" t="s">
        <v>438</v>
      </c>
      <c r="E11" s="208" t="s">
        <v>310</v>
      </c>
      <c r="F11" s="208" t="s">
        <v>302</v>
      </c>
      <c r="G11" s="208" t="s">
        <v>36</v>
      </c>
      <c r="H11" s="208" t="s">
        <v>157</v>
      </c>
      <c r="I11" s="208" t="s">
        <v>155</v>
      </c>
      <c r="J11" s="208" t="s">
        <v>38</v>
      </c>
      <c r="K11" s="208" t="s">
        <v>156</v>
      </c>
      <c r="L11" s="208">
        <v>1</v>
      </c>
      <c r="N11" s="208">
        <v>2</v>
      </c>
      <c r="O11" s="208">
        <v>0.85</v>
      </c>
      <c r="P11" s="208">
        <v>0.8</v>
      </c>
      <c r="Q11" s="245">
        <f t="shared" si="2"/>
        <v>0.82499999999999996</v>
      </c>
      <c r="R11" s="208">
        <v>15.6</v>
      </c>
      <c r="S11" s="208">
        <v>163</v>
      </c>
      <c r="T11" s="217">
        <f t="shared" si="0"/>
        <v>18</v>
      </c>
      <c r="U11" s="208">
        <v>277</v>
      </c>
      <c r="V11" s="217">
        <f t="shared" si="1"/>
        <v>16</v>
      </c>
      <c r="W11" s="208">
        <v>5</v>
      </c>
      <c r="X11" s="208" t="s">
        <v>39</v>
      </c>
      <c r="Y11" s="208" t="s">
        <v>88</v>
      </c>
      <c r="Z11" s="208" t="s">
        <v>69</v>
      </c>
      <c r="AA11" s="208" t="s">
        <v>102</v>
      </c>
      <c r="AB11" s="237" t="s">
        <v>440</v>
      </c>
      <c r="AE11" s="223" t="s">
        <v>65</v>
      </c>
      <c r="AG11" s="160" t="s">
        <v>318</v>
      </c>
      <c r="AH11" s="155" t="s">
        <v>309</v>
      </c>
      <c r="AL11" s="88"/>
      <c r="AP11" s="224" t="s">
        <v>266</v>
      </c>
      <c r="AR11" s="231" t="s">
        <v>268</v>
      </c>
      <c r="AV11" s="224" t="s">
        <v>459</v>
      </c>
      <c r="AX11" s="225">
        <v>151</v>
      </c>
      <c r="AY11" s="226">
        <v>22</v>
      </c>
      <c r="AZ11" s="226">
        <v>152</v>
      </c>
      <c r="BA11" s="227">
        <v>18</v>
      </c>
    </row>
    <row r="12" spans="1:53" x14ac:dyDescent="0.15">
      <c r="A12" s="208" t="s">
        <v>59</v>
      </c>
      <c r="B12" s="237" t="s">
        <v>460</v>
      </c>
      <c r="C12" s="152">
        <v>2018</v>
      </c>
      <c r="D12" s="153" t="s">
        <v>461</v>
      </c>
      <c r="E12" s="208" t="s">
        <v>310</v>
      </c>
      <c r="F12" s="208" t="s">
        <v>302</v>
      </c>
      <c r="G12" s="208" t="s">
        <v>36</v>
      </c>
      <c r="H12" s="208" t="s">
        <v>157</v>
      </c>
      <c r="I12" s="208" t="s">
        <v>155</v>
      </c>
      <c r="J12" s="208" t="s">
        <v>38</v>
      </c>
      <c r="K12" s="208" t="s">
        <v>156</v>
      </c>
      <c r="L12" s="208">
        <v>2</v>
      </c>
      <c r="N12" s="208">
        <v>2</v>
      </c>
      <c r="O12" s="208">
        <v>0.67</v>
      </c>
      <c r="P12" s="208">
        <v>0.67</v>
      </c>
      <c r="Q12" s="245">
        <f t="shared" si="2"/>
        <v>0.67</v>
      </c>
      <c r="R12" s="208">
        <v>15.2</v>
      </c>
      <c r="S12" s="208">
        <v>153</v>
      </c>
      <c r="T12" s="217">
        <f t="shared" si="0"/>
        <v>18</v>
      </c>
      <c r="U12" s="208">
        <v>277</v>
      </c>
      <c r="V12" s="217">
        <f t="shared" si="1"/>
        <v>16</v>
      </c>
      <c r="W12" s="208">
        <v>5</v>
      </c>
      <c r="X12" s="208" t="s">
        <v>39</v>
      </c>
      <c r="Y12" s="208" t="s">
        <v>88</v>
      </c>
      <c r="Z12" s="208" t="s">
        <v>69</v>
      </c>
      <c r="AA12" s="208" t="s">
        <v>102</v>
      </c>
      <c r="AB12" s="237" t="s">
        <v>440</v>
      </c>
      <c r="AE12" s="223" t="s">
        <v>70</v>
      </c>
      <c r="AG12" s="231"/>
      <c r="AH12" s="161"/>
      <c r="AL12" s="88"/>
      <c r="AP12" s="224" t="s">
        <v>67</v>
      </c>
      <c r="AR12" s="231" t="s">
        <v>124</v>
      </c>
      <c r="AV12" s="224" t="s">
        <v>72</v>
      </c>
      <c r="AX12" s="232">
        <v>180</v>
      </c>
      <c r="AY12" s="233">
        <v>18</v>
      </c>
      <c r="AZ12" s="233">
        <v>181</v>
      </c>
      <c r="BA12" s="234">
        <v>16</v>
      </c>
    </row>
    <row r="13" spans="1:53" x14ac:dyDescent="0.15">
      <c r="A13" s="208" t="s">
        <v>59</v>
      </c>
      <c r="B13" s="237" t="s">
        <v>385</v>
      </c>
      <c r="C13" s="152">
        <v>2018</v>
      </c>
      <c r="D13" s="153" t="s">
        <v>462</v>
      </c>
      <c r="E13" s="208" t="s">
        <v>310</v>
      </c>
      <c r="F13" s="208" t="s">
        <v>302</v>
      </c>
      <c r="G13" s="208" t="s">
        <v>36</v>
      </c>
      <c r="H13" s="208" t="s">
        <v>157</v>
      </c>
      <c r="I13" s="208" t="s">
        <v>155</v>
      </c>
      <c r="J13" s="208" t="s">
        <v>38</v>
      </c>
      <c r="K13" s="208" t="s">
        <v>156</v>
      </c>
      <c r="L13" s="208">
        <v>3</v>
      </c>
      <c r="N13" s="208">
        <v>2</v>
      </c>
      <c r="O13" s="208">
        <v>0.82</v>
      </c>
      <c r="P13" s="208">
        <v>0.85</v>
      </c>
      <c r="Q13" s="245">
        <f t="shared" si="2"/>
        <v>0.83499999999999996</v>
      </c>
      <c r="R13" s="208">
        <v>15.5</v>
      </c>
      <c r="S13" s="208">
        <v>165</v>
      </c>
      <c r="T13" s="217">
        <f t="shared" si="0"/>
        <v>18</v>
      </c>
      <c r="U13" s="208">
        <v>277</v>
      </c>
      <c r="V13" s="217">
        <f t="shared" si="1"/>
        <v>16</v>
      </c>
      <c r="W13" s="208">
        <v>5</v>
      </c>
      <c r="X13" s="208" t="s">
        <v>39</v>
      </c>
      <c r="Y13" s="208" t="s">
        <v>88</v>
      </c>
      <c r="Z13" s="208" t="s">
        <v>69</v>
      </c>
      <c r="AA13" s="208" t="s">
        <v>102</v>
      </c>
      <c r="AB13" s="237" t="s">
        <v>440</v>
      </c>
      <c r="AE13" s="223" t="s">
        <v>73</v>
      </c>
      <c r="AG13" s="224"/>
      <c r="AH13" s="224"/>
      <c r="AP13" s="224" t="s">
        <v>71</v>
      </c>
      <c r="AR13" s="231" t="s">
        <v>103</v>
      </c>
      <c r="AV13" s="224" t="s">
        <v>75</v>
      </c>
    </row>
    <row r="14" spans="1:53" x14ac:dyDescent="0.15">
      <c r="A14" s="208" t="s">
        <v>59</v>
      </c>
      <c r="B14" s="237" t="s">
        <v>387</v>
      </c>
      <c r="C14" s="152">
        <v>2018</v>
      </c>
      <c r="D14" s="153" t="s">
        <v>463</v>
      </c>
      <c r="E14" s="208" t="s">
        <v>264</v>
      </c>
      <c r="F14" s="208" t="s">
        <v>305</v>
      </c>
      <c r="G14" s="208" t="s">
        <v>36</v>
      </c>
      <c r="H14" s="208" t="s">
        <v>165</v>
      </c>
      <c r="I14" s="208" t="s">
        <v>155</v>
      </c>
      <c r="J14" s="208" t="s">
        <v>38</v>
      </c>
      <c r="K14" s="208" t="s">
        <v>156</v>
      </c>
      <c r="L14" s="208">
        <v>1</v>
      </c>
      <c r="N14" s="208">
        <v>4</v>
      </c>
      <c r="O14" s="208">
        <v>0.5</v>
      </c>
      <c r="P14" s="208">
        <v>0.47</v>
      </c>
      <c r="Q14" s="245">
        <f t="shared" si="2"/>
        <v>0.48499999999999999</v>
      </c>
      <c r="R14" s="208">
        <v>15.4</v>
      </c>
      <c r="S14" s="208">
        <v>115</v>
      </c>
      <c r="T14" s="217">
        <f t="shared" si="0"/>
        <v>30</v>
      </c>
      <c r="U14" s="208">
        <v>499</v>
      </c>
      <c r="V14" s="217">
        <f t="shared" si="1"/>
        <v>16</v>
      </c>
      <c r="W14" s="208">
        <v>3</v>
      </c>
      <c r="X14" s="208" t="s">
        <v>39</v>
      </c>
      <c r="Y14" s="208" t="s">
        <v>78</v>
      </c>
      <c r="Z14" s="208" t="s">
        <v>88</v>
      </c>
      <c r="AA14" s="208" t="s">
        <v>97</v>
      </c>
      <c r="AB14" s="237" t="s">
        <v>464</v>
      </c>
      <c r="AE14" s="223" t="s">
        <v>76</v>
      </c>
      <c r="AG14" s="224"/>
      <c r="AH14" s="224"/>
      <c r="AP14" s="224" t="s">
        <v>269</v>
      </c>
      <c r="AR14" s="231" t="s">
        <v>125</v>
      </c>
      <c r="AV14" s="224" t="s">
        <v>78</v>
      </c>
    </row>
    <row r="15" spans="1:53" x14ac:dyDescent="0.15">
      <c r="A15" s="208" t="s">
        <v>59</v>
      </c>
      <c r="B15" s="237" t="s">
        <v>387</v>
      </c>
      <c r="C15" s="152">
        <v>2018</v>
      </c>
      <c r="D15" s="153" t="s">
        <v>463</v>
      </c>
      <c r="E15" s="208" t="s">
        <v>264</v>
      </c>
      <c r="F15" s="208" t="s">
        <v>305</v>
      </c>
      <c r="G15" s="208" t="s">
        <v>36</v>
      </c>
      <c r="H15" s="208" t="s">
        <v>165</v>
      </c>
      <c r="I15" s="208" t="s">
        <v>155</v>
      </c>
      <c r="J15" s="208" t="s">
        <v>38</v>
      </c>
      <c r="K15" s="208" t="s">
        <v>156</v>
      </c>
      <c r="L15" s="208">
        <v>2</v>
      </c>
      <c r="N15" s="208">
        <v>4</v>
      </c>
      <c r="O15" s="208">
        <v>0.47</v>
      </c>
      <c r="P15" s="208">
        <v>0.59</v>
      </c>
      <c r="Q15" s="245">
        <f t="shared" si="2"/>
        <v>0.53</v>
      </c>
      <c r="R15" s="208">
        <v>15.9</v>
      </c>
      <c r="S15" s="208">
        <v>109</v>
      </c>
      <c r="T15" s="217">
        <f t="shared" si="0"/>
        <v>33</v>
      </c>
      <c r="U15" s="208">
        <v>499</v>
      </c>
      <c r="V15" s="217">
        <f t="shared" si="1"/>
        <v>16</v>
      </c>
      <c r="W15" s="208">
        <v>3</v>
      </c>
      <c r="X15" s="208" t="s">
        <v>39</v>
      </c>
      <c r="Y15" s="208" t="s">
        <v>78</v>
      </c>
      <c r="Z15" s="208" t="s">
        <v>88</v>
      </c>
      <c r="AA15" s="208" t="s">
        <v>97</v>
      </c>
      <c r="AB15" s="237" t="s">
        <v>464</v>
      </c>
      <c r="AE15" s="223" t="s">
        <v>79</v>
      </c>
      <c r="AG15" s="224"/>
      <c r="AH15" s="224"/>
      <c r="AP15" s="224" t="s">
        <v>270</v>
      </c>
      <c r="AR15" s="231" t="s">
        <v>94</v>
      </c>
      <c r="AV15" s="224" t="s">
        <v>107</v>
      </c>
    </row>
    <row r="16" spans="1:53" x14ac:dyDescent="0.15">
      <c r="A16" s="208" t="s">
        <v>59</v>
      </c>
      <c r="B16" s="237" t="s">
        <v>389</v>
      </c>
      <c r="C16" s="152">
        <v>2018</v>
      </c>
      <c r="D16" s="153" t="s">
        <v>465</v>
      </c>
      <c r="E16" s="208" t="s">
        <v>264</v>
      </c>
      <c r="F16" s="208" t="s">
        <v>305</v>
      </c>
      <c r="G16" s="208" t="s">
        <v>36</v>
      </c>
      <c r="H16" s="208" t="s">
        <v>165</v>
      </c>
      <c r="I16" s="208" t="s">
        <v>155</v>
      </c>
      <c r="J16" s="208" t="s">
        <v>38</v>
      </c>
      <c r="K16" s="208" t="s">
        <v>156</v>
      </c>
      <c r="L16" s="208">
        <v>3</v>
      </c>
      <c r="N16" s="208">
        <v>4</v>
      </c>
      <c r="O16" s="208">
        <v>0.45</v>
      </c>
      <c r="P16" s="208">
        <v>0.62</v>
      </c>
      <c r="Q16" s="245">
        <f t="shared" si="2"/>
        <v>0.53500000000000003</v>
      </c>
      <c r="R16" s="208">
        <v>15.2</v>
      </c>
      <c r="S16" s="208">
        <v>109</v>
      </c>
      <c r="T16" s="217">
        <f t="shared" si="0"/>
        <v>33</v>
      </c>
      <c r="U16" s="208">
        <v>499</v>
      </c>
      <c r="V16" s="217">
        <f t="shared" si="1"/>
        <v>16</v>
      </c>
      <c r="W16" s="208">
        <v>3</v>
      </c>
      <c r="X16" s="208" t="s">
        <v>39</v>
      </c>
      <c r="Y16" s="208" t="s">
        <v>78</v>
      </c>
      <c r="Z16" s="208" t="s">
        <v>88</v>
      </c>
      <c r="AA16" s="208" t="s">
        <v>97</v>
      </c>
      <c r="AB16" s="237" t="s">
        <v>466</v>
      </c>
      <c r="AE16" s="223" t="s">
        <v>82</v>
      </c>
      <c r="AG16" s="229"/>
      <c r="AH16" s="229"/>
      <c r="AP16" s="224" t="s">
        <v>80</v>
      </c>
      <c r="AR16" s="238" t="s">
        <v>63</v>
      </c>
      <c r="AV16" s="224" t="s">
        <v>84</v>
      </c>
    </row>
    <row r="17" spans="1:48" x14ac:dyDescent="0.15">
      <c r="A17" s="208" t="s">
        <v>59</v>
      </c>
      <c r="B17" s="237" t="s">
        <v>389</v>
      </c>
      <c r="C17" s="152">
        <v>2018</v>
      </c>
      <c r="D17" s="153" t="s">
        <v>465</v>
      </c>
      <c r="E17" s="208" t="s">
        <v>264</v>
      </c>
      <c r="F17" s="208" t="s">
        <v>305</v>
      </c>
      <c r="G17" s="208" t="s">
        <v>36</v>
      </c>
      <c r="H17" s="208" t="s">
        <v>157</v>
      </c>
      <c r="I17" s="208" t="s">
        <v>155</v>
      </c>
      <c r="J17" s="208" t="s">
        <v>38</v>
      </c>
      <c r="K17" s="208" t="s">
        <v>156</v>
      </c>
      <c r="L17" s="208">
        <v>1</v>
      </c>
      <c r="N17" s="208">
        <v>1</v>
      </c>
      <c r="O17" s="208">
        <v>0.35</v>
      </c>
      <c r="P17" s="208">
        <v>0.3</v>
      </c>
      <c r="Q17" s="245">
        <f t="shared" si="2"/>
        <v>0.32499999999999996</v>
      </c>
      <c r="R17" s="208">
        <v>14.3</v>
      </c>
      <c r="S17" s="208">
        <v>132</v>
      </c>
      <c r="T17" s="217">
        <f t="shared" si="0"/>
        <v>25</v>
      </c>
      <c r="U17" s="208">
        <v>149</v>
      </c>
      <c r="V17" s="217">
        <f t="shared" si="1"/>
        <v>22</v>
      </c>
      <c r="W17" s="208">
        <v>3</v>
      </c>
      <c r="X17" s="208" t="s">
        <v>39</v>
      </c>
      <c r="Y17" s="208" t="s">
        <v>78</v>
      </c>
      <c r="Z17" s="208" t="s">
        <v>88</v>
      </c>
      <c r="AA17" s="208" t="s">
        <v>97</v>
      </c>
      <c r="AB17" s="237" t="s">
        <v>466</v>
      </c>
      <c r="AE17" s="223" t="s">
        <v>85</v>
      </c>
      <c r="AP17" s="239" t="s">
        <v>110</v>
      </c>
      <c r="AR17" s="238" t="s">
        <v>96</v>
      </c>
      <c r="AV17" s="224" t="s">
        <v>86</v>
      </c>
    </row>
    <row r="18" spans="1:48" x14ac:dyDescent="0.15">
      <c r="A18" s="208" t="s">
        <v>59</v>
      </c>
      <c r="B18" s="237" t="s">
        <v>389</v>
      </c>
      <c r="C18" s="152">
        <v>2018</v>
      </c>
      <c r="D18" s="153" t="s">
        <v>465</v>
      </c>
      <c r="E18" s="208" t="s">
        <v>264</v>
      </c>
      <c r="F18" s="208" t="s">
        <v>305</v>
      </c>
      <c r="G18" s="208" t="s">
        <v>36</v>
      </c>
      <c r="H18" s="208" t="s">
        <v>157</v>
      </c>
      <c r="I18" s="208" t="s">
        <v>155</v>
      </c>
      <c r="J18" s="208" t="s">
        <v>38</v>
      </c>
      <c r="K18" s="208" t="s">
        <v>156</v>
      </c>
      <c r="L18" s="208">
        <v>2</v>
      </c>
      <c r="N18" s="208">
        <v>1</v>
      </c>
      <c r="O18" s="208">
        <v>0.35</v>
      </c>
      <c r="P18" s="208">
        <v>0.42</v>
      </c>
      <c r="Q18" s="245">
        <f t="shared" si="2"/>
        <v>0.38500000000000001</v>
      </c>
      <c r="R18" s="208">
        <v>14.7</v>
      </c>
      <c r="S18" s="208">
        <v>130</v>
      </c>
      <c r="T18" s="217">
        <f t="shared" si="0"/>
        <v>25</v>
      </c>
      <c r="U18" s="208">
        <v>149</v>
      </c>
      <c r="V18" s="217">
        <f t="shared" si="1"/>
        <v>22</v>
      </c>
      <c r="W18" s="208">
        <v>3</v>
      </c>
      <c r="X18" s="208" t="s">
        <v>39</v>
      </c>
      <c r="Y18" s="208" t="s">
        <v>78</v>
      </c>
      <c r="Z18" s="208" t="s">
        <v>88</v>
      </c>
      <c r="AA18" s="208" t="s">
        <v>97</v>
      </c>
      <c r="AB18" s="237" t="s">
        <v>466</v>
      </c>
      <c r="AE18" s="223" t="s">
        <v>87</v>
      </c>
      <c r="AP18" s="239" t="s">
        <v>272</v>
      </c>
      <c r="AR18" s="238" t="s">
        <v>101</v>
      </c>
      <c r="AV18" s="224" t="s">
        <v>88</v>
      </c>
    </row>
    <row r="19" spans="1:48" x14ac:dyDescent="0.15">
      <c r="A19" s="208" t="s">
        <v>59</v>
      </c>
      <c r="B19" s="237" t="s">
        <v>381</v>
      </c>
      <c r="C19" s="152">
        <v>2018</v>
      </c>
      <c r="D19" s="153" t="s">
        <v>451</v>
      </c>
      <c r="E19" s="208" t="s">
        <v>264</v>
      </c>
      <c r="F19" s="208" t="s">
        <v>305</v>
      </c>
      <c r="G19" s="208" t="s">
        <v>36</v>
      </c>
      <c r="H19" s="208" t="s">
        <v>157</v>
      </c>
      <c r="I19" s="208" t="s">
        <v>155</v>
      </c>
      <c r="J19" s="208" t="s">
        <v>38</v>
      </c>
      <c r="K19" s="208" t="s">
        <v>156</v>
      </c>
      <c r="L19" s="208">
        <v>3</v>
      </c>
      <c r="N19" s="208">
        <v>1</v>
      </c>
      <c r="O19" s="208">
        <v>0.47</v>
      </c>
      <c r="P19" s="208">
        <v>0.4</v>
      </c>
      <c r="Q19" s="245">
        <f t="shared" si="2"/>
        <v>0.435</v>
      </c>
      <c r="R19" s="208">
        <v>14.6</v>
      </c>
      <c r="S19" s="208">
        <v>131</v>
      </c>
      <c r="T19" s="217">
        <f t="shared" si="0"/>
        <v>25</v>
      </c>
      <c r="U19" s="208">
        <v>149</v>
      </c>
      <c r="V19" s="217">
        <f t="shared" si="1"/>
        <v>22</v>
      </c>
      <c r="W19" s="208">
        <v>3</v>
      </c>
      <c r="X19" s="208" t="s">
        <v>39</v>
      </c>
      <c r="Y19" s="208" t="s">
        <v>78</v>
      </c>
      <c r="Z19" s="208" t="s">
        <v>88</v>
      </c>
      <c r="AA19" s="208" t="s">
        <v>97</v>
      </c>
      <c r="AB19" s="237" t="s">
        <v>453</v>
      </c>
      <c r="AD19" s="237"/>
      <c r="AE19" s="236" t="s">
        <v>89</v>
      </c>
      <c r="AP19" s="239" t="s">
        <v>112</v>
      </c>
      <c r="AR19" s="231" t="s">
        <v>126</v>
      </c>
      <c r="AV19" s="224" t="s">
        <v>273</v>
      </c>
    </row>
    <row r="20" spans="1:48" x14ac:dyDescent="0.15">
      <c r="A20" s="208" t="s">
        <v>59</v>
      </c>
      <c r="B20" s="237" t="s">
        <v>467</v>
      </c>
      <c r="C20" s="152">
        <v>2018</v>
      </c>
      <c r="D20" s="153" t="s">
        <v>468</v>
      </c>
      <c r="E20" s="208" t="s">
        <v>317</v>
      </c>
      <c r="F20" s="208" t="s">
        <v>305</v>
      </c>
      <c r="G20" s="208" t="s">
        <v>36</v>
      </c>
      <c r="H20" s="208" t="s">
        <v>165</v>
      </c>
      <c r="I20" s="208" t="s">
        <v>155</v>
      </c>
      <c r="J20" s="208" t="s">
        <v>38</v>
      </c>
      <c r="K20" s="208" t="s">
        <v>156</v>
      </c>
      <c r="L20" s="208">
        <v>1</v>
      </c>
      <c r="N20" s="208">
        <v>2</v>
      </c>
      <c r="O20" s="208">
        <v>0.42</v>
      </c>
      <c r="P20" s="208">
        <v>0.38</v>
      </c>
      <c r="Q20" s="245">
        <f t="shared" si="2"/>
        <v>0.4</v>
      </c>
      <c r="R20" s="208">
        <v>17.7</v>
      </c>
      <c r="S20" s="208">
        <v>166</v>
      </c>
      <c r="T20" s="217">
        <f t="shared" si="0"/>
        <v>18</v>
      </c>
      <c r="U20" s="208">
        <v>410</v>
      </c>
      <c r="V20" s="217">
        <f t="shared" si="1"/>
        <v>16</v>
      </c>
      <c r="W20" s="208">
        <v>3</v>
      </c>
      <c r="X20" s="208" t="s">
        <v>46</v>
      </c>
      <c r="Y20" s="208" t="s">
        <v>78</v>
      </c>
      <c r="Z20" s="208" t="s">
        <v>88</v>
      </c>
      <c r="AA20" s="208" t="s">
        <v>102</v>
      </c>
      <c r="AB20" s="237" t="s">
        <v>469</v>
      </c>
      <c r="AD20" s="237"/>
      <c r="AE20" s="236"/>
      <c r="AP20" s="239" t="s">
        <v>113</v>
      </c>
      <c r="AR20" s="238" t="s">
        <v>105</v>
      </c>
      <c r="AV20" s="228" t="s">
        <v>470</v>
      </c>
    </row>
    <row r="21" spans="1:48" x14ac:dyDescent="0.15">
      <c r="A21" s="208" t="s">
        <v>59</v>
      </c>
      <c r="B21" s="237" t="s">
        <v>467</v>
      </c>
      <c r="C21" s="152">
        <v>2018</v>
      </c>
      <c r="D21" s="153" t="s">
        <v>468</v>
      </c>
      <c r="E21" s="208" t="s">
        <v>317</v>
      </c>
      <c r="F21" s="208" t="s">
        <v>305</v>
      </c>
      <c r="G21" s="208" t="s">
        <v>36</v>
      </c>
      <c r="H21" s="208" t="s">
        <v>165</v>
      </c>
      <c r="I21" s="208" t="s">
        <v>155</v>
      </c>
      <c r="J21" s="208" t="s">
        <v>38</v>
      </c>
      <c r="K21" s="208" t="s">
        <v>156</v>
      </c>
      <c r="L21" s="208">
        <v>2</v>
      </c>
      <c r="N21" s="208">
        <v>2</v>
      </c>
      <c r="O21" s="208">
        <v>0.45</v>
      </c>
      <c r="P21" s="208">
        <v>0.36</v>
      </c>
      <c r="Q21" s="245">
        <f t="shared" si="2"/>
        <v>0.40500000000000003</v>
      </c>
      <c r="R21" s="208">
        <v>16.2</v>
      </c>
      <c r="S21" s="208">
        <v>150</v>
      </c>
      <c r="T21" s="217">
        <f t="shared" si="0"/>
        <v>22</v>
      </c>
      <c r="U21" s="208">
        <v>410</v>
      </c>
      <c r="V21" s="217">
        <f t="shared" si="1"/>
        <v>16</v>
      </c>
      <c r="W21" s="208">
        <v>3</v>
      </c>
      <c r="X21" s="208" t="s">
        <v>46</v>
      </c>
      <c r="Y21" s="208" t="s">
        <v>78</v>
      </c>
      <c r="Z21" s="208" t="s">
        <v>88</v>
      </c>
      <c r="AA21" s="208" t="s">
        <v>102</v>
      </c>
      <c r="AB21" s="237" t="s">
        <v>469</v>
      </c>
      <c r="AD21" s="237"/>
      <c r="AE21" s="229"/>
      <c r="AP21" s="239" t="s">
        <v>274</v>
      </c>
      <c r="AR21" s="238" t="s">
        <v>68</v>
      </c>
      <c r="AV21" s="228" t="s">
        <v>471</v>
      </c>
    </row>
    <row r="22" spans="1:48" x14ac:dyDescent="0.15">
      <c r="A22" s="208" t="s">
        <v>59</v>
      </c>
      <c r="B22" s="237" t="s">
        <v>467</v>
      </c>
      <c r="C22" s="152">
        <v>2018</v>
      </c>
      <c r="D22" s="153" t="s">
        <v>468</v>
      </c>
      <c r="E22" s="208" t="s">
        <v>317</v>
      </c>
      <c r="F22" s="208" t="s">
        <v>305</v>
      </c>
      <c r="G22" s="208" t="s">
        <v>36</v>
      </c>
      <c r="H22" s="208" t="s">
        <v>165</v>
      </c>
      <c r="I22" s="208" t="s">
        <v>155</v>
      </c>
      <c r="J22" s="208" t="s">
        <v>38</v>
      </c>
      <c r="K22" s="208" t="s">
        <v>156</v>
      </c>
      <c r="L22" s="208">
        <v>3</v>
      </c>
      <c r="N22" s="208">
        <v>2</v>
      </c>
      <c r="O22" s="208">
        <v>0.44</v>
      </c>
      <c r="P22" s="208">
        <v>0.47</v>
      </c>
      <c r="Q22" s="245">
        <f t="shared" si="2"/>
        <v>0.45499999999999996</v>
      </c>
      <c r="R22" s="208">
        <v>16.600000000000001</v>
      </c>
      <c r="S22" s="208">
        <v>157</v>
      </c>
      <c r="T22" s="217">
        <f t="shared" si="0"/>
        <v>18</v>
      </c>
      <c r="U22" s="208">
        <v>410</v>
      </c>
      <c r="V22" s="217">
        <f t="shared" si="1"/>
        <v>16</v>
      </c>
      <c r="W22" s="208">
        <v>3</v>
      </c>
      <c r="X22" s="208" t="s">
        <v>46</v>
      </c>
      <c r="Y22" s="208" t="s">
        <v>78</v>
      </c>
      <c r="Z22" s="208" t="s">
        <v>88</v>
      </c>
      <c r="AA22" s="208" t="s">
        <v>102</v>
      </c>
      <c r="AB22" s="237" t="s">
        <v>469</v>
      </c>
      <c r="AD22" s="237"/>
      <c r="AP22" s="239" t="s">
        <v>271</v>
      </c>
      <c r="AR22" s="238" t="s">
        <v>83</v>
      </c>
      <c r="AV22" s="228" t="s">
        <v>275</v>
      </c>
    </row>
    <row r="23" spans="1:48" x14ac:dyDescent="0.15">
      <c r="A23" s="208" t="s">
        <v>59</v>
      </c>
      <c r="B23" s="237" t="s">
        <v>467</v>
      </c>
      <c r="C23" s="152">
        <v>2018</v>
      </c>
      <c r="D23" s="153" t="s">
        <v>468</v>
      </c>
      <c r="E23" s="208" t="s">
        <v>317</v>
      </c>
      <c r="F23" s="208" t="s">
        <v>305</v>
      </c>
      <c r="G23" s="208" t="s">
        <v>36</v>
      </c>
      <c r="H23" s="208" t="s">
        <v>157</v>
      </c>
      <c r="I23" s="208" t="s">
        <v>155</v>
      </c>
      <c r="J23" s="208" t="s">
        <v>38</v>
      </c>
      <c r="K23" s="208" t="s">
        <v>156</v>
      </c>
      <c r="L23" s="208">
        <v>1</v>
      </c>
      <c r="N23" s="208">
        <v>1</v>
      </c>
      <c r="O23" s="208">
        <v>0.63</v>
      </c>
      <c r="P23" s="208">
        <v>0.8</v>
      </c>
      <c r="Q23" s="245">
        <f t="shared" si="2"/>
        <v>0.71500000000000008</v>
      </c>
      <c r="R23" s="208">
        <v>14.3</v>
      </c>
      <c r="S23" s="208">
        <v>105</v>
      </c>
      <c r="T23" s="217">
        <f t="shared" si="0"/>
        <v>33</v>
      </c>
      <c r="U23" s="208">
        <v>108</v>
      </c>
      <c r="V23" s="217">
        <f t="shared" si="1"/>
        <v>33</v>
      </c>
      <c r="W23" s="208">
        <v>1</v>
      </c>
      <c r="X23" s="208" t="s">
        <v>46</v>
      </c>
      <c r="Y23" s="208" t="s">
        <v>78</v>
      </c>
      <c r="Z23" s="208" t="s">
        <v>88</v>
      </c>
      <c r="AA23" s="208" t="s">
        <v>102</v>
      </c>
      <c r="AB23" s="237" t="s">
        <v>469</v>
      </c>
      <c r="AP23" s="239" t="s">
        <v>472</v>
      </c>
      <c r="AR23" s="238" t="s">
        <v>61</v>
      </c>
      <c r="AV23" s="228" t="s">
        <v>473</v>
      </c>
    </row>
    <row r="24" spans="1:48" x14ac:dyDescent="0.15">
      <c r="A24" s="208" t="s">
        <v>59</v>
      </c>
      <c r="B24" s="237" t="s">
        <v>467</v>
      </c>
      <c r="C24" s="152">
        <v>2018</v>
      </c>
      <c r="D24" s="153" t="s">
        <v>468</v>
      </c>
      <c r="E24" s="208" t="s">
        <v>317</v>
      </c>
      <c r="F24" s="208" t="s">
        <v>305</v>
      </c>
      <c r="G24" s="208" t="s">
        <v>36</v>
      </c>
      <c r="H24" s="208" t="s">
        <v>157</v>
      </c>
      <c r="I24" s="208" t="s">
        <v>155</v>
      </c>
      <c r="J24" s="208" t="s">
        <v>38</v>
      </c>
      <c r="K24" s="208" t="s">
        <v>156</v>
      </c>
      <c r="L24" s="208">
        <v>2</v>
      </c>
      <c r="N24" s="208">
        <v>1</v>
      </c>
      <c r="O24" s="208">
        <v>0.68</v>
      </c>
      <c r="P24" s="208">
        <v>0.5</v>
      </c>
      <c r="Q24" s="245">
        <f t="shared" si="2"/>
        <v>0.59000000000000008</v>
      </c>
      <c r="R24" s="208">
        <v>12.3</v>
      </c>
      <c r="S24" s="208">
        <v>92</v>
      </c>
      <c r="T24" s="217">
        <f t="shared" si="0"/>
        <v>36</v>
      </c>
      <c r="U24" s="208">
        <v>108</v>
      </c>
      <c r="V24" s="217">
        <f t="shared" si="1"/>
        <v>33</v>
      </c>
      <c r="W24" s="208">
        <v>1</v>
      </c>
      <c r="X24" s="208" t="s">
        <v>46</v>
      </c>
      <c r="Y24" s="208" t="s">
        <v>78</v>
      </c>
      <c r="Z24" s="208" t="s">
        <v>88</v>
      </c>
      <c r="AA24" s="208" t="s">
        <v>102</v>
      </c>
      <c r="AB24" s="237" t="s">
        <v>469</v>
      </c>
      <c r="AP24" s="239" t="s">
        <v>474</v>
      </c>
      <c r="AR24" s="238" t="s">
        <v>91</v>
      </c>
      <c r="AV24" s="228" t="s">
        <v>475</v>
      </c>
    </row>
    <row r="25" spans="1:48" x14ac:dyDescent="0.15">
      <c r="A25" s="208" t="s">
        <v>59</v>
      </c>
      <c r="B25" s="237" t="s">
        <v>467</v>
      </c>
      <c r="C25" s="152">
        <v>2018</v>
      </c>
      <c r="D25" s="153" t="s">
        <v>468</v>
      </c>
      <c r="E25" s="208" t="s">
        <v>317</v>
      </c>
      <c r="F25" s="208" t="s">
        <v>305</v>
      </c>
      <c r="G25" s="208" t="s">
        <v>36</v>
      </c>
      <c r="H25" s="208" t="s">
        <v>157</v>
      </c>
      <c r="I25" s="208" t="s">
        <v>155</v>
      </c>
      <c r="J25" s="208" t="s">
        <v>38</v>
      </c>
      <c r="K25" s="208" t="s">
        <v>156</v>
      </c>
      <c r="L25" s="208">
        <v>3</v>
      </c>
      <c r="N25" s="208">
        <v>1</v>
      </c>
      <c r="O25" s="208">
        <v>0.5</v>
      </c>
      <c r="P25" s="208">
        <v>0.55000000000000004</v>
      </c>
      <c r="Q25" s="245">
        <f t="shared" si="2"/>
        <v>0.52500000000000002</v>
      </c>
      <c r="R25" s="208">
        <v>15.2</v>
      </c>
      <c r="S25" s="208">
        <v>100</v>
      </c>
      <c r="T25" s="217">
        <f t="shared" si="0"/>
        <v>33</v>
      </c>
      <c r="U25" s="208">
        <v>108</v>
      </c>
      <c r="V25" s="217">
        <f t="shared" si="1"/>
        <v>33</v>
      </c>
      <c r="W25" s="208">
        <v>1</v>
      </c>
      <c r="X25" s="208" t="s">
        <v>46</v>
      </c>
      <c r="Y25" s="208" t="s">
        <v>78</v>
      </c>
      <c r="Z25" s="208" t="s">
        <v>88</v>
      </c>
      <c r="AA25" s="208" t="s">
        <v>102</v>
      </c>
      <c r="AB25" s="237" t="s">
        <v>469</v>
      </c>
      <c r="AD25" s="237"/>
      <c r="AP25" s="239" t="s">
        <v>116</v>
      </c>
      <c r="AR25" s="42" t="s">
        <v>92</v>
      </c>
      <c r="AV25" s="228" t="s">
        <v>476</v>
      </c>
    </row>
    <row r="26" spans="1:48" x14ac:dyDescent="0.15">
      <c r="A26" s="208" t="s">
        <v>59</v>
      </c>
      <c r="B26" s="237" t="s">
        <v>467</v>
      </c>
      <c r="C26" s="152">
        <v>2018</v>
      </c>
      <c r="D26" s="153" t="s">
        <v>468</v>
      </c>
      <c r="E26" s="208" t="s">
        <v>316</v>
      </c>
      <c r="F26" s="208" t="s">
        <v>308</v>
      </c>
      <c r="G26" s="208" t="s">
        <v>36</v>
      </c>
      <c r="H26" s="208" t="s">
        <v>165</v>
      </c>
      <c r="I26" s="208" t="s">
        <v>155</v>
      </c>
      <c r="J26" s="208" t="s">
        <v>38</v>
      </c>
      <c r="K26" s="208" t="s">
        <v>156</v>
      </c>
      <c r="L26" s="208">
        <v>1</v>
      </c>
      <c r="N26" s="208">
        <v>2</v>
      </c>
      <c r="O26" s="208">
        <v>0.48</v>
      </c>
      <c r="P26" s="208">
        <v>0.4</v>
      </c>
      <c r="Q26" s="245">
        <f t="shared" si="2"/>
        <v>0.44</v>
      </c>
      <c r="R26" s="208">
        <v>18.600000000000001</v>
      </c>
      <c r="S26" s="208">
        <v>192</v>
      </c>
      <c r="T26" s="217">
        <f t="shared" si="0"/>
        <v>16</v>
      </c>
      <c r="U26" s="208">
        <v>380</v>
      </c>
      <c r="V26" s="217">
        <f t="shared" si="1"/>
        <v>16</v>
      </c>
      <c r="W26" s="208">
        <v>6</v>
      </c>
      <c r="X26" s="208" t="s">
        <v>39</v>
      </c>
      <c r="Y26" s="208" t="s">
        <v>97</v>
      </c>
      <c r="Z26" s="208" t="s">
        <v>78</v>
      </c>
      <c r="AA26" s="208" t="s">
        <v>88</v>
      </c>
      <c r="AB26" s="237" t="s">
        <v>469</v>
      </c>
      <c r="AD26" s="237"/>
      <c r="AP26" s="239" t="s">
        <v>117</v>
      </c>
      <c r="AR26" s="228" t="s">
        <v>276</v>
      </c>
      <c r="AV26" s="228"/>
    </row>
    <row r="27" spans="1:48" x14ac:dyDescent="0.15">
      <c r="A27" s="208" t="s">
        <v>59</v>
      </c>
      <c r="B27" s="237" t="s">
        <v>467</v>
      </c>
      <c r="C27" s="152">
        <v>2018</v>
      </c>
      <c r="D27" s="153" t="s">
        <v>468</v>
      </c>
      <c r="E27" s="208" t="s">
        <v>316</v>
      </c>
      <c r="F27" s="208" t="s">
        <v>308</v>
      </c>
      <c r="G27" s="208" t="s">
        <v>36</v>
      </c>
      <c r="H27" s="208" t="s">
        <v>165</v>
      </c>
      <c r="I27" s="208" t="s">
        <v>155</v>
      </c>
      <c r="J27" s="208" t="s">
        <v>38</v>
      </c>
      <c r="K27" s="208" t="s">
        <v>156</v>
      </c>
      <c r="L27" s="208">
        <v>2</v>
      </c>
      <c r="N27" s="208">
        <v>2</v>
      </c>
      <c r="O27" s="208">
        <v>0.3</v>
      </c>
      <c r="P27" s="208">
        <v>0.3</v>
      </c>
      <c r="Q27" s="245">
        <f t="shared" si="2"/>
        <v>0.3</v>
      </c>
      <c r="R27" s="208">
        <v>15.8</v>
      </c>
      <c r="S27" s="208">
        <v>190</v>
      </c>
      <c r="T27" s="217">
        <f t="shared" si="0"/>
        <v>16</v>
      </c>
      <c r="U27" s="208">
        <v>380</v>
      </c>
      <c r="V27" s="217">
        <f t="shared" si="1"/>
        <v>16</v>
      </c>
      <c r="W27" s="208">
        <v>6</v>
      </c>
      <c r="X27" s="208" t="s">
        <v>39</v>
      </c>
      <c r="Y27" s="208" t="s">
        <v>97</v>
      </c>
      <c r="Z27" s="208" t="s">
        <v>78</v>
      </c>
      <c r="AA27" s="208" t="s">
        <v>88</v>
      </c>
      <c r="AB27" s="237" t="s">
        <v>469</v>
      </c>
      <c r="AD27" s="237"/>
      <c r="AP27" s="239" t="s">
        <v>118</v>
      </c>
      <c r="AR27" s="229" t="s">
        <v>289</v>
      </c>
      <c r="AV27" s="228"/>
    </row>
    <row r="28" spans="1:48" x14ac:dyDescent="0.15">
      <c r="A28" s="208" t="s">
        <v>59</v>
      </c>
      <c r="B28" s="237" t="s">
        <v>467</v>
      </c>
      <c r="C28" s="152">
        <v>2018</v>
      </c>
      <c r="D28" s="153" t="s">
        <v>468</v>
      </c>
      <c r="E28" s="208" t="s">
        <v>316</v>
      </c>
      <c r="F28" s="208" t="s">
        <v>308</v>
      </c>
      <c r="G28" s="208" t="s">
        <v>36</v>
      </c>
      <c r="H28" s="208" t="s">
        <v>165</v>
      </c>
      <c r="I28" s="208" t="s">
        <v>155</v>
      </c>
      <c r="J28" s="208" t="s">
        <v>38</v>
      </c>
      <c r="K28" s="208" t="s">
        <v>156</v>
      </c>
      <c r="L28" s="208">
        <v>3</v>
      </c>
      <c r="N28" s="208">
        <v>2</v>
      </c>
      <c r="O28" s="208">
        <v>0.33</v>
      </c>
      <c r="P28" s="208">
        <v>0.37</v>
      </c>
      <c r="Q28" s="245">
        <f t="shared" si="2"/>
        <v>0.35</v>
      </c>
      <c r="R28" s="208">
        <v>17.7</v>
      </c>
      <c r="S28" s="208">
        <v>190</v>
      </c>
      <c r="T28" s="217">
        <f t="shared" si="0"/>
        <v>16</v>
      </c>
      <c r="U28" s="208">
        <v>380</v>
      </c>
      <c r="V28" s="217">
        <f t="shared" si="1"/>
        <v>16</v>
      </c>
      <c r="W28" s="208">
        <v>6</v>
      </c>
      <c r="X28" s="208" t="s">
        <v>39</v>
      </c>
      <c r="Y28" s="208" t="s">
        <v>97</v>
      </c>
      <c r="Z28" s="208" t="s">
        <v>78</v>
      </c>
      <c r="AA28" s="208" t="s">
        <v>88</v>
      </c>
      <c r="AB28" s="237" t="s">
        <v>469</v>
      </c>
      <c r="AD28" s="237"/>
      <c r="AV28" s="228"/>
    </row>
    <row r="29" spans="1:48" x14ac:dyDescent="0.15">
      <c r="A29" s="208" t="s">
        <v>59</v>
      </c>
      <c r="B29" s="237" t="s">
        <v>467</v>
      </c>
      <c r="C29" s="152">
        <v>2018</v>
      </c>
      <c r="D29" s="153" t="s">
        <v>468</v>
      </c>
      <c r="E29" s="208" t="s">
        <v>316</v>
      </c>
      <c r="F29" s="208" t="s">
        <v>308</v>
      </c>
      <c r="G29" s="208" t="s">
        <v>36</v>
      </c>
      <c r="H29" s="208" t="s">
        <v>157</v>
      </c>
      <c r="I29" s="208" t="s">
        <v>155</v>
      </c>
      <c r="J29" s="208" t="s">
        <v>38</v>
      </c>
      <c r="K29" s="208" t="s">
        <v>156</v>
      </c>
      <c r="L29" s="208">
        <v>1</v>
      </c>
      <c r="N29" s="208">
        <v>1</v>
      </c>
      <c r="O29" s="208">
        <v>0.38</v>
      </c>
      <c r="P29" s="208">
        <v>0.35</v>
      </c>
      <c r="Q29" s="245">
        <f t="shared" si="2"/>
        <v>0.36499999999999999</v>
      </c>
      <c r="R29" s="208">
        <v>15.6</v>
      </c>
      <c r="S29" s="208">
        <v>109</v>
      </c>
      <c r="T29" s="217">
        <f t="shared" si="0"/>
        <v>33</v>
      </c>
      <c r="U29" s="208">
        <v>98</v>
      </c>
      <c r="V29" s="217">
        <f t="shared" si="1"/>
        <v>36</v>
      </c>
      <c r="W29" s="208">
        <v>1</v>
      </c>
      <c r="X29" s="208" t="s">
        <v>39</v>
      </c>
      <c r="Y29" s="208" t="s">
        <v>97</v>
      </c>
      <c r="Z29" s="208" t="s">
        <v>78</v>
      </c>
      <c r="AA29" s="208" t="s">
        <v>88</v>
      </c>
      <c r="AB29" s="237" t="s">
        <v>469</v>
      </c>
      <c r="AV29" s="228"/>
    </row>
    <row r="30" spans="1:48" x14ac:dyDescent="0.15">
      <c r="A30" s="208" t="s">
        <v>59</v>
      </c>
      <c r="B30" s="237" t="s">
        <v>467</v>
      </c>
      <c r="C30" s="152">
        <v>2018</v>
      </c>
      <c r="D30" s="153" t="s">
        <v>468</v>
      </c>
      <c r="E30" s="208" t="s">
        <v>316</v>
      </c>
      <c r="F30" s="208" t="s">
        <v>308</v>
      </c>
      <c r="G30" s="208" t="s">
        <v>36</v>
      </c>
      <c r="H30" s="208" t="s">
        <v>157</v>
      </c>
      <c r="I30" s="208" t="s">
        <v>155</v>
      </c>
      <c r="J30" s="208" t="s">
        <v>38</v>
      </c>
      <c r="K30" s="208" t="s">
        <v>156</v>
      </c>
      <c r="L30" s="208">
        <v>2</v>
      </c>
      <c r="N30" s="208">
        <v>1</v>
      </c>
      <c r="O30" s="208">
        <v>0.45</v>
      </c>
      <c r="P30" s="208">
        <v>0.42</v>
      </c>
      <c r="Q30" s="245">
        <f t="shared" si="2"/>
        <v>0.435</v>
      </c>
      <c r="R30" s="208">
        <v>15.2</v>
      </c>
      <c r="S30" s="208">
        <v>107</v>
      </c>
      <c r="T30" s="217">
        <f t="shared" si="0"/>
        <v>33</v>
      </c>
      <c r="U30" s="208">
        <v>98</v>
      </c>
      <c r="V30" s="217">
        <f t="shared" si="1"/>
        <v>36</v>
      </c>
      <c r="W30" s="208">
        <v>1</v>
      </c>
      <c r="X30" s="208" t="s">
        <v>39</v>
      </c>
      <c r="Y30" s="208" t="s">
        <v>97</v>
      </c>
      <c r="Z30" s="208" t="s">
        <v>78</v>
      </c>
      <c r="AA30" s="208" t="s">
        <v>88</v>
      </c>
      <c r="AB30" s="237" t="s">
        <v>469</v>
      </c>
      <c r="AV30" s="228"/>
    </row>
    <row r="31" spans="1:48" x14ac:dyDescent="0.15">
      <c r="A31" s="208" t="s">
        <v>59</v>
      </c>
      <c r="B31" s="237" t="s">
        <v>467</v>
      </c>
      <c r="C31" s="152">
        <v>2018</v>
      </c>
      <c r="D31" s="153" t="s">
        <v>468</v>
      </c>
      <c r="E31" s="208" t="s">
        <v>316</v>
      </c>
      <c r="F31" s="208" t="s">
        <v>308</v>
      </c>
      <c r="G31" s="208" t="s">
        <v>36</v>
      </c>
      <c r="H31" s="208" t="s">
        <v>157</v>
      </c>
      <c r="I31" s="208" t="s">
        <v>155</v>
      </c>
      <c r="J31" s="208" t="s">
        <v>38</v>
      </c>
      <c r="K31" s="208" t="s">
        <v>156</v>
      </c>
      <c r="L31" s="208">
        <v>3</v>
      </c>
      <c r="N31" s="208">
        <v>1</v>
      </c>
      <c r="O31" s="208">
        <v>0.48</v>
      </c>
      <c r="P31" s="208">
        <v>0.46</v>
      </c>
      <c r="Q31" s="245">
        <f t="shared" si="2"/>
        <v>0.47</v>
      </c>
      <c r="R31" s="208">
        <v>14.7</v>
      </c>
      <c r="S31" s="208">
        <v>108</v>
      </c>
      <c r="T31" s="217">
        <f t="shared" si="0"/>
        <v>33</v>
      </c>
      <c r="U31" s="208">
        <v>98</v>
      </c>
      <c r="V31" s="217">
        <f t="shared" si="1"/>
        <v>36</v>
      </c>
      <c r="W31" s="208">
        <v>1</v>
      </c>
      <c r="X31" s="208" t="s">
        <v>39</v>
      </c>
      <c r="Y31" s="208" t="s">
        <v>97</v>
      </c>
      <c r="Z31" s="208" t="s">
        <v>78</v>
      </c>
      <c r="AA31" s="208" t="s">
        <v>88</v>
      </c>
      <c r="AB31" s="237" t="s">
        <v>469</v>
      </c>
      <c r="AV31" s="228"/>
    </row>
    <row r="32" spans="1:48" x14ac:dyDescent="0.15">
      <c r="A32" s="208" t="s">
        <v>59</v>
      </c>
      <c r="B32" s="237" t="s">
        <v>467</v>
      </c>
      <c r="C32" s="152">
        <v>2018</v>
      </c>
      <c r="D32" s="153" t="s">
        <v>468</v>
      </c>
      <c r="E32" s="208" t="s">
        <v>315</v>
      </c>
      <c r="F32" s="208" t="s">
        <v>308</v>
      </c>
      <c r="G32" s="208" t="s">
        <v>36</v>
      </c>
      <c r="H32" s="208" t="s">
        <v>165</v>
      </c>
      <c r="I32" s="208" t="s">
        <v>155</v>
      </c>
      <c r="J32" s="208" t="s">
        <v>38</v>
      </c>
      <c r="K32" s="208" t="s">
        <v>156</v>
      </c>
      <c r="L32" s="208">
        <v>1</v>
      </c>
      <c r="N32" s="208">
        <v>1</v>
      </c>
      <c r="O32" s="208">
        <v>0.75</v>
      </c>
      <c r="P32" s="208">
        <v>0.68</v>
      </c>
      <c r="Q32" s="245">
        <f t="shared" si="2"/>
        <v>0.71500000000000008</v>
      </c>
      <c r="R32" s="208">
        <v>16.3</v>
      </c>
      <c r="S32" s="208">
        <v>160</v>
      </c>
      <c r="T32" s="217">
        <f t="shared" si="0"/>
        <v>18</v>
      </c>
      <c r="U32" s="208">
        <v>170</v>
      </c>
      <c r="V32" s="217">
        <f t="shared" si="1"/>
        <v>18</v>
      </c>
      <c r="W32" s="208">
        <v>4</v>
      </c>
      <c r="X32" s="208" t="s">
        <v>46</v>
      </c>
      <c r="Y32" s="208" t="s">
        <v>102</v>
      </c>
      <c r="Z32" s="208" t="s">
        <v>69</v>
      </c>
      <c r="AA32" s="208" t="s">
        <v>78</v>
      </c>
      <c r="AB32" s="237" t="s">
        <v>469</v>
      </c>
      <c r="AV32" s="228"/>
    </row>
    <row r="33" spans="1:48" x14ac:dyDescent="0.15">
      <c r="A33" s="208" t="s">
        <v>59</v>
      </c>
      <c r="B33" s="237" t="s">
        <v>467</v>
      </c>
      <c r="C33" s="152">
        <v>2018</v>
      </c>
      <c r="D33" s="153" t="s">
        <v>468</v>
      </c>
      <c r="E33" s="208" t="s">
        <v>315</v>
      </c>
      <c r="F33" s="208" t="s">
        <v>308</v>
      </c>
      <c r="G33" s="208" t="s">
        <v>36</v>
      </c>
      <c r="H33" s="208" t="s">
        <v>165</v>
      </c>
      <c r="I33" s="208" t="s">
        <v>155</v>
      </c>
      <c r="J33" s="208" t="s">
        <v>38</v>
      </c>
      <c r="K33" s="208" t="s">
        <v>156</v>
      </c>
      <c r="L33" s="208">
        <v>2</v>
      </c>
      <c r="N33" s="208">
        <v>1</v>
      </c>
      <c r="O33" s="208">
        <v>0.93</v>
      </c>
      <c r="P33" s="208">
        <v>0.92</v>
      </c>
      <c r="Q33" s="245">
        <f t="shared" si="2"/>
        <v>0.92500000000000004</v>
      </c>
      <c r="R33" s="208">
        <v>15.5</v>
      </c>
      <c r="S33" s="208">
        <v>159</v>
      </c>
      <c r="T33" s="217">
        <f t="shared" si="0"/>
        <v>18</v>
      </c>
      <c r="U33" s="208">
        <v>170</v>
      </c>
      <c r="V33" s="217">
        <f t="shared" si="1"/>
        <v>18</v>
      </c>
      <c r="W33" s="208">
        <v>4</v>
      </c>
      <c r="X33" s="208" t="s">
        <v>46</v>
      </c>
      <c r="Y33" s="208" t="s">
        <v>102</v>
      </c>
      <c r="Z33" s="208" t="s">
        <v>69</v>
      </c>
      <c r="AA33" s="208" t="s">
        <v>78</v>
      </c>
      <c r="AB33" s="237" t="s">
        <v>469</v>
      </c>
      <c r="AV33" s="228"/>
    </row>
    <row r="34" spans="1:48" x14ac:dyDescent="0.15">
      <c r="A34" s="208" t="s">
        <v>59</v>
      </c>
      <c r="B34" s="237" t="s">
        <v>467</v>
      </c>
      <c r="C34" s="152">
        <v>2018</v>
      </c>
      <c r="D34" s="153" t="s">
        <v>468</v>
      </c>
      <c r="E34" s="208" t="s">
        <v>315</v>
      </c>
      <c r="F34" s="208" t="s">
        <v>308</v>
      </c>
      <c r="G34" s="208" t="s">
        <v>36</v>
      </c>
      <c r="H34" s="208" t="s">
        <v>165</v>
      </c>
      <c r="I34" s="208" t="s">
        <v>155</v>
      </c>
      <c r="J34" s="208" t="s">
        <v>38</v>
      </c>
      <c r="K34" s="208" t="s">
        <v>156</v>
      </c>
      <c r="L34" s="208">
        <v>3</v>
      </c>
      <c r="N34" s="208">
        <v>1</v>
      </c>
      <c r="O34" s="208">
        <v>0.68</v>
      </c>
      <c r="P34" s="208">
        <v>0.76</v>
      </c>
      <c r="Q34" s="245">
        <f t="shared" si="2"/>
        <v>0.72</v>
      </c>
      <c r="R34" s="208">
        <v>17</v>
      </c>
      <c r="S34" s="208">
        <v>164</v>
      </c>
      <c r="T34" s="217">
        <f t="shared" si="0"/>
        <v>18</v>
      </c>
      <c r="U34" s="208">
        <v>170</v>
      </c>
      <c r="V34" s="217">
        <f t="shared" si="1"/>
        <v>18</v>
      </c>
      <c r="W34" s="208">
        <v>4</v>
      </c>
      <c r="X34" s="208" t="s">
        <v>46</v>
      </c>
      <c r="Y34" s="208" t="s">
        <v>102</v>
      </c>
      <c r="Z34" s="208" t="s">
        <v>69</v>
      </c>
      <c r="AA34" s="208" t="s">
        <v>78</v>
      </c>
      <c r="AB34" s="237" t="s">
        <v>469</v>
      </c>
      <c r="AV34" s="228"/>
    </row>
    <row r="35" spans="1:48" x14ac:dyDescent="0.15">
      <c r="A35" s="208" t="s">
        <v>59</v>
      </c>
      <c r="B35" s="237" t="s">
        <v>467</v>
      </c>
      <c r="C35" s="152">
        <v>2018</v>
      </c>
      <c r="D35" s="153" t="s">
        <v>468</v>
      </c>
      <c r="E35" s="208" t="s">
        <v>315</v>
      </c>
      <c r="F35" s="208" t="s">
        <v>308</v>
      </c>
      <c r="G35" s="208" t="s">
        <v>36</v>
      </c>
      <c r="H35" s="208" t="s">
        <v>157</v>
      </c>
      <c r="I35" s="208" t="s">
        <v>155</v>
      </c>
      <c r="J35" s="208" t="s">
        <v>38</v>
      </c>
      <c r="K35" s="208" t="s">
        <v>156</v>
      </c>
      <c r="L35" s="208">
        <v>1</v>
      </c>
      <c r="N35" s="208">
        <v>1</v>
      </c>
      <c r="O35" s="208">
        <v>0.55000000000000004</v>
      </c>
      <c r="P35" s="208">
        <v>0.68</v>
      </c>
      <c r="Q35" s="245">
        <f t="shared" si="2"/>
        <v>0.61499999999999999</v>
      </c>
      <c r="R35" s="208">
        <v>15.9</v>
      </c>
      <c r="S35" s="208">
        <v>170</v>
      </c>
      <c r="T35" s="217">
        <f t="shared" si="0"/>
        <v>18</v>
      </c>
      <c r="U35" s="208">
        <v>149</v>
      </c>
      <c r="V35" s="217">
        <f t="shared" si="1"/>
        <v>22</v>
      </c>
      <c r="W35" s="208">
        <v>3</v>
      </c>
      <c r="X35" s="208" t="s">
        <v>46</v>
      </c>
      <c r="Y35" s="208" t="s">
        <v>102</v>
      </c>
      <c r="Z35" s="208" t="s">
        <v>69</v>
      </c>
      <c r="AA35" s="208" t="s">
        <v>78</v>
      </c>
      <c r="AB35" s="237" t="s">
        <v>469</v>
      </c>
      <c r="AV35" s="228"/>
    </row>
    <row r="36" spans="1:48" x14ac:dyDescent="0.15">
      <c r="A36" s="208" t="s">
        <v>59</v>
      </c>
      <c r="B36" s="237" t="s">
        <v>467</v>
      </c>
      <c r="C36" s="152">
        <v>2018</v>
      </c>
      <c r="D36" s="153" t="s">
        <v>468</v>
      </c>
      <c r="E36" s="208" t="s">
        <v>315</v>
      </c>
      <c r="F36" s="208" t="s">
        <v>308</v>
      </c>
      <c r="G36" s="208" t="s">
        <v>36</v>
      </c>
      <c r="H36" s="208" t="s">
        <v>157</v>
      </c>
      <c r="I36" s="208" t="s">
        <v>155</v>
      </c>
      <c r="J36" s="208" t="s">
        <v>38</v>
      </c>
      <c r="K36" s="208" t="s">
        <v>156</v>
      </c>
      <c r="L36" s="208">
        <v>2</v>
      </c>
      <c r="N36" s="208">
        <v>1</v>
      </c>
      <c r="O36" s="208">
        <v>0.59</v>
      </c>
      <c r="P36" s="208">
        <v>0.6</v>
      </c>
      <c r="Q36" s="245">
        <f t="shared" si="2"/>
        <v>0.59499999999999997</v>
      </c>
      <c r="R36" s="208">
        <v>15.1</v>
      </c>
      <c r="S36" s="208">
        <v>150</v>
      </c>
      <c r="T36" s="217">
        <f t="shared" si="0"/>
        <v>22</v>
      </c>
      <c r="U36" s="208">
        <v>149</v>
      </c>
      <c r="V36" s="217">
        <f t="shared" si="1"/>
        <v>22</v>
      </c>
      <c r="W36" s="208">
        <v>3</v>
      </c>
      <c r="X36" s="208" t="s">
        <v>46</v>
      </c>
      <c r="Y36" s="208" t="s">
        <v>102</v>
      </c>
      <c r="Z36" s="208" t="s">
        <v>69</v>
      </c>
      <c r="AA36" s="208" t="s">
        <v>78</v>
      </c>
      <c r="AB36" s="237" t="s">
        <v>469</v>
      </c>
      <c r="AV36" s="228"/>
    </row>
    <row r="37" spans="1:48" x14ac:dyDescent="0.15">
      <c r="A37" s="208" t="s">
        <v>59</v>
      </c>
      <c r="B37" s="237" t="s">
        <v>467</v>
      </c>
      <c r="C37" s="152">
        <v>2018</v>
      </c>
      <c r="D37" s="153" t="s">
        <v>468</v>
      </c>
      <c r="E37" s="208" t="s">
        <v>315</v>
      </c>
      <c r="F37" s="208" t="s">
        <v>308</v>
      </c>
      <c r="G37" s="208" t="s">
        <v>36</v>
      </c>
      <c r="H37" s="208" t="s">
        <v>157</v>
      </c>
      <c r="I37" s="208" t="s">
        <v>155</v>
      </c>
      <c r="J37" s="208" t="s">
        <v>38</v>
      </c>
      <c r="K37" s="208" t="s">
        <v>156</v>
      </c>
      <c r="L37" s="208">
        <v>3</v>
      </c>
      <c r="N37" s="208">
        <v>1</v>
      </c>
      <c r="O37" s="208">
        <v>0.55000000000000004</v>
      </c>
      <c r="P37" s="208">
        <v>0.64</v>
      </c>
      <c r="Q37" s="245">
        <f t="shared" si="2"/>
        <v>0.59499999999999997</v>
      </c>
      <c r="R37" s="208">
        <v>14.9</v>
      </c>
      <c r="S37" s="208">
        <v>154</v>
      </c>
      <c r="T37" s="217">
        <f t="shared" si="0"/>
        <v>18</v>
      </c>
      <c r="U37" s="208">
        <v>149</v>
      </c>
      <c r="V37" s="217">
        <f t="shared" si="1"/>
        <v>22</v>
      </c>
      <c r="W37" s="208">
        <v>3</v>
      </c>
      <c r="X37" s="208" t="s">
        <v>46</v>
      </c>
      <c r="Y37" s="208" t="s">
        <v>102</v>
      </c>
      <c r="Z37" s="208" t="s">
        <v>69</v>
      </c>
      <c r="AA37" s="208" t="s">
        <v>78</v>
      </c>
      <c r="AB37" s="237" t="s">
        <v>469</v>
      </c>
      <c r="AV37" s="228"/>
    </row>
    <row r="38" spans="1:48" x14ac:dyDescent="0.15">
      <c r="A38" s="208" t="s">
        <v>59</v>
      </c>
      <c r="B38" s="237" t="s">
        <v>467</v>
      </c>
      <c r="C38" s="152">
        <v>2018</v>
      </c>
      <c r="D38" s="153" t="s">
        <v>468</v>
      </c>
      <c r="E38" s="208" t="s">
        <v>314</v>
      </c>
      <c r="F38" s="208" t="s">
        <v>307</v>
      </c>
      <c r="G38" s="208" t="s">
        <v>36</v>
      </c>
      <c r="H38" s="208" t="s">
        <v>165</v>
      </c>
      <c r="I38" s="208" t="s">
        <v>155</v>
      </c>
      <c r="J38" s="208" t="s">
        <v>38</v>
      </c>
      <c r="K38" s="208" t="s">
        <v>156</v>
      </c>
      <c r="L38" s="208">
        <v>1</v>
      </c>
      <c r="N38" s="208">
        <v>3</v>
      </c>
      <c r="O38" s="208">
        <v>0.28999999999999998</v>
      </c>
      <c r="P38" s="208">
        <v>0.35</v>
      </c>
      <c r="Q38" s="245">
        <f t="shared" si="2"/>
        <v>0.31999999999999995</v>
      </c>
      <c r="R38" s="208">
        <v>16.3</v>
      </c>
      <c r="S38" s="208">
        <v>126</v>
      </c>
      <c r="T38" s="217">
        <f t="shared" si="0"/>
        <v>27</v>
      </c>
      <c r="U38" s="208">
        <v>480</v>
      </c>
      <c r="V38" s="217">
        <f t="shared" si="1"/>
        <v>16</v>
      </c>
      <c r="W38" s="208">
        <v>16</v>
      </c>
      <c r="X38" s="208" t="s">
        <v>46</v>
      </c>
      <c r="Y38" s="208" t="s">
        <v>97</v>
      </c>
      <c r="Z38" s="208" t="s">
        <v>55</v>
      </c>
      <c r="AA38" s="208" t="s">
        <v>69</v>
      </c>
      <c r="AB38" s="237" t="s">
        <v>477</v>
      </c>
      <c r="AV38" s="229"/>
    </row>
    <row r="39" spans="1:48" x14ac:dyDescent="0.15">
      <c r="A39" s="208" t="s">
        <v>59</v>
      </c>
      <c r="B39" s="237" t="s">
        <v>455</v>
      </c>
      <c r="C39" s="152">
        <v>2018</v>
      </c>
      <c r="D39" s="153" t="s">
        <v>456</v>
      </c>
      <c r="E39" s="208" t="s">
        <v>314</v>
      </c>
      <c r="F39" s="208" t="s">
        <v>307</v>
      </c>
      <c r="G39" s="208" t="s">
        <v>36</v>
      </c>
      <c r="H39" s="208" t="s">
        <v>165</v>
      </c>
      <c r="I39" s="208" t="s">
        <v>155</v>
      </c>
      <c r="J39" s="208" t="s">
        <v>38</v>
      </c>
      <c r="K39" s="208" t="s">
        <v>156</v>
      </c>
      <c r="L39" s="208">
        <v>2</v>
      </c>
      <c r="N39" s="208">
        <v>3</v>
      </c>
      <c r="O39" s="208">
        <v>0.34</v>
      </c>
      <c r="P39" s="208">
        <v>0.3</v>
      </c>
      <c r="Q39" s="245">
        <f t="shared" si="2"/>
        <v>0.32</v>
      </c>
      <c r="R39" s="208">
        <v>17.100000000000001</v>
      </c>
      <c r="S39" s="208">
        <v>127</v>
      </c>
      <c r="T39" s="217">
        <f t="shared" si="0"/>
        <v>27</v>
      </c>
      <c r="U39" s="208">
        <v>480</v>
      </c>
      <c r="V39" s="217">
        <f t="shared" si="1"/>
        <v>16</v>
      </c>
      <c r="W39" s="208">
        <v>16</v>
      </c>
      <c r="X39" s="208" t="s">
        <v>46</v>
      </c>
      <c r="Y39" s="208" t="s">
        <v>97</v>
      </c>
      <c r="Z39" s="208" t="s">
        <v>55</v>
      </c>
      <c r="AA39" s="208" t="s">
        <v>69</v>
      </c>
      <c r="AB39" s="237" t="s">
        <v>477</v>
      </c>
    </row>
    <row r="40" spans="1:48" x14ac:dyDescent="0.15">
      <c r="A40" s="208" t="s">
        <v>59</v>
      </c>
      <c r="B40" s="237" t="s">
        <v>455</v>
      </c>
      <c r="C40" s="152">
        <v>2018</v>
      </c>
      <c r="D40" s="153" t="s">
        <v>456</v>
      </c>
      <c r="E40" s="208" t="s">
        <v>314</v>
      </c>
      <c r="F40" s="208" t="s">
        <v>307</v>
      </c>
      <c r="G40" s="208" t="s">
        <v>36</v>
      </c>
      <c r="H40" s="208" t="s">
        <v>165</v>
      </c>
      <c r="I40" s="208" t="s">
        <v>155</v>
      </c>
      <c r="J40" s="208" t="s">
        <v>38</v>
      </c>
      <c r="K40" s="208" t="s">
        <v>156</v>
      </c>
      <c r="L40" s="208">
        <v>3</v>
      </c>
      <c r="N40" s="208">
        <v>3</v>
      </c>
      <c r="O40" s="208">
        <v>0.35</v>
      </c>
      <c r="P40" s="208">
        <v>0.33</v>
      </c>
      <c r="Q40" s="245">
        <f t="shared" si="2"/>
        <v>0.33999999999999997</v>
      </c>
      <c r="R40" s="208">
        <v>17.899999999999999</v>
      </c>
      <c r="S40" s="208">
        <v>137</v>
      </c>
      <c r="T40" s="217">
        <f t="shared" si="0"/>
        <v>25</v>
      </c>
      <c r="U40" s="208">
        <v>480</v>
      </c>
      <c r="V40" s="217">
        <f t="shared" si="1"/>
        <v>16</v>
      </c>
      <c r="W40" s="208">
        <v>16</v>
      </c>
      <c r="X40" s="208" t="s">
        <v>46</v>
      </c>
      <c r="Y40" s="208" t="s">
        <v>97</v>
      </c>
      <c r="Z40" s="208" t="s">
        <v>55</v>
      </c>
      <c r="AA40" s="208" t="s">
        <v>69</v>
      </c>
      <c r="AB40" s="237" t="s">
        <v>477</v>
      </c>
    </row>
    <row r="41" spans="1:48" x14ac:dyDescent="0.15">
      <c r="A41" s="208" t="s">
        <v>59</v>
      </c>
      <c r="B41" s="237" t="s">
        <v>455</v>
      </c>
      <c r="C41" s="152">
        <v>2018</v>
      </c>
      <c r="D41" s="153" t="s">
        <v>456</v>
      </c>
      <c r="E41" s="208" t="s">
        <v>314</v>
      </c>
      <c r="F41" s="208" t="s">
        <v>307</v>
      </c>
      <c r="G41" s="208" t="s">
        <v>36</v>
      </c>
      <c r="H41" s="208" t="s">
        <v>157</v>
      </c>
      <c r="I41" s="208" t="s">
        <v>155</v>
      </c>
      <c r="J41" s="208" t="s">
        <v>38</v>
      </c>
      <c r="K41" s="208" t="s">
        <v>156</v>
      </c>
      <c r="L41" s="208">
        <v>1</v>
      </c>
      <c r="N41" s="208">
        <v>3</v>
      </c>
      <c r="O41" s="208">
        <v>0.73</v>
      </c>
      <c r="P41" s="208">
        <v>0.8</v>
      </c>
      <c r="Q41" s="245">
        <f t="shared" si="2"/>
        <v>0.76500000000000001</v>
      </c>
      <c r="R41" s="208">
        <v>15.8</v>
      </c>
      <c r="S41" s="208">
        <v>132</v>
      </c>
      <c r="T41" s="217">
        <f t="shared" si="0"/>
        <v>25</v>
      </c>
      <c r="U41" s="208">
        <v>399</v>
      </c>
      <c r="V41" s="217">
        <f t="shared" si="1"/>
        <v>16</v>
      </c>
      <c r="W41" s="208">
        <v>12</v>
      </c>
      <c r="X41" s="208" t="s">
        <v>46</v>
      </c>
      <c r="Y41" s="208" t="s">
        <v>97</v>
      </c>
      <c r="Z41" s="208" t="s">
        <v>55</v>
      </c>
      <c r="AA41" s="208" t="s">
        <v>69</v>
      </c>
      <c r="AB41" s="237" t="s">
        <v>477</v>
      </c>
    </row>
    <row r="42" spans="1:48" x14ac:dyDescent="0.15">
      <c r="A42" s="208" t="s">
        <v>59</v>
      </c>
      <c r="B42" s="237" t="s">
        <v>455</v>
      </c>
      <c r="C42" s="152">
        <v>2018</v>
      </c>
      <c r="D42" s="153" t="s">
        <v>456</v>
      </c>
      <c r="E42" s="208" t="s">
        <v>314</v>
      </c>
      <c r="F42" s="208" t="s">
        <v>307</v>
      </c>
      <c r="G42" s="208" t="s">
        <v>36</v>
      </c>
      <c r="H42" s="208" t="s">
        <v>157</v>
      </c>
      <c r="I42" s="208" t="s">
        <v>155</v>
      </c>
      <c r="J42" s="208" t="s">
        <v>38</v>
      </c>
      <c r="K42" s="208" t="s">
        <v>156</v>
      </c>
      <c r="L42" s="208">
        <v>2</v>
      </c>
      <c r="N42" s="208">
        <v>3</v>
      </c>
      <c r="O42" s="208">
        <v>0.75</v>
      </c>
      <c r="P42" s="208">
        <v>0.66</v>
      </c>
      <c r="Q42" s="245">
        <f t="shared" si="2"/>
        <v>0.70500000000000007</v>
      </c>
      <c r="R42" s="208">
        <v>15.5</v>
      </c>
      <c r="S42" s="208">
        <v>136</v>
      </c>
      <c r="T42" s="217">
        <f t="shared" si="0"/>
        <v>25</v>
      </c>
      <c r="U42" s="208">
        <v>399</v>
      </c>
      <c r="V42" s="217">
        <f t="shared" si="1"/>
        <v>16</v>
      </c>
      <c r="W42" s="208">
        <v>12</v>
      </c>
      <c r="X42" s="208" t="s">
        <v>46</v>
      </c>
      <c r="Y42" s="208" t="s">
        <v>97</v>
      </c>
      <c r="Z42" s="208" t="s">
        <v>55</v>
      </c>
      <c r="AA42" s="208" t="s">
        <v>69</v>
      </c>
      <c r="AB42" s="237" t="s">
        <v>477</v>
      </c>
    </row>
    <row r="43" spans="1:48" x14ac:dyDescent="0.15">
      <c r="A43" s="208" t="s">
        <v>59</v>
      </c>
      <c r="B43" s="237" t="s">
        <v>455</v>
      </c>
      <c r="C43" s="152">
        <v>2018</v>
      </c>
      <c r="D43" s="153" t="s">
        <v>456</v>
      </c>
      <c r="E43" s="208" t="s">
        <v>314</v>
      </c>
      <c r="F43" s="208" t="s">
        <v>307</v>
      </c>
      <c r="G43" s="208" t="s">
        <v>36</v>
      </c>
      <c r="H43" s="208" t="s">
        <v>157</v>
      </c>
      <c r="I43" s="208" t="s">
        <v>155</v>
      </c>
      <c r="J43" s="208" t="s">
        <v>38</v>
      </c>
      <c r="K43" s="208" t="s">
        <v>156</v>
      </c>
      <c r="L43" s="208">
        <v>3</v>
      </c>
      <c r="N43" s="208">
        <v>3</v>
      </c>
      <c r="O43" s="208">
        <v>0.74</v>
      </c>
      <c r="P43" s="208">
        <v>0.82</v>
      </c>
      <c r="Q43" s="245">
        <f t="shared" si="2"/>
        <v>0.78</v>
      </c>
      <c r="R43" s="208">
        <v>15.5</v>
      </c>
      <c r="S43" s="208">
        <v>134</v>
      </c>
      <c r="T43" s="217">
        <f t="shared" si="0"/>
        <v>25</v>
      </c>
      <c r="U43" s="208">
        <v>399</v>
      </c>
      <c r="V43" s="217">
        <f t="shared" si="1"/>
        <v>16</v>
      </c>
      <c r="W43" s="208">
        <v>12</v>
      </c>
      <c r="X43" s="208" t="s">
        <v>46</v>
      </c>
      <c r="Y43" s="208" t="s">
        <v>97</v>
      </c>
      <c r="Z43" s="208" t="s">
        <v>55</v>
      </c>
      <c r="AA43" s="208" t="s">
        <v>69</v>
      </c>
      <c r="AB43" s="237" t="s">
        <v>477</v>
      </c>
    </row>
    <row r="44" spans="1:48" x14ac:dyDescent="0.15">
      <c r="A44" s="208" t="s">
        <v>59</v>
      </c>
      <c r="B44" s="237" t="s">
        <v>455</v>
      </c>
      <c r="C44" s="152">
        <v>2018</v>
      </c>
      <c r="D44" s="153" t="s">
        <v>456</v>
      </c>
      <c r="E44" s="208" t="s">
        <v>312</v>
      </c>
      <c r="F44" s="208" t="s">
        <v>304</v>
      </c>
      <c r="G44" s="208" t="s">
        <v>36</v>
      </c>
      <c r="H44" s="208" t="s">
        <v>165</v>
      </c>
      <c r="I44" s="208" t="s">
        <v>155</v>
      </c>
      <c r="J44" s="208" t="s">
        <v>38</v>
      </c>
      <c r="K44" s="208" t="s">
        <v>156</v>
      </c>
      <c r="L44" s="208">
        <v>1</v>
      </c>
      <c r="N44" s="208">
        <v>4</v>
      </c>
      <c r="O44" s="208">
        <v>0.4</v>
      </c>
      <c r="P44" s="208">
        <v>0.49</v>
      </c>
      <c r="Q44" s="245">
        <f t="shared" si="2"/>
        <v>0.44500000000000001</v>
      </c>
      <c r="R44" s="208">
        <v>18</v>
      </c>
      <c r="S44" s="208">
        <v>94</v>
      </c>
      <c r="T44" s="217">
        <f t="shared" si="0"/>
        <v>36</v>
      </c>
      <c r="U44" s="208">
        <v>518</v>
      </c>
      <c r="V44" s="217">
        <f t="shared" si="1"/>
        <v>16</v>
      </c>
      <c r="W44" s="208">
        <v>1</v>
      </c>
      <c r="X44" s="208" t="s">
        <v>39</v>
      </c>
      <c r="Y44" s="208" t="s">
        <v>97</v>
      </c>
      <c r="Z44" s="208" t="s">
        <v>78</v>
      </c>
      <c r="AA44" s="208" t="s">
        <v>69</v>
      </c>
      <c r="AB44" s="237" t="s">
        <v>477</v>
      </c>
    </row>
    <row r="45" spans="1:48" x14ac:dyDescent="0.15">
      <c r="A45" s="208" t="s">
        <v>59</v>
      </c>
      <c r="B45" s="237" t="s">
        <v>455</v>
      </c>
      <c r="C45" s="152">
        <v>2018</v>
      </c>
      <c r="D45" s="153" t="s">
        <v>456</v>
      </c>
      <c r="E45" s="208" t="s">
        <v>312</v>
      </c>
      <c r="F45" s="208" t="s">
        <v>304</v>
      </c>
      <c r="G45" s="208" t="s">
        <v>36</v>
      </c>
      <c r="H45" s="208" t="s">
        <v>165</v>
      </c>
      <c r="I45" s="208" t="s">
        <v>155</v>
      </c>
      <c r="J45" s="208" t="s">
        <v>38</v>
      </c>
      <c r="K45" s="208" t="s">
        <v>156</v>
      </c>
      <c r="L45" s="208">
        <v>2</v>
      </c>
      <c r="N45" s="208">
        <v>4</v>
      </c>
      <c r="O45" s="208">
        <v>0.45</v>
      </c>
      <c r="P45" s="208">
        <v>0.45</v>
      </c>
      <c r="Q45" s="245">
        <f t="shared" si="2"/>
        <v>0.45</v>
      </c>
      <c r="R45" s="208">
        <v>15.5</v>
      </c>
      <c r="S45" s="208">
        <v>97</v>
      </c>
      <c r="T45" s="217">
        <f t="shared" si="0"/>
        <v>36</v>
      </c>
      <c r="U45" s="208">
        <v>518</v>
      </c>
      <c r="V45" s="217">
        <f t="shared" si="1"/>
        <v>16</v>
      </c>
      <c r="W45" s="208">
        <v>1</v>
      </c>
      <c r="X45" s="208" t="s">
        <v>39</v>
      </c>
      <c r="Y45" s="208" t="s">
        <v>97</v>
      </c>
      <c r="Z45" s="208" t="s">
        <v>78</v>
      </c>
      <c r="AA45" s="208" t="s">
        <v>69</v>
      </c>
      <c r="AB45" s="237" t="s">
        <v>477</v>
      </c>
    </row>
    <row r="46" spans="1:48" x14ac:dyDescent="0.15">
      <c r="A46" s="208" t="s">
        <v>59</v>
      </c>
      <c r="B46" s="237" t="s">
        <v>455</v>
      </c>
      <c r="C46" s="152">
        <v>2018</v>
      </c>
      <c r="D46" s="153" t="s">
        <v>456</v>
      </c>
      <c r="E46" s="208" t="s">
        <v>312</v>
      </c>
      <c r="F46" s="208" t="s">
        <v>304</v>
      </c>
      <c r="G46" s="208" t="s">
        <v>36</v>
      </c>
      <c r="H46" s="208" t="s">
        <v>165</v>
      </c>
      <c r="I46" s="208" t="s">
        <v>155</v>
      </c>
      <c r="J46" s="208" t="s">
        <v>38</v>
      </c>
      <c r="K46" s="208" t="s">
        <v>156</v>
      </c>
      <c r="L46" s="208">
        <v>3</v>
      </c>
      <c r="N46" s="208">
        <v>4</v>
      </c>
      <c r="O46" s="208">
        <v>0.4</v>
      </c>
      <c r="P46" s="208">
        <v>0.52</v>
      </c>
      <c r="Q46" s="245">
        <f t="shared" si="2"/>
        <v>0.46</v>
      </c>
      <c r="R46" s="208">
        <v>17.100000000000001</v>
      </c>
      <c r="S46" s="208">
        <v>101</v>
      </c>
      <c r="T46" s="217">
        <f t="shared" si="0"/>
        <v>33</v>
      </c>
      <c r="U46" s="208">
        <v>518</v>
      </c>
      <c r="V46" s="217">
        <f t="shared" si="1"/>
        <v>16</v>
      </c>
      <c r="W46" s="208">
        <v>1</v>
      </c>
      <c r="X46" s="208" t="s">
        <v>39</v>
      </c>
      <c r="Y46" s="208" t="s">
        <v>97</v>
      </c>
      <c r="Z46" s="208" t="s">
        <v>78</v>
      </c>
      <c r="AA46" s="208" t="s">
        <v>69</v>
      </c>
      <c r="AB46" s="237" t="s">
        <v>477</v>
      </c>
    </row>
    <row r="47" spans="1:48" x14ac:dyDescent="0.15">
      <c r="A47" s="208" t="s">
        <v>59</v>
      </c>
      <c r="B47" s="237" t="s">
        <v>455</v>
      </c>
      <c r="C47" s="152">
        <v>2018</v>
      </c>
      <c r="D47" s="153" t="s">
        <v>456</v>
      </c>
      <c r="E47" s="208" t="s">
        <v>312</v>
      </c>
      <c r="F47" s="208" t="s">
        <v>304</v>
      </c>
      <c r="G47" s="208" t="s">
        <v>36</v>
      </c>
      <c r="H47" s="208" t="s">
        <v>157</v>
      </c>
      <c r="I47" s="208" t="s">
        <v>155</v>
      </c>
      <c r="J47" s="208" t="s">
        <v>38</v>
      </c>
      <c r="K47" s="208" t="s">
        <v>156</v>
      </c>
      <c r="L47" s="208">
        <v>1</v>
      </c>
      <c r="N47" s="208">
        <v>1</v>
      </c>
      <c r="O47" s="208">
        <v>0.9</v>
      </c>
      <c r="P47" s="208">
        <v>0.94</v>
      </c>
      <c r="Q47" s="245">
        <f t="shared" si="2"/>
        <v>0.91999999999999993</v>
      </c>
      <c r="R47" s="208">
        <v>15.6</v>
      </c>
      <c r="S47" s="208">
        <v>142</v>
      </c>
      <c r="T47" s="217">
        <f t="shared" si="0"/>
        <v>22</v>
      </c>
      <c r="U47" s="208">
        <v>138</v>
      </c>
      <c r="V47" s="217">
        <f t="shared" si="1"/>
        <v>22</v>
      </c>
      <c r="W47" s="208">
        <v>1</v>
      </c>
      <c r="X47" s="208" t="s">
        <v>39</v>
      </c>
      <c r="Y47" s="208" t="s">
        <v>97</v>
      </c>
      <c r="Z47" s="208" t="s">
        <v>78</v>
      </c>
      <c r="AA47" s="208" t="s">
        <v>69</v>
      </c>
      <c r="AB47" s="237" t="s">
        <v>477</v>
      </c>
    </row>
    <row r="48" spans="1:48" x14ac:dyDescent="0.15">
      <c r="A48" s="208" t="s">
        <v>59</v>
      </c>
      <c r="B48" s="237" t="s">
        <v>455</v>
      </c>
      <c r="C48" s="152">
        <v>2018</v>
      </c>
      <c r="D48" s="153" t="s">
        <v>456</v>
      </c>
      <c r="E48" s="208" t="s">
        <v>312</v>
      </c>
      <c r="F48" s="208" t="s">
        <v>304</v>
      </c>
      <c r="G48" s="208" t="s">
        <v>36</v>
      </c>
      <c r="H48" s="208" t="s">
        <v>157</v>
      </c>
      <c r="I48" s="208" t="s">
        <v>155</v>
      </c>
      <c r="J48" s="208" t="s">
        <v>38</v>
      </c>
      <c r="K48" s="208" t="s">
        <v>156</v>
      </c>
      <c r="L48" s="208">
        <v>2</v>
      </c>
      <c r="N48" s="208">
        <v>1</v>
      </c>
      <c r="O48" s="208">
        <v>0.72</v>
      </c>
      <c r="P48" s="208">
        <v>0.65</v>
      </c>
      <c r="Q48" s="245">
        <f t="shared" si="2"/>
        <v>0.68500000000000005</v>
      </c>
      <c r="R48" s="208">
        <v>14.5</v>
      </c>
      <c r="S48" s="208">
        <v>138</v>
      </c>
      <c r="T48" s="217">
        <f t="shared" si="0"/>
        <v>22</v>
      </c>
      <c r="U48" s="208">
        <v>138</v>
      </c>
      <c r="V48" s="217">
        <f t="shared" si="1"/>
        <v>22</v>
      </c>
      <c r="W48" s="208">
        <v>1</v>
      </c>
      <c r="X48" s="208" t="s">
        <v>39</v>
      </c>
      <c r="Y48" s="208" t="s">
        <v>97</v>
      </c>
      <c r="Z48" s="208" t="s">
        <v>78</v>
      </c>
      <c r="AA48" s="208" t="s">
        <v>69</v>
      </c>
      <c r="AB48" s="237" t="s">
        <v>477</v>
      </c>
    </row>
    <row r="49" spans="1:28" x14ac:dyDescent="0.15">
      <c r="A49" s="208" t="s">
        <v>59</v>
      </c>
      <c r="B49" s="237" t="s">
        <v>455</v>
      </c>
      <c r="C49" s="152">
        <v>2018</v>
      </c>
      <c r="D49" s="153" t="s">
        <v>456</v>
      </c>
      <c r="E49" s="208" t="s">
        <v>312</v>
      </c>
      <c r="F49" s="208" t="s">
        <v>304</v>
      </c>
      <c r="G49" s="208" t="s">
        <v>36</v>
      </c>
      <c r="H49" s="208" t="s">
        <v>157</v>
      </c>
      <c r="I49" s="208" t="s">
        <v>155</v>
      </c>
      <c r="J49" s="208" t="s">
        <v>38</v>
      </c>
      <c r="K49" s="208" t="s">
        <v>156</v>
      </c>
      <c r="L49" s="208">
        <v>3</v>
      </c>
      <c r="N49" s="208">
        <v>1</v>
      </c>
      <c r="O49" s="208">
        <v>0.88</v>
      </c>
      <c r="P49" s="208">
        <v>0.85</v>
      </c>
      <c r="Q49" s="245">
        <f t="shared" si="2"/>
        <v>0.86499999999999999</v>
      </c>
      <c r="R49" s="208">
        <v>15.5</v>
      </c>
      <c r="S49" s="208">
        <v>143</v>
      </c>
      <c r="T49" s="217">
        <f t="shared" si="0"/>
        <v>22</v>
      </c>
      <c r="U49" s="208">
        <v>138</v>
      </c>
      <c r="V49" s="217">
        <f t="shared" si="1"/>
        <v>22</v>
      </c>
      <c r="W49" s="208">
        <v>1</v>
      </c>
      <c r="X49" s="208" t="s">
        <v>39</v>
      </c>
      <c r="Y49" s="208" t="s">
        <v>97</v>
      </c>
      <c r="Z49" s="208" t="s">
        <v>78</v>
      </c>
      <c r="AA49" s="208" t="s">
        <v>69</v>
      </c>
      <c r="AB49" s="237" t="s">
        <v>477</v>
      </c>
    </row>
    <row r="50" spans="1:28" x14ac:dyDescent="0.15">
      <c r="A50" s="208" t="s">
        <v>59</v>
      </c>
      <c r="B50" s="237" t="s">
        <v>455</v>
      </c>
      <c r="C50" s="152">
        <v>2018</v>
      </c>
      <c r="D50" s="153" t="s">
        <v>456</v>
      </c>
      <c r="E50" s="208" t="s">
        <v>318</v>
      </c>
      <c r="F50" s="208" t="s">
        <v>309</v>
      </c>
      <c r="G50" s="208" t="s">
        <v>36</v>
      </c>
      <c r="H50" s="208" t="s">
        <v>165</v>
      </c>
      <c r="I50" s="208" t="s">
        <v>155</v>
      </c>
      <c r="J50" s="208" t="s">
        <v>38</v>
      </c>
      <c r="K50" s="208" t="s">
        <v>156</v>
      </c>
      <c r="L50" s="208">
        <v>1</v>
      </c>
      <c r="N50" s="208">
        <v>4</v>
      </c>
      <c r="O50" s="208">
        <v>0.52</v>
      </c>
      <c r="P50" s="208">
        <v>0.56000000000000005</v>
      </c>
      <c r="Q50" s="245">
        <f t="shared" si="2"/>
        <v>0.54</v>
      </c>
      <c r="R50" s="208">
        <v>15.8</v>
      </c>
      <c r="S50" s="208">
        <v>102</v>
      </c>
      <c r="T50" s="217">
        <f t="shared" si="0"/>
        <v>33</v>
      </c>
      <c r="U50" s="208">
        <v>480</v>
      </c>
      <c r="V50" s="217">
        <f t="shared" si="1"/>
        <v>16</v>
      </c>
      <c r="W50" s="208">
        <v>5</v>
      </c>
      <c r="X50" s="208" t="s">
        <v>46</v>
      </c>
      <c r="Y50" s="208" t="s">
        <v>97</v>
      </c>
      <c r="Z50" s="208" t="s">
        <v>78</v>
      </c>
      <c r="AA50" s="208" t="s">
        <v>69</v>
      </c>
      <c r="AB50" s="237" t="s">
        <v>477</v>
      </c>
    </row>
    <row r="51" spans="1:28" x14ac:dyDescent="0.15">
      <c r="A51" s="208" t="s">
        <v>59</v>
      </c>
      <c r="B51" s="237" t="s">
        <v>455</v>
      </c>
      <c r="C51" s="152">
        <v>2018</v>
      </c>
      <c r="D51" s="153" t="s">
        <v>456</v>
      </c>
      <c r="E51" s="208" t="s">
        <v>318</v>
      </c>
      <c r="F51" s="208" t="s">
        <v>309</v>
      </c>
      <c r="G51" s="208" t="s">
        <v>36</v>
      </c>
      <c r="H51" s="208" t="s">
        <v>165</v>
      </c>
      <c r="I51" s="208" t="s">
        <v>155</v>
      </c>
      <c r="J51" s="208" t="s">
        <v>38</v>
      </c>
      <c r="K51" s="208" t="s">
        <v>156</v>
      </c>
      <c r="L51" s="208">
        <v>2</v>
      </c>
      <c r="N51" s="208">
        <v>4</v>
      </c>
      <c r="O51" s="208">
        <v>0.55000000000000004</v>
      </c>
      <c r="P51" s="208">
        <v>0.53</v>
      </c>
      <c r="Q51" s="245">
        <f t="shared" si="2"/>
        <v>0.54</v>
      </c>
      <c r="R51" s="208">
        <v>15.3</v>
      </c>
      <c r="S51" s="208">
        <v>107</v>
      </c>
      <c r="T51" s="217">
        <f t="shared" si="0"/>
        <v>33</v>
      </c>
      <c r="U51" s="208">
        <v>480</v>
      </c>
      <c r="V51" s="217">
        <f t="shared" si="1"/>
        <v>16</v>
      </c>
      <c r="W51" s="208">
        <v>5</v>
      </c>
      <c r="X51" s="208" t="s">
        <v>46</v>
      </c>
      <c r="Y51" s="208" t="s">
        <v>97</v>
      </c>
      <c r="Z51" s="208" t="s">
        <v>78</v>
      </c>
      <c r="AA51" s="208" t="s">
        <v>69</v>
      </c>
      <c r="AB51" s="237" t="s">
        <v>477</v>
      </c>
    </row>
    <row r="52" spans="1:28" x14ac:dyDescent="0.15">
      <c r="A52" s="208" t="s">
        <v>59</v>
      </c>
      <c r="B52" s="237" t="s">
        <v>455</v>
      </c>
      <c r="C52" s="152">
        <v>2018</v>
      </c>
      <c r="D52" s="153" t="s">
        <v>456</v>
      </c>
      <c r="E52" s="208" t="s">
        <v>318</v>
      </c>
      <c r="F52" s="208" t="s">
        <v>309</v>
      </c>
      <c r="G52" s="208" t="s">
        <v>36</v>
      </c>
      <c r="H52" s="208" t="s">
        <v>165</v>
      </c>
      <c r="I52" s="208" t="s">
        <v>155</v>
      </c>
      <c r="J52" s="208" t="s">
        <v>38</v>
      </c>
      <c r="K52" s="208" t="s">
        <v>156</v>
      </c>
      <c r="L52" s="208">
        <v>3</v>
      </c>
      <c r="N52" s="208">
        <v>4</v>
      </c>
      <c r="O52" s="208">
        <v>0.57999999999999996</v>
      </c>
      <c r="P52" s="208">
        <v>0.56999999999999995</v>
      </c>
      <c r="Q52" s="245">
        <f t="shared" si="2"/>
        <v>0.57499999999999996</v>
      </c>
      <c r="R52" s="208">
        <v>16.2</v>
      </c>
      <c r="S52" s="208">
        <v>100</v>
      </c>
      <c r="T52" s="217">
        <f t="shared" si="0"/>
        <v>33</v>
      </c>
      <c r="U52" s="208">
        <v>480</v>
      </c>
      <c r="V52" s="217">
        <f t="shared" si="1"/>
        <v>16</v>
      </c>
      <c r="W52" s="208">
        <v>5</v>
      </c>
      <c r="X52" s="208" t="s">
        <v>46</v>
      </c>
      <c r="Y52" s="208" t="s">
        <v>97</v>
      </c>
      <c r="Z52" s="208" t="s">
        <v>78</v>
      </c>
      <c r="AA52" s="208" t="s">
        <v>69</v>
      </c>
      <c r="AB52" s="237" t="s">
        <v>477</v>
      </c>
    </row>
    <row r="53" spans="1:28" x14ac:dyDescent="0.15">
      <c r="A53" s="208" t="s">
        <v>59</v>
      </c>
      <c r="B53" s="237" t="s">
        <v>455</v>
      </c>
      <c r="C53" s="152">
        <v>2018</v>
      </c>
      <c r="D53" s="153" t="s">
        <v>456</v>
      </c>
      <c r="E53" s="208" t="s">
        <v>318</v>
      </c>
      <c r="F53" s="208" t="s">
        <v>309</v>
      </c>
      <c r="G53" s="208" t="s">
        <v>36</v>
      </c>
      <c r="H53" s="208" t="s">
        <v>157</v>
      </c>
      <c r="I53" s="208" t="s">
        <v>155</v>
      </c>
      <c r="J53" s="208" t="s">
        <v>38</v>
      </c>
      <c r="K53" s="208" t="s">
        <v>156</v>
      </c>
      <c r="L53" s="208">
        <v>1</v>
      </c>
      <c r="N53" s="208">
        <v>1</v>
      </c>
      <c r="O53" s="208">
        <v>0.66</v>
      </c>
      <c r="P53" s="208">
        <v>0.7</v>
      </c>
      <c r="Q53" s="245">
        <f t="shared" si="2"/>
        <v>0.67999999999999994</v>
      </c>
      <c r="R53" s="208">
        <v>15.1</v>
      </c>
      <c r="S53" s="208">
        <v>140</v>
      </c>
      <c r="T53" s="217">
        <f t="shared" si="0"/>
        <v>22</v>
      </c>
      <c r="U53" s="208">
        <v>128</v>
      </c>
      <c r="V53" s="217">
        <f t="shared" si="1"/>
        <v>27</v>
      </c>
      <c r="W53" s="208">
        <v>7</v>
      </c>
      <c r="X53" s="208" t="s">
        <v>46</v>
      </c>
      <c r="Y53" s="208" t="s">
        <v>97</v>
      </c>
      <c r="Z53" s="208" t="s">
        <v>78</v>
      </c>
      <c r="AA53" s="208" t="s">
        <v>69</v>
      </c>
      <c r="AB53" s="237" t="s">
        <v>477</v>
      </c>
    </row>
    <row r="54" spans="1:28" x14ac:dyDescent="0.15">
      <c r="A54" s="208" t="s">
        <v>59</v>
      </c>
      <c r="B54" s="237" t="s">
        <v>455</v>
      </c>
      <c r="C54" s="152">
        <v>2018</v>
      </c>
      <c r="D54" s="153" t="s">
        <v>456</v>
      </c>
      <c r="E54" s="208" t="s">
        <v>318</v>
      </c>
      <c r="F54" s="208" t="s">
        <v>309</v>
      </c>
      <c r="G54" s="208" t="s">
        <v>36</v>
      </c>
      <c r="H54" s="208" t="s">
        <v>157</v>
      </c>
      <c r="I54" s="208" t="s">
        <v>155</v>
      </c>
      <c r="J54" s="208" t="s">
        <v>38</v>
      </c>
      <c r="K54" s="208" t="s">
        <v>156</v>
      </c>
      <c r="L54" s="208">
        <v>2</v>
      </c>
      <c r="N54" s="208">
        <v>1</v>
      </c>
      <c r="O54" s="208">
        <v>0.7</v>
      </c>
      <c r="P54" s="208">
        <v>0.77</v>
      </c>
      <c r="Q54" s="245">
        <f t="shared" si="2"/>
        <v>0.73499999999999999</v>
      </c>
      <c r="R54" s="208">
        <v>15.6</v>
      </c>
      <c r="S54" s="208">
        <v>151</v>
      </c>
      <c r="T54" s="217">
        <f t="shared" si="0"/>
        <v>22</v>
      </c>
      <c r="U54" s="208">
        <v>128</v>
      </c>
      <c r="V54" s="217">
        <f t="shared" si="1"/>
        <v>27</v>
      </c>
      <c r="W54" s="208">
        <v>7</v>
      </c>
      <c r="X54" s="208" t="s">
        <v>46</v>
      </c>
      <c r="Y54" s="208" t="s">
        <v>97</v>
      </c>
      <c r="Z54" s="208" t="s">
        <v>78</v>
      </c>
      <c r="AA54" s="208" t="s">
        <v>69</v>
      </c>
      <c r="AB54" s="237" t="s">
        <v>477</v>
      </c>
    </row>
    <row r="55" spans="1:28" x14ac:dyDescent="0.15">
      <c r="A55" s="208" t="s">
        <v>59</v>
      </c>
      <c r="B55" s="237" t="s">
        <v>455</v>
      </c>
      <c r="C55" s="152">
        <v>2018</v>
      </c>
      <c r="D55" s="153" t="s">
        <v>456</v>
      </c>
      <c r="E55" s="208" t="s">
        <v>318</v>
      </c>
      <c r="F55" s="208" t="s">
        <v>309</v>
      </c>
      <c r="G55" s="208" t="s">
        <v>36</v>
      </c>
      <c r="H55" s="208" t="s">
        <v>157</v>
      </c>
      <c r="I55" s="208" t="s">
        <v>155</v>
      </c>
      <c r="J55" s="208" t="s">
        <v>38</v>
      </c>
      <c r="K55" s="208" t="s">
        <v>156</v>
      </c>
      <c r="L55" s="208">
        <v>3</v>
      </c>
      <c r="N55" s="208">
        <v>1</v>
      </c>
      <c r="O55" s="208">
        <v>0.72</v>
      </c>
      <c r="P55" s="208">
        <v>0.76</v>
      </c>
      <c r="Q55" s="245">
        <f t="shared" si="2"/>
        <v>0.74</v>
      </c>
      <c r="R55" s="208">
        <v>15.3</v>
      </c>
      <c r="S55" s="208">
        <v>145</v>
      </c>
      <c r="T55" s="217">
        <f t="shared" si="0"/>
        <v>22</v>
      </c>
      <c r="U55" s="208">
        <v>128</v>
      </c>
      <c r="V55" s="217">
        <f t="shared" si="1"/>
        <v>27</v>
      </c>
      <c r="W55" s="208">
        <v>7</v>
      </c>
      <c r="X55" s="208" t="s">
        <v>46</v>
      </c>
      <c r="Y55" s="208" t="s">
        <v>97</v>
      </c>
      <c r="Z55" s="208" t="s">
        <v>78</v>
      </c>
      <c r="AA55" s="208" t="s">
        <v>69</v>
      </c>
      <c r="AB55" s="237" t="s">
        <v>477</v>
      </c>
    </row>
    <row r="56" spans="1:28" x14ac:dyDescent="0.15">
      <c r="A56" s="208" t="s">
        <v>59</v>
      </c>
      <c r="B56" s="237" t="s">
        <v>455</v>
      </c>
      <c r="C56" s="152">
        <v>2018</v>
      </c>
      <c r="D56" s="153" t="s">
        <v>456</v>
      </c>
      <c r="E56" s="208" t="s">
        <v>313</v>
      </c>
      <c r="F56" s="208" t="s">
        <v>306</v>
      </c>
      <c r="G56" s="208" t="s">
        <v>36</v>
      </c>
      <c r="H56" s="208" t="s">
        <v>165</v>
      </c>
      <c r="I56" s="208" t="s">
        <v>155</v>
      </c>
      <c r="J56" s="208" t="s">
        <v>38</v>
      </c>
      <c r="K56" s="208" t="s">
        <v>156</v>
      </c>
      <c r="L56" s="208">
        <v>1</v>
      </c>
      <c r="N56" s="208">
        <v>4</v>
      </c>
      <c r="O56" s="208">
        <v>0.65</v>
      </c>
      <c r="P56" s="208">
        <v>0.6</v>
      </c>
      <c r="Q56" s="245">
        <f t="shared" si="2"/>
        <v>0.625</v>
      </c>
      <c r="R56" s="208">
        <v>15.2</v>
      </c>
      <c r="S56" s="208">
        <v>113</v>
      </c>
      <c r="T56" s="217">
        <f t="shared" si="0"/>
        <v>30</v>
      </c>
      <c r="U56" s="208">
        <v>494</v>
      </c>
      <c r="V56" s="217">
        <f t="shared" si="1"/>
        <v>16</v>
      </c>
      <c r="W56" s="208">
        <v>1</v>
      </c>
      <c r="X56" s="208" t="s">
        <v>39</v>
      </c>
      <c r="Y56" s="208" t="s">
        <v>88</v>
      </c>
      <c r="Z56" s="208" t="s">
        <v>78</v>
      </c>
      <c r="AA56" s="208" t="s">
        <v>102</v>
      </c>
      <c r="AB56" s="237" t="s">
        <v>477</v>
      </c>
    </row>
    <row r="57" spans="1:28" x14ac:dyDescent="0.15">
      <c r="A57" s="208" t="s">
        <v>59</v>
      </c>
      <c r="B57" s="237" t="s">
        <v>455</v>
      </c>
      <c r="C57" s="152">
        <v>2018</v>
      </c>
      <c r="D57" s="153" t="s">
        <v>456</v>
      </c>
      <c r="E57" s="208" t="s">
        <v>313</v>
      </c>
      <c r="F57" s="208" t="s">
        <v>306</v>
      </c>
      <c r="G57" s="208" t="s">
        <v>36</v>
      </c>
      <c r="H57" s="208" t="s">
        <v>165</v>
      </c>
      <c r="I57" s="208" t="s">
        <v>155</v>
      </c>
      <c r="J57" s="208" t="s">
        <v>38</v>
      </c>
      <c r="K57" s="208" t="s">
        <v>156</v>
      </c>
      <c r="L57" s="208">
        <v>2</v>
      </c>
      <c r="N57" s="208">
        <v>4</v>
      </c>
      <c r="O57" s="208">
        <v>0.57999999999999996</v>
      </c>
      <c r="P57" s="208">
        <v>0.6</v>
      </c>
      <c r="Q57" s="245">
        <f t="shared" si="2"/>
        <v>0.59</v>
      </c>
      <c r="R57" s="208">
        <v>15.5</v>
      </c>
      <c r="S57" s="208">
        <v>115</v>
      </c>
      <c r="T57" s="217">
        <f t="shared" si="0"/>
        <v>30</v>
      </c>
      <c r="U57" s="208">
        <v>494</v>
      </c>
      <c r="V57" s="217">
        <f t="shared" si="1"/>
        <v>16</v>
      </c>
      <c r="W57" s="208">
        <v>1</v>
      </c>
      <c r="X57" s="208" t="s">
        <v>39</v>
      </c>
      <c r="Y57" s="208" t="s">
        <v>88</v>
      </c>
      <c r="Z57" s="208" t="s">
        <v>78</v>
      </c>
      <c r="AA57" s="208" t="s">
        <v>102</v>
      </c>
      <c r="AB57" s="237" t="s">
        <v>477</v>
      </c>
    </row>
    <row r="58" spans="1:28" x14ac:dyDescent="0.15">
      <c r="A58" s="208" t="s">
        <v>59</v>
      </c>
      <c r="B58" s="237" t="s">
        <v>455</v>
      </c>
      <c r="C58" s="152">
        <v>2018</v>
      </c>
      <c r="D58" s="153" t="s">
        <v>456</v>
      </c>
      <c r="E58" s="208" t="s">
        <v>313</v>
      </c>
      <c r="F58" s="208" t="s">
        <v>306</v>
      </c>
      <c r="G58" s="208" t="s">
        <v>36</v>
      </c>
      <c r="H58" s="208" t="s">
        <v>165</v>
      </c>
      <c r="I58" s="208" t="s">
        <v>155</v>
      </c>
      <c r="J58" s="208" t="s">
        <v>38</v>
      </c>
      <c r="K58" s="208" t="s">
        <v>156</v>
      </c>
      <c r="L58" s="208">
        <v>3</v>
      </c>
      <c r="N58" s="208">
        <v>4</v>
      </c>
      <c r="O58" s="208">
        <v>0.52</v>
      </c>
      <c r="P58" s="208">
        <v>0.56999999999999995</v>
      </c>
      <c r="Q58" s="245">
        <f t="shared" si="2"/>
        <v>0.54499999999999993</v>
      </c>
      <c r="R58" s="208">
        <v>16.3</v>
      </c>
      <c r="S58" s="208">
        <v>116</v>
      </c>
      <c r="T58" s="217">
        <f t="shared" si="0"/>
        <v>30</v>
      </c>
      <c r="U58" s="208">
        <v>494</v>
      </c>
      <c r="V58" s="217">
        <f t="shared" si="1"/>
        <v>16</v>
      </c>
      <c r="W58" s="208">
        <v>1</v>
      </c>
      <c r="X58" s="208" t="s">
        <v>39</v>
      </c>
      <c r="Y58" s="208" t="s">
        <v>88</v>
      </c>
      <c r="Z58" s="208" t="s">
        <v>78</v>
      </c>
      <c r="AA58" s="208" t="s">
        <v>102</v>
      </c>
      <c r="AB58" s="237" t="s">
        <v>477</v>
      </c>
    </row>
    <row r="59" spans="1:28" x14ac:dyDescent="0.15">
      <c r="A59" s="208" t="s">
        <v>59</v>
      </c>
      <c r="B59" s="237" t="s">
        <v>455</v>
      </c>
      <c r="C59" s="152">
        <v>2018</v>
      </c>
      <c r="D59" s="153" t="s">
        <v>456</v>
      </c>
      <c r="E59" s="208" t="s">
        <v>313</v>
      </c>
      <c r="F59" s="208" t="s">
        <v>306</v>
      </c>
      <c r="G59" s="208" t="s">
        <v>36</v>
      </c>
      <c r="H59" s="208" t="s">
        <v>157</v>
      </c>
      <c r="I59" s="208" t="s">
        <v>155</v>
      </c>
      <c r="J59" s="208" t="s">
        <v>38</v>
      </c>
      <c r="K59" s="208" t="s">
        <v>156</v>
      </c>
      <c r="L59" s="208">
        <v>1</v>
      </c>
      <c r="N59" s="208">
        <v>1</v>
      </c>
      <c r="O59" s="208">
        <v>0.76</v>
      </c>
      <c r="P59" s="208">
        <v>0.65</v>
      </c>
      <c r="Q59" s="245">
        <f t="shared" si="2"/>
        <v>0.70500000000000007</v>
      </c>
      <c r="R59" s="208">
        <v>15.1</v>
      </c>
      <c r="S59" s="208">
        <v>145</v>
      </c>
      <c r="T59" s="217">
        <f t="shared" si="0"/>
        <v>22</v>
      </c>
      <c r="U59" s="208">
        <v>105</v>
      </c>
      <c r="V59" s="217">
        <f t="shared" si="1"/>
        <v>33</v>
      </c>
      <c r="W59" s="208">
        <v>1</v>
      </c>
      <c r="X59" s="208" t="s">
        <v>39</v>
      </c>
      <c r="Y59" s="208" t="s">
        <v>88</v>
      </c>
      <c r="Z59" s="208" t="s">
        <v>78</v>
      </c>
      <c r="AA59" s="208" t="s">
        <v>102</v>
      </c>
      <c r="AB59" s="237" t="s">
        <v>477</v>
      </c>
    </row>
    <row r="60" spans="1:28" x14ac:dyDescent="0.15">
      <c r="A60" s="208" t="s">
        <v>59</v>
      </c>
      <c r="B60" s="237" t="s">
        <v>455</v>
      </c>
      <c r="C60" s="152">
        <v>2018</v>
      </c>
      <c r="D60" s="153" t="s">
        <v>456</v>
      </c>
      <c r="E60" s="208" t="s">
        <v>313</v>
      </c>
      <c r="F60" s="208" t="s">
        <v>306</v>
      </c>
      <c r="G60" s="208" t="s">
        <v>36</v>
      </c>
      <c r="H60" s="208" t="s">
        <v>157</v>
      </c>
      <c r="I60" s="208" t="s">
        <v>155</v>
      </c>
      <c r="J60" s="208" t="s">
        <v>38</v>
      </c>
      <c r="K60" s="208" t="s">
        <v>156</v>
      </c>
      <c r="L60" s="208">
        <v>2</v>
      </c>
      <c r="N60" s="208">
        <v>1</v>
      </c>
      <c r="O60" s="208">
        <v>0.75</v>
      </c>
      <c r="P60" s="208">
        <v>0.8</v>
      </c>
      <c r="Q60" s="245">
        <f t="shared" si="2"/>
        <v>0.77500000000000002</v>
      </c>
      <c r="R60" s="208">
        <v>14.3</v>
      </c>
      <c r="S60" s="208">
        <v>145</v>
      </c>
      <c r="T60" s="217">
        <f t="shared" si="0"/>
        <v>22</v>
      </c>
      <c r="U60" s="208">
        <v>105</v>
      </c>
      <c r="V60" s="217">
        <f t="shared" si="1"/>
        <v>33</v>
      </c>
      <c r="W60" s="208">
        <v>1</v>
      </c>
      <c r="X60" s="208" t="s">
        <v>39</v>
      </c>
      <c r="Y60" s="208" t="s">
        <v>88</v>
      </c>
      <c r="Z60" s="208" t="s">
        <v>78</v>
      </c>
      <c r="AA60" s="208" t="s">
        <v>102</v>
      </c>
      <c r="AB60" s="237" t="s">
        <v>477</v>
      </c>
    </row>
    <row r="61" spans="1:28" x14ac:dyDescent="0.15">
      <c r="A61" s="208" t="s">
        <v>59</v>
      </c>
      <c r="B61" s="237" t="s">
        <v>455</v>
      </c>
      <c r="C61" s="152">
        <v>2018</v>
      </c>
      <c r="D61" s="153" t="s">
        <v>456</v>
      </c>
      <c r="E61" s="208" t="s">
        <v>313</v>
      </c>
      <c r="F61" s="208" t="s">
        <v>306</v>
      </c>
      <c r="G61" s="208" t="s">
        <v>36</v>
      </c>
      <c r="H61" s="208" t="s">
        <v>157</v>
      </c>
      <c r="I61" s="208" t="s">
        <v>155</v>
      </c>
      <c r="J61" s="208" t="s">
        <v>38</v>
      </c>
      <c r="K61" s="208" t="s">
        <v>156</v>
      </c>
      <c r="L61" s="208">
        <v>3</v>
      </c>
      <c r="N61" s="208">
        <v>1</v>
      </c>
      <c r="O61" s="208">
        <v>0.72</v>
      </c>
      <c r="P61" s="208">
        <v>0.65</v>
      </c>
      <c r="Q61" s="245">
        <f t="shared" si="2"/>
        <v>0.68500000000000005</v>
      </c>
      <c r="R61" s="208">
        <v>15.8</v>
      </c>
      <c r="S61" s="208">
        <v>146</v>
      </c>
      <c r="T61" s="217">
        <f t="shared" si="0"/>
        <v>22</v>
      </c>
      <c r="U61" s="208">
        <v>105</v>
      </c>
      <c r="V61" s="217">
        <f t="shared" si="1"/>
        <v>33</v>
      </c>
      <c r="W61" s="208">
        <v>1</v>
      </c>
      <c r="X61" s="208" t="s">
        <v>39</v>
      </c>
      <c r="Y61" s="208" t="s">
        <v>88</v>
      </c>
      <c r="Z61" s="208" t="s">
        <v>78</v>
      </c>
      <c r="AA61" s="208" t="s">
        <v>102</v>
      </c>
      <c r="AB61" s="237" t="s">
        <v>477</v>
      </c>
    </row>
    <row r="62" spans="1:28" x14ac:dyDescent="0.15">
      <c r="B62" s="237"/>
      <c r="C62" s="152"/>
      <c r="D62" s="153"/>
      <c r="Q62" s="245" t="str">
        <f t="shared" si="2"/>
        <v/>
      </c>
      <c r="T62" s="217" t="str">
        <f t="shared" si="0"/>
        <v/>
      </c>
      <c r="V62" s="217" t="str">
        <f t="shared" si="1"/>
        <v/>
      </c>
      <c r="AB62" s="237"/>
    </row>
    <row r="63" spans="1:28" x14ac:dyDescent="0.15">
      <c r="B63" s="237"/>
      <c r="C63" s="152"/>
      <c r="D63" s="153"/>
      <c r="Q63" s="245" t="str">
        <f t="shared" si="2"/>
        <v/>
      </c>
      <c r="T63" s="217" t="str">
        <f t="shared" si="0"/>
        <v/>
      </c>
      <c r="V63" s="217" t="str">
        <f t="shared" si="1"/>
        <v/>
      </c>
      <c r="AB63" s="237"/>
    </row>
    <row r="64" spans="1:28" x14ac:dyDescent="0.15">
      <c r="B64" s="237"/>
      <c r="C64" s="152"/>
      <c r="D64" s="153"/>
      <c r="Q64" s="245" t="str">
        <f t="shared" si="2"/>
        <v/>
      </c>
      <c r="T64" s="217" t="str">
        <f t="shared" si="0"/>
        <v/>
      </c>
      <c r="V64" s="217" t="str">
        <f t="shared" si="1"/>
        <v/>
      </c>
      <c r="AB64" s="237"/>
    </row>
    <row r="65" spans="2:28" x14ac:dyDescent="0.15">
      <c r="B65" s="237"/>
      <c r="C65" s="152"/>
      <c r="D65" s="153"/>
      <c r="Q65" s="245" t="str">
        <f t="shared" si="2"/>
        <v/>
      </c>
      <c r="T65" s="217" t="str">
        <f t="shared" si="0"/>
        <v/>
      </c>
      <c r="V65" s="217" t="str">
        <f t="shared" si="1"/>
        <v/>
      </c>
      <c r="AB65" s="237"/>
    </row>
    <row r="66" spans="2:28" x14ac:dyDescent="0.15">
      <c r="B66" s="237"/>
      <c r="C66" s="152"/>
      <c r="D66" s="153"/>
      <c r="Q66" s="245" t="str">
        <f t="shared" si="2"/>
        <v/>
      </c>
      <c r="T66" s="217" t="str">
        <f t="shared" si="0"/>
        <v/>
      </c>
      <c r="V66" s="217" t="str">
        <f t="shared" si="1"/>
        <v/>
      </c>
      <c r="AB66" s="237"/>
    </row>
    <row r="67" spans="2:28" x14ac:dyDescent="0.15">
      <c r="B67" s="237"/>
      <c r="C67" s="152"/>
      <c r="D67" s="153"/>
      <c r="Q67" s="245" t="str">
        <f t="shared" si="2"/>
        <v/>
      </c>
      <c r="T67" s="217" t="str">
        <f t="shared" si="0"/>
        <v/>
      </c>
      <c r="V67" s="217" t="str">
        <f t="shared" si="1"/>
        <v/>
      </c>
      <c r="AB67" s="237"/>
    </row>
    <row r="68" spans="2:28" x14ac:dyDescent="0.15">
      <c r="B68" s="237"/>
      <c r="C68" s="152"/>
      <c r="D68" s="153"/>
      <c r="Q68" s="245" t="str">
        <f t="shared" si="2"/>
        <v/>
      </c>
      <c r="T68" s="217" t="str">
        <f t="shared" si="0"/>
        <v/>
      </c>
      <c r="V68" s="217" t="str">
        <f t="shared" si="1"/>
        <v/>
      </c>
      <c r="AB68" s="237"/>
    </row>
    <row r="69" spans="2:28" x14ac:dyDescent="0.15">
      <c r="B69" s="237"/>
      <c r="C69" s="152"/>
      <c r="D69" s="153"/>
      <c r="Q69" s="245" t="str">
        <f t="shared" si="2"/>
        <v/>
      </c>
      <c r="T69" s="217" t="str">
        <f t="shared" si="0"/>
        <v/>
      </c>
      <c r="V69" s="217" t="str">
        <f t="shared" si="1"/>
        <v/>
      </c>
      <c r="AB69" s="237"/>
    </row>
    <row r="70" spans="2:28" x14ac:dyDescent="0.15">
      <c r="B70" s="237"/>
      <c r="C70" s="152"/>
      <c r="D70" s="153"/>
      <c r="Q70" s="245" t="str">
        <f t="shared" si="2"/>
        <v/>
      </c>
      <c r="T70" s="217" t="str">
        <f t="shared" si="0"/>
        <v/>
      </c>
      <c r="V70" s="217" t="str">
        <f t="shared" si="1"/>
        <v/>
      </c>
      <c r="AB70" s="237"/>
    </row>
    <row r="71" spans="2:28" x14ac:dyDescent="0.15">
      <c r="B71" s="237"/>
      <c r="C71" s="152"/>
      <c r="D71" s="153"/>
      <c r="Q71" s="245" t="str">
        <f t="shared" si="2"/>
        <v/>
      </c>
      <c r="T71" s="217" t="str">
        <f t="shared" si="0"/>
        <v/>
      </c>
      <c r="AB71" s="237"/>
    </row>
    <row r="72" spans="2:28" x14ac:dyDescent="0.15">
      <c r="B72" s="237"/>
      <c r="C72" s="152"/>
      <c r="D72" s="153"/>
      <c r="Q72" s="245" t="str">
        <f t="shared" si="2"/>
        <v/>
      </c>
      <c r="T72" s="217" t="str">
        <f t="shared" si="0"/>
        <v/>
      </c>
      <c r="AB72" s="237"/>
    </row>
    <row r="73" spans="2:28" x14ac:dyDescent="0.15">
      <c r="B73" s="237"/>
      <c r="C73" s="152"/>
      <c r="D73" s="153"/>
      <c r="Q73" s="245" t="str">
        <f t="shared" si="2"/>
        <v/>
      </c>
      <c r="T73" s="217" t="str">
        <f t="shared" si="0"/>
        <v/>
      </c>
      <c r="AB73" s="237"/>
    </row>
    <row r="74" spans="2:28" x14ac:dyDescent="0.15">
      <c r="B74" s="237"/>
      <c r="C74" s="152"/>
      <c r="D74" s="153"/>
      <c r="Q74" s="245"/>
      <c r="AB74" s="237"/>
    </row>
    <row r="75" spans="2:28" x14ac:dyDescent="0.15">
      <c r="B75" s="237"/>
      <c r="C75" s="152"/>
      <c r="D75" s="153"/>
      <c r="Q75" s="245"/>
      <c r="AB75" s="237"/>
    </row>
    <row r="76" spans="2:28" x14ac:dyDescent="0.15">
      <c r="B76" s="237"/>
      <c r="C76" s="152"/>
      <c r="D76" s="153"/>
      <c r="Q76" s="245"/>
      <c r="AB76" s="237"/>
    </row>
    <row r="77" spans="2:28" x14ac:dyDescent="0.15">
      <c r="B77" s="237"/>
      <c r="C77" s="152"/>
      <c r="D77" s="153"/>
      <c r="Q77" s="245"/>
      <c r="AB77" s="237"/>
    </row>
    <row r="78" spans="2:28" x14ac:dyDescent="0.15">
      <c r="B78" s="237"/>
      <c r="C78" s="152"/>
      <c r="D78" s="153"/>
      <c r="Q78" s="245"/>
      <c r="AB78" s="237"/>
    </row>
    <row r="79" spans="2:28" x14ac:dyDescent="0.15">
      <c r="B79" s="237"/>
      <c r="C79" s="152"/>
      <c r="D79" s="153"/>
      <c r="Q79" s="245"/>
      <c r="AB79" s="237"/>
    </row>
    <row r="80" spans="2:28" x14ac:dyDescent="0.15">
      <c r="B80" s="237"/>
      <c r="C80" s="152"/>
      <c r="D80" s="153"/>
      <c r="Q80" s="245"/>
      <c r="AB80" s="237"/>
    </row>
    <row r="81" spans="2:28" x14ac:dyDescent="0.15">
      <c r="B81" s="237"/>
      <c r="C81" s="152"/>
      <c r="D81" s="153"/>
      <c r="Q81" s="245"/>
      <c r="AB81" s="237"/>
    </row>
    <row r="82" spans="2:28" x14ac:dyDescent="0.15">
      <c r="B82" s="237"/>
      <c r="C82" s="152"/>
      <c r="D82" s="153"/>
      <c r="Q82" s="245"/>
      <c r="AB82" s="237"/>
    </row>
    <row r="83" spans="2:28" x14ac:dyDescent="0.15">
      <c r="B83" s="237"/>
      <c r="C83" s="152"/>
      <c r="Q83" s="245"/>
      <c r="AB83" s="237"/>
    </row>
    <row r="84" spans="2:28" x14ac:dyDescent="0.15">
      <c r="B84" s="237"/>
      <c r="C84" s="152"/>
      <c r="Q84" s="245"/>
      <c r="AB84" s="237"/>
    </row>
    <row r="85" spans="2:28" x14ac:dyDescent="0.15">
      <c r="B85" s="237"/>
      <c r="C85" s="152"/>
      <c r="Q85" s="245"/>
      <c r="AB85" s="237"/>
    </row>
    <row r="86" spans="2:28" x14ac:dyDescent="0.15">
      <c r="B86" s="237"/>
      <c r="C86" s="152"/>
      <c r="Q86" s="245"/>
      <c r="AB86" s="237"/>
    </row>
    <row r="87" spans="2:28" x14ac:dyDescent="0.15">
      <c r="B87" s="237"/>
      <c r="C87" s="152"/>
      <c r="Q87" s="245"/>
      <c r="AB87" s="237"/>
    </row>
    <row r="88" spans="2:28" x14ac:dyDescent="0.15">
      <c r="B88" s="237"/>
      <c r="C88" s="152"/>
      <c r="Q88" s="245"/>
      <c r="AB88" s="237"/>
    </row>
    <row r="89" spans="2:28" x14ac:dyDescent="0.15">
      <c r="B89" s="237"/>
      <c r="C89" s="152"/>
      <c r="Q89" s="245"/>
      <c r="AB89" s="237"/>
    </row>
    <row r="90" spans="2:28" x14ac:dyDescent="0.15">
      <c r="B90" s="237"/>
      <c r="C90" s="152"/>
      <c r="Q90" s="245"/>
      <c r="AB90" s="237"/>
    </row>
    <row r="91" spans="2:28" x14ac:dyDescent="0.15">
      <c r="B91" s="237"/>
      <c r="C91" s="152"/>
      <c r="Q91" s="245"/>
      <c r="AB91" s="237"/>
    </row>
    <row r="92" spans="2:28" x14ac:dyDescent="0.15">
      <c r="B92" s="237"/>
      <c r="C92" s="152"/>
      <c r="Q92" s="245"/>
      <c r="AB92" s="237"/>
    </row>
    <row r="93" spans="2:28" x14ac:dyDescent="0.15">
      <c r="B93" s="237"/>
      <c r="C93" s="152"/>
      <c r="Q93" s="245"/>
      <c r="AB93" s="237"/>
    </row>
    <row r="94" spans="2:28" x14ac:dyDescent="0.15">
      <c r="B94" s="237"/>
      <c r="C94" s="152"/>
      <c r="Q94" s="245"/>
      <c r="AB94" s="237"/>
    </row>
    <row r="95" spans="2:28" x14ac:dyDescent="0.15">
      <c r="B95" s="237"/>
      <c r="C95" s="152"/>
      <c r="Q95" s="245"/>
      <c r="AB95" s="237"/>
    </row>
    <row r="96" spans="2:28" x14ac:dyDescent="0.15">
      <c r="B96" s="237"/>
      <c r="C96" s="152"/>
      <c r="Q96" s="245"/>
      <c r="AB96" s="237"/>
    </row>
    <row r="97" spans="2:28" x14ac:dyDescent="0.15">
      <c r="B97" s="237"/>
      <c r="C97" s="152"/>
      <c r="Q97" s="245"/>
      <c r="AB97" s="237"/>
    </row>
    <row r="98" spans="2:28" x14ac:dyDescent="0.15">
      <c r="B98" s="237"/>
      <c r="C98" s="152"/>
      <c r="Q98" s="245"/>
      <c r="AB98" s="237"/>
    </row>
    <row r="99" spans="2:28" x14ac:dyDescent="0.15">
      <c r="B99" s="237"/>
      <c r="C99" s="152"/>
      <c r="AB99" s="237"/>
    </row>
    <row r="100" spans="2:28" x14ac:dyDescent="0.15">
      <c r="B100" s="237"/>
      <c r="C100" s="152"/>
      <c r="AB100" s="237"/>
    </row>
    <row r="101" spans="2:28" x14ac:dyDescent="0.15">
      <c r="Q101" s="217" t="str">
        <f t="shared" ref="Q101:Q152" si="3">IF(OR(O101="",P101=""),"",AVERAGE(O101,P101))</f>
        <v/>
      </c>
      <c r="T101" s="217" t="str">
        <f t="shared" ref="T101:T152" si="4">IF(H101="","",IF(OR(H101="GREEN",H101="GK"),IF(S101&gt;=$AX$2,VLOOKUP(S101,$AX$2:$AY$12,2,1),""),IF(S101&gt;=$AZ$2,VLOOKUP(S101,$AZ$2:$BA$12,2,1),"")))</f>
        <v/>
      </c>
      <c r="V101" s="217" t="str">
        <f t="shared" ref="V101:V152" si="5">IF(J101="","",IF(OR(J101="GREEN",J101="GK"),IF(U101&gt;=$AX$2,VLOOKUP(U101,$AX$2:$AY$12,2,1),""),IF(U101&gt;=$AZ$2,VLOOKUP(U101,$AZ$2:$BA$12,2,1),"")))</f>
        <v/>
      </c>
      <c r="AB101" s="237"/>
    </row>
    <row r="102" spans="2:28" x14ac:dyDescent="0.15">
      <c r="Q102" s="217" t="str">
        <f t="shared" si="3"/>
        <v/>
      </c>
      <c r="T102" s="217" t="str">
        <f t="shared" si="4"/>
        <v/>
      </c>
      <c r="V102" s="217" t="str">
        <f t="shared" si="5"/>
        <v/>
      </c>
    </row>
    <row r="103" spans="2:28" x14ac:dyDescent="0.15">
      <c r="Q103" s="217" t="str">
        <f t="shared" si="3"/>
        <v/>
      </c>
      <c r="T103" s="217" t="str">
        <f t="shared" si="4"/>
        <v/>
      </c>
      <c r="V103" s="217" t="str">
        <f t="shared" si="5"/>
        <v/>
      </c>
    </row>
    <row r="104" spans="2:28" x14ac:dyDescent="0.15">
      <c r="Q104" s="217" t="str">
        <f t="shared" si="3"/>
        <v/>
      </c>
      <c r="T104" s="217" t="str">
        <f t="shared" si="4"/>
        <v/>
      </c>
      <c r="V104" s="217" t="str">
        <f t="shared" si="5"/>
        <v/>
      </c>
    </row>
    <row r="105" spans="2:28" x14ac:dyDescent="0.15">
      <c r="Q105" s="217" t="str">
        <f t="shared" si="3"/>
        <v/>
      </c>
      <c r="T105" s="217" t="str">
        <f t="shared" si="4"/>
        <v/>
      </c>
      <c r="V105" s="217" t="str">
        <f t="shared" si="5"/>
        <v/>
      </c>
    </row>
    <row r="106" spans="2:28" x14ac:dyDescent="0.15">
      <c r="Q106" s="217" t="str">
        <f t="shared" si="3"/>
        <v/>
      </c>
      <c r="T106" s="217" t="str">
        <f t="shared" si="4"/>
        <v/>
      </c>
      <c r="V106" s="217" t="str">
        <f t="shared" si="5"/>
        <v/>
      </c>
    </row>
    <row r="107" spans="2:28" x14ac:dyDescent="0.15">
      <c r="Q107" s="217" t="str">
        <f t="shared" si="3"/>
        <v/>
      </c>
      <c r="T107" s="217" t="str">
        <f t="shared" si="4"/>
        <v/>
      </c>
      <c r="V107" s="217" t="str">
        <f t="shared" si="5"/>
        <v/>
      </c>
    </row>
    <row r="108" spans="2:28" x14ac:dyDescent="0.15">
      <c r="Q108" s="217" t="str">
        <f t="shared" si="3"/>
        <v/>
      </c>
      <c r="T108" s="217" t="str">
        <f t="shared" si="4"/>
        <v/>
      </c>
      <c r="V108" s="217" t="str">
        <f t="shared" si="5"/>
        <v/>
      </c>
    </row>
    <row r="109" spans="2:28" x14ac:dyDescent="0.15">
      <c r="Q109" s="217" t="str">
        <f t="shared" si="3"/>
        <v/>
      </c>
      <c r="T109" s="217" t="str">
        <f t="shared" si="4"/>
        <v/>
      </c>
      <c r="V109" s="217" t="str">
        <f t="shared" si="5"/>
        <v/>
      </c>
    </row>
    <row r="110" spans="2:28" x14ac:dyDescent="0.15">
      <c r="Q110" s="217" t="str">
        <f t="shared" si="3"/>
        <v/>
      </c>
      <c r="T110" s="217" t="str">
        <f t="shared" si="4"/>
        <v/>
      </c>
      <c r="V110" s="217" t="str">
        <f t="shared" si="5"/>
        <v/>
      </c>
    </row>
    <row r="111" spans="2:28" x14ac:dyDescent="0.15">
      <c r="Q111" s="217" t="str">
        <f t="shared" si="3"/>
        <v/>
      </c>
      <c r="T111" s="217" t="str">
        <f t="shared" si="4"/>
        <v/>
      </c>
      <c r="V111" s="217" t="str">
        <f t="shared" si="5"/>
        <v/>
      </c>
    </row>
    <row r="112" spans="2:28" x14ac:dyDescent="0.15">
      <c r="Q112" s="217" t="str">
        <f t="shared" si="3"/>
        <v/>
      </c>
      <c r="T112" s="217" t="str">
        <f t="shared" si="4"/>
        <v/>
      </c>
      <c r="V112" s="217" t="str">
        <f t="shared" si="5"/>
        <v/>
      </c>
    </row>
    <row r="113" spans="17:22" x14ac:dyDescent="0.15">
      <c r="Q113" s="217" t="str">
        <f t="shared" si="3"/>
        <v/>
      </c>
      <c r="T113" s="217" t="str">
        <f t="shared" si="4"/>
        <v/>
      </c>
      <c r="V113" s="217" t="str">
        <f t="shared" si="5"/>
        <v/>
      </c>
    </row>
    <row r="114" spans="17:22" x14ac:dyDescent="0.15">
      <c r="Q114" s="217" t="str">
        <f t="shared" si="3"/>
        <v/>
      </c>
      <c r="T114" s="217" t="str">
        <f t="shared" si="4"/>
        <v/>
      </c>
      <c r="V114" s="217" t="str">
        <f t="shared" si="5"/>
        <v/>
      </c>
    </row>
    <row r="115" spans="17:22" x14ac:dyDescent="0.15">
      <c r="Q115" s="217" t="str">
        <f t="shared" si="3"/>
        <v/>
      </c>
      <c r="T115" s="217" t="str">
        <f t="shared" si="4"/>
        <v/>
      </c>
      <c r="V115" s="217" t="str">
        <f t="shared" si="5"/>
        <v/>
      </c>
    </row>
    <row r="116" spans="17:22" x14ac:dyDescent="0.15">
      <c r="Q116" s="217" t="str">
        <f t="shared" si="3"/>
        <v/>
      </c>
      <c r="T116" s="217" t="str">
        <f t="shared" si="4"/>
        <v/>
      </c>
      <c r="V116" s="217" t="str">
        <f t="shared" si="5"/>
        <v/>
      </c>
    </row>
    <row r="117" spans="17:22" x14ac:dyDescent="0.15">
      <c r="Q117" s="217" t="str">
        <f t="shared" si="3"/>
        <v/>
      </c>
      <c r="T117" s="217" t="str">
        <f t="shared" si="4"/>
        <v/>
      </c>
      <c r="V117" s="217" t="str">
        <f t="shared" si="5"/>
        <v/>
      </c>
    </row>
    <row r="118" spans="17:22" x14ac:dyDescent="0.15">
      <c r="Q118" s="217" t="str">
        <f t="shared" si="3"/>
        <v/>
      </c>
      <c r="T118" s="217" t="str">
        <f t="shared" si="4"/>
        <v/>
      </c>
      <c r="V118" s="217" t="str">
        <f t="shared" si="5"/>
        <v/>
      </c>
    </row>
    <row r="119" spans="17:22" x14ac:dyDescent="0.15">
      <c r="Q119" s="217" t="str">
        <f t="shared" si="3"/>
        <v/>
      </c>
      <c r="T119" s="217" t="str">
        <f t="shared" si="4"/>
        <v/>
      </c>
      <c r="V119" s="217" t="str">
        <f t="shared" si="5"/>
        <v/>
      </c>
    </row>
    <row r="120" spans="17:22" x14ac:dyDescent="0.15">
      <c r="Q120" s="217" t="str">
        <f t="shared" si="3"/>
        <v/>
      </c>
      <c r="T120" s="217" t="str">
        <f t="shared" si="4"/>
        <v/>
      </c>
      <c r="V120" s="217" t="str">
        <f t="shared" si="5"/>
        <v/>
      </c>
    </row>
    <row r="121" spans="17:22" x14ac:dyDescent="0.15">
      <c r="Q121" s="217" t="str">
        <f t="shared" si="3"/>
        <v/>
      </c>
      <c r="T121" s="217" t="str">
        <f t="shared" si="4"/>
        <v/>
      </c>
      <c r="V121" s="217" t="str">
        <f t="shared" si="5"/>
        <v/>
      </c>
    </row>
    <row r="122" spans="17:22" x14ac:dyDescent="0.15">
      <c r="Q122" s="217" t="str">
        <f t="shared" si="3"/>
        <v/>
      </c>
      <c r="T122" s="217" t="str">
        <f t="shared" si="4"/>
        <v/>
      </c>
      <c r="V122" s="217" t="str">
        <f t="shared" si="5"/>
        <v/>
      </c>
    </row>
    <row r="123" spans="17:22" x14ac:dyDescent="0.15">
      <c r="Q123" s="217" t="str">
        <f t="shared" si="3"/>
        <v/>
      </c>
      <c r="T123" s="217" t="str">
        <f t="shared" si="4"/>
        <v/>
      </c>
      <c r="V123" s="217" t="str">
        <f t="shared" si="5"/>
        <v/>
      </c>
    </row>
    <row r="124" spans="17:22" x14ac:dyDescent="0.15">
      <c r="Q124" s="217" t="str">
        <f t="shared" si="3"/>
        <v/>
      </c>
      <c r="T124" s="217" t="str">
        <f t="shared" si="4"/>
        <v/>
      </c>
      <c r="V124" s="217" t="str">
        <f t="shared" si="5"/>
        <v/>
      </c>
    </row>
    <row r="125" spans="17:22" x14ac:dyDescent="0.15">
      <c r="Q125" s="217" t="str">
        <f t="shared" si="3"/>
        <v/>
      </c>
      <c r="T125" s="217" t="str">
        <f t="shared" si="4"/>
        <v/>
      </c>
      <c r="V125" s="217" t="str">
        <f t="shared" si="5"/>
        <v/>
      </c>
    </row>
    <row r="126" spans="17:22" x14ac:dyDescent="0.15">
      <c r="Q126" s="217" t="str">
        <f t="shared" si="3"/>
        <v/>
      </c>
      <c r="T126" s="217" t="str">
        <f t="shared" si="4"/>
        <v/>
      </c>
      <c r="V126" s="217" t="str">
        <f t="shared" si="5"/>
        <v/>
      </c>
    </row>
    <row r="127" spans="17:22" x14ac:dyDescent="0.15">
      <c r="Q127" s="217" t="str">
        <f t="shared" si="3"/>
        <v/>
      </c>
      <c r="T127" s="217" t="str">
        <f t="shared" si="4"/>
        <v/>
      </c>
      <c r="V127" s="217" t="str">
        <f t="shared" si="5"/>
        <v/>
      </c>
    </row>
    <row r="128" spans="17:22" x14ac:dyDescent="0.15">
      <c r="Q128" s="217" t="str">
        <f t="shared" si="3"/>
        <v/>
      </c>
      <c r="T128" s="217" t="str">
        <f t="shared" si="4"/>
        <v/>
      </c>
      <c r="V128" s="217" t="str">
        <f t="shared" si="5"/>
        <v/>
      </c>
    </row>
    <row r="129" spans="17:22" x14ac:dyDescent="0.15">
      <c r="Q129" s="217" t="str">
        <f t="shared" si="3"/>
        <v/>
      </c>
      <c r="T129" s="217" t="str">
        <f t="shared" si="4"/>
        <v/>
      </c>
      <c r="V129" s="217" t="str">
        <f t="shared" si="5"/>
        <v/>
      </c>
    </row>
    <row r="130" spans="17:22" x14ac:dyDescent="0.15">
      <c r="Q130" s="217" t="str">
        <f t="shared" si="3"/>
        <v/>
      </c>
      <c r="T130" s="217" t="str">
        <f t="shared" si="4"/>
        <v/>
      </c>
      <c r="V130" s="217" t="str">
        <f t="shared" si="5"/>
        <v/>
      </c>
    </row>
    <row r="131" spans="17:22" x14ac:dyDescent="0.15">
      <c r="Q131" s="217" t="str">
        <f t="shared" si="3"/>
        <v/>
      </c>
      <c r="T131" s="217" t="str">
        <f t="shared" si="4"/>
        <v/>
      </c>
      <c r="V131" s="217" t="str">
        <f t="shared" si="5"/>
        <v/>
      </c>
    </row>
    <row r="132" spans="17:22" x14ac:dyDescent="0.15">
      <c r="Q132" s="217" t="str">
        <f t="shared" si="3"/>
        <v/>
      </c>
      <c r="T132" s="217" t="str">
        <f t="shared" si="4"/>
        <v/>
      </c>
      <c r="V132" s="217" t="str">
        <f t="shared" si="5"/>
        <v/>
      </c>
    </row>
    <row r="133" spans="17:22" x14ac:dyDescent="0.15">
      <c r="Q133" s="217" t="str">
        <f t="shared" si="3"/>
        <v/>
      </c>
      <c r="T133" s="217" t="str">
        <f t="shared" si="4"/>
        <v/>
      </c>
      <c r="V133" s="217" t="str">
        <f t="shared" si="5"/>
        <v/>
      </c>
    </row>
    <row r="134" spans="17:22" x14ac:dyDescent="0.15">
      <c r="Q134" s="217" t="str">
        <f t="shared" si="3"/>
        <v/>
      </c>
      <c r="T134" s="217" t="str">
        <f t="shared" si="4"/>
        <v/>
      </c>
      <c r="V134" s="217" t="str">
        <f t="shared" si="5"/>
        <v/>
      </c>
    </row>
    <row r="135" spans="17:22" x14ac:dyDescent="0.15">
      <c r="Q135" s="217" t="str">
        <f t="shared" si="3"/>
        <v/>
      </c>
      <c r="T135" s="217" t="str">
        <f t="shared" si="4"/>
        <v/>
      </c>
      <c r="V135" s="217" t="str">
        <f t="shared" si="5"/>
        <v/>
      </c>
    </row>
    <row r="136" spans="17:22" x14ac:dyDescent="0.15">
      <c r="Q136" s="217" t="str">
        <f t="shared" si="3"/>
        <v/>
      </c>
      <c r="T136" s="217" t="str">
        <f t="shared" si="4"/>
        <v/>
      </c>
      <c r="V136" s="217" t="str">
        <f t="shared" si="5"/>
        <v/>
      </c>
    </row>
    <row r="137" spans="17:22" x14ac:dyDescent="0.15">
      <c r="Q137" s="217" t="str">
        <f t="shared" si="3"/>
        <v/>
      </c>
      <c r="T137" s="217" t="str">
        <f t="shared" si="4"/>
        <v/>
      </c>
      <c r="V137" s="217" t="str">
        <f t="shared" si="5"/>
        <v/>
      </c>
    </row>
    <row r="138" spans="17:22" x14ac:dyDescent="0.15">
      <c r="Q138" s="217" t="str">
        <f t="shared" si="3"/>
        <v/>
      </c>
      <c r="T138" s="217" t="str">
        <f t="shared" si="4"/>
        <v/>
      </c>
      <c r="V138" s="217" t="str">
        <f t="shared" si="5"/>
        <v/>
      </c>
    </row>
    <row r="139" spans="17:22" x14ac:dyDescent="0.15">
      <c r="Q139" s="217" t="str">
        <f t="shared" si="3"/>
        <v/>
      </c>
      <c r="T139" s="217" t="str">
        <f t="shared" si="4"/>
        <v/>
      </c>
      <c r="V139" s="217" t="str">
        <f t="shared" si="5"/>
        <v/>
      </c>
    </row>
    <row r="140" spans="17:22" x14ac:dyDescent="0.15">
      <c r="Q140" s="217" t="str">
        <f t="shared" si="3"/>
        <v/>
      </c>
      <c r="T140" s="217" t="str">
        <f t="shared" si="4"/>
        <v/>
      </c>
      <c r="V140" s="217" t="str">
        <f t="shared" si="5"/>
        <v/>
      </c>
    </row>
    <row r="141" spans="17:22" x14ac:dyDescent="0.15">
      <c r="Q141" s="217" t="str">
        <f t="shared" si="3"/>
        <v/>
      </c>
      <c r="T141" s="217" t="str">
        <f t="shared" si="4"/>
        <v/>
      </c>
      <c r="V141" s="217" t="str">
        <f t="shared" si="5"/>
        <v/>
      </c>
    </row>
    <row r="142" spans="17:22" x14ac:dyDescent="0.15">
      <c r="Q142" s="217" t="str">
        <f t="shared" si="3"/>
        <v/>
      </c>
      <c r="T142" s="217" t="str">
        <f t="shared" si="4"/>
        <v/>
      </c>
      <c r="V142" s="217" t="str">
        <f t="shared" si="5"/>
        <v/>
      </c>
    </row>
    <row r="143" spans="17:22" x14ac:dyDescent="0.15">
      <c r="Q143" s="217" t="str">
        <f t="shared" si="3"/>
        <v/>
      </c>
      <c r="T143" s="217" t="str">
        <f t="shared" si="4"/>
        <v/>
      </c>
      <c r="V143" s="217" t="str">
        <f t="shared" si="5"/>
        <v/>
      </c>
    </row>
    <row r="144" spans="17:22" x14ac:dyDescent="0.15">
      <c r="Q144" s="217" t="str">
        <f t="shared" si="3"/>
        <v/>
      </c>
      <c r="T144" s="217" t="str">
        <f t="shared" si="4"/>
        <v/>
      </c>
      <c r="V144" s="217" t="str">
        <f t="shared" si="5"/>
        <v/>
      </c>
    </row>
    <row r="145" spans="17:22" x14ac:dyDescent="0.15">
      <c r="Q145" s="217" t="str">
        <f t="shared" si="3"/>
        <v/>
      </c>
      <c r="T145" s="217" t="str">
        <f t="shared" si="4"/>
        <v/>
      </c>
      <c r="V145" s="217" t="str">
        <f t="shared" si="5"/>
        <v/>
      </c>
    </row>
    <row r="146" spans="17:22" x14ac:dyDescent="0.15">
      <c r="Q146" s="217" t="str">
        <f t="shared" si="3"/>
        <v/>
      </c>
      <c r="T146" s="217" t="str">
        <f t="shared" si="4"/>
        <v/>
      </c>
      <c r="V146" s="217" t="str">
        <f t="shared" si="5"/>
        <v/>
      </c>
    </row>
    <row r="147" spans="17:22" x14ac:dyDescent="0.15">
      <c r="Q147" s="217" t="str">
        <f t="shared" si="3"/>
        <v/>
      </c>
      <c r="T147" s="217" t="str">
        <f t="shared" si="4"/>
        <v/>
      </c>
      <c r="V147" s="217" t="str">
        <f t="shared" si="5"/>
        <v/>
      </c>
    </row>
    <row r="148" spans="17:22" x14ac:dyDescent="0.15">
      <c r="Q148" s="217" t="str">
        <f t="shared" si="3"/>
        <v/>
      </c>
      <c r="T148" s="217" t="str">
        <f t="shared" si="4"/>
        <v/>
      </c>
      <c r="V148" s="217" t="str">
        <f t="shared" si="5"/>
        <v/>
      </c>
    </row>
    <row r="149" spans="17:22" x14ac:dyDescent="0.15">
      <c r="Q149" s="217" t="str">
        <f t="shared" si="3"/>
        <v/>
      </c>
      <c r="T149" s="217" t="str">
        <f t="shared" si="4"/>
        <v/>
      </c>
      <c r="V149" s="217" t="str">
        <f t="shared" si="5"/>
        <v/>
      </c>
    </row>
    <row r="150" spans="17:22" x14ac:dyDescent="0.15">
      <c r="Q150" s="217" t="str">
        <f t="shared" si="3"/>
        <v/>
      </c>
      <c r="T150" s="217" t="str">
        <f t="shared" si="4"/>
        <v/>
      </c>
      <c r="V150" s="217" t="str">
        <f t="shared" si="5"/>
        <v/>
      </c>
    </row>
    <row r="151" spans="17:22" x14ac:dyDescent="0.15">
      <c r="Q151" s="217" t="str">
        <f t="shared" si="3"/>
        <v/>
      </c>
      <c r="T151" s="217" t="str">
        <f t="shared" si="4"/>
        <v/>
      </c>
      <c r="V151" s="217" t="str">
        <f t="shared" si="5"/>
        <v/>
      </c>
    </row>
    <row r="152" spans="17:22" x14ac:dyDescent="0.15">
      <c r="Q152" s="217" t="str">
        <f t="shared" si="3"/>
        <v/>
      </c>
      <c r="T152" s="217" t="str">
        <f t="shared" si="4"/>
        <v/>
      </c>
      <c r="V152" s="217"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435:K492 TC2:TC59 ACY2:ACY59 AMU2:AMU59 AWQ2:AWQ59 BGM2:BGM59 BQI2:BQI59 CAE2:CAE59 CKA2:CKA59 CTW2:CTW59 DDS2:DDS59 DNO2:DNO59 DXK2:DXK59 EHG2:EHG59 ERC2:ERC59 FAY2:FAY59 FKU2:FKU59 FUQ2:FUQ59 GEM2:GEM59 GOI2:GOI59 GYE2:GYE59 HIA2:HIA59 HRW2:HRW59 IBS2:IBS59 ILO2:ILO59 IVK2:IVK59 JFG2:JFG59 JPC2:JPC59 JYY2:JYY59 KIU2:KIU59 KSQ2:KSQ59 LCM2:LCM59 LMI2:LMI59 LWE2:LWE59 MGA2:MGA59 MPW2:MPW59 MZS2:MZS59 NJO2:NJO59 NTK2:NTK59 ODG2:ODG59 ONC2:ONC59 OWY2:OWY59 PGU2:PGU59 PQQ2:PQQ59 QAM2:QAM59 QKI2:QKI59 QUE2:QUE59 REA2:REA59 RNW2:RNW59 RXS2:RXS59 SHO2:SHO59 SRK2:SRK59 TBG2:TBG59 TLC2:TLC59 TUY2:TUY59 UEU2:UEU59 UOQ2:UOQ59 UYM2:UYM59 VII2:VII59 VSE2:VSE59 WCA2:WCA59 WLW2:WLW59 WVS2:WVS59 JG2:JG59 WLW983034:WLW983099 WCA983034:WCA983099 VSE983034:VSE983099 VII983034:VII983099 UYM983034:UYM983099 UOQ983034:UOQ983099 UEU983034:UEU983099 TUY983034:TUY983099 TLC983034:TLC983099 TBG983034:TBG983099 SRK983034:SRK983099 SHO983034:SHO983099 RXS983034:RXS983099 RNW983034:RNW983099 REA983034:REA983099 QUE983034:QUE983099 QKI983034:QKI983099 QAM983034:QAM983099 PQQ983034:PQQ983099 PGU983034:PGU983099 OWY983034:OWY983099 ONC983034:ONC983099 ODG983034:ODG983099 NTK983034:NTK983099 NJO983034:NJO983099 MZS983034:MZS983099 MPW983034:MPW983099 MGA983034:MGA983099 LWE983034:LWE983099 LMI983034:LMI983099 LCM983034:LCM983099 KSQ983034:KSQ983099 KIU983034:KIU983099 JYY983034:JYY983099 JPC983034:JPC983099 JFG983034:JFG983099 IVK983034:IVK983099 ILO983034:ILO983099 IBS983034:IBS983099 HRW983034:HRW983099 HIA983034:HIA983099 GYE983034:GYE983099 GOI983034:GOI983099 GEM983034:GEM983099 FUQ983034:FUQ983099 FKU983034:FKU983099 FAY983034:FAY983099 ERC983034:ERC983099 EHG983034:EHG983099 DXK983034:DXK983099 DNO983034:DNO983099 DDS983034:DDS983099 CTW983034:CTW983099 CKA983034:CKA983099 CAE983034:CAE983099 BQI983034:BQI983099 BGM983034:BGM983099 AWQ983034:AWQ983099 AMU983034:AMU983099 ACY983034:ACY983099 TC983034:TC983099 JG983034:JG983099 K983034:K983099 WVS917498:WVS917563 WLW917498:WLW917563 WCA917498:WCA917563 VSE917498:VSE917563 VII917498:VII917563 UYM917498:UYM917563 UOQ917498:UOQ917563 UEU917498:UEU917563 TUY917498:TUY917563 TLC917498:TLC917563 TBG917498:TBG917563 SRK917498:SRK917563 SHO917498:SHO917563 RXS917498:RXS917563 RNW917498:RNW917563 REA917498:REA917563 QUE917498:QUE917563 QKI917498:QKI917563 QAM917498:QAM917563 PQQ917498:PQQ917563 PGU917498:PGU917563 OWY917498:OWY917563 ONC917498:ONC917563 ODG917498:ODG917563 NTK917498:NTK917563 NJO917498:NJO917563 MZS917498:MZS917563 MPW917498:MPW917563 MGA917498:MGA917563 LWE917498:LWE917563 LMI917498:LMI917563 LCM917498:LCM917563 KSQ917498:KSQ917563 KIU917498:KIU917563 JYY917498:JYY917563 JPC917498:JPC917563 JFG917498:JFG917563 IVK917498:IVK917563 ILO917498:ILO917563 IBS917498:IBS917563 HRW917498:HRW917563 HIA917498:HIA917563 GYE917498:GYE917563 GOI917498:GOI917563 GEM917498:GEM917563 FUQ917498:FUQ917563 FKU917498:FKU917563 FAY917498:FAY917563 ERC917498:ERC917563 EHG917498:EHG917563 DXK917498:DXK917563 DNO917498:DNO917563 DDS917498:DDS917563 CTW917498:CTW917563 CKA917498:CKA917563 CAE917498:CAE917563 BQI917498:BQI917563 BGM917498:BGM917563 AWQ917498:AWQ917563 AMU917498:AMU917563 ACY917498:ACY917563 TC917498:TC917563 JG917498:JG917563 K917498:K917563 WVS851962:WVS852027 WLW851962:WLW852027 WCA851962:WCA852027 VSE851962:VSE852027 VII851962:VII852027 UYM851962:UYM852027 UOQ851962:UOQ852027 UEU851962:UEU852027 TUY851962:TUY852027 TLC851962:TLC852027 TBG851962:TBG852027 SRK851962:SRK852027 SHO851962:SHO852027 RXS851962:RXS852027 RNW851962:RNW852027 REA851962:REA852027 QUE851962:QUE852027 QKI851962:QKI852027 QAM851962:QAM852027 PQQ851962:PQQ852027 PGU851962:PGU852027 OWY851962:OWY852027 ONC851962:ONC852027 ODG851962:ODG852027 NTK851962:NTK852027 NJO851962:NJO852027 MZS851962:MZS852027 MPW851962:MPW852027 MGA851962:MGA852027 LWE851962:LWE852027 LMI851962:LMI852027 LCM851962:LCM852027 KSQ851962:KSQ852027 KIU851962:KIU852027 JYY851962:JYY852027 JPC851962:JPC852027 JFG851962:JFG852027 IVK851962:IVK852027 ILO851962:ILO852027 IBS851962:IBS852027 HRW851962:HRW852027 HIA851962:HIA852027 GYE851962:GYE852027 GOI851962:GOI852027 GEM851962:GEM852027 FUQ851962:FUQ852027 FKU851962:FKU852027 FAY851962:FAY852027 ERC851962:ERC852027 EHG851962:EHG852027 DXK851962:DXK852027 DNO851962:DNO852027 DDS851962:DDS852027 CTW851962:CTW852027 CKA851962:CKA852027 CAE851962:CAE852027 BQI851962:BQI852027 BGM851962:BGM852027 AWQ851962:AWQ852027 AMU851962:AMU852027 ACY851962:ACY852027 TC851962:TC852027 JG851962:JG852027 K851962:K852027 WVS786426:WVS786491 WLW786426:WLW786491 WCA786426:WCA786491 VSE786426:VSE786491 VII786426:VII786491 UYM786426:UYM786491 UOQ786426:UOQ786491 UEU786426:UEU786491 TUY786426:TUY786491 TLC786426:TLC786491 TBG786426:TBG786491 SRK786426:SRK786491 SHO786426:SHO786491 RXS786426:RXS786491 RNW786426:RNW786491 REA786426:REA786491 QUE786426:QUE786491 QKI786426:QKI786491 QAM786426:QAM786491 PQQ786426:PQQ786491 PGU786426:PGU786491 OWY786426:OWY786491 ONC786426:ONC786491 ODG786426:ODG786491 NTK786426:NTK786491 NJO786426:NJO786491 MZS786426:MZS786491 MPW786426:MPW786491 MGA786426:MGA786491 LWE786426:LWE786491 LMI786426:LMI786491 LCM786426:LCM786491 KSQ786426:KSQ786491 KIU786426:KIU786491 JYY786426:JYY786491 JPC786426:JPC786491 JFG786426:JFG786491 IVK786426:IVK786491 ILO786426:ILO786491 IBS786426:IBS786491 HRW786426:HRW786491 HIA786426:HIA786491 GYE786426:GYE786491 GOI786426:GOI786491 GEM786426:GEM786491 FUQ786426:FUQ786491 FKU786426:FKU786491 FAY786426:FAY786491 ERC786426:ERC786491 EHG786426:EHG786491 DXK786426:DXK786491 DNO786426:DNO786491 DDS786426:DDS786491 CTW786426:CTW786491 CKA786426:CKA786491 CAE786426:CAE786491 BQI786426:BQI786491 BGM786426:BGM786491 AWQ786426:AWQ786491 AMU786426:AMU786491 ACY786426:ACY786491 TC786426:TC786491 JG786426:JG786491 K786426:K786491 WVS720890:WVS720955 WLW720890:WLW720955 WCA720890:WCA720955 VSE720890:VSE720955 VII720890:VII720955 UYM720890:UYM720955 UOQ720890:UOQ720955 UEU720890:UEU720955 TUY720890:TUY720955 TLC720890:TLC720955 TBG720890:TBG720955 SRK720890:SRK720955 SHO720890:SHO720955 RXS720890:RXS720955 RNW720890:RNW720955 REA720890:REA720955 QUE720890:QUE720955 QKI720890:QKI720955 QAM720890:QAM720955 PQQ720890:PQQ720955 PGU720890:PGU720955 OWY720890:OWY720955 ONC720890:ONC720955 ODG720890:ODG720955 NTK720890:NTK720955 NJO720890:NJO720955 MZS720890:MZS720955 MPW720890:MPW720955 MGA720890:MGA720955 LWE720890:LWE720955 LMI720890:LMI720955 LCM720890:LCM720955 KSQ720890:KSQ720955 KIU720890:KIU720955 JYY720890:JYY720955 JPC720890:JPC720955 JFG720890:JFG720955 IVK720890:IVK720955 ILO720890:ILO720955 IBS720890:IBS720955 HRW720890:HRW720955 HIA720890:HIA720955 GYE720890:GYE720955 GOI720890:GOI720955 GEM720890:GEM720955 FUQ720890:FUQ720955 FKU720890:FKU720955 FAY720890:FAY720955 ERC720890:ERC720955 EHG720890:EHG720955 DXK720890:DXK720955 DNO720890:DNO720955 DDS720890:DDS720955 CTW720890:CTW720955 CKA720890:CKA720955 CAE720890:CAE720955 BQI720890:BQI720955 BGM720890:BGM720955 AWQ720890:AWQ720955 AMU720890:AMU720955 ACY720890:ACY720955 TC720890:TC720955 JG720890:JG720955 K720890:K720955 WVS655354:WVS655419 WLW655354:WLW655419 WCA655354:WCA655419 VSE655354:VSE655419 VII655354:VII655419 UYM655354:UYM655419 UOQ655354:UOQ655419 UEU655354:UEU655419 TUY655354:TUY655419 TLC655354:TLC655419 TBG655354:TBG655419 SRK655354:SRK655419 SHO655354:SHO655419 RXS655354:RXS655419 RNW655354:RNW655419 REA655354:REA655419 QUE655354:QUE655419 QKI655354:QKI655419 QAM655354:QAM655419 PQQ655354:PQQ655419 PGU655354:PGU655419 OWY655354:OWY655419 ONC655354:ONC655419 ODG655354:ODG655419 NTK655354:NTK655419 NJO655354:NJO655419 MZS655354:MZS655419 MPW655354:MPW655419 MGA655354:MGA655419 LWE655354:LWE655419 LMI655354:LMI655419 LCM655354:LCM655419 KSQ655354:KSQ655419 KIU655354:KIU655419 JYY655354:JYY655419 JPC655354:JPC655419 JFG655354:JFG655419 IVK655354:IVK655419 ILO655354:ILO655419 IBS655354:IBS655419 HRW655354:HRW655419 HIA655354:HIA655419 GYE655354:GYE655419 GOI655354:GOI655419 GEM655354:GEM655419 FUQ655354:FUQ655419 FKU655354:FKU655419 FAY655354:FAY655419 ERC655354:ERC655419 EHG655354:EHG655419 DXK655354:DXK655419 DNO655354:DNO655419 DDS655354:DDS655419 CTW655354:CTW655419 CKA655354:CKA655419 CAE655354:CAE655419 BQI655354:BQI655419 BGM655354:BGM655419 AWQ655354:AWQ655419 AMU655354:AMU655419 ACY655354:ACY655419 TC655354:TC655419 JG655354:JG655419 K655354:K655419 WVS589818:WVS589883 WLW589818:WLW589883 WCA589818:WCA589883 VSE589818:VSE589883 VII589818:VII589883 UYM589818:UYM589883 UOQ589818:UOQ589883 UEU589818:UEU589883 TUY589818:TUY589883 TLC589818:TLC589883 TBG589818:TBG589883 SRK589818:SRK589883 SHO589818:SHO589883 RXS589818:RXS589883 RNW589818:RNW589883 REA589818:REA589883 QUE589818:QUE589883 QKI589818:QKI589883 QAM589818:QAM589883 PQQ589818:PQQ589883 PGU589818:PGU589883 OWY589818:OWY589883 ONC589818:ONC589883 ODG589818:ODG589883 NTK589818:NTK589883 NJO589818:NJO589883 MZS589818:MZS589883 MPW589818:MPW589883 MGA589818:MGA589883 LWE589818:LWE589883 LMI589818:LMI589883 LCM589818:LCM589883 KSQ589818:KSQ589883 KIU589818:KIU589883 JYY589818:JYY589883 JPC589818:JPC589883 JFG589818:JFG589883 IVK589818:IVK589883 ILO589818:ILO589883 IBS589818:IBS589883 HRW589818:HRW589883 HIA589818:HIA589883 GYE589818:GYE589883 GOI589818:GOI589883 GEM589818:GEM589883 FUQ589818:FUQ589883 FKU589818:FKU589883 FAY589818:FAY589883 ERC589818:ERC589883 EHG589818:EHG589883 DXK589818:DXK589883 DNO589818:DNO589883 DDS589818:DDS589883 CTW589818:CTW589883 CKA589818:CKA589883 CAE589818:CAE589883 BQI589818:BQI589883 BGM589818:BGM589883 AWQ589818:AWQ589883 AMU589818:AMU589883 ACY589818:ACY589883 TC589818:TC589883 JG589818:JG589883 K589818:K589883 WVS524282:WVS524347 WLW524282:WLW524347 WCA524282:WCA524347 VSE524282:VSE524347 VII524282:VII524347 UYM524282:UYM524347 UOQ524282:UOQ524347 UEU524282:UEU524347 TUY524282:TUY524347 TLC524282:TLC524347 TBG524282:TBG524347 SRK524282:SRK524347 SHO524282:SHO524347 RXS524282:RXS524347 RNW524282:RNW524347 REA524282:REA524347 QUE524282:QUE524347 QKI524282:QKI524347 QAM524282:QAM524347 PQQ524282:PQQ524347 PGU524282:PGU524347 OWY524282:OWY524347 ONC524282:ONC524347 ODG524282:ODG524347 NTK524282:NTK524347 NJO524282:NJO524347 MZS524282:MZS524347 MPW524282:MPW524347 MGA524282:MGA524347 LWE524282:LWE524347 LMI524282:LMI524347 LCM524282:LCM524347 KSQ524282:KSQ524347 KIU524282:KIU524347 JYY524282:JYY524347 JPC524282:JPC524347 JFG524282:JFG524347 IVK524282:IVK524347 ILO524282:ILO524347 IBS524282:IBS524347 HRW524282:HRW524347 HIA524282:HIA524347 GYE524282:GYE524347 GOI524282:GOI524347 GEM524282:GEM524347 FUQ524282:FUQ524347 FKU524282:FKU524347 FAY524282:FAY524347 ERC524282:ERC524347 EHG524282:EHG524347 DXK524282:DXK524347 DNO524282:DNO524347 DDS524282:DDS524347 CTW524282:CTW524347 CKA524282:CKA524347 CAE524282:CAE524347 BQI524282:BQI524347 BGM524282:BGM524347 AWQ524282:AWQ524347 AMU524282:AMU524347 ACY524282:ACY524347 TC524282:TC524347 JG524282:JG524347 K524282:K524347 WVS458746:WVS458811 WLW458746:WLW458811 WCA458746:WCA458811 VSE458746:VSE458811 VII458746:VII458811 UYM458746:UYM458811 UOQ458746:UOQ458811 UEU458746:UEU458811 TUY458746:TUY458811 TLC458746:TLC458811 TBG458746:TBG458811 SRK458746:SRK458811 SHO458746:SHO458811 RXS458746:RXS458811 RNW458746:RNW458811 REA458746:REA458811 QUE458746:QUE458811 QKI458746:QKI458811 QAM458746:QAM458811 PQQ458746:PQQ458811 PGU458746:PGU458811 OWY458746:OWY458811 ONC458746:ONC458811 ODG458746:ODG458811 NTK458746:NTK458811 NJO458746:NJO458811 MZS458746:MZS458811 MPW458746:MPW458811 MGA458746:MGA458811 LWE458746:LWE458811 LMI458746:LMI458811 LCM458746:LCM458811 KSQ458746:KSQ458811 KIU458746:KIU458811 JYY458746:JYY458811 JPC458746:JPC458811 JFG458746:JFG458811 IVK458746:IVK458811 ILO458746:ILO458811 IBS458746:IBS458811 HRW458746:HRW458811 HIA458746:HIA458811 GYE458746:GYE458811 GOI458746:GOI458811 GEM458746:GEM458811 FUQ458746:FUQ458811 FKU458746:FKU458811 FAY458746:FAY458811 ERC458746:ERC458811 EHG458746:EHG458811 DXK458746:DXK458811 DNO458746:DNO458811 DDS458746:DDS458811 CTW458746:CTW458811 CKA458746:CKA458811 CAE458746:CAE458811 BQI458746:BQI458811 BGM458746:BGM458811 AWQ458746:AWQ458811 AMU458746:AMU458811 ACY458746:ACY458811 TC458746:TC458811 JG458746:JG458811 K458746:K458811 WVS393210:WVS393275 WLW393210:WLW393275 WCA393210:WCA393275 VSE393210:VSE393275 VII393210:VII393275 UYM393210:UYM393275 UOQ393210:UOQ393275 UEU393210:UEU393275 TUY393210:TUY393275 TLC393210:TLC393275 TBG393210:TBG393275 SRK393210:SRK393275 SHO393210:SHO393275 RXS393210:RXS393275 RNW393210:RNW393275 REA393210:REA393275 QUE393210:QUE393275 QKI393210:QKI393275 QAM393210:QAM393275 PQQ393210:PQQ393275 PGU393210:PGU393275 OWY393210:OWY393275 ONC393210:ONC393275 ODG393210:ODG393275 NTK393210:NTK393275 NJO393210:NJO393275 MZS393210:MZS393275 MPW393210:MPW393275 MGA393210:MGA393275 LWE393210:LWE393275 LMI393210:LMI393275 LCM393210:LCM393275 KSQ393210:KSQ393275 KIU393210:KIU393275 JYY393210:JYY393275 JPC393210:JPC393275 JFG393210:JFG393275 IVK393210:IVK393275 ILO393210:ILO393275 IBS393210:IBS393275 HRW393210:HRW393275 HIA393210:HIA393275 GYE393210:GYE393275 GOI393210:GOI393275 GEM393210:GEM393275 FUQ393210:FUQ393275 FKU393210:FKU393275 FAY393210:FAY393275 ERC393210:ERC393275 EHG393210:EHG393275 DXK393210:DXK393275 DNO393210:DNO393275 DDS393210:DDS393275 CTW393210:CTW393275 CKA393210:CKA393275 CAE393210:CAE393275 BQI393210:BQI393275 BGM393210:BGM393275 AWQ393210:AWQ393275 AMU393210:AMU393275 ACY393210:ACY393275 TC393210:TC393275 JG393210:JG393275 K393210:K393275 WVS327674:WVS327739 WLW327674:WLW327739 WCA327674:WCA327739 VSE327674:VSE327739 VII327674:VII327739 UYM327674:UYM327739 UOQ327674:UOQ327739 UEU327674:UEU327739 TUY327674:TUY327739 TLC327674:TLC327739 TBG327674:TBG327739 SRK327674:SRK327739 SHO327674:SHO327739 RXS327674:RXS327739 RNW327674:RNW327739 REA327674:REA327739 QUE327674:QUE327739 QKI327674:QKI327739 QAM327674:QAM327739 PQQ327674:PQQ327739 PGU327674:PGU327739 OWY327674:OWY327739 ONC327674:ONC327739 ODG327674:ODG327739 NTK327674:NTK327739 NJO327674:NJO327739 MZS327674:MZS327739 MPW327674:MPW327739 MGA327674:MGA327739 LWE327674:LWE327739 LMI327674:LMI327739 LCM327674:LCM327739 KSQ327674:KSQ327739 KIU327674:KIU327739 JYY327674:JYY327739 JPC327674:JPC327739 JFG327674:JFG327739 IVK327674:IVK327739 ILO327674:ILO327739 IBS327674:IBS327739 HRW327674:HRW327739 HIA327674:HIA327739 GYE327674:GYE327739 GOI327674:GOI327739 GEM327674:GEM327739 FUQ327674:FUQ327739 FKU327674:FKU327739 FAY327674:FAY327739 ERC327674:ERC327739 EHG327674:EHG327739 DXK327674:DXK327739 DNO327674:DNO327739 DDS327674:DDS327739 CTW327674:CTW327739 CKA327674:CKA327739 CAE327674:CAE327739 BQI327674:BQI327739 BGM327674:BGM327739 AWQ327674:AWQ327739 AMU327674:AMU327739 ACY327674:ACY327739 TC327674:TC327739 JG327674:JG327739 K327674:K327739 WVS262138:WVS262203 WLW262138:WLW262203 WCA262138:WCA262203 VSE262138:VSE262203 VII262138:VII262203 UYM262138:UYM262203 UOQ262138:UOQ262203 UEU262138:UEU262203 TUY262138:TUY262203 TLC262138:TLC262203 TBG262138:TBG262203 SRK262138:SRK262203 SHO262138:SHO262203 RXS262138:RXS262203 RNW262138:RNW262203 REA262138:REA262203 QUE262138:QUE262203 QKI262138:QKI262203 QAM262138:QAM262203 PQQ262138:PQQ262203 PGU262138:PGU262203 OWY262138:OWY262203 ONC262138:ONC262203 ODG262138:ODG262203 NTK262138:NTK262203 NJO262138:NJO262203 MZS262138:MZS262203 MPW262138:MPW262203 MGA262138:MGA262203 LWE262138:LWE262203 LMI262138:LMI262203 LCM262138:LCM262203 KSQ262138:KSQ262203 KIU262138:KIU262203 JYY262138:JYY262203 JPC262138:JPC262203 JFG262138:JFG262203 IVK262138:IVK262203 ILO262138:ILO262203 IBS262138:IBS262203 HRW262138:HRW262203 HIA262138:HIA262203 GYE262138:GYE262203 GOI262138:GOI262203 GEM262138:GEM262203 FUQ262138:FUQ262203 FKU262138:FKU262203 FAY262138:FAY262203 ERC262138:ERC262203 EHG262138:EHG262203 DXK262138:DXK262203 DNO262138:DNO262203 DDS262138:DDS262203 CTW262138:CTW262203 CKA262138:CKA262203 CAE262138:CAE262203 BQI262138:BQI262203 BGM262138:BGM262203 AWQ262138:AWQ262203 AMU262138:AMU262203 ACY262138:ACY262203 TC262138:TC262203 JG262138:JG262203 K262138:K262203 WVS196602:WVS196667 WLW196602:WLW196667 WCA196602:WCA196667 VSE196602:VSE196667 VII196602:VII196667 UYM196602:UYM196667 UOQ196602:UOQ196667 UEU196602:UEU196667 TUY196602:TUY196667 TLC196602:TLC196667 TBG196602:TBG196667 SRK196602:SRK196667 SHO196602:SHO196667 RXS196602:RXS196667 RNW196602:RNW196667 REA196602:REA196667 QUE196602:QUE196667 QKI196602:QKI196667 QAM196602:QAM196667 PQQ196602:PQQ196667 PGU196602:PGU196667 OWY196602:OWY196667 ONC196602:ONC196667 ODG196602:ODG196667 NTK196602:NTK196667 NJO196602:NJO196667 MZS196602:MZS196667 MPW196602:MPW196667 MGA196602:MGA196667 LWE196602:LWE196667 LMI196602:LMI196667 LCM196602:LCM196667 KSQ196602:KSQ196667 KIU196602:KIU196667 JYY196602:JYY196667 JPC196602:JPC196667 JFG196602:JFG196667 IVK196602:IVK196667 ILO196602:ILO196667 IBS196602:IBS196667 HRW196602:HRW196667 HIA196602:HIA196667 GYE196602:GYE196667 GOI196602:GOI196667 GEM196602:GEM196667 FUQ196602:FUQ196667 FKU196602:FKU196667 FAY196602:FAY196667 ERC196602:ERC196667 EHG196602:EHG196667 DXK196602:DXK196667 DNO196602:DNO196667 DDS196602:DDS196667 CTW196602:CTW196667 CKA196602:CKA196667 CAE196602:CAE196667 BQI196602:BQI196667 BGM196602:BGM196667 AWQ196602:AWQ196667 AMU196602:AMU196667 ACY196602:ACY196667 TC196602:TC196667 JG196602:JG196667 K196602:K196667 WVS131066:WVS131131 WLW131066:WLW131131 WCA131066:WCA131131 VSE131066:VSE131131 VII131066:VII131131 UYM131066:UYM131131 UOQ131066:UOQ131131 UEU131066:UEU131131 TUY131066:TUY131131 TLC131066:TLC131131 TBG131066:TBG131131 SRK131066:SRK131131 SHO131066:SHO131131 RXS131066:RXS131131 RNW131066:RNW131131 REA131066:REA131131 QUE131066:QUE131131 QKI131066:QKI131131 QAM131066:QAM131131 PQQ131066:PQQ131131 PGU131066:PGU131131 OWY131066:OWY131131 ONC131066:ONC131131 ODG131066:ODG131131 NTK131066:NTK131131 NJO131066:NJO131131 MZS131066:MZS131131 MPW131066:MPW131131 MGA131066:MGA131131 LWE131066:LWE131131 LMI131066:LMI131131 LCM131066:LCM131131 KSQ131066:KSQ131131 KIU131066:KIU131131 JYY131066:JYY131131 JPC131066:JPC131131 JFG131066:JFG131131 IVK131066:IVK131131 ILO131066:ILO131131 IBS131066:IBS131131 HRW131066:HRW131131 HIA131066:HIA131131 GYE131066:GYE131131 GOI131066:GOI131131 GEM131066:GEM131131 FUQ131066:FUQ131131 FKU131066:FKU131131 FAY131066:FAY131131 ERC131066:ERC131131 EHG131066:EHG131131 DXK131066:DXK131131 DNO131066:DNO131131 DDS131066:DDS131131 CTW131066:CTW131131 CKA131066:CKA131131 CAE131066:CAE131131 BQI131066:BQI131131 BGM131066:BGM131131 AWQ131066:AWQ131131 AMU131066:AMU131131 ACY131066:ACY131131 TC131066:TC131131 JG131066:JG131131 K131066:K131131 WVS65530:WVS65595 WLW65530:WLW65595 WCA65530:WCA65595 VSE65530:VSE65595 VII65530:VII65595 UYM65530:UYM65595 UOQ65530:UOQ65595 UEU65530:UEU65595 TUY65530:TUY65595 TLC65530:TLC65595 TBG65530:TBG65595 SRK65530:SRK65595 SHO65530:SHO65595 RXS65530:RXS65595 RNW65530:RNW65595 REA65530:REA65595 QUE65530:QUE65595 QKI65530:QKI65595 QAM65530:QAM65595 PQQ65530:PQQ65595 PGU65530:PGU65595 OWY65530:OWY65595 ONC65530:ONC65595 ODG65530:ODG65595 NTK65530:NTK65595 NJO65530:NJO65595 MZS65530:MZS65595 MPW65530:MPW65595 MGA65530:MGA65595 LWE65530:LWE65595 LMI65530:LMI65595 LCM65530:LCM65595 KSQ65530:KSQ65595 KIU65530:KIU65595 JYY65530:JYY65595 JPC65530:JPC65595 JFG65530:JFG65595 IVK65530:IVK65595 ILO65530:ILO65595 IBS65530:IBS65595 HRW65530:HRW65595 HIA65530:HIA65595 GYE65530:GYE65595 GOI65530:GOI65595 GEM65530:GEM65595 FUQ65530:FUQ65595 FKU65530:FKU65595 FAY65530:FAY65595 ERC65530:ERC65595 EHG65530:EHG65595 DXK65530:DXK65595 DNO65530:DNO65595 DDS65530:DDS65595 CTW65530:CTW65595 CKA65530:CKA65595 CAE65530:CAE65595 BQI65530:BQI65595 BGM65530:BGM65595 AWQ65530:AWQ65595 AMU65530:AMU65595 ACY65530:ACY65595 TC65530:TC65595 JG65530:JG65595 K65530:K65595">
      <formula1>$AR$2:$AR$25</formula1>
    </dataValidation>
    <dataValidation type="list" allowBlank="1" showInputMessage="1" showErrorMessage="1" sqref="WVR983034:WVR983099 J44:J492 JF2:JF59 TB2:TB59 ACX2:ACX59 AMT2:AMT59 AWP2:AWP59 BGL2:BGL59 BQH2:BQH59 CAD2:CAD59 CJZ2:CJZ59 CTV2:CTV59 DDR2:DDR59 DNN2:DNN59 DXJ2:DXJ59 EHF2:EHF59 ERB2:ERB59 FAX2:FAX59 FKT2:FKT59 FUP2:FUP59 GEL2:GEL59 GOH2:GOH59 GYD2:GYD59 HHZ2:HHZ59 HRV2:HRV59 IBR2:IBR59 ILN2:ILN59 IVJ2:IVJ59 JFF2:JFF59 JPB2:JPB59 JYX2:JYX59 KIT2:KIT59 KSP2:KSP59 LCL2:LCL59 LMH2:LMH59 LWD2:LWD59 MFZ2:MFZ59 MPV2:MPV59 MZR2:MZR59 NJN2:NJN59 NTJ2:NTJ59 ODF2:ODF59 ONB2:ONB59 OWX2:OWX59 PGT2:PGT59 PQP2:PQP59 QAL2:QAL59 QKH2:QKH59 QUD2:QUD59 RDZ2:RDZ59 RNV2:RNV59 RXR2:RXR59 SHN2:SHN59 SRJ2:SRJ59 TBF2:TBF59 TLB2:TLB59 TUX2:TUX59 UET2:UET59 UOP2:UOP59 UYL2:UYL59 VIH2:VIH59 VSD2:VSD59 WBZ2:WBZ59 WLV2:WLV59 WVR2:WVR59 WLV983034:WLV983099 WBZ983034:WBZ983099 VSD983034:VSD983099 VIH983034:VIH983099 UYL983034:UYL983099 UOP983034:UOP983099 UET983034:UET983099 TUX983034:TUX983099 TLB983034:TLB983099 TBF983034:TBF983099 SRJ983034:SRJ983099 SHN983034:SHN983099 RXR983034:RXR983099 RNV983034:RNV983099 RDZ983034:RDZ983099 QUD983034:QUD983099 QKH983034:QKH983099 QAL983034:QAL983099 PQP983034:PQP983099 PGT983034:PGT983099 OWX983034:OWX983099 ONB983034:ONB983099 ODF983034:ODF983099 NTJ983034:NTJ983099 NJN983034:NJN983099 MZR983034:MZR983099 MPV983034:MPV983099 MFZ983034:MFZ983099 LWD983034:LWD983099 LMH983034:LMH983099 LCL983034:LCL983099 KSP983034:KSP983099 KIT983034:KIT983099 JYX983034:JYX983099 JPB983034:JPB983099 JFF983034:JFF983099 IVJ983034:IVJ983099 ILN983034:ILN983099 IBR983034:IBR983099 HRV983034:HRV983099 HHZ983034:HHZ983099 GYD983034:GYD983099 GOH983034:GOH983099 GEL983034:GEL983099 FUP983034:FUP983099 FKT983034:FKT983099 FAX983034:FAX983099 ERB983034:ERB983099 EHF983034:EHF983099 DXJ983034:DXJ983099 DNN983034:DNN983099 DDR983034:DDR983099 CTV983034:CTV983099 CJZ983034:CJZ983099 CAD983034:CAD983099 BQH983034:BQH983099 BGL983034:BGL983099 AWP983034:AWP983099 AMT983034:AMT983099 ACX983034:ACX983099 TB983034:TB983099 JF983034:JF983099 J983034:J983099 WVR917498:WVR917563 WLV917498:WLV917563 WBZ917498:WBZ917563 VSD917498:VSD917563 VIH917498:VIH917563 UYL917498:UYL917563 UOP917498:UOP917563 UET917498:UET917563 TUX917498:TUX917563 TLB917498:TLB917563 TBF917498:TBF917563 SRJ917498:SRJ917563 SHN917498:SHN917563 RXR917498:RXR917563 RNV917498:RNV917563 RDZ917498:RDZ917563 QUD917498:QUD917563 QKH917498:QKH917563 QAL917498:QAL917563 PQP917498:PQP917563 PGT917498:PGT917563 OWX917498:OWX917563 ONB917498:ONB917563 ODF917498:ODF917563 NTJ917498:NTJ917563 NJN917498:NJN917563 MZR917498:MZR917563 MPV917498:MPV917563 MFZ917498:MFZ917563 LWD917498:LWD917563 LMH917498:LMH917563 LCL917498:LCL917563 KSP917498:KSP917563 KIT917498:KIT917563 JYX917498:JYX917563 JPB917498:JPB917563 JFF917498:JFF917563 IVJ917498:IVJ917563 ILN917498:ILN917563 IBR917498:IBR917563 HRV917498:HRV917563 HHZ917498:HHZ917563 GYD917498:GYD917563 GOH917498:GOH917563 GEL917498:GEL917563 FUP917498:FUP917563 FKT917498:FKT917563 FAX917498:FAX917563 ERB917498:ERB917563 EHF917498:EHF917563 DXJ917498:DXJ917563 DNN917498:DNN917563 DDR917498:DDR917563 CTV917498:CTV917563 CJZ917498:CJZ917563 CAD917498:CAD917563 BQH917498:BQH917563 BGL917498:BGL917563 AWP917498:AWP917563 AMT917498:AMT917563 ACX917498:ACX917563 TB917498:TB917563 JF917498:JF917563 J917498:J917563 WVR851962:WVR852027 WLV851962:WLV852027 WBZ851962:WBZ852027 VSD851962:VSD852027 VIH851962:VIH852027 UYL851962:UYL852027 UOP851962:UOP852027 UET851962:UET852027 TUX851962:TUX852027 TLB851962:TLB852027 TBF851962:TBF852027 SRJ851962:SRJ852027 SHN851962:SHN852027 RXR851962:RXR852027 RNV851962:RNV852027 RDZ851962:RDZ852027 QUD851962:QUD852027 QKH851962:QKH852027 QAL851962:QAL852027 PQP851962:PQP852027 PGT851962:PGT852027 OWX851962:OWX852027 ONB851962:ONB852027 ODF851962:ODF852027 NTJ851962:NTJ852027 NJN851962:NJN852027 MZR851962:MZR852027 MPV851962:MPV852027 MFZ851962:MFZ852027 LWD851962:LWD852027 LMH851962:LMH852027 LCL851962:LCL852027 KSP851962:KSP852027 KIT851962:KIT852027 JYX851962:JYX852027 JPB851962:JPB852027 JFF851962:JFF852027 IVJ851962:IVJ852027 ILN851962:ILN852027 IBR851962:IBR852027 HRV851962:HRV852027 HHZ851962:HHZ852027 GYD851962:GYD852027 GOH851962:GOH852027 GEL851962:GEL852027 FUP851962:FUP852027 FKT851962:FKT852027 FAX851962:FAX852027 ERB851962:ERB852027 EHF851962:EHF852027 DXJ851962:DXJ852027 DNN851962:DNN852027 DDR851962:DDR852027 CTV851962:CTV852027 CJZ851962:CJZ852027 CAD851962:CAD852027 BQH851962:BQH852027 BGL851962:BGL852027 AWP851962:AWP852027 AMT851962:AMT852027 ACX851962:ACX852027 TB851962:TB852027 JF851962:JF852027 J851962:J852027 WVR786426:WVR786491 WLV786426:WLV786491 WBZ786426:WBZ786491 VSD786426:VSD786491 VIH786426:VIH786491 UYL786426:UYL786491 UOP786426:UOP786491 UET786426:UET786491 TUX786426:TUX786491 TLB786426:TLB786491 TBF786426:TBF786491 SRJ786426:SRJ786491 SHN786426:SHN786491 RXR786426:RXR786491 RNV786426:RNV786491 RDZ786426:RDZ786491 QUD786426:QUD786491 QKH786426:QKH786491 QAL786426:QAL786491 PQP786426:PQP786491 PGT786426:PGT786491 OWX786426:OWX786491 ONB786426:ONB786491 ODF786426:ODF786491 NTJ786426:NTJ786491 NJN786426:NJN786491 MZR786426:MZR786491 MPV786426:MPV786491 MFZ786426:MFZ786491 LWD786426:LWD786491 LMH786426:LMH786491 LCL786426:LCL786491 KSP786426:KSP786491 KIT786426:KIT786491 JYX786426:JYX786491 JPB786426:JPB786491 JFF786426:JFF786491 IVJ786426:IVJ786491 ILN786426:ILN786491 IBR786426:IBR786491 HRV786426:HRV786491 HHZ786426:HHZ786491 GYD786426:GYD786491 GOH786426:GOH786491 GEL786426:GEL786491 FUP786426:FUP786491 FKT786426:FKT786491 FAX786426:FAX786491 ERB786426:ERB786491 EHF786426:EHF786491 DXJ786426:DXJ786491 DNN786426:DNN786491 DDR786426:DDR786491 CTV786426:CTV786491 CJZ786426:CJZ786491 CAD786426:CAD786491 BQH786426:BQH786491 BGL786426:BGL786491 AWP786426:AWP786491 AMT786426:AMT786491 ACX786426:ACX786491 TB786426:TB786491 JF786426:JF786491 J786426:J786491 WVR720890:WVR720955 WLV720890:WLV720955 WBZ720890:WBZ720955 VSD720890:VSD720955 VIH720890:VIH720955 UYL720890:UYL720955 UOP720890:UOP720955 UET720890:UET720955 TUX720890:TUX720955 TLB720890:TLB720955 TBF720890:TBF720955 SRJ720890:SRJ720955 SHN720890:SHN720955 RXR720890:RXR720955 RNV720890:RNV720955 RDZ720890:RDZ720955 QUD720890:QUD720955 QKH720890:QKH720955 QAL720890:QAL720955 PQP720890:PQP720955 PGT720890:PGT720955 OWX720890:OWX720955 ONB720890:ONB720955 ODF720890:ODF720955 NTJ720890:NTJ720955 NJN720890:NJN720955 MZR720890:MZR720955 MPV720890:MPV720955 MFZ720890:MFZ720955 LWD720890:LWD720955 LMH720890:LMH720955 LCL720890:LCL720955 KSP720890:KSP720955 KIT720890:KIT720955 JYX720890:JYX720955 JPB720890:JPB720955 JFF720890:JFF720955 IVJ720890:IVJ720955 ILN720890:ILN720955 IBR720890:IBR720955 HRV720890:HRV720955 HHZ720890:HHZ720955 GYD720890:GYD720955 GOH720890:GOH720955 GEL720890:GEL720955 FUP720890:FUP720955 FKT720890:FKT720955 FAX720890:FAX720955 ERB720890:ERB720955 EHF720890:EHF720955 DXJ720890:DXJ720955 DNN720890:DNN720955 DDR720890:DDR720955 CTV720890:CTV720955 CJZ720890:CJZ720955 CAD720890:CAD720955 BQH720890:BQH720955 BGL720890:BGL720955 AWP720890:AWP720955 AMT720890:AMT720955 ACX720890:ACX720955 TB720890:TB720955 JF720890:JF720955 J720890:J720955 WVR655354:WVR655419 WLV655354:WLV655419 WBZ655354:WBZ655419 VSD655354:VSD655419 VIH655354:VIH655419 UYL655354:UYL655419 UOP655354:UOP655419 UET655354:UET655419 TUX655354:TUX655419 TLB655354:TLB655419 TBF655354:TBF655419 SRJ655354:SRJ655419 SHN655354:SHN655419 RXR655354:RXR655419 RNV655354:RNV655419 RDZ655354:RDZ655419 QUD655354:QUD655419 QKH655354:QKH655419 QAL655354:QAL655419 PQP655354:PQP655419 PGT655354:PGT655419 OWX655354:OWX655419 ONB655354:ONB655419 ODF655354:ODF655419 NTJ655354:NTJ655419 NJN655354:NJN655419 MZR655354:MZR655419 MPV655354:MPV655419 MFZ655354:MFZ655419 LWD655354:LWD655419 LMH655354:LMH655419 LCL655354:LCL655419 KSP655354:KSP655419 KIT655354:KIT655419 JYX655354:JYX655419 JPB655354:JPB655419 JFF655354:JFF655419 IVJ655354:IVJ655419 ILN655354:ILN655419 IBR655354:IBR655419 HRV655354:HRV655419 HHZ655354:HHZ655419 GYD655354:GYD655419 GOH655354:GOH655419 GEL655354:GEL655419 FUP655354:FUP655419 FKT655354:FKT655419 FAX655354:FAX655419 ERB655354:ERB655419 EHF655354:EHF655419 DXJ655354:DXJ655419 DNN655354:DNN655419 DDR655354:DDR655419 CTV655354:CTV655419 CJZ655354:CJZ655419 CAD655354:CAD655419 BQH655354:BQH655419 BGL655354:BGL655419 AWP655354:AWP655419 AMT655354:AMT655419 ACX655354:ACX655419 TB655354:TB655419 JF655354:JF655419 J655354:J655419 WVR589818:WVR589883 WLV589818:WLV589883 WBZ589818:WBZ589883 VSD589818:VSD589883 VIH589818:VIH589883 UYL589818:UYL589883 UOP589818:UOP589883 UET589818:UET589883 TUX589818:TUX589883 TLB589818:TLB589883 TBF589818:TBF589883 SRJ589818:SRJ589883 SHN589818:SHN589883 RXR589818:RXR589883 RNV589818:RNV589883 RDZ589818:RDZ589883 QUD589818:QUD589883 QKH589818:QKH589883 QAL589818:QAL589883 PQP589818:PQP589883 PGT589818:PGT589883 OWX589818:OWX589883 ONB589818:ONB589883 ODF589818:ODF589883 NTJ589818:NTJ589883 NJN589818:NJN589883 MZR589818:MZR589883 MPV589818:MPV589883 MFZ589818:MFZ589883 LWD589818:LWD589883 LMH589818:LMH589883 LCL589818:LCL589883 KSP589818:KSP589883 KIT589818:KIT589883 JYX589818:JYX589883 JPB589818:JPB589883 JFF589818:JFF589883 IVJ589818:IVJ589883 ILN589818:ILN589883 IBR589818:IBR589883 HRV589818:HRV589883 HHZ589818:HHZ589883 GYD589818:GYD589883 GOH589818:GOH589883 GEL589818:GEL589883 FUP589818:FUP589883 FKT589818:FKT589883 FAX589818:FAX589883 ERB589818:ERB589883 EHF589818:EHF589883 DXJ589818:DXJ589883 DNN589818:DNN589883 DDR589818:DDR589883 CTV589818:CTV589883 CJZ589818:CJZ589883 CAD589818:CAD589883 BQH589818:BQH589883 BGL589818:BGL589883 AWP589818:AWP589883 AMT589818:AMT589883 ACX589818:ACX589883 TB589818:TB589883 JF589818:JF589883 J589818:J589883 WVR524282:WVR524347 WLV524282:WLV524347 WBZ524282:WBZ524347 VSD524282:VSD524347 VIH524282:VIH524347 UYL524282:UYL524347 UOP524282:UOP524347 UET524282:UET524347 TUX524282:TUX524347 TLB524282:TLB524347 TBF524282:TBF524347 SRJ524282:SRJ524347 SHN524282:SHN524347 RXR524282:RXR524347 RNV524282:RNV524347 RDZ524282:RDZ524347 QUD524282:QUD524347 QKH524282:QKH524347 QAL524282:QAL524347 PQP524282:PQP524347 PGT524282:PGT524347 OWX524282:OWX524347 ONB524282:ONB524347 ODF524282:ODF524347 NTJ524282:NTJ524347 NJN524282:NJN524347 MZR524282:MZR524347 MPV524282:MPV524347 MFZ524282:MFZ524347 LWD524282:LWD524347 LMH524282:LMH524347 LCL524282:LCL524347 KSP524282:KSP524347 KIT524282:KIT524347 JYX524282:JYX524347 JPB524282:JPB524347 JFF524282:JFF524347 IVJ524282:IVJ524347 ILN524282:ILN524347 IBR524282:IBR524347 HRV524282:HRV524347 HHZ524282:HHZ524347 GYD524282:GYD524347 GOH524282:GOH524347 GEL524282:GEL524347 FUP524282:FUP524347 FKT524282:FKT524347 FAX524282:FAX524347 ERB524282:ERB524347 EHF524282:EHF524347 DXJ524282:DXJ524347 DNN524282:DNN524347 DDR524282:DDR524347 CTV524282:CTV524347 CJZ524282:CJZ524347 CAD524282:CAD524347 BQH524282:BQH524347 BGL524282:BGL524347 AWP524282:AWP524347 AMT524282:AMT524347 ACX524282:ACX524347 TB524282:TB524347 JF524282:JF524347 J524282:J524347 WVR458746:WVR458811 WLV458746:WLV458811 WBZ458746:WBZ458811 VSD458746:VSD458811 VIH458746:VIH458811 UYL458746:UYL458811 UOP458746:UOP458811 UET458746:UET458811 TUX458746:TUX458811 TLB458746:TLB458811 TBF458746:TBF458811 SRJ458746:SRJ458811 SHN458746:SHN458811 RXR458746:RXR458811 RNV458746:RNV458811 RDZ458746:RDZ458811 QUD458746:QUD458811 QKH458746:QKH458811 QAL458746:QAL458811 PQP458746:PQP458811 PGT458746:PGT458811 OWX458746:OWX458811 ONB458746:ONB458811 ODF458746:ODF458811 NTJ458746:NTJ458811 NJN458746:NJN458811 MZR458746:MZR458811 MPV458746:MPV458811 MFZ458746:MFZ458811 LWD458746:LWD458811 LMH458746:LMH458811 LCL458746:LCL458811 KSP458746:KSP458811 KIT458746:KIT458811 JYX458746:JYX458811 JPB458746:JPB458811 JFF458746:JFF458811 IVJ458746:IVJ458811 ILN458746:ILN458811 IBR458746:IBR458811 HRV458746:HRV458811 HHZ458746:HHZ458811 GYD458746:GYD458811 GOH458746:GOH458811 GEL458746:GEL458811 FUP458746:FUP458811 FKT458746:FKT458811 FAX458746:FAX458811 ERB458746:ERB458811 EHF458746:EHF458811 DXJ458746:DXJ458811 DNN458746:DNN458811 DDR458746:DDR458811 CTV458746:CTV458811 CJZ458746:CJZ458811 CAD458746:CAD458811 BQH458746:BQH458811 BGL458746:BGL458811 AWP458746:AWP458811 AMT458746:AMT458811 ACX458746:ACX458811 TB458746:TB458811 JF458746:JF458811 J458746:J458811 WVR393210:WVR393275 WLV393210:WLV393275 WBZ393210:WBZ393275 VSD393210:VSD393275 VIH393210:VIH393275 UYL393210:UYL393275 UOP393210:UOP393275 UET393210:UET393275 TUX393210:TUX393275 TLB393210:TLB393275 TBF393210:TBF393275 SRJ393210:SRJ393275 SHN393210:SHN393275 RXR393210:RXR393275 RNV393210:RNV393275 RDZ393210:RDZ393275 QUD393210:QUD393275 QKH393210:QKH393275 QAL393210:QAL393275 PQP393210:PQP393275 PGT393210:PGT393275 OWX393210:OWX393275 ONB393210:ONB393275 ODF393210:ODF393275 NTJ393210:NTJ393275 NJN393210:NJN393275 MZR393210:MZR393275 MPV393210:MPV393275 MFZ393210:MFZ393275 LWD393210:LWD393275 LMH393210:LMH393275 LCL393210:LCL393275 KSP393210:KSP393275 KIT393210:KIT393275 JYX393210:JYX393275 JPB393210:JPB393275 JFF393210:JFF393275 IVJ393210:IVJ393275 ILN393210:ILN393275 IBR393210:IBR393275 HRV393210:HRV393275 HHZ393210:HHZ393275 GYD393210:GYD393275 GOH393210:GOH393275 GEL393210:GEL393275 FUP393210:FUP393275 FKT393210:FKT393275 FAX393210:FAX393275 ERB393210:ERB393275 EHF393210:EHF393275 DXJ393210:DXJ393275 DNN393210:DNN393275 DDR393210:DDR393275 CTV393210:CTV393275 CJZ393210:CJZ393275 CAD393210:CAD393275 BQH393210:BQH393275 BGL393210:BGL393275 AWP393210:AWP393275 AMT393210:AMT393275 ACX393210:ACX393275 TB393210:TB393275 JF393210:JF393275 J393210:J393275 WVR327674:WVR327739 WLV327674:WLV327739 WBZ327674:WBZ327739 VSD327674:VSD327739 VIH327674:VIH327739 UYL327674:UYL327739 UOP327674:UOP327739 UET327674:UET327739 TUX327674:TUX327739 TLB327674:TLB327739 TBF327674:TBF327739 SRJ327674:SRJ327739 SHN327674:SHN327739 RXR327674:RXR327739 RNV327674:RNV327739 RDZ327674:RDZ327739 QUD327674:QUD327739 QKH327674:QKH327739 QAL327674:QAL327739 PQP327674:PQP327739 PGT327674:PGT327739 OWX327674:OWX327739 ONB327674:ONB327739 ODF327674:ODF327739 NTJ327674:NTJ327739 NJN327674:NJN327739 MZR327674:MZR327739 MPV327674:MPV327739 MFZ327674:MFZ327739 LWD327674:LWD327739 LMH327674:LMH327739 LCL327674:LCL327739 KSP327674:KSP327739 KIT327674:KIT327739 JYX327674:JYX327739 JPB327674:JPB327739 JFF327674:JFF327739 IVJ327674:IVJ327739 ILN327674:ILN327739 IBR327674:IBR327739 HRV327674:HRV327739 HHZ327674:HHZ327739 GYD327674:GYD327739 GOH327674:GOH327739 GEL327674:GEL327739 FUP327674:FUP327739 FKT327674:FKT327739 FAX327674:FAX327739 ERB327674:ERB327739 EHF327674:EHF327739 DXJ327674:DXJ327739 DNN327674:DNN327739 DDR327674:DDR327739 CTV327674:CTV327739 CJZ327674:CJZ327739 CAD327674:CAD327739 BQH327674:BQH327739 BGL327674:BGL327739 AWP327674:AWP327739 AMT327674:AMT327739 ACX327674:ACX327739 TB327674:TB327739 JF327674:JF327739 J327674:J327739 WVR262138:WVR262203 WLV262138:WLV262203 WBZ262138:WBZ262203 VSD262138:VSD262203 VIH262138:VIH262203 UYL262138:UYL262203 UOP262138:UOP262203 UET262138:UET262203 TUX262138:TUX262203 TLB262138:TLB262203 TBF262138:TBF262203 SRJ262138:SRJ262203 SHN262138:SHN262203 RXR262138:RXR262203 RNV262138:RNV262203 RDZ262138:RDZ262203 QUD262138:QUD262203 QKH262138:QKH262203 QAL262138:QAL262203 PQP262138:PQP262203 PGT262138:PGT262203 OWX262138:OWX262203 ONB262138:ONB262203 ODF262138:ODF262203 NTJ262138:NTJ262203 NJN262138:NJN262203 MZR262138:MZR262203 MPV262138:MPV262203 MFZ262138:MFZ262203 LWD262138:LWD262203 LMH262138:LMH262203 LCL262138:LCL262203 KSP262138:KSP262203 KIT262138:KIT262203 JYX262138:JYX262203 JPB262138:JPB262203 JFF262138:JFF262203 IVJ262138:IVJ262203 ILN262138:ILN262203 IBR262138:IBR262203 HRV262138:HRV262203 HHZ262138:HHZ262203 GYD262138:GYD262203 GOH262138:GOH262203 GEL262138:GEL262203 FUP262138:FUP262203 FKT262138:FKT262203 FAX262138:FAX262203 ERB262138:ERB262203 EHF262138:EHF262203 DXJ262138:DXJ262203 DNN262138:DNN262203 DDR262138:DDR262203 CTV262138:CTV262203 CJZ262138:CJZ262203 CAD262138:CAD262203 BQH262138:BQH262203 BGL262138:BGL262203 AWP262138:AWP262203 AMT262138:AMT262203 ACX262138:ACX262203 TB262138:TB262203 JF262138:JF262203 J262138:J262203 WVR196602:WVR196667 WLV196602:WLV196667 WBZ196602:WBZ196667 VSD196602:VSD196667 VIH196602:VIH196667 UYL196602:UYL196667 UOP196602:UOP196667 UET196602:UET196667 TUX196602:TUX196667 TLB196602:TLB196667 TBF196602:TBF196667 SRJ196602:SRJ196667 SHN196602:SHN196667 RXR196602:RXR196667 RNV196602:RNV196667 RDZ196602:RDZ196667 QUD196602:QUD196667 QKH196602:QKH196667 QAL196602:QAL196667 PQP196602:PQP196667 PGT196602:PGT196667 OWX196602:OWX196667 ONB196602:ONB196667 ODF196602:ODF196667 NTJ196602:NTJ196667 NJN196602:NJN196667 MZR196602:MZR196667 MPV196602:MPV196667 MFZ196602:MFZ196667 LWD196602:LWD196667 LMH196602:LMH196667 LCL196602:LCL196667 KSP196602:KSP196667 KIT196602:KIT196667 JYX196602:JYX196667 JPB196602:JPB196667 JFF196602:JFF196667 IVJ196602:IVJ196667 ILN196602:ILN196667 IBR196602:IBR196667 HRV196602:HRV196667 HHZ196602:HHZ196667 GYD196602:GYD196667 GOH196602:GOH196667 GEL196602:GEL196667 FUP196602:FUP196667 FKT196602:FKT196667 FAX196602:FAX196667 ERB196602:ERB196667 EHF196602:EHF196667 DXJ196602:DXJ196667 DNN196602:DNN196667 DDR196602:DDR196667 CTV196602:CTV196667 CJZ196602:CJZ196667 CAD196602:CAD196667 BQH196602:BQH196667 BGL196602:BGL196667 AWP196602:AWP196667 AMT196602:AMT196667 ACX196602:ACX196667 TB196602:TB196667 JF196602:JF196667 J196602:J196667 WVR131066:WVR131131 WLV131066:WLV131131 WBZ131066:WBZ131131 VSD131066:VSD131131 VIH131066:VIH131131 UYL131066:UYL131131 UOP131066:UOP131131 UET131066:UET131131 TUX131066:TUX131131 TLB131066:TLB131131 TBF131066:TBF131131 SRJ131066:SRJ131131 SHN131066:SHN131131 RXR131066:RXR131131 RNV131066:RNV131131 RDZ131066:RDZ131131 QUD131066:QUD131131 QKH131066:QKH131131 QAL131066:QAL131131 PQP131066:PQP131131 PGT131066:PGT131131 OWX131066:OWX131131 ONB131066:ONB131131 ODF131066:ODF131131 NTJ131066:NTJ131131 NJN131066:NJN131131 MZR131066:MZR131131 MPV131066:MPV131131 MFZ131066:MFZ131131 LWD131066:LWD131131 LMH131066:LMH131131 LCL131066:LCL131131 KSP131066:KSP131131 KIT131066:KIT131131 JYX131066:JYX131131 JPB131066:JPB131131 JFF131066:JFF131131 IVJ131066:IVJ131131 ILN131066:ILN131131 IBR131066:IBR131131 HRV131066:HRV131131 HHZ131066:HHZ131131 GYD131066:GYD131131 GOH131066:GOH131131 GEL131066:GEL131131 FUP131066:FUP131131 FKT131066:FKT131131 FAX131066:FAX131131 ERB131066:ERB131131 EHF131066:EHF131131 DXJ131066:DXJ131131 DNN131066:DNN131131 DDR131066:DDR131131 CTV131066:CTV131131 CJZ131066:CJZ131131 CAD131066:CAD131131 BQH131066:BQH131131 BGL131066:BGL131131 AWP131066:AWP131131 AMT131066:AMT131131 ACX131066:ACX131131 TB131066:TB131131 JF131066:JF131131 J131066:J131131 WVR65530:WVR65595 WLV65530:WLV65595 WBZ65530:WBZ65595 VSD65530:VSD65595 VIH65530:VIH65595 UYL65530:UYL65595 UOP65530:UOP65595 UET65530:UET65595 TUX65530:TUX65595 TLB65530:TLB65595 TBF65530:TBF65595 SRJ65530:SRJ65595 SHN65530:SHN65595 RXR65530:RXR65595 RNV65530:RNV65595 RDZ65530:RDZ65595 QUD65530:QUD65595 QKH65530:QKH65595 QAL65530:QAL65595 PQP65530:PQP65595 PGT65530:PGT65595 OWX65530:OWX65595 ONB65530:ONB65595 ODF65530:ODF65595 NTJ65530:NTJ65595 NJN65530:NJN65595 MZR65530:MZR65595 MPV65530:MPV65595 MFZ65530:MFZ65595 LWD65530:LWD65595 LMH65530:LMH65595 LCL65530:LCL65595 KSP65530:KSP65595 KIT65530:KIT65595 JYX65530:JYX65595 JPB65530:JPB65595 JFF65530:JFF65595 IVJ65530:IVJ65595 ILN65530:ILN65595 IBR65530:IBR65595 HRV65530:HRV65595 HHZ65530:HHZ65595 GYD65530:GYD65595 GOH65530:GOH65595 GEL65530:GEL65595 FUP65530:FUP65595 FKT65530:FKT65595 FAX65530:FAX65595 ERB65530:ERB65595 EHF65530:EHF65595 DXJ65530:DXJ65595 DNN65530:DNN65595 DDR65530:DDR65595 CTV65530:CTV65595 CJZ65530:CJZ65595 CAD65530:CAD65595 BQH65530:BQH65595 BGL65530:BGL65595 AWP65530:AWP65595 AMT65530:AMT65595 ACX65530:ACX65595 TB65530:TB65595 JF65530:JF65595 J65530:J65595">
      <formula1>$AP$2:$AP$27</formula1>
    </dataValidation>
    <dataValidation type="list" allowBlank="1" showInputMessage="1" showErrorMessage="1" sqref="WVP983034:WVP983099 JD2:JD59 SZ2:SZ59 ACV2:ACV59 AMR2:AMR59 AWN2:AWN59 BGJ2:BGJ59 BQF2:BQF59 CAB2:CAB59 CJX2:CJX59 CTT2:CTT59 DDP2:DDP59 DNL2:DNL59 DXH2:DXH59 EHD2:EHD59 EQZ2:EQZ59 FAV2:FAV59 FKR2:FKR59 FUN2:FUN59 GEJ2:GEJ59 GOF2:GOF59 GYB2:GYB59 HHX2:HHX59 HRT2:HRT59 IBP2:IBP59 ILL2:ILL59 IVH2:IVH59 JFD2:JFD59 JOZ2:JOZ59 JYV2:JYV59 KIR2:KIR59 KSN2:KSN59 LCJ2:LCJ59 LMF2:LMF59 LWB2:LWB59 MFX2:MFX59 MPT2:MPT59 MZP2:MZP59 NJL2:NJL59 NTH2:NTH59 ODD2:ODD59 OMZ2:OMZ59 OWV2:OWV59 PGR2:PGR59 PQN2:PQN59 QAJ2:QAJ59 QKF2:QKF59 QUB2:QUB59 RDX2:RDX59 RNT2:RNT59 RXP2:RXP59 SHL2:SHL59 SRH2:SRH59 TBD2:TBD59 TKZ2:TKZ59 TUV2:TUV59 UER2:UER59 UON2:UON59 UYJ2:UYJ59 VIF2:VIF59 VSB2:VSB59 WBX2:WBX59 WLT2:WLT59 WVP2:WVP59 WLT983034:WLT983099 WBX983034:WBX983099 VSB983034:VSB983099 VIF983034:VIF983099 UYJ983034:UYJ983099 UON983034:UON983099 UER983034:UER983099 TUV983034:TUV983099 TKZ983034:TKZ983099 TBD983034:TBD983099 SRH983034:SRH983099 SHL983034:SHL983099 RXP983034:RXP983099 RNT983034:RNT983099 RDX983034:RDX983099 QUB983034:QUB983099 QKF983034:QKF983099 QAJ983034:QAJ983099 PQN983034:PQN983099 PGR983034:PGR983099 OWV983034:OWV983099 OMZ983034:OMZ983099 ODD983034:ODD983099 NTH983034:NTH983099 NJL983034:NJL983099 MZP983034:MZP983099 MPT983034:MPT983099 MFX983034:MFX983099 LWB983034:LWB983099 LMF983034:LMF983099 LCJ983034:LCJ983099 KSN983034:KSN983099 KIR983034:KIR983099 JYV983034:JYV983099 JOZ983034:JOZ983099 JFD983034:JFD983099 IVH983034:IVH983099 ILL983034:ILL983099 IBP983034:IBP983099 HRT983034:HRT983099 HHX983034:HHX983099 GYB983034:GYB983099 GOF983034:GOF983099 GEJ983034:GEJ983099 FUN983034:FUN983099 FKR983034:FKR983099 FAV983034:FAV983099 EQZ983034:EQZ983099 EHD983034:EHD983099 DXH983034:DXH983099 DNL983034:DNL983099 DDP983034:DDP983099 CTT983034:CTT983099 CJX983034:CJX983099 CAB983034:CAB983099 BQF983034:BQF983099 BGJ983034:BGJ983099 AWN983034:AWN983099 AMR983034:AMR983099 ACV983034:ACV983099 SZ983034:SZ983099 JD983034:JD983099 H983034:H983099 WVP917498:WVP917563 WLT917498:WLT917563 WBX917498:WBX917563 VSB917498:VSB917563 VIF917498:VIF917563 UYJ917498:UYJ917563 UON917498:UON917563 UER917498:UER917563 TUV917498:TUV917563 TKZ917498:TKZ917563 TBD917498:TBD917563 SRH917498:SRH917563 SHL917498:SHL917563 RXP917498:RXP917563 RNT917498:RNT917563 RDX917498:RDX917563 QUB917498:QUB917563 QKF917498:QKF917563 QAJ917498:QAJ917563 PQN917498:PQN917563 PGR917498:PGR917563 OWV917498:OWV917563 OMZ917498:OMZ917563 ODD917498:ODD917563 NTH917498:NTH917563 NJL917498:NJL917563 MZP917498:MZP917563 MPT917498:MPT917563 MFX917498:MFX917563 LWB917498:LWB917563 LMF917498:LMF917563 LCJ917498:LCJ917563 KSN917498:KSN917563 KIR917498:KIR917563 JYV917498:JYV917563 JOZ917498:JOZ917563 JFD917498:JFD917563 IVH917498:IVH917563 ILL917498:ILL917563 IBP917498:IBP917563 HRT917498:HRT917563 HHX917498:HHX917563 GYB917498:GYB917563 GOF917498:GOF917563 GEJ917498:GEJ917563 FUN917498:FUN917563 FKR917498:FKR917563 FAV917498:FAV917563 EQZ917498:EQZ917563 EHD917498:EHD917563 DXH917498:DXH917563 DNL917498:DNL917563 DDP917498:DDP917563 CTT917498:CTT917563 CJX917498:CJX917563 CAB917498:CAB917563 BQF917498:BQF917563 BGJ917498:BGJ917563 AWN917498:AWN917563 AMR917498:AMR917563 ACV917498:ACV917563 SZ917498:SZ917563 JD917498:JD917563 H917498:H917563 WVP851962:WVP852027 WLT851962:WLT852027 WBX851962:WBX852027 VSB851962:VSB852027 VIF851962:VIF852027 UYJ851962:UYJ852027 UON851962:UON852027 UER851962:UER852027 TUV851962:TUV852027 TKZ851962:TKZ852027 TBD851962:TBD852027 SRH851962:SRH852027 SHL851962:SHL852027 RXP851962:RXP852027 RNT851962:RNT852027 RDX851962:RDX852027 QUB851962:QUB852027 QKF851962:QKF852027 QAJ851962:QAJ852027 PQN851962:PQN852027 PGR851962:PGR852027 OWV851962:OWV852027 OMZ851962:OMZ852027 ODD851962:ODD852027 NTH851962:NTH852027 NJL851962:NJL852027 MZP851962:MZP852027 MPT851962:MPT852027 MFX851962:MFX852027 LWB851962:LWB852027 LMF851962:LMF852027 LCJ851962:LCJ852027 KSN851962:KSN852027 KIR851962:KIR852027 JYV851962:JYV852027 JOZ851962:JOZ852027 JFD851962:JFD852027 IVH851962:IVH852027 ILL851962:ILL852027 IBP851962:IBP852027 HRT851962:HRT852027 HHX851962:HHX852027 GYB851962:GYB852027 GOF851962:GOF852027 GEJ851962:GEJ852027 FUN851962:FUN852027 FKR851962:FKR852027 FAV851962:FAV852027 EQZ851962:EQZ852027 EHD851962:EHD852027 DXH851962:DXH852027 DNL851962:DNL852027 DDP851962:DDP852027 CTT851962:CTT852027 CJX851962:CJX852027 CAB851962:CAB852027 BQF851962:BQF852027 BGJ851962:BGJ852027 AWN851962:AWN852027 AMR851962:AMR852027 ACV851962:ACV852027 SZ851962:SZ852027 JD851962:JD852027 H851962:H852027 WVP786426:WVP786491 WLT786426:WLT786491 WBX786426:WBX786491 VSB786426:VSB786491 VIF786426:VIF786491 UYJ786426:UYJ786491 UON786426:UON786491 UER786426:UER786491 TUV786426:TUV786491 TKZ786426:TKZ786491 TBD786426:TBD786491 SRH786426:SRH786491 SHL786426:SHL786491 RXP786426:RXP786491 RNT786426:RNT786491 RDX786426:RDX786491 QUB786426:QUB786491 QKF786426:QKF786491 QAJ786426:QAJ786491 PQN786426:PQN786491 PGR786426:PGR786491 OWV786426:OWV786491 OMZ786426:OMZ786491 ODD786426:ODD786491 NTH786426:NTH786491 NJL786426:NJL786491 MZP786426:MZP786491 MPT786426:MPT786491 MFX786426:MFX786491 LWB786426:LWB786491 LMF786426:LMF786491 LCJ786426:LCJ786491 KSN786426:KSN786491 KIR786426:KIR786491 JYV786426:JYV786491 JOZ786426:JOZ786491 JFD786426:JFD786491 IVH786426:IVH786491 ILL786426:ILL786491 IBP786426:IBP786491 HRT786426:HRT786491 HHX786426:HHX786491 GYB786426:GYB786491 GOF786426:GOF786491 GEJ786426:GEJ786491 FUN786426:FUN786491 FKR786426:FKR786491 FAV786426:FAV786491 EQZ786426:EQZ786491 EHD786426:EHD786491 DXH786426:DXH786491 DNL786426:DNL786491 DDP786426:DDP786491 CTT786426:CTT786491 CJX786426:CJX786491 CAB786426:CAB786491 BQF786426:BQF786491 BGJ786426:BGJ786491 AWN786426:AWN786491 AMR786426:AMR786491 ACV786426:ACV786491 SZ786426:SZ786491 JD786426:JD786491 H786426:H786491 WVP720890:WVP720955 WLT720890:WLT720955 WBX720890:WBX720955 VSB720890:VSB720955 VIF720890:VIF720955 UYJ720890:UYJ720955 UON720890:UON720955 UER720890:UER720955 TUV720890:TUV720955 TKZ720890:TKZ720955 TBD720890:TBD720955 SRH720890:SRH720955 SHL720890:SHL720955 RXP720890:RXP720955 RNT720890:RNT720955 RDX720890:RDX720955 QUB720890:QUB720955 QKF720890:QKF720955 QAJ720890:QAJ720955 PQN720890:PQN720955 PGR720890:PGR720955 OWV720890:OWV720955 OMZ720890:OMZ720955 ODD720890:ODD720955 NTH720890:NTH720955 NJL720890:NJL720955 MZP720890:MZP720955 MPT720890:MPT720955 MFX720890:MFX720955 LWB720890:LWB720955 LMF720890:LMF720955 LCJ720890:LCJ720955 KSN720890:KSN720955 KIR720890:KIR720955 JYV720890:JYV720955 JOZ720890:JOZ720955 JFD720890:JFD720955 IVH720890:IVH720955 ILL720890:ILL720955 IBP720890:IBP720955 HRT720890:HRT720955 HHX720890:HHX720955 GYB720890:GYB720955 GOF720890:GOF720955 GEJ720890:GEJ720955 FUN720890:FUN720955 FKR720890:FKR720955 FAV720890:FAV720955 EQZ720890:EQZ720955 EHD720890:EHD720955 DXH720890:DXH720955 DNL720890:DNL720955 DDP720890:DDP720955 CTT720890:CTT720955 CJX720890:CJX720955 CAB720890:CAB720955 BQF720890:BQF720955 BGJ720890:BGJ720955 AWN720890:AWN720955 AMR720890:AMR720955 ACV720890:ACV720955 SZ720890:SZ720955 JD720890:JD720955 H720890:H720955 WVP655354:WVP655419 WLT655354:WLT655419 WBX655354:WBX655419 VSB655354:VSB655419 VIF655354:VIF655419 UYJ655354:UYJ655419 UON655354:UON655419 UER655354:UER655419 TUV655354:TUV655419 TKZ655354:TKZ655419 TBD655354:TBD655419 SRH655354:SRH655419 SHL655354:SHL655419 RXP655354:RXP655419 RNT655354:RNT655419 RDX655354:RDX655419 QUB655354:QUB655419 QKF655354:QKF655419 QAJ655354:QAJ655419 PQN655354:PQN655419 PGR655354:PGR655419 OWV655354:OWV655419 OMZ655354:OMZ655419 ODD655354:ODD655419 NTH655354:NTH655419 NJL655354:NJL655419 MZP655354:MZP655419 MPT655354:MPT655419 MFX655354:MFX655419 LWB655354:LWB655419 LMF655354:LMF655419 LCJ655354:LCJ655419 KSN655354:KSN655419 KIR655354:KIR655419 JYV655354:JYV655419 JOZ655354:JOZ655419 JFD655354:JFD655419 IVH655354:IVH655419 ILL655354:ILL655419 IBP655354:IBP655419 HRT655354:HRT655419 HHX655354:HHX655419 GYB655354:GYB655419 GOF655354:GOF655419 GEJ655354:GEJ655419 FUN655354:FUN655419 FKR655354:FKR655419 FAV655354:FAV655419 EQZ655354:EQZ655419 EHD655354:EHD655419 DXH655354:DXH655419 DNL655354:DNL655419 DDP655354:DDP655419 CTT655354:CTT655419 CJX655354:CJX655419 CAB655354:CAB655419 BQF655354:BQF655419 BGJ655354:BGJ655419 AWN655354:AWN655419 AMR655354:AMR655419 ACV655354:ACV655419 SZ655354:SZ655419 JD655354:JD655419 H655354:H655419 WVP589818:WVP589883 WLT589818:WLT589883 WBX589818:WBX589883 VSB589818:VSB589883 VIF589818:VIF589883 UYJ589818:UYJ589883 UON589818:UON589883 UER589818:UER589883 TUV589818:TUV589883 TKZ589818:TKZ589883 TBD589818:TBD589883 SRH589818:SRH589883 SHL589818:SHL589883 RXP589818:RXP589883 RNT589818:RNT589883 RDX589818:RDX589883 QUB589818:QUB589883 QKF589818:QKF589883 QAJ589818:QAJ589883 PQN589818:PQN589883 PGR589818:PGR589883 OWV589818:OWV589883 OMZ589818:OMZ589883 ODD589818:ODD589883 NTH589818:NTH589883 NJL589818:NJL589883 MZP589818:MZP589883 MPT589818:MPT589883 MFX589818:MFX589883 LWB589818:LWB589883 LMF589818:LMF589883 LCJ589818:LCJ589883 KSN589818:KSN589883 KIR589818:KIR589883 JYV589818:JYV589883 JOZ589818:JOZ589883 JFD589818:JFD589883 IVH589818:IVH589883 ILL589818:ILL589883 IBP589818:IBP589883 HRT589818:HRT589883 HHX589818:HHX589883 GYB589818:GYB589883 GOF589818:GOF589883 GEJ589818:GEJ589883 FUN589818:FUN589883 FKR589818:FKR589883 FAV589818:FAV589883 EQZ589818:EQZ589883 EHD589818:EHD589883 DXH589818:DXH589883 DNL589818:DNL589883 DDP589818:DDP589883 CTT589818:CTT589883 CJX589818:CJX589883 CAB589818:CAB589883 BQF589818:BQF589883 BGJ589818:BGJ589883 AWN589818:AWN589883 AMR589818:AMR589883 ACV589818:ACV589883 SZ589818:SZ589883 JD589818:JD589883 H589818:H589883 WVP524282:WVP524347 WLT524282:WLT524347 WBX524282:WBX524347 VSB524282:VSB524347 VIF524282:VIF524347 UYJ524282:UYJ524347 UON524282:UON524347 UER524282:UER524347 TUV524282:TUV524347 TKZ524282:TKZ524347 TBD524282:TBD524347 SRH524282:SRH524347 SHL524282:SHL524347 RXP524282:RXP524347 RNT524282:RNT524347 RDX524282:RDX524347 QUB524282:QUB524347 QKF524282:QKF524347 QAJ524282:QAJ524347 PQN524282:PQN524347 PGR524282:PGR524347 OWV524282:OWV524347 OMZ524282:OMZ524347 ODD524282:ODD524347 NTH524282:NTH524347 NJL524282:NJL524347 MZP524282:MZP524347 MPT524282:MPT524347 MFX524282:MFX524347 LWB524282:LWB524347 LMF524282:LMF524347 LCJ524282:LCJ524347 KSN524282:KSN524347 KIR524282:KIR524347 JYV524282:JYV524347 JOZ524282:JOZ524347 JFD524282:JFD524347 IVH524282:IVH524347 ILL524282:ILL524347 IBP524282:IBP524347 HRT524282:HRT524347 HHX524282:HHX524347 GYB524282:GYB524347 GOF524282:GOF524347 GEJ524282:GEJ524347 FUN524282:FUN524347 FKR524282:FKR524347 FAV524282:FAV524347 EQZ524282:EQZ524347 EHD524282:EHD524347 DXH524282:DXH524347 DNL524282:DNL524347 DDP524282:DDP524347 CTT524282:CTT524347 CJX524282:CJX524347 CAB524282:CAB524347 BQF524282:BQF524347 BGJ524282:BGJ524347 AWN524282:AWN524347 AMR524282:AMR524347 ACV524282:ACV524347 SZ524282:SZ524347 JD524282:JD524347 H524282:H524347 WVP458746:WVP458811 WLT458746:WLT458811 WBX458746:WBX458811 VSB458746:VSB458811 VIF458746:VIF458811 UYJ458746:UYJ458811 UON458746:UON458811 UER458746:UER458811 TUV458746:TUV458811 TKZ458746:TKZ458811 TBD458746:TBD458811 SRH458746:SRH458811 SHL458746:SHL458811 RXP458746:RXP458811 RNT458746:RNT458811 RDX458746:RDX458811 QUB458746:QUB458811 QKF458746:QKF458811 QAJ458746:QAJ458811 PQN458746:PQN458811 PGR458746:PGR458811 OWV458746:OWV458811 OMZ458746:OMZ458811 ODD458746:ODD458811 NTH458746:NTH458811 NJL458746:NJL458811 MZP458746:MZP458811 MPT458746:MPT458811 MFX458746:MFX458811 LWB458746:LWB458811 LMF458746:LMF458811 LCJ458746:LCJ458811 KSN458746:KSN458811 KIR458746:KIR458811 JYV458746:JYV458811 JOZ458746:JOZ458811 JFD458746:JFD458811 IVH458746:IVH458811 ILL458746:ILL458811 IBP458746:IBP458811 HRT458746:HRT458811 HHX458746:HHX458811 GYB458746:GYB458811 GOF458746:GOF458811 GEJ458746:GEJ458811 FUN458746:FUN458811 FKR458746:FKR458811 FAV458746:FAV458811 EQZ458746:EQZ458811 EHD458746:EHD458811 DXH458746:DXH458811 DNL458746:DNL458811 DDP458746:DDP458811 CTT458746:CTT458811 CJX458746:CJX458811 CAB458746:CAB458811 BQF458746:BQF458811 BGJ458746:BGJ458811 AWN458746:AWN458811 AMR458746:AMR458811 ACV458746:ACV458811 SZ458746:SZ458811 JD458746:JD458811 H458746:H458811 WVP393210:WVP393275 WLT393210:WLT393275 WBX393210:WBX393275 VSB393210:VSB393275 VIF393210:VIF393275 UYJ393210:UYJ393275 UON393210:UON393275 UER393210:UER393275 TUV393210:TUV393275 TKZ393210:TKZ393275 TBD393210:TBD393275 SRH393210:SRH393275 SHL393210:SHL393275 RXP393210:RXP393275 RNT393210:RNT393275 RDX393210:RDX393275 QUB393210:QUB393275 QKF393210:QKF393275 QAJ393210:QAJ393275 PQN393210:PQN393275 PGR393210:PGR393275 OWV393210:OWV393275 OMZ393210:OMZ393275 ODD393210:ODD393275 NTH393210:NTH393275 NJL393210:NJL393275 MZP393210:MZP393275 MPT393210:MPT393275 MFX393210:MFX393275 LWB393210:LWB393275 LMF393210:LMF393275 LCJ393210:LCJ393275 KSN393210:KSN393275 KIR393210:KIR393275 JYV393210:JYV393275 JOZ393210:JOZ393275 JFD393210:JFD393275 IVH393210:IVH393275 ILL393210:ILL393275 IBP393210:IBP393275 HRT393210:HRT393275 HHX393210:HHX393275 GYB393210:GYB393275 GOF393210:GOF393275 GEJ393210:GEJ393275 FUN393210:FUN393275 FKR393210:FKR393275 FAV393210:FAV393275 EQZ393210:EQZ393275 EHD393210:EHD393275 DXH393210:DXH393275 DNL393210:DNL393275 DDP393210:DDP393275 CTT393210:CTT393275 CJX393210:CJX393275 CAB393210:CAB393275 BQF393210:BQF393275 BGJ393210:BGJ393275 AWN393210:AWN393275 AMR393210:AMR393275 ACV393210:ACV393275 SZ393210:SZ393275 JD393210:JD393275 H393210:H393275 WVP327674:WVP327739 WLT327674:WLT327739 WBX327674:WBX327739 VSB327674:VSB327739 VIF327674:VIF327739 UYJ327674:UYJ327739 UON327674:UON327739 UER327674:UER327739 TUV327674:TUV327739 TKZ327674:TKZ327739 TBD327674:TBD327739 SRH327674:SRH327739 SHL327674:SHL327739 RXP327674:RXP327739 RNT327674:RNT327739 RDX327674:RDX327739 QUB327674:QUB327739 QKF327674:QKF327739 QAJ327674:QAJ327739 PQN327674:PQN327739 PGR327674:PGR327739 OWV327674:OWV327739 OMZ327674:OMZ327739 ODD327674:ODD327739 NTH327674:NTH327739 NJL327674:NJL327739 MZP327674:MZP327739 MPT327674:MPT327739 MFX327674:MFX327739 LWB327674:LWB327739 LMF327674:LMF327739 LCJ327674:LCJ327739 KSN327674:KSN327739 KIR327674:KIR327739 JYV327674:JYV327739 JOZ327674:JOZ327739 JFD327674:JFD327739 IVH327674:IVH327739 ILL327674:ILL327739 IBP327674:IBP327739 HRT327674:HRT327739 HHX327674:HHX327739 GYB327674:GYB327739 GOF327674:GOF327739 GEJ327674:GEJ327739 FUN327674:FUN327739 FKR327674:FKR327739 FAV327674:FAV327739 EQZ327674:EQZ327739 EHD327674:EHD327739 DXH327674:DXH327739 DNL327674:DNL327739 DDP327674:DDP327739 CTT327674:CTT327739 CJX327674:CJX327739 CAB327674:CAB327739 BQF327674:BQF327739 BGJ327674:BGJ327739 AWN327674:AWN327739 AMR327674:AMR327739 ACV327674:ACV327739 SZ327674:SZ327739 JD327674:JD327739 H327674:H327739 WVP262138:WVP262203 WLT262138:WLT262203 WBX262138:WBX262203 VSB262138:VSB262203 VIF262138:VIF262203 UYJ262138:UYJ262203 UON262138:UON262203 UER262138:UER262203 TUV262138:TUV262203 TKZ262138:TKZ262203 TBD262138:TBD262203 SRH262138:SRH262203 SHL262138:SHL262203 RXP262138:RXP262203 RNT262138:RNT262203 RDX262138:RDX262203 QUB262138:QUB262203 QKF262138:QKF262203 QAJ262138:QAJ262203 PQN262138:PQN262203 PGR262138:PGR262203 OWV262138:OWV262203 OMZ262138:OMZ262203 ODD262138:ODD262203 NTH262138:NTH262203 NJL262138:NJL262203 MZP262138:MZP262203 MPT262138:MPT262203 MFX262138:MFX262203 LWB262138:LWB262203 LMF262138:LMF262203 LCJ262138:LCJ262203 KSN262138:KSN262203 KIR262138:KIR262203 JYV262138:JYV262203 JOZ262138:JOZ262203 JFD262138:JFD262203 IVH262138:IVH262203 ILL262138:ILL262203 IBP262138:IBP262203 HRT262138:HRT262203 HHX262138:HHX262203 GYB262138:GYB262203 GOF262138:GOF262203 GEJ262138:GEJ262203 FUN262138:FUN262203 FKR262138:FKR262203 FAV262138:FAV262203 EQZ262138:EQZ262203 EHD262138:EHD262203 DXH262138:DXH262203 DNL262138:DNL262203 DDP262138:DDP262203 CTT262138:CTT262203 CJX262138:CJX262203 CAB262138:CAB262203 BQF262138:BQF262203 BGJ262138:BGJ262203 AWN262138:AWN262203 AMR262138:AMR262203 ACV262138:ACV262203 SZ262138:SZ262203 JD262138:JD262203 H262138:H262203 WVP196602:WVP196667 WLT196602:WLT196667 WBX196602:WBX196667 VSB196602:VSB196667 VIF196602:VIF196667 UYJ196602:UYJ196667 UON196602:UON196667 UER196602:UER196667 TUV196602:TUV196667 TKZ196602:TKZ196667 TBD196602:TBD196667 SRH196602:SRH196667 SHL196602:SHL196667 RXP196602:RXP196667 RNT196602:RNT196667 RDX196602:RDX196667 QUB196602:QUB196667 QKF196602:QKF196667 QAJ196602:QAJ196667 PQN196602:PQN196667 PGR196602:PGR196667 OWV196602:OWV196667 OMZ196602:OMZ196667 ODD196602:ODD196667 NTH196602:NTH196667 NJL196602:NJL196667 MZP196602:MZP196667 MPT196602:MPT196667 MFX196602:MFX196667 LWB196602:LWB196667 LMF196602:LMF196667 LCJ196602:LCJ196667 KSN196602:KSN196667 KIR196602:KIR196667 JYV196602:JYV196667 JOZ196602:JOZ196667 JFD196602:JFD196667 IVH196602:IVH196667 ILL196602:ILL196667 IBP196602:IBP196667 HRT196602:HRT196667 HHX196602:HHX196667 GYB196602:GYB196667 GOF196602:GOF196667 GEJ196602:GEJ196667 FUN196602:FUN196667 FKR196602:FKR196667 FAV196602:FAV196667 EQZ196602:EQZ196667 EHD196602:EHD196667 DXH196602:DXH196667 DNL196602:DNL196667 DDP196602:DDP196667 CTT196602:CTT196667 CJX196602:CJX196667 CAB196602:CAB196667 BQF196602:BQF196667 BGJ196602:BGJ196667 AWN196602:AWN196667 AMR196602:AMR196667 ACV196602:ACV196667 SZ196602:SZ196667 JD196602:JD196667 H196602:H196667 WVP131066:WVP131131 WLT131066:WLT131131 WBX131066:WBX131131 VSB131066:VSB131131 VIF131066:VIF131131 UYJ131066:UYJ131131 UON131066:UON131131 UER131066:UER131131 TUV131066:TUV131131 TKZ131066:TKZ131131 TBD131066:TBD131131 SRH131066:SRH131131 SHL131066:SHL131131 RXP131066:RXP131131 RNT131066:RNT131131 RDX131066:RDX131131 QUB131066:QUB131131 QKF131066:QKF131131 QAJ131066:QAJ131131 PQN131066:PQN131131 PGR131066:PGR131131 OWV131066:OWV131131 OMZ131066:OMZ131131 ODD131066:ODD131131 NTH131066:NTH131131 NJL131066:NJL131131 MZP131066:MZP131131 MPT131066:MPT131131 MFX131066:MFX131131 LWB131066:LWB131131 LMF131066:LMF131131 LCJ131066:LCJ131131 KSN131066:KSN131131 KIR131066:KIR131131 JYV131066:JYV131131 JOZ131066:JOZ131131 JFD131066:JFD131131 IVH131066:IVH131131 ILL131066:ILL131131 IBP131066:IBP131131 HRT131066:HRT131131 HHX131066:HHX131131 GYB131066:GYB131131 GOF131066:GOF131131 GEJ131066:GEJ131131 FUN131066:FUN131131 FKR131066:FKR131131 FAV131066:FAV131131 EQZ131066:EQZ131131 EHD131066:EHD131131 DXH131066:DXH131131 DNL131066:DNL131131 DDP131066:DDP131131 CTT131066:CTT131131 CJX131066:CJX131131 CAB131066:CAB131131 BQF131066:BQF131131 BGJ131066:BGJ131131 AWN131066:AWN131131 AMR131066:AMR131131 ACV131066:ACV131131 SZ131066:SZ131131 JD131066:JD131131 H131066:H131131 WVP65530:WVP65595 WLT65530:WLT65595 WBX65530:WBX65595 VSB65530:VSB65595 VIF65530:VIF65595 UYJ65530:UYJ65595 UON65530:UON65595 UER65530:UER65595 TUV65530:TUV65595 TKZ65530:TKZ65595 TBD65530:TBD65595 SRH65530:SRH65595 SHL65530:SHL65595 RXP65530:RXP65595 RNT65530:RNT65595 RDX65530:RDX65595 QUB65530:QUB65595 QKF65530:QKF65595 QAJ65530:QAJ65595 PQN65530:PQN65595 PGR65530:PGR65595 OWV65530:OWV65595 OMZ65530:OMZ65595 ODD65530:ODD65595 NTH65530:NTH65595 NJL65530:NJL65595 MZP65530:MZP65595 MPT65530:MPT65595 MFX65530:MFX65595 LWB65530:LWB65595 LMF65530:LMF65595 LCJ65530:LCJ65595 KSN65530:KSN65595 KIR65530:KIR65595 JYV65530:JYV65595 JOZ65530:JOZ65595 JFD65530:JFD65595 IVH65530:IVH65595 ILL65530:ILL65595 IBP65530:IBP65595 HRT65530:HRT65595 HHX65530:HHX65595 GYB65530:GYB65595 GOF65530:GOF65595 GEJ65530:GEJ65595 FUN65530:FUN65595 FKR65530:FKR65595 FAV65530:FAV65595 EQZ65530:EQZ65595 EHD65530:EHD65595 DXH65530:DXH65595 DNL65530:DNL65595 DDP65530:DDP65595 CTT65530:CTT65595 CJX65530:CJX65595 CAB65530:CAB65595 BQF65530:BQF65595 BGJ65530:BGJ65595 AWN65530:AWN65595 AMR65530:AMR65595 ACV65530:ACV65595 SZ65530:SZ65595 JD65530:JD65595 H65530:H65595">
      <formula1>$AL$4:$AL$12</formula1>
    </dataValidation>
    <dataValidation type="list" allowBlank="1" showInputMessage="1" showErrorMessage="1" sqref="A64355:A64420 A2:A492 SS2:SS65 ACO2:ACO65 AMK2:AMK65 AWG2:AWG65 BGC2:BGC65 BPY2:BPY65 BZU2:BZU65 CJQ2:CJQ65 CTM2:CTM65 DDI2:DDI65 DNE2:DNE65 DXA2:DXA65 EGW2:EGW65 EQS2:EQS65 FAO2:FAO65 FKK2:FKK65 FUG2:FUG65 GEC2:GEC65 GNY2:GNY65 GXU2:GXU65 HHQ2:HHQ65 HRM2:HRM65 IBI2:IBI65 ILE2:ILE65 IVA2:IVA65 JEW2:JEW65 JOS2:JOS65 JYO2:JYO65 KIK2:KIK65 KSG2:KSG65 LCC2:LCC65 LLY2:LLY65 LVU2:LVU65 MFQ2:MFQ65 MPM2:MPM65 MZI2:MZI65 NJE2:NJE65 NTA2:NTA65 OCW2:OCW65 OMS2:OMS65 OWO2:OWO65 PGK2:PGK65 PQG2:PQG65 QAC2:QAC65 QJY2:QJY65 QTU2:QTU65 RDQ2:RDQ65 RNM2:RNM65 RXI2:RXI65 SHE2:SHE65 SRA2:SRA65 TAW2:TAW65 TKS2:TKS65 TUO2:TUO65 UEK2:UEK65 UOG2:UOG65 UYC2:UYC65 VHY2:VHY65 VRU2:VRU65 WBQ2:WBQ65 WLM2:WLM65 WVI2:WVI65 IW2:IW65 WLM983034:WLM983105 WBQ983034:WBQ983105 VRU983034:VRU983105 VHY983034:VHY983105 UYC983034:UYC983105 UOG983034:UOG983105 UEK983034:UEK983105 TUO983034:TUO983105 TKS983034:TKS983105 TAW983034:TAW983105 SRA983034:SRA983105 SHE983034:SHE983105 RXI983034:RXI983105 RNM983034:RNM983105 RDQ983034:RDQ983105 QTU983034:QTU983105 QJY983034:QJY983105 QAC983034:QAC983105 PQG983034:PQG983105 PGK983034:PGK983105 OWO983034:OWO983105 OMS983034:OMS983105 OCW983034:OCW983105 NTA983034:NTA983105 NJE983034:NJE983105 MZI983034:MZI983105 MPM983034:MPM983105 MFQ983034:MFQ983105 LVU983034:LVU983105 LLY983034:LLY983105 LCC983034:LCC983105 KSG983034:KSG983105 KIK983034:KIK983105 JYO983034:JYO983105 JOS983034:JOS983105 JEW983034:JEW983105 IVA983034:IVA983105 ILE983034:ILE983105 IBI983034:IBI983105 HRM983034:HRM983105 HHQ983034:HHQ983105 GXU983034:GXU983105 GNY983034:GNY983105 GEC983034:GEC983105 FUG983034:FUG983105 FKK983034:FKK983105 FAO983034:FAO983105 EQS983034:EQS983105 EGW983034:EGW983105 DXA983034:DXA983105 DNE983034:DNE983105 DDI983034:DDI983105 CTM983034:CTM983105 CJQ983034:CJQ983105 BZU983034:BZU983105 BPY983034:BPY983105 BGC983034:BGC983105 AWG983034:AWG983105 AMK983034:AMK983105 ACO983034:ACO983105 SS983034:SS983105 IW983034:IW983105 A983034:A983105 WVI917498:WVI917569 WLM917498:WLM917569 WBQ917498:WBQ917569 VRU917498:VRU917569 VHY917498:VHY917569 UYC917498:UYC917569 UOG917498:UOG917569 UEK917498:UEK917569 TUO917498:TUO917569 TKS917498:TKS917569 TAW917498:TAW917569 SRA917498:SRA917569 SHE917498:SHE917569 RXI917498:RXI917569 RNM917498:RNM917569 RDQ917498:RDQ917569 QTU917498:QTU917569 QJY917498:QJY917569 QAC917498:QAC917569 PQG917498:PQG917569 PGK917498:PGK917569 OWO917498:OWO917569 OMS917498:OMS917569 OCW917498:OCW917569 NTA917498:NTA917569 NJE917498:NJE917569 MZI917498:MZI917569 MPM917498:MPM917569 MFQ917498:MFQ917569 LVU917498:LVU917569 LLY917498:LLY917569 LCC917498:LCC917569 KSG917498:KSG917569 KIK917498:KIK917569 JYO917498:JYO917569 JOS917498:JOS917569 JEW917498:JEW917569 IVA917498:IVA917569 ILE917498:ILE917569 IBI917498:IBI917569 HRM917498:HRM917569 HHQ917498:HHQ917569 GXU917498:GXU917569 GNY917498:GNY917569 GEC917498:GEC917569 FUG917498:FUG917569 FKK917498:FKK917569 FAO917498:FAO917569 EQS917498:EQS917569 EGW917498:EGW917569 DXA917498:DXA917569 DNE917498:DNE917569 DDI917498:DDI917569 CTM917498:CTM917569 CJQ917498:CJQ917569 BZU917498:BZU917569 BPY917498:BPY917569 BGC917498:BGC917569 AWG917498:AWG917569 AMK917498:AMK917569 ACO917498:ACO917569 SS917498:SS917569 IW917498:IW917569 A917498:A917569 WVI851962:WVI852033 WLM851962:WLM852033 WBQ851962:WBQ852033 VRU851962:VRU852033 VHY851962:VHY852033 UYC851962:UYC852033 UOG851962:UOG852033 UEK851962:UEK852033 TUO851962:TUO852033 TKS851962:TKS852033 TAW851962:TAW852033 SRA851962:SRA852033 SHE851962:SHE852033 RXI851962:RXI852033 RNM851962:RNM852033 RDQ851962:RDQ852033 QTU851962:QTU852033 QJY851962:QJY852033 QAC851962:QAC852033 PQG851962:PQG852033 PGK851962:PGK852033 OWO851962:OWO852033 OMS851962:OMS852033 OCW851962:OCW852033 NTA851962:NTA852033 NJE851962:NJE852033 MZI851962:MZI852033 MPM851962:MPM852033 MFQ851962:MFQ852033 LVU851962:LVU852033 LLY851962:LLY852033 LCC851962:LCC852033 KSG851962:KSG852033 KIK851962:KIK852033 JYO851962:JYO852033 JOS851962:JOS852033 JEW851962:JEW852033 IVA851962:IVA852033 ILE851962:ILE852033 IBI851962:IBI852033 HRM851962:HRM852033 HHQ851962:HHQ852033 GXU851962:GXU852033 GNY851962:GNY852033 GEC851962:GEC852033 FUG851962:FUG852033 FKK851962:FKK852033 FAO851962:FAO852033 EQS851962:EQS852033 EGW851962:EGW852033 DXA851962:DXA852033 DNE851962:DNE852033 DDI851962:DDI852033 CTM851962:CTM852033 CJQ851962:CJQ852033 BZU851962:BZU852033 BPY851962:BPY852033 BGC851962:BGC852033 AWG851962:AWG852033 AMK851962:AMK852033 ACO851962:ACO852033 SS851962:SS852033 IW851962:IW852033 A851962:A852033 WVI786426:WVI786497 WLM786426:WLM786497 WBQ786426:WBQ786497 VRU786426:VRU786497 VHY786426:VHY786497 UYC786426:UYC786497 UOG786426:UOG786497 UEK786426:UEK786497 TUO786426:TUO786497 TKS786426:TKS786497 TAW786426:TAW786497 SRA786426:SRA786497 SHE786426:SHE786497 RXI786426:RXI786497 RNM786426:RNM786497 RDQ786426:RDQ786497 QTU786426:QTU786497 QJY786426:QJY786497 QAC786426:QAC786497 PQG786426:PQG786497 PGK786426:PGK786497 OWO786426:OWO786497 OMS786426:OMS786497 OCW786426:OCW786497 NTA786426:NTA786497 NJE786426:NJE786497 MZI786426:MZI786497 MPM786426:MPM786497 MFQ786426:MFQ786497 LVU786426:LVU786497 LLY786426:LLY786497 LCC786426:LCC786497 KSG786426:KSG786497 KIK786426:KIK786497 JYO786426:JYO786497 JOS786426:JOS786497 JEW786426:JEW786497 IVA786426:IVA786497 ILE786426:ILE786497 IBI786426:IBI786497 HRM786426:HRM786497 HHQ786426:HHQ786497 GXU786426:GXU786497 GNY786426:GNY786497 GEC786426:GEC786497 FUG786426:FUG786497 FKK786426:FKK786497 FAO786426:FAO786497 EQS786426:EQS786497 EGW786426:EGW786497 DXA786426:DXA786497 DNE786426:DNE786497 DDI786426:DDI786497 CTM786426:CTM786497 CJQ786426:CJQ786497 BZU786426:BZU786497 BPY786426:BPY786497 BGC786426:BGC786497 AWG786426:AWG786497 AMK786426:AMK786497 ACO786426:ACO786497 SS786426:SS786497 IW786426:IW786497 A786426:A786497 WVI720890:WVI720961 WLM720890:WLM720961 WBQ720890:WBQ720961 VRU720890:VRU720961 VHY720890:VHY720961 UYC720890:UYC720961 UOG720890:UOG720961 UEK720890:UEK720961 TUO720890:TUO720961 TKS720890:TKS720961 TAW720890:TAW720961 SRA720890:SRA720961 SHE720890:SHE720961 RXI720890:RXI720961 RNM720890:RNM720961 RDQ720890:RDQ720961 QTU720890:QTU720961 QJY720890:QJY720961 QAC720890:QAC720961 PQG720890:PQG720961 PGK720890:PGK720961 OWO720890:OWO720961 OMS720890:OMS720961 OCW720890:OCW720961 NTA720890:NTA720961 NJE720890:NJE720961 MZI720890:MZI720961 MPM720890:MPM720961 MFQ720890:MFQ720961 LVU720890:LVU720961 LLY720890:LLY720961 LCC720890:LCC720961 KSG720890:KSG720961 KIK720890:KIK720961 JYO720890:JYO720961 JOS720890:JOS720961 JEW720890:JEW720961 IVA720890:IVA720961 ILE720890:ILE720961 IBI720890:IBI720961 HRM720890:HRM720961 HHQ720890:HHQ720961 GXU720890:GXU720961 GNY720890:GNY720961 GEC720890:GEC720961 FUG720890:FUG720961 FKK720890:FKK720961 FAO720890:FAO720961 EQS720890:EQS720961 EGW720890:EGW720961 DXA720890:DXA720961 DNE720890:DNE720961 DDI720890:DDI720961 CTM720890:CTM720961 CJQ720890:CJQ720961 BZU720890:BZU720961 BPY720890:BPY720961 BGC720890:BGC720961 AWG720890:AWG720961 AMK720890:AMK720961 ACO720890:ACO720961 SS720890:SS720961 IW720890:IW720961 A720890:A720961 WVI655354:WVI655425 WLM655354:WLM655425 WBQ655354:WBQ655425 VRU655354:VRU655425 VHY655354:VHY655425 UYC655354:UYC655425 UOG655354:UOG655425 UEK655354:UEK655425 TUO655354:TUO655425 TKS655354:TKS655425 TAW655354:TAW655425 SRA655354:SRA655425 SHE655354:SHE655425 RXI655354:RXI655425 RNM655354:RNM655425 RDQ655354:RDQ655425 QTU655354:QTU655425 QJY655354:QJY655425 QAC655354:QAC655425 PQG655354:PQG655425 PGK655354:PGK655425 OWO655354:OWO655425 OMS655354:OMS655425 OCW655354:OCW655425 NTA655354:NTA655425 NJE655354:NJE655425 MZI655354:MZI655425 MPM655354:MPM655425 MFQ655354:MFQ655425 LVU655354:LVU655425 LLY655354:LLY655425 LCC655354:LCC655425 KSG655354:KSG655425 KIK655354:KIK655425 JYO655354:JYO655425 JOS655354:JOS655425 JEW655354:JEW655425 IVA655354:IVA655425 ILE655354:ILE655425 IBI655354:IBI655425 HRM655354:HRM655425 HHQ655354:HHQ655425 GXU655354:GXU655425 GNY655354:GNY655425 GEC655354:GEC655425 FUG655354:FUG655425 FKK655354:FKK655425 FAO655354:FAO655425 EQS655354:EQS655425 EGW655354:EGW655425 DXA655354:DXA655425 DNE655354:DNE655425 DDI655354:DDI655425 CTM655354:CTM655425 CJQ655354:CJQ655425 BZU655354:BZU655425 BPY655354:BPY655425 BGC655354:BGC655425 AWG655354:AWG655425 AMK655354:AMK655425 ACO655354:ACO655425 SS655354:SS655425 IW655354:IW655425 A655354:A655425 WVI589818:WVI589889 WLM589818:WLM589889 WBQ589818:WBQ589889 VRU589818:VRU589889 VHY589818:VHY589889 UYC589818:UYC589889 UOG589818:UOG589889 UEK589818:UEK589889 TUO589818:TUO589889 TKS589818:TKS589889 TAW589818:TAW589889 SRA589818:SRA589889 SHE589818:SHE589889 RXI589818:RXI589889 RNM589818:RNM589889 RDQ589818:RDQ589889 QTU589818:QTU589889 QJY589818:QJY589889 QAC589818:QAC589889 PQG589818:PQG589889 PGK589818:PGK589889 OWO589818:OWO589889 OMS589818:OMS589889 OCW589818:OCW589889 NTA589818:NTA589889 NJE589818:NJE589889 MZI589818:MZI589889 MPM589818:MPM589889 MFQ589818:MFQ589889 LVU589818:LVU589889 LLY589818:LLY589889 LCC589818:LCC589889 KSG589818:KSG589889 KIK589818:KIK589889 JYO589818:JYO589889 JOS589818:JOS589889 JEW589818:JEW589889 IVA589818:IVA589889 ILE589818:ILE589889 IBI589818:IBI589889 HRM589818:HRM589889 HHQ589818:HHQ589889 GXU589818:GXU589889 GNY589818:GNY589889 GEC589818:GEC589889 FUG589818:FUG589889 FKK589818:FKK589889 FAO589818:FAO589889 EQS589818:EQS589889 EGW589818:EGW589889 DXA589818:DXA589889 DNE589818:DNE589889 DDI589818:DDI589889 CTM589818:CTM589889 CJQ589818:CJQ589889 BZU589818:BZU589889 BPY589818:BPY589889 BGC589818:BGC589889 AWG589818:AWG589889 AMK589818:AMK589889 ACO589818:ACO589889 SS589818:SS589889 IW589818:IW589889 A589818:A589889 WVI524282:WVI524353 WLM524282:WLM524353 WBQ524282:WBQ524353 VRU524282:VRU524353 VHY524282:VHY524353 UYC524282:UYC524353 UOG524282:UOG524353 UEK524282:UEK524353 TUO524282:TUO524353 TKS524282:TKS524353 TAW524282:TAW524353 SRA524282:SRA524353 SHE524282:SHE524353 RXI524282:RXI524353 RNM524282:RNM524353 RDQ524282:RDQ524353 QTU524282:QTU524353 QJY524282:QJY524353 QAC524282:QAC524353 PQG524282:PQG524353 PGK524282:PGK524353 OWO524282:OWO524353 OMS524282:OMS524353 OCW524282:OCW524353 NTA524282:NTA524353 NJE524282:NJE524353 MZI524282:MZI524353 MPM524282:MPM524353 MFQ524282:MFQ524353 LVU524282:LVU524353 LLY524282:LLY524353 LCC524282:LCC524353 KSG524282:KSG524353 KIK524282:KIK524353 JYO524282:JYO524353 JOS524282:JOS524353 JEW524282:JEW524353 IVA524282:IVA524353 ILE524282:ILE524353 IBI524282:IBI524353 HRM524282:HRM524353 HHQ524282:HHQ524353 GXU524282:GXU524353 GNY524282:GNY524353 GEC524282:GEC524353 FUG524282:FUG524353 FKK524282:FKK524353 FAO524282:FAO524353 EQS524282:EQS524353 EGW524282:EGW524353 DXA524282:DXA524353 DNE524282:DNE524353 DDI524282:DDI524353 CTM524282:CTM524353 CJQ524282:CJQ524353 BZU524282:BZU524353 BPY524282:BPY524353 BGC524282:BGC524353 AWG524282:AWG524353 AMK524282:AMK524353 ACO524282:ACO524353 SS524282:SS524353 IW524282:IW524353 A524282:A524353 WVI458746:WVI458817 WLM458746:WLM458817 WBQ458746:WBQ458817 VRU458746:VRU458817 VHY458746:VHY458817 UYC458746:UYC458817 UOG458746:UOG458817 UEK458746:UEK458817 TUO458746:TUO458817 TKS458746:TKS458817 TAW458746:TAW458817 SRA458746:SRA458817 SHE458746:SHE458817 RXI458746:RXI458817 RNM458746:RNM458817 RDQ458746:RDQ458817 QTU458746:QTU458817 QJY458746:QJY458817 QAC458746:QAC458817 PQG458746:PQG458817 PGK458746:PGK458817 OWO458746:OWO458817 OMS458746:OMS458817 OCW458746:OCW458817 NTA458746:NTA458817 NJE458746:NJE458817 MZI458746:MZI458817 MPM458746:MPM458817 MFQ458746:MFQ458817 LVU458746:LVU458817 LLY458746:LLY458817 LCC458746:LCC458817 KSG458746:KSG458817 KIK458746:KIK458817 JYO458746:JYO458817 JOS458746:JOS458817 JEW458746:JEW458817 IVA458746:IVA458817 ILE458746:ILE458817 IBI458746:IBI458817 HRM458746:HRM458817 HHQ458746:HHQ458817 GXU458746:GXU458817 GNY458746:GNY458817 GEC458746:GEC458817 FUG458746:FUG458817 FKK458746:FKK458817 FAO458746:FAO458817 EQS458746:EQS458817 EGW458746:EGW458817 DXA458746:DXA458817 DNE458746:DNE458817 DDI458746:DDI458817 CTM458746:CTM458817 CJQ458746:CJQ458817 BZU458746:BZU458817 BPY458746:BPY458817 BGC458746:BGC458817 AWG458746:AWG458817 AMK458746:AMK458817 ACO458746:ACO458817 SS458746:SS458817 IW458746:IW458817 A458746:A458817 WVI393210:WVI393281 WLM393210:WLM393281 WBQ393210:WBQ393281 VRU393210:VRU393281 VHY393210:VHY393281 UYC393210:UYC393281 UOG393210:UOG393281 UEK393210:UEK393281 TUO393210:TUO393281 TKS393210:TKS393281 TAW393210:TAW393281 SRA393210:SRA393281 SHE393210:SHE393281 RXI393210:RXI393281 RNM393210:RNM393281 RDQ393210:RDQ393281 QTU393210:QTU393281 QJY393210:QJY393281 QAC393210:QAC393281 PQG393210:PQG393281 PGK393210:PGK393281 OWO393210:OWO393281 OMS393210:OMS393281 OCW393210:OCW393281 NTA393210:NTA393281 NJE393210:NJE393281 MZI393210:MZI393281 MPM393210:MPM393281 MFQ393210:MFQ393281 LVU393210:LVU393281 LLY393210:LLY393281 LCC393210:LCC393281 KSG393210:KSG393281 KIK393210:KIK393281 JYO393210:JYO393281 JOS393210:JOS393281 JEW393210:JEW393281 IVA393210:IVA393281 ILE393210:ILE393281 IBI393210:IBI393281 HRM393210:HRM393281 HHQ393210:HHQ393281 GXU393210:GXU393281 GNY393210:GNY393281 GEC393210:GEC393281 FUG393210:FUG393281 FKK393210:FKK393281 FAO393210:FAO393281 EQS393210:EQS393281 EGW393210:EGW393281 DXA393210:DXA393281 DNE393210:DNE393281 DDI393210:DDI393281 CTM393210:CTM393281 CJQ393210:CJQ393281 BZU393210:BZU393281 BPY393210:BPY393281 BGC393210:BGC393281 AWG393210:AWG393281 AMK393210:AMK393281 ACO393210:ACO393281 SS393210:SS393281 IW393210:IW393281 A393210:A393281 WVI327674:WVI327745 WLM327674:WLM327745 WBQ327674:WBQ327745 VRU327674:VRU327745 VHY327674:VHY327745 UYC327674:UYC327745 UOG327674:UOG327745 UEK327674:UEK327745 TUO327674:TUO327745 TKS327674:TKS327745 TAW327674:TAW327745 SRA327674:SRA327745 SHE327674:SHE327745 RXI327674:RXI327745 RNM327674:RNM327745 RDQ327674:RDQ327745 QTU327674:QTU327745 QJY327674:QJY327745 QAC327674:QAC327745 PQG327674:PQG327745 PGK327674:PGK327745 OWO327674:OWO327745 OMS327674:OMS327745 OCW327674:OCW327745 NTA327674:NTA327745 NJE327674:NJE327745 MZI327674:MZI327745 MPM327674:MPM327745 MFQ327674:MFQ327745 LVU327674:LVU327745 LLY327674:LLY327745 LCC327674:LCC327745 KSG327674:KSG327745 KIK327674:KIK327745 JYO327674:JYO327745 JOS327674:JOS327745 JEW327674:JEW327745 IVA327674:IVA327745 ILE327674:ILE327745 IBI327674:IBI327745 HRM327674:HRM327745 HHQ327674:HHQ327745 GXU327674:GXU327745 GNY327674:GNY327745 GEC327674:GEC327745 FUG327674:FUG327745 FKK327674:FKK327745 FAO327674:FAO327745 EQS327674:EQS327745 EGW327674:EGW327745 DXA327674:DXA327745 DNE327674:DNE327745 DDI327674:DDI327745 CTM327674:CTM327745 CJQ327674:CJQ327745 BZU327674:BZU327745 BPY327674:BPY327745 BGC327674:BGC327745 AWG327674:AWG327745 AMK327674:AMK327745 ACO327674:ACO327745 SS327674:SS327745 IW327674:IW327745 A327674:A327745 WVI262138:WVI262209 WLM262138:WLM262209 WBQ262138:WBQ262209 VRU262138:VRU262209 VHY262138:VHY262209 UYC262138:UYC262209 UOG262138:UOG262209 UEK262138:UEK262209 TUO262138:TUO262209 TKS262138:TKS262209 TAW262138:TAW262209 SRA262138:SRA262209 SHE262138:SHE262209 RXI262138:RXI262209 RNM262138:RNM262209 RDQ262138:RDQ262209 QTU262138:QTU262209 QJY262138:QJY262209 QAC262138:QAC262209 PQG262138:PQG262209 PGK262138:PGK262209 OWO262138:OWO262209 OMS262138:OMS262209 OCW262138:OCW262209 NTA262138:NTA262209 NJE262138:NJE262209 MZI262138:MZI262209 MPM262138:MPM262209 MFQ262138:MFQ262209 LVU262138:LVU262209 LLY262138:LLY262209 LCC262138:LCC262209 KSG262138:KSG262209 KIK262138:KIK262209 JYO262138:JYO262209 JOS262138:JOS262209 JEW262138:JEW262209 IVA262138:IVA262209 ILE262138:ILE262209 IBI262138:IBI262209 HRM262138:HRM262209 HHQ262138:HHQ262209 GXU262138:GXU262209 GNY262138:GNY262209 GEC262138:GEC262209 FUG262138:FUG262209 FKK262138:FKK262209 FAO262138:FAO262209 EQS262138:EQS262209 EGW262138:EGW262209 DXA262138:DXA262209 DNE262138:DNE262209 DDI262138:DDI262209 CTM262138:CTM262209 CJQ262138:CJQ262209 BZU262138:BZU262209 BPY262138:BPY262209 BGC262138:BGC262209 AWG262138:AWG262209 AMK262138:AMK262209 ACO262138:ACO262209 SS262138:SS262209 IW262138:IW262209 A262138:A262209 WVI196602:WVI196673 WLM196602:WLM196673 WBQ196602:WBQ196673 VRU196602:VRU196673 VHY196602:VHY196673 UYC196602:UYC196673 UOG196602:UOG196673 UEK196602:UEK196673 TUO196602:TUO196673 TKS196602:TKS196673 TAW196602:TAW196673 SRA196602:SRA196673 SHE196602:SHE196673 RXI196602:RXI196673 RNM196602:RNM196673 RDQ196602:RDQ196673 QTU196602:QTU196673 QJY196602:QJY196673 QAC196602:QAC196673 PQG196602:PQG196673 PGK196602:PGK196673 OWO196602:OWO196673 OMS196602:OMS196673 OCW196602:OCW196673 NTA196602:NTA196673 NJE196602:NJE196673 MZI196602:MZI196673 MPM196602:MPM196673 MFQ196602:MFQ196673 LVU196602:LVU196673 LLY196602:LLY196673 LCC196602:LCC196673 KSG196602:KSG196673 KIK196602:KIK196673 JYO196602:JYO196673 JOS196602:JOS196673 JEW196602:JEW196673 IVA196602:IVA196673 ILE196602:ILE196673 IBI196602:IBI196673 HRM196602:HRM196673 HHQ196602:HHQ196673 GXU196602:GXU196673 GNY196602:GNY196673 GEC196602:GEC196673 FUG196602:FUG196673 FKK196602:FKK196673 FAO196602:FAO196673 EQS196602:EQS196673 EGW196602:EGW196673 DXA196602:DXA196673 DNE196602:DNE196673 DDI196602:DDI196673 CTM196602:CTM196673 CJQ196602:CJQ196673 BZU196602:BZU196673 BPY196602:BPY196673 BGC196602:BGC196673 AWG196602:AWG196673 AMK196602:AMK196673 ACO196602:ACO196673 SS196602:SS196673 IW196602:IW196673 A196602:A196673 WVI131066:WVI131137 WLM131066:WLM131137 WBQ131066:WBQ131137 VRU131066:VRU131137 VHY131066:VHY131137 UYC131066:UYC131137 UOG131066:UOG131137 UEK131066:UEK131137 TUO131066:TUO131137 TKS131066:TKS131137 TAW131066:TAW131137 SRA131066:SRA131137 SHE131066:SHE131137 RXI131066:RXI131137 RNM131066:RNM131137 RDQ131066:RDQ131137 QTU131066:QTU131137 QJY131066:QJY131137 QAC131066:QAC131137 PQG131066:PQG131137 PGK131066:PGK131137 OWO131066:OWO131137 OMS131066:OMS131137 OCW131066:OCW131137 NTA131066:NTA131137 NJE131066:NJE131137 MZI131066:MZI131137 MPM131066:MPM131137 MFQ131066:MFQ131137 LVU131066:LVU131137 LLY131066:LLY131137 LCC131066:LCC131137 KSG131066:KSG131137 KIK131066:KIK131137 JYO131066:JYO131137 JOS131066:JOS131137 JEW131066:JEW131137 IVA131066:IVA131137 ILE131066:ILE131137 IBI131066:IBI131137 HRM131066:HRM131137 HHQ131066:HHQ131137 GXU131066:GXU131137 GNY131066:GNY131137 GEC131066:GEC131137 FUG131066:FUG131137 FKK131066:FKK131137 FAO131066:FAO131137 EQS131066:EQS131137 EGW131066:EGW131137 DXA131066:DXA131137 DNE131066:DNE131137 DDI131066:DDI131137 CTM131066:CTM131137 CJQ131066:CJQ131137 BZU131066:BZU131137 BPY131066:BPY131137 BGC131066:BGC131137 AWG131066:AWG131137 AMK131066:AMK131137 ACO131066:ACO131137 SS131066:SS131137 IW131066:IW131137 A131066:A131137 WVI65530:WVI65601 WLM65530:WLM65601 WBQ65530:WBQ65601 VRU65530:VRU65601 VHY65530:VHY65601 UYC65530:UYC65601 UOG65530:UOG65601 UEK65530:UEK65601 TUO65530:TUO65601 TKS65530:TKS65601 TAW65530:TAW65601 SRA65530:SRA65601 SHE65530:SHE65601 RXI65530:RXI65601 RNM65530:RNM65601 RDQ65530:RDQ65601 QTU65530:QTU65601 QJY65530:QJY65601 QAC65530:QAC65601 PQG65530:PQG65601 PGK65530:PGK65601 OWO65530:OWO65601 OMS65530:OMS65601 OCW65530:OCW65601 NTA65530:NTA65601 NJE65530:NJE65601 MZI65530:MZI65601 MPM65530:MPM65601 MFQ65530:MFQ65601 LVU65530:LVU65601 LLY65530:LLY65601 LCC65530:LCC65601 KSG65530:KSG65601 KIK65530:KIK65601 JYO65530:JYO65601 JOS65530:JOS65601 JEW65530:JEW65601 IVA65530:IVA65601 ILE65530:ILE65601 IBI65530:IBI65601 HRM65530:HRM65601 HHQ65530:HHQ65601 GXU65530:GXU65601 GNY65530:GNY65601 GEC65530:GEC65601 FUG65530:FUG65601 FKK65530:FKK65601 FAO65530:FAO65601 EQS65530:EQS65601 EGW65530:EGW65601 DXA65530:DXA65601 DNE65530:DNE65601 DDI65530:DDI65601 CTM65530:CTM65601 CJQ65530:CJQ65601 BZU65530:BZU65601 BPY65530:BPY65601 BGC65530:BGC65601 AWG65530:AWG65601 AMK65530:AMK65601 ACO65530:ACO65601 SS65530:SS65601 IW65530:IW65601 A65530:A65601 WVI983034:WVI983105 WVI1047395:WVI1047460 WLM1047395:WLM1047460 WBQ1047395:WBQ1047460 VRU1047395:VRU1047460 VHY1047395:VHY1047460 UYC1047395:UYC1047460 UOG1047395:UOG1047460 UEK1047395:UEK1047460 TUO1047395:TUO1047460 TKS1047395:TKS1047460 TAW1047395:TAW1047460 SRA1047395:SRA1047460 SHE1047395:SHE1047460 RXI1047395:RXI1047460 RNM1047395:RNM1047460 RDQ1047395:RDQ1047460 QTU1047395:QTU1047460 QJY1047395:QJY1047460 QAC1047395:QAC1047460 PQG1047395:PQG1047460 PGK1047395:PGK1047460 OWO1047395:OWO1047460 OMS1047395:OMS1047460 OCW1047395:OCW1047460 NTA1047395:NTA1047460 NJE1047395:NJE1047460 MZI1047395:MZI1047460 MPM1047395:MPM1047460 MFQ1047395:MFQ1047460 LVU1047395:LVU1047460 LLY1047395:LLY1047460 LCC1047395:LCC1047460 KSG1047395:KSG1047460 KIK1047395:KIK1047460 JYO1047395:JYO1047460 JOS1047395:JOS1047460 JEW1047395:JEW1047460 IVA1047395:IVA1047460 ILE1047395:ILE1047460 IBI1047395:IBI1047460 HRM1047395:HRM1047460 HHQ1047395:HHQ1047460 GXU1047395:GXU1047460 GNY1047395:GNY1047460 GEC1047395:GEC1047460 FUG1047395:FUG1047460 FKK1047395:FKK1047460 FAO1047395:FAO1047460 EQS1047395:EQS1047460 EGW1047395:EGW1047460 DXA1047395:DXA1047460 DNE1047395:DNE1047460 DDI1047395:DDI1047460 CTM1047395:CTM1047460 CJQ1047395:CJQ1047460 BZU1047395:BZU1047460 BPY1047395:BPY1047460 BGC1047395:BGC1047460 AWG1047395:AWG1047460 AMK1047395:AMK1047460 ACO1047395:ACO1047460 SS1047395:SS1047460 IW1047395:IW1047460 A1047395:A1047460 WVI981859:WVI981924 WLM981859:WLM981924 WBQ981859:WBQ981924 VRU981859:VRU981924 VHY981859:VHY981924 UYC981859:UYC981924 UOG981859:UOG981924 UEK981859:UEK981924 TUO981859:TUO981924 TKS981859:TKS981924 TAW981859:TAW981924 SRA981859:SRA981924 SHE981859:SHE981924 RXI981859:RXI981924 RNM981859:RNM981924 RDQ981859:RDQ981924 QTU981859:QTU981924 QJY981859:QJY981924 QAC981859:QAC981924 PQG981859:PQG981924 PGK981859:PGK981924 OWO981859:OWO981924 OMS981859:OMS981924 OCW981859:OCW981924 NTA981859:NTA981924 NJE981859:NJE981924 MZI981859:MZI981924 MPM981859:MPM981924 MFQ981859:MFQ981924 LVU981859:LVU981924 LLY981859:LLY981924 LCC981859:LCC981924 KSG981859:KSG981924 KIK981859:KIK981924 JYO981859:JYO981924 JOS981859:JOS981924 JEW981859:JEW981924 IVA981859:IVA981924 ILE981859:ILE981924 IBI981859:IBI981924 HRM981859:HRM981924 HHQ981859:HHQ981924 GXU981859:GXU981924 GNY981859:GNY981924 GEC981859:GEC981924 FUG981859:FUG981924 FKK981859:FKK981924 FAO981859:FAO981924 EQS981859:EQS981924 EGW981859:EGW981924 DXA981859:DXA981924 DNE981859:DNE981924 DDI981859:DDI981924 CTM981859:CTM981924 CJQ981859:CJQ981924 BZU981859:BZU981924 BPY981859:BPY981924 BGC981859:BGC981924 AWG981859:AWG981924 AMK981859:AMK981924 ACO981859:ACO981924 SS981859:SS981924 IW981859:IW981924 A981859:A981924 WVI916323:WVI916388 WLM916323:WLM916388 WBQ916323:WBQ916388 VRU916323:VRU916388 VHY916323:VHY916388 UYC916323:UYC916388 UOG916323:UOG916388 UEK916323:UEK916388 TUO916323:TUO916388 TKS916323:TKS916388 TAW916323:TAW916388 SRA916323:SRA916388 SHE916323:SHE916388 RXI916323:RXI916388 RNM916323:RNM916388 RDQ916323:RDQ916388 QTU916323:QTU916388 QJY916323:QJY916388 QAC916323:QAC916388 PQG916323:PQG916388 PGK916323:PGK916388 OWO916323:OWO916388 OMS916323:OMS916388 OCW916323:OCW916388 NTA916323:NTA916388 NJE916323:NJE916388 MZI916323:MZI916388 MPM916323:MPM916388 MFQ916323:MFQ916388 LVU916323:LVU916388 LLY916323:LLY916388 LCC916323:LCC916388 KSG916323:KSG916388 KIK916323:KIK916388 JYO916323:JYO916388 JOS916323:JOS916388 JEW916323:JEW916388 IVA916323:IVA916388 ILE916323:ILE916388 IBI916323:IBI916388 HRM916323:HRM916388 HHQ916323:HHQ916388 GXU916323:GXU916388 GNY916323:GNY916388 GEC916323:GEC916388 FUG916323:FUG916388 FKK916323:FKK916388 FAO916323:FAO916388 EQS916323:EQS916388 EGW916323:EGW916388 DXA916323:DXA916388 DNE916323:DNE916388 DDI916323:DDI916388 CTM916323:CTM916388 CJQ916323:CJQ916388 BZU916323:BZU916388 BPY916323:BPY916388 BGC916323:BGC916388 AWG916323:AWG916388 AMK916323:AMK916388 ACO916323:ACO916388 SS916323:SS916388 IW916323:IW916388 A916323:A916388 WVI850787:WVI850852 WLM850787:WLM850852 WBQ850787:WBQ850852 VRU850787:VRU850852 VHY850787:VHY850852 UYC850787:UYC850852 UOG850787:UOG850852 UEK850787:UEK850852 TUO850787:TUO850852 TKS850787:TKS850852 TAW850787:TAW850852 SRA850787:SRA850852 SHE850787:SHE850852 RXI850787:RXI850852 RNM850787:RNM850852 RDQ850787:RDQ850852 QTU850787:QTU850852 QJY850787:QJY850852 QAC850787:QAC850852 PQG850787:PQG850852 PGK850787:PGK850852 OWO850787:OWO850852 OMS850787:OMS850852 OCW850787:OCW850852 NTA850787:NTA850852 NJE850787:NJE850852 MZI850787:MZI850852 MPM850787:MPM850852 MFQ850787:MFQ850852 LVU850787:LVU850852 LLY850787:LLY850852 LCC850787:LCC850852 KSG850787:KSG850852 KIK850787:KIK850852 JYO850787:JYO850852 JOS850787:JOS850852 JEW850787:JEW850852 IVA850787:IVA850852 ILE850787:ILE850852 IBI850787:IBI850852 HRM850787:HRM850852 HHQ850787:HHQ850852 GXU850787:GXU850852 GNY850787:GNY850852 GEC850787:GEC850852 FUG850787:FUG850852 FKK850787:FKK850852 FAO850787:FAO850852 EQS850787:EQS850852 EGW850787:EGW850852 DXA850787:DXA850852 DNE850787:DNE850852 DDI850787:DDI850852 CTM850787:CTM850852 CJQ850787:CJQ850852 BZU850787:BZU850852 BPY850787:BPY850852 BGC850787:BGC850852 AWG850787:AWG850852 AMK850787:AMK850852 ACO850787:ACO850852 SS850787:SS850852 IW850787:IW850852 A850787:A850852 WVI785251:WVI785316 WLM785251:WLM785316 WBQ785251:WBQ785316 VRU785251:VRU785316 VHY785251:VHY785316 UYC785251:UYC785316 UOG785251:UOG785316 UEK785251:UEK785316 TUO785251:TUO785316 TKS785251:TKS785316 TAW785251:TAW785316 SRA785251:SRA785316 SHE785251:SHE785316 RXI785251:RXI785316 RNM785251:RNM785316 RDQ785251:RDQ785316 QTU785251:QTU785316 QJY785251:QJY785316 QAC785251:QAC785316 PQG785251:PQG785316 PGK785251:PGK785316 OWO785251:OWO785316 OMS785251:OMS785316 OCW785251:OCW785316 NTA785251:NTA785316 NJE785251:NJE785316 MZI785251:MZI785316 MPM785251:MPM785316 MFQ785251:MFQ785316 LVU785251:LVU785316 LLY785251:LLY785316 LCC785251:LCC785316 KSG785251:KSG785316 KIK785251:KIK785316 JYO785251:JYO785316 JOS785251:JOS785316 JEW785251:JEW785316 IVA785251:IVA785316 ILE785251:ILE785316 IBI785251:IBI785316 HRM785251:HRM785316 HHQ785251:HHQ785316 GXU785251:GXU785316 GNY785251:GNY785316 GEC785251:GEC785316 FUG785251:FUG785316 FKK785251:FKK785316 FAO785251:FAO785316 EQS785251:EQS785316 EGW785251:EGW785316 DXA785251:DXA785316 DNE785251:DNE785316 DDI785251:DDI785316 CTM785251:CTM785316 CJQ785251:CJQ785316 BZU785251:BZU785316 BPY785251:BPY785316 BGC785251:BGC785316 AWG785251:AWG785316 AMK785251:AMK785316 ACO785251:ACO785316 SS785251:SS785316 IW785251:IW785316 A785251:A785316 WVI719715:WVI719780 WLM719715:WLM719780 WBQ719715:WBQ719780 VRU719715:VRU719780 VHY719715:VHY719780 UYC719715:UYC719780 UOG719715:UOG719780 UEK719715:UEK719780 TUO719715:TUO719780 TKS719715:TKS719780 TAW719715:TAW719780 SRA719715:SRA719780 SHE719715:SHE719780 RXI719715:RXI719780 RNM719715:RNM719780 RDQ719715:RDQ719780 QTU719715:QTU719780 QJY719715:QJY719780 QAC719715:QAC719780 PQG719715:PQG719780 PGK719715:PGK719780 OWO719715:OWO719780 OMS719715:OMS719780 OCW719715:OCW719780 NTA719715:NTA719780 NJE719715:NJE719780 MZI719715:MZI719780 MPM719715:MPM719780 MFQ719715:MFQ719780 LVU719715:LVU719780 LLY719715:LLY719780 LCC719715:LCC719780 KSG719715:KSG719780 KIK719715:KIK719780 JYO719715:JYO719780 JOS719715:JOS719780 JEW719715:JEW719780 IVA719715:IVA719780 ILE719715:ILE719780 IBI719715:IBI719780 HRM719715:HRM719780 HHQ719715:HHQ719780 GXU719715:GXU719780 GNY719715:GNY719780 GEC719715:GEC719780 FUG719715:FUG719780 FKK719715:FKK719780 FAO719715:FAO719780 EQS719715:EQS719780 EGW719715:EGW719780 DXA719715:DXA719780 DNE719715:DNE719780 DDI719715:DDI719780 CTM719715:CTM719780 CJQ719715:CJQ719780 BZU719715:BZU719780 BPY719715:BPY719780 BGC719715:BGC719780 AWG719715:AWG719780 AMK719715:AMK719780 ACO719715:ACO719780 SS719715:SS719780 IW719715:IW719780 A719715:A719780 WVI654179:WVI654244 WLM654179:WLM654244 WBQ654179:WBQ654244 VRU654179:VRU654244 VHY654179:VHY654244 UYC654179:UYC654244 UOG654179:UOG654244 UEK654179:UEK654244 TUO654179:TUO654244 TKS654179:TKS654244 TAW654179:TAW654244 SRA654179:SRA654244 SHE654179:SHE654244 RXI654179:RXI654244 RNM654179:RNM654244 RDQ654179:RDQ654244 QTU654179:QTU654244 QJY654179:QJY654244 QAC654179:QAC654244 PQG654179:PQG654244 PGK654179:PGK654244 OWO654179:OWO654244 OMS654179:OMS654244 OCW654179:OCW654244 NTA654179:NTA654244 NJE654179:NJE654244 MZI654179:MZI654244 MPM654179:MPM654244 MFQ654179:MFQ654244 LVU654179:LVU654244 LLY654179:LLY654244 LCC654179:LCC654244 KSG654179:KSG654244 KIK654179:KIK654244 JYO654179:JYO654244 JOS654179:JOS654244 JEW654179:JEW654244 IVA654179:IVA654244 ILE654179:ILE654244 IBI654179:IBI654244 HRM654179:HRM654244 HHQ654179:HHQ654244 GXU654179:GXU654244 GNY654179:GNY654244 GEC654179:GEC654244 FUG654179:FUG654244 FKK654179:FKK654244 FAO654179:FAO654244 EQS654179:EQS654244 EGW654179:EGW654244 DXA654179:DXA654244 DNE654179:DNE654244 DDI654179:DDI654244 CTM654179:CTM654244 CJQ654179:CJQ654244 BZU654179:BZU654244 BPY654179:BPY654244 BGC654179:BGC654244 AWG654179:AWG654244 AMK654179:AMK654244 ACO654179:ACO654244 SS654179:SS654244 IW654179:IW654244 A654179:A654244 WVI588643:WVI588708 WLM588643:WLM588708 WBQ588643:WBQ588708 VRU588643:VRU588708 VHY588643:VHY588708 UYC588643:UYC588708 UOG588643:UOG588708 UEK588643:UEK588708 TUO588643:TUO588708 TKS588643:TKS588708 TAW588643:TAW588708 SRA588643:SRA588708 SHE588643:SHE588708 RXI588643:RXI588708 RNM588643:RNM588708 RDQ588643:RDQ588708 QTU588643:QTU588708 QJY588643:QJY588708 QAC588643:QAC588708 PQG588643:PQG588708 PGK588643:PGK588708 OWO588643:OWO588708 OMS588643:OMS588708 OCW588643:OCW588708 NTA588643:NTA588708 NJE588643:NJE588708 MZI588643:MZI588708 MPM588643:MPM588708 MFQ588643:MFQ588708 LVU588643:LVU588708 LLY588643:LLY588708 LCC588643:LCC588708 KSG588643:KSG588708 KIK588643:KIK588708 JYO588643:JYO588708 JOS588643:JOS588708 JEW588643:JEW588708 IVA588643:IVA588708 ILE588643:ILE588708 IBI588643:IBI588708 HRM588643:HRM588708 HHQ588643:HHQ588708 GXU588643:GXU588708 GNY588643:GNY588708 GEC588643:GEC588708 FUG588643:FUG588708 FKK588643:FKK588708 FAO588643:FAO588708 EQS588643:EQS588708 EGW588643:EGW588708 DXA588643:DXA588708 DNE588643:DNE588708 DDI588643:DDI588708 CTM588643:CTM588708 CJQ588643:CJQ588708 BZU588643:BZU588708 BPY588643:BPY588708 BGC588643:BGC588708 AWG588643:AWG588708 AMK588643:AMK588708 ACO588643:ACO588708 SS588643:SS588708 IW588643:IW588708 A588643:A588708 WVI523107:WVI523172 WLM523107:WLM523172 WBQ523107:WBQ523172 VRU523107:VRU523172 VHY523107:VHY523172 UYC523107:UYC523172 UOG523107:UOG523172 UEK523107:UEK523172 TUO523107:TUO523172 TKS523107:TKS523172 TAW523107:TAW523172 SRA523107:SRA523172 SHE523107:SHE523172 RXI523107:RXI523172 RNM523107:RNM523172 RDQ523107:RDQ523172 QTU523107:QTU523172 QJY523107:QJY523172 QAC523107:QAC523172 PQG523107:PQG523172 PGK523107:PGK523172 OWO523107:OWO523172 OMS523107:OMS523172 OCW523107:OCW523172 NTA523107:NTA523172 NJE523107:NJE523172 MZI523107:MZI523172 MPM523107:MPM523172 MFQ523107:MFQ523172 LVU523107:LVU523172 LLY523107:LLY523172 LCC523107:LCC523172 KSG523107:KSG523172 KIK523107:KIK523172 JYO523107:JYO523172 JOS523107:JOS523172 JEW523107:JEW523172 IVA523107:IVA523172 ILE523107:ILE523172 IBI523107:IBI523172 HRM523107:HRM523172 HHQ523107:HHQ523172 GXU523107:GXU523172 GNY523107:GNY523172 GEC523107:GEC523172 FUG523107:FUG523172 FKK523107:FKK523172 FAO523107:FAO523172 EQS523107:EQS523172 EGW523107:EGW523172 DXA523107:DXA523172 DNE523107:DNE523172 DDI523107:DDI523172 CTM523107:CTM523172 CJQ523107:CJQ523172 BZU523107:BZU523172 BPY523107:BPY523172 BGC523107:BGC523172 AWG523107:AWG523172 AMK523107:AMK523172 ACO523107:ACO523172 SS523107:SS523172 IW523107:IW523172 A523107:A523172 WVI457571:WVI457636 WLM457571:WLM457636 WBQ457571:WBQ457636 VRU457571:VRU457636 VHY457571:VHY457636 UYC457571:UYC457636 UOG457571:UOG457636 UEK457571:UEK457636 TUO457571:TUO457636 TKS457571:TKS457636 TAW457571:TAW457636 SRA457571:SRA457636 SHE457571:SHE457636 RXI457571:RXI457636 RNM457571:RNM457636 RDQ457571:RDQ457636 QTU457571:QTU457636 QJY457571:QJY457636 QAC457571:QAC457636 PQG457571:PQG457636 PGK457571:PGK457636 OWO457571:OWO457636 OMS457571:OMS457636 OCW457571:OCW457636 NTA457571:NTA457636 NJE457571:NJE457636 MZI457571:MZI457636 MPM457571:MPM457636 MFQ457571:MFQ457636 LVU457571:LVU457636 LLY457571:LLY457636 LCC457571:LCC457636 KSG457571:KSG457636 KIK457571:KIK457636 JYO457571:JYO457636 JOS457571:JOS457636 JEW457571:JEW457636 IVA457571:IVA457636 ILE457571:ILE457636 IBI457571:IBI457636 HRM457571:HRM457636 HHQ457571:HHQ457636 GXU457571:GXU457636 GNY457571:GNY457636 GEC457571:GEC457636 FUG457571:FUG457636 FKK457571:FKK457636 FAO457571:FAO457636 EQS457571:EQS457636 EGW457571:EGW457636 DXA457571:DXA457636 DNE457571:DNE457636 DDI457571:DDI457636 CTM457571:CTM457636 CJQ457571:CJQ457636 BZU457571:BZU457636 BPY457571:BPY457636 BGC457571:BGC457636 AWG457571:AWG457636 AMK457571:AMK457636 ACO457571:ACO457636 SS457571:SS457636 IW457571:IW457636 A457571:A457636 WVI392035:WVI392100 WLM392035:WLM392100 WBQ392035:WBQ392100 VRU392035:VRU392100 VHY392035:VHY392100 UYC392035:UYC392100 UOG392035:UOG392100 UEK392035:UEK392100 TUO392035:TUO392100 TKS392035:TKS392100 TAW392035:TAW392100 SRA392035:SRA392100 SHE392035:SHE392100 RXI392035:RXI392100 RNM392035:RNM392100 RDQ392035:RDQ392100 QTU392035:QTU392100 QJY392035:QJY392100 QAC392035:QAC392100 PQG392035:PQG392100 PGK392035:PGK392100 OWO392035:OWO392100 OMS392035:OMS392100 OCW392035:OCW392100 NTA392035:NTA392100 NJE392035:NJE392100 MZI392035:MZI392100 MPM392035:MPM392100 MFQ392035:MFQ392100 LVU392035:LVU392100 LLY392035:LLY392100 LCC392035:LCC392100 KSG392035:KSG392100 KIK392035:KIK392100 JYO392035:JYO392100 JOS392035:JOS392100 JEW392035:JEW392100 IVA392035:IVA392100 ILE392035:ILE392100 IBI392035:IBI392100 HRM392035:HRM392100 HHQ392035:HHQ392100 GXU392035:GXU392100 GNY392035:GNY392100 GEC392035:GEC392100 FUG392035:FUG392100 FKK392035:FKK392100 FAO392035:FAO392100 EQS392035:EQS392100 EGW392035:EGW392100 DXA392035:DXA392100 DNE392035:DNE392100 DDI392035:DDI392100 CTM392035:CTM392100 CJQ392035:CJQ392100 BZU392035:BZU392100 BPY392035:BPY392100 BGC392035:BGC392100 AWG392035:AWG392100 AMK392035:AMK392100 ACO392035:ACO392100 SS392035:SS392100 IW392035:IW392100 A392035:A392100 WVI326499:WVI326564 WLM326499:WLM326564 WBQ326499:WBQ326564 VRU326499:VRU326564 VHY326499:VHY326564 UYC326499:UYC326564 UOG326499:UOG326564 UEK326499:UEK326564 TUO326499:TUO326564 TKS326499:TKS326564 TAW326499:TAW326564 SRA326499:SRA326564 SHE326499:SHE326564 RXI326499:RXI326564 RNM326499:RNM326564 RDQ326499:RDQ326564 QTU326499:QTU326564 QJY326499:QJY326564 QAC326499:QAC326564 PQG326499:PQG326564 PGK326499:PGK326564 OWO326499:OWO326564 OMS326499:OMS326564 OCW326499:OCW326564 NTA326499:NTA326564 NJE326499:NJE326564 MZI326499:MZI326564 MPM326499:MPM326564 MFQ326499:MFQ326564 LVU326499:LVU326564 LLY326499:LLY326564 LCC326499:LCC326564 KSG326499:KSG326564 KIK326499:KIK326564 JYO326499:JYO326564 JOS326499:JOS326564 JEW326499:JEW326564 IVA326499:IVA326564 ILE326499:ILE326564 IBI326499:IBI326564 HRM326499:HRM326564 HHQ326499:HHQ326564 GXU326499:GXU326564 GNY326499:GNY326564 GEC326499:GEC326564 FUG326499:FUG326564 FKK326499:FKK326564 FAO326499:FAO326564 EQS326499:EQS326564 EGW326499:EGW326564 DXA326499:DXA326564 DNE326499:DNE326564 DDI326499:DDI326564 CTM326499:CTM326564 CJQ326499:CJQ326564 BZU326499:BZU326564 BPY326499:BPY326564 BGC326499:BGC326564 AWG326499:AWG326564 AMK326499:AMK326564 ACO326499:ACO326564 SS326499:SS326564 IW326499:IW326564 A326499:A326564 WVI260963:WVI261028 WLM260963:WLM261028 WBQ260963:WBQ261028 VRU260963:VRU261028 VHY260963:VHY261028 UYC260963:UYC261028 UOG260963:UOG261028 UEK260963:UEK261028 TUO260963:TUO261028 TKS260963:TKS261028 TAW260963:TAW261028 SRA260963:SRA261028 SHE260963:SHE261028 RXI260963:RXI261028 RNM260963:RNM261028 RDQ260963:RDQ261028 QTU260963:QTU261028 QJY260963:QJY261028 QAC260963:QAC261028 PQG260963:PQG261028 PGK260963:PGK261028 OWO260963:OWO261028 OMS260963:OMS261028 OCW260963:OCW261028 NTA260963:NTA261028 NJE260963:NJE261028 MZI260963:MZI261028 MPM260963:MPM261028 MFQ260963:MFQ261028 LVU260963:LVU261028 LLY260963:LLY261028 LCC260963:LCC261028 KSG260963:KSG261028 KIK260963:KIK261028 JYO260963:JYO261028 JOS260963:JOS261028 JEW260963:JEW261028 IVA260963:IVA261028 ILE260963:ILE261028 IBI260963:IBI261028 HRM260963:HRM261028 HHQ260963:HHQ261028 GXU260963:GXU261028 GNY260963:GNY261028 GEC260963:GEC261028 FUG260963:FUG261028 FKK260963:FKK261028 FAO260963:FAO261028 EQS260963:EQS261028 EGW260963:EGW261028 DXA260963:DXA261028 DNE260963:DNE261028 DDI260963:DDI261028 CTM260963:CTM261028 CJQ260963:CJQ261028 BZU260963:BZU261028 BPY260963:BPY261028 BGC260963:BGC261028 AWG260963:AWG261028 AMK260963:AMK261028 ACO260963:ACO261028 SS260963:SS261028 IW260963:IW261028 A260963:A261028 WVI195427:WVI195492 WLM195427:WLM195492 WBQ195427:WBQ195492 VRU195427:VRU195492 VHY195427:VHY195492 UYC195427:UYC195492 UOG195427:UOG195492 UEK195427:UEK195492 TUO195427:TUO195492 TKS195427:TKS195492 TAW195427:TAW195492 SRA195427:SRA195492 SHE195427:SHE195492 RXI195427:RXI195492 RNM195427:RNM195492 RDQ195427:RDQ195492 QTU195427:QTU195492 QJY195427:QJY195492 QAC195427:QAC195492 PQG195427:PQG195492 PGK195427:PGK195492 OWO195427:OWO195492 OMS195427:OMS195492 OCW195427:OCW195492 NTA195427:NTA195492 NJE195427:NJE195492 MZI195427:MZI195492 MPM195427:MPM195492 MFQ195427:MFQ195492 LVU195427:LVU195492 LLY195427:LLY195492 LCC195427:LCC195492 KSG195427:KSG195492 KIK195427:KIK195492 JYO195427:JYO195492 JOS195427:JOS195492 JEW195427:JEW195492 IVA195427:IVA195492 ILE195427:ILE195492 IBI195427:IBI195492 HRM195427:HRM195492 HHQ195427:HHQ195492 GXU195427:GXU195492 GNY195427:GNY195492 GEC195427:GEC195492 FUG195427:FUG195492 FKK195427:FKK195492 FAO195427:FAO195492 EQS195427:EQS195492 EGW195427:EGW195492 DXA195427:DXA195492 DNE195427:DNE195492 DDI195427:DDI195492 CTM195427:CTM195492 CJQ195427:CJQ195492 BZU195427:BZU195492 BPY195427:BPY195492 BGC195427:BGC195492 AWG195427:AWG195492 AMK195427:AMK195492 ACO195427:ACO195492 SS195427:SS195492 IW195427:IW195492 A195427:A195492 WVI129891:WVI129956 WLM129891:WLM129956 WBQ129891:WBQ129956 VRU129891:VRU129956 VHY129891:VHY129956 UYC129891:UYC129956 UOG129891:UOG129956 UEK129891:UEK129956 TUO129891:TUO129956 TKS129891:TKS129956 TAW129891:TAW129956 SRA129891:SRA129956 SHE129891:SHE129956 RXI129891:RXI129956 RNM129891:RNM129956 RDQ129891:RDQ129956 QTU129891:QTU129956 QJY129891:QJY129956 QAC129891:QAC129956 PQG129891:PQG129956 PGK129891:PGK129956 OWO129891:OWO129956 OMS129891:OMS129956 OCW129891:OCW129956 NTA129891:NTA129956 NJE129891:NJE129956 MZI129891:MZI129956 MPM129891:MPM129956 MFQ129891:MFQ129956 LVU129891:LVU129956 LLY129891:LLY129956 LCC129891:LCC129956 KSG129891:KSG129956 KIK129891:KIK129956 JYO129891:JYO129956 JOS129891:JOS129956 JEW129891:JEW129956 IVA129891:IVA129956 ILE129891:ILE129956 IBI129891:IBI129956 HRM129891:HRM129956 HHQ129891:HHQ129956 GXU129891:GXU129956 GNY129891:GNY129956 GEC129891:GEC129956 FUG129891:FUG129956 FKK129891:FKK129956 FAO129891:FAO129956 EQS129891:EQS129956 EGW129891:EGW129956 DXA129891:DXA129956 DNE129891:DNE129956 DDI129891:DDI129956 CTM129891:CTM129956 CJQ129891:CJQ129956 BZU129891:BZU129956 BPY129891:BPY129956 BGC129891:BGC129956 AWG129891:AWG129956 AMK129891:AMK129956 ACO129891:ACO129956 SS129891:SS129956 IW129891:IW129956 A129891:A129956 WVI64355:WVI64420 WLM64355:WLM64420 WBQ64355:WBQ64420 VRU64355:VRU64420 VHY64355:VHY64420 UYC64355:UYC64420 UOG64355:UOG64420 UEK64355:UEK64420 TUO64355:TUO64420 TKS64355:TKS64420 TAW64355:TAW64420 SRA64355:SRA64420 SHE64355:SHE64420 RXI64355:RXI64420 RNM64355:RNM64420 RDQ64355:RDQ64420 QTU64355:QTU64420 QJY64355:QJY64420 QAC64355:QAC64420 PQG64355:PQG64420 PGK64355:PGK64420 OWO64355:OWO64420 OMS64355:OMS64420 OCW64355:OCW64420 NTA64355:NTA64420 NJE64355:NJE64420 MZI64355:MZI64420 MPM64355:MPM64420 MFQ64355:MFQ64420 LVU64355:LVU64420 LLY64355:LLY64420 LCC64355:LCC64420 KSG64355:KSG64420 KIK64355:KIK64420 JYO64355:JYO64420 JOS64355:JOS64420 JEW64355:JEW64420 IVA64355:IVA64420 ILE64355:ILE64420 IBI64355:IBI64420 HRM64355:HRM64420 HHQ64355:HHQ64420 GXU64355:GXU64420 GNY64355:GNY64420 GEC64355:GEC64420 FUG64355:FUG64420 FKK64355:FKK64420 FAO64355:FAO64420 EQS64355:EQS64420 EGW64355:EGW64420 DXA64355:DXA64420 DNE64355:DNE64420 DDI64355:DDI64420 CTM64355:CTM64420 CJQ64355:CJQ64420 BZU64355:BZU64420 BPY64355:BPY64420 BGC64355:BGC64420 AWG64355:AWG64420 AMK64355:AMK64420 ACO64355:ACO64420 SS64355:SS64420 IW64355:IW64420">
      <formula1>$AE$2:$AE$19</formula1>
    </dataValidation>
    <dataValidation type="list" allowBlank="1" showInputMessage="1" showErrorMessage="1" sqref="X64355:X64420 JT64355:JT64420 TP2:TP59 ADL2:ADL59 ANH2:ANH59 AXD2:AXD59 BGZ2:BGZ59 BQV2:BQV59 CAR2:CAR59 CKN2:CKN59 CUJ2:CUJ59 DEF2:DEF59 DOB2:DOB59 DXX2:DXX59 EHT2:EHT59 ERP2:ERP59 FBL2:FBL59 FLH2:FLH59 FVD2:FVD59 GEZ2:GEZ59 GOV2:GOV59 GYR2:GYR59 HIN2:HIN59 HSJ2:HSJ59 ICF2:ICF59 IMB2:IMB59 IVX2:IVX59 JFT2:JFT59 JPP2:JPP59 JZL2:JZL59 KJH2:KJH59 KTD2:KTD59 LCZ2:LCZ59 LMV2:LMV59 LWR2:LWR59 MGN2:MGN59 MQJ2:MQJ59 NAF2:NAF59 NKB2:NKB59 NTX2:NTX59 ODT2:ODT59 ONP2:ONP59 OXL2:OXL59 PHH2:PHH59 PRD2:PRD59 QAZ2:QAZ59 QKV2:QKV59 QUR2:QUR59 REN2:REN59 ROJ2:ROJ59 RYF2:RYF59 SIB2:SIB59 SRX2:SRX59 TBT2:TBT59 TLP2:TLP59 TVL2:TVL59 UFH2:UFH59 UPD2:UPD59 UYZ2:UYZ59 VIV2:VIV59 VSR2:VSR59 WCN2:WCN59 WMJ2:WMJ59 WWF2:WWF59 JT2:JT59 WMJ983034:WMJ983099 WCN983034:WCN983099 VSR983034:VSR983099 VIV983034:VIV983099 UYZ983034:UYZ983099 UPD983034:UPD983099 UFH983034:UFH983099 TVL983034:TVL983099 TLP983034:TLP983099 TBT983034:TBT983099 SRX983034:SRX983099 SIB983034:SIB983099 RYF983034:RYF983099 ROJ983034:ROJ983099 REN983034:REN983099 QUR983034:QUR983099 QKV983034:QKV983099 QAZ983034:QAZ983099 PRD983034:PRD983099 PHH983034:PHH983099 OXL983034:OXL983099 ONP983034:ONP983099 ODT983034:ODT983099 NTX983034:NTX983099 NKB983034:NKB983099 NAF983034:NAF983099 MQJ983034:MQJ983099 MGN983034:MGN983099 LWR983034:LWR983099 LMV983034:LMV983099 LCZ983034:LCZ983099 KTD983034:KTD983099 KJH983034:KJH983099 JZL983034:JZL983099 JPP983034:JPP983099 JFT983034:JFT983099 IVX983034:IVX983099 IMB983034:IMB983099 ICF983034:ICF983099 HSJ983034:HSJ983099 HIN983034:HIN983099 GYR983034:GYR983099 GOV983034:GOV983099 GEZ983034:GEZ983099 FVD983034:FVD983099 FLH983034:FLH983099 FBL983034:FBL983099 ERP983034:ERP983099 EHT983034:EHT983099 DXX983034:DXX983099 DOB983034:DOB983099 DEF983034:DEF983099 CUJ983034:CUJ983099 CKN983034:CKN983099 CAR983034:CAR983099 BQV983034:BQV983099 BGZ983034:BGZ983099 AXD983034:AXD983099 ANH983034:ANH983099 ADL983034:ADL983099 TP983034:TP983099 JT983034:JT983099 X983034:X983099 WWF917498:WWF917563 WMJ917498:WMJ917563 WCN917498:WCN917563 VSR917498:VSR917563 VIV917498:VIV917563 UYZ917498:UYZ917563 UPD917498:UPD917563 UFH917498:UFH917563 TVL917498:TVL917563 TLP917498:TLP917563 TBT917498:TBT917563 SRX917498:SRX917563 SIB917498:SIB917563 RYF917498:RYF917563 ROJ917498:ROJ917563 REN917498:REN917563 QUR917498:QUR917563 QKV917498:QKV917563 QAZ917498:QAZ917563 PRD917498:PRD917563 PHH917498:PHH917563 OXL917498:OXL917563 ONP917498:ONP917563 ODT917498:ODT917563 NTX917498:NTX917563 NKB917498:NKB917563 NAF917498:NAF917563 MQJ917498:MQJ917563 MGN917498:MGN917563 LWR917498:LWR917563 LMV917498:LMV917563 LCZ917498:LCZ917563 KTD917498:KTD917563 KJH917498:KJH917563 JZL917498:JZL917563 JPP917498:JPP917563 JFT917498:JFT917563 IVX917498:IVX917563 IMB917498:IMB917563 ICF917498:ICF917563 HSJ917498:HSJ917563 HIN917498:HIN917563 GYR917498:GYR917563 GOV917498:GOV917563 GEZ917498:GEZ917563 FVD917498:FVD917563 FLH917498:FLH917563 FBL917498:FBL917563 ERP917498:ERP917563 EHT917498:EHT917563 DXX917498:DXX917563 DOB917498:DOB917563 DEF917498:DEF917563 CUJ917498:CUJ917563 CKN917498:CKN917563 CAR917498:CAR917563 BQV917498:BQV917563 BGZ917498:BGZ917563 AXD917498:AXD917563 ANH917498:ANH917563 ADL917498:ADL917563 TP917498:TP917563 JT917498:JT917563 X917498:X917563 WWF851962:WWF852027 WMJ851962:WMJ852027 WCN851962:WCN852027 VSR851962:VSR852027 VIV851962:VIV852027 UYZ851962:UYZ852027 UPD851962:UPD852027 UFH851962:UFH852027 TVL851962:TVL852027 TLP851962:TLP852027 TBT851962:TBT852027 SRX851962:SRX852027 SIB851962:SIB852027 RYF851962:RYF852027 ROJ851962:ROJ852027 REN851962:REN852027 QUR851962:QUR852027 QKV851962:QKV852027 QAZ851962:QAZ852027 PRD851962:PRD852027 PHH851962:PHH852027 OXL851962:OXL852027 ONP851962:ONP852027 ODT851962:ODT852027 NTX851962:NTX852027 NKB851962:NKB852027 NAF851962:NAF852027 MQJ851962:MQJ852027 MGN851962:MGN852027 LWR851962:LWR852027 LMV851962:LMV852027 LCZ851962:LCZ852027 KTD851962:KTD852027 KJH851962:KJH852027 JZL851962:JZL852027 JPP851962:JPP852027 JFT851962:JFT852027 IVX851962:IVX852027 IMB851962:IMB852027 ICF851962:ICF852027 HSJ851962:HSJ852027 HIN851962:HIN852027 GYR851962:GYR852027 GOV851962:GOV852027 GEZ851962:GEZ852027 FVD851962:FVD852027 FLH851962:FLH852027 FBL851962:FBL852027 ERP851962:ERP852027 EHT851962:EHT852027 DXX851962:DXX852027 DOB851962:DOB852027 DEF851962:DEF852027 CUJ851962:CUJ852027 CKN851962:CKN852027 CAR851962:CAR852027 BQV851962:BQV852027 BGZ851962:BGZ852027 AXD851962:AXD852027 ANH851962:ANH852027 ADL851962:ADL852027 TP851962:TP852027 JT851962:JT852027 X851962:X852027 WWF786426:WWF786491 WMJ786426:WMJ786491 WCN786426:WCN786491 VSR786426:VSR786491 VIV786426:VIV786491 UYZ786426:UYZ786491 UPD786426:UPD786491 UFH786426:UFH786491 TVL786426:TVL786491 TLP786426:TLP786491 TBT786426:TBT786491 SRX786426:SRX786491 SIB786426:SIB786491 RYF786426:RYF786491 ROJ786426:ROJ786491 REN786426:REN786491 QUR786426:QUR786491 QKV786426:QKV786491 QAZ786426:QAZ786491 PRD786426:PRD786491 PHH786426:PHH786491 OXL786426:OXL786491 ONP786426:ONP786491 ODT786426:ODT786491 NTX786426:NTX786491 NKB786426:NKB786491 NAF786426:NAF786491 MQJ786426:MQJ786491 MGN786426:MGN786491 LWR786426:LWR786491 LMV786426:LMV786491 LCZ786426:LCZ786491 KTD786426:KTD786491 KJH786426:KJH786491 JZL786426:JZL786491 JPP786426:JPP786491 JFT786426:JFT786491 IVX786426:IVX786491 IMB786426:IMB786491 ICF786426:ICF786491 HSJ786426:HSJ786491 HIN786426:HIN786491 GYR786426:GYR786491 GOV786426:GOV786491 GEZ786426:GEZ786491 FVD786426:FVD786491 FLH786426:FLH786491 FBL786426:FBL786491 ERP786426:ERP786491 EHT786426:EHT786491 DXX786426:DXX786491 DOB786426:DOB786491 DEF786426:DEF786491 CUJ786426:CUJ786491 CKN786426:CKN786491 CAR786426:CAR786491 BQV786426:BQV786491 BGZ786426:BGZ786491 AXD786426:AXD786491 ANH786426:ANH786491 ADL786426:ADL786491 TP786426:TP786491 JT786426:JT786491 X786426:X786491 WWF720890:WWF720955 WMJ720890:WMJ720955 WCN720890:WCN720955 VSR720890:VSR720955 VIV720890:VIV720955 UYZ720890:UYZ720955 UPD720890:UPD720955 UFH720890:UFH720955 TVL720890:TVL720955 TLP720890:TLP720955 TBT720890:TBT720955 SRX720890:SRX720955 SIB720890:SIB720955 RYF720890:RYF720955 ROJ720890:ROJ720955 REN720890:REN720955 QUR720890:QUR720955 QKV720890:QKV720955 QAZ720890:QAZ720955 PRD720890:PRD720955 PHH720890:PHH720955 OXL720890:OXL720955 ONP720890:ONP720955 ODT720890:ODT720955 NTX720890:NTX720955 NKB720890:NKB720955 NAF720890:NAF720955 MQJ720890:MQJ720955 MGN720890:MGN720955 LWR720890:LWR720955 LMV720890:LMV720955 LCZ720890:LCZ720955 KTD720890:KTD720955 KJH720890:KJH720955 JZL720890:JZL720955 JPP720890:JPP720955 JFT720890:JFT720955 IVX720890:IVX720955 IMB720890:IMB720955 ICF720890:ICF720955 HSJ720890:HSJ720955 HIN720890:HIN720955 GYR720890:GYR720955 GOV720890:GOV720955 GEZ720890:GEZ720955 FVD720890:FVD720955 FLH720890:FLH720955 FBL720890:FBL720955 ERP720890:ERP720955 EHT720890:EHT720955 DXX720890:DXX720955 DOB720890:DOB720955 DEF720890:DEF720955 CUJ720890:CUJ720955 CKN720890:CKN720955 CAR720890:CAR720955 BQV720890:BQV720955 BGZ720890:BGZ720955 AXD720890:AXD720955 ANH720890:ANH720955 ADL720890:ADL720955 TP720890:TP720955 JT720890:JT720955 X720890:X720955 WWF655354:WWF655419 WMJ655354:WMJ655419 WCN655354:WCN655419 VSR655354:VSR655419 VIV655354:VIV655419 UYZ655354:UYZ655419 UPD655354:UPD655419 UFH655354:UFH655419 TVL655354:TVL655419 TLP655354:TLP655419 TBT655354:TBT655419 SRX655354:SRX655419 SIB655354:SIB655419 RYF655354:RYF655419 ROJ655354:ROJ655419 REN655354:REN655419 QUR655354:QUR655419 QKV655354:QKV655419 QAZ655354:QAZ655419 PRD655354:PRD655419 PHH655354:PHH655419 OXL655354:OXL655419 ONP655354:ONP655419 ODT655354:ODT655419 NTX655354:NTX655419 NKB655354:NKB655419 NAF655354:NAF655419 MQJ655354:MQJ655419 MGN655354:MGN655419 LWR655354:LWR655419 LMV655354:LMV655419 LCZ655354:LCZ655419 KTD655354:KTD655419 KJH655354:KJH655419 JZL655354:JZL655419 JPP655354:JPP655419 JFT655354:JFT655419 IVX655354:IVX655419 IMB655354:IMB655419 ICF655354:ICF655419 HSJ655354:HSJ655419 HIN655354:HIN655419 GYR655354:GYR655419 GOV655354:GOV655419 GEZ655354:GEZ655419 FVD655354:FVD655419 FLH655354:FLH655419 FBL655354:FBL655419 ERP655354:ERP655419 EHT655354:EHT655419 DXX655354:DXX655419 DOB655354:DOB655419 DEF655354:DEF655419 CUJ655354:CUJ655419 CKN655354:CKN655419 CAR655354:CAR655419 BQV655354:BQV655419 BGZ655354:BGZ655419 AXD655354:AXD655419 ANH655354:ANH655419 ADL655354:ADL655419 TP655354:TP655419 JT655354:JT655419 X655354:X655419 WWF589818:WWF589883 WMJ589818:WMJ589883 WCN589818:WCN589883 VSR589818:VSR589883 VIV589818:VIV589883 UYZ589818:UYZ589883 UPD589818:UPD589883 UFH589818:UFH589883 TVL589818:TVL589883 TLP589818:TLP589883 TBT589818:TBT589883 SRX589818:SRX589883 SIB589818:SIB589883 RYF589818:RYF589883 ROJ589818:ROJ589883 REN589818:REN589883 QUR589818:QUR589883 QKV589818:QKV589883 QAZ589818:QAZ589883 PRD589818:PRD589883 PHH589818:PHH589883 OXL589818:OXL589883 ONP589818:ONP589883 ODT589818:ODT589883 NTX589818:NTX589883 NKB589818:NKB589883 NAF589818:NAF589883 MQJ589818:MQJ589883 MGN589818:MGN589883 LWR589818:LWR589883 LMV589818:LMV589883 LCZ589818:LCZ589883 KTD589818:KTD589883 KJH589818:KJH589883 JZL589818:JZL589883 JPP589818:JPP589883 JFT589818:JFT589883 IVX589818:IVX589883 IMB589818:IMB589883 ICF589818:ICF589883 HSJ589818:HSJ589883 HIN589818:HIN589883 GYR589818:GYR589883 GOV589818:GOV589883 GEZ589818:GEZ589883 FVD589818:FVD589883 FLH589818:FLH589883 FBL589818:FBL589883 ERP589818:ERP589883 EHT589818:EHT589883 DXX589818:DXX589883 DOB589818:DOB589883 DEF589818:DEF589883 CUJ589818:CUJ589883 CKN589818:CKN589883 CAR589818:CAR589883 BQV589818:BQV589883 BGZ589818:BGZ589883 AXD589818:AXD589883 ANH589818:ANH589883 ADL589818:ADL589883 TP589818:TP589883 JT589818:JT589883 X589818:X589883 WWF524282:WWF524347 WMJ524282:WMJ524347 WCN524282:WCN524347 VSR524282:VSR524347 VIV524282:VIV524347 UYZ524282:UYZ524347 UPD524282:UPD524347 UFH524282:UFH524347 TVL524282:TVL524347 TLP524282:TLP524347 TBT524282:TBT524347 SRX524282:SRX524347 SIB524282:SIB524347 RYF524282:RYF524347 ROJ524282:ROJ524347 REN524282:REN524347 QUR524282:QUR524347 QKV524282:QKV524347 QAZ524282:QAZ524347 PRD524282:PRD524347 PHH524282:PHH524347 OXL524282:OXL524347 ONP524282:ONP524347 ODT524282:ODT524347 NTX524282:NTX524347 NKB524282:NKB524347 NAF524282:NAF524347 MQJ524282:MQJ524347 MGN524282:MGN524347 LWR524282:LWR524347 LMV524282:LMV524347 LCZ524282:LCZ524347 KTD524282:KTD524347 KJH524282:KJH524347 JZL524282:JZL524347 JPP524282:JPP524347 JFT524282:JFT524347 IVX524282:IVX524347 IMB524282:IMB524347 ICF524282:ICF524347 HSJ524282:HSJ524347 HIN524282:HIN524347 GYR524282:GYR524347 GOV524282:GOV524347 GEZ524282:GEZ524347 FVD524282:FVD524347 FLH524282:FLH524347 FBL524282:FBL524347 ERP524282:ERP524347 EHT524282:EHT524347 DXX524282:DXX524347 DOB524282:DOB524347 DEF524282:DEF524347 CUJ524282:CUJ524347 CKN524282:CKN524347 CAR524282:CAR524347 BQV524282:BQV524347 BGZ524282:BGZ524347 AXD524282:AXD524347 ANH524282:ANH524347 ADL524282:ADL524347 TP524282:TP524347 JT524282:JT524347 X524282:X524347 WWF458746:WWF458811 WMJ458746:WMJ458811 WCN458746:WCN458811 VSR458746:VSR458811 VIV458746:VIV458811 UYZ458746:UYZ458811 UPD458746:UPD458811 UFH458746:UFH458811 TVL458746:TVL458811 TLP458746:TLP458811 TBT458746:TBT458811 SRX458746:SRX458811 SIB458746:SIB458811 RYF458746:RYF458811 ROJ458746:ROJ458811 REN458746:REN458811 QUR458746:QUR458811 QKV458746:QKV458811 QAZ458746:QAZ458811 PRD458746:PRD458811 PHH458746:PHH458811 OXL458746:OXL458811 ONP458746:ONP458811 ODT458746:ODT458811 NTX458746:NTX458811 NKB458746:NKB458811 NAF458746:NAF458811 MQJ458746:MQJ458811 MGN458746:MGN458811 LWR458746:LWR458811 LMV458746:LMV458811 LCZ458746:LCZ458811 KTD458746:KTD458811 KJH458746:KJH458811 JZL458746:JZL458811 JPP458746:JPP458811 JFT458746:JFT458811 IVX458746:IVX458811 IMB458746:IMB458811 ICF458746:ICF458811 HSJ458746:HSJ458811 HIN458746:HIN458811 GYR458746:GYR458811 GOV458746:GOV458811 GEZ458746:GEZ458811 FVD458746:FVD458811 FLH458746:FLH458811 FBL458746:FBL458811 ERP458746:ERP458811 EHT458746:EHT458811 DXX458746:DXX458811 DOB458746:DOB458811 DEF458746:DEF458811 CUJ458746:CUJ458811 CKN458746:CKN458811 CAR458746:CAR458811 BQV458746:BQV458811 BGZ458746:BGZ458811 AXD458746:AXD458811 ANH458746:ANH458811 ADL458746:ADL458811 TP458746:TP458811 JT458746:JT458811 X458746:X458811 WWF393210:WWF393275 WMJ393210:WMJ393275 WCN393210:WCN393275 VSR393210:VSR393275 VIV393210:VIV393275 UYZ393210:UYZ393275 UPD393210:UPD393275 UFH393210:UFH393275 TVL393210:TVL393275 TLP393210:TLP393275 TBT393210:TBT393275 SRX393210:SRX393275 SIB393210:SIB393275 RYF393210:RYF393275 ROJ393210:ROJ393275 REN393210:REN393275 QUR393210:QUR393275 QKV393210:QKV393275 QAZ393210:QAZ393275 PRD393210:PRD393275 PHH393210:PHH393275 OXL393210:OXL393275 ONP393210:ONP393275 ODT393210:ODT393275 NTX393210:NTX393275 NKB393210:NKB393275 NAF393210:NAF393275 MQJ393210:MQJ393275 MGN393210:MGN393275 LWR393210:LWR393275 LMV393210:LMV393275 LCZ393210:LCZ393275 KTD393210:KTD393275 KJH393210:KJH393275 JZL393210:JZL393275 JPP393210:JPP393275 JFT393210:JFT393275 IVX393210:IVX393275 IMB393210:IMB393275 ICF393210:ICF393275 HSJ393210:HSJ393275 HIN393210:HIN393275 GYR393210:GYR393275 GOV393210:GOV393275 GEZ393210:GEZ393275 FVD393210:FVD393275 FLH393210:FLH393275 FBL393210:FBL393275 ERP393210:ERP393275 EHT393210:EHT393275 DXX393210:DXX393275 DOB393210:DOB393275 DEF393210:DEF393275 CUJ393210:CUJ393275 CKN393210:CKN393275 CAR393210:CAR393275 BQV393210:BQV393275 BGZ393210:BGZ393275 AXD393210:AXD393275 ANH393210:ANH393275 ADL393210:ADL393275 TP393210:TP393275 JT393210:JT393275 X393210:X393275 WWF327674:WWF327739 WMJ327674:WMJ327739 WCN327674:WCN327739 VSR327674:VSR327739 VIV327674:VIV327739 UYZ327674:UYZ327739 UPD327674:UPD327739 UFH327674:UFH327739 TVL327674:TVL327739 TLP327674:TLP327739 TBT327674:TBT327739 SRX327674:SRX327739 SIB327674:SIB327739 RYF327674:RYF327739 ROJ327674:ROJ327739 REN327674:REN327739 QUR327674:QUR327739 QKV327674:QKV327739 QAZ327674:QAZ327739 PRD327674:PRD327739 PHH327674:PHH327739 OXL327674:OXL327739 ONP327674:ONP327739 ODT327674:ODT327739 NTX327674:NTX327739 NKB327674:NKB327739 NAF327674:NAF327739 MQJ327674:MQJ327739 MGN327674:MGN327739 LWR327674:LWR327739 LMV327674:LMV327739 LCZ327674:LCZ327739 KTD327674:KTD327739 KJH327674:KJH327739 JZL327674:JZL327739 JPP327674:JPP327739 JFT327674:JFT327739 IVX327674:IVX327739 IMB327674:IMB327739 ICF327674:ICF327739 HSJ327674:HSJ327739 HIN327674:HIN327739 GYR327674:GYR327739 GOV327674:GOV327739 GEZ327674:GEZ327739 FVD327674:FVD327739 FLH327674:FLH327739 FBL327674:FBL327739 ERP327674:ERP327739 EHT327674:EHT327739 DXX327674:DXX327739 DOB327674:DOB327739 DEF327674:DEF327739 CUJ327674:CUJ327739 CKN327674:CKN327739 CAR327674:CAR327739 BQV327674:BQV327739 BGZ327674:BGZ327739 AXD327674:AXD327739 ANH327674:ANH327739 ADL327674:ADL327739 TP327674:TP327739 JT327674:JT327739 X327674:X327739 WWF262138:WWF262203 WMJ262138:WMJ262203 WCN262138:WCN262203 VSR262138:VSR262203 VIV262138:VIV262203 UYZ262138:UYZ262203 UPD262138:UPD262203 UFH262138:UFH262203 TVL262138:TVL262203 TLP262138:TLP262203 TBT262138:TBT262203 SRX262138:SRX262203 SIB262138:SIB262203 RYF262138:RYF262203 ROJ262138:ROJ262203 REN262138:REN262203 QUR262138:QUR262203 QKV262138:QKV262203 QAZ262138:QAZ262203 PRD262138:PRD262203 PHH262138:PHH262203 OXL262138:OXL262203 ONP262138:ONP262203 ODT262138:ODT262203 NTX262138:NTX262203 NKB262138:NKB262203 NAF262138:NAF262203 MQJ262138:MQJ262203 MGN262138:MGN262203 LWR262138:LWR262203 LMV262138:LMV262203 LCZ262138:LCZ262203 KTD262138:KTD262203 KJH262138:KJH262203 JZL262138:JZL262203 JPP262138:JPP262203 JFT262138:JFT262203 IVX262138:IVX262203 IMB262138:IMB262203 ICF262138:ICF262203 HSJ262138:HSJ262203 HIN262138:HIN262203 GYR262138:GYR262203 GOV262138:GOV262203 GEZ262138:GEZ262203 FVD262138:FVD262203 FLH262138:FLH262203 FBL262138:FBL262203 ERP262138:ERP262203 EHT262138:EHT262203 DXX262138:DXX262203 DOB262138:DOB262203 DEF262138:DEF262203 CUJ262138:CUJ262203 CKN262138:CKN262203 CAR262138:CAR262203 BQV262138:BQV262203 BGZ262138:BGZ262203 AXD262138:AXD262203 ANH262138:ANH262203 ADL262138:ADL262203 TP262138:TP262203 JT262138:JT262203 X262138:X262203 WWF196602:WWF196667 WMJ196602:WMJ196667 WCN196602:WCN196667 VSR196602:VSR196667 VIV196602:VIV196667 UYZ196602:UYZ196667 UPD196602:UPD196667 UFH196602:UFH196667 TVL196602:TVL196667 TLP196602:TLP196667 TBT196602:TBT196667 SRX196602:SRX196667 SIB196602:SIB196667 RYF196602:RYF196667 ROJ196602:ROJ196667 REN196602:REN196667 QUR196602:QUR196667 QKV196602:QKV196667 QAZ196602:QAZ196667 PRD196602:PRD196667 PHH196602:PHH196667 OXL196602:OXL196667 ONP196602:ONP196667 ODT196602:ODT196667 NTX196602:NTX196667 NKB196602:NKB196667 NAF196602:NAF196667 MQJ196602:MQJ196667 MGN196602:MGN196667 LWR196602:LWR196667 LMV196602:LMV196667 LCZ196602:LCZ196667 KTD196602:KTD196667 KJH196602:KJH196667 JZL196602:JZL196667 JPP196602:JPP196667 JFT196602:JFT196667 IVX196602:IVX196667 IMB196602:IMB196667 ICF196602:ICF196667 HSJ196602:HSJ196667 HIN196602:HIN196667 GYR196602:GYR196667 GOV196602:GOV196667 GEZ196602:GEZ196667 FVD196602:FVD196667 FLH196602:FLH196667 FBL196602:FBL196667 ERP196602:ERP196667 EHT196602:EHT196667 DXX196602:DXX196667 DOB196602:DOB196667 DEF196602:DEF196667 CUJ196602:CUJ196667 CKN196602:CKN196667 CAR196602:CAR196667 BQV196602:BQV196667 BGZ196602:BGZ196667 AXD196602:AXD196667 ANH196602:ANH196667 ADL196602:ADL196667 TP196602:TP196667 JT196602:JT196667 X196602:X196667 WWF131066:WWF131131 WMJ131066:WMJ131131 WCN131066:WCN131131 VSR131066:VSR131131 VIV131066:VIV131131 UYZ131066:UYZ131131 UPD131066:UPD131131 UFH131066:UFH131131 TVL131066:TVL131131 TLP131066:TLP131131 TBT131066:TBT131131 SRX131066:SRX131131 SIB131066:SIB131131 RYF131066:RYF131131 ROJ131066:ROJ131131 REN131066:REN131131 QUR131066:QUR131131 QKV131066:QKV131131 QAZ131066:QAZ131131 PRD131066:PRD131131 PHH131066:PHH131131 OXL131066:OXL131131 ONP131066:ONP131131 ODT131066:ODT131131 NTX131066:NTX131131 NKB131066:NKB131131 NAF131066:NAF131131 MQJ131066:MQJ131131 MGN131066:MGN131131 LWR131066:LWR131131 LMV131066:LMV131131 LCZ131066:LCZ131131 KTD131066:KTD131131 KJH131066:KJH131131 JZL131066:JZL131131 JPP131066:JPP131131 JFT131066:JFT131131 IVX131066:IVX131131 IMB131066:IMB131131 ICF131066:ICF131131 HSJ131066:HSJ131131 HIN131066:HIN131131 GYR131066:GYR131131 GOV131066:GOV131131 GEZ131066:GEZ131131 FVD131066:FVD131131 FLH131066:FLH131131 FBL131066:FBL131131 ERP131066:ERP131131 EHT131066:EHT131131 DXX131066:DXX131131 DOB131066:DOB131131 DEF131066:DEF131131 CUJ131066:CUJ131131 CKN131066:CKN131131 CAR131066:CAR131131 BQV131066:BQV131131 BGZ131066:BGZ131131 AXD131066:AXD131131 ANH131066:ANH131131 ADL131066:ADL131131 TP131066:TP131131 JT131066:JT131131 X131066:X131131 WWF65530:WWF65595 WMJ65530:WMJ65595 WCN65530:WCN65595 VSR65530:VSR65595 VIV65530:VIV65595 UYZ65530:UYZ65595 UPD65530:UPD65595 UFH65530:UFH65595 TVL65530:TVL65595 TLP65530:TLP65595 TBT65530:TBT65595 SRX65530:SRX65595 SIB65530:SIB65595 RYF65530:RYF65595 ROJ65530:ROJ65595 REN65530:REN65595 QUR65530:QUR65595 QKV65530:QKV65595 QAZ65530:QAZ65595 PRD65530:PRD65595 PHH65530:PHH65595 OXL65530:OXL65595 ONP65530:ONP65595 ODT65530:ODT65595 NTX65530:NTX65595 NKB65530:NKB65595 NAF65530:NAF65595 MQJ65530:MQJ65595 MGN65530:MGN65595 LWR65530:LWR65595 LMV65530:LMV65595 LCZ65530:LCZ65595 KTD65530:KTD65595 KJH65530:KJH65595 JZL65530:JZL65595 JPP65530:JPP65595 JFT65530:JFT65595 IVX65530:IVX65595 IMB65530:IMB65595 ICF65530:ICF65595 HSJ65530:HSJ65595 HIN65530:HIN65595 GYR65530:GYR65595 GOV65530:GOV65595 GEZ65530:GEZ65595 FVD65530:FVD65595 FLH65530:FLH65595 FBL65530:FBL65595 ERP65530:ERP65595 EHT65530:EHT65595 DXX65530:DXX65595 DOB65530:DOB65595 DEF65530:DEF65595 CUJ65530:CUJ65595 CKN65530:CKN65595 CAR65530:CAR65595 BQV65530:BQV65595 BGZ65530:BGZ65595 AXD65530:AXD65595 ANH65530:ANH65595 ADL65530:ADL65595 TP65530:TP65595 JT65530:JT65595 X65530:X65595 WWF983034:WWF983099 WWF1047395:WWF1047460 WMJ1047395:WMJ1047460 WCN1047395:WCN1047460 VSR1047395:VSR1047460 VIV1047395:VIV1047460 UYZ1047395:UYZ1047460 UPD1047395:UPD1047460 UFH1047395:UFH1047460 TVL1047395:TVL1047460 TLP1047395:TLP1047460 TBT1047395:TBT1047460 SRX1047395:SRX1047460 SIB1047395:SIB1047460 RYF1047395:RYF1047460 ROJ1047395:ROJ1047460 REN1047395:REN1047460 QUR1047395:QUR1047460 QKV1047395:QKV1047460 QAZ1047395:QAZ1047460 PRD1047395:PRD1047460 PHH1047395:PHH1047460 OXL1047395:OXL1047460 ONP1047395:ONP1047460 ODT1047395:ODT1047460 NTX1047395:NTX1047460 NKB1047395:NKB1047460 NAF1047395:NAF1047460 MQJ1047395:MQJ1047460 MGN1047395:MGN1047460 LWR1047395:LWR1047460 LMV1047395:LMV1047460 LCZ1047395:LCZ1047460 KTD1047395:KTD1047460 KJH1047395:KJH1047460 JZL1047395:JZL1047460 JPP1047395:JPP1047460 JFT1047395:JFT1047460 IVX1047395:IVX1047460 IMB1047395:IMB1047460 ICF1047395:ICF1047460 HSJ1047395:HSJ1047460 HIN1047395:HIN1047460 GYR1047395:GYR1047460 GOV1047395:GOV1047460 GEZ1047395:GEZ1047460 FVD1047395:FVD1047460 FLH1047395:FLH1047460 FBL1047395:FBL1047460 ERP1047395:ERP1047460 EHT1047395:EHT1047460 DXX1047395:DXX1047460 DOB1047395:DOB1047460 DEF1047395:DEF1047460 CUJ1047395:CUJ1047460 CKN1047395:CKN1047460 CAR1047395:CAR1047460 BQV1047395:BQV1047460 BGZ1047395:BGZ1047460 AXD1047395:AXD1047460 ANH1047395:ANH1047460 ADL1047395:ADL1047460 TP1047395:TP1047460 JT1047395:JT1047460 X1047395:X1047460 WWF981859:WWF981924 WMJ981859:WMJ981924 WCN981859:WCN981924 VSR981859:VSR981924 VIV981859:VIV981924 UYZ981859:UYZ981924 UPD981859:UPD981924 UFH981859:UFH981924 TVL981859:TVL981924 TLP981859:TLP981924 TBT981859:TBT981924 SRX981859:SRX981924 SIB981859:SIB981924 RYF981859:RYF981924 ROJ981859:ROJ981924 REN981859:REN981924 QUR981859:QUR981924 QKV981859:QKV981924 QAZ981859:QAZ981924 PRD981859:PRD981924 PHH981859:PHH981924 OXL981859:OXL981924 ONP981859:ONP981924 ODT981859:ODT981924 NTX981859:NTX981924 NKB981859:NKB981924 NAF981859:NAF981924 MQJ981859:MQJ981924 MGN981859:MGN981924 LWR981859:LWR981924 LMV981859:LMV981924 LCZ981859:LCZ981924 KTD981859:KTD981924 KJH981859:KJH981924 JZL981859:JZL981924 JPP981859:JPP981924 JFT981859:JFT981924 IVX981859:IVX981924 IMB981859:IMB981924 ICF981859:ICF981924 HSJ981859:HSJ981924 HIN981859:HIN981924 GYR981859:GYR981924 GOV981859:GOV981924 GEZ981859:GEZ981924 FVD981859:FVD981924 FLH981859:FLH981924 FBL981859:FBL981924 ERP981859:ERP981924 EHT981859:EHT981924 DXX981859:DXX981924 DOB981859:DOB981924 DEF981859:DEF981924 CUJ981859:CUJ981924 CKN981859:CKN981924 CAR981859:CAR981924 BQV981859:BQV981924 BGZ981859:BGZ981924 AXD981859:AXD981924 ANH981859:ANH981924 ADL981859:ADL981924 TP981859:TP981924 JT981859:JT981924 X981859:X981924 WWF916323:WWF916388 WMJ916323:WMJ916388 WCN916323:WCN916388 VSR916323:VSR916388 VIV916323:VIV916388 UYZ916323:UYZ916388 UPD916323:UPD916388 UFH916323:UFH916388 TVL916323:TVL916388 TLP916323:TLP916388 TBT916323:TBT916388 SRX916323:SRX916388 SIB916323:SIB916388 RYF916323:RYF916388 ROJ916323:ROJ916388 REN916323:REN916388 QUR916323:QUR916388 QKV916323:QKV916388 QAZ916323:QAZ916388 PRD916323:PRD916388 PHH916323:PHH916388 OXL916323:OXL916388 ONP916323:ONP916388 ODT916323:ODT916388 NTX916323:NTX916388 NKB916323:NKB916388 NAF916323:NAF916388 MQJ916323:MQJ916388 MGN916323:MGN916388 LWR916323:LWR916388 LMV916323:LMV916388 LCZ916323:LCZ916388 KTD916323:KTD916388 KJH916323:KJH916388 JZL916323:JZL916388 JPP916323:JPP916388 JFT916323:JFT916388 IVX916323:IVX916388 IMB916323:IMB916388 ICF916323:ICF916388 HSJ916323:HSJ916388 HIN916323:HIN916388 GYR916323:GYR916388 GOV916323:GOV916388 GEZ916323:GEZ916388 FVD916323:FVD916388 FLH916323:FLH916388 FBL916323:FBL916388 ERP916323:ERP916388 EHT916323:EHT916388 DXX916323:DXX916388 DOB916323:DOB916388 DEF916323:DEF916388 CUJ916323:CUJ916388 CKN916323:CKN916388 CAR916323:CAR916388 BQV916323:BQV916388 BGZ916323:BGZ916388 AXD916323:AXD916388 ANH916323:ANH916388 ADL916323:ADL916388 TP916323:TP916388 JT916323:JT916388 X916323:X916388 WWF850787:WWF850852 WMJ850787:WMJ850852 WCN850787:WCN850852 VSR850787:VSR850852 VIV850787:VIV850852 UYZ850787:UYZ850852 UPD850787:UPD850852 UFH850787:UFH850852 TVL850787:TVL850852 TLP850787:TLP850852 TBT850787:TBT850852 SRX850787:SRX850852 SIB850787:SIB850852 RYF850787:RYF850852 ROJ850787:ROJ850852 REN850787:REN850852 QUR850787:QUR850852 QKV850787:QKV850852 QAZ850787:QAZ850852 PRD850787:PRD850852 PHH850787:PHH850852 OXL850787:OXL850852 ONP850787:ONP850852 ODT850787:ODT850852 NTX850787:NTX850852 NKB850787:NKB850852 NAF850787:NAF850852 MQJ850787:MQJ850852 MGN850787:MGN850852 LWR850787:LWR850852 LMV850787:LMV850852 LCZ850787:LCZ850852 KTD850787:KTD850852 KJH850787:KJH850852 JZL850787:JZL850852 JPP850787:JPP850852 JFT850787:JFT850852 IVX850787:IVX850852 IMB850787:IMB850852 ICF850787:ICF850852 HSJ850787:HSJ850852 HIN850787:HIN850852 GYR850787:GYR850852 GOV850787:GOV850852 GEZ850787:GEZ850852 FVD850787:FVD850852 FLH850787:FLH850852 FBL850787:FBL850852 ERP850787:ERP850852 EHT850787:EHT850852 DXX850787:DXX850852 DOB850787:DOB850852 DEF850787:DEF850852 CUJ850787:CUJ850852 CKN850787:CKN850852 CAR850787:CAR850852 BQV850787:BQV850852 BGZ850787:BGZ850852 AXD850787:AXD850852 ANH850787:ANH850852 ADL850787:ADL850852 TP850787:TP850852 JT850787:JT850852 X850787:X850852 WWF785251:WWF785316 WMJ785251:WMJ785316 WCN785251:WCN785316 VSR785251:VSR785316 VIV785251:VIV785316 UYZ785251:UYZ785316 UPD785251:UPD785316 UFH785251:UFH785316 TVL785251:TVL785316 TLP785251:TLP785316 TBT785251:TBT785316 SRX785251:SRX785316 SIB785251:SIB785316 RYF785251:RYF785316 ROJ785251:ROJ785316 REN785251:REN785316 QUR785251:QUR785316 QKV785251:QKV785316 QAZ785251:QAZ785316 PRD785251:PRD785316 PHH785251:PHH785316 OXL785251:OXL785316 ONP785251:ONP785316 ODT785251:ODT785316 NTX785251:NTX785316 NKB785251:NKB785316 NAF785251:NAF785316 MQJ785251:MQJ785316 MGN785251:MGN785316 LWR785251:LWR785316 LMV785251:LMV785316 LCZ785251:LCZ785316 KTD785251:KTD785316 KJH785251:KJH785316 JZL785251:JZL785316 JPP785251:JPP785316 JFT785251:JFT785316 IVX785251:IVX785316 IMB785251:IMB785316 ICF785251:ICF785316 HSJ785251:HSJ785316 HIN785251:HIN785316 GYR785251:GYR785316 GOV785251:GOV785316 GEZ785251:GEZ785316 FVD785251:FVD785316 FLH785251:FLH785316 FBL785251:FBL785316 ERP785251:ERP785316 EHT785251:EHT785316 DXX785251:DXX785316 DOB785251:DOB785316 DEF785251:DEF785316 CUJ785251:CUJ785316 CKN785251:CKN785316 CAR785251:CAR785316 BQV785251:BQV785316 BGZ785251:BGZ785316 AXD785251:AXD785316 ANH785251:ANH785316 ADL785251:ADL785316 TP785251:TP785316 JT785251:JT785316 X785251:X785316 WWF719715:WWF719780 WMJ719715:WMJ719780 WCN719715:WCN719780 VSR719715:VSR719780 VIV719715:VIV719780 UYZ719715:UYZ719780 UPD719715:UPD719780 UFH719715:UFH719780 TVL719715:TVL719780 TLP719715:TLP719780 TBT719715:TBT719780 SRX719715:SRX719780 SIB719715:SIB719780 RYF719715:RYF719780 ROJ719715:ROJ719780 REN719715:REN719780 QUR719715:QUR719780 QKV719715:QKV719780 QAZ719715:QAZ719780 PRD719715:PRD719780 PHH719715:PHH719780 OXL719715:OXL719780 ONP719715:ONP719780 ODT719715:ODT719780 NTX719715:NTX719780 NKB719715:NKB719780 NAF719715:NAF719780 MQJ719715:MQJ719780 MGN719715:MGN719780 LWR719715:LWR719780 LMV719715:LMV719780 LCZ719715:LCZ719780 KTD719715:KTD719780 KJH719715:KJH719780 JZL719715:JZL719780 JPP719715:JPP719780 JFT719715:JFT719780 IVX719715:IVX719780 IMB719715:IMB719780 ICF719715:ICF719780 HSJ719715:HSJ719780 HIN719715:HIN719780 GYR719715:GYR719780 GOV719715:GOV719780 GEZ719715:GEZ719780 FVD719715:FVD719780 FLH719715:FLH719780 FBL719715:FBL719780 ERP719715:ERP719780 EHT719715:EHT719780 DXX719715:DXX719780 DOB719715:DOB719780 DEF719715:DEF719780 CUJ719715:CUJ719780 CKN719715:CKN719780 CAR719715:CAR719780 BQV719715:BQV719780 BGZ719715:BGZ719780 AXD719715:AXD719780 ANH719715:ANH719780 ADL719715:ADL719780 TP719715:TP719780 JT719715:JT719780 X719715:X719780 WWF654179:WWF654244 WMJ654179:WMJ654244 WCN654179:WCN654244 VSR654179:VSR654244 VIV654179:VIV654244 UYZ654179:UYZ654244 UPD654179:UPD654244 UFH654179:UFH654244 TVL654179:TVL654244 TLP654179:TLP654244 TBT654179:TBT654244 SRX654179:SRX654244 SIB654179:SIB654244 RYF654179:RYF654244 ROJ654179:ROJ654244 REN654179:REN654244 QUR654179:QUR654244 QKV654179:QKV654244 QAZ654179:QAZ654244 PRD654179:PRD654244 PHH654179:PHH654244 OXL654179:OXL654244 ONP654179:ONP654244 ODT654179:ODT654244 NTX654179:NTX654244 NKB654179:NKB654244 NAF654179:NAF654244 MQJ654179:MQJ654244 MGN654179:MGN654244 LWR654179:LWR654244 LMV654179:LMV654244 LCZ654179:LCZ654244 KTD654179:KTD654244 KJH654179:KJH654244 JZL654179:JZL654244 JPP654179:JPP654244 JFT654179:JFT654244 IVX654179:IVX654244 IMB654179:IMB654244 ICF654179:ICF654244 HSJ654179:HSJ654244 HIN654179:HIN654244 GYR654179:GYR654244 GOV654179:GOV654244 GEZ654179:GEZ654244 FVD654179:FVD654244 FLH654179:FLH654244 FBL654179:FBL654244 ERP654179:ERP654244 EHT654179:EHT654244 DXX654179:DXX654244 DOB654179:DOB654244 DEF654179:DEF654244 CUJ654179:CUJ654244 CKN654179:CKN654244 CAR654179:CAR654244 BQV654179:BQV654244 BGZ654179:BGZ654244 AXD654179:AXD654244 ANH654179:ANH654244 ADL654179:ADL654244 TP654179:TP654244 JT654179:JT654244 X654179:X654244 WWF588643:WWF588708 WMJ588643:WMJ588708 WCN588643:WCN588708 VSR588643:VSR588708 VIV588643:VIV588708 UYZ588643:UYZ588708 UPD588643:UPD588708 UFH588643:UFH588708 TVL588643:TVL588708 TLP588643:TLP588708 TBT588643:TBT588708 SRX588643:SRX588708 SIB588643:SIB588708 RYF588643:RYF588708 ROJ588643:ROJ588708 REN588643:REN588708 QUR588643:QUR588708 QKV588643:QKV588708 QAZ588643:QAZ588708 PRD588643:PRD588708 PHH588643:PHH588708 OXL588643:OXL588708 ONP588643:ONP588708 ODT588643:ODT588708 NTX588643:NTX588708 NKB588643:NKB588708 NAF588643:NAF588708 MQJ588643:MQJ588708 MGN588643:MGN588708 LWR588643:LWR588708 LMV588643:LMV588708 LCZ588643:LCZ588708 KTD588643:KTD588708 KJH588643:KJH588708 JZL588643:JZL588708 JPP588643:JPP588708 JFT588643:JFT588708 IVX588643:IVX588708 IMB588643:IMB588708 ICF588643:ICF588708 HSJ588643:HSJ588708 HIN588643:HIN588708 GYR588643:GYR588708 GOV588643:GOV588708 GEZ588643:GEZ588708 FVD588643:FVD588708 FLH588643:FLH588708 FBL588643:FBL588708 ERP588643:ERP588708 EHT588643:EHT588708 DXX588643:DXX588708 DOB588643:DOB588708 DEF588643:DEF588708 CUJ588643:CUJ588708 CKN588643:CKN588708 CAR588643:CAR588708 BQV588643:BQV588708 BGZ588643:BGZ588708 AXD588643:AXD588708 ANH588643:ANH588708 ADL588643:ADL588708 TP588643:TP588708 JT588643:JT588708 X588643:X588708 WWF523107:WWF523172 WMJ523107:WMJ523172 WCN523107:WCN523172 VSR523107:VSR523172 VIV523107:VIV523172 UYZ523107:UYZ523172 UPD523107:UPD523172 UFH523107:UFH523172 TVL523107:TVL523172 TLP523107:TLP523172 TBT523107:TBT523172 SRX523107:SRX523172 SIB523107:SIB523172 RYF523107:RYF523172 ROJ523107:ROJ523172 REN523107:REN523172 QUR523107:QUR523172 QKV523107:QKV523172 QAZ523107:QAZ523172 PRD523107:PRD523172 PHH523107:PHH523172 OXL523107:OXL523172 ONP523107:ONP523172 ODT523107:ODT523172 NTX523107:NTX523172 NKB523107:NKB523172 NAF523107:NAF523172 MQJ523107:MQJ523172 MGN523107:MGN523172 LWR523107:LWR523172 LMV523107:LMV523172 LCZ523107:LCZ523172 KTD523107:KTD523172 KJH523107:KJH523172 JZL523107:JZL523172 JPP523107:JPP523172 JFT523107:JFT523172 IVX523107:IVX523172 IMB523107:IMB523172 ICF523107:ICF523172 HSJ523107:HSJ523172 HIN523107:HIN523172 GYR523107:GYR523172 GOV523107:GOV523172 GEZ523107:GEZ523172 FVD523107:FVD523172 FLH523107:FLH523172 FBL523107:FBL523172 ERP523107:ERP523172 EHT523107:EHT523172 DXX523107:DXX523172 DOB523107:DOB523172 DEF523107:DEF523172 CUJ523107:CUJ523172 CKN523107:CKN523172 CAR523107:CAR523172 BQV523107:BQV523172 BGZ523107:BGZ523172 AXD523107:AXD523172 ANH523107:ANH523172 ADL523107:ADL523172 TP523107:TP523172 JT523107:JT523172 X523107:X523172 WWF457571:WWF457636 WMJ457571:WMJ457636 WCN457571:WCN457636 VSR457571:VSR457636 VIV457571:VIV457636 UYZ457571:UYZ457636 UPD457571:UPD457636 UFH457571:UFH457636 TVL457571:TVL457636 TLP457571:TLP457636 TBT457571:TBT457636 SRX457571:SRX457636 SIB457571:SIB457636 RYF457571:RYF457636 ROJ457571:ROJ457636 REN457571:REN457636 QUR457571:QUR457636 QKV457571:QKV457636 QAZ457571:QAZ457636 PRD457571:PRD457636 PHH457571:PHH457636 OXL457571:OXL457636 ONP457571:ONP457636 ODT457571:ODT457636 NTX457571:NTX457636 NKB457571:NKB457636 NAF457571:NAF457636 MQJ457571:MQJ457636 MGN457571:MGN457636 LWR457571:LWR457636 LMV457571:LMV457636 LCZ457571:LCZ457636 KTD457571:KTD457636 KJH457571:KJH457636 JZL457571:JZL457636 JPP457571:JPP457636 JFT457571:JFT457636 IVX457571:IVX457636 IMB457571:IMB457636 ICF457571:ICF457636 HSJ457571:HSJ457636 HIN457571:HIN457636 GYR457571:GYR457636 GOV457571:GOV457636 GEZ457571:GEZ457636 FVD457571:FVD457636 FLH457571:FLH457636 FBL457571:FBL457636 ERP457571:ERP457636 EHT457571:EHT457636 DXX457571:DXX457636 DOB457571:DOB457636 DEF457571:DEF457636 CUJ457571:CUJ457636 CKN457571:CKN457636 CAR457571:CAR457636 BQV457571:BQV457636 BGZ457571:BGZ457636 AXD457571:AXD457636 ANH457571:ANH457636 ADL457571:ADL457636 TP457571:TP457636 JT457571:JT457636 X457571:X457636 WWF392035:WWF392100 WMJ392035:WMJ392100 WCN392035:WCN392100 VSR392035:VSR392100 VIV392035:VIV392100 UYZ392035:UYZ392100 UPD392035:UPD392100 UFH392035:UFH392100 TVL392035:TVL392100 TLP392035:TLP392100 TBT392035:TBT392100 SRX392035:SRX392100 SIB392035:SIB392100 RYF392035:RYF392100 ROJ392035:ROJ392100 REN392035:REN392100 QUR392035:QUR392100 QKV392035:QKV392100 QAZ392035:QAZ392100 PRD392035:PRD392100 PHH392035:PHH392100 OXL392035:OXL392100 ONP392035:ONP392100 ODT392035:ODT392100 NTX392035:NTX392100 NKB392035:NKB392100 NAF392035:NAF392100 MQJ392035:MQJ392100 MGN392035:MGN392100 LWR392035:LWR392100 LMV392035:LMV392100 LCZ392035:LCZ392100 KTD392035:KTD392100 KJH392035:KJH392100 JZL392035:JZL392100 JPP392035:JPP392100 JFT392035:JFT392100 IVX392035:IVX392100 IMB392035:IMB392100 ICF392035:ICF392100 HSJ392035:HSJ392100 HIN392035:HIN392100 GYR392035:GYR392100 GOV392035:GOV392100 GEZ392035:GEZ392100 FVD392035:FVD392100 FLH392035:FLH392100 FBL392035:FBL392100 ERP392035:ERP392100 EHT392035:EHT392100 DXX392035:DXX392100 DOB392035:DOB392100 DEF392035:DEF392100 CUJ392035:CUJ392100 CKN392035:CKN392100 CAR392035:CAR392100 BQV392035:BQV392100 BGZ392035:BGZ392100 AXD392035:AXD392100 ANH392035:ANH392100 ADL392035:ADL392100 TP392035:TP392100 JT392035:JT392100 X392035:X392100 WWF326499:WWF326564 WMJ326499:WMJ326564 WCN326499:WCN326564 VSR326499:VSR326564 VIV326499:VIV326564 UYZ326499:UYZ326564 UPD326499:UPD326564 UFH326499:UFH326564 TVL326499:TVL326564 TLP326499:TLP326564 TBT326499:TBT326564 SRX326499:SRX326564 SIB326499:SIB326564 RYF326499:RYF326564 ROJ326499:ROJ326564 REN326499:REN326564 QUR326499:QUR326564 QKV326499:QKV326564 QAZ326499:QAZ326564 PRD326499:PRD326564 PHH326499:PHH326564 OXL326499:OXL326564 ONP326499:ONP326564 ODT326499:ODT326564 NTX326499:NTX326564 NKB326499:NKB326564 NAF326499:NAF326564 MQJ326499:MQJ326564 MGN326499:MGN326564 LWR326499:LWR326564 LMV326499:LMV326564 LCZ326499:LCZ326564 KTD326499:KTD326564 KJH326499:KJH326564 JZL326499:JZL326564 JPP326499:JPP326564 JFT326499:JFT326564 IVX326499:IVX326564 IMB326499:IMB326564 ICF326499:ICF326564 HSJ326499:HSJ326564 HIN326499:HIN326564 GYR326499:GYR326564 GOV326499:GOV326564 GEZ326499:GEZ326564 FVD326499:FVD326564 FLH326499:FLH326564 FBL326499:FBL326564 ERP326499:ERP326564 EHT326499:EHT326564 DXX326499:DXX326564 DOB326499:DOB326564 DEF326499:DEF326564 CUJ326499:CUJ326564 CKN326499:CKN326564 CAR326499:CAR326564 BQV326499:BQV326564 BGZ326499:BGZ326564 AXD326499:AXD326564 ANH326499:ANH326564 ADL326499:ADL326564 TP326499:TP326564 JT326499:JT326564 X326499:X326564 WWF260963:WWF261028 WMJ260963:WMJ261028 WCN260963:WCN261028 VSR260963:VSR261028 VIV260963:VIV261028 UYZ260963:UYZ261028 UPD260963:UPD261028 UFH260963:UFH261028 TVL260963:TVL261028 TLP260963:TLP261028 TBT260963:TBT261028 SRX260963:SRX261028 SIB260963:SIB261028 RYF260963:RYF261028 ROJ260963:ROJ261028 REN260963:REN261028 QUR260963:QUR261028 QKV260963:QKV261028 QAZ260963:QAZ261028 PRD260963:PRD261028 PHH260963:PHH261028 OXL260963:OXL261028 ONP260963:ONP261028 ODT260963:ODT261028 NTX260963:NTX261028 NKB260963:NKB261028 NAF260963:NAF261028 MQJ260963:MQJ261028 MGN260963:MGN261028 LWR260963:LWR261028 LMV260963:LMV261028 LCZ260963:LCZ261028 KTD260963:KTD261028 KJH260963:KJH261028 JZL260963:JZL261028 JPP260963:JPP261028 JFT260963:JFT261028 IVX260963:IVX261028 IMB260963:IMB261028 ICF260963:ICF261028 HSJ260963:HSJ261028 HIN260963:HIN261028 GYR260963:GYR261028 GOV260963:GOV261028 GEZ260963:GEZ261028 FVD260963:FVD261028 FLH260963:FLH261028 FBL260963:FBL261028 ERP260963:ERP261028 EHT260963:EHT261028 DXX260963:DXX261028 DOB260963:DOB261028 DEF260963:DEF261028 CUJ260963:CUJ261028 CKN260963:CKN261028 CAR260963:CAR261028 BQV260963:BQV261028 BGZ260963:BGZ261028 AXD260963:AXD261028 ANH260963:ANH261028 ADL260963:ADL261028 TP260963:TP261028 JT260963:JT261028 X260963:X261028 WWF195427:WWF195492 WMJ195427:WMJ195492 WCN195427:WCN195492 VSR195427:VSR195492 VIV195427:VIV195492 UYZ195427:UYZ195492 UPD195427:UPD195492 UFH195427:UFH195492 TVL195427:TVL195492 TLP195427:TLP195492 TBT195427:TBT195492 SRX195427:SRX195492 SIB195427:SIB195492 RYF195427:RYF195492 ROJ195427:ROJ195492 REN195427:REN195492 QUR195427:QUR195492 QKV195427:QKV195492 QAZ195427:QAZ195492 PRD195427:PRD195492 PHH195427:PHH195492 OXL195427:OXL195492 ONP195427:ONP195492 ODT195427:ODT195492 NTX195427:NTX195492 NKB195427:NKB195492 NAF195427:NAF195492 MQJ195427:MQJ195492 MGN195427:MGN195492 LWR195427:LWR195492 LMV195427:LMV195492 LCZ195427:LCZ195492 KTD195427:KTD195492 KJH195427:KJH195492 JZL195427:JZL195492 JPP195427:JPP195492 JFT195427:JFT195492 IVX195427:IVX195492 IMB195427:IMB195492 ICF195427:ICF195492 HSJ195427:HSJ195492 HIN195427:HIN195492 GYR195427:GYR195492 GOV195427:GOV195492 GEZ195427:GEZ195492 FVD195427:FVD195492 FLH195427:FLH195492 FBL195427:FBL195492 ERP195427:ERP195492 EHT195427:EHT195492 DXX195427:DXX195492 DOB195427:DOB195492 DEF195427:DEF195492 CUJ195427:CUJ195492 CKN195427:CKN195492 CAR195427:CAR195492 BQV195427:BQV195492 BGZ195427:BGZ195492 AXD195427:AXD195492 ANH195427:ANH195492 ADL195427:ADL195492 TP195427:TP195492 JT195427:JT195492 X195427:X195492 WWF129891:WWF129956 WMJ129891:WMJ129956 WCN129891:WCN129956 VSR129891:VSR129956 VIV129891:VIV129956 UYZ129891:UYZ129956 UPD129891:UPD129956 UFH129891:UFH129956 TVL129891:TVL129956 TLP129891:TLP129956 TBT129891:TBT129956 SRX129891:SRX129956 SIB129891:SIB129956 RYF129891:RYF129956 ROJ129891:ROJ129956 REN129891:REN129956 QUR129891:QUR129956 QKV129891:QKV129956 QAZ129891:QAZ129956 PRD129891:PRD129956 PHH129891:PHH129956 OXL129891:OXL129956 ONP129891:ONP129956 ODT129891:ODT129956 NTX129891:NTX129956 NKB129891:NKB129956 NAF129891:NAF129956 MQJ129891:MQJ129956 MGN129891:MGN129956 LWR129891:LWR129956 LMV129891:LMV129956 LCZ129891:LCZ129956 KTD129891:KTD129956 KJH129891:KJH129956 JZL129891:JZL129956 JPP129891:JPP129956 JFT129891:JFT129956 IVX129891:IVX129956 IMB129891:IMB129956 ICF129891:ICF129956 HSJ129891:HSJ129956 HIN129891:HIN129956 GYR129891:GYR129956 GOV129891:GOV129956 GEZ129891:GEZ129956 FVD129891:FVD129956 FLH129891:FLH129956 FBL129891:FBL129956 ERP129891:ERP129956 EHT129891:EHT129956 DXX129891:DXX129956 DOB129891:DOB129956 DEF129891:DEF129956 CUJ129891:CUJ129956 CKN129891:CKN129956 CAR129891:CAR129956 BQV129891:BQV129956 BGZ129891:BGZ129956 AXD129891:AXD129956 ANH129891:ANH129956 ADL129891:ADL129956 TP129891:TP129956 JT129891:JT129956 X129891:X129956 WWF64355:WWF64420 WMJ64355:WMJ64420 WCN64355:WCN64420 VSR64355:VSR64420 VIV64355:VIV64420 UYZ64355:UYZ64420 UPD64355:UPD64420 UFH64355:UFH64420 TVL64355:TVL64420 TLP64355:TLP64420 TBT64355:TBT64420 SRX64355:SRX64420 SIB64355:SIB64420 RYF64355:RYF64420 ROJ64355:ROJ64420 REN64355:REN64420 QUR64355:QUR64420 QKV64355:QKV64420 QAZ64355:QAZ64420 PRD64355:PRD64420 PHH64355:PHH64420 OXL64355:OXL64420 ONP64355:ONP64420 ODT64355:ODT64420 NTX64355:NTX64420 NKB64355:NKB64420 NAF64355:NAF64420 MQJ64355:MQJ64420 MGN64355:MGN64420 LWR64355:LWR64420 LMV64355:LMV64420 LCZ64355:LCZ64420 KTD64355:KTD64420 KJH64355:KJH64420 JZL64355:JZL64420 JPP64355:JPP64420 JFT64355:JFT64420 IVX64355:IVX64420 IMB64355:IMB64420 ICF64355:ICF64420 HSJ64355:HSJ64420 HIN64355:HIN64420 GYR64355:GYR64420 GOV64355:GOV64420 GEZ64355:GEZ64420 FVD64355:FVD64420 FLH64355:FLH64420 FBL64355:FBL64420 ERP64355:ERP64420 EHT64355:EHT64420 DXX64355:DXX64420 DOB64355:DOB64420 DEF64355:DEF64420 CUJ64355:CUJ64420 CKN64355:CKN64420 CAR64355:CAR64420 BQV64355:BQV64420 BGZ64355:BGZ64420 AXD64355:AXD64420 ANH64355:ANH64420 ADL64355:ADL64420 TP64355:TP64420 X2:X492">
      <formula1>$AT$2:$AT$3</formula1>
    </dataValidation>
    <dataValidation type="list" allowBlank="1" showInputMessage="1" showErrorMessage="1" sqref="G64355:G64422 G2:G492 SY2:SY65 ACU2:ACU65 AMQ2:AMQ65 AWM2:AWM65 BGI2:BGI65 BQE2:BQE65 CAA2:CAA65 CJW2:CJW65 CTS2:CTS65 DDO2:DDO65 DNK2:DNK65 DXG2:DXG65 EHC2:EHC65 EQY2:EQY65 FAU2:FAU65 FKQ2:FKQ65 FUM2:FUM65 GEI2:GEI65 GOE2:GOE65 GYA2:GYA65 HHW2:HHW65 HRS2:HRS65 IBO2:IBO65 ILK2:ILK65 IVG2:IVG65 JFC2:JFC65 JOY2:JOY65 JYU2:JYU65 KIQ2:KIQ65 KSM2:KSM65 LCI2:LCI65 LME2:LME65 LWA2:LWA65 MFW2:MFW65 MPS2:MPS65 MZO2:MZO65 NJK2:NJK65 NTG2:NTG65 ODC2:ODC65 OMY2:OMY65 OWU2:OWU65 PGQ2:PGQ65 PQM2:PQM65 QAI2:QAI65 QKE2:QKE65 QUA2:QUA65 RDW2:RDW65 RNS2:RNS65 RXO2:RXO65 SHK2:SHK65 SRG2:SRG65 TBC2:TBC65 TKY2:TKY65 TUU2:TUU65 UEQ2:UEQ65 UOM2:UOM65 UYI2:UYI65 VIE2:VIE65 VSA2:VSA65 WBW2:WBW65 WLS2:WLS65 WVO2:WVO65 JC2:JC65 WLS983034:WLS983105 WBW983034:WBW983105 VSA983034:VSA983105 VIE983034:VIE983105 UYI983034:UYI983105 UOM983034:UOM983105 UEQ983034:UEQ983105 TUU983034:TUU983105 TKY983034:TKY983105 TBC983034:TBC983105 SRG983034:SRG983105 SHK983034:SHK983105 RXO983034:RXO983105 RNS983034:RNS983105 RDW983034:RDW983105 QUA983034:QUA983105 QKE983034:QKE983105 QAI983034:QAI983105 PQM983034:PQM983105 PGQ983034:PGQ983105 OWU983034:OWU983105 OMY983034:OMY983105 ODC983034:ODC983105 NTG983034:NTG983105 NJK983034:NJK983105 MZO983034:MZO983105 MPS983034:MPS983105 MFW983034:MFW983105 LWA983034:LWA983105 LME983034:LME983105 LCI983034:LCI983105 KSM983034:KSM983105 KIQ983034:KIQ983105 JYU983034:JYU983105 JOY983034:JOY983105 JFC983034:JFC983105 IVG983034:IVG983105 ILK983034:ILK983105 IBO983034:IBO983105 HRS983034:HRS983105 HHW983034:HHW983105 GYA983034:GYA983105 GOE983034:GOE983105 GEI983034:GEI983105 FUM983034:FUM983105 FKQ983034:FKQ983105 FAU983034:FAU983105 EQY983034:EQY983105 EHC983034:EHC983105 DXG983034:DXG983105 DNK983034:DNK983105 DDO983034:DDO983105 CTS983034:CTS983105 CJW983034:CJW983105 CAA983034:CAA983105 BQE983034:BQE983105 BGI983034:BGI983105 AWM983034:AWM983105 AMQ983034:AMQ983105 ACU983034:ACU983105 SY983034:SY983105 JC983034:JC983105 G983034:G983105 WVO917498:WVO917569 WLS917498:WLS917569 WBW917498:WBW917569 VSA917498:VSA917569 VIE917498:VIE917569 UYI917498:UYI917569 UOM917498:UOM917569 UEQ917498:UEQ917569 TUU917498:TUU917569 TKY917498:TKY917569 TBC917498:TBC917569 SRG917498:SRG917569 SHK917498:SHK917569 RXO917498:RXO917569 RNS917498:RNS917569 RDW917498:RDW917569 QUA917498:QUA917569 QKE917498:QKE917569 QAI917498:QAI917569 PQM917498:PQM917569 PGQ917498:PGQ917569 OWU917498:OWU917569 OMY917498:OMY917569 ODC917498:ODC917569 NTG917498:NTG917569 NJK917498:NJK917569 MZO917498:MZO917569 MPS917498:MPS917569 MFW917498:MFW917569 LWA917498:LWA917569 LME917498:LME917569 LCI917498:LCI917569 KSM917498:KSM917569 KIQ917498:KIQ917569 JYU917498:JYU917569 JOY917498:JOY917569 JFC917498:JFC917569 IVG917498:IVG917569 ILK917498:ILK917569 IBO917498:IBO917569 HRS917498:HRS917569 HHW917498:HHW917569 GYA917498:GYA917569 GOE917498:GOE917569 GEI917498:GEI917569 FUM917498:FUM917569 FKQ917498:FKQ917569 FAU917498:FAU917569 EQY917498:EQY917569 EHC917498:EHC917569 DXG917498:DXG917569 DNK917498:DNK917569 DDO917498:DDO917569 CTS917498:CTS917569 CJW917498:CJW917569 CAA917498:CAA917569 BQE917498:BQE917569 BGI917498:BGI917569 AWM917498:AWM917569 AMQ917498:AMQ917569 ACU917498:ACU917569 SY917498:SY917569 JC917498:JC917569 G917498:G917569 WVO851962:WVO852033 WLS851962:WLS852033 WBW851962:WBW852033 VSA851962:VSA852033 VIE851962:VIE852033 UYI851962:UYI852033 UOM851962:UOM852033 UEQ851962:UEQ852033 TUU851962:TUU852033 TKY851962:TKY852033 TBC851962:TBC852033 SRG851962:SRG852033 SHK851962:SHK852033 RXO851962:RXO852033 RNS851962:RNS852033 RDW851962:RDW852033 QUA851962:QUA852033 QKE851962:QKE852033 QAI851962:QAI852033 PQM851962:PQM852033 PGQ851962:PGQ852033 OWU851962:OWU852033 OMY851962:OMY852033 ODC851962:ODC852033 NTG851962:NTG852033 NJK851962:NJK852033 MZO851962:MZO852033 MPS851962:MPS852033 MFW851962:MFW852033 LWA851962:LWA852033 LME851962:LME852033 LCI851962:LCI852033 KSM851962:KSM852033 KIQ851962:KIQ852033 JYU851962:JYU852033 JOY851962:JOY852033 JFC851962:JFC852033 IVG851962:IVG852033 ILK851962:ILK852033 IBO851962:IBO852033 HRS851962:HRS852033 HHW851962:HHW852033 GYA851962:GYA852033 GOE851962:GOE852033 GEI851962:GEI852033 FUM851962:FUM852033 FKQ851962:FKQ852033 FAU851962:FAU852033 EQY851962:EQY852033 EHC851962:EHC852033 DXG851962:DXG852033 DNK851962:DNK852033 DDO851962:DDO852033 CTS851962:CTS852033 CJW851962:CJW852033 CAA851962:CAA852033 BQE851962:BQE852033 BGI851962:BGI852033 AWM851962:AWM852033 AMQ851962:AMQ852033 ACU851962:ACU852033 SY851962:SY852033 JC851962:JC852033 G851962:G852033 WVO786426:WVO786497 WLS786426:WLS786497 WBW786426:WBW786497 VSA786426:VSA786497 VIE786426:VIE786497 UYI786426:UYI786497 UOM786426:UOM786497 UEQ786426:UEQ786497 TUU786426:TUU786497 TKY786426:TKY786497 TBC786426:TBC786497 SRG786426:SRG786497 SHK786426:SHK786497 RXO786426:RXO786497 RNS786426:RNS786497 RDW786426:RDW786497 QUA786426:QUA786497 QKE786426:QKE786497 QAI786426:QAI786497 PQM786426:PQM786497 PGQ786426:PGQ786497 OWU786426:OWU786497 OMY786426:OMY786497 ODC786426:ODC786497 NTG786426:NTG786497 NJK786426:NJK786497 MZO786426:MZO786497 MPS786426:MPS786497 MFW786426:MFW786497 LWA786426:LWA786497 LME786426:LME786497 LCI786426:LCI786497 KSM786426:KSM786497 KIQ786426:KIQ786497 JYU786426:JYU786497 JOY786426:JOY786497 JFC786426:JFC786497 IVG786426:IVG786497 ILK786426:ILK786497 IBO786426:IBO786497 HRS786426:HRS786497 HHW786426:HHW786497 GYA786426:GYA786497 GOE786426:GOE786497 GEI786426:GEI786497 FUM786426:FUM786497 FKQ786426:FKQ786497 FAU786426:FAU786497 EQY786426:EQY786497 EHC786426:EHC786497 DXG786426:DXG786497 DNK786426:DNK786497 DDO786426:DDO786497 CTS786426:CTS786497 CJW786426:CJW786497 CAA786426:CAA786497 BQE786426:BQE786497 BGI786426:BGI786497 AWM786426:AWM786497 AMQ786426:AMQ786497 ACU786426:ACU786497 SY786426:SY786497 JC786426:JC786497 G786426:G786497 WVO720890:WVO720961 WLS720890:WLS720961 WBW720890:WBW720961 VSA720890:VSA720961 VIE720890:VIE720961 UYI720890:UYI720961 UOM720890:UOM720961 UEQ720890:UEQ720961 TUU720890:TUU720961 TKY720890:TKY720961 TBC720890:TBC720961 SRG720890:SRG720961 SHK720890:SHK720961 RXO720890:RXO720961 RNS720890:RNS720961 RDW720890:RDW720961 QUA720890:QUA720961 QKE720890:QKE720961 QAI720890:QAI720961 PQM720890:PQM720961 PGQ720890:PGQ720961 OWU720890:OWU720961 OMY720890:OMY720961 ODC720890:ODC720961 NTG720890:NTG720961 NJK720890:NJK720961 MZO720890:MZO720961 MPS720890:MPS720961 MFW720890:MFW720961 LWA720890:LWA720961 LME720890:LME720961 LCI720890:LCI720961 KSM720890:KSM720961 KIQ720890:KIQ720961 JYU720890:JYU720961 JOY720890:JOY720961 JFC720890:JFC720961 IVG720890:IVG720961 ILK720890:ILK720961 IBO720890:IBO720961 HRS720890:HRS720961 HHW720890:HHW720961 GYA720890:GYA720961 GOE720890:GOE720961 GEI720890:GEI720961 FUM720890:FUM720961 FKQ720890:FKQ720961 FAU720890:FAU720961 EQY720890:EQY720961 EHC720890:EHC720961 DXG720890:DXG720961 DNK720890:DNK720961 DDO720890:DDO720961 CTS720890:CTS720961 CJW720890:CJW720961 CAA720890:CAA720961 BQE720890:BQE720961 BGI720890:BGI720961 AWM720890:AWM720961 AMQ720890:AMQ720961 ACU720890:ACU720961 SY720890:SY720961 JC720890:JC720961 G720890:G720961 WVO655354:WVO655425 WLS655354:WLS655425 WBW655354:WBW655425 VSA655354:VSA655425 VIE655354:VIE655425 UYI655354:UYI655425 UOM655354:UOM655425 UEQ655354:UEQ655425 TUU655354:TUU655425 TKY655354:TKY655425 TBC655354:TBC655425 SRG655354:SRG655425 SHK655354:SHK655425 RXO655354:RXO655425 RNS655354:RNS655425 RDW655354:RDW655425 QUA655354:QUA655425 QKE655354:QKE655425 QAI655354:QAI655425 PQM655354:PQM655425 PGQ655354:PGQ655425 OWU655354:OWU655425 OMY655354:OMY655425 ODC655354:ODC655425 NTG655354:NTG655425 NJK655354:NJK655425 MZO655354:MZO655425 MPS655354:MPS655425 MFW655354:MFW655425 LWA655354:LWA655425 LME655354:LME655425 LCI655354:LCI655425 KSM655354:KSM655425 KIQ655354:KIQ655425 JYU655354:JYU655425 JOY655354:JOY655425 JFC655354:JFC655425 IVG655354:IVG655425 ILK655354:ILK655425 IBO655354:IBO655425 HRS655354:HRS655425 HHW655354:HHW655425 GYA655354:GYA655425 GOE655354:GOE655425 GEI655354:GEI655425 FUM655354:FUM655425 FKQ655354:FKQ655425 FAU655354:FAU655425 EQY655354:EQY655425 EHC655354:EHC655425 DXG655354:DXG655425 DNK655354:DNK655425 DDO655354:DDO655425 CTS655354:CTS655425 CJW655354:CJW655425 CAA655354:CAA655425 BQE655354:BQE655425 BGI655354:BGI655425 AWM655354:AWM655425 AMQ655354:AMQ655425 ACU655354:ACU655425 SY655354:SY655425 JC655354:JC655425 G655354:G655425 WVO589818:WVO589889 WLS589818:WLS589889 WBW589818:WBW589889 VSA589818:VSA589889 VIE589818:VIE589889 UYI589818:UYI589889 UOM589818:UOM589889 UEQ589818:UEQ589889 TUU589818:TUU589889 TKY589818:TKY589889 TBC589818:TBC589889 SRG589818:SRG589889 SHK589818:SHK589889 RXO589818:RXO589889 RNS589818:RNS589889 RDW589818:RDW589889 QUA589818:QUA589889 QKE589818:QKE589889 QAI589818:QAI589889 PQM589818:PQM589889 PGQ589818:PGQ589889 OWU589818:OWU589889 OMY589818:OMY589889 ODC589818:ODC589889 NTG589818:NTG589889 NJK589818:NJK589889 MZO589818:MZO589889 MPS589818:MPS589889 MFW589818:MFW589889 LWA589818:LWA589889 LME589818:LME589889 LCI589818:LCI589889 KSM589818:KSM589889 KIQ589818:KIQ589889 JYU589818:JYU589889 JOY589818:JOY589889 JFC589818:JFC589889 IVG589818:IVG589889 ILK589818:ILK589889 IBO589818:IBO589889 HRS589818:HRS589889 HHW589818:HHW589889 GYA589818:GYA589889 GOE589818:GOE589889 GEI589818:GEI589889 FUM589818:FUM589889 FKQ589818:FKQ589889 FAU589818:FAU589889 EQY589818:EQY589889 EHC589818:EHC589889 DXG589818:DXG589889 DNK589818:DNK589889 DDO589818:DDO589889 CTS589818:CTS589889 CJW589818:CJW589889 CAA589818:CAA589889 BQE589818:BQE589889 BGI589818:BGI589889 AWM589818:AWM589889 AMQ589818:AMQ589889 ACU589818:ACU589889 SY589818:SY589889 JC589818:JC589889 G589818:G589889 WVO524282:WVO524353 WLS524282:WLS524353 WBW524282:WBW524353 VSA524282:VSA524353 VIE524282:VIE524353 UYI524282:UYI524353 UOM524282:UOM524353 UEQ524282:UEQ524353 TUU524282:TUU524353 TKY524282:TKY524353 TBC524282:TBC524353 SRG524282:SRG524353 SHK524282:SHK524353 RXO524282:RXO524353 RNS524282:RNS524353 RDW524282:RDW524353 QUA524282:QUA524353 QKE524282:QKE524353 QAI524282:QAI524353 PQM524282:PQM524353 PGQ524282:PGQ524353 OWU524282:OWU524353 OMY524282:OMY524353 ODC524282:ODC524353 NTG524282:NTG524353 NJK524282:NJK524353 MZO524282:MZO524353 MPS524282:MPS524353 MFW524282:MFW524353 LWA524282:LWA524353 LME524282:LME524353 LCI524282:LCI524353 KSM524282:KSM524353 KIQ524282:KIQ524353 JYU524282:JYU524353 JOY524282:JOY524353 JFC524282:JFC524353 IVG524282:IVG524353 ILK524282:ILK524353 IBO524282:IBO524353 HRS524282:HRS524353 HHW524282:HHW524353 GYA524282:GYA524353 GOE524282:GOE524353 GEI524282:GEI524353 FUM524282:FUM524353 FKQ524282:FKQ524353 FAU524282:FAU524353 EQY524282:EQY524353 EHC524282:EHC524353 DXG524282:DXG524353 DNK524282:DNK524353 DDO524282:DDO524353 CTS524282:CTS524353 CJW524282:CJW524353 CAA524282:CAA524353 BQE524282:BQE524353 BGI524282:BGI524353 AWM524282:AWM524353 AMQ524282:AMQ524353 ACU524282:ACU524353 SY524282:SY524353 JC524282:JC524353 G524282:G524353 WVO458746:WVO458817 WLS458746:WLS458817 WBW458746:WBW458817 VSA458746:VSA458817 VIE458746:VIE458817 UYI458746:UYI458817 UOM458746:UOM458817 UEQ458746:UEQ458817 TUU458746:TUU458817 TKY458746:TKY458817 TBC458746:TBC458817 SRG458746:SRG458817 SHK458746:SHK458817 RXO458746:RXO458817 RNS458746:RNS458817 RDW458746:RDW458817 QUA458746:QUA458817 QKE458746:QKE458817 QAI458746:QAI458817 PQM458746:PQM458817 PGQ458746:PGQ458817 OWU458746:OWU458817 OMY458746:OMY458817 ODC458746:ODC458817 NTG458746:NTG458817 NJK458746:NJK458817 MZO458746:MZO458817 MPS458746:MPS458817 MFW458746:MFW458817 LWA458746:LWA458817 LME458746:LME458817 LCI458746:LCI458817 KSM458746:KSM458817 KIQ458746:KIQ458817 JYU458746:JYU458817 JOY458746:JOY458817 JFC458746:JFC458817 IVG458746:IVG458817 ILK458746:ILK458817 IBO458746:IBO458817 HRS458746:HRS458817 HHW458746:HHW458817 GYA458746:GYA458817 GOE458746:GOE458817 GEI458746:GEI458817 FUM458746:FUM458817 FKQ458746:FKQ458817 FAU458746:FAU458817 EQY458746:EQY458817 EHC458746:EHC458817 DXG458746:DXG458817 DNK458746:DNK458817 DDO458746:DDO458817 CTS458746:CTS458817 CJW458746:CJW458817 CAA458746:CAA458817 BQE458746:BQE458817 BGI458746:BGI458817 AWM458746:AWM458817 AMQ458746:AMQ458817 ACU458746:ACU458817 SY458746:SY458817 JC458746:JC458817 G458746:G458817 WVO393210:WVO393281 WLS393210:WLS393281 WBW393210:WBW393281 VSA393210:VSA393281 VIE393210:VIE393281 UYI393210:UYI393281 UOM393210:UOM393281 UEQ393210:UEQ393281 TUU393210:TUU393281 TKY393210:TKY393281 TBC393210:TBC393281 SRG393210:SRG393281 SHK393210:SHK393281 RXO393210:RXO393281 RNS393210:RNS393281 RDW393210:RDW393281 QUA393210:QUA393281 QKE393210:QKE393281 QAI393210:QAI393281 PQM393210:PQM393281 PGQ393210:PGQ393281 OWU393210:OWU393281 OMY393210:OMY393281 ODC393210:ODC393281 NTG393210:NTG393281 NJK393210:NJK393281 MZO393210:MZO393281 MPS393210:MPS393281 MFW393210:MFW393281 LWA393210:LWA393281 LME393210:LME393281 LCI393210:LCI393281 KSM393210:KSM393281 KIQ393210:KIQ393281 JYU393210:JYU393281 JOY393210:JOY393281 JFC393210:JFC393281 IVG393210:IVG393281 ILK393210:ILK393281 IBO393210:IBO393281 HRS393210:HRS393281 HHW393210:HHW393281 GYA393210:GYA393281 GOE393210:GOE393281 GEI393210:GEI393281 FUM393210:FUM393281 FKQ393210:FKQ393281 FAU393210:FAU393281 EQY393210:EQY393281 EHC393210:EHC393281 DXG393210:DXG393281 DNK393210:DNK393281 DDO393210:DDO393281 CTS393210:CTS393281 CJW393210:CJW393281 CAA393210:CAA393281 BQE393210:BQE393281 BGI393210:BGI393281 AWM393210:AWM393281 AMQ393210:AMQ393281 ACU393210:ACU393281 SY393210:SY393281 JC393210:JC393281 G393210:G393281 WVO327674:WVO327745 WLS327674:WLS327745 WBW327674:WBW327745 VSA327674:VSA327745 VIE327674:VIE327745 UYI327674:UYI327745 UOM327674:UOM327745 UEQ327674:UEQ327745 TUU327674:TUU327745 TKY327674:TKY327745 TBC327674:TBC327745 SRG327674:SRG327745 SHK327674:SHK327745 RXO327674:RXO327745 RNS327674:RNS327745 RDW327674:RDW327745 QUA327674:QUA327745 QKE327674:QKE327745 QAI327674:QAI327745 PQM327674:PQM327745 PGQ327674:PGQ327745 OWU327674:OWU327745 OMY327674:OMY327745 ODC327674:ODC327745 NTG327674:NTG327745 NJK327674:NJK327745 MZO327674:MZO327745 MPS327674:MPS327745 MFW327674:MFW327745 LWA327674:LWA327745 LME327674:LME327745 LCI327674:LCI327745 KSM327674:KSM327745 KIQ327674:KIQ327745 JYU327674:JYU327745 JOY327674:JOY327745 JFC327674:JFC327745 IVG327674:IVG327745 ILK327674:ILK327745 IBO327674:IBO327745 HRS327674:HRS327745 HHW327674:HHW327745 GYA327674:GYA327745 GOE327674:GOE327745 GEI327674:GEI327745 FUM327674:FUM327745 FKQ327674:FKQ327745 FAU327674:FAU327745 EQY327674:EQY327745 EHC327674:EHC327745 DXG327674:DXG327745 DNK327674:DNK327745 DDO327674:DDO327745 CTS327674:CTS327745 CJW327674:CJW327745 CAA327674:CAA327745 BQE327674:BQE327745 BGI327674:BGI327745 AWM327674:AWM327745 AMQ327674:AMQ327745 ACU327674:ACU327745 SY327674:SY327745 JC327674:JC327745 G327674:G327745 WVO262138:WVO262209 WLS262138:WLS262209 WBW262138:WBW262209 VSA262138:VSA262209 VIE262138:VIE262209 UYI262138:UYI262209 UOM262138:UOM262209 UEQ262138:UEQ262209 TUU262138:TUU262209 TKY262138:TKY262209 TBC262138:TBC262209 SRG262138:SRG262209 SHK262138:SHK262209 RXO262138:RXO262209 RNS262138:RNS262209 RDW262138:RDW262209 QUA262138:QUA262209 QKE262138:QKE262209 QAI262138:QAI262209 PQM262138:PQM262209 PGQ262138:PGQ262209 OWU262138:OWU262209 OMY262138:OMY262209 ODC262138:ODC262209 NTG262138:NTG262209 NJK262138:NJK262209 MZO262138:MZO262209 MPS262138:MPS262209 MFW262138:MFW262209 LWA262138:LWA262209 LME262138:LME262209 LCI262138:LCI262209 KSM262138:KSM262209 KIQ262138:KIQ262209 JYU262138:JYU262209 JOY262138:JOY262209 JFC262138:JFC262209 IVG262138:IVG262209 ILK262138:ILK262209 IBO262138:IBO262209 HRS262138:HRS262209 HHW262138:HHW262209 GYA262138:GYA262209 GOE262138:GOE262209 GEI262138:GEI262209 FUM262138:FUM262209 FKQ262138:FKQ262209 FAU262138:FAU262209 EQY262138:EQY262209 EHC262138:EHC262209 DXG262138:DXG262209 DNK262138:DNK262209 DDO262138:DDO262209 CTS262138:CTS262209 CJW262138:CJW262209 CAA262138:CAA262209 BQE262138:BQE262209 BGI262138:BGI262209 AWM262138:AWM262209 AMQ262138:AMQ262209 ACU262138:ACU262209 SY262138:SY262209 JC262138:JC262209 G262138:G262209 WVO196602:WVO196673 WLS196602:WLS196673 WBW196602:WBW196673 VSA196602:VSA196673 VIE196602:VIE196673 UYI196602:UYI196673 UOM196602:UOM196673 UEQ196602:UEQ196673 TUU196602:TUU196673 TKY196602:TKY196673 TBC196602:TBC196673 SRG196602:SRG196673 SHK196602:SHK196673 RXO196602:RXO196673 RNS196602:RNS196673 RDW196602:RDW196673 QUA196602:QUA196673 QKE196602:QKE196673 QAI196602:QAI196673 PQM196602:PQM196673 PGQ196602:PGQ196673 OWU196602:OWU196673 OMY196602:OMY196673 ODC196602:ODC196673 NTG196602:NTG196673 NJK196602:NJK196673 MZO196602:MZO196673 MPS196602:MPS196673 MFW196602:MFW196673 LWA196602:LWA196673 LME196602:LME196673 LCI196602:LCI196673 KSM196602:KSM196673 KIQ196602:KIQ196673 JYU196602:JYU196673 JOY196602:JOY196673 JFC196602:JFC196673 IVG196602:IVG196673 ILK196602:ILK196673 IBO196602:IBO196673 HRS196602:HRS196673 HHW196602:HHW196673 GYA196602:GYA196673 GOE196602:GOE196673 GEI196602:GEI196673 FUM196602:FUM196673 FKQ196602:FKQ196673 FAU196602:FAU196673 EQY196602:EQY196673 EHC196602:EHC196673 DXG196602:DXG196673 DNK196602:DNK196673 DDO196602:DDO196673 CTS196602:CTS196673 CJW196602:CJW196673 CAA196602:CAA196673 BQE196602:BQE196673 BGI196602:BGI196673 AWM196602:AWM196673 AMQ196602:AMQ196673 ACU196602:ACU196673 SY196602:SY196673 JC196602:JC196673 G196602:G196673 WVO131066:WVO131137 WLS131066:WLS131137 WBW131066:WBW131137 VSA131066:VSA131137 VIE131066:VIE131137 UYI131066:UYI131137 UOM131066:UOM131137 UEQ131066:UEQ131137 TUU131066:TUU131137 TKY131066:TKY131137 TBC131066:TBC131137 SRG131066:SRG131137 SHK131066:SHK131137 RXO131066:RXO131137 RNS131066:RNS131137 RDW131066:RDW131137 QUA131066:QUA131137 QKE131066:QKE131137 QAI131066:QAI131137 PQM131066:PQM131137 PGQ131066:PGQ131137 OWU131066:OWU131137 OMY131066:OMY131137 ODC131066:ODC131137 NTG131066:NTG131137 NJK131066:NJK131137 MZO131066:MZO131137 MPS131066:MPS131137 MFW131066:MFW131137 LWA131066:LWA131137 LME131066:LME131137 LCI131066:LCI131137 KSM131066:KSM131137 KIQ131066:KIQ131137 JYU131066:JYU131137 JOY131066:JOY131137 JFC131066:JFC131137 IVG131066:IVG131137 ILK131066:ILK131137 IBO131066:IBO131137 HRS131066:HRS131137 HHW131066:HHW131137 GYA131066:GYA131137 GOE131066:GOE131137 GEI131066:GEI131137 FUM131066:FUM131137 FKQ131066:FKQ131137 FAU131066:FAU131137 EQY131066:EQY131137 EHC131066:EHC131137 DXG131066:DXG131137 DNK131066:DNK131137 DDO131066:DDO131137 CTS131066:CTS131137 CJW131066:CJW131137 CAA131066:CAA131137 BQE131066:BQE131137 BGI131066:BGI131137 AWM131066:AWM131137 AMQ131066:AMQ131137 ACU131066:ACU131137 SY131066:SY131137 JC131066:JC131137 G131066:G131137 WVO65530:WVO65601 WLS65530:WLS65601 WBW65530:WBW65601 VSA65530:VSA65601 VIE65530:VIE65601 UYI65530:UYI65601 UOM65530:UOM65601 UEQ65530:UEQ65601 TUU65530:TUU65601 TKY65530:TKY65601 TBC65530:TBC65601 SRG65530:SRG65601 SHK65530:SHK65601 RXO65530:RXO65601 RNS65530:RNS65601 RDW65530:RDW65601 QUA65530:QUA65601 QKE65530:QKE65601 QAI65530:QAI65601 PQM65530:PQM65601 PGQ65530:PGQ65601 OWU65530:OWU65601 OMY65530:OMY65601 ODC65530:ODC65601 NTG65530:NTG65601 NJK65530:NJK65601 MZO65530:MZO65601 MPS65530:MPS65601 MFW65530:MFW65601 LWA65530:LWA65601 LME65530:LME65601 LCI65530:LCI65601 KSM65530:KSM65601 KIQ65530:KIQ65601 JYU65530:JYU65601 JOY65530:JOY65601 JFC65530:JFC65601 IVG65530:IVG65601 ILK65530:ILK65601 IBO65530:IBO65601 HRS65530:HRS65601 HHW65530:HHW65601 GYA65530:GYA65601 GOE65530:GOE65601 GEI65530:GEI65601 FUM65530:FUM65601 FKQ65530:FKQ65601 FAU65530:FAU65601 EQY65530:EQY65601 EHC65530:EHC65601 DXG65530:DXG65601 DNK65530:DNK65601 DDO65530:DDO65601 CTS65530:CTS65601 CJW65530:CJW65601 CAA65530:CAA65601 BQE65530:BQE65601 BGI65530:BGI65601 AWM65530:AWM65601 AMQ65530:AMQ65601 ACU65530:ACU65601 SY65530:SY65601 JC65530:JC65601 G65530:G65601 WVO983034:WVO983105 WVO1047395:WVO1047462 WLS1047395:WLS1047462 WBW1047395:WBW1047462 VSA1047395:VSA1047462 VIE1047395:VIE1047462 UYI1047395:UYI1047462 UOM1047395:UOM1047462 UEQ1047395:UEQ1047462 TUU1047395:TUU1047462 TKY1047395:TKY1047462 TBC1047395:TBC1047462 SRG1047395:SRG1047462 SHK1047395:SHK1047462 RXO1047395:RXO1047462 RNS1047395:RNS1047462 RDW1047395:RDW1047462 QUA1047395:QUA1047462 QKE1047395:QKE1047462 QAI1047395:QAI1047462 PQM1047395:PQM1047462 PGQ1047395:PGQ1047462 OWU1047395:OWU1047462 OMY1047395:OMY1047462 ODC1047395:ODC1047462 NTG1047395:NTG1047462 NJK1047395:NJK1047462 MZO1047395:MZO1047462 MPS1047395:MPS1047462 MFW1047395:MFW1047462 LWA1047395:LWA1047462 LME1047395:LME1047462 LCI1047395:LCI1047462 KSM1047395:KSM1047462 KIQ1047395:KIQ1047462 JYU1047395:JYU1047462 JOY1047395:JOY1047462 JFC1047395:JFC1047462 IVG1047395:IVG1047462 ILK1047395:ILK1047462 IBO1047395:IBO1047462 HRS1047395:HRS1047462 HHW1047395:HHW1047462 GYA1047395:GYA1047462 GOE1047395:GOE1047462 GEI1047395:GEI1047462 FUM1047395:FUM1047462 FKQ1047395:FKQ1047462 FAU1047395:FAU1047462 EQY1047395:EQY1047462 EHC1047395:EHC1047462 DXG1047395:DXG1047462 DNK1047395:DNK1047462 DDO1047395:DDO1047462 CTS1047395:CTS1047462 CJW1047395:CJW1047462 CAA1047395:CAA1047462 BQE1047395:BQE1047462 BGI1047395:BGI1047462 AWM1047395:AWM1047462 AMQ1047395:AMQ1047462 ACU1047395:ACU1047462 SY1047395:SY1047462 JC1047395:JC1047462 G1047395:G1047462 WVO981859:WVO981926 WLS981859:WLS981926 WBW981859:WBW981926 VSA981859:VSA981926 VIE981859:VIE981926 UYI981859:UYI981926 UOM981859:UOM981926 UEQ981859:UEQ981926 TUU981859:TUU981926 TKY981859:TKY981926 TBC981859:TBC981926 SRG981859:SRG981926 SHK981859:SHK981926 RXO981859:RXO981926 RNS981859:RNS981926 RDW981859:RDW981926 QUA981859:QUA981926 QKE981859:QKE981926 QAI981859:QAI981926 PQM981859:PQM981926 PGQ981859:PGQ981926 OWU981859:OWU981926 OMY981859:OMY981926 ODC981859:ODC981926 NTG981859:NTG981926 NJK981859:NJK981926 MZO981859:MZO981926 MPS981859:MPS981926 MFW981859:MFW981926 LWA981859:LWA981926 LME981859:LME981926 LCI981859:LCI981926 KSM981859:KSM981926 KIQ981859:KIQ981926 JYU981859:JYU981926 JOY981859:JOY981926 JFC981859:JFC981926 IVG981859:IVG981926 ILK981859:ILK981926 IBO981859:IBO981926 HRS981859:HRS981926 HHW981859:HHW981926 GYA981859:GYA981926 GOE981859:GOE981926 GEI981859:GEI981926 FUM981859:FUM981926 FKQ981859:FKQ981926 FAU981859:FAU981926 EQY981859:EQY981926 EHC981859:EHC981926 DXG981859:DXG981926 DNK981859:DNK981926 DDO981859:DDO981926 CTS981859:CTS981926 CJW981859:CJW981926 CAA981859:CAA981926 BQE981859:BQE981926 BGI981859:BGI981926 AWM981859:AWM981926 AMQ981859:AMQ981926 ACU981859:ACU981926 SY981859:SY981926 JC981859:JC981926 G981859:G981926 WVO916323:WVO916390 WLS916323:WLS916390 WBW916323:WBW916390 VSA916323:VSA916390 VIE916323:VIE916390 UYI916323:UYI916390 UOM916323:UOM916390 UEQ916323:UEQ916390 TUU916323:TUU916390 TKY916323:TKY916390 TBC916323:TBC916390 SRG916323:SRG916390 SHK916323:SHK916390 RXO916323:RXO916390 RNS916323:RNS916390 RDW916323:RDW916390 QUA916323:QUA916390 QKE916323:QKE916390 QAI916323:QAI916390 PQM916323:PQM916390 PGQ916323:PGQ916390 OWU916323:OWU916390 OMY916323:OMY916390 ODC916323:ODC916390 NTG916323:NTG916390 NJK916323:NJK916390 MZO916323:MZO916390 MPS916323:MPS916390 MFW916323:MFW916390 LWA916323:LWA916390 LME916323:LME916390 LCI916323:LCI916390 KSM916323:KSM916390 KIQ916323:KIQ916390 JYU916323:JYU916390 JOY916323:JOY916390 JFC916323:JFC916390 IVG916323:IVG916390 ILK916323:ILK916390 IBO916323:IBO916390 HRS916323:HRS916390 HHW916323:HHW916390 GYA916323:GYA916390 GOE916323:GOE916390 GEI916323:GEI916390 FUM916323:FUM916390 FKQ916323:FKQ916390 FAU916323:FAU916390 EQY916323:EQY916390 EHC916323:EHC916390 DXG916323:DXG916390 DNK916323:DNK916390 DDO916323:DDO916390 CTS916323:CTS916390 CJW916323:CJW916390 CAA916323:CAA916390 BQE916323:BQE916390 BGI916323:BGI916390 AWM916323:AWM916390 AMQ916323:AMQ916390 ACU916323:ACU916390 SY916323:SY916390 JC916323:JC916390 G916323:G916390 WVO850787:WVO850854 WLS850787:WLS850854 WBW850787:WBW850854 VSA850787:VSA850854 VIE850787:VIE850854 UYI850787:UYI850854 UOM850787:UOM850854 UEQ850787:UEQ850854 TUU850787:TUU850854 TKY850787:TKY850854 TBC850787:TBC850854 SRG850787:SRG850854 SHK850787:SHK850854 RXO850787:RXO850854 RNS850787:RNS850854 RDW850787:RDW850854 QUA850787:QUA850854 QKE850787:QKE850854 QAI850787:QAI850854 PQM850787:PQM850854 PGQ850787:PGQ850854 OWU850787:OWU850854 OMY850787:OMY850854 ODC850787:ODC850854 NTG850787:NTG850854 NJK850787:NJK850854 MZO850787:MZO850854 MPS850787:MPS850854 MFW850787:MFW850854 LWA850787:LWA850854 LME850787:LME850854 LCI850787:LCI850854 KSM850787:KSM850854 KIQ850787:KIQ850854 JYU850787:JYU850854 JOY850787:JOY850854 JFC850787:JFC850854 IVG850787:IVG850854 ILK850787:ILK850854 IBO850787:IBO850854 HRS850787:HRS850854 HHW850787:HHW850854 GYA850787:GYA850854 GOE850787:GOE850854 GEI850787:GEI850854 FUM850787:FUM850854 FKQ850787:FKQ850854 FAU850787:FAU850854 EQY850787:EQY850854 EHC850787:EHC850854 DXG850787:DXG850854 DNK850787:DNK850854 DDO850787:DDO850854 CTS850787:CTS850854 CJW850787:CJW850854 CAA850787:CAA850854 BQE850787:BQE850854 BGI850787:BGI850854 AWM850787:AWM850854 AMQ850787:AMQ850854 ACU850787:ACU850854 SY850787:SY850854 JC850787:JC850854 G850787:G850854 WVO785251:WVO785318 WLS785251:WLS785318 WBW785251:WBW785318 VSA785251:VSA785318 VIE785251:VIE785318 UYI785251:UYI785318 UOM785251:UOM785318 UEQ785251:UEQ785318 TUU785251:TUU785318 TKY785251:TKY785318 TBC785251:TBC785318 SRG785251:SRG785318 SHK785251:SHK785318 RXO785251:RXO785318 RNS785251:RNS785318 RDW785251:RDW785318 QUA785251:QUA785318 QKE785251:QKE785318 QAI785251:QAI785318 PQM785251:PQM785318 PGQ785251:PGQ785318 OWU785251:OWU785318 OMY785251:OMY785318 ODC785251:ODC785318 NTG785251:NTG785318 NJK785251:NJK785318 MZO785251:MZO785318 MPS785251:MPS785318 MFW785251:MFW785318 LWA785251:LWA785318 LME785251:LME785318 LCI785251:LCI785318 KSM785251:KSM785318 KIQ785251:KIQ785318 JYU785251:JYU785318 JOY785251:JOY785318 JFC785251:JFC785318 IVG785251:IVG785318 ILK785251:ILK785318 IBO785251:IBO785318 HRS785251:HRS785318 HHW785251:HHW785318 GYA785251:GYA785318 GOE785251:GOE785318 GEI785251:GEI785318 FUM785251:FUM785318 FKQ785251:FKQ785318 FAU785251:FAU785318 EQY785251:EQY785318 EHC785251:EHC785318 DXG785251:DXG785318 DNK785251:DNK785318 DDO785251:DDO785318 CTS785251:CTS785318 CJW785251:CJW785318 CAA785251:CAA785318 BQE785251:BQE785318 BGI785251:BGI785318 AWM785251:AWM785318 AMQ785251:AMQ785318 ACU785251:ACU785318 SY785251:SY785318 JC785251:JC785318 G785251:G785318 WVO719715:WVO719782 WLS719715:WLS719782 WBW719715:WBW719782 VSA719715:VSA719782 VIE719715:VIE719782 UYI719715:UYI719782 UOM719715:UOM719782 UEQ719715:UEQ719782 TUU719715:TUU719782 TKY719715:TKY719782 TBC719715:TBC719782 SRG719715:SRG719782 SHK719715:SHK719782 RXO719715:RXO719782 RNS719715:RNS719782 RDW719715:RDW719782 QUA719715:QUA719782 QKE719715:QKE719782 QAI719715:QAI719782 PQM719715:PQM719782 PGQ719715:PGQ719782 OWU719715:OWU719782 OMY719715:OMY719782 ODC719715:ODC719782 NTG719715:NTG719782 NJK719715:NJK719782 MZO719715:MZO719782 MPS719715:MPS719782 MFW719715:MFW719782 LWA719715:LWA719782 LME719715:LME719782 LCI719715:LCI719782 KSM719715:KSM719782 KIQ719715:KIQ719782 JYU719715:JYU719782 JOY719715:JOY719782 JFC719715:JFC719782 IVG719715:IVG719782 ILK719715:ILK719782 IBO719715:IBO719782 HRS719715:HRS719782 HHW719715:HHW719782 GYA719715:GYA719782 GOE719715:GOE719782 GEI719715:GEI719782 FUM719715:FUM719782 FKQ719715:FKQ719782 FAU719715:FAU719782 EQY719715:EQY719782 EHC719715:EHC719782 DXG719715:DXG719782 DNK719715:DNK719782 DDO719715:DDO719782 CTS719715:CTS719782 CJW719715:CJW719782 CAA719715:CAA719782 BQE719715:BQE719782 BGI719715:BGI719782 AWM719715:AWM719782 AMQ719715:AMQ719782 ACU719715:ACU719782 SY719715:SY719782 JC719715:JC719782 G719715:G719782 WVO654179:WVO654246 WLS654179:WLS654246 WBW654179:WBW654246 VSA654179:VSA654246 VIE654179:VIE654246 UYI654179:UYI654246 UOM654179:UOM654246 UEQ654179:UEQ654246 TUU654179:TUU654246 TKY654179:TKY654246 TBC654179:TBC654246 SRG654179:SRG654246 SHK654179:SHK654246 RXO654179:RXO654246 RNS654179:RNS654246 RDW654179:RDW654246 QUA654179:QUA654246 QKE654179:QKE654246 QAI654179:QAI654246 PQM654179:PQM654246 PGQ654179:PGQ654246 OWU654179:OWU654246 OMY654179:OMY654246 ODC654179:ODC654246 NTG654179:NTG654246 NJK654179:NJK654246 MZO654179:MZO654246 MPS654179:MPS654246 MFW654179:MFW654246 LWA654179:LWA654246 LME654179:LME654246 LCI654179:LCI654246 KSM654179:KSM654246 KIQ654179:KIQ654246 JYU654179:JYU654246 JOY654179:JOY654246 JFC654179:JFC654246 IVG654179:IVG654246 ILK654179:ILK654246 IBO654179:IBO654246 HRS654179:HRS654246 HHW654179:HHW654246 GYA654179:GYA654246 GOE654179:GOE654246 GEI654179:GEI654246 FUM654179:FUM654246 FKQ654179:FKQ654246 FAU654179:FAU654246 EQY654179:EQY654246 EHC654179:EHC654246 DXG654179:DXG654246 DNK654179:DNK654246 DDO654179:DDO654246 CTS654179:CTS654246 CJW654179:CJW654246 CAA654179:CAA654246 BQE654179:BQE654246 BGI654179:BGI654246 AWM654179:AWM654246 AMQ654179:AMQ654246 ACU654179:ACU654246 SY654179:SY654246 JC654179:JC654246 G654179:G654246 WVO588643:WVO588710 WLS588643:WLS588710 WBW588643:WBW588710 VSA588643:VSA588710 VIE588643:VIE588710 UYI588643:UYI588710 UOM588643:UOM588710 UEQ588643:UEQ588710 TUU588643:TUU588710 TKY588643:TKY588710 TBC588643:TBC588710 SRG588643:SRG588710 SHK588643:SHK588710 RXO588643:RXO588710 RNS588643:RNS588710 RDW588643:RDW588710 QUA588643:QUA588710 QKE588643:QKE588710 QAI588643:QAI588710 PQM588643:PQM588710 PGQ588643:PGQ588710 OWU588643:OWU588710 OMY588643:OMY588710 ODC588643:ODC588710 NTG588643:NTG588710 NJK588643:NJK588710 MZO588643:MZO588710 MPS588643:MPS588710 MFW588643:MFW588710 LWA588643:LWA588710 LME588643:LME588710 LCI588643:LCI588710 KSM588643:KSM588710 KIQ588643:KIQ588710 JYU588643:JYU588710 JOY588643:JOY588710 JFC588643:JFC588710 IVG588643:IVG588710 ILK588643:ILK588710 IBO588643:IBO588710 HRS588643:HRS588710 HHW588643:HHW588710 GYA588643:GYA588710 GOE588643:GOE588710 GEI588643:GEI588710 FUM588643:FUM588710 FKQ588643:FKQ588710 FAU588643:FAU588710 EQY588643:EQY588710 EHC588643:EHC588710 DXG588643:DXG588710 DNK588643:DNK588710 DDO588643:DDO588710 CTS588643:CTS588710 CJW588643:CJW588710 CAA588643:CAA588710 BQE588643:BQE588710 BGI588643:BGI588710 AWM588643:AWM588710 AMQ588643:AMQ588710 ACU588643:ACU588710 SY588643:SY588710 JC588643:JC588710 G588643:G588710 WVO523107:WVO523174 WLS523107:WLS523174 WBW523107:WBW523174 VSA523107:VSA523174 VIE523107:VIE523174 UYI523107:UYI523174 UOM523107:UOM523174 UEQ523107:UEQ523174 TUU523107:TUU523174 TKY523107:TKY523174 TBC523107:TBC523174 SRG523107:SRG523174 SHK523107:SHK523174 RXO523107:RXO523174 RNS523107:RNS523174 RDW523107:RDW523174 QUA523107:QUA523174 QKE523107:QKE523174 QAI523107:QAI523174 PQM523107:PQM523174 PGQ523107:PGQ523174 OWU523107:OWU523174 OMY523107:OMY523174 ODC523107:ODC523174 NTG523107:NTG523174 NJK523107:NJK523174 MZO523107:MZO523174 MPS523107:MPS523174 MFW523107:MFW523174 LWA523107:LWA523174 LME523107:LME523174 LCI523107:LCI523174 KSM523107:KSM523174 KIQ523107:KIQ523174 JYU523107:JYU523174 JOY523107:JOY523174 JFC523107:JFC523174 IVG523107:IVG523174 ILK523107:ILK523174 IBO523107:IBO523174 HRS523107:HRS523174 HHW523107:HHW523174 GYA523107:GYA523174 GOE523107:GOE523174 GEI523107:GEI523174 FUM523107:FUM523174 FKQ523107:FKQ523174 FAU523107:FAU523174 EQY523107:EQY523174 EHC523107:EHC523174 DXG523107:DXG523174 DNK523107:DNK523174 DDO523107:DDO523174 CTS523107:CTS523174 CJW523107:CJW523174 CAA523107:CAA523174 BQE523107:BQE523174 BGI523107:BGI523174 AWM523107:AWM523174 AMQ523107:AMQ523174 ACU523107:ACU523174 SY523107:SY523174 JC523107:JC523174 G523107:G523174 WVO457571:WVO457638 WLS457571:WLS457638 WBW457571:WBW457638 VSA457571:VSA457638 VIE457571:VIE457638 UYI457571:UYI457638 UOM457571:UOM457638 UEQ457571:UEQ457638 TUU457571:TUU457638 TKY457571:TKY457638 TBC457571:TBC457638 SRG457571:SRG457638 SHK457571:SHK457638 RXO457571:RXO457638 RNS457571:RNS457638 RDW457571:RDW457638 QUA457571:QUA457638 QKE457571:QKE457638 QAI457571:QAI457638 PQM457571:PQM457638 PGQ457571:PGQ457638 OWU457571:OWU457638 OMY457571:OMY457638 ODC457571:ODC457638 NTG457571:NTG457638 NJK457571:NJK457638 MZO457571:MZO457638 MPS457571:MPS457638 MFW457571:MFW457638 LWA457571:LWA457638 LME457571:LME457638 LCI457571:LCI457638 KSM457571:KSM457638 KIQ457571:KIQ457638 JYU457571:JYU457638 JOY457571:JOY457638 JFC457571:JFC457638 IVG457571:IVG457638 ILK457571:ILK457638 IBO457571:IBO457638 HRS457571:HRS457638 HHW457571:HHW457638 GYA457571:GYA457638 GOE457571:GOE457638 GEI457571:GEI457638 FUM457571:FUM457638 FKQ457571:FKQ457638 FAU457571:FAU457638 EQY457571:EQY457638 EHC457571:EHC457638 DXG457571:DXG457638 DNK457571:DNK457638 DDO457571:DDO457638 CTS457571:CTS457638 CJW457571:CJW457638 CAA457571:CAA457638 BQE457571:BQE457638 BGI457571:BGI457638 AWM457571:AWM457638 AMQ457571:AMQ457638 ACU457571:ACU457638 SY457571:SY457638 JC457571:JC457638 G457571:G457638 WVO392035:WVO392102 WLS392035:WLS392102 WBW392035:WBW392102 VSA392035:VSA392102 VIE392035:VIE392102 UYI392035:UYI392102 UOM392035:UOM392102 UEQ392035:UEQ392102 TUU392035:TUU392102 TKY392035:TKY392102 TBC392035:TBC392102 SRG392035:SRG392102 SHK392035:SHK392102 RXO392035:RXO392102 RNS392035:RNS392102 RDW392035:RDW392102 QUA392035:QUA392102 QKE392035:QKE392102 QAI392035:QAI392102 PQM392035:PQM392102 PGQ392035:PGQ392102 OWU392035:OWU392102 OMY392035:OMY392102 ODC392035:ODC392102 NTG392035:NTG392102 NJK392035:NJK392102 MZO392035:MZO392102 MPS392035:MPS392102 MFW392035:MFW392102 LWA392035:LWA392102 LME392035:LME392102 LCI392035:LCI392102 KSM392035:KSM392102 KIQ392035:KIQ392102 JYU392035:JYU392102 JOY392035:JOY392102 JFC392035:JFC392102 IVG392035:IVG392102 ILK392035:ILK392102 IBO392035:IBO392102 HRS392035:HRS392102 HHW392035:HHW392102 GYA392035:GYA392102 GOE392035:GOE392102 GEI392035:GEI392102 FUM392035:FUM392102 FKQ392035:FKQ392102 FAU392035:FAU392102 EQY392035:EQY392102 EHC392035:EHC392102 DXG392035:DXG392102 DNK392035:DNK392102 DDO392035:DDO392102 CTS392035:CTS392102 CJW392035:CJW392102 CAA392035:CAA392102 BQE392035:BQE392102 BGI392035:BGI392102 AWM392035:AWM392102 AMQ392035:AMQ392102 ACU392035:ACU392102 SY392035:SY392102 JC392035:JC392102 G392035:G392102 WVO326499:WVO326566 WLS326499:WLS326566 WBW326499:WBW326566 VSA326499:VSA326566 VIE326499:VIE326566 UYI326499:UYI326566 UOM326499:UOM326566 UEQ326499:UEQ326566 TUU326499:TUU326566 TKY326499:TKY326566 TBC326499:TBC326566 SRG326499:SRG326566 SHK326499:SHK326566 RXO326499:RXO326566 RNS326499:RNS326566 RDW326499:RDW326566 QUA326499:QUA326566 QKE326499:QKE326566 QAI326499:QAI326566 PQM326499:PQM326566 PGQ326499:PGQ326566 OWU326499:OWU326566 OMY326499:OMY326566 ODC326499:ODC326566 NTG326499:NTG326566 NJK326499:NJK326566 MZO326499:MZO326566 MPS326499:MPS326566 MFW326499:MFW326566 LWA326499:LWA326566 LME326499:LME326566 LCI326499:LCI326566 KSM326499:KSM326566 KIQ326499:KIQ326566 JYU326499:JYU326566 JOY326499:JOY326566 JFC326499:JFC326566 IVG326499:IVG326566 ILK326499:ILK326566 IBO326499:IBO326566 HRS326499:HRS326566 HHW326499:HHW326566 GYA326499:GYA326566 GOE326499:GOE326566 GEI326499:GEI326566 FUM326499:FUM326566 FKQ326499:FKQ326566 FAU326499:FAU326566 EQY326499:EQY326566 EHC326499:EHC326566 DXG326499:DXG326566 DNK326499:DNK326566 DDO326499:DDO326566 CTS326499:CTS326566 CJW326499:CJW326566 CAA326499:CAA326566 BQE326499:BQE326566 BGI326499:BGI326566 AWM326499:AWM326566 AMQ326499:AMQ326566 ACU326499:ACU326566 SY326499:SY326566 JC326499:JC326566 G326499:G326566 WVO260963:WVO261030 WLS260963:WLS261030 WBW260963:WBW261030 VSA260963:VSA261030 VIE260963:VIE261030 UYI260963:UYI261030 UOM260963:UOM261030 UEQ260963:UEQ261030 TUU260963:TUU261030 TKY260963:TKY261030 TBC260963:TBC261030 SRG260963:SRG261030 SHK260963:SHK261030 RXO260963:RXO261030 RNS260963:RNS261030 RDW260963:RDW261030 QUA260963:QUA261030 QKE260963:QKE261030 QAI260963:QAI261030 PQM260963:PQM261030 PGQ260963:PGQ261030 OWU260963:OWU261030 OMY260963:OMY261030 ODC260963:ODC261030 NTG260963:NTG261030 NJK260963:NJK261030 MZO260963:MZO261030 MPS260963:MPS261030 MFW260963:MFW261030 LWA260963:LWA261030 LME260963:LME261030 LCI260963:LCI261030 KSM260963:KSM261030 KIQ260963:KIQ261030 JYU260963:JYU261030 JOY260963:JOY261030 JFC260963:JFC261030 IVG260963:IVG261030 ILK260963:ILK261030 IBO260963:IBO261030 HRS260963:HRS261030 HHW260963:HHW261030 GYA260963:GYA261030 GOE260963:GOE261030 GEI260963:GEI261030 FUM260963:FUM261030 FKQ260963:FKQ261030 FAU260963:FAU261030 EQY260963:EQY261030 EHC260963:EHC261030 DXG260963:DXG261030 DNK260963:DNK261030 DDO260963:DDO261030 CTS260963:CTS261030 CJW260963:CJW261030 CAA260963:CAA261030 BQE260963:BQE261030 BGI260963:BGI261030 AWM260963:AWM261030 AMQ260963:AMQ261030 ACU260963:ACU261030 SY260963:SY261030 JC260963:JC261030 G260963:G261030 WVO195427:WVO195494 WLS195427:WLS195494 WBW195427:WBW195494 VSA195427:VSA195494 VIE195427:VIE195494 UYI195427:UYI195494 UOM195427:UOM195494 UEQ195427:UEQ195494 TUU195427:TUU195494 TKY195427:TKY195494 TBC195427:TBC195494 SRG195427:SRG195494 SHK195427:SHK195494 RXO195427:RXO195494 RNS195427:RNS195494 RDW195427:RDW195494 QUA195427:QUA195494 QKE195427:QKE195494 QAI195427:QAI195494 PQM195427:PQM195494 PGQ195427:PGQ195494 OWU195427:OWU195494 OMY195427:OMY195494 ODC195427:ODC195494 NTG195427:NTG195494 NJK195427:NJK195494 MZO195427:MZO195494 MPS195427:MPS195494 MFW195427:MFW195494 LWA195427:LWA195494 LME195427:LME195494 LCI195427:LCI195494 KSM195427:KSM195494 KIQ195427:KIQ195494 JYU195427:JYU195494 JOY195427:JOY195494 JFC195427:JFC195494 IVG195427:IVG195494 ILK195427:ILK195494 IBO195427:IBO195494 HRS195427:HRS195494 HHW195427:HHW195494 GYA195427:GYA195494 GOE195427:GOE195494 GEI195427:GEI195494 FUM195427:FUM195494 FKQ195427:FKQ195494 FAU195427:FAU195494 EQY195427:EQY195494 EHC195427:EHC195494 DXG195427:DXG195494 DNK195427:DNK195494 DDO195427:DDO195494 CTS195427:CTS195494 CJW195427:CJW195494 CAA195427:CAA195494 BQE195427:BQE195494 BGI195427:BGI195494 AWM195427:AWM195494 AMQ195427:AMQ195494 ACU195427:ACU195494 SY195427:SY195494 JC195427:JC195494 G195427:G195494 WVO129891:WVO129958 WLS129891:WLS129958 WBW129891:WBW129958 VSA129891:VSA129958 VIE129891:VIE129958 UYI129891:UYI129958 UOM129891:UOM129958 UEQ129891:UEQ129958 TUU129891:TUU129958 TKY129891:TKY129958 TBC129891:TBC129958 SRG129891:SRG129958 SHK129891:SHK129958 RXO129891:RXO129958 RNS129891:RNS129958 RDW129891:RDW129958 QUA129891:QUA129958 QKE129891:QKE129958 QAI129891:QAI129958 PQM129891:PQM129958 PGQ129891:PGQ129958 OWU129891:OWU129958 OMY129891:OMY129958 ODC129891:ODC129958 NTG129891:NTG129958 NJK129891:NJK129958 MZO129891:MZO129958 MPS129891:MPS129958 MFW129891:MFW129958 LWA129891:LWA129958 LME129891:LME129958 LCI129891:LCI129958 KSM129891:KSM129958 KIQ129891:KIQ129958 JYU129891:JYU129958 JOY129891:JOY129958 JFC129891:JFC129958 IVG129891:IVG129958 ILK129891:ILK129958 IBO129891:IBO129958 HRS129891:HRS129958 HHW129891:HHW129958 GYA129891:GYA129958 GOE129891:GOE129958 GEI129891:GEI129958 FUM129891:FUM129958 FKQ129891:FKQ129958 FAU129891:FAU129958 EQY129891:EQY129958 EHC129891:EHC129958 DXG129891:DXG129958 DNK129891:DNK129958 DDO129891:DDO129958 CTS129891:CTS129958 CJW129891:CJW129958 CAA129891:CAA129958 BQE129891:BQE129958 BGI129891:BGI129958 AWM129891:AWM129958 AMQ129891:AMQ129958 ACU129891:ACU129958 SY129891:SY129958 JC129891:JC129958 G129891:G129958 WVO64355:WVO64422 WLS64355:WLS64422 WBW64355:WBW64422 VSA64355:VSA64422 VIE64355:VIE64422 UYI64355:UYI64422 UOM64355:UOM64422 UEQ64355:UEQ64422 TUU64355:TUU64422 TKY64355:TKY64422 TBC64355:TBC64422 SRG64355:SRG64422 SHK64355:SHK64422 RXO64355:RXO64422 RNS64355:RNS64422 RDW64355:RDW64422 QUA64355:QUA64422 QKE64355:QKE64422 QAI64355:QAI64422 PQM64355:PQM64422 PGQ64355:PGQ64422 OWU64355:OWU64422 OMY64355:OMY64422 ODC64355:ODC64422 NTG64355:NTG64422 NJK64355:NJK64422 MZO64355:MZO64422 MPS64355:MPS64422 MFW64355:MFW64422 LWA64355:LWA64422 LME64355:LME64422 LCI64355:LCI64422 KSM64355:KSM64422 KIQ64355:KIQ64422 JYU64355:JYU64422 JOY64355:JOY64422 JFC64355:JFC64422 IVG64355:IVG64422 ILK64355:ILK64422 IBO64355:IBO64422 HRS64355:HRS64422 HHW64355:HHW64422 GYA64355:GYA64422 GOE64355:GOE64422 GEI64355:GEI64422 FUM64355:FUM64422 FKQ64355:FKQ64422 FAU64355:FAU64422 EQY64355:EQY64422 EHC64355:EHC64422 DXG64355:DXG64422 DNK64355:DNK64422 DDO64355:DDO64422 CTS64355:CTS64422 CJW64355:CJW64422 CAA64355:CAA64422 BQE64355:BQE64422 BGI64355:BGI64422 AWM64355:AWM64422 AMQ64355:AMQ64422 ACU64355:ACU64422 SY64355:SY64422 JC64355:JC64422">
      <formula1>$AJ$2:$AJ$4</formula1>
    </dataValidation>
    <dataValidation type="list" allowBlank="1" showInputMessage="1" showErrorMessage="1" sqref="I64355:I64420 JE64355:JE64420 TA2:TA59 ACW2:ACW59 AMS2:AMS59 AWO2:AWO59 BGK2:BGK59 BQG2:BQG59 CAC2:CAC59 CJY2:CJY59 CTU2:CTU59 DDQ2:DDQ59 DNM2:DNM59 DXI2:DXI59 EHE2:EHE59 ERA2:ERA59 FAW2:FAW59 FKS2:FKS59 FUO2:FUO59 GEK2:GEK59 GOG2:GOG59 GYC2:GYC59 HHY2:HHY59 HRU2:HRU59 IBQ2:IBQ59 ILM2:ILM59 IVI2:IVI59 JFE2:JFE59 JPA2:JPA59 JYW2:JYW59 KIS2:KIS59 KSO2:KSO59 LCK2:LCK59 LMG2:LMG59 LWC2:LWC59 MFY2:MFY59 MPU2:MPU59 MZQ2:MZQ59 NJM2:NJM59 NTI2:NTI59 ODE2:ODE59 ONA2:ONA59 OWW2:OWW59 PGS2:PGS59 PQO2:PQO59 QAK2:QAK59 QKG2:QKG59 QUC2:QUC59 RDY2:RDY59 RNU2:RNU59 RXQ2:RXQ59 SHM2:SHM59 SRI2:SRI59 TBE2:TBE59 TLA2:TLA59 TUW2:TUW59 UES2:UES59 UOO2:UOO59 UYK2:UYK59 VIG2:VIG59 VSC2:VSC59 WBY2:WBY59 WLU2:WLU59 WVQ2:WVQ59 JE2:JE59 WLU983034:WLU983099 WBY983034:WBY983099 VSC983034:VSC983099 VIG983034:VIG983099 UYK983034:UYK983099 UOO983034:UOO983099 UES983034:UES983099 TUW983034:TUW983099 TLA983034:TLA983099 TBE983034:TBE983099 SRI983034:SRI983099 SHM983034:SHM983099 RXQ983034:RXQ983099 RNU983034:RNU983099 RDY983034:RDY983099 QUC983034:QUC983099 QKG983034:QKG983099 QAK983034:QAK983099 PQO983034:PQO983099 PGS983034:PGS983099 OWW983034:OWW983099 ONA983034:ONA983099 ODE983034:ODE983099 NTI983034:NTI983099 NJM983034:NJM983099 MZQ983034:MZQ983099 MPU983034:MPU983099 MFY983034:MFY983099 LWC983034:LWC983099 LMG983034:LMG983099 LCK983034:LCK983099 KSO983034:KSO983099 KIS983034:KIS983099 JYW983034:JYW983099 JPA983034:JPA983099 JFE983034:JFE983099 IVI983034:IVI983099 ILM983034:ILM983099 IBQ983034:IBQ983099 HRU983034:HRU983099 HHY983034:HHY983099 GYC983034:GYC983099 GOG983034:GOG983099 GEK983034:GEK983099 FUO983034:FUO983099 FKS983034:FKS983099 FAW983034:FAW983099 ERA983034:ERA983099 EHE983034:EHE983099 DXI983034:DXI983099 DNM983034:DNM983099 DDQ983034:DDQ983099 CTU983034:CTU983099 CJY983034:CJY983099 CAC983034:CAC983099 BQG983034:BQG983099 BGK983034:BGK983099 AWO983034:AWO983099 AMS983034:AMS983099 ACW983034:ACW983099 TA983034:TA983099 JE983034:JE983099 I983034:I983099 WVQ917498:WVQ917563 WLU917498:WLU917563 WBY917498:WBY917563 VSC917498:VSC917563 VIG917498:VIG917563 UYK917498:UYK917563 UOO917498:UOO917563 UES917498:UES917563 TUW917498:TUW917563 TLA917498:TLA917563 TBE917498:TBE917563 SRI917498:SRI917563 SHM917498:SHM917563 RXQ917498:RXQ917563 RNU917498:RNU917563 RDY917498:RDY917563 QUC917498:QUC917563 QKG917498:QKG917563 QAK917498:QAK917563 PQO917498:PQO917563 PGS917498:PGS917563 OWW917498:OWW917563 ONA917498:ONA917563 ODE917498:ODE917563 NTI917498:NTI917563 NJM917498:NJM917563 MZQ917498:MZQ917563 MPU917498:MPU917563 MFY917498:MFY917563 LWC917498:LWC917563 LMG917498:LMG917563 LCK917498:LCK917563 KSO917498:KSO917563 KIS917498:KIS917563 JYW917498:JYW917563 JPA917498:JPA917563 JFE917498:JFE917563 IVI917498:IVI917563 ILM917498:ILM917563 IBQ917498:IBQ917563 HRU917498:HRU917563 HHY917498:HHY917563 GYC917498:GYC917563 GOG917498:GOG917563 GEK917498:GEK917563 FUO917498:FUO917563 FKS917498:FKS917563 FAW917498:FAW917563 ERA917498:ERA917563 EHE917498:EHE917563 DXI917498:DXI917563 DNM917498:DNM917563 DDQ917498:DDQ917563 CTU917498:CTU917563 CJY917498:CJY917563 CAC917498:CAC917563 BQG917498:BQG917563 BGK917498:BGK917563 AWO917498:AWO917563 AMS917498:AMS917563 ACW917498:ACW917563 TA917498:TA917563 JE917498:JE917563 I917498:I917563 WVQ851962:WVQ852027 WLU851962:WLU852027 WBY851962:WBY852027 VSC851962:VSC852027 VIG851962:VIG852027 UYK851962:UYK852027 UOO851962:UOO852027 UES851962:UES852027 TUW851962:TUW852027 TLA851962:TLA852027 TBE851962:TBE852027 SRI851962:SRI852027 SHM851962:SHM852027 RXQ851962:RXQ852027 RNU851962:RNU852027 RDY851962:RDY852027 QUC851962:QUC852027 QKG851962:QKG852027 QAK851962:QAK852027 PQO851962:PQO852027 PGS851962:PGS852027 OWW851962:OWW852027 ONA851962:ONA852027 ODE851962:ODE852027 NTI851962:NTI852027 NJM851962:NJM852027 MZQ851962:MZQ852027 MPU851962:MPU852027 MFY851962:MFY852027 LWC851962:LWC852027 LMG851962:LMG852027 LCK851962:LCK852027 KSO851962:KSO852027 KIS851962:KIS852027 JYW851962:JYW852027 JPA851962:JPA852027 JFE851962:JFE852027 IVI851962:IVI852027 ILM851962:ILM852027 IBQ851962:IBQ852027 HRU851962:HRU852027 HHY851962:HHY852027 GYC851962:GYC852027 GOG851962:GOG852027 GEK851962:GEK852027 FUO851962:FUO852027 FKS851962:FKS852027 FAW851962:FAW852027 ERA851962:ERA852027 EHE851962:EHE852027 DXI851962:DXI852027 DNM851962:DNM852027 DDQ851962:DDQ852027 CTU851962:CTU852027 CJY851962:CJY852027 CAC851962:CAC852027 BQG851962:BQG852027 BGK851962:BGK852027 AWO851962:AWO852027 AMS851962:AMS852027 ACW851962:ACW852027 TA851962:TA852027 JE851962:JE852027 I851962:I852027 WVQ786426:WVQ786491 WLU786426:WLU786491 WBY786426:WBY786491 VSC786426:VSC786491 VIG786426:VIG786491 UYK786426:UYK786491 UOO786426:UOO786491 UES786426:UES786491 TUW786426:TUW786491 TLA786426:TLA786491 TBE786426:TBE786491 SRI786426:SRI786491 SHM786426:SHM786491 RXQ786426:RXQ786491 RNU786426:RNU786491 RDY786426:RDY786491 QUC786426:QUC786491 QKG786426:QKG786491 QAK786426:QAK786491 PQO786426:PQO786491 PGS786426:PGS786491 OWW786426:OWW786491 ONA786426:ONA786491 ODE786426:ODE786491 NTI786426:NTI786491 NJM786426:NJM786491 MZQ786426:MZQ786491 MPU786426:MPU786491 MFY786426:MFY786491 LWC786426:LWC786491 LMG786426:LMG786491 LCK786426:LCK786491 KSO786426:KSO786491 KIS786426:KIS786491 JYW786426:JYW786491 JPA786426:JPA786491 JFE786426:JFE786491 IVI786426:IVI786491 ILM786426:ILM786491 IBQ786426:IBQ786491 HRU786426:HRU786491 HHY786426:HHY786491 GYC786426:GYC786491 GOG786426:GOG786491 GEK786426:GEK786491 FUO786426:FUO786491 FKS786426:FKS786491 FAW786426:FAW786491 ERA786426:ERA786491 EHE786426:EHE786491 DXI786426:DXI786491 DNM786426:DNM786491 DDQ786426:DDQ786491 CTU786426:CTU786491 CJY786426:CJY786491 CAC786426:CAC786491 BQG786426:BQG786491 BGK786426:BGK786491 AWO786426:AWO786491 AMS786426:AMS786491 ACW786426:ACW786491 TA786426:TA786491 JE786426:JE786491 I786426:I786491 WVQ720890:WVQ720955 WLU720890:WLU720955 WBY720890:WBY720955 VSC720890:VSC720955 VIG720890:VIG720955 UYK720890:UYK720955 UOO720890:UOO720955 UES720890:UES720955 TUW720890:TUW720955 TLA720890:TLA720955 TBE720890:TBE720955 SRI720890:SRI720955 SHM720890:SHM720955 RXQ720890:RXQ720955 RNU720890:RNU720955 RDY720890:RDY720955 QUC720890:QUC720955 QKG720890:QKG720955 QAK720890:QAK720955 PQO720890:PQO720955 PGS720890:PGS720955 OWW720890:OWW720955 ONA720890:ONA720955 ODE720890:ODE720955 NTI720890:NTI720955 NJM720890:NJM720955 MZQ720890:MZQ720955 MPU720890:MPU720955 MFY720890:MFY720955 LWC720890:LWC720955 LMG720890:LMG720955 LCK720890:LCK720955 KSO720890:KSO720955 KIS720890:KIS720955 JYW720890:JYW720955 JPA720890:JPA720955 JFE720890:JFE720955 IVI720890:IVI720955 ILM720890:ILM720955 IBQ720890:IBQ720955 HRU720890:HRU720955 HHY720890:HHY720955 GYC720890:GYC720955 GOG720890:GOG720955 GEK720890:GEK720955 FUO720890:FUO720955 FKS720890:FKS720955 FAW720890:FAW720955 ERA720890:ERA720955 EHE720890:EHE720955 DXI720890:DXI720955 DNM720890:DNM720955 DDQ720890:DDQ720955 CTU720890:CTU720955 CJY720890:CJY720955 CAC720890:CAC720955 BQG720890:BQG720955 BGK720890:BGK720955 AWO720890:AWO720955 AMS720890:AMS720955 ACW720890:ACW720955 TA720890:TA720955 JE720890:JE720955 I720890:I720955 WVQ655354:WVQ655419 WLU655354:WLU655419 WBY655354:WBY655419 VSC655354:VSC655419 VIG655354:VIG655419 UYK655354:UYK655419 UOO655354:UOO655419 UES655354:UES655419 TUW655354:TUW655419 TLA655354:TLA655419 TBE655354:TBE655419 SRI655354:SRI655419 SHM655354:SHM655419 RXQ655354:RXQ655419 RNU655354:RNU655419 RDY655354:RDY655419 QUC655354:QUC655419 QKG655354:QKG655419 QAK655354:QAK655419 PQO655354:PQO655419 PGS655354:PGS655419 OWW655354:OWW655419 ONA655354:ONA655419 ODE655354:ODE655419 NTI655354:NTI655419 NJM655354:NJM655419 MZQ655354:MZQ655419 MPU655354:MPU655419 MFY655354:MFY655419 LWC655354:LWC655419 LMG655354:LMG655419 LCK655354:LCK655419 KSO655354:KSO655419 KIS655354:KIS655419 JYW655354:JYW655419 JPA655354:JPA655419 JFE655354:JFE655419 IVI655354:IVI655419 ILM655354:ILM655419 IBQ655354:IBQ655419 HRU655354:HRU655419 HHY655354:HHY655419 GYC655354:GYC655419 GOG655354:GOG655419 GEK655354:GEK655419 FUO655354:FUO655419 FKS655354:FKS655419 FAW655354:FAW655419 ERA655354:ERA655419 EHE655354:EHE655419 DXI655354:DXI655419 DNM655354:DNM655419 DDQ655354:DDQ655419 CTU655354:CTU655419 CJY655354:CJY655419 CAC655354:CAC655419 BQG655354:BQG655419 BGK655354:BGK655419 AWO655354:AWO655419 AMS655354:AMS655419 ACW655354:ACW655419 TA655354:TA655419 JE655354:JE655419 I655354:I655419 WVQ589818:WVQ589883 WLU589818:WLU589883 WBY589818:WBY589883 VSC589818:VSC589883 VIG589818:VIG589883 UYK589818:UYK589883 UOO589818:UOO589883 UES589818:UES589883 TUW589818:TUW589883 TLA589818:TLA589883 TBE589818:TBE589883 SRI589818:SRI589883 SHM589818:SHM589883 RXQ589818:RXQ589883 RNU589818:RNU589883 RDY589818:RDY589883 QUC589818:QUC589883 QKG589818:QKG589883 QAK589818:QAK589883 PQO589818:PQO589883 PGS589818:PGS589883 OWW589818:OWW589883 ONA589818:ONA589883 ODE589818:ODE589883 NTI589818:NTI589883 NJM589818:NJM589883 MZQ589818:MZQ589883 MPU589818:MPU589883 MFY589818:MFY589883 LWC589818:LWC589883 LMG589818:LMG589883 LCK589818:LCK589883 KSO589818:KSO589883 KIS589818:KIS589883 JYW589818:JYW589883 JPA589818:JPA589883 JFE589818:JFE589883 IVI589818:IVI589883 ILM589818:ILM589883 IBQ589818:IBQ589883 HRU589818:HRU589883 HHY589818:HHY589883 GYC589818:GYC589883 GOG589818:GOG589883 GEK589818:GEK589883 FUO589818:FUO589883 FKS589818:FKS589883 FAW589818:FAW589883 ERA589818:ERA589883 EHE589818:EHE589883 DXI589818:DXI589883 DNM589818:DNM589883 DDQ589818:DDQ589883 CTU589818:CTU589883 CJY589818:CJY589883 CAC589818:CAC589883 BQG589818:BQG589883 BGK589818:BGK589883 AWO589818:AWO589883 AMS589818:AMS589883 ACW589818:ACW589883 TA589818:TA589883 JE589818:JE589883 I589818:I589883 WVQ524282:WVQ524347 WLU524282:WLU524347 WBY524282:WBY524347 VSC524282:VSC524347 VIG524282:VIG524347 UYK524282:UYK524347 UOO524282:UOO524347 UES524282:UES524347 TUW524282:TUW524347 TLA524282:TLA524347 TBE524282:TBE524347 SRI524282:SRI524347 SHM524282:SHM524347 RXQ524282:RXQ524347 RNU524282:RNU524347 RDY524282:RDY524347 QUC524282:QUC524347 QKG524282:QKG524347 QAK524282:QAK524347 PQO524282:PQO524347 PGS524282:PGS524347 OWW524282:OWW524347 ONA524282:ONA524347 ODE524282:ODE524347 NTI524282:NTI524347 NJM524282:NJM524347 MZQ524282:MZQ524347 MPU524282:MPU524347 MFY524282:MFY524347 LWC524282:LWC524347 LMG524282:LMG524347 LCK524282:LCK524347 KSO524282:KSO524347 KIS524282:KIS524347 JYW524282:JYW524347 JPA524282:JPA524347 JFE524282:JFE524347 IVI524282:IVI524347 ILM524282:ILM524347 IBQ524282:IBQ524347 HRU524282:HRU524347 HHY524282:HHY524347 GYC524282:GYC524347 GOG524282:GOG524347 GEK524282:GEK524347 FUO524282:FUO524347 FKS524282:FKS524347 FAW524282:FAW524347 ERA524282:ERA524347 EHE524282:EHE524347 DXI524282:DXI524347 DNM524282:DNM524347 DDQ524282:DDQ524347 CTU524282:CTU524347 CJY524282:CJY524347 CAC524282:CAC524347 BQG524282:BQG524347 BGK524282:BGK524347 AWO524282:AWO524347 AMS524282:AMS524347 ACW524282:ACW524347 TA524282:TA524347 JE524282:JE524347 I524282:I524347 WVQ458746:WVQ458811 WLU458746:WLU458811 WBY458746:WBY458811 VSC458746:VSC458811 VIG458746:VIG458811 UYK458746:UYK458811 UOO458746:UOO458811 UES458746:UES458811 TUW458746:TUW458811 TLA458746:TLA458811 TBE458746:TBE458811 SRI458746:SRI458811 SHM458746:SHM458811 RXQ458746:RXQ458811 RNU458746:RNU458811 RDY458746:RDY458811 QUC458746:QUC458811 QKG458746:QKG458811 QAK458746:QAK458811 PQO458746:PQO458811 PGS458746:PGS458811 OWW458746:OWW458811 ONA458746:ONA458811 ODE458746:ODE458811 NTI458746:NTI458811 NJM458746:NJM458811 MZQ458746:MZQ458811 MPU458746:MPU458811 MFY458746:MFY458811 LWC458746:LWC458811 LMG458746:LMG458811 LCK458746:LCK458811 KSO458746:KSO458811 KIS458746:KIS458811 JYW458746:JYW458811 JPA458746:JPA458811 JFE458746:JFE458811 IVI458746:IVI458811 ILM458746:ILM458811 IBQ458746:IBQ458811 HRU458746:HRU458811 HHY458746:HHY458811 GYC458746:GYC458811 GOG458746:GOG458811 GEK458746:GEK458811 FUO458746:FUO458811 FKS458746:FKS458811 FAW458746:FAW458811 ERA458746:ERA458811 EHE458746:EHE458811 DXI458746:DXI458811 DNM458746:DNM458811 DDQ458746:DDQ458811 CTU458746:CTU458811 CJY458746:CJY458811 CAC458746:CAC458811 BQG458746:BQG458811 BGK458746:BGK458811 AWO458746:AWO458811 AMS458746:AMS458811 ACW458746:ACW458811 TA458746:TA458811 JE458746:JE458811 I458746:I458811 WVQ393210:WVQ393275 WLU393210:WLU393275 WBY393210:WBY393275 VSC393210:VSC393275 VIG393210:VIG393275 UYK393210:UYK393275 UOO393210:UOO393275 UES393210:UES393275 TUW393210:TUW393275 TLA393210:TLA393275 TBE393210:TBE393275 SRI393210:SRI393275 SHM393210:SHM393275 RXQ393210:RXQ393275 RNU393210:RNU393275 RDY393210:RDY393275 QUC393210:QUC393275 QKG393210:QKG393275 QAK393210:QAK393275 PQO393210:PQO393275 PGS393210:PGS393275 OWW393210:OWW393275 ONA393210:ONA393275 ODE393210:ODE393275 NTI393210:NTI393275 NJM393210:NJM393275 MZQ393210:MZQ393275 MPU393210:MPU393275 MFY393210:MFY393275 LWC393210:LWC393275 LMG393210:LMG393275 LCK393210:LCK393275 KSO393210:KSO393275 KIS393210:KIS393275 JYW393210:JYW393275 JPA393210:JPA393275 JFE393210:JFE393275 IVI393210:IVI393275 ILM393210:ILM393275 IBQ393210:IBQ393275 HRU393210:HRU393275 HHY393210:HHY393275 GYC393210:GYC393275 GOG393210:GOG393275 GEK393210:GEK393275 FUO393210:FUO393275 FKS393210:FKS393275 FAW393210:FAW393275 ERA393210:ERA393275 EHE393210:EHE393275 DXI393210:DXI393275 DNM393210:DNM393275 DDQ393210:DDQ393275 CTU393210:CTU393275 CJY393210:CJY393275 CAC393210:CAC393275 BQG393210:BQG393275 BGK393210:BGK393275 AWO393210:AWO393275 AMS393210:AMS393275 ACW393210:ACW393275 TA393210:TA393275 JE393210:JE393275 I393210:I393275 WVQ327674:WVQ327739 WLU327674:WLU327739 WBY327674:WBY327739 VSC327674:VSC327739 VIG327674:VIG327739 UYK327674:UYK327739 UOO327674:UOO327739 UES327674:UES327739 TUW327674:TUW327739 TLA327674:TLA327739 TBE327674:TBE327739 SRI327674:SRI327739 SHM327674:SHM327739 RXQ327674:RXQ327739 RNU327674:RNU327739 RDY327674:RDY327739 QUC327674:QUC327739 QKG327674:QKG327739 QAK327674:QAK327739 PQO327674:PQO327739 PGS327674:PGS327739 OWW327674:OWW327739 ONA327674:ONA327739 ODE327674:ODE327739 NTI327674:NTI327739 NJM327674:NJM327739 MZQ327674:MZQ327739 MPU327674:MPU327739 MFY327674:MFY327739 LWC327674:LWC327739 LMG327674:LMG327739 LCK327674:LCK327739 KSO327674:KSO327739 KIS327674:KIS327739 JYW327674:JYW327739 JPA327674:JPA327739 JFE327674:JFE327739 IVI327674:IVI327739 ILM327674:ILM327739 IBQ327674:IBQ327739 HRU327674:HRU327739 HHY327674:HHY327739 GYC327674:GYC327739 GOG327674:GOG327739 GEK327674:GEK327739 FUO327674:FUO327739 FKS327674:FKS327739 FAW327674:FAW327739 ERA327674:ERA327739 EHE327674:EHE327739 DXI327674:DXI327739 DNM327674:DNM327739 DDQ327674:DDQ327739 CTU327674:CTU327739 CJY327674:CJY327739 CAC327674:CAC327739 BQG327674:BQG327739 BGK327674:BGK327739 AWO327674:AWO327739 AMS327674:AMS327739 ACW327674:ACW327739 TA327674:TA327739 JE327674:JE327739 I327674:I327739 WVQ262138:WVQ262203 WLU262138:WLU262203 WBY262138:WBY262203 VSC262138:VSC262203 VIG262138:VIG262203 UYK262138:UYK262203 UOO262138:UOO262203 UES262138:UES262203 TUW262138:TUW262203 TLA262138:TLA262203 TBE262138:TBE262203 SRI262138:SRI262203 SHM262138:SHM262203 RXQ262138:RXQ262203 RNU262138:RNU262203 RDY262138:RDY262203 QUC262138:QUC262203 QKG262138:QKG262203 QAK262138:QAK262203 PQO262138:PQO262203 PGS262138:PGS262203 OWW262138:OWW262203 ONA262138:ONA262203 ODE262138:ODE262203 NTI262138:NTI262203 NJM262138:NJM262203 MZQ262138:MZQ262203 MPU262138:MPU262203 MFY262138:MFY262203 LWC262138:LWC262203 LMG262138:LMG262203 LCK262138:LCK262203 KSO262138:KSO262203 KIS262138:KIS262203 JYW262138:JYW262203 JPA262138:JPA262203 JFE262138:JFE262203 IVI262138:IVI262203 ILM262138:ILM262203 IBQ262138:IBQ262203 HRU262138:HRU262203 HHY262138:HHY262203 GYC262138:GYC262203 GOG262138:GOG262203 GEK262138:GEK262203 FUO262138:FUO262203 FKS262138:FKS262203 FAW262138:FAW262203 ERA262138:ERA262203 EHE262138:EHE262203 DXI262138:DXI262203 DNM262138:DNM262203 DDQ262138:DDQ262203 CTU262138:CTU262203 CJY262138:CJY262203 CAC262138:CAC262203 BQG262138:BQG262203 BGK262138:BGK262203 AWO262138:AWO262203 AMS262138:AMS262203 ACW262138:ACW262203 TA262138:TA262203 JE262138:JE262203 I262138:I262203 WVQ196602:WVQ196667 WLU196602:WLU196667 WBY196602:WBY196667 VSC196602:VSC196667 VIG196602:VIG196667 UYK196602:UYK196667 UOO196602:UOO196667 UES196602:UES196667 TUW196602:TUW196667 TLA196602:TLA196667 TBE196602:TBE196667 SRI196602:SRI196667 SHM196602:SHM196667 RXQ196602:RXQ196667 RNU196602:RNU196667 RDY196602:RDY196667 QUC196602:QUC196667 QKG196602:QKG196667 QAK196602:QAK196667 PQO196602:PQO196667 PGS196602:PGS196667 OWW196602:OWW196667 ONA196602:ONA196667 ODE196602:ODE196667 NTI196602:NTI196667 NJM196602:NJM196667 MZQ196602:MZQ196667 MPU196602:MPU196667 MFY196602:MFY196667 LWC196602:LWC196667 LMG196602:LMG196667 LCK196602:LCK196667 KSO196602:KSO196667 KIS196602:KIS196667 JYW196602:JYW196667 JPA196602:JPA196667 JFE196602:JFE196667 IVI196602:IVI196667 ILM196602:ILM196667 IBQ196602:IBQ196667 HRU196602:HRU196667 HHY196602:HHY196667 GYC196602:GYC196667 GOG196602:GOG196667 GEK196602:GEK196667 FUO196602:FUO196667 FKS196602:FKS196667 FAW196602:FAW196667 ERA196602:ERA196667 EHE196602:EHE196667 DXI196602:DXI196667 DNM196602:DNM196667 DDQ196602:DDQ196667 CTU196602:CTU196667 CJY196602:CJY196667 CAC196602:CAC196667 BQG196602:BQG196667 BGK196602:BGK196667 AWO196602:AWO196667 AMS196602:AMS196667 ACW196602:ACW196667 TA196602:TA196667 JE196602:JE196667 I196602:I196667 WVQ131066:WVQ131131 WLU131066:WLU131131 WBY131066:WBY131131 VSC131066:VSC131131 VIG131066:VIG131131 UYK131066:UYK131131 UOO131066:UOO131131 UES131066:UES131131 TUW131066:TUW131131 TLA131066:TLA131131 TBE131066:TBE131131 SRI131066:SRI131131 SHM131066:SHM131131 RXQ131066:RXQ131131 RNU131066:RNU131131 RDY131066:RDY131131 QUC131066:QUC131131 QKG131066:QKG131131 QAK131066:QAK131131 PQO131066:PQO131131 PGS131066:PGS131131 OWW131066:OWW131131 ONA131066:ONA131131 ODE131066:ODE131131 NTI131066:NTI131131 NJM131066:NJM131131 MZQ131066:MZQ131131 MPU131066:MPU131131 MFY131066:MFY131131 LWC131066:LWC131131 LMG131066:LMG131131 LCK131066:LCK131131 KSO131066:KSO131131 KIS131066:KIS131131 JYW131066:JYW131131 JPA131066:JPA131131 JFE131066:JFE131131 IVI131066:IVI131131 ILM131066:ILM131131 IBQ131066:IBQ131131 HRU131066:HRU131131 HHY131066:HHY131131 GYC131066:GYC131131 GOG131066:GOG131131 GEK131066:GEK131131 FUO131066:FUO131131 FKS131066:FKS131131 FAW131066:FAW131131 ERA131066:ERA131131 EHE131066:EHE131131 DXI131066:DXI131131 DNM131066:DNM131131 DDQ131066:DDQ131131 CTU131066:CTU131131 CJY131066:CJY131131 CAC131066:CAC131131 BQG131066:BQG131131 BGK131066:BGK131131 AWO131066:AWO131131 AMS131066:AMS131131 ACW131066:ACW131131 TA131066:TA131131 JE131066:JE131131 I131066:I131131 WVQ65530:WVQ65595 WLU65530:WLU65595 WBY65530:WBY65595 VSC65530:VSC65595 VIG65530:VIG65595 UYK65530:UYK65595 UOO65530:UOO65595 UES65530:UES65595 TUW65530:TUW65595 TLA65530:TLA65595 TBE65530:TBE65595 SRI65530:SRI65595 SHM65530:SHM65595 RXQ65530:RXQ65595 RNU65530:RNU65595 RDY65530:RDY65595 QUC65530:QUC65595 QKG65530:QKG65595 QAK65530:QAK65595 PQO65530:PQO65595 PGS65530:PGS65595 OWW65530:OWW65595 ONA65530:ONA65595 ODE65530:ODE65595 NTI65530:NTI65595 NJM65530:NJM65595 MZQ65530:MZQ65595 MPU65530:MPU65595 MFY65530:MFY65595 LWC65530:LWC65595 LMG65530:LMG65595 LCK65530:LCK65595 KSO65530:KSO65595 KIS65530:KIS65595 JYW65530:JYW65595 JPA65530:JPA65595 JFE65530:JFE65595 IVI65530:IVI65595 ILM65530:ILM65595 IBQ65530:IBQ65595 HRU65530:HRU65595 HHY65530:HHY65595 GYC65530:GYC65595 GOG65530:GOG65595 GEK65530:GEK65595 FUO65530:FUO65595 FKS65530:FKS65595 FAW65530:FAW65595 ERA65530:ERA65595 EHE65530:EHE65595 DXI65530:DXI65595 DNM65530:DNM65595 DDQ65530:DDQ65595 CTU65530:CTU65595 CJY65530:CJY65595 CAC65530:CAC65595 BQG65530:BQG65595 BGK65530:BGK65595 AWO65530:AWO65595 AMS65530:AMS65595 ACW65530:ACW65595 TA65530:TA65595 JE65530:JE65595 I65530:I65595 WVQ983034:WVQ983099 WVQ1047395:WVQ1047460 WLU1047395:WLU1047460 WBY1047395:WBY1047460 VSC1047395:VSC1047460 VIG1047395:VIG1047460 UYK1047395:UYK1047460 UOO1047395:UOO1047460 UES1047395:UES1047460 TUW1047395:TUW1047460 TLA1047395:TLA1047460 TBE1047395:TBE1047460 SRI1047395:SRI1047460 SHM1047395:SHM1047460 RXQ1047395:RXQ1047460 RNU1047395:RNU1047460 RDY1047395:RDY1047460 QUC1047395:QUC1047460 QKG1047395:QKG1047460 QAK1047395:QAK1047460 PQO1047395:PQO1047460 PGS1047395:PGS1047460 OWW1047395:OWW1047460 ONA1047395:ONA1047460 ODE1047395:ODE1047460 NTI1047395:NTI1047460 NJM1047395:NJM1047460 MZQ1047395:MZQ1047460 MPU1047395:MPU1047460 MFY1047395:MFY1047460 LWC1047395:LWC1047460 LMG1047395:LMG1047460 LCK1047395:LCK1047460 KSO1047395:KSO1047460 KIS1047395:KIS1047460 JYW1047395:JYW1047460 JPA1047395:JPA1047460 JFE1047395:JFE1047460 IVI1047395:IVI1047460 ILM1047395:ILM1047460 IBQ1047395:IBQ1047460 HRU1047395:HRU1047460 HHY1047395:HHY1047460 GYC1047395:GYC1047460 GOG1047395:GOG1047460 GEK1047395:GEK1047460 FUO1047395:FUO1047460 FKS1047395:FKS1047460 FAW1047395:FAW1047460 ERA1047395:ERA1047460 EHE1047395:EHE1047460 DXI1047395:DXI1047460 DNM1047395:DNM1047460 DDQ1047395:DDQ1047460 CTU1047395:CTU1047460 CJY1047395:CJY1047460 CAC1047395:CAC1047460 BQG1047395:BQG1047460 BGK1047395:BGK1047460 AWO1047395:AWO1047460 AMS1047395:AMS1047460 ACW1047395:ACW1047460 TA1047395:TA1047460 JE1047395:JE1047460 I1047395:I1047460 WVQ981859:WVQ981924 WLU981859:WLU981924 WBY981859:WBY981924 VSC981859:VSC981924 VIG981859:VIG981924 UYK981859:UYK981924 UOO981859:UOO981924 UES981859:UES981924 TUW981859:TUW981924 TLA981859:TLA981924 TBE981859:TBE981924 SRI981859:SRI981924 SHM981859:SHM981924 RXQ981859:RXQ981924 RNU981859:RNU981924 RDY981859:RDY981924 QUC981859:QUC981924 QKG981859:QKG981924 QAK981859:QAK981924 PQO981859:PQO981924 PGS981859:PGS981924 OWW981859:OWW981924 ONA981859:ONA981924 ODE981859:ODE981924 NTI981859:NTI981924 NJM981859:NJM981924 MZQ981859:MZQ981924 MPU981859:MPU981924 MFY981859:MFY981924 LWC981859:LWC981924 LMG981859:LMG981924 LCK981859:LCK981924 KSO981859:KSO981924 KIS981859:KIS981924 JYW981859:JYW981924 JPA981859:JPA981924 JFE981859:JFE981924 IVI981859:IVI981924 ILM981859:ILM981924 IBQ981859:IBQ981924 HRU981859:HRU981924 HHY981859:HHY981924 GYC981859:GYC981924 GOG981859:GOG981924 GEK981859:GEK981924 FUO981859:FUO981924 FKS981859:FKS981924 FAW981859:FAW981924 ERA981859:ERA981924 EHE981859:EHE981924 DXI981859:DXI981924 DNM981859:DNM981924 DDQ981859:DDQ981924 CTU981859:CTU981924 CJY981859:CJY981924 CAC981859:CAC981924 BQG981859:BQG981924 BGK981859:BGK981924 AWO981859:AWO981924 AMS981859:AMS981924 ACW981859:ACW981924 TA981859:TA981924 JE981859:JE981924 I981859:I981924 WVQ916323:WVQ916388 WLU916323:WLU916388 WBY916323:WBY916388 VSC916323:VSC916388 VIG916323:VIG916388 UYK916323:UYK916388 UOO916323:UOO916388 UES916323:UES916388 TUW916323:TUW916388 TLA916323:TLA916388 TBE916323:TBE916388 SRI916323:SRI916388 SHM916323:SHM916388 RXQ916323:RXQ916388 RNU916323:RNU916388 RDY916323:RDY916388 QUC916323:QUC916388 QKG916323:QKG916388 QAK916323:QAK916388 PQO916323:PQO916388 PGS916323:PGS916388 OWW916323:OWW916388 ONA916323:ONA916388 ODE916323:ODE916388 NTI916323:NTI916388 NJM916323:NJM916388 MZQ916323:MZQ916388 MPU916323:MPU916388 MFY916323:MFY916388 LWC916323:LWC916388 LMG916323:LMG916388 LCK916323:LCK916388 KSO916323:KSO916388 KIS916323:KIS916388 JYW916323:JYW916388 JPA916323:JPA916388 JFE916323:JFE916388 IVI916323:IVI916388 ILM916323:ILM916388 IBQ916323:IBQ916388 HRU916323:HRU916388 HHY916323:HHY916388 GYC916323:GYC916388 GOG916323:GOG916388 GEK916323:GEK916388 FUO916323:FUO916388 FKS916323:FKS916388 FAW916323:FAW916388 ERA916323:ERA916388 EHE916323:EHE916388 DXI916323:DXI916388 DNM916323:DNM916388 DDQ916323:DDQ916388 CTU916323:CTU916388 CJY916323:CJY916388 CAC916323:CAC916388 BQG916323:BQG916388 BGK916323:BGK916388 AWO916323:AWO916388 AMS916323:AMS916388 ACW916323:ACW916388 TA916323:TA916388 JE916323:JE916388 I916323:I916388 WVQ850787:WVQ850852 WLU850787:WLU850852 WBY850787:WBY850852 VSC850787:VSC850852 VIG850787:VIG850852 UYK850787:UYK850852 UOO850787:UOO850852 UES850787:UES850852 TUW850787:TUW850852 TLA850787:TLA850852 TBE850787:TBE850852 SRI850787:SRI850852 SHM850787:SHM850852 RXQ850787:RXQ850852 RNU850787:RNU850852 RDY850787:RDY850852 QUC850787:QUC850852 QKG850787:QKG850852 QAK850787:QAK850852 PQO850787:PQO850852 PGS850787:PGS850852 OWW850787:OWW850852 ONA850787:ONA850852 ODE850787:ODE850852 NTI850787:NTI850852 NJM850787:NJM850852 MZQ850787:MZQ850852 MPU850787:MPU850852 MFY850787:MFY850852 LWC850787:LWC850852 LMG850787:LMG850852 LCK850787:LCK850852 KSO850787:KSO850852 KIS850787:KIS850852 JYW850787:JYW850852 JPA850787:JPA850852 JFE850787:JFE850852 IVI850787:IVI850852 ILM850787:ILM850852 IBQ850787:IBQ850852 HRU850787:HRU850852 HHY850787:HHY850852 GYC850787:GYC850852 GOG850787:GOG850852 GEK850787:GEK850852 FUO850787:FUO850852 FKS850787:FKS850852 FAW850787:FAW850852 ERA850787:ERA850852 EHE850787:EHE850852 DXI850787:DXI850852 DNM850787:DNM850852 DDQ850787:DDQ850852 CTU850787:CTU850852 CJY850787:CJY850852 CAC850787:CAC850852 BQG850787:BQG850852 BGK850787:BGK850852 AWO850787:AWO850852 AMS850787:AMS850852 ACW850787:ACW850852 TA850787:TA850852 JE850787:JE850852 I850787:I850852 WVQ785251:WVQ785316 WLU785251:WLU785316 WBY785251:WBY785316 VSC785251:VSC785316 VIG785251:VIG785316 UYK785251:UYK785316 UOO785251:UOO785316 UES785251:UES785316 TUW785251:TUW785316 TLA785251:TLA785316 TBE785251:TBE785316 SRI785251:SRI785316 SHM785251:SHM785316 RXQ785251:RXQ785316 RNU785251:RNU785316 RDY785251:RDY785316 QUC785251:QUC785316 QKG785251:QKG785316 QAK785251:QAK785316 PQO785251:PQO785316 PGS785251:PGS785316 OWW785251:OWW785316 ONA785251:ONA785316 ODE785251:ODE785316 NTI785251:NTI785316 NJM785251:NJM785316 MZQ785251:MZQ785316 MPU785251:MPU785316 MFY785251:MFY785316 LWC785251:LWC785316 LMG785251:LMG785316 LCK785251:LCK785316 KSO785251:KSO785316 KIS785251:KIS785316 JYW785251:JYW785316 JPA785251:JPA785316 JFE785251:JFE785316 IVI785251:IVI785316 ILM785251:ILM785316 IBQ785251:IBQ785316 HRU785251:HRU785316 HHY785251:HHY785316 GYC785251:GYC785316 GOG785251:GOG785316 GEK785251:GEK785316 FUO785251:FUO785316 FKS785251:FKS785316 FAW785251:FAW785316 ERA785251:ERA785316 EHE785251:EHE785316 DXI785251:DXI785316 DNM785251:DNM785316 DDQ785251:DDQ785316 CTU785251:CTU785316 CJY785251:CJY785316 CAC785251:CAC785316 BQG785251:BQG785316 BGK785251:BGK785316 AWO785251:AWO785316 AMS785251:AMS785316 ACW785251:ACW785316 TA785251:TA785316 JE785251:JE785316 I785251:I785316 WVQ719715:WVQ719780 WLU719715:WLU719780 WBY719715:WBY719780 VSC719715:VSC719780 VIG719715:VIG719780 UYK719715:UYK719780 UOO719715:UOO719780 UES719715:UES719780 TUW719715:TUW719780 TLA719715:TLA719780 TBE719715:TBE719780 SRI719715:SRI719780 SHM719715:SHM719780 RXQ719715:RXQ719780 RNU719715:RNU719780 RDY719715:RDY719780 QUC719715:QUC719780 QKG719715:QKG719780 QAK719715:QAK719780 PQO719715:PQO719780 PGS719715:PGS719780 OWW719715:OWW719780 ONA719715:ONA719780 ODE719715:ODE719780 NTI719715:NTI719780 NJM719715:NJM719780 MZQ719715:MZQ719780 MPU719715:MPU719780 MFY719715:MFY719780 LWC719715:LWC719780 LMG719715:LMG719780 LCK719715:LCK719780 KSO719715:KSO719780 KIS719715:KIS719780 JYW719715:JYW719780 JPA719715:JPA719780 JFE719715:JFE719780 IVI719715:IVI719780 ILM719715:ILM719780 IBQ719715:IBQ719780 HRU719715:HRU719780 HHY719715:HHY719780 GYC719715:GYC719780 GOG719715:GOG719780 GEK719715:GEK719780 FUO719715:FUO719780 FKS719715:FKS719780 FAW719715:FAW719780 ERA719715:ERA719780 EHE719715:EHE719780 DXI719715:DXI719780 DNM719715:DNM719780 DDQ719715:DDQ719780 CTU719715:CTU719780 CJY719715:CJY719780 CAC719715:CAC719780 BQG719715:BQG719780 BGK719715:BGK719780 AWO719715:AWO719780 AMS719715:AMS719780 ACW719715:ACW719780 TA719715:TA719780 JE719715:JE719780 I719715:I719780 WVQ654179:WVQ654244 WLU654179:WLU654244 WBY654179:WBY654244 VSC654179:VSC654244 VIG654179:VIG654244 UYK654179:UYK654244 UOO654179:UOO654244 UES654179:UES654244 TUW654179:TUW654244 TLA654179:TLA654244 TBE654179:TBE654244 SRI654179:SRI654244 SHM654179:SHM654244 RXQ654179:RXQ654244 RNU654179:RNU654244 RDY654179:RDY654244 QUC654179:QUC654244 QKG654179:QKG654244 QAK654179:QAK654244 PQO654179:PQO654244 PGS654179:PGS654244 OWW654179:OWW654244 ONA654179:ONA654244 ODE654179:ODE654244 NTI654179:NTI654244 NJM654179:NJM654244 MZQ654179:MZQ654244 MPU654179:MPU654244 MFY654179:MFY654244 LWC654179:LWC654244 LMG654179:LMG654244 LCK654179:LCK654244 KSO654179:KSO654244 KIS654179:KIS654244 JYW654179:JYW654244 JPA654179:JPA654244 JFE654179:JFE654244 IVI654179:IVI654244 ILM654179:ILM654244 IBQ654179:IBQ654244 HRU654179:HRU654244 HHY654179:HHY654244 GYC654179:GYC654244 GOG654179:GOG654244 GEK654179:GEK654244 FUO654179:FUO654244 FKS654179:FKS654244 FAW654179:FAW654244 ERA654179:ERA654244 EHE654179:EHE654244 DXI654179:DXI654244 DNM654179:DNM654244 DDQ654179:DDQ654244 CTU654179:CTU654244 CJY654179:CJY654244 CAC654179:CAC654244 BQG654179:BQG654244 BGK654179:BGK654244 AWO654179:AWO654244 AMS654179:AMS654244 ACW654179:ACW654244 TA654179:TA654244 JE654179:JE654244 I654179:I654244 WVQ588643:WVQ588708 WLU588643:WLU588708 WBY588643:WBY588708 VSC588643:VSC588708 VIG588643:VIG588708 UYK588643:UYK588708 UOO588643:UOO588708 UES588643:UES588708 TUW588643:TUW588708 TLA588643:TLA588708 TBE588643:TBE588708 SRI588643:SRI588708 SHM588643:SHM588708 RXQ588643:RXQ588708 RNU588643:RNU588708 RDY588643:RDY588708 QUC588643:QUC588708 QKG588643:QKG588708 QAK588643:QAK588708 PQO588643:PQO588708 PGS588643:PGS588708 OWW588643:OWW588708 ONA588643:ONA588708 ODE588643:ODE588708 NTI588643:NTI588708 NJM588643:NJM588708 MZQ588643:MZQ588708 MPU588643:MPU588708 MFY588643:MFY588708 LWC588643:LWC588708 LMG588643:LMG588708 LCK588643:LCK588708 KSO588643:KSO588708 KIS588643:KIS588708 JYW588643:JYW588708 JPA588643:JPA588708 JFE588643:JFE588708 IVI588643:IVI588708 ILM588643:ILM588708 IBQ588643:IBQ588708 HRU588643:HRU588708 HHY588643:HHY588708 GYC588643:GYC588708 GOG588643:GOG588708 GEK588643:GEK588708 FUO588643:FUO588708 FKS588643:FKS588708 FAW588643:FAW588708 ERA588643:ERA588708 EHE588643:EHE588708 DXI588643:DXI588708 DNM588643:DNM588708 DDQ588643:DDQ588708 CTU588643:CTU588708 CJY588643:CJY588708 CAC588643:CAC588708 BQG588643:BQG588708 BGK588643:BGK588708 AWO588643:AWO588708 AMS588643:AMS588708 ACW588643:ACW588708 TA588643:TA588708 JE588643:JE588708 I588643:I588708 WVQ523107:WVQ523172 WLU523107:WLU523172 WBY523107:WBY523172 VSC523107:VSC523172 VIG523107:VIG523172 UYK523107:UYK523172 UOO523107:UOO523172 UES523107:UES523172 TUW523107:TUW523172 TLA523107:TLA523172 TBE523107:TBE523172 SRI523107:SRI523172 SHM523107:SHM523172 RXQ523107:RXQ523172 RNU523107:RNU523172 RDY523107:RDY523172 QUC523107:QUC523172 QKG523107:QKG523172 QAK523107:QAK523172 PQO523107:PQO523172 PGS523107:PGS523172 OWW523107:OWW523172 ONA523107:ONA523172 ODE523107:ODE523172 NTI523107:NTI523172 NJM523107:NJM523172 MZQ523107:MZQ523172 MPU523107:MPU523172 MFY523107:MFY523172 LWC523107:LWC523172 LMG523107:LMG523172 LCK523107:LCK523172 KSO523107:KSO523172 KIS523107:KIS523172 JYW523107:JYW523172 JPA523107:JPA523172 JFE523107:JFE523172 IVI523107:IVI523172 ILM523107:ILM523172 IBQ523107:IBQ523172 HRU523107:HRU523172 HHY523107:HHY523172 GYC523107:GYC523172 GOG523107:GOG523172 GEK523107:GEK523172 FUO523107:FUO523172 FKS523107:FKS523172 FAW523107:FAW523172 ERA523107:ERA523172 EHE523107:EHE523172 DXI523107:DXI523172 DNM523107:DNM523172 DDQ523107:DDQ523172 CTU523107:CTU523172 CJY523107:CJY523172 CAC523107:CAC523172 BQG523107:BQG523172 BGK523107:BGK523172 AWO523107:AWO523172 AMS523107:AMS523172 ACW523107:ACW523172 TA523107:TA523172 JE523107:JE523172 I523107:I523172 WVQ457571:WVQ457636 WLU457571:WLU457636 WBY457571:WBY457636 VSC457571:VSC457636 VIG457571:VIG457636 UYK457571:UYK457636 UOO457571:UOO457636 UES457571:UES457636 TUW457571:TUW457636 TLA457571:TLA457636 TBE457571:TBE457636 SRI457571:SRI457636 SHM457571:SHM457636 RXQ457571:RXQ457636 RNU457571:RNU457636 RDY457571:RDY457636 QUC457571:QUC457636 QKG457571:QKG457636 QAK457571:QAK457636 PQO457571:PQO457636 PGS457571:PGS457636 OWW457571:OWW457636 ONA457571:ONA457636 ODE457571:ODE457636 NTI457571:NTI457636 NJM457571:NJM457636 MZQ457571:MZQ457636 MPU457571:MPU457636 MFY457571:MFY457636 LWC457571:LWC457636 LMG457571:LMG457636 LCK457571:LCK457636 KSO457571:KSO457636 KIS457571:KIS457636 JYW457571:JYW457636 JPA457571:JPA457636 JFE457571:JFE457636 IVI457571:IVI457636 ILM457571:ILM457636 IBQ457571:IBQ457636 HRU457571:HRU457636 HHY457571:HHY457636 GYC457571:GYC457636 GOG457571:GOG457636 GEK457571:GEK457636 FUO457571:FUO457636 FKS457571:FKS457636 FAW457571:FAW457636 ERA457571:ERA457636 EHE457571:EHE457636 DXI457571:DXI457636 DNM457571:DNM457636 DDQ457571:DDQ457636 CTU457571:CTU457636 CJY457571:CJY457636 CAC457571:CAC457636 BQG457571:BQG457636 BGK457571:BGK457636 AWO457571:AWO457636 AMS457571:AMS457636 ACW457571:ACW457636 TA457571:TA457636 JE457571:JE457636 I457571:I457636 WVQ392035:WVQ392100 WLU392035:WLU392100 WBY392035:WBY392100 VSC392035:VSC392100 VIG392035:VIG392100 UYK392035:UYK392100 UOO392035:UOO392100 UES392035:UES392100 TUW392035:TUW392100 TLA392035:TLA392100 TBE392035:TBE392100 SRI392035:SRI392100 SHM392035:SHM392100 RXQ392035:RXQ392100 RNU392035:RNU392100 RDY392035:RDY392100 QUC392035:QUC392100 QKG392035:QKG392100 QAK392035:QAK392100 PQO392035:PQO392100 PGS392035:PGS392100 OWW392035:OWW392100 ONA392035:ONA392100 ODE392035:ODE392100 NTI392035:NTI392100 NJM392035:NJM392100 MZQ392035:MZQ392100 MPU392035:MPU392100 MFY392035:MFY392100 LWC392035:LWC392100 LMG392035:LMG392100 LCK392035:LCK392100 KSO392035:KSO392100 KIS392035:KIS392100 JYW392035:JYW392100 JPA392035:JPA392100 JFE392035:JFE392100 IVI392035:IVI392100 ILM392035:ILM392100 IBQ392035:IBQ392100 HRU392035:HRU392100 HHY392035:HHY392100 GYC392035:GYC392100 GOG392035:GOG392100 GEK392035:GEK392100 FUO392035:FUO392100 FKS392035:FKS392100 FAW392035:FAW392100 ERA392035:ERA392100 EHE392035:EHE392100 DXI392035:DXI392100 DNM392035:DNM392100 DDQ392035:DDQ392100 CTU392035:CTU392100 CJY392035:CJY392100 CAC392035:CAC392100 BQG392035:BQG392100 BGK392035:BGK392100 AWO392035:AWO392100 AMS392035:AMS392100 ACW392035:ACW392100 TA392035:TA392100 JE392035:JE392100 I392035:I392100 WVQ326499:WVQ326564 WLU326499:WLU326564 WBY326499:WBY326564 VSC326499:VSC326564 VIG326499:VIG326564 UYK326499:UYK326564 UOO326499:UOO326564 UES326499:UES326564 TUW326499:TUW326564 TLA326499:TLA326564 TBE326499:TBE326564 SRI326499:SRI326564 SHM326499:SHM326564 RXQ326499:RXQ326564 RNU326499:RNU326564 RDY326499:RDY326564 QUC326499:QUC326564 QKG326499:QKG326564 QAK326499:QAK326564 PQO326499:PQO326564 PGS326499:PGS326564 OWW326499:OWW326564 ONA326499:ONA326564 ODE326499:ODE326564 NTI326499:NTI326564 NJM326499:NJM326564 MZQ326499:MZQ326564 MPU326499:MPU326564 MFY326499:MFY326564 LWC326499:LWC326564 LMG326499:LMG326564 LCK326499:LCK326564 KSO326499:KSO326564 KIS326499:KIS326564 JYW326499:JYW326564 JPA326499:JPA326564 JFE326499:JFE326564 IVI326499:IVI326564 ILM326499:ILM326564 IBQ326499:IBQ326564 HRU326499:HRU326564 HHY326499:HHY326564 GYC326499:GYC326564 GOG326499:GOG326564 GEK326499:GEK326564 FUO326499:FUO326564 FKS326499:FKS326564 FAW326499:FAW326564 ERA326499:ERA326564 EHE326499:EHE326564 DXI326499:DXI326564 DNM326499:DNM326564 DDQ326499:DDQ326564 CTU326499:CTU326564 CJY326499:CJY326564 CAC326499:CAC326564 BQG326499:BQG326564 BGK326499:BGK326564 AWO326499:AWO326564 AMS326499:AMS326564 ACW326499:ACW326564 TA326499:TA326564 JE326499:JE326564 I326499:I326564 WVQ260963:WVQ261028 WLU260963:WLU261028 WBY260963:WBY261028 VSC260963:VSC261028 VIG260963:VIG261028 UYK260963:UYK261028 UOO260963:UOO261028 UES260963:UES261028 TUW260963:TUW261028 TLA260963:TLA261028 TBE260963:TBE261028 SRI260963:SRI261028 SHM260963:SHM261028 RXQ260963:RXQ261028 RNU260963:RNU261028 RDY260963:RDY261028 QUC260963:QUC261028 QKG260963:QKG261028 QAK260963:QAK261028 PQO260963:PQO261028 PGS260963:PGS261028 OWW260963:OWW261028 ONA260963:ONA261028 ODE260963:ODE261028 NTI260963:NTI261028 NJM260963:NJM261028 MZQ260963:MZQ261028 MPU260963:MPU261028 MFY260963:MFY261028 LWC260963:LWC261028 LMG260963:LMG261028 LCK260963:LCK261028 KSO260963:KSO261028 KIS260963:KIS261028 JYW260963:JYW261028 JPA260963:JPA261028 JFE260963:JFE261028 IVI260963:IVI261028 ILM260963:ILM261028 IBQ260963:IBQ261028 HRU260963:HRU261028 HHY260963:HHY261028 GYC260963:GYC261028 GOG260963:GOG261028 GEK260963:GEK261028 FUO260963:FUO261028 FKS260963:FKS261028 FAW260963:FAW261028 ERA260963:ERA261028 EHE260963:EHE261028 DXI260963:DXI261028 DNM260963:DNM261028 DDQ260963:DDQ261028 CTU260963:CTU261028 CJY260963:CJY261028 CAC260963:CAC261028 BQG260963:BQG261028 BGK260963:BGK261028 AWO260963:AWO261028 AMS260963:AMS261028 ACW260963:ACW261028 TA260963:TA261028 JE260963:JE261028 I260963:I261028 WVQ195427:WVQ195492 WLU195427:WLU195492 WBY195427:WBY195492 VSC195427:VSC195492 VIG195427:VIG195492 UYK195427:UYK195492 UOO195427:UOO195492 UES195427:UES195492 TUW195427:TUW195492 TLA195427:TLA195492 TBE195427:TBE195492 SRI195427:SRI195492 SHM195427:SHM195492 RXQ195427:RXQ195492 RNU195427:RNU195492 RDY195427:RDY195492 QUC195427:QUC195492 QKG195427:QKG195492 QAK195427:QAK195492 PQO195427:PQO195492 PGS195427:PGS195492 OWW195427:OWW195492 ONA195427:ONA195492 ODE195427:ODE195492 NTI195427:NTI195492 NJM195427:NJM195492 MZQ195427:MZQ195492 MPU195427:MPU195492 MFY195427:MFY195492 LWC195427:LWC195492 LMG195427:LMG195492 LCK195427:LCK195492 KSO195427:KSO195492 KIS195427:KIS195492 JYW195427:JYW195492 JPA195427:JPA195492 JFE195427:JFE195492 IVI195427:IVI195492 ILM195427:ILM195492 IBQ195427:IBQ195492 HRU195427:HRU195492 HHY195427:HHY195492 GYC195427:GYC195492 GOG195427:GOG195492 GEK195427:GEK195492 FUO195427:FUO195492 FKS195427:FKS195492 FAW195427:FAW195492 ERA195427:ERA195492 EHE195427:EHE195492 DXI195427:DXI195492 DNM195427:DNM195492 DDQ195427:DDQ195492 CTU195427:CTU195492 CJY195427:CJY195492 CAC195427:CAC195492 BQG195427:BQG195492 BGK195427:BGK195492 AWO195427:AWO195492 AMS195427:AMS195492 ACW195427:ACW195492 TA195427:TA195492 JE195427:JE195492 I195427:I195492 WVQ129891:WVQ129956 WLU129891:WLU129956 WBY129891:WBY129956 VSC129891:VSC129956 VIG129891:VIG129956 UYK129891:UYK129956 UOO129891:UOO129956 UES129891:UES129956 TUW129891:TUW129956 TLA129891:TLA129956 TBE129891:TBE129956 SRI129891:SRI129956 SHM129891:SHM129956 RXQ129891:RXQ129956 RNU129891:RNU129956 RDY129891:RDY129956 QUC129891:QUC129956 QKG129891:QKG129956 QAK129891:QAK129956 PQO129891:PQO129956 PGS129891:PGS129956 OWW129891:OWW129956 ONA129891:ONA129956 ODE129891:ODE129956 NTI129891:NTI129956 NJM129891:NJM129956 MZQ129891:MZQ129956 MPU129891:MPU129956 MFY129891:MFY129956 LWC129891:LWC129956 LMG129891:LMG129956 LCK129891:LCK129956 KSO129891:KSO129956 KIS129891:KIS129956 JYW129891:JYW129956 JPA129891:JPA129956 JFE129891:JFE129956 IVI129891:IVI129956 ILM129891:ILM129956 IBQ129891:IBQ129956 HRU129891:HRU129956 HHY129891:HHY129956 GYC129891:GYC129956 GOG129891:GOG129956 GEK129891:GEK129956 FUO129891:FUO129956 FKS129891:FKS129956 FAW129891:FAW129956 ERA129891:ERA129956 EHE129891:EHE129956 DXI129891:DXI129956 DNM129891:DNM129956 DDQ129891:DDQ129956 CTU129891:CTU129956 CJY129891:CJY129956 CAC129891:CAC129956 BQG129891:BQG129956 BGK129891:BGK129956 AWO129891:AWO129956 AMS129891:AMS129956 ACW129891:ACW129956 TA129891:TA129956 JE129891:JE129956 I129891:I129956 WVQ64355:WVQ64420 WLU64355:WLU64420 WBY64355:WBY64420 VSC64355:VSC64420 VIG64355:VIG64420 UYK64355:UYK64420 UOO64355:UOO64420 UES64355:UES64420 TUW64355:TUW64420 TLA64355:TLA64420 TBE64355:TBE64420 SRI64355:SRI64420 SHM64355:SHM64420 RXQ64355:RXQ64420 RNU64355:RNU64420 RDY64355:RDY64420 QUC64355:QUC64420 QKG64355:QKG64420 QAK64355:QAK64420 PQO64355:PQO64420 PGS64355:PGS64420 OWW64355:OWW64420 ONA64355:ONA64420 ODE64355:ODE64420 NTI64355:NTI64420 NJM64355:NJM64420 MZQ64355:MZQ64420 MPU64355:MPU64420 MFY64355:MFY64420 LWC64355:LWC64420 LMG64355:LMG64420 LCK64355:LCK64420 KSO64355:KSO64420 KIS64355:KIS64420 JYW64355:JYW64420 JPA64355:JPA64420 JFE64355:JFE64420 IVI64355:IVI64420 ILM64355:ILM64420 IBQ64355:IBQ64420 HRU64355:HRU64420 HHY64355:HHY64420 GYC64355:GYC64420 GOG64355:GOG64420 GEK64355:GEK64420 FUO64355:FUO64420 FKS64355:FKS64420 FAW64355:FAW64420 ERA64355:ERA64420 EHE64355:EHE64420 DXI64355:DXI64420 DNM64355:DNM64420 DDQ64355:DDQ64420 CTU64355:CTU64420 CJY64355:CJY64420 CAC64355:CAC64420 BQG64355:BQG64420 BGK64355:BGK64420 AWO64355:AWO64420 AMS64355:AMS64420 ACW64355:ACW64420 TA64355:TA64420 I2:I492">
      <formula1>$AN$5:$AN$6</formula1>
    </dataValidation>
    <dataValidation type="list" allowBlank="1" showInputMessage="1" showErrorMessage="1" sqref="J64355:J64420 WVR1047395:WVR1047460 WLV1047395:WLV1047460 WBZ1047395:WBZ1047460 VSD1047395:VSD1047460 VIH1047395:VIH1047460 UYL1047395:UYL1047460 UOP1047395:UOP1047460 UET1047395:UET1047460 TUX1047395:TUX1047460 TLB1047395:TLB1047460 TBF1047395:TBF1047460 SRJ1047395:SRJ1047460 SHN1047395:SHN1047460 RXR1047395:RXR1047460 RNV1047395:RNV1047460 RDZ1047395:RDZ1047460 QUD1047395:QUD1047460 QKH1047395:QKH1047460 QAL1047395:QAL1047460 PQP1047395:PQP1047460 PGT1047395:PGT1047460 OWX1047395:OWX1047460 ONB1047395:ONB1047460 ODF1047395:ODF1047460 NTJ1047395:NTJ1047460 NJN1047395:NJN1047460 MZR1047395:MZR1047460 MPV1047395:MPV1047460 MFZ1047395:MFZ1047460 LWD1047395:LWD1047460 LMH1047395:LMH1047460 LCL1047395:LCL1047460 KSP1047395:KSP1047460 KIT1047395:KIT1047460 JYX1047395:JYX1047460 JPB1047395:JPB1047460 JFF1047395:JFF1047460 IVJ1047395:IVJ1047460 ILN1047395:ILN1047460 IBR1047395:IBR1047460 HRV1047395:HRV1047460 HHZ1047395:HHZ1047460 GYD1047395:GYD1047460 GOH1047395:GOH1047460 GEL1047395:GEL1047460 FUP1047395:FUP1047460 FKT1047395:FKT1047460 FAX1047395:FAX1047460 ERB1047395:ERB1047460 EHF1047395:EHF1047460 DXJ1047395:DXJ1047460 DNN1047395:DNN1047460 DDR1047395:DDR1047460 CTV1047395:CTV1047460 CJZ1047395:CJZ1047460 CAD1047395:CAD1047460 BQH1047395:BQH1047460 BGL1047395:BGL1047460 AWP1047395:AWP1047460 AMT1047395:AMT1047460 ACX1047395:ACX1047460 TB1047395:TB1047460 JF1047395:JF1047460 J1047395:J1047460 WVR981859:WVR981924 WLV981859:WLV981924 WBZ981859:WBZ981924 VSD981859:VSD981924 VIH981859:VIH981924 UYL981859:UYL981924 UOP981859:UOP981924 UET981859:UET981924 TUX981859:TUX981924 TLB981859:TLB981924 TBF981859:TBF981924 SRJ981859:SRJ981924 SHN981859:SHN981924 RXR981859:RXR981924 RNV981859:RNV981924 RDZ981859:RDZ981924 QUD981859:QUD981924 QKH981859:QKH981924 QAL981859:QAL981924 PQP981859:PQP981924 PGT981859:PGT981924 OWX981859:OWX981924 ONB981859:ONB981924 ODF981859:ODF981924 NTJ981859:NTJ981924 NJN981859:NJN981924 MZR981859:MZR981924 MPV981859:MPV981924 MFZ981859:MFZ981924 LWD981859:LWD981924 LMH981859:LMH981924 LCL981859:LCL981924 KSP981859:KSP981924 KIT981859:KIT981924 JYX981859:JYX981924 JPB981859:JPB981924 JFF981859:JFF981924 IVJ981859:IVJ981924 ILN981859:ILN981924 IBR981859:IBR981924 HRV981859:HRV981924 HHZ981859:HHZ981924 GYD981859:GYD981924 GOH981859:GOH981924 GEL981859:GEL981924 FUP981859:FUP981924 FKT981859:FKT981924 FAX981859:FAX981924 ERB981859:ERB981924 EHF981859:EHF981924 DXJ981859:DXJ981924 DNN981859:DNN981924 DDR981859:DDR981924 CTV981859:CTV981924 CJZ981859:CJZ981924 CAD981859:CAD981924 BQH981859:BQH981924 BGL981859:BGL981924 AWP981859:AWP981924 AMT981859:AMT981924 ACX981859:ACX981924 TB981859:TB981924 JF981859:JF981924 J981859:J981924 WVR916323:WVR916388 WLV916323:WLV916388 WBZ916323:WBZ916388 VSD916323:VSD916388 VIH916323:VIH916388 UYL916323:UYL916388 UOP916323:UOP916388 UET916323:UET916388 TUX916323:TUX916388 TLB916323:TLB916388 TBF916323:TBF916388 SRJ916323:SRJ916388 SHN916323:SHN916388 RXR916323:RXR916388 RNV916323:RNV916388 RDZ916323:RDZ916388 QUD916323:QUD916388 QKH916323:QKH916388 QAL916323:QAL916388 PQP916323:PQP916388 PGT916323:PGT916388 OWX916323:OWX916388 ONB916323:ONB916388 ODF916323:ODF916388 NTJ916323:NTJ916388 NJN916323:NJN916388 MZR916323:MZR916388 MPV916323:MPV916388 MFZ916323:MFZ916388 LWD916323:LWD916388 LMH916323:LMH916388 LCL916323:LCL916388 KSP916323:KSP916388 KIT916323:KIT916388 JYX916323:JYX916388 JPB916323:JPB916388 JFF916323:JFF916388 IVJ916323:IVJ916388 ILN916323:ILN916388 IBR916323:IBR916388 HRV916323:HRV916388 HHZ916323:HHZ916388 GYD916323:GYD916388 GOH916323:GOH916388 GEL916323:GEL916388 FUP916323:FUP916388 FKT916323:FKT916388 FAX916323:FAX916388 ERB916323:ERB916388 EHF916323:EHF916388 DXJ916323:DXJ916388 DNN916323:DNN916388 DDR916323:DDR916388 CTV916323:CTV916388 CJZ916323:CJZ916388 CAD916323:CAD916388 BQH916323:BQH916388 BGL916323:BGL916388 AWP916323:AWP916388 AMT916323:AMT916388 ACX916323:ACX916388 TB916323:TB916388 JF916323:JF916388 J916323:J916388 WVR850787:WVR850852 WLV850787:WLV850852 WBZ850787:WBZ850852 VSD850787:VSD850852 VIH850787:VIH850852 UYL850787:UYL850852 UOP850787:UOP850852 UET850787:UET850852 TUX850787:TUX850852 TLB850787:TLB850852 TBF850787:TBF850852 SRJ850787:SRJ850852 SHN850787:SHN850852 RXR850787:RXR850852 RNV850787:RNV850852 RDZ850787:RDZ850852 QUD850787:QUD850852 QKH850787:QKH850852 QAL850787:QAL850852 PQP850787:PQP850852 PGT850787:PGT850852 OWX850787:OWX850852 ONB850787:ONB850852 ODF850787:ODF850852 NTJ850787:NTJ850852 NJN850787:NJN850852 MZR850787:MZR850852 MPV850787:MPV850852 MFZ850787:MFZ850852 LWD850787:LWD850852 LMH850787:LMH850852 LCL850787:LCL850852 KSP850787:KSP850852 KIT850787:KIT850852 JYX850787:JYX850852 JPB850787:JPB850852 JFF850787:JFF850852 IVJ850787:IVJ850852 ILN850787:ILN850852 IBR850787:IBR850852 HRV850787:HRV850852 HHZ850787:HHZ850852 GYD850787:GYD850852 GOH850787:GOH850852 GEL850787:GEL850852 FUP850787:FUP850852 FKT850787:FKT850852 FAX850787:FAX850852 ERB850787:ERB850852 EHF850787:EHF850852 DXJ850787:DXJ850852 DNN850787:DNN850852 DDR850787:DDR850852 CTV850787:CTV850852 CJZ850787:CJZ850852 CAD850787:CAD850852 BQH850787:BQH850852 BGL850787:BGL850852 AWP850787:AWP850852 AMT850787:AMT850852 ACX850787:ACX850852 TB850787:TB850852 JF850787:JF850852 J850787:J850852 WVR785251:WVR785316 WLV785251:WLV785316 WBZ785251:WBZ785316 VSD785251:VSD785316 VIH785251:VIH785316 UYL785251:UYL785316 UOP785251:UOP785316 UET785251:UET785316 TUX785251:TUX785316 TLB785251:TLB785316 TBF785251:TBF785316 SRJ785251:SRJ785316 SHN785251:SHN785316 RXR785251:RXR785316 RNV785251:RNV785316 RDZ785251:RDZ785316 QUD785251:QUD785316 QKH785251:QKH785316 QAL785251:QAL785316 PQP785251:PQP785316 PGT785251:PGT785316 OWX785251:OWX785316 ONB785251:ONB785316 ODF785251:ODF785316 NTJ785251:NTJ785316 NJN785251:NJN785316 MZR785251:MZR785316 MPV785251:MPV785316 MFZ785251:MFZ785316 LWD785251:LWD785316 LMH785251:LMH785316 LCL785251:LCL785316 KSP785251:KSP785316 KIT785251:KIT785316 JYX785251:JYX785316 JPB785251:JPB785316 JFF785251:JFF785316 IVJ785251:IVJ785316 ILN785251:ILN785316 IBR785251:IBR785316 HRV785251:HRV785316 HHZ785251:HHZ785316 GYD785251:GYD785316 GOH785251:GOH785316 GEL785251:GEL785316 FUP785251:FUP785316 FKT785251:FKT785316 FAX785251:FAX785316 ERB785251:ERB785316 EHF785251:EHF785316 DXJ785251:DXJ785316 DNN785251:DNN785316 DDR785251:DDR785316 CTV785251:CTV785316 CJZ785251:CJZ785316 CAD785251:CAD785316 BQH785251:BQH785316 BGL785251:BGL785316 AWP785251:AWP785316 AMT785251:AMT785316 ACX785251:ACX785316 TB785251:TB785316 JF785251:JF785316 J785251:J785316 WVR719715:WVR719780 WLV719715:WLV719780 WBZ719715:WBZ719780 VSD719715:VSD719780 VIH719715:VIH719780 UYL719715:UYL719780 UOP719715:UOP719780 UET719715:UET719780 TUX719715:TUX719780 TLB719715:TLB719780 TBF719715:TBF719780 SRJ719715:SRJ719780 SHN719715:SHN719780 RXR719715:RXR719780 RNV719715:RNV719780 RDZ719715:RDZ719780 QUD719715:QUD719780 QKH719715:QKH719780 QAL719715:QAL719780 PQP719715:PQP719780 PGT719715:PGT719780 OWX719715:OWX719780 ONB719715:ONB719780 ODF719715:ODF719780 NTJ719715:NTJ719780 NJN719715:NJN719780 MZR719715:MZR719780 MPV719715:MPV719780 MFZ719715:MFZ719780 LWD719715:LWD719780 LMH719715:LMH719780 LCL719715:LCL719780 KSP719715:KSP719780 KIT719715:KIT719780 JYX719715:JYX719780 JPB719715:JPB719780 JFF719715:JFF719780 IVJ719715:IVJ719780 ILN719715:ILN719780 IBR719715:IBR719780 HRV719715:HRV719780 HHZ719715:HHZ719780 GYD719715:GYD719780 GOH719715:GOH719780 GEL719715:GEL719780 FUP719715:FUP719780 FKT719715:FKT719780 FAX719715:FAX719780 ERB719715:ERB719780 EHF719715:EHF719780 DXJ719715:DXJ719780 DNN719715:DNN719780 DDR719715:DDR719780 CTV719715:CTV719780 CJZ719715:CJZ719780 CAD719715:CAD719780 BQH719715:BQH719780 BGL719715:BGL719780 AWP719715:AWP719780 AMT719715:AMT719780 ACX719715:ACX719780 TB719715:TB719780 JF719715:JF719780 J719715:J719780 WVR654179:WVR654244 WLV654179:WLV654244 WBZ654179:WBZ654244 VSD654179:VSD654244 VIH654179:VIH654244 UYL654179:UYL654244 UOP654179:UOP654244 UET654179:UET654244 TUX654179:TUX654244 TLB654179:TLB654244 TBF654179:TBF654244 SRJ654179:SRJ654244 SHN654179:SHN654244 RXR654179:RXR654244 RNV654179:RNV654244 RDZ654179:RDZ654244 QUD654179:QUD654244 QKH654179:QKH654244 QAL654179:QAL654244 PQP654179:PQP654244 PGT654179:PGT654244 OWX654179:OWX654244 ONB654179:ONB654244 ODF654179:ODF654244 NTJ654179:NTJ654244 NJN654179:NJN654244 MZR654179:MZR654244 MPV654179:MPV654244 MFZ654179:MFZ654244 LWD654179:LWD654244 LMH654179:LMH654244 LCL654179:LCL654244 KSP654179:KSP654244 KIT654179:KIT654244 JYX654179:JYX654244 JPB654179:JPB654244 JFF654179:JFF654244 IVJ654179:IVJ654244 ILN654179:ILN654244 IBR654179:IBR654244 HRV654179:HRV654244 HHZ654179:HHZ654244 GYD654179:GYD654244 GOH654179:GOH654244 GEL654179:GEL654244 FUP654179:FUP654244 FKT654179:FKT654244 FAX654179:FAX654244 ERB654179:ERB654244 EHF654179:EHF654244 DXJ654179:DXJ654244 DNN654179:DNN654244 DDR654179:DDR654244 CTV654179:CTV654244 CJZ654179:CJZ654244 CAD654179:CAD654244 BQH654179:BQH654244 BGL654179:BGL654244 AWP654179:AWP654244 AMT654179:AMT654244 ACX654179:ACX654244 TB654179:TB654244 JF654179:JF654244 J654179:J654244 WVR588643:WVR588708 WLV588643:WLV588708 WBZ588643:WBZ588708 VSD588643:VSD588708 VIH588643:VIH588708 UYL588643:UYL588708 UOP588643:UOP588708 UET588643:UET588708 TUX588643:TUX588708 TLB588643:TLB588708 TBF588643:TBF588708 SRJ588643:SRJ588708 SHN588643:SHN588708 RXR588643:RXR588708 RNV588643:RNV588708 RDZ588643:RDZ588708 QUD588643:QUD588708 QKH588643:QKH588708 QAL588643:QAL588708 PQP588643:PQP588708 PGT588643:PGT588708 OWX588643:OWX588708 ONB588643:ONB588708 ODF588643:ODF588708 NTJ588643:NTJ588708 NJN588643:NJN588708 MZR588643:MZR588708 MPV588643:MPV588708 MFZ588643:MFZ588708 LWD588643:LWD588708 LMH588643:LMH588708 LCL588643:LCL588708 KSP588643:KSP588708 KIT588643:KIT588708 JYX588643:JYX588708 JPB588643:JPB588708 JFF588643:JFF588708 IVJ588643:IVJ588708 ILN588643:ILN588708 IBR588643:IBR588708 HRV588643:HRV588708 HHZ588643:HHZ588708 GYD588643:GYD588708 GOH588643:GOH588708 GEL588643:GEL588708 FUP588643:FUP588708 FKT588643:FKT588708 FAX588643:FAX588708 ERB588643:ERB588708 EHF588643:EHF588708 DXJ588643:DXJ588708 DNN588643:DNN588708 DDR588643:DDR588708 CTV588643:CTV588708 CJZ588643:CJZ588708 CAD588643:CAD588708 BQH588643:BQH588708 BGL588643:BGL588708 AWP588643:AWP588708 AMT588643:AMT588708 ACX588643:ACX588708 TB588643:TB588708 JF588643:JF588708 J588643:J588708 WVR523107:WVR523172 WLV523107:WLV523172 WBZ523107:WBZ523172 VSD523107:VSD523172 VIH523107:VIH523172 UYL523107:UYL523172 UOP523107:UOP523172 UET523107:UET523172 TUX523107:TUX523172 TLB523107:TLB523172 TBF523107:TBF523172 SRJ523107:SRJ523172 SHN523107:SHN523172 RXR523107:RXR523172 RNV523107:RNV523172 RDZ523107:RDZ523172 QUD523107:QUD523172 QKH523107:QKH523172 QAL523107:QAL523172 PQP523107:PQP523172 PGT523107:PGT523172 OWX523107:OWX523172 ONB523107:ONB523172 ODF523107:ODF523172 NTJ523107:NTJ523172 NJN523107:NJN523172 MZR523107:MZR523172 MPV523107:MPV523172 MFZ523107:MFZ523172 LWD523107:LWD523172 LMH523107:LMH523172 LCL523107:LCL523172 KSP523107:KSP523172 KIT523107:KIT523172 JYX523107:JYX523172 JPB523107:JPB523172 JFF523107:JFF523172 IVJ523107:IVJ523172 ILN523107:ILN523172 IBR523107:IBR523172 HRV523107:HRV523172 HHZ523107:HHZ523172 GYD523107:GYD523172 GOH523107:GOH523172 GEL523107:GEL523172 FUP523107:FUP523172 FKT523107:FKT523172 FAX523107:FAX523172 ERB523107:ERB523172 EHF523107:EHF523172 DXJ523107:DXJ523172 DNN523107:DNN523172 DDR523107:DDR523172 CTV523107:CTV523172 CJZ523107:CJZ523172 CAD523107:CAD523172 BQH523107:BQH523172 BGL523107:BGL523172 AWP523107:AWP523172 AMT523107:AMT523172 ACX523107:ACX523172 TB523107:TB523172 JF523107:JF523172 J523107:J523172 WVR457571:WVR457636 WLV457571:WLV457636 WBZ457571:WBZ457636 VSD457571:VSD457636 VIH457571:VIH457636 UYL457571:UYL457636 UOP457571:UOP457636 UET457571:UET457636 TUX457571:TUX457636 TLB457571:TLB457636 TBF457571:TBF457636 SRJ457571:SRJ457636 SHN457571:SHN457636 RXR457571:RXR457636 RNV457571:RNV457636 RDZ457571:RDZ457636 QUD457571:QUD457636 QKH457571:QKH457636 QAL457571:QAL457636 PQP457571:PQP457636 PGT457571:PGT457636 OWX457571:OWX457636 ONB457571:ONB457636 ODF457571:ODF457636 NTJ457571:NTJ457636 NJN457571:NJN457636 MZR457571:MZR457636 MPV457571:MPV457636 MFZ457571:MFZ457636 LWD457571:LWD457636 LMH457571:LMH457636 LCL457571:LCL457636 KSP457571:KSP457636 KIT457571:KIT457636 JYX457571:JYX457636 JPB457571:JPB457636 JFF457571:JFF457636 IVJ457571:IVJ457636 ILN457571:ILN457636 IBR457571:IBR457636 HRV457571:HRV457636 HHZ457571:HHZ457636 GYD457571:GYD457636 GOH457571:GOH457636 GEL457571:GEL457636 FUP457571:FUP457636 FKT457571:FKT457636 FAX457571:FAX457636 ERB457571:ERB457636 EHF457571:EHF457636 DXJ457571:DXJ457636 DNN457571:DNN457636 DDR457571:DDR457636 CTV457571:CTV457636 CJZ457571:CJZ457636 CAD457571:CAD457636 BQH457571:BQH457636 BGL457571:BGL457636 AWP457571:AWP457636 AMT457571:AMT457636 ACX457571:ACX457636 TB457571:TB457636 JF457571:JF457636 J457571:J457636 WVR392035:WVR392100 WLV392035:WLV392100 WBZ392035:WBZ392100 VSD392035:VSD392100 VIH392035:VIH392100 UYL392035:UYL392100 UOP392035:UOP392100 UET392035:UET392100 TUX392035:TUX392100 TLB392035:TLB392100 TBF392035:TBF392100 SRJ392035:SRJ392100 SHN392035:SHN392100 RXR392035:RXR392100 RNV392035:RNV392100 RDZ392035:RDZ392100 QUD392035:QUD392100 QKH392035:QKH392100 QAL392035:QAL392100 PQP392035:PQP392100 PGT392035:PGT392100 OWX392035:OWX392100 ONB392035:ONB392100 ODF392035:ODF392100 NTJ392035:NTJ392100 NJN392035:NJN392100 MZR392035:MZR392100 MPV392035:MPV392100 MFZ392035:MFZ392100 LWD392035:LWD392100 LMH392035:LMH392100 LCL392035:LCL392100 KSP392035:KSP392100 KIT392035:KIT392100 JYX392035:JYX392100 JPB392035:JPB392100 JFF392035:JFF392100 IVJ392035:IVJ392100 ILN392035:ILN392100 IBR392035:IBR392100 HRV392035:HRV392100 HHZ392035:HHZ392100 GYD392035:GYD392100 GOH392035:GOH392100 GEL392035:GEL392100 FUP392035:FUP392100 FKT392035:FKT392100 FAX392035:FAX392100 ERB392035:ERB392100 EHF392035:EHF392100 DXJ392035:DXJ392100 DNN392035:DNN392100 DDR392035:DDR392100 CTV392035:CTV392100 CJZ392035:CJZ392100 CAD392035:CAD392100 BQH392035:BQH392100 BGL392035:BGL392100 AWP392035:AWP392100 AMT392035:AMT392100 ACX392035:ACX392100 TB392035:TB392100 JF392035:JF392100 J392035:J392100 WVR326499:WVR326564 WLV326499:WLV326564 WBZ326499:WBZ326564 VSD326499:VSD326564 VIH326499:VIH326564 UYL326499:UYL326564 UOP326499:UOP326564 UET326499:UET326564 TUX326499:TUX326564 TLB326499:TLB326564 TBF326499:TBF326564 SRJ326499:SRJ326564 SHN326499:SHN326564 RXR326499:RXR326564 RNV326499:RNV326564 RDZ326499:RDZ326564 QUD326499:QUD326564 QKH326499:QKH326564 QAL326499:QAL326564 PQP326499:PQP326564 PGT326499:PGT326564 OWX326499:OWX326564 ONB326499:ONB326564 ODF326499:ODF326564 NTJ326499:NTJ326564 NJN326499:NJN326564 MZR326499:MZR326564 MPV326499:MPV326564 MFZ326499:MFZ326564 LWD326499:LWD326564 LMH326499:LMH326564 LCL326499:LCL326564 KSP326499:KSP326564 KIT326499:KIT326564 JYX326499:JYX326564 JPB326499:JPB326564 JFF326499:JFF326564 IVJ326499:IVJ326564 ILN326499:ILN326564 IBR326499:IBR326564 HRV326499:HRV326564 HHZ326499:HHZ326564 GYD326499:GYD326564 GOH326499:GOH326564 GEL326499:GEL326564 FUP326499:FUP326564 FKT326499:FKT326564 FAX326499:FAX326564 ERB326499:ERB326564 EHF326499:EHF326564 DXJ326499:DXJ326564 DNN326499:DNN326564 DDR326499:DDR326564 CTV326499:CTV326564 CJZ326499:CJZ326564 CAD326499:CAD326564 BQH326499:BQH326564 BGL326499:BGL326564 AWP326499:AWP326564 AMT326499:AMT326564 ACX326499:ACX326564 TB326499:TB326564 JF326499:JF326564 J326499:J326564 WVR260963:WVR261028 WLV260963:WLV261028 WBZ260963:WBZ261028 VSD260963:VSD261028 VIH260963:VIH261028 UYL260963:UYL261028 UOP260963:UOP261028 UET260963:UET261028 TUX260963:TUX261028 TLB260963:TLB261028 TBF260963:TBF261028 SRJ260963:SRJ261028 SHN260963:SHN261028 RXR260963:RXR261028 RNV260963:RNV261028 RDZ260963:RDZ261028 QUD260963:QUD261028 QKH260963:QKH261028 QAL260963:QAL261028 PQP260963:PQP261028 PGT260963:PGT261028 OWX260963:OWX261028 ONB260963:ONB261028 ODF260963:ODF261028 NTJ260963:NTJ261028 NJN260963:NJN261028 MZR260963:MZR261028 MPV260963:MPV261028 MFZ260963:MFZ261028 LWD260963:LWD261028 LMH260963:LMH261028 LCL260963:LCL261028 KSP260963:KSP261028 KIT260963:KIT261028 JYX260963:JYX261028 JPB260963:JPB261028 JFF260963:JFF261028 IVJ260963:IVJ261028 ILN260963:ILN261028 IBR260963:IBR261028 HRV260963:HRV261028 HHZ260963:HHZ261028 GYD260963:GYD261028 GOH260963:GOH261028 GEL260963:GEL261028 FUP260963:FUP261028 FKT260963:FKT261028 FAX260963:FAX261028 ERB260963:ERB261028 EHF260963:EHF261028 DXJ260963:DXJ261028 DNN260963:DNN261028 DDR260963:DDR261028 CTV260963:CTV261028 CJZ260963:CJZ261028 CAD260963:CAD261028 BQH260963:BQH261028 BGL260963:BGL261028 AWP260963:AWP261028 AMT260963:AMT261028 ACX260963:ACX261028 TB260963:TB261028 JF260963:JF261028 J260963:J261028 WVR195427:WVR195492 WLV195427:WLV195492 WBZ195427:WBZ195492 VSD195427:VSD195492 VIH195427:VIH195492 UYL195427:UYL195492 UOP195427:UOP195492 UET195427:UET195492 TUX195427:TUX195492 TLB195427:TLB195492 TBF195427:TBF195492 SRJ195427:SRJ195492 SHN195427:SHN195492 RXR195427:RXR195492 RNV195427:RNV195492 RDZ195427:RDZ195492 QUD195427:QUD195492 QKH195427:QKH195492 QAL195427:QAL195492 PQP195427:PQP195492 PGT195427:PGT195492 OWX195427:OWX195492 ONB195427:ONB195492 ODF195427:ODF195492 NTJ195427:NTJ195492 NJN195427:NJN195492 MZR195427:MZR195492 MPV195427:MPV195492 MFZ195427:MFZ195492 LWD195427:LWD195492 LMH195427:LMH195492 LCL195427:LCL195492 KSP195427:KSP195492 KIT195427:KIT195492 JYX195427:JYX195492 JPB195427:JPB195492 JFF195427:JFF195492 IVJ195427:IVJ195492 ILN195427:ILN195492 IBR195427:IBR195492 HRV195427:HRV195492 HHZ195427:HHZ195492 GYD195427:GYD195492 GOH195427:GOH195492 GEL195427:GEL195492 FUP195427:FUP195492 FKT195427:FKT195492 FAX195427:FAX195492 ERB195427:ERB195492 EHF195427:EHF195492 DXJ195427:DXJ195492 DNN195427:DNN195492 DDR195427:DDR195492 CTV195427:CTV195492 CJZ195427:CJZ195492 CAD195427:CAD195492 BQH195427:BQH195492 BGL195427:BGL195492 AWP195427:AWP195492 AMT195427:AMT195492 ACX195427:ACX195492 TB195427:TB195492 JF195427:JF195492 J195427:J195492 WVR129891:WVR129956 WLV129891:WLV129956 WBZ129891:WBZ129956 VSD129891:VSD129956 VIH129891:VIH129956 UYL129891:UYL129956 UOP129891:UOP129956 UET129891:UET129956 TUX129891:TUX129956 TLB129891:TLB129956 TBF129891:TBF129956 SRJ129891:SRJ129956 SHN129891:SHN129956 RXR129891:RXR129956 RNV129891:RNV129956 RDZ129891:RDZ129956 QUD129891:QUD129956 QKH129891:QKH129956 QAL129891:QAL129956 PQP129891:PQP129956 PGT129891:PGT129956 OWX129891:OWX129956 ONB129891:ONB129956 ODF129891:ODF129956 NTJ129891:NTJ129956 NJN129891:NJN129956 MZR129891:MZR129956 MPV129891:MPV129956 MFZ129891:MFZ129956 LWD129891:LWD129956 LMH129891:LMH129956 LCL129891:LCL129956 KSP129891:KSP129956 KIT129891:KIT129956 JYX129891:JYX129956 JPB129891:JPB129956 JFF129891:JFF129956 IVJ129891:IVJ129956 ILN129891:ILN129956 IBR129891:IBR129956 HRV129891:HRV129956 HHZ129891:HHZ129956 GYD129891:GYD129956 GOH129891:GOH129956 GEL129891:GEL129956 FUP129891:FUP129956 FKT129891:FKT129956 FAX129891:FAX129956 ERB129891:ERB129956 EHF129891:EHF129956 DXJ129891:DXJ129956 DNN129891:DNN129956 DDR129891:DDR129956 CTV129891:CTV129956 CJZ129891:CJZ129956 CAD129891:CAD129956 BQH129891:BQH129956 BGL129891:BGL129956 AWP129891:AWP129956 AMT129891:AMT129956 ACX129891:ACX129956 TB129891:TB129956 JF129891:JF129956 J129891:J129956 WVR64355:WVR64420 WLV64355:WLV64420 WBZ64355:WBZ64420 VSD64355:VSD64420 VIH64355:VIH64420 UYL64355:UYL64420 UOP64355:UOP64420 UET64355:UET64420 TUX64355:TUX64420 TLB64355:TLB64420 TBF64355:TBF64420 SRJ64355:SRJ64420 SHN64355:SHN64420 RXR64355:RXR64420 RNV64355:RNV64420 RDZ64355:RDZ64420 QUD64355:QUD64420 QKH64355:QKH64420 QAL64355:QAL64420 PQP64355:PQP64420 PGT64355:PGT64420 OWX64355:OWX64420 ONB64355:ONB64420 ODF64355:ODF64420 NTJ64355:NTJ64420 NJN64355:NJN64420 MZR64355:MZR64420 MPV64355:MPV64420 MFZ64355:MFZ64420 LWD64355:LWD64420 LMH64355:LMH64420 LCL64355:LCL64420 KSP64355:KSP64420 KIT64355:KIT64420 JYX64355:JYX64420 JPB64355:JPB64420 JFF64355:JFF64420 IVJ64355:IVJ64420 ILN64355:ILN64420 IBR64355:IBR64420 HRV64355:HRV64420 HHZ64355:HHZ64420 GYD64355:GYD64420 GOH64355:GOH64420 GEL64355:GEL64420 FUP64355:FUP64420 FKT64355:FKT64420 FAX64355:FAX64420 ERB64355:ERB64420 EHF64355:EHF64420 DXJ64355:DXJ64420 DNN64355:DNN64420 DDR64355:DDR64420 CTV64355:CTV64420 CJZ64355:CJZ64420 CAD64355:CAD64420 BQH64355:BQH64420 BGL64355:BGL64420 AWP64355:AWP64420 AMT64355:AMT64420 ACX64355:ACX64420 TB64355:TB64420 JF64355:JF64420">
      <formula1>$AP$2:$AP$15</formula1>
    </dataValidation>
    <dataValidation type="list" allowBlank="1" showInputMessage="1" showErrorMessage="1" sqref="K64355:K64420 WVS1047395:WVS1047460 WLW1047395:WLW1047460 WCA1047395:WCA1047460 VSE1047395:VSE1047460 VII1047395:VII1047460 UYM1047395:UYM1047460 UOQ1047395:UOQ1047460 UEU1047395:UEU1047460 TUY1047395:TUY1047460 TLC1047395:TLC1047460 TBG1047395:TBG1047460 SRK1047395:SRK1047460 SHO1047395:SHO1047460 RXS1047395:RXS1047460 RNW1047395:RNW1047460 REA1047395:REA1047460 QUE1047395:QUE1047460 QKI1047395:QKI1047460 QAM1047395:QAM1047460 PQQ1047395:PQQ1047460 PGU1047395:PGU1047460 OWY1047395:OWY1047460 ONC1047395:ONC1047460 ODG1047395:ODG1047460 NTK1047395:NTK1047460 NJO1047395:NJO1047460 MZS1047395:MZS1047460 MPW1047395:MPW1047460 MGA1047395:MGA1047460 LWE1047395:LWE1047460 LMI1047395:LMI1047460 LCM1047395:LCM1047460 KSQ1047395:KSQ1047460 KIU1047395:KIU1047460 JYY1047395:JYY1047460 JPC1047395:JPC1047460 JFG1047395:JFG1047460 IVK1047395:IVK1047460 ILO1047395:ILO1047460 IBS1047395:IBS1047460 HRW1047395:HRW1047460 HIA1047395:HIA1047460 GYE1047395:GYE1047460 GOI1047395:GOI1047460 GEM1047395:GEM1047460 FUQ1047395:FUQ1047460 FKU1047395:FKU1047460 FAY1047395:FAY1047460 ERC1047395:ERC1047460 EHG1047395:EHG1047460 DXK1047395:DXK1047460 DNO1047395:DNO1047460 DDS1047395:DDS1047460 CTW1047395:CTW1047460 CKA1047395:CKA1047460 CAE1047395:CAE1047460 BQI1047395:BQI1047460 BGM1047395:BGM1047460 AWQ1047395:AWQ1047460 AMU1047395:AMU1047460 ACY1047395:ACY1047460 TC1047395:TC1047460 JG1047395:JG1047460 K1047395:K1047460 WVS981859:WVS981924 WLW981859:WLW981924 WCA981859:WCA981924 VSE981859:VSE981924 VII981859:VII981924 UYM981859:UYM981924 UOQ981859:UOQ981924 UEU981859:UEU981924 TUY981859:TUY981924 TLC981859:TLC981924 TBG981859:TBG981924 SRK981859:SRK981924 SHO981859:SHO981924 RXS981859:RXS981924 RNW981859:RNW981924 REA981859:REA981924 QUE981859:QUE981924 QKI981859:QKI981924 QAM981859:QAM981924 PQQ981859:PQQ981924 PGU981859:PGU981924 OWY981859:OWY981924 ONC981859:ONC981924 ODG981859:ODG981924 NTK981859:NTK981924 NJO981859:NJO981924 MZS981859:MZS981924 MPW981859:MPW981924 MGA981859:MGA981924 LWE981859:LWE981924 LMI981859:LMI981924 LCM981859:LCM981924 KSQ981859:KSQ981924 KIU981859:KIU981924 JYY981859:JYY981924 JPC981859:JPC981924 JFG981859:JFG981924 IVK981859:IVK981924 ILO981859:ILO981924 IBS981859:IBS981924 HRW981859:HRW981924 HIA981859:HIA981924 GYE981859:GYE981924 GOI981859:GOI981924 GEM981859:GEM981924 FUQ981859:FUQ981924 FKU981859:FKU981924 FAY981859:FAY981924 ERC981859:ERC981924 EHG981859:EHG981924 DXK981859:DXK981924 DNO981859:DNO981924 DDS981859:DDS981924 CTW981859:CTW981924 CKA981859:CKA981924 CAE981859:CAE981924 BQI981859:BQI981924 BGM981859:BGM981924 AWQ981859:AWQ981924 AMU981859:AMU981924 ACY981859:ACY981924 TC981859:TC981924 JG981859:JG981924 K981859:K981924 WVS916323:WVS916388 WLW916323:WLW916388 WCA916323:WCA916388 VSE916323:VSE916388 VII916323:VII916388 UYM916323:UYM916388 UOQ916323:UOQ916388 UEU916323:UEU916388 TUY916323:TUY916388 TLC916323:TLC916388 TBG916323:TBG916388 SRK916323:SRK916388 SHO916323:SHO916388 RXS916323:RXS916388 RNW916323:RNW916388 REA916323:REA916388 QUE916323:QUE916388 QKI916323:QKI916388 QAM916323:QAM916388 PQQ916323:PQQ916388 PGU916323:PGU916388 OWY916323:OWY916388 ONC916323:ONC916388 ODG916323:ODG916388 NTK916323:NTK916388 NJO916323:NJO916388 MZS916323:MZS916388 MPW916323:MPW916388 MGA916323:MGA916388 LWE916323:LWE916388 LMI916323:LMI916388 LCM916323:LCM916388 KSQ916323:KSQ916388 KIU916323:KIU916388 JYY916323:JYY916388 JPC916323:JPC916388 JFG916323:JFG916388 IVK916323:IVK916388 ILO916323:ILO916388 IBS916323:IBS916388 HRW916323:HRW916388 HIA916323:HIA916388 GYE916323:GYE916388 GOI916323:GOI916388 GEM916323:GEM916388 FUQ916323:FUQ916388 FKU916323:FKU916388 FAY916323:FAY916388 ERC916323:ERC916388 EHG916323:EHG916388 DXK916323:DXK916388 DNO916323:DNO916388 DDS916323:DDS916388 CTW916323:CTW916388 CKA916323:CKA916388 CAE916323:CAE916388 BQI916323:BQI916388 BGM916323:BGM916388 AWQ916323:AWQ916388 AMU916323:AMU916388 ACY916323:ACY916388 TC916323:TC916388 JG916323:JG916388 K916323:K916388 WVS850787:WVS850852 WLW850787:WLW850852 WCA850787:WCA850852 VSE850787:VSE850852 VII850787:VII850852 UYM850787:UYM850852 UOQ850787:UOQ850852 UEU850787:UEU850852 TUY850787:TUY850852 TLC850787:TLC850852 TBG850787:TBG850852 SRK850787:SRK850852 SHO850787:SHO850852 RXS850787:RXS850852 RNW850787:RNW850852 REA850787:REA850852 QUE850787:QUE850852 QKI850787:QKI850852 QAM850787:QAM850852 PQQ850787:PQQ850852 PGU850787:PGU850852 OWY850787:OWY850852 ONC850787:ONC850852 ODG850787:ODG850852 NTK850787:NTK850852 NJO850787:NJO850852 MZS850787:MZS850852 MPW850787:MPW850852 MGA850787:MGA850852 LWE850787:LWE850852 LMI850787:LMI850852 LCM850787:LCM850852 KSQ850787:KSQ850852 KIU850787:KIU850852 JYY850787:JYY850852 JPC850787:JPC850852 JFG850787:JFG850852 IVK850787:IVK850852 ILO850787:ILO850852 IBS850787:IBS850852 HRW850787:HRW850852 HIA850787:HIA850852 GYE850787:GYE850852 GOI850787:GOI850852 GEM850787:GEM850852 FUQ850787:FUQ850852 FKU850787:FKU850852 FAY850787:FAY850852 ERC850787:ERC850852 EHG850787:EHG850852 DXK850787:DXK850852 DNO850787:DNO850852 DDS850787:DDS850852 CTW850787:CTW850852 CKA850787:CKA850852 CAE850787:CAE850852 BQI850787:BQI850852 BGM850787:BGM850852 AWQ850787:AWQ850852 AMU850787:AMU850852 ACY850787:ACY850852 TC850787:TC850852 JG850787:JG850852 K850787:K850852 WVS785251:WVS785316 WLW785251:WLW785316 WCA785251:WCA785316 VSE785251:VSE785316 VII785251:VII785316 UYM785251:UYM785316 UOQ785251:UOQ785316 UEU785251:UEU785316 TUY785251:TUY785316 TLC785251:TLC785316 TBG785251:TBG785316 SRK785251:SRK785316 SHO785251:SHO785316 RXS785251:RXS785316 RNW785251:RNW785316 REA785251:REA785316 QUE785251:QUE785316 QKI785251:QKI785316 QAM785251:QAM785316 PQQ785251:PQQ785316 PGU785251:PGU785316 OWY785251:OWY785316 ONC785251:ONC785316 ODG785251:ODG785316 NTK785251:NTK785316 NJO785251:NJO785316 MZS785251:MZS785316 MPW785251:MPW785316 MGA785251:MGA785316 LWE785251:LWE785316 LMI785251:LMI785316 LCM785251:LCM785316 KSQ785251:KSQ785316 KIU785251:KIU785316 JYY785251:JYY785316 JPC785251:JPC785316 JFG785251:JFG785316 IVK785251:IVK785316 ILO785251:ILO785316 IBS785251:IBS785316 HRW785251:HRW785316 HIA785251:HIA785316 GYE785251:GYE785316 GOI785251:GOI785316 GEM785251:GEM785316 FUQ785251:FUQ785316 FKU785251:FKU785316 FAY785251:FAY785316 ERC785251:ERC785316 EHG785251:EHG785316 DXK785251:DXK785316 DNO785251:DNO785316 DDS785251:DDS785316 CTW785251:CTW785316 CKA785251:CKA785316 CAE785251:CAE785316 BQI785251:BQI785316 BGM785251:BGM785316 AWQ785251:AWQ785316 AMU785251:AMU785316 ACY785251:ACY785316 TC785251:TC785316 JG785251:JG785316 K785251:K785316 WVS719715:WVS719780 WLW719715:WLW719780 WCA719715:WCA719780 VSE719715:VSE719780 VII719715:VII719780 UYM719715:UYM719780 UOQ719715:UOQ719780 UEU719715:UEU719780 TUY719715:TUY719780 TLC719715:TLC719780 TBG719715:TBG719780 SRK719715:SRK719780 SHO719715:SHO719780 RXS719715:RXS719780 RNW719715:RNW719780 REA719715:REA719780 QUE719715:QUE719780 QKI719715:QKI719780 QAM719715:QAM719780 PQQ719715:PQQ719780 PGU719715:PGU719780 OWY719715:OWY719780 ONC719715:ONC719780 ODG719715:ODG719780 NTK719715:NTK719780 NJO719715:NJO719780 MZS719715:MZS719780 MPW719715:MPW719780 MGA719715:MGA719780 LWE719715:LWE719780 LMI719715:LMI719780 LCM719715:LCM719780 KSQ719715:KSQ719780 KIU719715:KIU719780 JYY719715:JYY719780 JPC719715:JPC719780 JFG719715:JFG719780 IVK719715:IVK719780 ILO719715:ILO719780 IBS719715:IBS719780 HRW719715:HRW719780 HIA719715:HIA719780 GYE719715:GYE719780 GOI719715:GOI719780 GEM719715:GEM719780 FUQ719715:FUQ719780 FKU719715:FKU719780 FAY719715:FAY719780 ERC719715:ERC719780 EHG719715:EHG719780 DXK719715:DXK719780 DNO719715:DNO719780 DDS719715:DDS719780 CTW719715:CTW719780 CKA719715:CKA719780 CAE719715:CAE719780 BQI719715:BQI719780 BGM719715:BGM719780 AWQ719715:AWQ719780 AMU719715:AMU719780 ACY719715:ACY719780 TC719715:TC719780 JG719715:JG719780 K719715:K719780 WVS654179:WVS654244 WLW654179:WLW654244 WCA654179:WCA654244 VSE654179:VSE654244 VII654179:VII654244 UYM654179:UYM654244 UOQ654179:UOQ654244 UEU654179:UEU654244 TUY654179:TUY654244 TLC654179:TLC654244 TBG654179:TBG654244 SRK654179:SRK654244 SHO654179:SHO654244 RXS654179:RXS654244 RNW654179:RNW654244 REA654179:REA654244 QUE654179:QUE654244 QKI654179:QKI654244 QAM654179:QAM654244 PQQ654179:PQQ654244 PGU654179:PGU654244 OWY654179:OWY654244 ONC654179:ONC654244 ODG654179:ODG654244 NTK654179:NTK654244 NJO654179:NJO654244 MZS654179:MZS654244 MPW654179:MPW654244 MGA654179:MGA654244 LWE654179:LWE654244 LMI654179:LMI654244 LCM654179:LCM654244 KSQ654179:KSQ654244 KIU654179:KIU654244 JYY654179:JYY654244 JPC654179:JPC654244 JFG654179:JFG654244 IVK654179:IVK654244 ILO654179:ILO654244 IBS654179:IBS654244 HRW654179:HRW654244 HIA654179:HIA654244 GYE654179:GYE654244 GOI654179:GOI654244 GEM654179:GEM654244 FUQ654179:FUQ654244 FKU654179:FKU654244 FAY654179:FAY654244 ERC654179:ERC654244 EHG654179:EHG654244 DXK654179:DXK654244 DNO654179:DNO654244 DDS654179:DDS654244 CTW654179:CTW654244 CKA654179:CKA654244 CAE654179:CAE654244 BQI654179:BQI654244 BGM654179:BGM654244 AWQ654179:AWQ654244 AMU654179:AMU654244 ACY654179:ACY654244 TC654179:TC654244 JG654179:JG654244 K654179:K654244 WVS588643:WVS588708 WLW588643:WLW588708 WCA588643:WCA588708 VSE588643:VSE588708 VII588643:VII588708 UYM588643:UYM588708 UOQ588643:UOQ588708 UEU588643:UEU588708 TUY588643:TUY588708 TLC588643:TLC588708 TBG588643:TBG588708 SRK588643:SRK588708 SHO588643:SHO588708 RXS588643:RXS588708 RNW588643:RNW588708 REA588643:REA588708 QUE588643:QUE588708 QKI588643:QKI588708 QAM588643:QAM588708 PQQ588643:PQQ588708 PGU588643:PGU588708 OWY588643:OWY588708 ONC588643:ONC588708 ODG588643:ODG588708 NTK588643:NTK588708 NJO588643:NJO588708 MZS588643:MZS588708 MPW588643:MPW588708 MGA588643:MGA588708 LWE588643:LWE588708 LMI588643:LMI588708 LCM588643:LCM588708 KSQ588643:KSQ588708 KIU588643:KIU588708 JYY588643:JYY588708 JPC588643:JPC588708 JFG588643:JFG588708 IVK588643:IVK588708 ILO588643:ILO588708 IBS588643:IBS588708 HRW588643:HRW588708 HIA588643:HIA588708 GYE588643:GYE588708 GOI588643:GOI588708 GEM588643:GEM588708 FUQ588643:FUQ588708 FKU588643:FKU588708 FAY588643:FAY588708 ERC588643:ERC588708 EHG588643:EHG588708 DXK588643:DXK588708 DNO588643:DNO588708 DDS588643:DDS588708 CTW588643:CTW588708 CKA588643:CKA588708 CAE588643:CAE588708 BQI588643:BQI588708 BGM588643:BGM588708 AWQ588643:AWQ588708 AMU588643:AMU588708 ACY588643:ACY588708 TC588643:TC588708 JG588643:JG588708 K588643:K588708 WVS523107:WVS523172 WLW523107:WLW523172 WCA523107:WCA523172 VSE523107:VSE523172 VII523107:VII523172 UYM523107:UYM523172 UOQ523107:UOQ523172 UEU523107:UEU523172 TUY523107:TUY523172 TLC523107:TLC523172 TBG523107:TBG523172 SRK523107:SRK523172 SHO523107:SHO523172 RXS523107:RXS523172 RNW523107:RNW523172 REA523107:REA523172 QUE523107:QUE523172 QKI523107:QKI523172 QAM523107:QAM523172 PQQ523107:PQQ523172 PGU523107:PGU523172 OWY523107:OWY523172 ONC523107:ONC523172 ODG523107:ODG523172 NTK523107:NTK523172 NJO523107:NJO523172 MZS523107:MZS523172 MPW523107:MPW523172 MGA523107:MGA523172 LWE523107:LWE523172 LMI523107:LMI523172 LCM523107:LCM523172 KSQ523107:KSQ523172 KIU523107:KIU523172 JYY523107:JYY523172 JPC523107:JPC523172 JFG523107:JFG523172 IVK523107:IVK523172 ILO523107:ILO523172 IBS523107:IBS523172 HRW523107:HRW523172 HIA523107:HIA523172 GYE523107:GYE523172 GOI523107:GOI523172 GEM523107:GEM523172 FUQ523107:FUQ523172 FKU523107:FKU523172 FAY523107:FAY523172 ERC523107:ERC523172 EHG523107:EHG523172 DXK523107:DXK523172 DNO523107:DNO523172 DDS523107:DDS523172 CTW523107:CTW523172 CKA523107:CKA523172 CAE523107:CAE523172 BQI523107:BQI523172 BGM523107:BGM523172 AWQ523107:AWQ523172 AMU523107:AMU523172 ACY523107:ACY523172 TC523107:TC523172 JG523107:JG523172 K523107:K523172 WVS457571:WVS457636 WLW457571:WLW457636 WCA457571:WCA457636 VSE457571:VSE457636 VII457571:VII457636 UYM457571:UYM457636 UOQ457571:UOQ457636 UEU457571:UEU457636 TUY457571:TUY457636 TLC457571:TLC457636 TBG457571:TBG457636 SRK457571:SRK457636 SHO457571:SHO457636 RXS457571:RXS457636 RNW457571:RNW457636 REA457571:REA457636 QUE457571:QUE457636 QKI457571:QKI457636 QAM457571:QAM457636 PQQ457571:PQQ457636 PGU457571:PGU457636 OWY457571:OWY457636 ONC457571:ONC457636 ODG457571:ODG457636 NTK457571:NTK457636 NJO457571:NJO457636 MZS457571:MZS457636 MPW457571:MPW457636 MGA457571:MGA457636 LWE457571:LWE457636 LMI457571:LMI457636 LCM457571:LCM457636 KSQ457571:KSQ457636 KIU457571:KIU457636 JYY457571:JYY457636 JPC457571:JPC457636 JFG457571:JFG457636 IVK457571:IVK457636 ILO457571:ILO457636 IBS457571:IBS457636 HRW457571:HRW457636 HIA457571:HIA457636 GYE457571:GYE457636 GOI457571:GOI457636 GEM457571:GEM457636 FUQ457571:FUQ457636 FKU457571:FKU457636 FAY457571:FAY457636 ERC457571:ERC457636 EHG457571:EHG457636 DXK457571:DXK457636 DNO457571:DNO457636 DDS457571:DDS457636 CTW457571:CTW457636 CKA457571:CKA457636 CAE457571:CAE457636 BQI457571:BQI457636 BGM457571:BGM457636 AWQ457571:AWQ457636 AMU457571:AMU457636 ACY457571:ACY457636 TC457571:TC457636 JG457571:JG457636 K457571:K457636 WVS392035:WVS392100 WLW392035:WLW392100 WCA392035:WCA392100 VSE392035:VSE392100 VII392035:VII392100 UYM392035:UYM392100 UOQ392035:UOQ392100 UEU392035:UEU392100 TUY392035:TUY392100 TLC392035:TLC392100 TBG392035:TBG392100 SRK392035:SRK392100 SHO392035:SHO392100 RXS392035:RXS392100 RNW392035:RNW392100 REA392035:REA392100 QUE392035:QUE392100 QKI392035:QKI392100 QAM392035:QAM392100 PQQ392035:PQQ392100 PGU392035:PGU392100 OWY392035:OWY392100 ONC392035:ONC392100 ODG392035:ODG392100 NTK392035:NTK392100 NJO392035:NJO392100 MZS392035:MZS392100 MPW392035:MPW392100 MGA392035:MGA392100 LWE392035:LWE392100 LMI392035:LMI392100 LCM392035:LCM392100 KSQ392035:KSQ392100 KIU392035:KIU392100 JYY392035:JYY392100 JPC392035:JPC392100 JFG392035:JFG392100 IVK392035:IVK392100 ILO392035:ILO392100 IBS392035:IBS392100 HRW392035:HRW392100 HIA392035:HIA392100 GYE392035:GYE392100 GOI392035:GOI392100 GEM392035:GEM392100 FUQ392035:FUQ392100 FKU392035:FKU392100 FAY392035:FAY392100 ERC392035:ERC392100 EHG392035:EHG392100 DXK392035:DXK392100 DNO392035:DNO392100 DDS392035:DDS392100 CTW392035:CTW392100 CKA392035:CKA392100 CAE392035:CAE392100 BQI392035:BQI392100 BGM392035:BGM392100 AWQ392035:AWQ392100 AMU392035:AMU392100 ACY392035:ACY392100 TC392035:TC392100 JG392035:JG392100 K392035:K392100 WVS326499:WVS326564 WLW326499:WLW326564 WCA326499:WCA326564 VSE326499:VSE326564 VII326499:VII326564 UYM326499:UYM326564 UOQ326499:UOQ326564 UEU326499:UEU326564 TUY326499:TUY326564 TLC326499:TLC326564 TBG326499:TBG326564 SRK326499:SRK326564 SHO326499:SHO326564 RXS326499:RXS326564 RNW326499:RNW326564 REA326499:REA326564 QUE326499:QUE326564 QKI326499:QKI326564 QAM326499:QAM326564 PQQ326499:PQQ326564 PGU326499:PGU326564 OWY326499:OWY326564 ONC326499:ONC326564 ODG326499:ODG326564 NTK326499:NTK326564 NJO326499:NJO326564 MZS326499:MZS326564 MPW326499:MPW326564 MGA326499:MGA326564 LWE326499:LWE326564 LMI326499:LMI326564 LCM326499:LCM326564 KSQ326499:KSQ326564 KIU326499:KIU326564 JYY326499:JYY326564 JPC326499:JPC326564 JFG326499:JFG326564 IVK326499:IVK326564 ILO326499:ILO326564 IBS326499:IBS326564 HRW326499:HRW326564 HIA326499:HIA326564 GYE326499:GYE326564 GOI326499:GOI326564 GEM326499:GEM326564 FUQ326499:FUQ326564 FKU326499:FKU326564 FAY326499:FAY326564 ERC326499:ERC326564 EHG326499:EHG326564 DXK326499:DXK326564 DNO326499:DNO326564 DDS326499:DDS326564 CTW326499:CTW326564 CKA326499:CKA326564 CAE326499:CAE326564 BQI326499:BQI326564 BGM326499:BGM326564 AWQ326499:AWQ326564 AMU326499:AMU326564 ACY326499:ACY326564 TC326499:TC326564 JG326499:JG326564 K326499:K326564 WVS260963:WVS261028 WLW260963:WLW261028 WCA260963:WCA261028 VSE260963:VSE261028 VII260963:VII261028 UYM260963:UYM261028 UOQ260963:UOQ261028 UEU260963:UEU261028 TUY260963:TUY261028 TLC260963:TLC261028 TBG260963:TBG261028 SRK260963:SRK261028 SHO260963:SHO261028 RXS260963:RXS261028 RNW260963:RNW261028 REA260963:REA261028 QUE260963:QUE261028 QKI260963:QKI261028 QAM260963:QAM261028 PQQ260963:PQQ261028 PGU260963:PGU261028 OWY260963:OWY261028 ONC260963:ONC261028 ODG260963:ODG261028 NTK260963:NTK261028 NJO260963:NJO261028 MZS260963:MZS261028 MPW260963:MPW261028 MGA260963:MGA261028 LWE260963:LWE261028 LMI260963:LMI261028 LCM260963:LCM261028 KSQ260963:KSQ261028 KIU260963:KIU261028 JYY260963:JYY261028 JPC260963:JPC261028 JFG260963:JFG261028 IVK260963:IVK261028 ILO260963:ILO261028 IBS260963:IBS261028 HRW260963:HRW261028 HIA260963:HIA261028 GYE260963:GYE261028 GOI260963:GOI261028 GEM260963:GEM261028 FUQ260963:FUQ261028 FKU260963:FKU261028 FAY260963:FAY261028 ERC260963:ERC261028 EHG260963:EHG261028 DXK260963:DXK261028 DNO260963:DNO261028 DDS260963:DDS261028 CTW260963:CTW261028 CKA260963:CKA261028 CAE260963:CAE261028 BQI260963:BQI261028 BGM260963:BGM261028 AWQ260963:AWQ261028 AMU260963:AMU261028 ACY260963:ACY261028 TC260963:TC261028 JG260963:JG261028 K260963:K261028 WVS195427:WVS195492 WLW195427:WLW195492 WCA195427:WCA195492 VSE195427:VSE195492 VII195427:VII195492 UYM195427:UYM195492 UOQ195427:UOQ195492 UEU195427:UEU195492 TUY195427:TUY195492 TLC195427:TLC195492 TBG195427:TBG195492 SRK195427:SRK195492 SHO195427:SHO195492 RXS195427:RXS195492 RNW195427:RNW195492 REA195427:REA195492 QUE195427:QUE195492 QKI195427:QKI195492 QAM195427:QAM195492 PQQ195427:PQQ195492 PGU195427:PGU195492 OWY195427:OWY195492 ONC195427:ONC195492 ODG195427:ODG195492 NTK195427:NTK195492 NJO195427:NJO195492 MZS195427:MZS195492 MPW195427:MPW195492 MGA195427:MGA195492 LWE195427:LWE195492 LMI195427:LMI195492 LCM195427:LCM195492 KSQ195427:KSQ195492 KIU195427:KIU195492 JYY195427:JYY195492 JPC195427:JPC195492 JFG195427:JFG195492 IVK195427:IVK195492 ILO195427:ILO195492 IBS195427:IBS195492 HRW195427:HRW195492 HIA195427:HIA195492 GYE195427:GYE195492 GOI195427:GOI195492 GEM195427:GEM195492 FUQ195427:FUQ195492 FKU195427:FKU195492 FAY195427:FAY195492 ERC195427:ERC195492 EHG195427:EHG195492 DXK195427:DXK195492 DNO195427:DNO195492 DDS195427:DDS195492 CTW195427:CTW195492 CKA195427:CKA195492 CAE195427:CAE195492 BQI195427:BQI195492 BGM195427:BGM195492 AWQ195427:AWQ195492 AMU195427:AMU195492 ACY195427:ACY195492 TC195427:TC195492 JG195427:JG195492 K195427:K195492 WVS129891:WVS129956 WLW129891:WLW129956 WCA129891:WCA129956 VSE129891:VSE129956 VII129891:VII129956 UYM129891:UYM129956 UOQ129891:UOQ129956 UEU129891:UEU129956 TUY129891:TUY129956 TLC129891:TLC129956 TBG129891:TBG129956 SRK129891:SRK129956 SHO129891:SHO129956 RXS129891:RXS129956 RNW129891:RNW129956 REA129891:REA129956 QUE129891:QUE129956 QKI129891:QKI129956 QAM129891:QAM129956 PQQ129891:PQQ129956 PGU129891:PGU129956 OWY129891:OWY129956 ONC129891:ONC129956 ODG129891:ODG129956 NTK129891:NTK129956 NJO129891:NJO129956 MZS129891:MZS129956 MPW129891:MPW129956 MGA129891:MGA129956 LWE129891:LWE129956 LMI129891:LMI129956 LCM129891:LCM129956 KSQ129891:KSQ129956 KIU129891:KIU129956 JYY129891:JYY129956 JPC129891:JPC129956 JFG129891:JFG129956 IVK129891:IVK129956 ILO129891:ILO129956 IBS129891:IBS129956 HRW129891:HRW129956 HIA129891:HIA129956 GYE129891:GYE129956 GOI129891:GOI129956 GEM129891:GEM129956 FUQ129891:FUQ129956 FKU129891:FKU129956 FAY129891:FAY129956 ERC129891:ERC129956 EHG129891:EHG129956 DXK129891:DXK129956 DNO129891:DNO129956 DDS129891:DDS129956 CTW129891:CTW129956 CKA129891:CKA129956 CAE129891:CAE129956 BQI129891:BQI129956 BGM129891:BGM129956 AWQ129891:AWQ129956 AMU129891:AMU129956 ACY129891:ACY129956 TC129891:TC129956 JG129891:JG129956 K129891:K129956 WVS64355:WVS64420 WLW64355:WLW64420 WCA64355:WCA64420 VSE64355:VSE64420 VII64355:VII64420 UYM64355:UYM64420 UOQ64355:UOQ64420 UEU64355:UEU64420 TUY64355:TUY64420 TLC64355:TLC64420 TBG64355:TBG64420 SRK64355:SRK64420 SHO64355:SHO64420 RXS64355:RXS64420 RNW64355:RNW64420 REA64355:REA64420 QUE64355:QUE64420 QKI64355:QKI64420 QAM64355:QAM64420 PQQ64355:PQQ64420 PGU64355:PGU64420 OWY64355:OWY64420 ONC64355:ONC64420 ODG64355:ODG64420 NTK64355:NTK64420 NJO64355:NJO64420 MZS64355:MZS64420 MPW64355:MPW64420 MGA64355:MGA64420 LWE64355:LWE64420 LMI64355:LMI64420 LCM64355:LCM64420 KSQ64355:KSQ64420 KIU64355:KIU64420 JYY64355:JYY64420 JPC64355:JPC64420 JFG64355:JFG64420 IVK64355:IVK64420 ILO64355:ILO64420 IBS64355:IBS64420 HRW64355:HRW64420 HIA64355:HIA64420 GYE64355:GYE64420 GOI64355:GOI64420 GEM64355:GEM64420 FUQ64355:FUQ64420 FKU64355:FKU64420 FAY64355:FAY64420 ERC64355:ERC64420 EHG64355:EHG64420 DXK64355:DXK64420 DNO64355:DNO64420 DDS64355:DDS64420 CTW64355:CTW64420 CKA64355:CKA64420 CAE64355:CAE64420 BQI64355:BQI64420 BGM64355:BGM64420 AWQ64355:AWQ64420 AMU64355:AMU64420 ACY64355:ACY64420 TC64355:TC64420 JG64355:JG64420">
      <formula1>$AR$2:$AR$24</formula1>
    </dataValidation>
    <dataValidation type="list" allowBlank="1" showInputMessage="1" showErrorMessage="1" sqref="Y64355:AA64420 JU2:JW59 TQ2:TS59 ADM2:ADO59 ANI2:ANK59 AXE2:AXG59 BHA2:BHC59 BQW2:BQY59 CAS2:CAU59 CKO2:CKQ59 CUK2:CUM59 DEG2:DEI59 DOC2:DOE59 DXY2:DYA59 EHU2:EHW59 ERQ2:ERS59 FBM2:FBO59 FLI2:FLK59 FVE2:FVG59 GFA2:GFC59 GOW2:GOY59 GYS2:GYU59 HIO2:HIQ59 HSK2:HSM59 ICG2:ICI59 IMC2:IME59 IVY2:IWA59 JFU2:JFW59 JPQ2:JPS59 JZM2:JZO59 KJI2:KJK59 KTE2:KTG59 LDA2:LDC59 LMW2:LMY59 LWS2:LWU59 MGO2:MGQ59 MQK2:MQM59 NAG2:NAI59 NKC2:NKE59 NTY2:NUA59 ODU2:ODW59 ONQ2:ONS59 OXM2:OXO59 PHI2:PHK59 PRE2:PRG59 QBA2:QBC59 QKW2:QKY59 QUS2:QUU59 REO2:REQ59 ROK2:ROM59 RYG2:RYI59 SIC2:SIE59 SRY2:SSA59 TBU2:TBW59 TLQ2:TLS59 TVM2:TVO59 UFI2:UFK59 UPE2:UPG59 UZA2:UZC59 VIW2:VIY59 VSS2:VSU59 WCO2:WCQ59 WMK2:WMM59 WWG2:WWI59 WMK983034:WMM983099 WCO983034:WCQ983099 VSS983034:VSU983099 VIW983034:VIY983099 UZA983034:UZC983099 UPE983034:UPG983099 UFI983034:UFK983099 TVM983034:TVO983099 TLQ983034:TLS983099 TBU983034:TBW983099 SRY983034:SSA983099 SIC983034:SIE983099 RYG983034:RYI983099 ROK983034:ROM983099 REO983034:REQ983099 QUS983034:QUU983099 QKW983034:QKY983099 QBA983034:QBC983099 PRE983034:PRG983099 PHI983034:PHK983099 OXM983034:OXO983099 ONQ983034:ONS983099 ODU983034:ODW983099 NTY983034:NUA983099 NKC983034:NKE983099 NAG983034:NAI983099 MQK983034:MQM983099 MGO983034:MGQ983099 LWS983034:LWU983099 LMW983034:LMY983099 LDA983034:LDC983099 KTE983034:KTG983099 KJI983034:KJK983099 JZM983034:JZO983099 JPQ983034:JPS983099 JFU983034:JFW983099 IVY983034:IWA983099 IMC983034:IME983099 ICG983034:ICI983099 HSK983034:HSM983099 HIO983034:HIQ983099 GYS983034:GYU983099 GOW983034:GOY983099 GFA983034:GFC983099 FVE983034:FVG983099 FLI983034:FLK983099 FBM983034:FBO983099 ERQ983034:ERS983099 EHU983034:EHW983099 DXY983034:DYA983099 DOC983034:DOE983099 DEG983034:DEI983099 CUK983034:CUM983099 CKO983034:CKQ983099 CAS983034:CAU983099 BQW983034:BQY983099 BHA983034:BHC983099 AXE983034:AXG983099 ANI983034:ANK983099 ADM983034:ADO983099 TQ983034:TS983099 JU983034:JW983099 Y983034:AA983099 WWG917498:WWI917563 WMK917498:WMM917563 WCO917498:WCQ917563 VSS917498:VSU917563 VIW917498:VIY917563 UZA917498:UZC917563 UPE917498:UPG917563 UFI917498:UFK917563 TVM917498:TVO917563 TLQ917498:TLS917563 TBU917498:TBW917563 SRY917498:SSA917563 SIC917498:SIE917563 RYG917498:RYI917563 ROK917498:ROM917563 REO917498:REQ917563 QUS917498:QUU917563 QKW917498:QKY917563 QBA917498:QBC917563 PRE917498:PRG917563 PHI917498:PHK917563 OXM917498:OXO917563 ONQ917498:ONS917563 ODU917498:ODW917563 NTY917498:NUA917563 NKC917498:NKE917563 NAG917498:NAI917563 MQK917498:MQM917563 MGO917498:MGQ917563 LWS917498:LWU917563 LMW917498:LMY917563 LDA917498:LDC917563 KTE917498:KTG917563 KJI917498:KJK917563 JZM917498:JZO917563 JPQ917498:JPS917563 JFU917498:JFW917563 IVY917498:IWA917563 IMC917498:IME917563 ICG917498:ICI917563 HSK917498:HSM917563 HIO917498:HIQ917563 GYS917498:GYU917563 GOW917498:GOY917563 GFA917498:GFC917563 FVE917498:FVG917563 FLI917498:FLK917563 FBM917498:FBO917563 ERQ917498:ERS917563 EHU917498:EHW917563 DXY917498:DYA917563 DOC917498:DOE917563 DEG917498:DEI917563 CUK917498:CUM917563 CKO917498:CKQ917563 CAS917498:CAU917563 BQW917498:BQY917563 BHA917498:BHC917563 AXE917498:AXG917563 ANI917498:ANK917563 ADM917498:ADO917563 TQ917498:TS917563 JU917498:JW917563 Y917498:AA917563 WWG851962:WWI852027 WMK851962:WMM852027 WCO851962:WCQ852027 VSS851962:VSU852027 VIW851962:VIY852027 UZA851962:UZC852027 UPE851962:UPG852027 UFI851962:UFK852027 TVM851962:TVO852027 TLQ851962:TLS852027 TBU851962:TBW852027 SRY851962:SSA852027 SIC851962:SIE852027 RYG851962:RYI852027 ROK851962:ROM852027 REO851962:REQ852027 QUS851962:QUU852027 QKW851962:QKY852027 QBA851962:QBC852027 PRE851962:PRG852027 PHI851962:PHK852027 OXM851962:OXO852027 ONQ851962:ONS852027 ODU851962:ODW852027 NTY851962:NUA852027 NKC851962:NKE852027 NAG851962:NAI852027 MQK851962:MQM852027 MGO851962:MGQ852027 LWS851962:LWU852027 LMW851962:LMY852027 LDA851962:LDC852027 KTE851962:KTG852027 KJI851962:KJK852027 JZM851962:JZO852027 JPQ851962:JPS852027 JFU851962:JFW852027 IVY851962:IWA852027 IMC851962:IME852027 ICG851962:ICI852027 HSK851962:HSM852027 HIO851962:HIQ852027 GYS851962:GYU852027 GOW851962:GOY852027 GFA851962:GFC852027 FVE851962:FVG852027 FLI851962:FLK852027 FBM851962:FBO852027 ERQ851962:ERS852027 EHU851962:EHW852027 DXY851962:DYA852027 DOC851962:DOE852027 DEG851962:DEI852027 CUK851962:CUM852027 CKO851962:CKQ852027 CAS851962:CAU852027 BQW851962:BQY852027 BHA851962:BHC852027 AXE851962:AXG852027 ANI851962:ANK852027 ADM851962:ADO852027 TQ851962:TS852027 JU851962:JW852027 Y851962:AA852027 WWG786426:WWI786491 WMK786426:WMM786491 WCO786426:WCQ786491 VSS786426:VSU786491 VIW786426:VIY786491 UZA786426:UZC786491 UPE786426:UPG786491 UFI786426:UFK786491 TVM786426:TVO786491 TLQ786426:TLS786491 TBU786426:TBW786491 SRY786426:SSA786491 SIC786426:SIE786491 RYG786426:RYI786491 ROK786426:ROM786491 REO786426:REQ786491 QUS786426:QUU786491 QKW786426:QKY786491 QBA786426:QBC786491 PRE786426:PRG786491 PHI786426:PHK786491 OXM786426:OXO786491 ONQ786426:ONS786491 ODU786426:ODW786491 NTY786426:NUA786491 NKC786426:NKE786491 NAG786426:NAI786491 MQK786426:MQM786491 MGO786426:MGQ786491 LWS786426:LWU786491 LMW786426:LMY786491 LDA786426:LDC786491 KTE786426:KTG786491 KJI786426:KJK786491 JZM786426:JZO786491 JPQ786426:JPS786491 JFU786426:JFW786491 IVY786426:IWA786491 IMC786426:IME786491 ICG786426:ICI786491 HSK786426:HSM786491 HIO786426:HIQ786491 GYS786426:GYU786491 GOW786426:GOY786491 GFA786426:GFC786491 FVE786426:FVG786491 FLI786426:FLK786491 FBM786426:FBO786491 ERQ786426:ERS786491 EHU786426:EHW786491 DXY786426:DYA786491 DOC786426:DOE786491 DEG786426:DEI786491 CUK786426:CUM786491 CKO786426:CKQ786491 CAS786426:CAU786491 BQW786426:BQY786491 BHA786426:BHC786491 AXE786426:AXG786491 ANI786426:ANK786491 ADM786426:ADO786491 TQ786426:TS786491 JU786426:JW786491 Y786426:AA786491 WWG720890:WWI720955 WMK720890:WMM720955 WCO720890:WCQ720955 VSS720890:VSU720955 VIW720890:VIY720955 UZA720890:UZC720955 UPE720890:UPG720955 UFI720890:UFK720955 TVM720890:TVO720955 TLQ720890:TLS720955 TBU720890:TBW720955 SRY720890:SSA720955 SIC720890:SIE720955 RYG720890:RYI720955 ROK720890:ROM720955 REO720890:REQ720955 QUS720890:QUU720955 QKW720890:QKY720955 QBA720890:QBC720955 PRE720890:PRG720955 PHI720890:PHK720955 OXM720890:OXO720955 ONQ720890:ONS720955 ODU720890:ODW720955 NTY720890:NUA720955 NKC720890:NKE720955 NAG720890:NAI720955 MQK720890:MQM720955 MGO720890:MGQ720955 LWS720890:LWU720955 LMW720890:LMY720955 LDA720890:LDC720955 KTE720890:KTG720955 KJI720890:KJK720955 JZM720890:JZO720955 JPQ720890:JPS720955 JFU720890:JFW720955 IVY720890:IWA720955 IMC720890:IME720955 ICG720890:ICI720955 HSK720890:HSM720955 HIO720890:HIQ720955 GYS720890:GYU720955 GOW720890:GOY720955 GFA720890:GFC720955 FVE720890:FVG720955 FLI720890:FLK720955 FBM720890:FBO720955 ERQ720890:ERS720955 EHU720890:EHW720955 DXY720890:DYA720955 DOC720890:DOE720955 DEG720890:DEI720955 CUK720890:CUM720955 CKO720890:CKQ720955 CAS720890:CAU720955 BQW720890:BQY720955 BHA720890:BHC720955 AXE720890:AXG720955 ANI720890:ANK720955 ADM720890:ADO720955 TQ720890:TS720955 JU720890:JW720955 Y720890:AA720955 WWG655354:WWI655419 WMK655354:WMM655419 WCO655354:WCQ655419 VSS655354:VSU655419 VIW655354:VIY655419 UZA655354:UZC655419 UPE655354:UPG655419 UFI655354:UFK655419 TVM655354:TVO655419 TLQ655354:TLS655419 TBU655354:TBW655419 SRY655354:SSA655419 SIC655354:SIE655419 RYG655354:RYI655419 ROK655354:ROM655419 REO655354:REQ655419 QUS655354:QUU655419 QKW655354:QKY655419 QBA655354:QBC655419 PRE655354:PRG655419 PHI655354:PHK655419 OXM655354:OXO655419 ONQ655354:ONS655419 ODU655354:ODW655419 NTY655354:NUA655419 NKC655354:NKE655419 NAG655354:NAI655419 MQK655354:MQM655419 MGO655354:MGQ655419 LWS655354:LWU655419 LMW655354:LMY655419 LDA655354:LDC655419 KTE655354:KTG655419 KJI655354:KJK655419 JZM655354:JZO655419 JPQ655354:JPS655419 JFU655354:JFW655419 IVY655354:IWA655419 IMC655354:IME655419 ICG655354:ICI655419 HSK655354:HSM655419 HIO655354:HIQ655419 GYS655354:GYU655419 GOW655354:GOY655419 GFA655354:GFC655419 FVE655354:FVG655419 FLI655354:FLK655419 FBM655354:FBO655419 ERQ655354:ERS655419 EHU655354:EHW655419 DXY655354:DYA655419 DOC655354:DOE655419 DEG655354:DEI655419 CUK655354:CUM655419 CKO655354:CKQ655419 CAS655354:CAU655419 BQW655354:BQY655419 BHA655354:BHC655419 AXE655354:AXG655419 ANI655354:ANK655419 ADM655354:ADO655419 TQ655354:TS655419 JU655354:JW655419 Y655354:AA655419 WWG589818:WWI589883 WMK589818:WMM589883 WCO589818:WCQ589883 VSS589818:VSU589883 VIW589818:VIY589883 UZA589818:UZC589883 UPE589818:UPG589883 UFI589818:UFK589883 TVM589818:TVO589883 TLQ589818:TLS589883 TBU589818:TBW589883 SRY589818:SSA589883 SIC589818:SIE589883 RYG589818:RYI589883 ROK589818:ROM589883 REO589818:REQ589883 QUS589818:QUU589883 QKW589818:QKY589883 QBA589818:QBC589883 PRE589818:PRG589883 PHI589818:PHK589883 OXM589818:OXO589883 ONQ589818:ONS589883 ODU589818:ODW589883 NTY589818:NUA589883 NKC589818:NKE589883 NAG589818:NAI589883 MQK589818:MQM589883 MGO589818:MGQ589883 LWS589818:LWU589883 LMW589818:LMY589883 LDA589818:LDC589883 KTE589818:KTG589883 KJI589818:KJK589883 JZM589818:JZO589883 JPQ589818:JPS589883 JFU589818:JFW589883 IVY589818:IWA589883 IMC589818:IME589883 ICG589818:ICI589883 HSK589818:HSM589883 HIO589818:HIQ589883 GYS589818:GYU589883 GOW589818:GOY589883 GFA589818:GFC589883 FVE589818:FVG589883 FLI589818:FLK589883 FBM589818:FBO589883 ERQ589818:ERS589883 EHU589818:EHW589883 DXY589818:DYA589883 DOC589818:DOE589883 DEG589818:DEI589883 CUK589818:CUM589883 CKO589818:CKQ589883 CAS589818:CAU589883 BQW589818:BQY589883 BHA589818:BHC589883 AXE589818:AXG589883 ANI589818:ANK589883 ADM589818:ADO589883 TQ589818:TS589883 JU589818:JW589883 Y589818:AA589883 WWG524282:WWI524347 WMK524282:WMM524347 WCO524282:WCQ524347 VSS524282:VSU524347 VIW524282:VIY524347 UZA524282:UZC524347 UPE524282:UPG524347 UFI524282:UFK524347 TVM524282:TVO524347 TLQ524282:TLS524347 TBU524282:TBW524347 SRY524282:SSA524347 SIC524282:SIE524347 RYG524282:RYI524347 ROK524282:ROM524347 REO524282:REQ524347 QUS524282:QUU524347 QKW524282:QKY524347 QBA524282:QBC524347 PRE524282:PRG524347 PHI524282:PHK524347 OXM524282:OXO524347 ONQ524282:ONS524347 ODU524282:ODW524347 NTY524282:NUA524347 NKC524282:NKE524347 NAG524282:NAI524347 MQK524282:MQM524347 MGO524282:MGQ524347 LWS524282:LWU524347 LMW524282:LMY524347 LDA524282:LDC524347 KTE524282:KTG524347 KJI524282:KJK524347 JZM524282:JZO524347 JPQ524282:JPS524347 JFU524282:JFW524347 IVY524282:IWA524347 IMC524282:IME524347 ICG524282:ICI524347 HSK524282:HSM524347 HIO524282:HIQ524347 GYS524282:GYU524347 GOW524282:GOY524347 GFA524282:GFC524347 FVE524282:FVG524347 FLI524282:FLK524347 FBM524282:FBO524347 ERQ524282:ERS524347 EHU524282:EHW524347 DXY524282:DYA524347 DOC524282:DOE524347 DEG524282:DEI524347 CUK524282:CUM524347 CKO524282:CKQ524347 CAS524282:CAU524347 BQW524282:BQY524347 BHA524282:BHC524347 AXE524282:AXG524347 ANI524282:ANK524347 ADM524282:ADO524347 TQ524282:TS524347 JU524282:JW524347 Y524282:AA524347 WWG458746:WWI458811 WMK458746:WMM458811 WCO458746:WCQ458811 VSS458746:VSU458811 VIW458746:VIY458811 UZA458746:UZC458811 UPE458746:UPG458811 UFI458746:UFK458811 TVM458746:TVO458811 TLQ458746:TLS458811 TBU458746:TBW458811 SRY458746:SSA458811 SIC458746:SIE458811 RYG458746:RYI458811 ROK458746:ROM458811 REO458746:REQ458811 QUS458746:QUU458811 QKW458746:QKY458811 QBA458746:QBC458811 PRE458746:PRG458811 PHI458746:PHK458811 OXM458746:OXO458811 ONQ458746:ONS458811 ODU458746:ODW458811 NTY458746:NUA458811 NKC458746:NKE458811 NAG458746:NAI458811 MQK458746:MQM458811 MGO458746:MGQ458811 LWS458746:LWU458811 LMW458746:LMY458811 LDA458746:LDC458811 KTE458746:KTG458811 KJI458746:KJK458811 JZM458746:JZO458811 JPQ458746:JPS458811 JFU458746:JFW458811 IVY458746:IWA458811 IMC458746:IME458811 ICG458746:ICI458811 HSK458746:HSM458811 HIO458746:HIQ458811 GYS458746:GYU458811 GOW458746:GOY458811 GFA458746:GFC458811 FVE458746:FVG458811 FLI458746:FLK458811 FBM458746:FBO458811 ERQ458746:ERS458811 EHU458746:EHW458811 DXY458746:DYA458811 DOC458746:DOE458811 DEG458746:DEI458811 CUK458746:CUM458811 CKO458746:CKQ458811 CAS458746:CAU458811 BQW458746:BQY458811 BHA458746:BHC458811 AXE458746:AXG458811 ANI458746:ANK458811 ADM458746:ADO458811 TQ458746:TS458811 JU458746:JW458811 Y458746:AA458811 WWG393210:WWI393275 WMK393210:WMM393275 WCO393210:WCQ393275 VSS393210:VSU393275 VIW393210:VIY393275 UZA393210:UZC393275 UPE393210:UPG393275 UFI393210:UFK393275 TVM393210:TVO393275 TLQ393210:TLS393275 TBU393210:TBW393275 SRY393210:SSA393275 SIC393210:SIE393275 RYG393210:RYI393275 ROK393210:ROM393275 REO393210:REQ393275 QUS393210:QUU393275 QKW393210:QKY393275 QBA393210:QBC393275 PRE393210:PRG393275 PHI393210:PHK393275 OXM393210:OXO393275 ONQ393210:ONS393275 ODU393210:ODW393275 NTY393210:NUA393275 NKC393210:NKE393275 NAG393210:NAI393275 MQK393210:MQM393275 MGO393210:MGQ393275 LWS393210:LWU393275 LMW393210:LMY393275 LDA393210:LDC393275 KTE393210:KTG393275 KJI393210:KJK393275 JZM393210:JZO393275 JPQ393210:JPS393275 JFU393210:JFW393275 IVY393210:IWA393275 IMC393210:IME393275 ICG393210:ICI393275 HSK393210:HSM393275 HIO393210:HIQ393275 GYS393210:GYU393275 GOW393210:GOY393275 GFA393210:GFC393275 FVE393210:FVG393275 FLI393210:FLK393275 FBM393210:FBO393275 ERQ393210:ERS393275 EHU393210:EHW393275 DXY393210:DYA393275 DOC393210:DOE393275 DEG393210:DEI393275 CUK393210:CUM393275 CKO393210:CKQ393275 CAS393210:CAU393275 BQW393210:BQY393275 BHA393210:BHC393275 AXE393210:AXG393275 ANI393210:ANK393275 ADM393210:ADO393275 TQ393210:TS393275 JU393210:JW393275 Y393210:AA393275 WWG327674:WWI327739 WMK327674:WMM327739 WCO327674:WCQ327739 VSS327674:VSU327739 VIW327674:VIY327739 UZA327674:UZC327739 UPE327674:UPG327739 UFI327674:UFK327739 TVM327674:TVO327739 TLQ327674:TLS327739 TBU327674:TBW327739 SRY327674:SSA327739 SIC327674:SIE327739 RYG327674:RYI327739 ROK327674:ROM327739 REO327674:REQ327739 QUS327674:QUU327739 QKW327674:QKY327739 QBA327674:QBC327739 PRE327674:PRG327739 PHI327674:PHK327739 OXM327674:OXO327739 ONQ327674:ONS327739 ODU327674:ODW327739 NTY327674:NUA327739 NKC327674:NKE327739 NAG327674:NAI327739 MQK327674:MQM327739 MGO327674:MGQ327739 LWS327674:LWU327739 LMW327674:LMY327739 LDA327674:LDC327739 KTE327674:KTG327739 KJI327674:KJK327739 JZM327674:JZO327739 JPQ327674:JPS327739 JFU327674:JFW327739 IVY327674:IWA327739 IMC327674:IME327739 ICG327674:ICI327739 HSK327674:HSM327739 HIO327674:HIQ327739 GYS327674:GYU327739 GOW327674:GOY327739 GFA327674:GFC327739 FVE327674:FVG327739 FLI327674:FLK327739 FBM327674:FBO327739 ERQ327674:ERS327739 EHU327674:EHW327739 DXY327674:DYA327739 DOC327674:DOE327739 DEG327674:DEI327739 CUK327674:CUM327739 CKO327674:CKQ327739 CAS327674:CAU327739 BQW327674:BQY327739 BHA327674:BHC327739 AXE327674:AXG327739 ANI327674:ANK327739 ADM327674:ADO327739 TQ327674:TS327739 JU327674:JW327739 Y327674:AA327739 WWG262138:WWI262203 WMK262138:WMM262203 WCO262138:WCQ262203 VSS262138:VSU262203 VIW262138:VIY262203 UZA262138:UZC262203 UPE262138:UPG262203 UFI262138:UFK262203 TVM262138:TVO262203 TLQ262138:TLS262203 TBU262138:TBW262203 SRY262138:SSA262203 SIC262138:SIE262203 RYG262138:RYI262203 ROK262138:ROM262203 REO262138:REQ262203 QUS262138:QUU262203 QKW262138:QKY262203 QBA262138:QBC262203 PRE262138:PRG262203 PHI262138:PHK262203 OXM262138:OXO262203 ONQ262138:ONS262203 ODU262138:ODW262203 NTY262138:NUA262203 NKC262138:NKE262203 NAG262138:NAI262203 MQK262138:MQM262203 MGO262138:MGQ262203 LWS262138:LWU262203 LMW262138:LMY262203 LDA262138:LDC262203 KTE262138:KTG262203 KJI262138:KJK262203 JZM262138:JZO262203 JPQ262138:JPS262203 JFU262138:JFW262203 IVY262138:IWA262203 IMC262138:IME262203 ICG262138:ICI262203 HSK262138:HSM262203 HIO262138:HIQ262203 GYS262138:GYU262203 GOW262138:GOY262203 GFA262138:GFC262203 FVE262138:FVG262203 FLI262138:FLK262203 FBM262138:FBO262203 ERQ262138:ERS262203 EHU262138:EHW262203 DXY262138:DYA262203 DOC262138:DOE262203 DEG262138:DEI262203 CUK262138:CUM262203 CKO262138:CKQ262203 CAS262138:CAU262203 BQW262138:BQY262203 BHA262138:BHC262203 AXE262138:AXG262203 ANI262138:ANK262203 ADM262138:ADO262203 TQ262138:TS262203 JU262138:JW262203 Y262138:AA262203 WWG196602:WWI196667 WMK196602:WMM196667 WCO196602:WCQ196667 VSS196602:VSU196667 VIW196602:VIY196667 UZA196602:UZC196667 UPE196602:UPG196667 UFI196602:UFK196667 TVM196602:TVO196667 TLQ196602:TLS196667 TBU196602:TBW196667 SRY196602:SSA196667 SIC196602:SIE196667 RYG196602:RYI196667 ROK196602:ROM196667 REO196602:REQ196667 QUS196602:QUU196667 QKW196602:QKY196667 QBA196602:QBC196667 PRE196602:PRG196667 PHI196602:PHK196667 OXM196602:OXO196667 ONQ196602:ONS196667 ODU196602:ODW196667 NTY196602:NUA196667 NKC196602:NKE196667 NAG196602:NAI196667 MQK196602:MQM196667 MGO196602:MGQ196667 LWS196602:LWU196667 LMW196602:LMY196667 LDA196602:LDC196667 KTE196602:KTG196667 KJI196602:KJK196667 JZM196602:JZO196667 JPQ196602:JPS196667 JFU196602:JFW196667 IVY196602:IWA196667 IMC196602:IME196667 ICG196602:ICI196667 HSK196602:HSM196667 HIO196602:HIQ196667 GYS196602:GYU196667 GOW196602:GOY196667 GFA196602:GFC196667 FVE196602:FVG196667 FLI196602:FLK196667 FBM196602:FBO196667 ERQ196602:ERS196667 EHU196602:EHW196667 DXY196602:DYA196667 DOC196602:DOE196667 DEG196602:DEI196667 CUK196602:CUM196667 CKO196602:CKQ196667 CAS196602:CAU196667 BQW196602:BQY196667 BHA196602:BHC196667 AXE196602:AXG196667 ANI196602:ANK196667 ADM196602:ADO196667 TQ196602:TS196667 JU196602:JW196667 Y196602:AA196667 WWG131066:WWI131131 WMK131066:WMM131131 WCO131066:WCQ131131 VSS131066:VSU131131 VIW131066:VIY131131 UZA131066:UZC131131 UPE131066:UPG131131 UFI131066:UFK131131 TVM131066:TVO131131 TLQ131066:TLS131131 TBU131066:TBW131131 SRY131066:SSA131131 SIC131066:SIE131131 RYG131066:RYI131131 ROK131066:ROM131131 REO131066:REQ131131 QUS131066:QUU131131 QKW131066:QKY131131 QBA131066:QBC131131 PRE131066:PRG131131 PHI131066:PHK131131 OXM131066:OXO131131 ONQ131066:ONS131131 ODU131066:ODW131131 NTY131066:NUA131131 NKC131066:NKE131131 NAG131066:NAI131131 MQK131066:MQM131131 MGO131066:MGQ131131 LWS131066:LWU131131 LMW131066:LMY131131 LDA131066:LDC131131 KTE131066:KTG131131 KJI131066:KJK131131 JZM131066:JZO131131 JPQ131066:JPS131131 JFU131066:JFW131131 IVY131066:IWA131131 IMC131066:IME131131 ICG131066:ICI131131 HSK131066:HSM131131 HIO131066:HIQ131131 GYS131066:GYU131131 GOW131066:GOY131131 GFA131066:GFC131131 FVE131066:FVG131131 FLI131066:FLK131131 FBM131066:FBO131131 ERQ131066:ERS131131 EHU131066:EHW131131 DXY131066:DYA131131 DOC131066:DOE131131 DEG131066:DEI131131 CUK131066:CUM131131 CKO131066:CKQ131131 CAS131066:CAU131131 BQW131066:BQY131131 BHA131066:BHC131131 AXE131066:AXG131131 ANI131066:ANK131131 ADM131066:ADO131131 TQ131066:TS131131 JU131066:JW131131 Y131066:AA131131 WWG65530:WWI65595 WMK65530:WMM65595 WCO65530:WCQ65595 VSS65530:VSU65595 VIW65530:VIY65595 UZA65530:UZC65595 UPE65530:UPG65595 UFI65530:UFK65595 TVM65530:TVO65595 TLQ65530:TLS65595 TBU65530:TBW65595 SRY65530:SSA65595 SIC65530:SIE65595 RYG65530:RYI65595 ROK65530:ROM65595 REO65530:REQ65595 QUS65530:QUU65595 QKW65530:QKY65595 QBA65530:QBC65595 PRE65530:PRG65595 PHI65530:PHK65595 OXM65530:OXO65595 ONQ65530:ONS65595 ODU65530:ODW65595 NTY65530:NUA65595 NKC65530:NKE65595 NAG65530:NAI65595 MQK65530:MQM65595 MGO65530:MGQ65595 LWS65530:LWU65595 LMW65530:LMY65595 LDA65530:LDC65595 KTE65530:KTG65595 KJI65530:KJK65595 JZM65530:JZO65595 JPQ65530:JPS65595 JFU65530:JFW65595 IVY65530:IWA65595 IMC65530:IME65595 ICG65530:ICI65595 HSK65530:HSM65595 HIO65530:HIQ65595 GYS65530:GYU65595 GOW65530:GOY65595 GFA65530:GFC65595 FVE65530:FVG65595 FLI65530:FLK65595 FBM65530:FBO65595 ERQ65530:ERS65595 EHU65530:EHW65595 DXY65530:DYA65595 DOC65530:DOE65595 DEG65530:DEI65595 CUK65530:CUM65595 CKO65530:CKQ65595 CAS65530:CAU65595 BQW65530:BQY65595 BHA65530:BHC65595 AXE65530:AXG65595 ANI65530:ANK65595 ADM65530:ADO65595 TQ65530:TS65595 JU65530:JW65595 Y65530:AA65595 WWG983034:WWI983099 WWG1047395:WWI1047460 WMK1047395:WMM1047460 WCO1047395:WCQ1047460 VSS1047395:VSU1047460 VIW1047395:VIY1047460 UZA1047395:UZC1047460 UPE1047395:UPG1047460 UFI1047395:UFK1047460 TVM1047395:TVO1047460 TLQ1047395:TLS1047460 TBU1047395:TBW1047460 SRY1047395:SSA1047460 SIC1047395:SIE1047460 RYG1047395:RYI1047460 ROK1047395:ROM1047460 REO1047395:REQ1047460 QUS1047395:QUU1047460 QKW1047395:QKY1047460 QBA1047395:QBC1047460 PRE1047395:PRG1047460 PHI1047395:PHK1047460 OXM1047395:OXO1047460 ONQ1047395:ONS1047460 ODU1047395:ODW1047460 NTY1047395:NUA1047460 NKC1047395:NKE1047460 NAG1047395:NAI1047460 MQK1047395:MQM1047460 MGO1047395:MGQ1047460 LWS1047395:LWU1047460 LMW1047395:LMY1047460 LDA1047395:LDC1047460 KTE1047395:KTG1047460 KJI1047395:KJK1047460 JZM1047395:JZO1047460 JPQ1047395:JPS1047460 JFU1047395:JFW1047460 IVY1047395:IWA1047460 IMC1047395:IME1047460 ICG1047395:ICI1047460 HSK1047395:HSM1047460 HIO1047395:HIQ1047460 GYS1047395:GYU1047460 GOW1047395:GOY1047460 GFA1047395:GFC1047460 FVE1047395:FVG1047460 FLI1047395:FLK1047460 FBM1047395:FBO1047460 ERQ1047395:ERS1047460 EHU1047395:EHW1047460 DXY1047395:DYA1047460 DOC1047395:DOE1047460 DEG1047395:DEI1047460 CUK1047395:CUM1047460 CKO1047395:CKQ1047460 CAS1047395:CAU1047460 BQW1047395:BQY1047460 BHA1047395:BHC1047460 AXE1047395:AXG1047460 ANI1047395:ANK1047460 ADM1047395:ADO1047460 TQ1047395:TS1047460 JU1047395:JW1047460 Y1047395:AA1047460 WWG981859:WWI981924 WMK981859:WMM981924 WCO981859:WCQ981924 VSS981859:VSU981924 VIW981859:VIY981924 UZA981859:UZC981924 UPE981859:UPG981924 UFI981859:UFK981924 TVM981859:TVO981924 TLQ981859:TLS981924 TBU981859:TBW981924 SRY981859:SSA981924 SIC981859:SIE981924 RYG981859:RYI981924 ROK981859:ROM981924 REO981859:REQ981924 QUS981859:QUU981924 QKW981859:QKY981924 QBA981859:QBC981924 PRE981859:PRG981924 PHI981859:PHK981924 OXM981859:OXO981924 ONQ981859:ONS981924 ODU981859:ODW981924 NTY981859:NUA981924 NKC981859:NKE981924 NAG981859:NAI981924 MQK981859:MQM981924 MGO981859:MGQ981924 LWS981859:LWU981924 LMW981859:LMY981924 LDA981859:LDC981924 KTE981859:KTG981924 KJI981859:KJK981924 JZM981859:JZO981924 JPQ981859:JPS981924 JFU981859:JFW981924 IVY981859:IWA981924 IMC981859:IME981924 ICG981859:ICI981924 HSK981859:HSM981924 HIO981859:HIQ981924 GYS981859:GYU981924 GOW981859:GOY981924 GFA981859:GFC981924 FVE981859:FVG981924 FLI981859:FLK981924 FBM981859:FBO981924 ERQ981859:ERS981924 EHU981859:EHW981924 DXY981859:DYA981924 DOC981859:DOE981924 DEG981859:DEI981924 CUK981859:CUM981924 CKO981859:CKQ981924 CAS981859:CAU981924 BQW981859:BQY981924 BHA981859:BHC981924 AXE981859:AXG981924 ANI981859:ANK981924 ADM981859:ADO981924 TQ981859:TS981924 JU981859:JW981924 Y981859:AA981924 WWG916323:WWI916388 WMK916323:WMM916388 WCO916323:WCQ916388 VSS916323:VSU916388 VIW916323:VIY916388 UZA916323:UZC916388 UPE916323:UPG916388 UFI916323:UFK916388 TVM916323:TVO916388 TLQ916323:TLS916388 TBU916323:TBW916388 SRY916323:SSA916388 SIC916323:SIE916388 RYG916323:RYI916388 ROK916323:ROM916388 REO916323:REQ916388 QUS916323:QUU916388 QKW916323:QKY916388 QBA916323:QBC916388 PRE916323:PRG916388 PHI916323:PHK916388 OXM916323:OXO916388 ONQ916323:ONS916388 ODU916323:ODW916388 NTY916323:NUA916388 NKC916323:NKE916388 NAG916323:NAI916388 MQK916323:MQM916388 MGO916323:MGQ916388 LWS916323:LWU916388 LMW916323:LMY916388 LDA916323:LDC916388 KTE916323:KTG916388 KJI916323:KJK916388 JZM916323:JZO916388 JPQ916323:JPS916388 JFU916323:JFW916388 IVY916323:IWA916388 IMC916323:IME916388 ICG916323:ICI916388 HSK916323:HSM916388 HIO916323:HIQ916388 GYS916323:GYU916388 GOW916323:GOY916388 GFA916323:GFC916388 FVE916323:FVG916388 FLI916323:FLK916388 FBM916323:FBO916388 ERQ916323:ERS916388 EHU916323:EHW916388 DXY916323:DYA916388 DOC916323:DOE916388 DEG916323:DEI916388 CUK916323:CUM916388 CKO916323:CKQ916388 CAS916323:CAU916388 BQW916323:BQY916388 BHA916323:BHC916388 AXE916323:AXG916388 ANI916323:ANK916388 ADM916323:ADO916388 TQ916323:TS916388 JU916323:JW916388 Y916323:AA916388 WWG850787:WWI850852 WMK850787:WMM850852 WCO850787:WCQ850852 VSS850787:VSU850852 VIW850787:VIY850852 UZA850787:UZC850852 UPE850787:UPG850852 UFI850787:UFK850852 TVM850787:TVO850852 TLQ850787:TLS850852 TBU850787:TBW850852 SRY850787:SSA850852 SIC850787:SIE850852 RYG850787:RYI850852 ROK850787:ROM850852 REO850787:REQ850852 QUS850787:QUU850852 QKW850787:QKY850852 QBA850787:QBC850852 PRE850787:PRG850852 PHI850787:PHK850852 OXM850787:OXO850852 ONQ850787:ONS850852 ODU850787:ODW850852 NTY850787:NUA850852 NKC850787:NKE850852 NAG850787:NAI850852 MQK850787:MQM850852 MGO850787:MGQ850852 LWS850787:LWU850852 LMW850787:LMY850852 LDA850787:LDC850852 KTE850787:KTG850852 KJI850787:KJK850852 JZM850787:JZO850852 JPQ850787:JPS850852 JFU850787:JFW850852 IVY850787:IWA850852 IMC850787:IME850852 ICG850787:ICI850852 HSK850787:HSM850852 HIO850787:HIQ850852 GYS850787:GYU850852 GOW850787:GOY850852 GFA850787:GFC850852 FVE850787:FVG850852 FLI850787:FLK850852 FBM850787:FBO850852 ERQ850787:ERS850852 EHU850787:EHW850852 DXY850787:DYA850852 DOC850787:DOE850852 DEG850787:DEI850852 CUK850787:CUM850852 CKO850787:CKQ850852 CAS850787:CAU850852 BQW850787:BQY850852 BHA850787:BHC850852 AXE850787:AXG850852 ANI850787:ANK850852 ADM850787:ADO850852 TQ850787:TS850852 JU850787:JW850852 Y850787:AA850852 WWG785251:WWI785316 WMK785251:WMM785316 WCO785251:WCQ785316 VSS785251:VSU785316 VIW785251:VIY785316 UZA785251:UZC785316 UPE785251:UPG785316 UFI785251:UFK785316 TVM785251:TVO785316 TLQ785251:TLS785316 TBU785251:TBW785316 SRY785251:SSA785316 SIC785251:SIE785316 RYG785251:RYI785316 ROK785251:ROM785316 REO785251:REQ785316 QUS785251:QUU785316 QKW785251:QKY785316 QBA785251:QBC785316 PRE785251:PRG785316 PHI785251:PHK785316 OXM785251:OXO785316 ONQ785251:ONS785316 ODU785251:ODW785316 NTY785251:NUA785316 NKC785251:NKE785316 NAG785251:NAI785316 MQK785251:MQM785316 MGO785251:MGQ785316 LWS785251:LWU785316 LMW785251:LMY785316 LDA785251:LDC785316 KTE785251:KTG785316 KJI785251:KJK785316 JZM785251:JZO785316 JPQ785251:JPS785316 JFU785251:JFW785316 IVY785251:IWA785316 IMC785251:IME785316 ICG785251:ICI785316 HSK785251:HSM785316 HIO785251:HIQ785316 GYS785251:GYU785316 GOW785251:GOY785316 GFA785251:GFC785316 FVE785251:FVG785316 FLI785251:FLK785316 FBM785251:FBO785316 ERQ785251:ERS785316 EHU785251:EHW785316 DXY785251:DYA785316 DOC785251:DOE785316 DEG785251:DEI785316 CUK785251:CUM785316 CKO785251:CKQ785316 CAS785251:CAU785316 BQW785251:BQY785316 BHA785251:BHC785316 AXE785251:AXG785316 ANI785251:ANK785316 ADM785251:ADO785316 TQ785251:TS785316 JU785251:JW785316 Y785251:AA785316 WWG719715:WWI719780 WMK719715:WMM719780 WCO719715:WCQ719780 VSS719715:VSU719780 VIW719715:VIY719780 UZA719715:UZC719780 UPE719715:UPG719780 UFI719715:UFK719780 TVM719715:TVO719780 TLQ719715:TLS719780 TBU719715:TBW719780 SRY719715:SSA719780 SIC719715:SIE719780 RYG719715:RYI719780 ROK719715:ROM719780 REO719715:REQ719780 QUS719715:QUU719780 QKW719715:QKY719780 QBA719715:QBC719780 PRE719715:PRG719780 PHI719715:PHK719780 OXM719715:OXO719780 ONQ719715:ONS719780 ODU719715:ODW719780 NTY719715:NUA719780 NKC719715:NKE719780 NAG719715:NAI719780 MQK719715:MQM719780 MGO719715:MGQ719780 LWS719715:LWU719780 LMW719715:LMY719780 LDA719715:LDC719780 KTE719715:KTG719780 KJI719715:KJK719780 JZM719715:JZO719780 JPQ719715:JPS719780 JFU719715:JFW719780 IVY719715:IWA719780 IMC719715:IME719780 ICG719715:ICI719780 HSK719715:HSM719780 HIO719715:HIQ719780 GYS719715:GYU719780 GOW719715:GOY719780 GFA719715:GFC719780 FVE719715:FVG719780 FLI719715:FLK719780 FBM719715:FBO719780 ERQ719715:ERS719780 EHU719715:EHW719780 DXY719715:DYA719780 DOC719715:DOE719780 DEG719715:DEI719780 CUK719715:CUM719780 CKO719715:CKQ719780 CAS719715:CAU719780 BQW719715:BQY719780 BHA719715:BHC719780 AXE719715:AXG719780 ANI719715:ANK719780 ADM719715:ADO719780 TQ719715:TS719780 JU719715:JW719780 Y719715:AA719780 WWG654179:WWI654244 WMK654179:WMM654244 WCO654179:WCQ654244 VSS654179:VSU654244 VIW654179:VIY654244 UZA654179:UZC654244 UPE654179:UPG654244 UFI654179:UFK654244 TVM654179:TVO654244 TLQ654179:TLS654244 TBU654179:TBW654244 SRY654179:SSA654244 SIC654179:SIE654244 RYG654179:RYI654244 ROK654179:ROM654244 REO654179:REQ654244 QUS654179:QUU654244 QKW654179:QKY654244 QBA654179:QBC654244 PRE654179:PRG654244 PHI654179:PHK654244 OXM654179:OXO654244 ONQ654179:ONS654244 ODU654179:ODW654244 NTY654179:NUA654244 NKC654179:NKE654244 NAG654179:NAI654244 MQK654179:MQM654244 MGO654179:MGQ654244 LWS654179:LWU654244 LMW654179:LMY654244 LDA654179:LDC654244 KTE654179:KTG654244 KJI654179:KJK654244 JZM654179:JZO654244 JPQ654179:JPS654244 JFU654179:JFW654244 IVY654179:IWA654244 IMC654179:IME654244 ICG654179:ICI654244 HSK654179:HSM654244 HIO654179:HIQ654244 GYS654179:GYU654244 GOW654179:GOY654244 GFA654179:GFC654244 FVE654179:FVG654244 FLI654179:FLK654244 FBM654179:FBO654244 ERQ654179:ERS654244 EHU654179:EHW654244 DXY654179:DYA654244 DOC654179:DOE654244 DEG654179:DEI654244 CUK654179:CUM654244 CKO654179:CKQ654244 CAS654179:CAU654244 BQW654179:BQY654244 BHA654179:BHC654244 AXE654179:AXG654244 ANI654179:ANK654244 ADM654179:ADO654244 TQ654179:TS654244 JU654179:JW654244 Y654179:AA654244 WWG588643:WWI588708 WMK588643:WMM588708 WCO588643:WCQ588708 VSS588643:VSU588708 VIW588643:VIY588708 UZA588643:UZC588708 UPE588643:UPG588708 UFI588643:UFK588708 TVM588643:TVO588708 TLQ588643:TLS588708 TBU588643:TBW588708 SRY588643:SSA588708 SIC588643:SIE588708 RYG588643:RYI588708 ROK588643:ROM588708 REO588643:REQ588708 QUS588643:QUU588708 QKW588643:QKY588708 QBA588643:QBC588708 PRE588643:PRG588708 PHI588643:PHK588708 OXM588643:OXO588708 ONQ588643:ONS588708 ODU588643:ODW588708 NTY588643:NUA588708 NKC588643:NKE588708 NAG588643:NAI588708 MQK588643:MQM588708 MGO588643:MGQ588708 LWS588643:LWU588708 LMW588643:LMY588708 LDA588643:LDC588708 KTE588643:KTG588708 KJI588643:KJK588708 JZM588643:JZO588708 JPQ588643:JPS588708 JFU588643:JFW588708 IVY588643:IWA588708 IMC588643:IME588708 ICG588643:ICI588708 HSK588643:HSM588708 HIO588643:HIQ588708 GYS588643:GYU588708 GOW588643:GOY588708 GFA588643:GFC588708 FVE588643:FVG588708 FLI588643:FLK588708 FBM588643:FBO588708 ERQ588643:ERS588708 EHU588643:EHW588708 DXY588643:DYA588708 DOC588643:DOE588708 DEG588643:DEI588708 CUK588643:CUM588708 CKO588643:CKQ588708 CAS588643:CAU588708 BQW588643:BQY588708 BHA588643:BHC588708 AXE588643:AXG588708 ANI588643:ANK588708 ADM588643:ADO588708 TQ588643:TS588708 JU588643:JW588708 Y588643:AA588708 WWG523107:WWI523172 WMK523107:WMM523172 WCO523107:WCQ523172 VSS523107:VSU523172 VIW523107:VIY523172 UZA523107:UZC523172 UPE523107:UPG523172 UFI523107:UFK523172 TVM523107:TVO523172 TLQ523107:TLS523172 TBU523107:TBW523172 SRY523107:SSA523172 SIC523107:SIE523172 RYG523107:RYI523172 ROK523107:ROM523172 REO523107:REQ523172 QUS523107:QUU523172 QKW523107:QKY523172 QBA523107:QBC523172 PRE523107:PRG523172 PHI523107:PHK523172 OXM523107:OXO523172 ONQ523107:ONS523172 ODU523107:ODW523172 NTY523107:NUA523172 NKC523107:NKE523172 NAG523107:NAI523172 MQK523107:MQM523172 MGO523107:MGQ523172 LWS523107:LWU523172 LMW523107:LMY523172 LDA523107:LDC523172 KTE523107:KTG523172 KJI523107:KJK523172 JZM523107:JZO523172 JPQ523107:JPS523172 JFU523107:JFW523172 IVY523107:IWA523172 IMC523107:IME523172 ICG523107:ICI523172 HSK523107:HSM523172 HIO523107:HIQ523172 GYS523107:GYU523172 GOW523107:GOY523172 GFA523107:GFC523172 FVE523107:FVG523172 FLI523107:FLK523172 FBM523107:FBO523172 ERQ523107:ERS523172 EHU523107:EHW523172 DXY523107:DYA523172 DOC523107:DOE523172 DEG523107:DEI523172 CUK523107:CUM523172 CKO523107:CKQ523172 CAS523107:CAU523172 BQW523107:BQY523172 BHA523107:BHC523172 AXE523107:AXG523172 ANI523107:ANK523172 ADM523107:ADO523172 TQ523107:TS523172 JU523107:JW523172 Y523107:AA523172 WWG457571:WWI457636 WMK457571:WMM457636 WCO457571:WCQ457636 VSS457571:VSU457636 VIW457571:VIY457636 UZA457571:UZC457636 UPE457571:UPG457636 UFI457571:UFK457636 TVM457571:TVO457636 TLQ457571:TLS457636 TBU457571:TBW457636 SRY457571:SSA457636 SIC457571:SIE457636 RYG457571:RYI457636 ROK457571:ROM457636 REO457571:REQ457636 QUS457571:QUU457636 QKW457571:QKY457636 QBA457571:QBC457636 PRE457571:PRG457636 PHI457571:PHK457636 OXM457571:OXO457636 ONQ457571:ONS457636 ODU457571:ODW457636 NTY457571:NUA457636 NKC457571:NKE457636 NAG457571:NAI457636 MQK457571:MQM457636 MGO457571:MGQ457636 LWS457571:LWU457636 LMW457571:LMY457636 LDA457571:LDC457636 KTE457571:KTG457636 KJI457571:KJK457636 JZM457571:JZO457636 JPQ457571:JPS457636 JFU457571:JFW457636 IVY457571:IWA457636 IMC457571:IME457636 ICG457571:ICI457636 HSK457571:HSM457636 HIO457571:HIQ457636 GYS457571:GYU457636 GOW457571:GOY457636 GFA457571:GFC457636 FVE457571:FVG457636 FLI457571:FLK457636 FBM457571:FBO457636 ERQ457571:ERS457636 EHU457571:EHW457636 DXY457571:DYA457636 DOC457571:DOE457636 DEG457571:DEI457636 CUK457571:CUM457636 CKO457571:CKQ457636 CAS457571:CAU457636 BQW457571:BQY457636 BHA457571:BHC457636 AXE457571:AXG457636 ANI457571:ANK457636 ADM457571:ADO457636 TQ457571:TS457636 JU457571:JW457636 Y457571:AA457636 WWG392035:WWI392100 WMK392035:WMM392100 WCO392035:WCQ392100 VSS392035:VSU392100 VIW392035:VIY392100 UZA392035:UZC392100 UPE392035:UPG392100 UFI392035:UFK392100 TVM392035:TVO392100 TLQ392035:TLS392100 TBU392035:TBW392100 SRY392035:SSA392100 SIC392035:SIE392100 RYG392035:RYI392100 ROK392035:ROM392100 REO392035:REQ392100 QUS392035:QUU392100 QKW392035:QKY392100 QBA392035:QBC392100 PRE392035:PRG392100 PHI392035:PHK392100 OXM392035:OXO392100 ONQ392035:ONS392100 ODU392035:ODW392100 NTY392035:NUA392100 NKC392035:NKE392100 NAG392035:NAI392100 MQK392035:MQM392100 MGO392035:MGQ392100 LWS392035:LWU392100 LMW392035:LMY392100 LDA392035:LDC392100 KTE392035:KTG392100 KJI392035:KJK392100 JZM392035:JZO392100 JPQ392035:JPS392100 JFU392035:JFW392100 IVY392035:IWA392100 IMC392035:IME392100 ICG392035:ICI392100 HSK392035:HSM392100 HIO392035:HIQ392100 GYS392035:GYU392100 GOW392035:GOY392100 GFA392035:GFC392100 FVE392035:FVG392100 FLI392035:FLK392100 FBM392035:FBO392100 ERQ392035:ERS392100 EHU392035:EHW392100 DXY392035:DYA392100 DOC392035:DOE392100 DEG392035:DEI392100 CUK392035:CUM392100 CKO392035:CKQ392100 CAS392035:CAU392100 BQW392035:BQY392100 BHA392035:BHC392100 AXE392035:AXG392100 ANI392035:ANK392100 ADM392035:ADO392100 TQ392035:TS392100 JU392035:JW392100 Y392035:AA392100 WWG326499:WWI326564 WMK326499:WMM326564 WCO326499:WCQ326564 VSS326499:VSU326564 VIW326499:VIY326564 UZA326499:UZC326564 UPE326499:UPG326564 UFI326499:UFK326564 TVM326499:TVO326564 TLQ326499:TLS326564 TBU326499:TBW326564 SRY326499:SSA326564 SIC326499:SIE326564 RYG326499:RYI326564 ROK326499:ROM326564 REO326499:REQ326564 QUS326499:QUU326564 QKW326499:QKY326564 QBA326499:QBC326564 PRE326499:PRG326564 PHI326499:PHK326564 OXM326499:OXO326564 ONQ326499:ONS326564 ODU326499:ODW326564 NTY326499:NUA326564 NKC326499:NKE326564 NAG326499:NAI326564 MQK326499:MQM326564 MGO326499:MGQ326564 LWS326499:LWU326564 LMW326499:LMY326564 LDA326499:LDC326564 KTE326499:KTG326564 KJI326499:KJK326564 JZM326499:JZO326564 JPQ326499:JPS326564 JFU326499:JFW326564 IVY326499:IWA326564 IMC326499:IME326564 ICG326499:ICI326564 HSK326499:HSM326564 HIO326499:HIQ326564 GYS326499:GYU326564 GOW326499:GOY326564 GFA326499:GFC326564 FVE326499:FVG326564 FLI326499:FLK326564 FBM326499:FBO326564 ERQ326499:ERS326564 EHU326499:EHW326564 DXY326499:DYA326564 DOC326499:DOE326564 DEG326499:DEI326564 CUK326499:CUM326564 CKO326499:CKQ326564 CAS326499:CAU326564 BQW326499:BQY326564 BHA326499:BHC326564 AXE326499:AXG326564 ANI326499:ANK326564 ADM326499:ADO326564 TQ326499:TS326564 JU326499:JW326564 Y326499:AA326564 WWG260963:WWI261028 WMK260963:WMM261028 WCO260963:WCQ261028 VSS260963:VSU261028 VIW260963:VIY261028 UZA260963:UZC261028 UPE260963:UPG261028 UFI260963:UFK261028 TVM260963:TVO261028 TLQ260963:TLS261028 TBU260963:TBW261028 SRY260963:SSA261028 SIC260963:SIE261028 RYG260963:RYI261028 ROK260963:ROM261028 REO260963:REQ261028 QUS260963:QUU261028 QKW260963:QKY261028 QBA260963:QBC261028 PRE260963:PRG261028 PHI260963:PHK261028 OXM260963:OXO261028 ONQ260963:ONS261028 ODU260963:ODW261028 NTY260963:NUA261028 NKC260963:NKE261028 NAG260963:NAI261028 MQK260963:MQM261028 MGO260963:MGQ261028 LWS260963:LWU261028 LMW260963:LMY261028 LDA260963:LDC261028 KTE260963:KTG261028 KJI260963:KJK261028 JZM260963:JZO261028 JPQ260963:JPS261028 JFU260963:JFW261028 IVY260963:IWA261028 IMC260963:IME261028 ICG260963:ICI261028 HSK260963:HSM261028 HIO260963:HIQ261028 GYS260963:GYU261028 GOW260963:GOY261028 GFA260963:GFC261028 FVE260963:FVG261028 FLI260963:FLK261028 FBM260963:FBO261028 ERQ260963:ERS261028 EHU260963:EHW261028 DXY260963:DYA261028 DOC260963:DOE261028 DEG260963:DEI261028 CUK260963:CUM261028 CKO260963:CKQ261028 CAS260963:CAU261028 BQW260963:BQY261028 BHA260963:BHC261028 AXE260963:AXG261028 ANI260963:ANK261028 ADM260963:ADO261028 TQ260963:TS261028 JU260963:JW261028 Y260963:AA261028 WWG195427:WWI195492 WMK195427:WMM195492 WCO195427:WCQ195492 VSS195427:VSU195492 VIW195427:VIY195492 UZA195427:UZC195492 UPE195427:UPG195492 UFI195427:UFK195492 TVM195427:TVO195492 TLQ195427:TLS195492 TBU195427:TBW195492 SRY195427:SSA195492 SIC195427:SIE195492 RYG195427:RYI195492 ROK195427:ROM195492 REO195427:REQ195492 QUS195427:QUU195492 QKW195427:QKY195492 QBA195427:QBC195492 PRE195427:PRG195492 PHI195427:PHK195492 OXM195427:OXO195492 ONQ195427:ONS195492 ODU195427:ODW195492 NTY195427:NUA195492 NKC195427:NKE195492 NAG195427:NAI195492 MQK195427:MQM195492 MGO195427:MGQ195492 LWS195427:LWU195492 LMW195427:LMY195492 LDA195427:LDC195492 KTE195427:KTG195492 KJI195427:KJK195492 JZM195427:JZO195492 JPQ195427:JPS195492 JFU195427:JFW195492 IVY195427:IWA195492 IMC195427:IME195492 ICG195427:ICI195492 HSK195427:HSM195492 HIO195427:HIQ195492 GYS195427:GYU195492 GOW195427:GOY195492 GFA195427:GFC195492 FVE195427:FVG195492 FLI195427:FLK195492 FBM195427:FBO195492 ERQ195427:ERS195492 EHU195427:EHW195492 DXY195427:DYA195492 DOC195427:DOE195492 DEG195427:DEI195492 CUK195427:CUM195492 CKO195427:CKQ195492 CAS195427:CAU195492 BQW195427:BQY195492 BHA195427:BHC195492 AXE195427:AXG195492 ANI195427:ANK195492 ADM195427:ADO195492 TQ195427:TS195492 JU195427:JW195492 Y195427:AA195492 WWG129891:WWI129956 WMK129891:WMM129956 WCO129891:WCQ129956 VSS129891:VSU129956 VIW129891:VIY129956 UZA129891:UZC129956 UPE129891:UPG129956 UFI129891:UFK129956 TVM129891:TVO129956 TLQ129891:TLS129956 TBU129891:TBW129956 SRY129891:SSA129956 SIC129891:SIE129956 RYG129891:RYI129956 ROK129891:ROM129956 REO129891:REQ129956 QUS129891:QUU129956 QKW129891:QKY129956 QBA129891:QBC129956 PRE129891:PRG129956 PHI129891:PHK129956 OXM129891:OXO129956 ONQ129891:ONS129956 ODU129891:ODW129956 NTY129891:NUA129956 NKC129891:NKE129956 NAG129891:NAI129956 MQK129891:MQM129956 MGO129891:MGQ129956 LWS129891:LWU129956 LMW129891:LMY129956 LDA129891:LDC129956 KTE129891:KTG129956 KJI129891:KJK129956 JZM129891:JZO129956 JPQ129891:JPS129956 JFU129891:JFW129956 IVY129891:IWA129956 IMC129891:IME129956 ICG129891:ICI129956 HSK129891:HSM129956 HIO129891:HIQ129956 GYS129891:GYU129956 GOW129891:GOY129956 GFA129891:GFC129956 FVE129891:FVG129956 FLI129891:FLK129956 FBM129891:FBO129956 ERQ129891:ERS129956 EHU129891:EHW129956 DXY129891:DYA129956 DOC129891:DOE129956 DEG129891:DEI129956 CUK129891:CUM129956 CKO129891:CKQ129956 CAS129891:CAU129956 BQW129891:BQY129956 BHA129891:BHC129956 AXE129891:AXG129956 ANI129891:ANK129956 ADM129891:ADO129956 TQ129891:TS129956 JU129891:JW129956 Y129891:AA129956 WWG64355:WWI64420 WMK64355:WMM64420 WCO64355:WCQ64420 VSS64355:VSU64420 VIW64355:VIY64420 UZA64355:UZC64420 UPE64355:UPG64420 UFI64355:UFK64420 TVM64355:TVO64420 TLQ64355:TLS64420 TBU64355:TBW64420 SRY64355:SSA64420 SIC64355:SIE64420 RYG64355:RYI64420 ROK64355:ROM64420 REO64355:REQ64420 QUS64355:QUU64420 QKW64355:QKY64420 QBA64355:QBC64420 PRE64355:PRG64420 PHI64355:PHK64420 OXM64355:OXO64420 ONQ64355:ONS64420 ODU64355:ODW64420 NTY64355:NUA64420 NKC64355:NKE64420 NAG64355:NAI64420 MQK64355:MQM64420 MGO64355:MGQ64420 LWS64355:LWU64420 LMW64355:LMY64420 LDA64355:LDC64420 KTE64355:KTG64420 KJI64355:KJK64420 JZM64355:JZO64420 JPQ64355:JPS64420 JFU64355:JFW64420 IVY64355:IWA64420 IMC64355:IME64420 ICG64355:ICI64420 HSK64355:HSM64420 HIO64355:HIQ64420 GYS64355:GYU64420 GOW64355:GOY64420 GFA64355:GFC64420 FVE64355:FVG64420 FLI64355:FLK64420 FBM64355:FBO64420 ERQ64355:ERS64420 EHU64355:EHW64420 DXY64355:DYA64420 DOC64355:DOE64420 DEG64355:DEI64420 CUK64355:CUM64420 CKO64355:CKQ64420 CAS64355:CAU64420 BQW64355:BQY64420 BHA64355:BHC64420 AXE64355:AXG64420 ANI64355:ANK64420 ADM64355:ADO64420 TQ64355:TS64420 JU64355:JW64420">
      <formula1>$AV$2:$AV$20</formula1>
    </dataValidation>
    <dataValidation type="list" allowBlank="1" showInputMessage="1" showErrorMessage="1" sqref="H64355:H64420 WVP1047395:WVP1047460 WLT1047395:WLT1047460 WBX1047395:WBX1047460 VSB1047395:VSB1047460 VIF1047395:VIF1047460 UYJ1047395:UYJ1047460 UON1047395:UON1047460 UER1047395:UER1047460 TUV1047395:TUV1047460 TKZ1047395:TKZ1047460 TBD1047395:TBD1047460 SRH1047395:SRH1047460 SHL1047395:SHL1047460 RXP1047395:RXP1047460 RNT1047395:RNT1047460 RDX1047395:RDX1047460 QUB1047395:QUB1047460 QKF1047395:QKF1047460 QAJ1047395:QAJ1047460 PQN1047395:PQN1047460 PGR1047395:PGR1047460 OWV1047395:OWV1047460 OMZ1047395:OMZ1047460 ODD1047395:ODD1047460 NTH1047395:NTH1047460 NJL1047395:NJL1047460 MZP1047395:MZP1047460 MPT1047395:MPT1047460 MFX1047395:MFX1047460 LWB1047395:LWB1047460 LMF1047395:LMF1047460 LCJ1047395:LCJ1047460 KSN1047395:KSN1047460 KIR1047395:KIR1047460 JYV1047395:JYV1047460 JOZ1047395:JOZ1047460 JFD1047395:JFD1047460 IVH1047395:IVH1047460 ILL1047395:ILL1047460 IBP1047395:IBP1047460 HRT1047395:HRT1047460 HHX1047395:HHX1047460 GYB1047395:GYB1047460 GOF1047395:GOF1047460 GEJ1047395:GEJ1047460 FUN1047395:FUN1047460 FKR1047395:FKR1047460 FAV1047395:FAV1047460 EQZ1047395:EQZ1047460 EHD1047395:EHD1047460 DXH1047395:DXH1047460 DNL1047395:DNL1047460 DDP1047395:DDP1047460 CTT1047395:CTT1047460 CJX1047395:CJX1047460 CAB1047395:CAB1047460 BQF1047395:BQF1047460 BGJ1047395:BGJ1047460 AWN1047395:AWN1047460 AMR1047395:AMR1047460 ACV1047395:ACV1047460 SZ1047395:SZ1047460 JD1047395:JD1047460 H1047395:H1047460 WVP981859:WVP981924 WLT981859:WLT981924 WBX981859:WBX981924 VSB981859:VSB981924 VIF981859:VIF981924 UYJ981859:UYJ981924 UON981859:UON981924 UER981859:UER981924 TUV981859:TUV981924 TKZ981859:TKZ981924 TBD981859:TBD981924 SRH981859:SRH981924 SHL981859:SHL981924 RXP981859:RXP981924 RNT981859:RNT981924 RDX981859:RDX981924 QUB981859:QUB981924 QKF981859:QKF981924 QAJ981859:QAJ981924 PQN981859:PQN981924 PGR981859:PGR981924 OWV981859:OWV981924 OMZ981859:OMZ981924 ODD981859:ODD981924 NTH981859:NTH981924 NJL981859:NJL981924 MZP981859:MZP981924 MPT981859:MPT981924 MFX981859:MFX981924 LWB981859:LWB981924 LMF981859:LMF981924 LCJ981859:LCJ981924 KSN981859:KSN981924 KIR981859:KIR981924 JYV981859:JYV981924 JOZ981859:JOZ981924 JFD981859:JFD981924 IVH981859:IVH981924 ILL981859:ILL981924 IBP981859:IBP981924 HRT981859:HRT981924 HHX981859:HHX981924 GYB981859:GYB981924 GOF981859:GOF981924 GEJ981859:GEJ981924 FUN981859:FUN981924 FKR981859:FKR981924 FAV981859:FAV981924 EQZ981859:EQZ981924 EHD981859:EHD981924 DXH981859:DXH981924 DNL981859:DNL981924 DDP981859:DDP981924 CTT981859:CTT981924 CJX981859:CJX981924 CAB981859:CAB981924 BQF981859:BQF981924 BGJ981859:BGJ981924 AWN981859:AWN981924 AMR981859:AMR981924 ACV981859:ACV981924 SZ981859:SZ981924 JD981859:JD981924 H981859:H981924 WVP916323:WVP916388 WLT916323:WLT916388 WBX916323:WBX916388 VSB916323:VSB916388 VIF916323:VIF916388 UYJ916323:UYJ916388 UON916323:UON916388 UER916323:UER916388 TUV916323:TUV916388 TKZ916323:TKZ916388 TBD916323:TBD916388 SRH916323:SRH916388 SHL916323:SHL916388 RXP916323:RXP916388 RNT916323:RNT916388 RDX916323:RDX916388 QUB916323:QUB916388 QKF916323:QKF916388 QAJ916323:QAJ916388 PQN916323:PQN916388 PGR916323:PGR916388 OWV916323:OWV916388 OMZ916323:OMZ916388 ODD916323:ODD916388 NTH916323:NTH916388 NJL916323:NJL916388 MZP916323:MZP916388 MPT916323:MPT916388 MFX916323:MFX916388 LWB916323:LWB916388 LMF916323:LMF916388 LCJ916323:LCJ916388 KSN916323:KSN916388 KIR916323:KIR916388 JYV916323:JYV916388 JOZ916323:JOZ916388 JFD916323:JFD916388 IVH916323:IVH916388 ILL916323:ILL916388 IBP916323:IBP916388 HRT916323:HRT916388 HHX916323:HHX916388 GYB916323:GYB916388 GOF916323:GOF916388 GEJ916323:GEJ916388 FUN916323:FUN916388 FKR916323:FKR916388 FAV916323:FAV916388 EQZ916323:EQZ916388 EHD916323:EHD916388 DXH916323:DXH916388 DNL916323:DNL916388 DDP916323:DDP916388 CTT916323:CTT916388 CJX916323:CJX916388 CAB916323:CAB916388 BQF916323:BQF916388 BGJ916323:BGJ916388 AWN916323:AWN916388 AMR916323:AMR916388 ACV916323:ACV916388 SZ916323:SZ916388 JD916323:JD916388 H916323:H916388 WVP850787:WVP850852 WLT850787:WLT850852 WBX850787:WBX850852 VSB850787:VSB850852 VIF850787:VIF850852 UYJ850787:UYJ850852 UON850787:UON850852 UER850787:UER850852 TUV850787:TUV850852 TKZ850787:TKZ850852 TBD850787:TBD850852 SRH850787:SRH850852 SHL850787:SHL850852 RXP850787:RXP850852 RNT850787:RNT850852 RDX850787:RDX850852 QUB850787:QUB850852 QKF850787:QKF850852 QAJ850787:QAJ850852 PQN850787:PQN850852 PGR850787:PGR850852 OWV850787:OWV850852 OMZ850787:OMZ850852 ODD850787:ODD850852 NTH850787:NTH850852 NJL850787:NJL850852 MZP850787:MZP850852 MPT850787:MPT850852 MFX850787:MFX850852 LWB850787:LWB850852 LMF850787:LMF850852 LCJ850787:LCJ850852 KSN850787:KSN850852 KIR850787:KIR850852 JYV850787:JYV850852 JOZ850787:JOZ850852 JFD850787:JFD850852 IVH850787:IVH850852 ILL850787:ILL850852 IBP850787:IBP850852 HRT850787:HRT850852 HHX850787:HHX850852 GYB850787:GYB850852 GOF850787:GOF850852 GEJ850787:GEJ850852 FUN850787:FUN850852 FKR850787:FKR850852 FAV850787:FAV850852 EQZ850787:EQZ850852 EHD850787:EHD850852 DXH850787:DXH850852 DNL850787:DNL850852 DDP850787:DDP850852 CTT850787:CTT850852 CJX850787:CJX850852 CAB850787:CAB850852 BQF850787:BQF850852 BGJ850787:BGJ850852 AWN850787:AWN850852 AMR850787:AMR850852 ACV850787:ACV850852 SZ850787:SZ850852 JD850787:JD850852 H850787:H850852 WVP785251:WVP785316 WLT785251:WLT785316 WBX785251:WBX785316 VSB785251:VSB785316 VIF785251:VIF785316 UYJ785251:UYJ785316 UON785251:UON785316 UER785251:UER785316 TUV785251:TUV785316 TKZ785251:TKZ785316 TBD785251:TBD785316 SRH785251:SRH785316 SHL785251:SHL785316 RXP785251:RXP785316 RNT785251:RNT785316 RDX785251:RDX785316 QUB785251:QUB785316 QKF785251:QKF785316 QAJ785251:QAJ785316 PQN785251:PQN785316 PGR785251:PGR785316 OWV785251:OWV785316 OMZ785251:OMZ785316 ODD785251:ODD785316 NTH785251:NTH785316 NJL785251:NJL785316 MZP785251:MZP785316 MPT785251:MPT785316 MFX785251:MFX785316 LWB785251:LWB785316 LMF785251:LMF785316 LCJ785251:LCJ785316 KSN785251:KSN785316 KIR785251:KIR785316 JYV785251:JYV785316 JOZ785251:JOZ785316 JFD785251:JFD785316 IVH785251:IVH785316 ILL785251:ILL785316 IBP785251:IBP785316 HRT785251:HRT785316 HHX785251:HHX785316 GYB785251:GYB785316 GOF785251:GOF785316 GEJ785251:GEJ785316 FUN785251:FUN785316 FKR785251:FKR785316 FAV785251:FAV785316 EQZ785251:EQZ785316 EHD785251:EHD785316 DXH785251:DXH785316 DNL785251:DNL785316 DDP785251:DDP785316 CTT785251:CTT785316 CJX785251:CJX785316 CAB785251:CAB785316 BQF785251:BQF785316 BGJ785251:BGJ785316 AWN785251:AWN785316 AMR785251:AMR785316 ACV785251:ACV785316 SZ785251:SZ785316 JD785251:JD785316 H785251:H785316 WVP719715:WVP719780 WLT719715:WLT719780 WBX719715:WBX719780 VSB719715:VSB719780 VIF719715:VIF719780 UYJ719715:UYJ719780 UON719715:UON719780 UER719715:UER719780 TUV719715:TUV719780 TKZ719715:TKZ719780 TBD719715:TBD719780 SRH719715:SRH719780 SHL719715:SHL719780 RXP719715:RXP719780 RNT719715:RNT719780 RDX719715:RDX719780 QUB719715:QUB719780 QKF719715:QKF719780 QAJ719715:QAJ719780 PQN719715:PQN719780 PGR719715:PGR719780 OWV719715:OWV719780 OMZ719715:OMZ719780 ODD719715:ODD719780 NTH719715:NTH719780 NJL719715:NJL719780 MZP719715:MZP719780 MPT719715:MPT719780 MFX719715:MFX719780 LWB719715:LWB719780 LMF719715:LMF719780 LCJ719715:LCJ719780 KSN719715:KSN719780 KIR719715:KIR719780 JYV719715:JYV719780 JOZ719715:JOZ719780 JFD719715:JFD719780 IVH719715:IVH719780 ILL719715:ILL719780 IBP719715:IBP719780 HRT719715:HRT719780 HHX719715:HHX719780 GYB719715:GYB719780 GOF719715:GOF719780 GEJ719715:GEJ719780 FUN719715:FUN719780 FKR719715:FKR719780 FAV719715:FAV719780 EQZ719715:EQZ719780 EHD719715:EHD719780 DXH719715:DXH719780 DNL719715:DNL719780 DDP719715:DDP719780 CTT719715:CTT719780 CJX719715:CJX719780 CAB719715:CAB719780 BQF719715:BQF719780 BGJ719715:BGJ719780 AWN719715:AWN719780 AMR719715:AMR719780 ACV719715:ACV719780 SZ719715:SZ719780 JD719715:JD719780 H719715:H719780 WVP654179:WVP654244 WLT654179:WLT654244 WBX654179:WBX654244 VSB654179:VSB654244 VIF654179:VIF654244 UYJ654179:UYJ654244 UON654179:UON654244 UER654179:UER654244 TUV654179:TUV654244 TKZ654179:TKZ654244 TBD654179:TBD654244 SRH654179:SRH654244 SHL654179:SHL654244 RXP654179:RXP654244 RNT654179:RNT654244 RDX654179:RDX654244 QUB654179:QUB654244 QKF654179:QKF654244 QAJ654179:QAJ654244 PQN654179:PQN654244 PGR654179:PGR654244 OWV654179:OWV654244 OMZ654179:OMZ654244 ODD654179:ODD654244 NTH654179:NTH654244 NJL654179:NJL654244 MZP654179:MZP654244 MPT654179:MPT654244 MFX654179:MFX654244 LWB654179:LWB654244 LMF654179:LMF654244 LCJ654179:LCJ654244 KSN654179:KSN654244 KIR654179:KIR654244 JYV654179:JYV654244 JOZ654179:JOZ654244 JFD654179:JFD654244 IVH654179:IVH654244 ILL654179:ILL654244 IBP654179:IBP654244 HRT654179:HRT654244 HHX654179:HHX654244 GYB654179:GYB654244 GOF654179:GOF654244 GEJ654179:GEJ654244 FUN654179:FUN654244 FKR654179:FKR654244 FAV654179:FAV654244 EQZ654179:EQZ654244 EHD654179:EHD654244 DXH654179:DXH654244 DNL654179:DNL654244 DDP654179:DDP654244 CTT654179:CTT654244 CJX654179:CJX654244 CAB654179:CAB654244 BQF654179:BQF654244 BGJ654179:BGJ654244 AWN654179:AWN654244 AMR654179:AMR654244 ACV654179:ACV654244 SZ654179:SZ654244 JD654179:JD654244 H654179:H654244 WVP588643:WVP588708 WLT588643:WLT588708 WBX588643:WBX588708 VSB588643:VSB588708 VIF588643:VIF588708 UYJ588643:UYJ588708 UON588643:UON588708 UER588643:UER588708 TUV588643:TUV588708 TKZ588643:TKZ588708 TBD588643:TBD588708 SRH588643:SRH588708 SHL588643:SHL588708 RXP588643:RXP588708 RNT588643:RNT588708 RDX588643:RDX588708 QUB588643:QUB588708 QKF588643:QKF588708 QAJ588643:QAJ588708 PQN588643:PQN588708 PGR588643:PGR588708 OWV588643:OWV588708 OMZ588643:OMZ588708 ODD588643:ODD588708 NTH588643:NTH588708 NJL588643:NJL588708 MZP588643:MZP588708 MPT588643:MPT588708 MFX588643:MFX588708 LWB588643:LWB588708 LMF588643:LMF588708 LCJ588643:LCJ588708 KSN588643:KSN588708 KIR588643:KIR588708 JYV588643:JYV588708 JOZ588643:JOZ588708 JFD588643:JFD588708 IVH588643:IVH588708 ILL588643:ILL588708 IBP588643:IBP588708 HRT588643:HRT588708 HHX588643:HHX588708 GYB588643:GYB588708 GOF588643:GOF588708 GEJ588643:GEJ588708 FUN588643:FUN588708 FKR588643:FKR588708 FAV588643:FAV588708 EQZ588643:EQZ588708 EHD588643:EHD588708 DXH588643:DXH588708 DNL588643:DNL588708 DDP588643:DDP588708 CTT588643:CTT588708 CJX588643:CJX588708 CAB588643:CAB588708 BQF588643:BQF588708 BGJ588643:BGJ588708 AWN588643:AWN588708 AMR588643:AMR588708 ACV588643:ACV588708 SZ588643:SZ588708 JD588643:JD588708 H588643:H588708 WVP523107:WVP523172 WLT523107:WLT523172 WBX523107:WBX523172 VSB523107:VSB523172 VIF523107:VIF523172 UYJ523107:UYJ523172 UON523107:UON523172 UER523107:UER523172 TUV523107:TUV523172 TKZ523107:TKZ523172 TBD523107:TBD523172 SRH523107:SRH523172 SHL523107:SHL523172 RXP523107:RXP523172 RNT523107:RNT523172 RDX523107:RDX523172 QUB523107:QUB523172 QKF523107:QKF523172 QAJ523107:QAJ523172 PQN523107:PQN523172 PGR523107:PGR523172 OWV523107:OWV523172 OMZ523107:OMZ523172 ODD523107:ODD523172 NTH523107:NTH523172 NJL523107:NJL523172 MZP523107:MZP523172 MPT523107:MPT523172 MFX523107:MFX523172 LWB523107:LWB523172 LMF523107:LMF523172 LCJ523107:LCJ523172 KSN523107:KSN523172 KIR523107:KIR523172 JYV523107:JYV523172 JOZ523107:JOZ523172 JFD523107:JFD523172 IVH523107:IVH523172 ILL523107:ILL523172 IBP523107:IBP523172 HRT523107:HRT523172 HHX523107:HHX523172 GYB523107:GYB523172 GOF523107:GOF523172 GEJ523107:GEJ523172 FUN523107:FUN523172 FKR523107:FKR523172 FAV523107:FAV523172 EQZ523107:EQZ523172 EHD523107:EHD523172 DXH523107:DXH523172 DNL523107:DNL523172 DDP523107:DDP523172 CTT523107:CTT523172 CJX523107:CJX523172 CAB523107:CAB523172 BQF523107:BQF523172 BGJ523107:BGJ523172 AWN523107:AWN523172 AMR523107:AMR523172 ACV523107:ACV523172 SZ523107:SZ523172 JD523107:JD523172 H523107:H523172 WVP457571:WVP457636 WLT457571:WLT457636 WBX457571:WBX457636 VSB457571:VSB457636 VIF457571:VIF457636 UYJ457571:UYJ457636 UON457571:UON457636 UER457571:UER457636 TUV457571:TUV457636 TKZ457571:TKZ457636 TBD457571:TBD457636 SRH457571:SRH457636 SHL457571:SHL457636 RXP457571:RXP457636 RNT457571:RNT457636 RDX457571:RDX457636 QUB457571:QUB457636 QKF457571:QKF457636 QAJ457571:QAJ457636 PQN457571:PQN457636 PGR457571:PGR457636 OWV457571:OWV457636 OMZ457571:OMZ457636 ODD457571:ODD457636 NTH457571:NTH457636 NJL457571:NJL457636 MZP457571:MZP457636 MPT457571:MPT457636 MFX457571:MFX457636 LWB457571:LWB457636 LMF457571:LMF457636 LCJ457571:LCJ457636 KSN457571:KSN457636 KIR457571:KIR457636 JYV457571:JYV457636 JOZ457571:JOZ457636 JFD457571:JFD457636 IVH457571:IVH457636 ILL457571:ILL457636 IBP457571:IBP457636 HRT457571:HRT457636 HHX457571:HHX457636 GYB457571:GYB457636 GOF457571:GOF457636 GEJ457571:GEJ457636 FUN457571:FUN457636 FKR457571:FKR457636 FAV457571:FAV457636 EQZ457571:EQZ457636 EHD457571:EHD457636 DXH457571:DXH457636 DNL457571:DNL457636 DDP457571:DDP457636 CTT457571:CTT457636 CJX457571:CJX457636 CAB457571:CAB457636 BQF457571:BQF457636 BGJ457571:BGJ457636 AWN457571:AWN457636 AMR457571:AMR457636 ACV457571:ACV457636 SZ457571:SZ457636 JD457571:JD457636 H457571:H457636 WVP392035:WVP392100 WLT392035:WLT392100 WBX392035:WBX392100 VSB392035:VSB392100 VIF392035:VIF392100 UYJ392035:UYJ392100 UON392035:UON392100 UER392035:UER392100 TUV392035:TUV392100 TKZ392035:TKZ392100 TBD392035:TBD392100 SRH392035:SRH392100 SHL392035:SHL392100 RXP392035:RXP392100 RNT392035:RNT392100 RDX392035:RDX392100 QUB392035:QUB392100 QKF392035:QKF392100 QAJ392035:QAJ392100 PQN392035:PQN392100 PGR392035:PGR392100 OWV392035:OWV392100 OMZ392035:OMZ392100 ODD392035:ODD392100 NTH392035:NTH392100 NJL392035:NJL392100 MZP392035:MZP392100 MPT392035:MPT392100 MFX392035:MFX392100 LWB392035:LWB392100 LMF392035:LMF392100 LCJ392035:LCJ392100 KSN392035:KSN392100 KIR392035:KIR392100 JYV392035:JYV392100 JOZ392035:JOZ392100 JFD392035:JFD392100 IVH392035:IVH392100 ILL392035:ILL392100 IBP392035:IBP392100 HRT392035:HRT392100 HHX392035:HHX392100 GYB392035:GYB392100 GOF392035:GOF392100 GEJ392035:GEJ392100 FUN392035:FUN392100 FKR392035:FKR392100 FAV392035:FAV392100 EQZ392035:EQZ392100 EHD392035:EHD392100 DXH392035:DXH392100 DNL392035:DNL392100 DDP392035:DDP392100 CTT392035:CTT392100 CJX392035:CJX392100 CAB392035:CAB392100 BQF392035:BQF392100 BGJ392035:BGJ392100 AWN392035:AWN392100 AMR392035:AMR392100 ACV392035:ACV392100 SZ392035:SZ392100 JD392035:JD392100 H392035:H392100 WVP326499:WVP326564 WLT326499:WLT326564 WBX326499:WBX326564 VSB326499:VSB326564 VIF326499:VIF326564 UYJ326499:UYJ326564 UON326499:UON326564 UER326499:UER326564 TUV326499:TUV326564 TKZ326499:TKZ326564 TBD326499:TBD326564 SRH326499:SRH326564 SHL326499:SHL326564 RXP326499:RXP326564 RNT326499:RNT326564 RDX326499:RDX326564 QUB326499:QUB326564 QKF326499:QKF326564 QAJ326499:QAJ326564 PQN326499:PQN326564 PGR326499:PGR326564 OWV326499:OWV326564 OMZ326499:OMZ326564 ODD326499:ODD326564 NTH326499:NTH326564 NJL326499:NJL326564 MZP326499:MZP326564 MPT326499:MPT326564 MFX326499:MFX326564 LWB326499:LWB326564 LMF326499:LMF326564 LCJ326499:LCJ326564 KSN326499:KSN326564 KIR326499:KIR326564 JYV326499:JYV326564 JOZ326499:JOZ326564 JFD326499:JFD326564 IVH326499:IVH326564 ILL326499:ILL326564 IBP326499:IBP326564 HRT326499:HRT326564 HHX326499:HHX326564 GYB326499:GYB326564 GOF326499:GOF326564 GEJ326499:GEJ326564 FUN326499:FUN326564 FKR326499:FKR326564 FAV326499:FAV326564 EQZ326499:EQZ326564 EHD326499:EHD326564 DXH326499:DXH326564 DNL326499:DNL326564 DDP326499:DDP326564 CTT326499:CTT326564 CJX326499:CJX326564 CAB326499:CAB326564 BQF326499:BQF326564 BGJ326499:BGJ326564 AWN326499:AWN326564 AMR326499:AMR326564 ACV326499:ACV326564 SZ326499:SZ326564 JD326499:JD326564 H326499:H326564 WVP260963:WVP261028 WLT260963:WLT261028 WBX260963:WBX261028 VSB260963:VSB261028 VIF260963:VIF261028 UYJ260963:UYJ261028 UON260963:UON261028 UER260963:UER261028 TUV260963:TUV261028 TKZ260963:TKZ261028 TBD260963:TBD261028 SRH260963:SRH261028 SHL260963:SHL261028 RXP260963:RXP261028 RNT260963:RNT261028 RDX260963:RDX261028 QUB260963:QUB261028 QKF260963:QKF261028 QAJ260963:QAJ261028 PQN260963:PQN261028 PGR260963:PGR261028 OWV260963:OWV261028 OMZ260963:OMZ261028 ODD260963:ODD261028 NTH260963:NTH261028 NJL260963:NJL261028 MZP260963:MZP261028 MPT260963:MPT261028 MFX260963:MFX261028 LWB260963:LWB261028 LMF260963:LMF261028 LCJ260963:LCJ261028 KSN260963:KSN261028 KIR260963:KIR261028 JYV260963:JYV261028 JOZ260963:JOZ261028 JFD260963:JFD261028 IVH260963:IVH261028 ILL260963:ILL261028 IBP260963:IBP261028 HRT260963:HRT261028 HHX260963:HHX261028 GYB260963:GYB261028 GOF260963:GOF261028 GEJ260963:GEJ261028 FUN260963:FUN261028 FKR260963:FKR261028 FAV260963:FAV261028 EQZ260963:EQZ261028 EHD260963:EHD261028 DXH260963:DXH261028 DNL260963:DNL261028 DDP260963:DDP261028 CTT260963:CTT261028 CJX260963:CJX261028 CAB260963:CAB261028 BQF260963:BQF261028 BGJ260963:BGJ261028 AWN260963:AWN261028 AMR260963:AMR261028 ACV260963:ACV261028 SZ260963:SZ261028 JD260963:JD261028 H260963:H261028 WVP195427:WVP195492 WLT195427:WLT195492 WBX195427:WBX195492 VSB195427:VSB195492 VIF195427:VIF195492 UYJ195427:UYJ195492 UON195427:UON195492 UER195427:UER195492 TUV195427:TUV195492 TKZ195427:TKZ195492 TBD195427:TBD195492 SRH195427:SRH195492 SHL195427:SHL195492 RXP195427:RXP195492 RNT195427:RNT195492 RDX195427:RDX195492 QUB195427:QUB195492 QKF195427:QKF195492 QAJ195427:QAJ195492 PQN195427:PQN195492 PGR195427:PGR195492 OWV195427:OWV195492 OMZ195427:OMZ195492 ODD195427:ODD195492 NTH195427:NTH195492 NJL195427:NJL195492 MZP195427:MZP195492 MPT195427:MPT195492 MFX195427:MFX195492 LWB195427:LWB195492 LMF195427:LMF195492 LCJ195427:LCJ195492 KSN195427:KSN195492 KIR195427:KIR195492 JYV195427:JYV195492 JOZ195427:JOZ195492 JFD195427:JFD195492 IVH195427:IVH195492 ILL195427:ILL195492 IBP195427:IBP195492 HRT195427:HRT195492 HHX195427:HHX195492 GYB195427:GYB195492 GOF195427:GOF195492 GEJ195427:GEJ195492 FUN195427:FUN195492 FKR195427:FKR195492 FAV195427:FAV195492 EQZ195427:EQZ195492 EHD195427:EHD195492 DXH195427:DXH195492 DNL195427:DNL195492 DDP195427:DDP195492 CTT195427:CTT195492 CJX195427:CJX195492 CAB195427:CAB195492 BQF195427:BQF195492 BGJ195427:BGJ195492 AWN195427:AWN195492 AMR195427:AMR195492 ACV195427:ACV195492 SZ195427:SZ195492 JD195427:JD195492 H195427:H195492 WVP129891:WVP129956 WLT129891:WLT129956 WBX129891:WBX129956 VSB129891:VSB129956 VIF129891:VIF129956 UYJ129891:UYJ129956 UON129891:UON129956 UER129891:UER129956 TUV129891:TUV129956 TKZ129891:TKZ129956 TBD129891:TBD129956 SRH129891:SRH129956 SHL129891:SHL129956 RXP129891:RXP129956 RNT129891:RNT129956 RDX129891:RDX129956 QUB129891:QUB129956 QKF129891:QKF129956 QAJ129891:QAJ129956 PQN129891:PQN129956 PGR129891:PGR129956 OWV129891:OWV129956 OMZ129891:OMZ129956 ODD129891:ODD129956 NTH129891:NTH129956 NJL129891:NJL129956 MZP129891:MZP129956 MPT129891:MPT129956 MFX129891:MFX129956 LWB129891:LWB129956 LMF129891:LMF129956 LCJ129891:LCJ129956 KSN129891:KSN129956 KIR129891:KIR129956 JYV129891:JYV129956 JOZ129891:JOZ129956 JFD129891:JFD129956 IVH129891:IVH129956 ILL129891:ILL129956 IBP129891:IBP129956 HRT129891:HRT129956 HHX129891:HHX129956 GYB129891:GYB129956 GOF129891:GOF129956 GEJ129891:GEJ129956 FUN129891:FUN129956 FKR129891:FKR129956 FAV129891:FAV129956 EQZ129891:EQZ129956 EHD129891:EHD129956 DXH129891:DXH129956 DNL129891:DNL129956 DDP129891:DDP129956 CTT129891:CTT129956 CJX129891:CJX129956 CAB129891:CAB129956 BQF129891:BQF129956 BGJ129891:BGJ129956 AWN129891:AWN129956 AMR129891:AMR129956 ACV129891:ACV129956 SZ129891:SZ129956 JD129891:JD129956 H129891:H129956 WVP64355:WVP64420 WLT64355:WLT64420 WBX64355:WBX64420 VSB64355:VSB64420 VIF64355:VIF64420 UYJ64355:UYJ64420 UON64355:UON64420 UER64355:UER64420 TUV64355:TUV64420 TKZ64355:TKZ64420 TBD64355:TBD64420 SRH64355:SRH64420 SHL64355:SHL64420 RXP64355:RXP64420 RNT64355:RNT64420 RDX64355:RDX64420 QUB64355:QUB64420 QKF64355:QKF64420 QAJ64355:QAJ64420 PQN64355:PQN64420 PGR64355:PGR64420 OWV64355:OWV64420 OMZ64355:OMZ64420 ODD64355:ODD64420 NTH64355:NTH64420 NJL64355:NJL64420 MZP64355:MZP64420 MPT64355:MPT64420 MFX64355:MFX64420 LWB64355:LWB64420 LMF64355:LMF64420 LCJ64355:LCJ64420 KSN64355:KSN64420 KIR64355:KIR64420 JYV64355:JYV64420 JOZ64355:JOZ64420 JFD64355:JFD64420 IVH64355:IVH64420 ILL64355:ILL64420 IBP64355:IBP64420 HRT64355:HRT64420 HHX64355:HHX64420 GYB64355:GYB64420 GOF64355:GOF64420 GEJ64355:GEJ64420 FUN64355:FUN64420 FKR64355:FKR64420 FAV64355:FAV64420 EQZ64355:EQZ64420 EHD64355:EHD64420 DXH64355:DXH64420 DNL64355:DNL64420 DDP64355:DDP64420 CTT64355:CTT64420 CJX64355:CJX64420 CAB64355:CAB64420 BQF64355:BQF64420 BGJ64355:BGJ64420 AWN64355:AWN64420 AMR64355:AMR64420 ACV64355:ACV64420 SZ64355:SZ64420 JD64355:JD64420">
      <formula1>$AL$5:$AL$12</formula1>
    </dataValidation>
    <dataValidation type="list" allowBlank="1" showInputMessage="1" showErrorMessage="1" sqref="E64355:F64420 WVM2:WVN65 WLQ2:WLR65 WBU2:WBV65 VRY2:VRZ65 VIC2:VID65 UYG2:UYH65 UOK2:UOL65 UEO2:UEP65 TUS2:TUT65 TKW2:TKX65 TBA2:TBB65 SRE2:SRF65 SHI2:SHJ65 RXM2:RXN65 RNQ2:RNR65 RDU2:RDV65 QTY2:QTZ65 QKC2:QKD65 QAG2:QAH65 PQK2:PQL65 PGO2:PGP65 OWS2:OWT65 OMW2:OMX65 ODA2:ODB65 NTE2:NTF65 NJI2:NJJ65 MZM2:MZN65 MPQ2:MPR65 MFU2:MFV65 LVY2:LVZ65 LMC2:LMD65 LCG2:LCH65 KSK2:KSL65 KIO2:KIP65 JYS2:JYT65 JOW2:JOX65 JFA2:JFB65 IVE2:IVF65 ILI2:ILJ65 IBM2:IBN65 HRQ2:HRR65 HHU2:HHV65 GXY2:GXZ65 GOC2:GOD65 GEG2:GEH65 FUK2:FUL65 FKO2:FKP65 FAS2:FAT65 EQW2:EQX65 EHA2:EHB65 DXE2:DXF65 DNI2:DNJ65 DDM2:DDN65 CTQ2:CTR65 CJU2:CJV65 BZY2:BZZ65 BQC2:BQD65 BGG2:BGH65 AWK2:AWL65 AMO2:AMP65 ACS2:ACT65 SW2:SX65 JA2:JB65 SW64355:SX64420 ACS64355:ACT64420 AMO64355:AMP64420 AWK64355:AWL64420 BGG64355:BGH64420 BQC64355:BQD64420 BZY64355:BZZ64420 CJU64355:CJV64420 CTQ64355:CTR64420 DDM64355:DDN64420 DNI64355:DNJ64420 DXE64355:DXF64420 EHA64355:EHB64420 EQW64355:EQX64420 FAS64355:FAT64420 FKO64355:FKP64420 FUK64355:FUL64420 GEG64355:GEH64420 GOC64355:GOD64420 GXY64355:GXZ64420 HHU64355:HHV64420 HRQ64355:HRR64420 IBM64355:IBN64420 ILI64355:ILJ64420 IVE64355:IVF64420 JFA64355:JFB64420 JOW64355:JOX64420 JYS64355:JYT64420 KIO64355:KIP64420 KSK64355:KSL64420 LCG64355:LCH64420 LMC64355:LMD64420 LVY64355:LVZ64420 MFU64355:MFV64420 MPQ64355:MPR64420 MZM64355:MZN64420 NJI64355:NJJ64420 NTE64355:NTF64420 ODA64355:ODB64420 OMW64355:OMX64420 OWS64355:OWT64420 PGO64355:PGP64420 PQK64355:PQL64420 QAG64355:QAH64420 QKC64355:QKD64420 QTY64355:QTZ64420 RDU64355:RDV64420 RNQ64355:RNR64420 RXM64355:RXN64420 SHI64355:SHJ64420 SRE64355:SRF64420 TBA64355:TBB64420 TKW64355:TKX64420 TUS64355:TUT64420 UEO64355:UEP64420 UOK64355:UOL64420 UYG64355:UYH64420 VIC64355:VID64420 VRY64355:VRZ64420 WBU64355:WBV64420 WLQ64355:WLR64420 WVM64355:WVN64420 E129891:F129956 JA129891:JB129956 SW129891:SX129956 ACS129891:ACT129956 AMO129891:AMP129956 AWK129891:AWL129956 BGG129891:BGH129956 BQC129891:BQD129956 BZY129891:BZZ129956 CJU129891:CJV129956 CTQ129891:CTR129956 DDM129891:DDN129956 DNI129891:DNJ129956 DXE129891:DXF129956 EHA129891:EHB129956 EQW129891:EQX129956 FAS129891:FAT129956 FKO129891:FKP129956 FUK129891:FUL129956 GEG129891:GEH129956 GOC129891:GOD129956 GXY129891:GXZ129956 HHU129891:HHV129956 HRQ129891:HRR129956 IBM129891:IBN129956 ILI129891:ILJ129956 IVE129891:IVF129956 JFA129891:JFB129956 JOW129891:JOX129956 JYS129891:JYT129956 KIO129891:KIP129956 KSK129891:KSL129956 LCG129891:LCH129956 LMC129891:LMD129956 LVY129891:LVZ129956 MFU129891:MFV129956 MPQ129891:MPR129956 MZM129891:MZN129956 NJI129891:NJJ129956 NTE129891:NTF129956 ODA129891:ODB129956 OMW129891:OMX129956 OWS129891:OWT129956 PGO129891:PGP129956 PQK129891:PQL129956 QAG129891:QAH129956 QKC129891:QKD129956 QTY129891:QTZ129956 RDU129891:RDV129956 RNQ129891:RNR129956 RXM129891:RXN129956 SHI129891:SHJ129956 SRE129891:SRF129956 TBA129891:TBB129956 TKW129891:TKX129956 TUS129891:TUT129956 UEO129891:UEP129956 UOK129891:UOL129956 UYG129891:UYH129956 VIC129891:VID129956 VRY129891:VRZ129956 WBU129891:WBV129956 WLQ129891:WLR129956 WVM129891:WVN129956 E195427:F195492 JA195427:JB195492 SW195427:SX195492 ACS195427:ACT195492 AMO195427:AMP195492 AWK195427:AWL195492 BGG195427:BGH195492 BQC195427:BQD195492 BZY195427:BZZ195492 CJU195427:CJV195492 CTQ195427:CTR195492 DDM195427:DDN195492 DNI195427:DNJ195492 DXE195427:DXF195492 EHA195427:EHB195492 EQW195427:EQX195492 FAS195427:FAT195492 FKO195427:FKP195492 FUK195427:FUL195492 GEG195427:GEH195492 GOC195427:GOD195492 GXY195427:GXZ195492 HHU195427:HHV195492 HRQ195427:HRR195492 IBM195427:IBN195492 ILI195427:ILJ195492 IVE195427:IVF195492 JFA195427:JFB195492 JOW195427:JOX195492 JYS195427:JYT195492 KIO195427:KIP195492 KSK195427:KSL195492 LCG195427:LCH195492 LMC195427:LMD195492 LVY195427:LVZ195492 MFU195427:MFV195492 MPQ195427:MPR195492 MZM195427:MZN195492 NJI195427:NJJ195492 NTE195427:NTF195492 ODA195427:ODB195492 OMW195427:OMX195492 OWS195427:OWT195492 PGO195427:PGP195492 PQK195427:PQL195492 QAG195427:QAH195492 QKC195427:QKD195492 QTY195427:QTZ195492 RDU195427:RDV195492 RNQ195427:RNR195492 RXM195427:RXN195492 SHI195427:SHJ195492 SRE195427:SRF195492 TBA195427:TBB195492 TKW195427:TKX195492 TUS195427:TUT195492 UEO195427:UEP195492 UOK195427:UOL195492 UYG195427:UYH195492 VIC195427:VID195492 VRY195427:VRZ195492 WBU195427:WBV195492 WLQ195427:WLR195492 WVM195427:WVN195492 E260963:F261028 JA260963:JB261028 SW260963:SX261028 ACS260963:ACT261028 AMO260963:AMP261028 AWK260963:AWL261028 BGG260963:BGH261028 BQC260963:BQD261028 BZY260963:BZZ261028 CJU260963:CJV261028 CTQ260963:CTR261028 DDM260963:DDN261028 DNI260963:DNJ261028 DXE260963:DXF261028 EHA260963:EHB261028 EQW260963:EQX261028 FAS260963:FAT261028 FKO260963:FKP261028 FUK260963:FUL261028 GEG260963:GEH261028 GOC260963:GOD261028 GXY260963:GXZ261028 HHU260963:HHV261028 HRQ260963:HRR261028 IBM260963:IBN261028 ILI260963:ILJ261028 IVE260963:IVF261028 JFA260963:JFB261028 JOW260963:JOX261028 JYS260963:JYT261028 KIO260963:KIP261028 KSK260963:KSL261028 LCG260963:LCH261028 LMC260963:LMD261028 LVY260963:LVZ261028 MFU260963:MFV261028 MPQ260963:MPR261028 MZM260963:MZN261028 NJI260963:NJJ261028 NTE260963:NTF261028 ODA260963:ODB261028 OMW260963:OMX261028 OWS260963:OWT261028 PGO260963:PGP261028 PQK260963:PQL261028 QAG260963:QAH261028 QKC260963:QKD261028 QTY260963:QTZ261028 RDU260963:RDV261028 RNQ260963:RNR261028 RXM260963:RXN261028 SHI260963:SHJ261028 SRE260963:SRF261028 TBA260963:TBB261028 TKW260963:TKX261028 TUS260963:TUT261028 UEO260963:UEP261028 UOK260963:UOL261028 UYG260963:UYH261028 VIC260963:VID261028 VRY260963:VRZ261028 WBU260963:WBV261028 WLQ260963:WLR261028 WVM260963:WVN261028 E326499:F326564 JA326499:JB326564 SW326499:SX326564 ACS326499:ACT326564 AMO326499:AMP326564 AWK326499:AWL326564 BGG326499:BGH326564 BQC326499:BQD326564 BZY326499:BZZ326564 CJU326499:CJV326564 CTQ326499:CTR326564 DDM326499:DDN326564 DNI326499:DNJ326564 DXE326499:DXF326564 EHA326499:EHB326564 EQW326499:EQX326564 FAS326499:FAT326564 FKO326499:FKP326564 FUK326499:FUL326564 GEG326499:GEH326564 GOC326499:GOD326564 GXY326499:GXZ326564 HHU326499:HHV326564 HRQ326499:HRR326564 IBM326499:IBN326564 ILI326499:ILJ326564 IVE326499:IVF326564 JFA326499:JFB326564 JOW326499:JOX326564 JYS326499:JYT326564 KIO326499:KIP326564 KSK326499:KSL326564 LCG326499:LCH326564 LMC326499:LMD326564 LVY326499:LVZ326564 MFU326499:MFV326564 MPQ326499:MPR326564 MZM326499:MZN326564 NJI326499:NJJ326564 NTE326499:NTF326564 ODA326499:ODB326564 OMW326499:OMX326564 OWS326499:OWT326564 PGO326499:PGP326564 PQK326499:PQL326564 QAG326499:QAH326564 QKC326499:QKD326564 QTY326499:QTZ326564 RDU326499:RDV326564 RNQ326499:RNR326564 RXM326499:RXN326564 SHI326499:SHJ326564 SRE326499:SRF326564 TBA326499:TBB326564 TKW326499:TKX326564 TUS326499:TUT326564 UEO326499:UEP326564 UOK326499:UOL326564 UYG326499:UYH326564 VIC326499:VID326564 VRY326499:VRZ326564 WBU326499:WBV326564 WLQ326499:WLR326564 WVM326499:WVN326564 E392035:F392100 JA392035:JB392100 SW392035:SX392100 ACS392035:ACT392100 AMO392035:AMP392100 AWK392035:AWL392100 BGG392035:BGH392100 BQC392035:BQD392100 BZY392035:BZZ392100 CJU392035:CJV392100 CTQ392035:CTR392100 DDM392035:DDN392100 DNI392035:DNJ392100 DXE392035:DXF392100 EHA392035:EHB392100 EQW392035:EQX392100 FAS392035:FAT392100 FKO392035:FKP392100 FUK392035:FUL392100 GEG392035:GEH392100 GOC392035:GOD392100 GXY392035:GXZ392100 HHU392035:HHV392100 HRQ392035:HRR392100 IBM392035:IBN392100 ILI392035:ILJ392100 IVE392035:IVF392100 JFA392035:JFB392100 JOW392035:JOX392100 JYS392035:JYT392100 KIO392035:KIP392100 KSK392035:KSL392100 LCG392035:LCH392100 LMC392035:LMD392100 LVY392035:LVZ392100 MFU392035:MFV392100 MPQ392035:MPR392100 MZM392035:MZN392100 NJI392035:NJJ392100 NTE392035:NTF392100 ODA392035:ODB392100 OMW392035:OMX392100 OWS392035:OWT392100 PGO392035:PGP392100 PQK392035:PQL392100 QAG392035:QAH392100 QKC392035:QKD392100 QTY392035:QTZ392100 RDU392035:RDV392100 RNQ392035:RNR392100 RXM392035:RXN392100 SHI392035:SHJ392100 SRE392035:SRF392100 TBA392035:TBB392100 TKW392035:TKX392100 TUS392035:TUT392100 UEO392035:UEP392100 UOK392035:UOL392100 UYG392035:UYH392100 VIC392035:VID392100 VRY392035:VRZ392100 WBU392035:WBV392100 WLQ392035:WLR392100 WVM392035:WVN392100 E457571:F457636 JA457571:JB457636 SW457571:SX457636 ACS457571:ACT457636 AMO457571:AMP457636 AWK457571:AWL457636 BGG457571:BGH457636 BQC457571:BQD457636 BZY457571:BZZ457636 CJU457571:CJV457636 CTQ457571:CTR457636 DDM457571:DDN457636 DNI457571:DNJ457636 DXE457571:DXF457636 EHA457571:EHB457636 EQW457571:EQX457636 FAS457571:FAT457636 FKO457571:FKP457636 FUK457571:FUL457636 GEG457571:GEH457636 GOC457571:GOD457636 GXY457571:GXZ457636 HHU457571:HHV457636 HRQ457571:HRR457636 IBM457571:IBN457636 ILI457571:ILJ457636 IVE457571:IVF457636 JFA457571:JFB457636 JOW457571:JOX457636 JYS457571:JYT457636 KIO457571:KIP457636 KSK457571:KSL457636 LCG457571:LCH457636 LMC457571:LMD457636 LVY457571:LVZ457636 MFU457571:MFV457636 MPQ457571:MPR457636 MZM457571:MZN457636 NJI457571:NJJ457636 NTE457571:NTF457636 ODA457571:ODB457636 OMW457571:OMX457636 OWS457571:OWT457636 PGO457571:PGP457636 PQK457571:PQL457636 QAG457571:QAH457636 QKC457571:QKD457636 QTY457571:QTZ457636 RDU457571:RDV457636 RNQ457571:RNR457636 RXM457571:RXN457636 SHI457571:SHJ457636 SRE457571:SRF457636 TBA457571:TBB457636 TKW457571:TKX457636 TUS457571:TUT457636 UEO457571:UEP457636 UOK457571:UOL457636 UYG457571:UYH457636 VIC457571:VID457636 VRY457571:VRZ457636 WBU457571:WBV457636 WLQ457571:WLR457636 WVM457571:WVN457636 E523107:F523172 JA523107:JB523172 SW523107:SX523172 ACS523107:ACT523172 AMO523107:AMP523172 AWK523107:AWL523172 BGG523107:BGH523172 BQC523107:BQD523172 BZY523107:BZZ523172 CJU523107:CJV523172 CTQ523107:CTR523172 DDM523107:DDN523172 DNI523107:DNJ523172 DXE523107:DXF523172 EHA523107:EHB523172 EQW523107:EQX523172 FAS523107:FAT523172 FKO523107:FKP523172 FUK523107:FUL523172 GEG523107:GEH523172 GOC523107:GOD523172 GXY523107:GXZ523172 HHU523107:HHV523172 HRQ523107:HRR523172 IBM523107:IBN523172 ILI523107:ILJ523172 IVE523107:IVF523172 JFA523107:JFB523172 JOW523107:JOX523172 JYS523107:JYT523172 KIO523107:KIP523172 KSK523107:KSL523172 LCG523107:LCH523172 LMC523107:LMD523172 LVY523107:LVZ523172 MFU523107:MFV523172 MPQ523107:MPR523172 MZM523107:MZN523172 NJI523107:NJJ523172 NTE523107:NTF523172 ODA523107:ODB523172 OMW523107:OMX523172 OWS523107:OWT523172 PGO523107:PGP523172 PQK523107:PQL523172 QAG523107:QAH523172 QKC523107:QKD523172 QTY523107:QTZ523172 RDU523107:RDV523172 RNQ523107:RNR523172 RXM523107:RXN523172 SHI523107:SHJ523172 SRE523107:SRF523172 TBA523107:TBB523172 TKW523107:TKX523172 TUS523107:TUT523172 UEO523107:UEP523172 UOK523107:UOL523172 UYG523107:UYH523172 VIC523107:VID523172 VRY523107:VRZ523172 WBU523107:WBV523172 WLQ523107:WLR523172 WVM523107:WVN523172 E588643:F588708 JA588643:JB588708 SW588643:SX588708 ACS588643:ACT588708 AMO588643:AMP588708 AWK588643:AWL588708 BGG588643:BGH588708 BQC588643:BQD588708 BZY588643:BZZ588708 CJU588643:CJV588708 CTQ588643:CTR588708 DDM588643:DDN588708 DNI588643:DNJ588708 DXE588643:DXF588708 EHA588643:EHB588708 EQW588643:EQX588708 FAS588643:FAT588708 FKO588643:FKP588708 FUK588643:FUL588708 GEG588643:GEH588708 GOC588643:GOD588708 GXY588643:GXZ588708 HHU588643:HHV588708 HRQ588643:HRR588708 IBM588643:IBN588708 ILI588643:ILJ588708 IVE588643:IVF588708 JFA588643:JFB588708 JOW588643:JOX588708 JYS588643:JYT588708 KIO588643:KIP588708 KSK588643:KSL588708 LCG588643:LCH588708 LMC588643:LMD588708 LVY588643:LVZ588708 MFU588643:MFV588708 MPQ588643:MPR588708 MZM588643:MZN588708 NJI588643:NJJ588708 NTE588643:NTF588708 ODA588643:ODB588708 OMW588643:OMX588708 OWS588643:OWT588708 PGO588643:PGP588708 PQK588643:PQL588708 QAG588643:QAH588708 QKC588643:QKD588708 QTY588643:QTZ588708 RDU588643:RDV588708 RNQ588643:RNR588708 RXM588643:RXN588708 SHI588643:SHJ588708 SRE588643:SRF588708 TBA588643:TBB588708 TKW588643:TKX588708 TUS588643:TUT588708 UEO588643:UEP588708 UOK588643:UOL588708 UYG588643:UYH588708 VIC588643:VID588708 VRY588643:VRZ588708 WBU588643:WBV588708 WLQ588643:WLR588708 WVM588643:WVN588708 E654179:F654244 JA654179:JB654244 SW654179:SX654244 ACS654179:ACT654244 AMO654179:AMP654244 AWK654179:AWL654244 BGG654179:BGH654244 BQC654179:BQD654244 BZY654179:BZZ654244 CJU654179:CJV654244 CTQ654179:CTR654244 DDM654179:DDN654244 DNI654179:DNJ654244 DXE654179:DXF654244 EHA654179:EHB654244 EQW654179:EQX654244 FAS654179:FAT654244 FKO654179:FKP654244 FUK654179:FUL654244 GEG654179:GEH654244 GOC654179:GOD654244 GXY654179:GXZ654244 HHU654179:HHV654244 HRQ654179:HRR654244 IBM654179:IBN654244 ILI654179:ILJ654244 IVE654179:IVF654244 JFA654179:JFB654244 JOW654179:JOX654244 JYS654179:JYT654244 KIO654179:KIP654244 KSK654179:KSL654244 LCG654179:LCH654244 LMC654179:LMD654244 LVY654179:LVZ654244 MFU654179:MFV654244 MPQ654179:MPR654244 MZM654179:MZN654244 NJI654179:NJJ654244 NTE654179:NTF654244 ODA654179:ODB654244 OMW654179:OMX654244 OWS654179:OWT654244 PGO654179:PGP654244 PQK654179:PQL654244 QAG654179:QAH654244 QKC654179:QKD654244 QTY654179:QTZ654244 RDU654179:RDV654244 RNQ654179:RNR654244 RXM654179:RXN654244 SHI654179:SHJ654244 SRE654179:SRF654244 TBA654179:TBB654244 TKW654179:TKX654244 TUS654179:TUT654244 UEO654179:UEP654244 UOK654179:UOL654244 UYG654179:UYH654244 VIC654179:VID654244 VRY654179:VRZ654244 WBU654179:WBV654244 WLQ654179:WLR654244 WVM654179:WVN654244 E719715:F719780 JA719715:JB719780 SW719715:SX719780 ACS719715:ACT719780 AMO719715:AMP719780 AWK719715:AWL719780 BGG719715:BGH719780 BQC719715:BQD719780 BZY719715:BZZ719780 CJU719715:CJV719780 CTQ719715:CTR719780 DDM719715:DDN719780 DNI719715:DNJ719780 DXE719715:DXF719780 EHA719715:EHB719780 EQW719715:EQX719780 FAS719715:FAT719780 FKO719715:FKP719780 FUK719715:FUL719780 GEG719715:GEH719780 GOC719715:GOD719780 GXY719715:GXZ719780 HHU719715:HHV719780 HRQ719715:HRR719780 IBM719715:IBN719780 ILI719715:ILJ719780 IVE719715:IVF719780 JFA719715:JFB719780 JOW719715:JOX719780 JYS719715:JYT719780 KIO719715:KIP719780 KSK719715:KSL719780 LCG719715:LCH719780 LMC719715:LMD719780 LVY719715:LVZ719780 MFU719715:MFV719780 MPQ719715:MPR719780 MZM719715:MZN719780 NJI719715:NJJ719780 NTE719715:NTF719780 ODA719715:ODB719780 OMW719715:OMX719780 OWS719715:OWT719780 PGO719715:PGP719780 PQK719715:PQL719780 QAG719715:QAH719780 QKC719715:QKD719780 QTY719715:QTZ719780 RDU719715:RDV719780 RNQ719715:RNR719780 RXM719715:RXN719780 SHI719715:SHJ719780 SRE719715:SRF719780 TBA719715:TBB719780 TKW719715:TKX719780 TUS719715:TUT719780 UEO719715:UEP719780 UOK719715:UOL719780 UYG719715:UYH719780 VIC719715:VID719780 VRY719715:VRZ719780 WBU719715:WBV719780 WLQ719715:WLR719780 WVM719715:WVN719780 E785251:F785316 JA785251:JB785316 SW785251:SX785316 ACS785251:ACT785316 AMO785251:AMP785316 AWK785251:AWL785316 BGG785251:BGH785316 BQC785251:BQD785316 BZY785251:BZZ785316 CJU785251:CJV785316 CTQ785251:CTR785316 DDM785251:DDN785316 DNI785251:DNJ785316 DXE785251:DXF785316 EHA785251:EHB785316 EQW785251:EQX785316 FAS785251:FAT785316 FKO785251:FKP785316 FUK785251:FUL785316 GEG785251:GEH785316 GOC785251:GOD785316 GXY785251:GXZ785316 HHU785251:HHV785316 HRQ785251:HRR785316 IBM785251:IBN785316 ILI785251:ILJ785316 IVE785251:IVF785316 JFA785251:JFB785316 JOW785251:JOX785316 JYS785251:JYT785316 KIO785251:KIP785316 KSK785251:KSL785316 LCG785251:LCH785316 LMC785251:LMD785316 LVY785251:LVZ785316 MFU785251:MFV785316 MPQ785251:MPR785316 MZM785251:MZN785316 NJI785251:NJJ785316 NTE785251:NTF785316 ODA785251:ODB785316 OMW785251:OMX785316 OWS785251:OWT785316 PGO785251:PGP785316 PQK785251:PQL785316 QAG785251:QAH785316 QKC785251:QKD785316 QTY785251:QTZ785316 RDU785251:RDV785316 RNQ785251:RNR785316 RXM785251:RXN785316 SHI785251:SHJ785316 SRE785251:SRF785316 TBA785251:TBB785316 TKW785251:TKX785316 TUS785251:TUT785316 UEO785251:UEP785316 UOK785251:UOL785316 UYG785251:UYH785316 VIC785251:VID785316 VRY785251:VRZ785316 WBU785251:WBV785316 WLQ785251:WLR785316 WVM785251:WVN785316 E850787:F850852 JA850787:JB850852 SW850787:SX850852 ACS850787:ACT850852 AMO850787:AMP850852 AWK850787:AWL850852 BGG850787:BGH850852 BQC850787:BQD850852 BZY850787:BZZ850852 CJU850787:CJV850852 CTQ850787:CTR850852 DDM850787:DDN850852 DNI850787:DNJ850852 DXE850787:DXF850852 EHA850787:EHB850852 EQW850787:EQX850852 FAS850787:FAT850852 FKO850787:FKP850852 FUK850787:FUL850852 GEG850787:GEH850852 GOC850787:GOD850852 GXY850787:GXZ850852 HHU850787:HHV850852 HRQ850787:HRR850852 IBM850787:IBN850852 ILI850787:ILJ850852 IVE850787:IVF850852 JFA850787:JFB850852 JOW850787:JOX850852 JYS850787:JYT850852 KIO850787:KIP850852 KSK850787:KSL850852 LCG850787:LCH850852 LMC850787:LMD850852 LVY850787:LVZ850852 MFU850787:MFV850852 MPQ850787:MPR850852 MZM850787:MZN850852 NJI850787:NJJ850852 NTE850787:NTF850852 ODA850787:ODB850852 OMW850787:OMX850852 OWS850787:OWT850852 PGO850787:PGP850852 PQK850787:PQL850852 QAG850787:QAH850852 QKC850787:QKD850852 QTY850787:QTZ850852 RDU850787:RDV850852 RNQ850787:RNR850852 RXM850787:RXN850852 SHI850787:SHJ850852 SRE850787:SRF850852 TBA850787:TBB850852 TKW850787:TKX850852 TUS850787:TUT850852 UEO850787:UEP850852 UOK850787:UOL850852 UYG850787:UYH850852 VIC850787:VID850852 VRY850787:VRZ850852 WBU850787:WBV850852 WLQ850787:WLR850852 WVM850787:WVN850852 E916323:F916388 JA916323:JB916388 SW916323:SX916388 ACS916323:ACT916388 AMO916323:AMP916388 AWK916323:AWL916388 BGG916323:BGH916388 BQC916323:BQD916388 BZY916323:BZZ916388 CJU916323:CJV916388 CTQ916323:CTR916388 DDM916323:DDN916388 DNI916323:DNJ916388 DXE916323:DXF916388 EHA916323:EHB916388 EQW916323:EQX916388 FAS916323:FAT916388 FKO916323:FKP916388 FUK916323:FUL916388 GEG916323:GEH916388 GOC916323:GOD916388 GXY916323:GXZ916388 HHU916323:HHV916388 HRQ916323:HRR916388 IBM916323:IBN916388 ILI916323:ILJ916388 IVE916323:IVF916388 JFA916323:JFB916388 JOW916323:JOX916388 JYS916323:JYT916388 KIO916323:KIP916388 KSK916323:KSL916388 LCG916323:LCH916388 LMC916323:LMD916388 LVY916323:LVZ916388 MFU916323:MFV916388 MPQ916323:MPR916388 MZM916323:MZN916388 NJI916323:NJJ916388 NTE916323:NTF916388 ODA916323:ODB916388 OMW916323:OMX916388 OWS916323:OWT916388 PGO916323:PGP916388 PQK916323:PQL916388 QAG916323:QAH916388 QKC916323:QKD916388 QTY916323:QTZ916388 RDU916323:RDV916388 RNQ916323:RNR916388 RXM916323:RXN916388 SHI916323:SHJ916388 SRE916323:SRF916388 TBA916323:TBB916388 TKW916323:TKX916388 TUS916323:TUT916388 UEO916323:UEP916388 UOK916323:UOL916388 UYG916323:UYH916388 VIC916323:VID916388 VRY916323:VRZ916388 WBU916323:WBV916388 WLQ916323:WLR916388 WVM916323:WVN916388 E981859:F981924 JA981859:JB981924 SW981859:SX981924 ACS981859:ACT981924 AMO981859:AMP981924 AWK981859:AWL981924 BGG981859:BGH981924 BQC981859:BQD981924 BZY981859:BZZ981924 CJU981859:CJV981924 CTQ981859:CTR981924 DDM981859:DDN981924 DNI981859:DNJ981924 DXE981859:DXF981924 EHA981859:EHB981924 EQW981859:EQX981924 FAS981859:FAT981924 FKO981859:FKP981924 FUK981859:FUL981924 GEG981859:GEH981924 GOC981859:GOD981924 GXY981859:GXZ981924 HHU981859:HHV981924 HRQ981859:HRR981924 IBM981859:IBN981924 ILI981859:ILJ981924 IVE981859:IVF981924 JFA981859:JFB981924 JOW981859:JOX981924 JYS981859:JYT981924 KIO981859:KIP981924 KSK981859:KSL981924 LCG981859:LCH981924 LMC981859:LMD981924 LVY981859:LVZ981924 MFU981859:MFV981924 MPQ981859:MPR981924 MZM981859:MZN981924 NJI981859:NJJ981924 NTE981859:NTF981924 ODA981859:ODB981924 OMW981859:OMX981924 OWS981859:OWT981924 PGO981859:PGP981924 PQK981859:PQL981924 QAG981859:QAH981924 QKC981859:QKD981924 QTY981859:QTZ981924 RDU981859:RDV981924 RNQ981859:RNR981924 RXM981859:RXN981924 SHI981859:SHJ981924 SRE981859:SRF981924 TBA981859:TBB981924 TKW981859:TKX981924 TUS981859:TUT981924 UEO981859:UEP981924 UOK981859:UOL981924 UYG981859:UYH981924 VIC981859:VID981924 VRY981859:VRZ981924 WBU981859:WBV981924 WLQ981859:WLR981924 WVM981859:WVN981924 E1047395:F1047460 JA1047395:JB1047460 SW1047395:SX1047460 ACS1047395:ACT1047460 AMO1047395:AMP1047460 AWK1047395:AWL1047460 BGG1047395:BGH1047460 BQC1047395:BQD1047460 BZY1047395:BZZ1047460 CJU1047395:CJV1047460 CTQ1047395:CTR1047460 DDM1047395:DDN1047460 DNI1047395:DNJ1047460 DXE1047395:DXF1047460 EHA1047395:EHB1047460 EQW1047395:EQX1047460 FAS1047395:FAT1047460 FKO1047395:FKP1047460 FUK1047395:FUL1047460 GEG1047395:GEH1047460 GOC1047395:GOD1047460 GXY1047395:GXZ1047460 HHU1047395:HHV1047460 HRQ1047395:HRR1047460 IBM1047395:IBN1047460 ILI1047395:ILJ1047460 IVE1047395:IVF1047460 JFA1047395:JFB1047460 JOW1047395:JOX1047460 JYS1047395:JYT1047460 KIO1047395:KIP1047460 KSK1047395:KSL1047460 LCG1047395:LCH1047460 LMC1047395:LMD1047460 LVY1047395:LVZ1047460 MFU1047395:MFV1047460 MPQ1047395:MPR1047460 MZM1047395:MZN1047460 NJI1047395:NJJ1047460 NTE1047395:NTF1047460 ODA1047395:ODB1047460 OMW1047395:OMX1047460 OWS1047395:OWT1047460 PGO1047395:PGP1047460 PQK1047395:PQL1047460 QAG1047395:QAH1047460 QKC1047395:QKD1047460 QTY1047395:QTZ1047460 RDU1047395:RDV1047460 RNQ1047395:RNR1047460 RXM1047395:RXN1047460 SHI1047395:SHJ1047460 SRE1047395:SRF1047460 TBA1047395:TBB1047460 TKW1047395:TKX1047460 TUS1047395:TUT1047460 UEO1047395:UEP1047460 UOK1047395:UOL1047460 UYG1047395:UYH1047460 VIC1047395:VID1047460 VRY1047395:VRZ1047460 WBU1047395:WBV1047460 WLQ1047395:WLR1047460 WVM1047395:WVN1047460 JA64355:JB64420 E65530:F65601 JA65530:JB65601 SW65530:SX65601 ACS65530:ACT65601 AMO65530:AMP65601 AWK65530:AWL65601 BGG65530:BGH65601 BQC65530:BQD65601 BZY65530:BZZ65601 CJU65530:CJV65601 CTQ65530:CTR65601 DDM65530:DDN65601 DNI65530:DNJ65601 DXE65530:DXF65601 EHA65530:EHB65601 EQW65530:EQX65601 FAS65530:FAT65601 FKO65530:FKP65601 FUK65530:FUL65601 GEG65530:GEH65601 GOC65530:GOD65601 GXY65530:GXZ65601 HHU65530:HHV65601 HRQ65530:HRR65601 IBM65530:IBN65601 ILI65530:ILJ65601 IVE65530:IVF65601 JFA65530:JFB65601 JOW65530:JOX65601 JYS65530:JYT65601 KIO65530:KIP65601 KSK65530:KSL65601 LCG65530:LCH65601 LMC65530:LMD65601 LVY65530:LVZ65601 MFU65530:MFV65601 MPQ65530:MPR65601 MZM65530:MZN65601 NJI65530:NJJ65601 NTE65530:NTF65601 ODA65530:ODB65601 OMW65530:OMX65601 OWS65530:OWT65601 PGO65530:PGP65601 PQK65530:PQL65601 QAG65530:QAH65601 QKC65530:QKD65601 QTY65530:QTZ65601 RDU65530:RDV65601 RNQ65530:RNR65601 RXM65530:RXN65601 SHI65530:SHJ65601 SRE65530:SRF65601 TBA65530:TBB65601 TKW65530:TKX65601 TUS65530:TUT65601 UEO65530:UEP65601 UOK65530:UOL65601 UYG65530:UYH65601 VIC65530:VID65601 VRY65530:VRZ65601 WBU65530:WBV65601 WLQ65530:WLR65601 WVM65530:WVN65601 E131066:F131137 JA131066:JB131137 SW131066:SX131137 ACS131066:ACT131137 AMO131066:AMP131137 AWK131066:AWL131137 BGG131066:BGH131137 BQC131066:BQD131137 BZY131066:BZZ131137 CJU131066:CJV131137 CTQ131066:CTR131137 DDM131066:DDN131137 DNI131066:DNJ131137 DXE131066:DXF131137 EHA131066:EHB131137 EQW131066:EQX131137 FAS131066:FAT131137 FKO131066:FKP131137 FUK131066:FUL131137 GEG131066:GEH131137 GOC131066:GOD131137 GXY131066:GXZ131137 HHU131066:HHV131137 HRQ131066:HRR131137 IBM131066:IBN131137 ILI131066:ILJ131137 IVE131066:IVF131137 JFA131066:JFB131137 JOW131066:JOX131137 JYS131066:JYT131137 KIO131066:KIP131137 KSK131066:KSL131137 LCG131066:LCH131137 LMC131066:LMD131137 LVY131066:LVZ131137 MFU131066:MFV131137 MPQ131066:MPR131137 MZM131066:MZN131137 NJI131066:NJJ131137 NTE131066:NTF131137 ODA131066:ODB131137 OMW131066:OMX131137 OWS131066:OWT131137 PGO131066:PGP131137 PQK131066:PQL131137 QAG131066:QAH131137 QKC131066:QKD131137 QTY131066:QTZ131137 RDU131066:RDV131137 RNQ131066:RNR131137 RXM131066:RXN131137 SHI131066:SHJ131137 SRE131066:SRF131137 TBA131066:TBB131137 TKW131066:TKX131137 TUS131066:TUT131137 UEO131066:UEP131137 UOK131066:UOL131137 UYG131066:UYH131137 VIC131066:VID131137 VRY131066:VRZ131137 WBU131066:WBV131137 WLQ131066:WLR131137 WVM131066:WVN131137 E196602:F196673 JA196602:JB196673 SW196602:SX196673 ACS196602:ACT196673 AMO196602:AMP196673 AWK196602:AWL196673 BGG196602:BGH196673 BQC196602:BQD196673 BZY196602:BZZ196673 CJU196602:CJV196673 CTQ196602:CTR196673 DDM196602:DDN196673 DNI196602:DNJ196673 DXE196602:DXF196673 EHA196602:EHB196673 EQW196602:EQX196673 FAS196602:FAT196673 FKO196602:FKP196673 FUK196602:FUL196673 GEG196602:GEH196673 GOC196602:GOD196673 GXY196602:GXZ196673 HHU196602:HHV196673 HRQ196602:HRR196673 IBM196602:IBN196673 ILI196602:ILJ196673 IVE196602:IVF196673 JFA196602:JFB196673 JOW196602:JOX196673 JYS196602:JYT196673 KIO196602:KIP196673 KSK196602:KSL196673 LCG196602:LCH196673 LMC196602:LMD196673 LVY196602:LVZ196673 MFU196602:MFV196673 MPQ196602:MPR196673 MZM196602:MZN196673 NJI196602:NJJ196673 NTE196602:NTF196673 ODA196602:ODB196673 OMW196602:OMX196673 OWS196602:OWT196673 PGO196602:PGP196673 PQK196602:PQL196673 QAG196602:QAH196673 QKC196602:QKD196673 QTY196602:QTZ196673 RDU196602:RDV196673 RNQ196602:RNR196673 RXM196602:RXN196673 SHI196602:SHJ196673 SRE196602:SRF196673 TBA196602:TBB196673 TKW196602:TKX196673 TUS196602:TUT196673 UEO196602:UEP196673 UOK196602:UOL196673 UYG196602:UYH196673 VIC196602:VID196673 VRY196602:VRZ196673 WBU196602:WBV196673 WLQ196602:WLR196673 WVM196602:WVN196673 E262138:F262209 JA262138:JB262209 SW262138:SX262209 ACS262138:ACT262209 AMO262138:AMP262209 AWK262138:AWL262209 BGG262138:BGH262209 BQC262138:BQD262209 BZY262138:BZZ262209 CJU262138:CJV262209 CTQ262138:CTR262209 DDM262138:DDN262209 DNI262138:DNJ262209 DXE262138:DXF262209 EHA262138:EHB262209 EQW262138:EQX262209 FAS262138:FAT262209 FKO262138:FKP262209 FUK262138:FUL262209 GEG262138:GEH262209 GOC262138:GOD262209 GXY262138:GXZ262209 HHU262138:HHV262209 HRQ262138:HRR262209 IBM262138:IBN262209 ILI262138:ILJ262209 IVE262138:IVF262209 JFA262138:JFB262209 JOW262138:JOX262209 JYS262138:JYT262209 KIO262138:KIP262209 KSK262138:KSL262209 LCG262138:LCH262209 LMC262138:LMD262209 LVY262138:LVZ262209 MFU262138:MFV262209 MPQ262138:MPR262209 MZM262138:MZN262209 NJI262138:NJJ262209 NTE262138:NTF262209 ODA262138:ODB262209 OMW262138:OMX262209 OWS262138:OWT262209 PGO262138:PGP262209 PQK262138:PQL262209 QAG262138:QAH262209 QKC262138:QKD262209 QTY262138:QTZ262209 RDU262138:RDV262209 RNQ262138:RNR262209 RXM262138:RXN262209 SHI262138:SHJ262209 SRE262138:SRF262209 TBA262138:TBB262209 TKW262138:TKX262209 TUS262138:TUT262209 UEO262138:UEP262209 UOK262138:UOL262209 UYG262138:UYH262209 VIC262138:VID262209 VRY262138:VRZ262209 WBU262138:WBV262209 WLQ262138:WLR262209 WVM262138:WVN262209 E327674:F327745 JA327674:JB327745 SW327674:SX327745 ACS327674:ACT327745 AMO327674:AMP327745 AWK327674:AWL327745 BGG327674:BGH327745 BQC327674:BQD327745 BZY327674:BZZ327745 CJU327674:CJV327745 CTQ327674:CTR327745 DDM327674:DDN327745 DNI327674:DNJ327745 DXE327674:DXF327745 EHA327674:EHB327745 EQW327674:EQX327745 FAS327674:FAT327745 FKO327674:FKP327745 FUK327674:FUL327745 GEG327674:GEH327745 GOC327674:GOD327745 GXY327674:GXZ327745 HHU327674:HHV327745 HRQ327674:HRR327745 IBM327674:IBN327745 ILI327674:ILJ327745 IVE327674:IVF327745 JFA327674:JFB327745 JOW327674:JOX327745 JYS327674:JYT327745 KIO327674:KIP327745 KSK327674:KSL327745 LCG327674:LCH327745 LMC327674:LMD327745 LVY327674:LVZ327745 MFU327674:MFV327745 MPQ327674:MPR327745 MZM327674:MZN327745 NJI327674:NJJ327745 NTE327674:NTF327745 ODA327674:ODB327745 OMW327674:OMX327745 OWS327674:OWT327745 PGO327674:PGP327745 PQK327674:PQL327745 QAG327674:QAH327745 QKC327674:QKD327745 QTY327674:QTZ327745 RDU327674:RDV327745 RNQ327674:RNR327745 RXM327674:RXN327745 SHI327674:SHJ327745 SRE327674:SRF327745 TBA327674:TBB327745 TKW327674:TKX327745 TUS327674:TUT327745 UEO327674:UEP327745 UOK327674:UOL327745 UYG327674:UYH327745 VIC327674:VID327745 VRY327674:VRZ327745 WBU327674:WBV327745 WLQ327674:WLR327745 WVM327674:WVN327745 E393210:F393281 JA393210:JB393281 SW393210:SX393281 ACS393210:ACT393281 AMO393210:AMP393281 AWK393210:AWL393281 BGG393210:BGH393281 BQC393210:BQD393281 BZY393210:BZZ393281 CJU393210:CJV393281 CTQ393210:CTR393281 DDM393210:DDN393281 DNI393210:DNJ393281 DXE393210:DXF393281 EHA393210:EHB393281 EQW393210:EQX393281 FAS393210:FAT393281 FKO393210:FKP393281 FUK393210:FUL393281 GEG393210:GEH393281 GOC393210:GOD393281 GXY393210:GXZ393281 HHU393210:HHV393281 HRQ393210:HRR393281 IBM393210:IBN393281 ILI393210:ILJ393281 IVE393210:IVF393281 JFA393210:JFB393281 JOW393210:JOX393281 JYS393210:JYT393281 KIO393210:KIP393281 KSK393210:KSL393281 LCG393210:LCH393281 LMC393210:LMD393281 LVY393210:LVZ393281 MFU393210:MFV393281 MPQ393210:MPR393281 MZM393210:MZN393281 NJI393210:NJJ393281 NTE393210:NTF393281 ODA393210:ODB393281 OMW393210:OMX393281 OWS393210:OWT393281 PGO393210:PGP393281 PQK393210:PQL393281 QAG393210:QAH393281 QKC393210:QKD393281 QTY393210:QTZ393281 RDU393210:RDV393281 RNQ393210:RNR393281 RXM393210:RXN393281 SHI393210:SHJ393281 SRE393210:SRF393281 TBA393210:TBB393281 TKW393210:TKX393281 TUS393210:TUT393281 UEO393210:UEP393281 UOK393210:UOL393281 UYG393210:UYH393281 VIC393210:VID393281 VRY393210:VRZ393281 WBU393210:WBV393281 WLQ393210:WLR393281 WVM393210:WVN393281 E458746:F458817 JA458746:JB458817 SW458746:SX458817 ACS458746:ACT458817 AMO458746:AMP458817 AWK458746:AWL458817 BGG458746:BGH458817 BQC458746:BQD458817 BZY458746:BZZ458817 CJU458746:CJV458817 CTQ458746:CTR458817 DDM458746:DDN458817 DNI458746:DNJ458817 DXE458746:DXF458817 EHA458746:EHB458817 EQW458746:EQX458817 FAS458746:FAT458817 FKO458746:FKP458817 FUK458746:FUL458817 GEG458746:GEH458817 GOC458746:GOD458817 GXY458746:GXZ458817 HHU458746:HHV458817 HRQ458746:HRR458817 IBM458746:IBN458817 ILI458746:ILJ458817 IVE458746:IVF458817 JFA458746:JFB458817 JOW458746:JOX458817 JYS458746:JYT458817 KIO458746:KIP458817 KSK458746:KSL458817 LCG458746:LCH458817 LMC458746:LMD458817 LVY458746:LVZ458817 MFU458746:MFV458817 MPQ458746:MPR458817 MZM458746:MZN458817 NJI458746:NJJ458817 NTE458746:NTF458817 ODA458746:ODB458817 OMW458746:OMX458817 OWS458746:OWT458817 PGO458746:PGP458817 PQK458746:PQL458817 QAG458746:QAH458817 QKC458746:QKD458817 QTY458746:QTZ458817 RDU458746:RDV458817 RNQ458746:RNR458817 RXM458746:RXN458817 SHI458746:SHJ458817 SRE458746:SRF458817 TBA458746:TBB458817 TKW458746:TKX458817 TUS458746:TUT458817 UEO458746:UEP458817 UOK458746:UOL458817 UYG458746:UYH458817 VIC458746:VID458817 VRY458746:VRZ458817 WBU458746:WBV458817 WLQ458746:WLR458817 WVM458746:WVN458817 E524282:F524353 JA524282:JB524353 SW524282:SX524353 ACS524282:ACT524353 AMO524282:AMP524353 AWK524282:AWL524353 BGG524282:BGH524353 BQC524282:BQD524353 BZY524282:BZZ524353 CJU524282:CJV524353 CTQ524282:CTR524353 DDM524282:DDN524353 DNI524282:DNJ524353 DXE524282:DXF524353 EHA524282:EHB524353 EQW524282:EQX524353 FAS524282:FAT524353 FKO524282:FKP524353 FUK524282:FUL524353 GEG524282:GEH524353 GOC524282:GOD524353 GXY524282:GXZ524353 HHU524282:HHV524353 HRQ524282:HRR524353 IBM524282:IBN524353 ILI524282:ILJ524353 IVE524282:IVF524353 JFA524282:JFB524353 JOW524282:JOX524353 JYS524282:JYT524353 KIO524282:KIP524353 KSK524282:KSL524353 LCG524282:LCH524353 LMC524282:LMD524353 LVY524282:LVZ524353 MFU524282:MFV524353 MPQ524282:MPR524353 MZM524282:MZN524353 NJI524282:NJJ524353 NTE524282:NTF524353 ODA524282:ODB524353 OMW524282:OMX524353 OWS524282:OWT524353 PGO524282:PGP524353 PQK524282:PQL524353 QAG524282:QAH524353 QKC524282:QKD524353 QTY524282:QTZ524353 RDU524282:RDV524353 RNQ524282:RNR524353 RXM524282:RXN524353 SHI524282:SHJ524353 SRE524282:SRF524353 TBA524282:TBB524353 TKW524282:TKX524353 TUS524282:TUT524353 UEO524282:UEP524353 UOK524282:UOL524353 UYG524282:UYH524353 VIC524282:VID524353 VRY524282:VRZ524353 WBU524282:WBV524353 WLQ524282:WLR524353 WVM524282:WVN524353 E589818:F589889 JA589818:JB589889 SW589818:SX589889 ACS589818:ACT589889 AMO589818:AMP589889 AWK589818:AWL589889 BGG589818:BGH589889 BQC589818:BQD589889 BZY589818:BZZ589889 CJU589818:CJV589889 CTQ589818:CTR589889 DDM589818:DDN589889 DNI589818:DNJ589889 DXE589818:DXF589889 EHA589818:EHB589889 EQW589818:EQX589889 FAS589818:FAT589889 FKO589818:FKP589889 FUK589818:FUL589889 GEG589818:GEH589889 GOC589818:GOD589889 GXY589818:GXZ589889 HHU589818:HHV589889 HRQ589818:HRR589889 IBM589818:IBN589889 ILI589818:ILJ589889 IVE589818:IVF589889 JFA589818:JFB589889 JOW589818:JOX589889 JYS589818:JYT589889 KIO589818:KIP589889 KSK589818:KSL589889 LCG589818:LCH589889 LMC589818:LMD589889 LVY589818:LVZ589889 MFU589818:MFV589889 MPQ589818:MPR589889 MZM589818:MZN589889 NJI589818:NJJ589889 NTE589818:NTF589889 ODA589818:ODB589889 OMW589818:OMX589889 OWS589818:OWT589889 PGO589818:PGP589889 PQK589818:PQL589889 QAG589818:QAH589889 QKC589818:QKD589889 QTY589818:QTZ589889 RDU589818:RDV589889 RNQ589818:RNR589889 RXM589818:RXN589889 SHI589818:SHJ589889 SRE589818:SRF589889 TBA589818:TBB589889 TKW589818:TKX589889 TUS589818:TUT589889 UEO589818:UEP589889 UOK589818:UOL589889 UYG589818:UYH589889 VIC589818:VID589889 VRY589818:VRZ589889 WBU589818:WBV589889 WLQ589818:WLR589889 WVM589818:WVN589889 E655354:F655425 JA655354:JB655425 SW655354:SX655425 ACS655354:ACT655425 AMO655354:AMP655425 AWK655354:AWL655425 BGG655354:BGH655425 BQC655354:BQD655425 BZY655354:BZZ655425 CJU655354:CJV655425 CTQ655354:CTR655425 DDM655354:DDN655425 DNI655354:DNJ655425 DXE655354:DXF655425 EHA655354:EHB655425 EQW655354:EQX655425 FAS655354:FAT655425 FKO655354:FKP655425 FUK655354:FUL655425 GEG655354:GEH655425 GOC655354:GOD655425 GXY655354:GXZ655425 HHU655354:HHV655425 HRQ655354:HRR655425 IBM655354:IBN655425 ILI655354:ILJ655425 IVE655354:IVF655425 JFA655354:JFB655425 JOW655354:JOX655425 JYS655354:JYT655425 KIO655354:KIP655425 KSK655354:KSL655425 LCG655354:LCH655425 LMC655354:LMD655425 LVY655354:LVZ655425 MFU655354:MFV655425 MPQ655354:MPR655425 MZM655354:MZN655425 NJI655354:NJJ655425 NTE655354:NTF655425 ODA655354:ODB655425 OMW655354:OMX655425 OWS655354:OWT655425 PGO655354:PGP655425 PQK655354:PQL655425 QAG655354:QAH655425 QKC655354:QKD655425 QTY655354:QTZ655425 RDU655354:RDV655425 RNQ655354:RNR655425 RXM655354:RXN655425 SHI655354:SHJ655425 SRE655354:SRF655425 TBA655354:TBB655425 TKW655354:TKX655425 TUS655354:TUT655425 UEO655354:UEP655425 UOK655354:UOL655425 UYG655354:UYH655425 VIC655354:VID655425 VRY655354:VRZ655425 WBU655354:WBV655425 WLQ655354:WLR655425 WVM655354:WVN655425 E720890:F720961 JA720890:JB720961 SW720890:SX720961 ACS720890:ACT720961 AMO720890:AMP720961 AWK720890:AWL720961 BGG720890:BGH720961 BQC720890:BQD720961 BZY720890:BZZ720961 CJU720890:CJV720961 CTQ720890:CTR720961 DDM720890:DDN720961 DNI720890:DNJ720961 DXE720890:DXF720961 EHA720890:EHB720961 EQW720890:EQX720961 FAS720890:FAT720961 FKO720890:FKP720961 FUK720890:FUL720961 GEG720890:GEH720961 GOC720890:GOD720961 GXY720890:GXZ720961 HHU720890:HHV720961 HRQ720890:HRR720961 IBM720890:IBN720961 ILI720890:ILJ720961 IVE720890:IVF720961 JFA720890:JFB720961 JOW720890:JOX720961 JYS720890:JYT720961 KIO720890:KIP720961 KSK720890:KSL720961 LCG720890:LCH720961 LMC720890:LMD720961 LVY720890:LVZ720961 MFU720890:MFV720961 MPQ720890:MPR720961 MZM720890:MZN720961 NJI720890:NJJ720961 NTE720890:NTF720961 ODA720890:ODB720961 OMW720890:OMX720961 OWS720890:OWT720961 PGO720890:PGP720961 PQK720890:PQL720961 QAG720890:QAH720961 QKC720890:QKD720961 QTY720890:QTZ720961 RDU720890:RDV720961 RNQ720890:RNR720961 RXM720890:RXN720961 SHI720890:SHJ720961 SRE720890:SRF720961 TBA720890:TBB720961 TKW720890:TKX720961 TUS720890:TUT720961 UEO720890:UEP720961 UOK720890:UOL720961 UYG720890:UYH720961 VIC720890:VID720961 VRY720890:VRZ720961 WBU720890:WBV720961 WLQ720890:WLR720961 WVM720890:WVN720961 E786426:F786497 JA786426:JB786497 SW786426:SX786497 ACS786426:ACT786497 AMO786426:AMP786497 AWK786426:AWL786497 BGG786426:BGH786497 BQC786426:BQD786497 BZY786426:BZZ786497 CJU786426:CJV786497 CTQ786426:CTR786497 DDM786426:DDN786497 DNI786426:DNJ786497 DXE786426:DXF786497 EHA786426:EHB786497 EQW786426:EQX786497 FAS786426:FAT786497 FKO786426:FKP786497 FUK786426:FUL786497 GEG786426:GEH786497 GOC786426:GOD786497 GXY786426:GXZ786497 HHU786426:HHV786497 HRQ786426:HRR786497 IBM786426:IBN786497 ILI786426:ILJ786497 IVE786426:IVF786497 JFA786426:JFB786497 JOW786426:JOX786497 JYS786426:JYT786497 KIO786426:KIP786497 KSK786426:KSL786497 LCG786426:LCH786497 LMC786426:LMD786497 LVY786426:LVZ786497 MFU786426:MFV786497 MPQ786426:MPR786497 MZM786426:MZN786497 NJI786426:NJJ786497 NTE786426:NTF786497 ODA786426:ODB786497 OMW786426:OMX786497 OWS786426:OWT786497 PGO786426:PGP786497 PQK786426:PQL786497 QAG786426:QAH786497 QKC786426:QKD786497 QTY786426:QTZ786497 RDU786426:RDV786497 RNQ786426:RNR786497 RXM786426:RXN786497 SHI786426:SHJ786497 SRE786426:SRF786497 TBA786426:TBB786497 TKW786426:TKX786497 TUS786426:TUT786497 UEO786426:UEP786497 UOK786426:UOL786497 UYG786426:UYH786497 VIC786426:VID786497 VRY786426:VRZ786497 WBU786426:WBV786497 WLQ786426:WLR786497 WVM786426:WVN786497 E851962:F852033 JA851962:JB852033 SW851962:SX852033 ACS851962:ACT852033 AMO851962:AMP852033 AWK851962:AWL852033 BGG851962:BGH852033 BQC851962:BQD852033 BZY851962:BZZ852033 CJU851962:CJV852033 CTQ851962:CTR852033 DDM851962:DDN852033 DNI851962:DNJ852033 DXE851962:DXF852033 EHA851962:EHB852033 EQW851962:EQX852033 FAS851962:FAT852033 FKO851962:FKP852033 FUK851962:FUL852033 GEG851962:GEH852033 GOC851962:GOD852033 GXY851962:GXZ852033 HHU851962:HHV852033 HRQ851962:HRR852033 IBM851962:IBN852033 ILI851962:ILJ852033 IVE851962:IVF852033 JFA851962:JFB852033 JOW851962:JOX852033 JYS851962:JYT852033 KIO851962:KIP852033 KSK851962:KSL852033 LCG851962:LCH852033 LMC851962:LMD852033 LVY851962:LVZ852033 MFU851962:MFV852033 MPQ851962:MPR852033 MZM851962:MZN852033 NJI851962:NJJ852033 NTE851962:NTF852033 ODA851962:ODB852033 OMW851962:OMX852033 OWS851962:OWT852033 PGO851962:PGP852033 PQK851962:PQL852033 QAG851962:QAH852033 QKC851962:QKD852033 QTY851962:QTZ852033 RDU851962:RDV852033 RNQ851962:RNR852033 RXM851962:RXN852033 SHI851962:SHJ852033 SRE851962:SRF852033 TBA851962:TBB852033 TKW851962:TKX852033 TUS851962:TUT852033 UEO851962:UEP852033 UOK851962:UOL852033 UYG851962:UYH852033 VIC851962:VID852033 VRY851962:VRZ852033 WBU851962:WBV852033 WLQ851962:WLR852033 WVM851962:WVN852033 E917498:F917569 JA917498:JB917569 SW917498:SX917569 ACS917498:ACT917569 AMO917498:AMP917569 AWK917498:AWL917569 BGG917498:BGH917569 BQC917498:BQD917569 BZY917498:BZZ917569 CJU917498:CJV917569 CTQ917498:CTR917569 DDM917498:DDN917569 DNI917498:DNJ917569 DXE917498:DXF917569 EHA917498:EHB917569 EQW917498:EQX917569 FAS917498:FAT917569 FKO917498:FKP917569 FUK917498:FUL917569 GEG917498:GEH917569 GOC917498:GOD917569 GXY917498:GXZ917569 HHU917498:HHV917569 HRQ917498:HRR917569 IBM917498:IBN917569 ILI917498:ILJ917569 IVE917498:IVF917569 JFA917498:JFB917569 JOW917498:JOX917569 JYS917498:JYT917569 KIO917498:KIP917569 KSK917498:KSL917569 LCG917498:LCH917569 LMC917498:LMD917569 LVY917498:LVZ917569 MFU917498:MFV917569 MPQ917498:MPR917569 MZM917498:MZN917569 NJI917498:NJJ917569 NTE917498:NTF917569 ODA917498:ODB917569 OMW917498:OMX917569 OWS917498:OWT917569 PGO917498:PGP917569 PQK917498:PQL917569 QAG917498:QAH917569 QKC917498:QKD917569 QTY917498:QTZ917569 RDU917498:RDV917569 RNQ917498:RNR917569 RXM917498:RXN917569 SHI917498:SHJ917569 SRE917498:SRF917569 TBA917498:TBB917569 TKW917498:TKX917569 TUS917498:TUT917569 UEO917498:UEP917569 UOK917498:UOL917569 UYG917498:UYH917569 VIC917498:VID917569 VRY917498:VRZ917569 WBU917498:WBV917569 WLQ917498:WLR917569 WVM917498:WVN917569 E983034:F983105 JA983034:JB983105 SW983034:SX983105 ACS983034:ACT983105 AMO983034:AMP983105 AWK983034:AWL983105 BGG983034:BGH983105 BQC983034:BQD983105 BZY983034:BZZ983105 CJU983034:CJV983105 CTQ983034:CTR983105 DDM983034:DDN983105 DNI983034:DNJ983105 DXE983034:DXF983105 EHA983034:EHB983105 EQW983034:EQX983105 FAS983034:FAT983105 FKO983034:FKP983105 FUK983034:FUL983105 GEG983034:GEH983105 GOC983034:GOD983105 GXY983034:GXZ983105 HHU983034:HHV983105 HRQ983034:HRR983105 IBM983034:IBN983105 ILI983034:ILJ983105 IVE983034:IVF983105 JFA983034:JFB983105 JOW983034:JOX983105 JYS983034:JYT983105 KIO983034:KIP983105 KSK983034:KSL983105 LCG983034:LCH983105 LMC983034:LMD983105 LVY983034:LVZ983105 MFU983034:MFV983105 MPQ983034:MPR983105 MZM983034:MZN983105 NJI983034:NJJ983105 NTE983034:NTF983105 ODA983034:ODB983105 OMW983034:OMX983105 OWS983034:OWT983105 PGO983034:PGP983105 PQK983034:PQL983105 QAG983034:QAH983105 QKC983034:QKD983105 QTY983034:QTZ983105 RDU983034:RDV983105 RNQ983034:RNR983105 RXM983034:RXN983105 SHI983034:SHJ983105 SRE983034:SRF983105 TBA983034:TBB983105 TKW983034:TKX983105 TUS983034:TUT983105 UEO983034:UEP983105 UOK983034:UOL983105 UYG983034:UYH983105 VIC983034:VID983105 VRY983034:VRZ983105 WBU983034:WBV983105 WLQ983034:WLR983105 WVM983034:WVN98310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38"/>
  <sheetViews>
    <sheetView zoomScaleNormal="100" zoomScaleSheetLayoutView="100" workbookViewId="0">
      <selection activeCell="AC35" sqref="AC35"/>
    </sheetView>
  </sheetViews>
  <sheetFormatPr defaultRowHeight="13.5" x14ac:dyDescent="0.15"/>
  <cols>
    <col min="1" max="3" width="9" style="208"/>
    <col min="4" max="4" width="10.5" style="208" bestFit="1" customWidth="1"/>
    <col min="5" max="16" width="9" style="208"/>
    <col min="17" max="17" width="9" style="217"/>
    <col min="18" max="19" width="9" style="208"/>
    <col min="20" max="20" width="9" style="217"/>
    <col min="21" max="21" width="9" style="208"/>
    <col min="22" max="22" width="9" style="217"/>
    <col min="23" max="32" width="9" style="208"/>
    <col min="33" max="33" width="16.875" style="208" bestFit="1" customWidth="1"/>
    <col min="34" max="34" width="15.625" style="208" customWidth="1"/>
    <col min="35" max="39" width="9" style="143"/>
    <col min="40" max="16384" width="9" style="208"/>
  </cols>
  <sheetData>
    <row r="1" spans="1:53" ht="45" x14ac:dyDescent="0.15">
      <c r="A1" s="240" t="s">
        <v>0</v>
      </c>
      <c r="B1" s="202" t="s">
        <v>1</v>
      </c>
      <c r="C1" s="202" t="s">
        <v>478</v>
      </c>
      <c r="D1" s="203" t="s">
        <v>3</v>
      </c>
      <c r="E1" s="241" t="s">
        <v>4</v>
      </c>
      <c r="F1" s="241" t="s">
        <v>5</v>
      </c>
      <c r="G1" s="241" t="s">
        <v>6</v>
      </c>
      <c r="H1" s="241" t="s">
        <v>7</v>
      </c>
      <c r="I1" s="241" t="s">
        <v>8</v>
      </c>
      <c r="J1" s="241" t="s">
        <v>9</v>
      </c>
      <c r="K1" s="201" t="s">
        <v>10</v>
      </c>
      <c r="L1" s="203" t="s">
        <v>479</v>
      </c>
      <c r="M1" s="203" t="s">
        <v>12</v>
      </c>
      <c r="N1" s="203" t="s">
        <v>13</v>
      </c>
      <c r="O1" s="203" t="s">
        <v>480</v>
      </c>
      <c r="P1" s="203" t="s">
        <v>481</v>
      </c>
      <c r="Q1" s="204" t="s">
        <v>16</v>
      </c>
      <c r="R1" s="203" t="s">
        <v>482</v>
      </c>
      <c r="S1" s="203" t="s">
        <v>483</v>
      </c>
      <c r="T1" s="204" t="s">
        <v>19</v>
      </c>
      <c r="U1" s="205" t="s">
        <v>108</v>
      </c>
      <c r="V1" s="206" t="s">
        <v>20</v>
      </c>
      <c r="W1" s="203" t="s">
        <v>21</v>
      </c>
      <c r="X1" s="241" t="s">
        <v>22</v>
      </c>
      <c r="Y1" s="241" t="s">
        <v>23</v>
      </c>
      <c r="Z1" s="241" t="s">
        <v>24</v>
      </c>
      <c r="AA1" s="242" t="s">
        <v>25</v>
      </c>
      <c r="AB1" s="207" t="s">
        <v>484</v>
      </c>
      <c r="AE1" s="209" t="s">
        <v>0</v>
      </c>
      <c r="AF1" s="210"/>
      <c r="AG1" s="209" t="s">
        <v>4</v>
      </c>
      <c r="AH1" s="209" t="s">
        <v>5</v>
      </c>
      <c r="AI1" s="162"/>
      <c r="AJ1" s="163" t="s">
        <v>6</v>
      </c>
      <c r="AK1" s="162"/>
      <c r="AL1" s="164" t="s">
        <v>7</v>
      </c>
      <c r="AM1" s="162"/>
      <c r="AN1" s="211" t="s">
        <v>8</v>
      </c>
      <c r="AO1" s="210"/>
      <c r="AP1" s="211" t="s">
        <v>27</v>
      </c>
      <c r="AQ1" s="210"/>
      <c r="AR1" s="211" t="s">
        <v>10</v>
      </c>
      <c r="AS1" s="210"/>
      <c r="AT1" s="212" t="s">
        <v>28</v>
      </c>
      <c r="AU1" s="210"/>
      <c r="AV1" s="211" t="s">
        <v>29</v>
      </c>
      <c r="AX1" s="213" t="s">
        <v>485</v>
      </c>
      <c r="AY1" s="214" t="s">
        <v>486</v>
      </c>
      <c r="AZ1" s="214" t="s">
        <v>487</v>
      </c>
      <c r="BA1" s="215" t="s">
        <v>488</v>
      </c>
    </row>
    <row r="2" spans="1:53" x14ac:dyDescent="0.15">
      <c r="A2" s="165" t="s">
        <v>34</v>
      </c>
      <c r="B2" s="165" t="s">
        <v>489</v>
      </c>
      <c r="C2" s="165">
        <v>2018</v>
      </c>
      <c r="D2" s="166" t="s">
        <v>490</v>
      </c>
      <c r="E2" s="165" t="s">
        <v>491</v>
      </c>
      <c r="F2" s="165" t="s">
        <v>277</v>
      </c>
      <c r="G2" s="167" t="s">
        <v>36</v>
      </c>
      <c r="H2" s="168" t="s">
        <v>157</v>
      </c>
      <c r="I2" s="137" t="s">
        <v>155</v>
      </c>
      <c r="J2" s="200" t="s">
        <v>38</v>
      </c>
      <c r="K2" s="137" t="s">
        <v>156</v>
      </c>
      <c r="L2" s="169">
        <v>1</v>
      </c>
      <c r="M2" s="170"/>
      <c r="N2" s="170">
        <v>1</v>
      </c>
      <c r="O2" s="170">
        <v>0.8</v>
      </c>
      <c r="P2" s="170">
        <v>0.7</v>
      </c>
      <c r="Q2" s="171">
        <f t="shared" ref="Q2:Q60" si="0">IF(OR(O2="",P2=""),"",AVERAGE(O2,P2))</f>
        <v>0.75</v>
      </c>
      <c r="R2" s="172">
        <v>13.8</v>
      </c>
      <c r="S2" s="168">
        <v>115</v>
      </c>
      <c r="T2" s="173">
        <f t="shared" ref="T2:T60" si="1">IF(H2="","",IF(OR(H2="GREEN",H2="GK"),IF(S2&gt;=$AX$2,VLOOKUP(S2,$AX$2:$AY$7,2,1),""),IF(S2&gt;=$AZ$2,VLOOKUP(S2,$AZ$2:$BA$7,2,1),"")))</f>
        <v>30</v>
      </c>
      <c r="U2" s="137">
        <v>78</v>
      </c>
      <c r="V2" s="173">
        <f t="shared" ref="V2:V60" si="2">IF(OR(N2="",U2="",T2=""),"",U2/N2*T2)</f>
        <v>2340</v>
      </c>
      <c r="W2" s="174">
        <v>2</v>
      </c>
      <c r="X2" s="175" t="s">
        <v>39</v>
      </c>
      <c r="Y2" s="175" t="s">
        <v>102</v>
      </c>
      <c r="Z2" s="175" t="s">
        <v>88</v>
      </c>
      <c r="AA2" s="176" t="s">
        <v>78</v>
      </c>
      <c r="AB2" s="55" t="s">
        <v>492</v>
      </c>
      <c r="AE2" s="218" t="s">
        <v>35</v>
      </c>
      <c r="AG2" s="243" t="s">
        <v>493</v>
      </c>
      <c r="AH2" s="243" t="s">
        <v>278</v>
      </c>
      <c r="AJ2" s="144" t="s">
        <v>36</v>
      </c>
      <c r="AL2" s="219" t="s">
        <v>127</v>
      </c>
      <c r="AN2" s="219" t="s">
        <v>37</v>
      </c>
      <c r="AO2" s="216"/>
      <c r="AP2" s="219" t="s">
        <v>38</v>
      </c>
      <c r="AQ2" s="216"/>
      <c r="AR2" s="219" t="s">
        <v>494</v>
      </c>
      <c r="AS2" s="216"/>
      <c r="AT2" s="219" t="s">
        <v>39</v>
      </c>
      <c r="AU2" s="216"/>
      <c r="AV2" s="248" t="s">
        <v>40</v>
      </c>
      <c r="AW2" s="216"/>
      <c r="AX2" s="220">
        <v>1</v>
      </c>
      <c r="AY2" s="221">
        <v>50</v>
      </c>
      <c r="AZ2" s="221">
        <v>1</v>
      </c>
      <c r="BA2" s="222">
        <v>50</v>
      </c>
    </row>
    <row r="3" spans="1:53" x14ac:dyDescent="0.15">
      <c r="A3" s="177" t="s">
        <v>34</v>
      </c>
      <c r="B3" s="177" t="s">
        <v>338</v>
      </c>
      <c r="C3" s="178">
        <v>2018</v>
      </c>
      <c r="D3" s="259" t="s">
        <v>495</v>
      </c>
      <c r="E3" s="177" t="s">
        <v>491</v>
      </c>
      <c r="F3" s="177" t="s">
        <v>277</v>
      </c>
      <c r="G3" s="180" t="s">
        <v>36</v>
      </c>
      <c r="H3" s="137" t="s">
        <v>157</v>
      </c>
      <c r="I3" s="137" t="s">
        <v>155</v>
      </c>
      <c r="J3" s="137" t="s">
        <v>38</v>
      </c>
      <c r="K3" s="137" t="s">
        <v>156</v>
      </c>
      <c r="L3" s="208">
        <v>2</v>
      </c>
      <c r="N3" s="208">
        <v>1</v>
      </c>
      <c r="O3" s="208">
        <v>0.65</v>
      </c>
      <c r="P3" s="235">
        <v>0.7</v>
      </c>
      <c r="Q3" s="181">
        <f t="shared" si="0"/>
        <v>0.67500000000000004</v>
      </c>
      <c r="R3" s="182">
        <v>14.8</v>
      </c>
      <c r="S3" s="182">
        <v>118</v>
      </c>
      <c r="T3" s="217">
        <f t="shared" si="1"/>
        <v>30</v>
      </c>
      <c r="U3" s="183">
        <v>78</v>
      </c>
      <c r="V3" s="184">
        <f t="shared" si="2"/>
        <v>2340</v>
      </c>
      <c r="W3" s="185">
        <v>2</v>
      </c>
      <c r="X3" s="186" t="s">
        <v>39</v>
      </c>
      <c r="Y3" s="186" t="s">
        <v>102</v>
      </c>
      <c r="Z3" s="186" t="s">
        <v>88</v>
      </c>
      <c r="AA3" s="176" t="s">
        <v>78</v>
      </c>
      <c r="AB3" s="55" t="s">
        <v>340</v>
      </c>
      <c r="AE3" s="223" t="s">
        <v>41</v>
      </c>
      <c r="AG3" s="243" t="s">
        <v>279</v>
      </c>
      <c r="AH3" s="243" t="s">
        <v>280</v>
      </c>
      <c r="AJ3" s="187" t="s">
        <v>42</v>
      </c>
      <c r="AL3" s="224" t="s">
        <v>128</v>
      </c>
      <c r="AN3" s="224" t="s">
        <v>43</v>
      </c>
      <c r="AP3" s="224" t="s">
        <v>44</v>
      </c>
      <c r="AR3" s="238" t="s">
        <v>45</v>
      </c>
      <c r="AT3" s="224" t="s">
        <v>46</v>
      </c>
      <c r="AV3" s="224" t="s">
        <v>47</v>
      </c>
      <c r="AX3" s="225">
        <v>72</v>
      </c>
      <c r="AY3" s="226">
        <v>46</v>
      </c>
      <c r="AZ3" s="226">
        <v>71</v>
      </c>
      <c r="BA3" s="227">
        <v>42</v>
      </c>
    </row>
    <row r="4" spans="1:53" x14ac:dyDescent="0.15">
      <c r="A4" s="177" t="s">
        <v>34</v>
      </c>
      <c r="B4" s="177" t="s">
        <v>338</v>
      </c>
      <c r="C4" s="177">
        <v>2018</v>
      </c>
      <c r="D4" s="179" t="s">
        <v>495</v>
      </c>
      <c r="E4" s="177" t="s">
        <v>491</v>
      </c>
      <c r="F4" s="177" t="s">
        <v>277</v>
      </c>
      <c r="G4" s="180" t="s">
        <v>36</v>
      </c>
      <c r="H4" s="137" t="s">
        <v>157</v>
      </c>
      <c r="I4" s="137" t="s">
        <v>155</v>
      </c>
      <c r="J4" s="137" t="s">
        <v>38</v>
      </c>
      <c r="K4" s="137" t="s">
        <v>156</v>
      </c>
      <c r="L4" s="208">
        <v>3</v>
      </c>
      <c r="N4" s="208">
        <v>1</v>
      </c>
      <c r="O4" s="208">
        <v>0.7</v>
      </c>
      <c r="P4" s="235">
        <v>0.65</v>
      </c>
      <c r="Q4" s="245">
        <f t="shared" si="0"/>
        <v>0.67500000000000004</v>
      </c>
      <c r="R4" s="188">
        <v>14.6</v>
      </c>
      <c r="S4" s="188">
        <v>121</v>
      </c>
      <c r="T4" s="217">
        <f t="shared" si="1"/>
        <v>30</v>
      </c>
      <c r="U4" s="189">
        <v>78</v>
      </c>
      <c r="V4" s="184">
        <f t="shared" si="2"/>
        <v>2340</v>
      </c>
      <c r="W4" s="190">
        <v>2</v>
      </c>
      <c r="X4" s="186" t="s">
        <v>39</v>
      </c>
      <c r="Y4" s="186" t="s">
        <v>102</v>
      </c>
      <c r="Z4" s="186" t="s">
        <v>88</v>
      </c>
      <c r="AA4" s="176" t="s">
        <v>78</v>
      </c>
      <c r="AB4" s="55" t="s">
        <v>340</v>
      </c>
      <c r="AE4" s="223" t="s">
        <v>34</v>
      </c>
      <c r="AG4" s="243" t="s">
        <v>496</v>
      </c>
      <c r="AH4" s="243" t="s">
        <v>281</v>
      </c>
      <c r="AJ4" s="191" t="s">
        <v>48</v>
      </c>
      <c r="AL4" s="228" t="s">
        <v>129</v>
      </c>
      <c r="AN4" s="229" t="s">
        <v>49</v>
      </c>
      <c r="AP4" s="224" t="s">
        <v>497</v>
      </c>
      <c r="AR4" s="238" t="s">
        <v>498</v>
      </c>
      <c r="AT4" s="229"/>
      <c r="AV4" s="224" t="s">
        <v>50</v>
      </c>
      <c r="AX4" s="225">
        <v>75</v>
      </c>
      <c r="AY4" s="226">
        <v>42</v>
      </c>
      <c r="AZ4" s="226">
        <v>76</v>
      </c>
      <c r="BA4" s="227">
        <v>39</v>
      </c>
    </row>
    <row r="5" spans="1:53" x14ac:dyDescent="0.15">
      <c r="A5" s="177" t="s">
        <v>34</v>
      </c>
      <c r="B5" s="177" t="s">
        <v>338</v>
      </c>
      <c r="C5" s="178">
        <v>2018</v>
      </c>
      <c r="D5" s="179" t="s">
        <v>495</v>
      </c>
      <c r="E5" s="177" t="s">
        <v>491</v>
      </c>
      <c r="F5" s="177" t="s">
        <v>277</v>
      </c>
      <c r="G5" s="180" t="s">
        <v>36</v>
      </c>
      <c r="H5" s="137" t="s">
        <v>165</v>
      </c>
      <c r="I5" s="137" t="s">
        <v>155</v>
      </c>
      <c r="J5" s="137" t="s">
        <v>38</v>
      </c>
      <c r="K5" s="137" t="s">
        <v>156</v>
      </c>
      <c r="L5" s="208">
        <v>1</v>
      </c>
      <c r="N5" s="208">
        <v>1</v>
      </c>
      <c r="O5" s="208">
        <v>0.7</v>
      </c>
      <c r="P5" s="237">
        <v>0.8</v>
      </c>
      <c r="Q5" s="245">
        <f t="shared" si="0"/>
        <v>0.75</v>
      </c>
      <c r="R5" s="188">
        <v>16.100000000000001</v>
      </c>
      <c r="S5" s="188">
        <v>117</v>
      </c>
      <c r="T5" s="217">
        <f t="shared" si="1"/>
        <v>30</v>
      </c>
      <c r="U5" s="189">
        <v>138</v>
      </c>
      <c r="V5" s="184">
        <f t="shared" si="2"/>
        <v>4140</v>
      </c>
      <c r="W5" s="190">
        <v>2</v>
      </c>
      <c r="X5" s="186" t="s">
        <v>39</v>
      </c>
      <c r="Y5" s="186" t="s">
        <v>102</v>
      </c>
      <c r="Z5" s="186" t="s">
        <v>88</v>
      </c>
      <c r="AA5" s="176" t="s">
        <v>78</v>
      </c>
      <c r="AB5" s="55" t="s">
        <v>340</v>
      </c>
      <c r="AE5" s="223" t="s">
        <v>51</v>
      </c>
      <c r="AG5" s="243" t="s">
        <v>499</v>
      </c>
      <c r="AH5" s="243" t="s">
        <v>284</v>
      </c>
      <c r="AJ5" s="192"/>
      <c r="AL5" s="230" t="s">
        <v>500</v>
      </c>
      <c r="AN5" s="230" t="s">
        <v>501</v>
      </c>
      <c r="AP5" s="224" t="s">
        <v>502</v>
      </c>
      <c r="AR5" s="238" t="s">
        <v>54</v>
      </c>
      <c r="AT5" s="247"/>
      <c r="AV5" s="224" t="s">
        <v>55</v>
      </c>
      <c r="AX5" s="225">
        <v>84</v>
      </c>
      <c r="AY5" s="226">
        <v>39</v>
      </c>
      <c r="AZ5" s="226">
        <v>84</v>
      </c>
      <c r="BA5" s="227">
        <v>36</v>
      </c>
    </row>
    <row r="6" spans="1:53" x14ac:dyDescent="0.15">
      <c r="A6" s="177" t="s">
        <v>34</v>
      </c>
      <c r="B6" s="177" t="s">
        <v>338</v>
      </c>
      <c r="C6" s="177">
        <v>2018</v>
      </c>
      <c r="D6" s="179" t="s">
        <v>495</v>
      </c>
      <c r="E6" s="177" t="s">
        <v>491</v>
      </c>
      <c r="F6" s="177" t="s">
        <v>277</v>
      </c>
      <c r="G6" s="180" t="s">
        <v>36</v>
      </c>
      <c r="H6" s="137" t="s">
        <v>165</v>
      </c>
      <c r="I6" s="137" t="s">
        <v>155</v>
      </c>
      <c r="J6" s="137" t="s">
        <v>38</v>
      </c>
      <c r="K6" s="137" t="s">
        <v>156</v>
      </c>
      <c r="L6" s="208">
        <v>2</v>
      </c>
      <c r="N6" s="208">
        <v>1</v>
      </c>
      <c r="O6" s="208">
        <v>0.55000000000000004</v>
      </c>
      <c r="P6" s="237">
        <v>0.5</v>
      </c>
      <c r="Q6" s="245">
        <f t="shared" si="0"/>
        <v>0.52500000000000002</v>
      </c>
      <c r="R6" s="188">
        <v>16.399999999999999</v>
      </c>
      <c r="S6" s="188">
        <v>116</v>
      </c>
      <c r="T6" s="217">
        <f t="shared" si="1"/>
        <v>30</v>
      </c>
      <c r="U6" s="189">
        <v>138</v>
      </c>
      <c r="V6" s="184">
        <f t="shared" si="2"/>
        <v>4140</v>
      </c>
      <c r="W6" s="190">
        <v>2</v>
      </c>
      <c r="X6" s="186" t="s">
        <v>39</v>
      </c>
      <c r="Y6" s="186" t="s">
        <v>102</v>
      </c>
      <c r="Z6" s="186" t="s">
        <v>88</v>
      </c>
      <c r="AA6" s="176" t="s">
        <v>78</v>
      </c>
      <c r="AB6" s="55" t="s">
        <v>340</v>
      </c>
      <c r="AE6" s="223" t="s">
        <v>56</v>
      </c>
      <c r="AG6" s="243" t="s">
        <v>503</v>
      </c>
      <c r="AH6" s="243" t="s">
        <v>283</v>
      </c>
      <c r="AL6" s="230" t="s">
        <v>504</v>
      </c>
      <c r="AN6" s="230" t="s">
        <v>505</v>
      </c>
      <c r="AP6" s="224" t="s">
        <v>53</v>
      </c>
      <c r="AR6" s="238" t="s">
        <v>59</v>
      </c>
      <c r="AV6" s="224" t="s">
        <v>60</v>
      </c>
      <c r="AX6" s="225">
        <v>97</v>
      </c>
      <c r="AY6" s="226">
        <v>36</v>
      </c>
      <c r="AZ6" s="226">
        <v>99</v>
      </c>
      <c r="BA6" s="227">
        <v>33</v>
      </c>
    </row>
    <row r="7" spans="1:53" x14ac:dyDescent="0.15">
      <c r="A7" s="177" t="s">
        <v>34</v>
      </c>
      <c r="B7" s="177" t="s">
        <v>338</v>
      </c>
      <c r="C7" s="178">
        <v>2018</v>
      </c>
      <c r="D7" s="179" t="s">
        <v>495</v>
      </c>
      <c r="E7" s="177" t="s">
        <v>491</v>
      </c>
      <c r="F7" s="177" t="s">
        <v>277</v>
      </c>
      <c r="G7" s="180" t="s">
        <v>36</v>
      </c>
      <c r="H7" s="137" t="s">
        <v>165</v>
      </c>
      <c r="I7" s="137" t="s">
        <v>155</v>
      </c>
      <c r="J7" s="137" t="s">
        <v>38</v>
      </c>
      <c r="K7" s="137" t="s">
        <v>156</v>
      </c>
      <c r="L7" s="208">
        <v>3</v>
      </c>
      <c r="N7" s="208">
        <v>1</v>
      </c>
      <c r="O7" s="208">
        <v>0.6</v>
      </c>
      <c r="P7" s="237">
        <v>0.5</v>
      </c>
      <c r="Q7" s="245">
        <f t="shared" si="0"/>
        <v>0.55000000000000004</v>
      </c>
      <c r="R7" s="188">
        <v>15.9</v>
      </c>
      <c r="S7" s="188">
        <v>119</v>
      </c>
      <c r="T7" s="217">
        <f t="shared" si="1"/>
        <v>30</v>
      </c>
      <c r="U7" s="189">
        <v>138</v>
      </c>
      <c r="V7" s="184">
        <f t="shared" si="2"/>
        <v>4140</v>
      </c>
      <c r="W7" s="190">
        <v>2</v>
      </c>
      <c r="X7" s="186" t="s">
        <v>39</v>
      </c>
      <c r="Y7" s="186" t="s">
        <v>102</v>
      </c>
      <c r="Z7" s="186" t="s">
        <v>88</v>
      </c>
      <c r="AA7" s="176" t="s">
        <v>78</v>
      </c>
      <c r="AB7" s="55" t="s">
        <v>340</v>
      </c>
      <c r="AE7" s="223" t="s">
        <v>61</v>
      </c>
      <c r="AG7" s="243" t="s">
        <v>282</v>
      </c>
      <c r="AH7" s="243" t="s">
        <v>277</v>
      </c>
      <c r="AL7" s="235" t="s">
        <v>506</v>
      </c>
      <c r="AP7" s="224" t="s">
        <v>58</v>
      </c>
      <c r="AR7" s="231" t="s">
        <v>122</v>
      </c>
      <c r="AV7" s="224" t="s">
        <v>64</v>
      </c>
      <c r="AX7" s="225">
        <v>109</v>
      </c>
      <c r="AY7" s="226">
        <v>33</v>
      </c>
      <c r="AZ7" s="226">
        <v>113</v>
      </c>
      <c r="BA7" s="227">
        <v>30</v>
      </c>
    </row>
    <row r="8" spans="1:53" x14ac:dyDescent="0.15">
      <c r="A8" s="177" t="s">
        <v>34</v>
      </c>
      <c r="B8" s="177" t="s">
        <v>338</v>
      </c>
      <c r="C8" s="177">
        <v>2018</v>
      </c>
      <c r="D8" s="179" t="s">
        <v>495</v>
      </c>
      <c r="E8" s="178" t="s">
        <v>282</v>
      </c>
      <c r="F8" s="177" t="s">
        <v>283</v>
      </c>
      <c r="G8" s="180" t="s">
        <v>36</v>
      </c>
      <c r="H8" s="137" t="s">
        <v>157</v>
      </c>
      <c r="I8" s="137" t="s">
        <v>155</v>
      </c>
      <c r="J8" s="137" t="s">
        <v>38</v>
      </c>
      <c r="K8" s="137" t="s">
        <v>156</v>
      </c>
      <c r="L8" s="208">
        <v>1</v>
      </c>
      <c r="N8" s="208">
        <v>1</v>
      </c>
      <c r="O8" s="208">
        <v>0.35</v>
      </c>
      <c r="P8" s="208">
        <v>0.4</v>
      </c>
      <c r="Q8" s="245">
        <f t="shared" si="0"/>
        <v>0.375</v>
      </c>
      <c r="R8" s="188">
        <v>14.2</v>
      </c>
      <c r="S8" s="188">
        <v>119</v>
      </c>
      <c r="T8" s="217">
        <f t="shared" si="1"/>
        <v>30</v>
      </c>
      <c r="U8" s="193">
        <v>78</v>
      </c>
      <c r="V8" s="184">
        <f t="shared" si="2"/>
        <v>2340</v>
      </c>
      <c r="W8" s="190">
        <v>4</v>
      </c>
      <c r="X8" s="186" t="s">
        <v>46</v>
      </c>
      <c r="Y8" s="194" t="s">
        <v>88</v>
      </c>
      <c r="Z8" s="186" t="s">
        <v>78</v>
      </c>
      <c r="AA8" s="176" t="s">
        <v>102</v>
      </c>
      <c r="AB8" s="55" t="s">
        <v>340</v>
      </c>
      <c r="AE8" s="223" t="s">
        <v>59</v>
      </c>
      <c r="AG8" s="243" t="s">
        <v>507</v>
      </c>
      <c r="AH8" s="243" t="s">
        <v>286</v>
      </c>
      <c r="AL8" s="235" t="s">
        <v>346</v>
      </c>
      <c r="AP8" s="224" t="s">
        <v>62</v>
      </c>
      <c r="AR8" s="238" t="s">
        <v>81</v>
      </c>
      <c r="AV8" s="224" t="s">
        <v>97</v>
      </c>
      <c r="AX8" s="225">
        <v>151</v>
      </c>
      <c r="AY8" s="226">
        <v>22</v>
      </c>
      <c r="AZ8" s="226">
        <v>152</v>
      </c>
      <c r="BA8" s="227">
        <v>18</v>
      </c>
    </row>
    <row r="9" spans="1:53" x14ac:dyDescent="0.15">
      <c r="A9" s="177" t="s">
        <v>34</v>
      </c>
      <c r="B9" s="177" t="s">
        <v>338</v>
      </c>
      <c r="C9" s="178">
        <v>2018</v>
      </c>
      <c r="D9" s="179" t="s">
        <v>495</v>
      </c>
      <c r="E9" s="178" t="s">
        <v>282</v>
      </c>
      <c r="F9" s="177" t="s">
        <v>283</v>
      </c>
      <c r="G9" s="180" t="s">
        <v>36</v>
      </c>
      <c r="H9" s="137" t="s">
        <v>157</v>
      </c>
      <c r="I9" s="137" t="s">
        <v>155</v>
      </c>
      <c r="J9" s="137" t="s">
        <v>38</v>
      </c>
      <c r="K9" s="137" t="s">
        <v>156</v>
      </c>
      <c r="L9" s="208">
        <v>2</v>
      </c>
      <c r="N9" s="208">
        <v>1</v>
      </c>
      <c r="O9" s="208">
        <v>0.5</v>
      </c>
      <c r="P9" s="208">
        <v>0.55000000000000004</v>
      </c>
      <c r="Q9" s="245">
        <f t="shared" si="0"/>
        <v>0.52500000000000002</v>
      </c>
      <c r="R9" s="188">
        <v>14.4</v>
      </c>
      <c r="S9" s="188">
        <v>114</v>
      </c>
      <c r="T9" s="217">
        <f t="shared" si="1"/>
        <v>30</v>
      </c>
      <c r="U9" s="193">
        <v>78</v>
      </c>
      <c r="V9" s="184">
        <f t="shared" si="2"/>
        <v>2340</v>
      </c>
      <c r="W9" s="190">
        <v>4</v>
      </c>
      <c r="X9" s="186" t="s">
        <v>46</v>
      </c>
      <c r="Y9" s="194" t="s">
        <v>88</v>
      </c>
      <c r="Z9" s="186" t="s">
        <v>78</v>
      </c>
      <c r="AA9" s="176" t="s">
        <v>102</v>
      </c>
      <c r="AB9" s="55" t="s">
        <v>340</v>
      </c>
      <c r="AE9" s="223" t="s">
        <v>98</v>
      </c>
      <c r="AG9" s="243" t="s">
        <v>508</v>
      </c>
      <c r="AH9" s="243" t="s">
        <v>287</v>
      </c>
      <c r="AL9" s="230"/>
      <c r="AP9" s="224" t="s">
        <v>95</v>
      </c>
      <c r="AR9" s="231" t="s">
        <v>89</v>
      </c>
      <c r="AV9" s="224" t="s">
        <v>102</v>
      </c>
      <c r="AX9" s="232">
        <v>180</v>
      </c>
      <c r="AY9" s="233">
        <v>18</v>
      </c>
      <c r="AZ9" s="233">
        <v>181</v>
      </c>
      <c r="BA9" s="234">
        <v>16</v>
      </c>
    </row>
    <row r="10" spans="1:53" x14ac:dyDescent="0.15">
      <c r="A10" s="177" t="s">
        <v>34</v>
      </c>
      <c r="B10" s="177" t="s">
        <v>338</v>
      </c>
      <c r="C10" s="177">
        <v>2018</v>
      </c>
      <c r="D10" s="179" t="s">
        <v>495</v>
      </c>
      <c r="E10" s="178" t="s">
        <v>282</v>
      </c>
      <c r="F10" s="177" t="s">
        <v>283</v>
      </c>
      <c r="G10" s="180" t="s">
        <v>36</v>
      </c>
      <c r="H10" s="137" t="s">
        <v>157</v>
      </c>
      <c r="I10" s="137" t="s">
        <v>155</v>
      </c>
      <c r="J10" s="137" t="s">
        <v>38</v>
      </c>
      <c r="K10" s="137" t="s">
        <v>156</v>
      </c>
      <c r="L10" s="208">
        <v>3</v>
      </c>
      <c r="N10" s="208">
        <v>1</v>
      </c>
      <c r="O10" s="208">
        <v>0.5</v>
      </c>
      <c r="P10" s="208">
        <v>0.45</v>
      </c>
      <c r="Q10" s="245">
        <f t="shared" si="0"/>
        <v>0.47499999999999998</v>
      </c>
      <c r="R10" s="188">
        <v>14.6</v>
      </c>
      <c r="S10" s="188">
        <v>120</v>
      </c>
      <c r="T10" s="217">
        <f t="shared" si="1"/>
        <v>30</v>
      </c>
      <c r="U10" s="193">
        <v>78</v>
      </c>
      <c r="V10" s="184">
        <f t="shared" si="2"/>
        <v>2340</v>
      </c>
      <c r="W10" s="190">
        <v>4</v>
      </c>
      <c r="X10" s="186" t="s">
        <v>46</v>
      </c>
      <c r="Y10" s="194" t="s">
        <v>88</v>
      </c>
      <c r="Z10" s="186" t="s">
        <v>78</v>
      </c>
      <c r="AA10" s="176" t="s">
        <v>102</v>
      </c>
      <c r="AB10" s="55" t="s">
        <v>340</v>
      </c>
      <c r="AE10" s="223" t="s">
        <v>103</v>
      </c>
      <c r="AG10" s="243" t="s">
        <v>509</v>
      </c>
      <c r="AH10" s="243" t="s">
        <v>510</v>
      </c>
      <c r="AL10" s="235"/>
      <c r="AP10" s="224" t="s">
        <v>100</v>
      </c>
      <c r="AR10" s="231" t="s">
        <v>123</v>
      </c>
      <c r="AV10" s="224" t="s">
        <v>106</v>
      </c>
    </row>
    <row r="11" spans="1:53" x14ac:dyDescent="0.15">
      <c r="A11" s="177" t="s">
        <v>34</v>
      </c>
      <c r="B11" s="177" t="s">
        <v>338</v>
      </c>
      <c r="C11" s="178">
        <v>2018</v>
      </c>
      <c r="D11" s="179" t="s">
        <v>495</v>
      </c>
      <c r="E11" s="178" t="s">
        <v>282</v>
      </c>
      <c r="F11" s="177" t="s">
        <v>283</v>
      </c>
      <c r="G11" s="180" t="s">
        <v>36</v>
      </c>
      <c r="H11" s="137" t="s">
        <v>165</v>
      </c>
      <c r="I11" s="137" t="s">
        <v>155</v>
      </c>
      <c r="J11" s="137" t="s">
        <v>38</v>
      </c>
      <c r="K11" s="137" t="s">
        <v>156</v>
      </c>
      <c r="L11" s="208">
        <v>1</v>
      </c>
      <c r="N11" s="208">
        <v>1</v>
      </c>
      <c r="O11" s="208">
        <v>0.4</v>
      </c>
      <c r="P11" s="208">
        <v>0.45</v>
      </c>
      <c r="Q11" s="245">
        <f t="shared" si="0"/>
        <v>0.42500000000000004</v>
      </c>
      <c r="R11" s="188">
        <v>16.600000000000001</v>
      </c>
      <c r="S11" s="188">
        <v>156</v>
      </c>
      <c r="T11" s="217">
        <f t="shared" si="1"/>
        <v>30</v>
      </c>
      <c r="U11" s="193">
        <v>128</v>
      </c>
      <c r="V11" s="184">
        <f t="shared" si="2"/>
        <v>3840</v>
      </c>
      <c r="W11" s="190">
        <v>4</v>
      </c>
      <c r="X11" s="186" t="s">
        <v>46</v>
      </c>
      <c r="Y11" s="194" t="s">
        <v>88</v>
      </c>
      <c r="Z11" s="186" t="s">
        <v>78</v>
      </c>
      <c r="AA11" s="195" t="s">
        <v>102</v>
      </c>
      <c r="AB11" s="55" t="s">
        <v>340</v>
      </c>
      <c r="AE11" s="223" t="s">
        <v>65</v>
      </c>
      <c r="AG11" s="238"/>
      <c r="AH11" s="238"/>
      <c r="AL11" s="235"/>
      <c r="AP11" s="224" t="s">
        <v>104</v>
      </c>
      <c r="AR11" s="231" t="s">
        <v>87</v>
      </c>
      <c r="AV11" s="224" t="s">
        <v>69</v>
      </c>
    </row>
    <row r="12" spans="1:53" x14ac:dyDescent="0.15">
      <c r="A12" s="177" t="s">
        <v>34</v>
      </c>
      <c r="B12" s="177" t="s">
        <v>338</v>
      </c>
      <c r="C12" s="177">
        <v>2018</v>
      </c>
      <c r="D12" s="179" t="s">
        <v>495</v>
      </c>
      <c r="E12" s="178" t="s">
        <v>282</v>
      </c>
      <c r="F12" s="177" t="s">
        <v>283</v>
      </c>
      <c r="G12" s="180" t="s">
        <v>36</v>
      </c>
      <c r="H12" s="137" t="s">
        <v>165</v>
      </c>
      <c r="I12" s="137" t="s">
        <v>155</v>
      </c>
      <c r="J12" s="137" t="s">
        <v>38</v>
      </c>
      <c r="K12" s="137" t="s">
        <v>156</v>
      </c>
      <c r="L12" s="208">
        <v>2</v>
      </c>
      <c r="N12" s="208">
        <v>1</v>
      </c>
      <c r="O12" s="208">
        <v>0.45</v>
      </c>
      <c r="P12" s="208">
        <v>0.5</v>
      </c>
      <c r="Q12" s="245">
        <f t="shared" si="0"/>
        <v>0.47499999999999998</v>
      </c>
      <c r="R12" s="188">
        <v>15.5</v>
      </c>
      <c r="S12" s="188">
        <v>165</v>
      </c>
      <c r="T12" s="217">
        <f t="shared" si="1"/>
        <v>30</v>
      </c>
      <c r="U12" s="193">
        <v>128</v>
      </c>
      <c r="V12" s="184">
        <f t="shared" si="2"/>
        <v>3840</v>
      </c>
      <c r="W12" s="190">
        <v>4</v>
      </c>
      <c r="X12" s="186" t="s">
        <v>46</v>
      </c>
      <c r="Y12" s="194" t="s">
        <v>88</v>
      </c>
      <c r="Z12" s="186" t="s">
        <v>78</v>
      </c>
      <c r="AA12" s="195" t="s">
        <v>102</v>
      </c>
      <c r="AB12" s="55" t="s">
        <v>340</v>
      </c>
      <c r="AE12" s="223" t="s">
        <v>70</v>
      </c>
      <c r="AG12" s="238"/>
      <c r="AH12" s="238"/>
      <c r="AL12" s="235"/>
      <c r="AP12" s="224" t="s">
        <v>67</v>
      </c>
      <c r="AR12" s="231" t="s">
        <v>124</v>
      </c>
      <c r="AV12" s="224" t="s">
        <v>72</v>
      </c>
    </row>
    <row r="13" spans="1:53" x14ac:dyDescent="0.15">
      <c r="A13" s="177" t="s">
        <v>34</v>
      </c>
      <c r="B13" s="177" t="s">
        <v>338</v>
      </c>
      <c r="C13" s="178">
        <v>2018</v>
      </c>
      <c r="D13" s="179" t="s">
        <v>495</v>
      </c>
      <c r="E13" s="178" t="s">
        <v>282</v>
      </c>
      <c r="F13" s="177" t="s">
        <v>283</v>
      </c>
      <c r="G13" s="180" t="s">
        <v>36</v>
      </c>
      <c r="H13" s="137" t="s">
        <v>165</v>
      </c>
      <c r="I13" s="137" t="s">
        <v>155</v>
      </c>
      <c r="J13" s="137" t="s">
        <v>38</v>
      </c>
      <c r="K13" s="137" t="s">
        <v>156</v>
      </c>
      <c r="L13" s="208">
        <v>3</v>
      </c>
      <c r="N13" s="208">
        <v>1</v>
      </c>
      <c r="O13" s="208">
        <v>0.45</v>
      </c>
      <c r="P13" s="208">
        <v>0.5</v>
      </c>
      <c r="Q13" s="245">
        <f t="shared" si="0"/>
        <v>0.47499999999999998</v>
      </c>
      <c r="R13" s="188">
        <v>15.7</v>
      </c>
      <c r="S13" s="188">
        <v>171</v>
      </c>
      <c r="T13" s="217">
        <f t="shared" si="1"/>
        <v>30</v>
      </c>
      <c r="U13" s="193">
        <v>128</v>
      </c>
      <c r="V13" s="184">
        <f t="shared" si="2"/>
        <v>3840</v>
      </c>
      <c r="W13" s="190">
        <v>4</v>
      </c>
      <c r="X13" s="186" t="s">
        <v>46</v>
      </c>
      <c r="Y13" s="194" t="s">
        <v>88</v>
      </c>
      <c r="Z13" s="186" t="s">
        <v>78</v>
      </c>
      <c r="AA13" s="195" t="s">
        <v>102</v>
      </c>
      <c r="AB13" s="55" t="s">
        <v>340</v>
      </c>
      <c r="AE13" s="223" t="s">
        <v>73</v>
      </c>
      <c r="AG13" s="196"/>
      <c r="AH13" s="196"/>
      <c r="AP13" s="224" t="s">
        <v>71</v>
      </c>
      <c r="AR13" s="231" t="s">
        <v>103</v>
      </c>
      <c r="AV13" s="224" t="s">
        <v>75</v>
      </c>
    </row>
    <row r="14" spans="1:53" x14ac:dyDescent="0.15">
      <c r="A14" s="177" t="s">
        <v>34</v>
      </c>
      <c r="B14" s="177" t="s">
        <v>338</v>
      </c>
      <c r="C14" s="177">
        <v>2018</v>
      </c>
      <c r="D14" s="179" t="s">
        <v>495</v>
      </c>
      <c r="E14" s="178" t="s">
        <v>491</v>
      </c>
      <c r="F14" s="177" t="s">
        <v>511</v>
      </c>
      <c r="G14" s="180" t="s">
        <v>36</v>
      </c>
      <c r="H14" s="137" t="s">
        <v>157</v>
      </c>
      <c r="I14" s="137" t="s">
        <v>155</v>
      </c>
      <c r="J14" s="137" t="s">
        <v>38</v>
      </c>
      <c r="K14" s="137" t="s">
        <v>156</v>
      </c>
      <c r="L14" s="208">
        <v>1</v>
      </c>
      <c r="N14" s="208">
        <v>1</v>
      </c>
      <c r="O14" s="208">
        <v>0.75</v>
      </c>
      <c r="P14" s="208">
        <v>0.8</v>
      </c>
      <c r="Q14" s="245">
        <f t="shared" si="0"/>
        <v>0.77500000000000002</v>
      </c>
      <c r="R14" s="188">
        <v>14.9</v>
      </c>
      <c r="S14" s="188">
        <v>122</v>
      </c>
      <c r="T14" s="217">
        <f t="shared" si="1"/>
        <v>30</v>
      </c>
      <c r="U14" s="193">
        <v>78</v>
      </c>
      <c r="V14" s="184">
        <v>3582</v>
      </c>
      <c r="W14" s="190">
        <v>6</v>
      </c>
      <c r="X14" s="186" t="s">
        <v>46</v>
      </c>
      <c r="Y14" s="194" t="s">
        <v>97</v>
      </c>
      <c r="Z14" s="186" t="s">
        <v>86</v>
      </c>
      <c r="AA14" s="195" t="s">
        <v>88</v>
      </c>
      <c r="AB14" s="55" t="s">
        <v>340</v>
      </c>
      <c r="AC14" s="235"/>
      <c r="AE14" s="223" t="s">
        <v>76</v>
      </c>
      <c r="AG14" s="247"/>
      <c r="AH14" s="247"/>
      <c r="AP14" s="224" t="s">
        <v>74</v>
      </c>
      <c r="AR14" s="231" t="s">
        <v>125</v>
      </c>
      <c r="AV14" s="224" t="s">
        <v>78</v>
      </c>
    </row>
    <row r="15" spans="1:53" x14ac:dyDescent="0.15">
      <c r="A15" s="177" t="s">
        <v>34</v>
      </c>
      <c r="B15" s="177" t="s">
        <v>338</v>
      </c>
      <c r="C15" s="178">
        <v>2018</v>
      </c>
      <c r="D15" s="179" t="s">
        <v>495</v>
      </c>
      <c r="E15" s="178" t="s">
        <v>491</v>
      </c>
      <c r="F15" s="177" t="s">
        <v>511</v>
      </c>
      <c r="G15" s="180" t="s">
        <v>36</v>
      </c>
      <c r="H15" s="137" t="s">
        <v>157</v>
      </c>
      <c r="I15" s="137" t="s">
        <v>155</v>
      </c>
      <c r="J15" s="137" t="s">
        <v>38</v>
      </c>
      <c r="K15" s="137" t="s">
        <v>156</v>
      </c>
      <c r="L15" s="208">
        <v>2</v>
      </c>
      <c r="N15" s="208">
        <v>1</v>
      </c>
      <c r="O15" s="208">
        <v>0.6</v>
      </c>
      <c r="P15" s="208">
        <v>0.55000000000000004</v>
      </c>
      <c r="Q15" s="245">
        <f t="shared" si="0"/>
        <v>0.57499999999999996</v>
      </c>
      <c r="R15" s="188">
        <v>14.4</v>
      </c>
      <c r="S15" s="188">
        <v>120</v>
      </c>
      <c r="T15" s="217">
        <f t="shared" si="1"/>
        <v>30</v>
      </c>
      <c r="U15" s="193">
        <v>78</v>
      </c>
      <c r="V15" s="184">
        <f t="shared" si="2"/>
        <v>2340</v>
      </c>
      <c r="W15" s="190">
        <v>6</v>
      </c>
      <c r="X15" s="186" t="s">
        <v>46</v>
      </c>
      <c r="Y15" s="194" t="s">
        <v>97</v>
      </c>
      <c r="Z15" s="186" t="s">
        <v>86</v>
      </c>
      <c r="AA15" s="195" t="s">
        <v>88</v>
      </c>
      <c r="AB15" s="55" t="s">
        <v>340</v>
      </c>
      <c r="AC15" s="235"/>
      <c r="AE15" s="223" t="s">
        <v>79</v>
      </c>
      <c r="AP15" s="224" t="s">
        <v>77</v>
      </c>
      <c r="AR15" s="231" t="s">
        <v>94</v>
      </c>
      <c r="AV15" s="224" t="s">
        <v>107</v>
      </c>
    </row>
    <row r="16" spans="1:53" x14ac:dyDescent="0.15">
      <c r="A16" s="177" t="s">
        <v>34</v>
      </c>
      <c r="B16" s="177" t="s">
        <v>338</v>
      </c>
      <c r="C16" s="177">
        <v>2018</v>
      </c>
      <c r="D16" s="179" t="s">
        <v>495</v>
      </c>
      <c r="E16" s="178" t="s">
        <v>491</v>
      </c>
      <c r="F16" s="177" t="s">
        <v>511</v>
      </c>
      <c r="G16" s="180" t="s">
        <v>36</v>
      </c>
      <c r="H16" s="137" t="s">
        <v>157</v>
      </c>
      <c r="I16" s="137" t="s">
        <v>155</v>
      </c>
      <c r="J16" s="137" t="s">
        <v>38</v>
      </c>
      <c r="K16" s="137" t="s">
        <v>156</v>
      </c>
      <c r="L16" s="208">
        <v>3</v>
      </c>
      <c r="N16" s="208">
        <v>1</v>
      </c>
      <c r="O16" s="208">
        <v>0.65</v>
      </c>
      <c r="P16" s="208">
        <v>0.7</v>
      </c>
      <c r="Q16" s="245">
        <f t="shared" si="0"/>
        <v>0.67500000000000004</v>
      </c>
      <c r="R16" s="188">
        <v>14.7</v>
      </c>
      <c r="S16" s="188">
        <v>123</v>
      </c>
      <c r="T16" s="217">
        <f t="shared" si="1"/>
        <v>30</v>
      </c>
      <c r="U16" s="193">
        <v>78</v>
      </c>
      <c r="V16" s="184">
        <f t="shared" si="2"/>
        <v>2340</v>
      </c>
      <c r="W16" s="190">
        <v>6</v>
      </c>
      <c r="X16" s="186" t="s">
        <v>46</v>
      </c>
      <c r="Y16" s="194" t="s">
        <v>97</v>
      </c>
      <c r="Z16" s="186" t="s">
        <v>86</v>
      </c>
      <c r="AA16" s="195" t="s">
        <v>88</v>
      </c>
      <c r="AB16" s="55" t="s">
        <v>340</v>
      </c>
      <c r="AC16" s="235"/>
      <c r="AE16" s="223" t="s">
        <v>82</v>
      </c>
      <c r="AP16" s="224" t="s">
        <v>80</v>
      </c>
      <c r="AR16" s="238" t="s">
        <v>63</v>
      </c>
      <c r="AV16" s="224" t="s">
        <v>84</v>
      </c>
    </row>
    <row r="17" spans="1:48" x14ac:dyDescent="0.15">
      <c r="A17" s="177" t="s">
        <v>34</v>
      </c>
      <c r="B17" s="177" t="s">
        <v>338</v>
      </c>
      <c r="C17" s="178">
        <v>2018</v>
      </c>
      <c r="D17" s="179" t="s">
        <v>495</v>
      </c>
      <c r="E17" s="178" t="s">
        <v>491</v>
      </c>
      <c r="F17" s="177" t="s">
        <v>511</v>
      </c>
      <c r="G17" s="180" t="s">
        <v>36</v>
      </c>
      <c r="H17" s="137" t="s">
        <v>165</v>
      </c>
      <c r="I17" s="137" t="s">
        <v>155</v>
      </c>
      <c r="J17" s="137" t="s">
        <v>38</v>
      </c>
      <c r="K17" s="137" t="s">
        <v>156</v>
      </c>
      <c r="L17" s="208">
        <v>1</v>
      </c>
      <c r="N17" s="208">
        <v>1</v>
      </c>
      <c r="O17" s="208">
        <v>0.6</v>
      </c>
      <c r="P17" s="208">
        <v>0.5</v>
      </c>
      <c r="Q17" s="245">
        <f t="shared" si="0"/>
        <v>0.55000000000000004</v>
      </c>
      <c r="R17" s="188">
        <v>16.3</v>
      </c>
      <c r="S17" s="188">
        <v>121</v>
      </c>
      <c r="T17" s="217">
        <f t="shared" si="1"/>
        <v>30</v>
      </c>
      <c r="U17" s="193">
        <v>138</v>
      </c>
      <c r="V17" s="184">
        <f t="shared" si="2"/>
        <v>4140</v>
      </c>
      <c r="W17" s="190">
        <v>6</v>
      </c>
      <c r="X17" s="186" t="s">
        <v>46</v>
      </c>
      <c r="Y17" s="194" t="s">
        <v>97</v>
      </c>
      <c r="Z17" s="186" t="s">
        <v>86</v>
      </c>
      <c r="AA17" s="195" t="s">
        <v>88</v>
      </c>
      <c r="AB17" s="55" t="s">
        <v>340</v>
      </c>
      <c r="AC17" s="235"/>
      <c r="AE17" s="223" t="s">
        <v>85</v>
      </c>
      <c r="AP17" s="239" t="s">
        <v>110</v>
      </c>
      <c r="AR17" s="238" t="s">
        <v>96</v>
      </c>
      <c r="AV17" s="224" t="s">
        <v>86</v>
      </c>
    </row>
    <row r="18" spans="1:48" x14ac:dyDescent="0.15">
      <c r="A18" s="177" t="s">
        <v>34</v>
      </c>
      <c r="B18" s="177" t="s">
        <v>338</v>
      </c>
      <c r="C18" s="177">
        <v>2018</v>
      </c>
      <c r="D18" s="179" t="s">
        <v>495</v>
      </c>
      <c r="E18" s="178" t="s">
        <v>491</v>
      </c>
      <c r="F18" s="177" t="s">
        <v>511</v>
      </c>
      <c r="G18" s="180" t="s">
        <v>36</v>
      </c>
      <c r="H18" s="137" t="s">
        <v>165</v>
      </c>
      <c r="I18" s="137" t="s">
        <v>155</v>
      </c>
      <c r="J18" s="137" t="s">
        <v>38</v>
      </c>
      <c r="K18" s="137" t="s">
        <v>156</v>
      </c>
      <c r="L18" s="208">
        <v>2</v>
      </c>
      <c r="N18" s="208">
        <v>1</v>
      </c>
      <c r="O18" s="208">
        <v>0.5</v>
      </c>
      <c r="P18" s="208">
        <v>0.55000000000000004</v>
      </c>
      <c r="Q18" s="245">
        <f t="shared" si="0"/>
        <v>0.52500000000000002</v>
      </c>
      <c r="R18" s="188">
        <v>15.7</v>
      </c>
      <c r="S18" s="188">
        <v>123</v>
      </c>
      <c r="T18" s="217">
        <f t="shared" si="1"/>
        <v>30</v>
      </c>
      <c r="U18" s="193">
        <v>138</v>
      </c>
      <c r="V18" s="184">
        <f t="shared" si="2"/>
        <v>4140</v>
      </c>
      <c r="W18" s="190">
        <v>6</v>
      </c>
      <c r="X18" s="186" t="s">
        <v>46</v>
      </c>
      <c r="Y18" s="194" t="s">
        <v>97</v>
      </c>
      <c r="Z18" s="186" t="s">
        <v>86</v>
      </c>
      <c r="AA18" s="195" t="s">
        <v>88</v>
      </c>
      <c r="AB18" s="55" t="s">
        <v>340</v>
      </c>
      <c r="AC18" s="235"/>
      <c r="AE18" s="223" t="s">
        <v>87</v>
      </c>
      <c r="AP18" s="239" t="s">
        <v>111</v>
      </c>
      <c r="AR18" s="238" t="s">
        <v>101</v>
      </c>
      <c r="AV18" s="224" t="s">
        <v>88</v>
      </c>
    </row>
    <row r="19" spans="1:48" x14ac:dyDescent="0.15">
      <c r="A19" s="177" t="s">
        <v>34</v>
      </c>
      <c r="B19" s="177" t="s">
        <v>338</v>
      </c>
      <c r="C19" s="178">
        <v>2018</v>
      </c>
      <c r="D19" s="179" t="s">
        <v>495</v>
      </c>
      <c r="E19" s="178" t="s">
        <v>491</v>
      </c>
      <c r="F19" s="177" t="s">
        <v>511</v>
      </c>
      <c r="G19" s="180" t="s">
        <v>36</v>
      </c>
      <c r="H19" s="137" t="s">
        <v>165</v>
      </c>
      <c r="I19" s="137" t="s">
        <v>155</v>
      </c>
      <c r="J19" s="137" t="s">
        <v>38</v>
      </c>
      <c r="K19" s="137" t="s">
        <v>156</v>
      </c>
      <c r="L19" s="208">
        <v>3</v>
      </c>
      <c r="N19" s="208">
        <v>1</v>
      </c>
      <c r="O19" s="208">
        <v>0.55000000000000004</v>
      </c>
      <c r="P19" s="208">
        <v>0.5</v>
      </c>
      <c r="Q19" s="245">
        <f t="shared" si="0"/>
        <v>0.52500000000000002</v>
      </c>
      <c r="R19" s="188">
        <v>16.399999999999999</v>
      </c>
      <c r="S19" s="188">
        <v>122</v>
      </c>
      <c r="T19" s="217">
        <f t="shared" si="1"/>
        <v>30</v>
      </c>
      <c r="U19" s="193">
        <v>138</v>
      </c>
      <c r="V19" s="184">
        <f t="shared" si="2"/>
        <v>4140</v>
      </c>
      <c r="W19" s="190">
        <v>6</v>
      </c>
      <c r="X19" s="186" t="s">
        <v>46</v>
      </c>
      <c r="Y19" s="194" t="s">
        <v>97</v>
      </c>
      <c r="Z19" s="186" t="s">
        <v>86</v>
      </c>
      <c r="AA19" s="195" t="s">
        <v>88</v>
      </c>
      <c r="AB19" s="55" t="s">
        <v>340</v>
      </c>
      <c r="AC19" s="235"/>
      <c r="AE19" s="236" t="s">
        <v>89</v>
      </c>
      <c r="AP19" s="239" t="s">
        <v>112</v>
      </c>
      <c r="AR19" s="231" t="s">
        <v>126</v>
      </c>
      <c r="AV19" s="224" t="s">
        <v>90</v>
      </c>
    </row>
    <row r="20" spans="1:48" x14ac:dyDescent="0.15">
      <c r="A20" s="177" t="s">
        <v>34</v>
      </c>
      <c r="B20" s="177" t="s">
        <v>338</v>
      </c>
      <c r="C20" s="177">
        <v>2018</v>
      </c>
      <c r="D20" s="179" t="s">
        <v>495</v>
      </c>
      <c r="E20" s="178" t="s">
        <v>279</v>
      </c>
      <c r="F20" s="177" t="s">
        <v>280</v>
      </c>
      <c r="G20" s="180" t="s">
        <v>42</v>
      </c>
      <c r="H20" s="137" t="s">
        <v>157</v>
      </c>
      <c r="I20" s="137" t="s">
        <v>155</v>
      </c>
      <c r="J20" s="137" t="s">
        <v>38</v>
      </c>
      <c r="K20" s="137" t="s">
        <v>156</v>
      </c>
      <c r="L20" s="208">
        <v>1</v>
      </c>
      <c r="N20" s="208">
        <v>1</v>
      </c>
      <c r="O20" s="208">
        <v>0.7</v>
      </c>
      <c r="P20" s="208">
        <v>0.65</v>
      </c>
      <c r="Q20" s="245">
        <f t="shared" si="0"/>
        <v>0.67500000000000004</v>
      </c>
      <c r="R20" s="188">
        <v>15.8</v>
      </c>
      <c r="S20" s="197">
        <v>139</v>
      </c>
      <c r="T20" s="217">
        <f t="shared" si="1"/>
        <v>30</v>
      </c>
      <c r="U20" s="193">
        <v>127</v>
      </c>
      <c r="V20" s="184">
        <f t="shared" si="2"/>
        <v>3810</v>
      </c>
      <c r="W20" s="190">
        <v>9</v>
      </c>
      <c r="X20" s="186" t="s">
        <v>46</v>
      </c>
      <c r="Y20" s="194" t="s">
        <v>97</v>
      </c>
      <c r="Z20" s="194" t="s">
        <v>86</v>
      </c>
      <c r="AA20" s="195" t="s">
        <v>102</v>
      </c>
      <c r="AB20" s="55" t="s">
        <v>340</v>
      </c>
      <c r="AE20" s="236"/>
      <c r="AP20" s="239" t="s">
        <v>113</v>
      </c>
      <c r="AR20" s="238" t="s">
        <v>105</v>
      </c>
      <c r="AV20" s="228" t="s">
        <v>347</v>
      </c>
    </row>
    <row r="21" spans="1:48" x14ac:dyDescent="0.15">
      <c r="A21" s="177" t="s">
        <v>34</v>
      </c>
      <c r="B21" s="177" t="s">
        <v>338</v>
      </c>
      <c r="C21" s="178">
        <v>2018</v>
      </c>
      <c r="D21" s="179" t="s">
        <v>495</v>
      </c>
      <c r="E21" s="178" t="s">
        <v>279</v>
      </c>
      <c r="F21" s="177" t="s">
        <v>280</v>
      </c>
      <c r="G21" s="180" t="s">
        <v>42</v>
      </c>
      <c r="H21" s="137" t="s">
        <v>157</v>
      </c>
      <c r="I21" s="137" t="s">
        <v>155</v>
      </c>
      <c r="J21" s="137" t="s">
        <v>38</v>
      </c>
      <c r="K21" s="137" t="s">
        <v>156</v>
      </c>
      <c r="L21" s="208">
        <v>2</v>
      </c>
      <c r="N21" s="208">
        <v>1</v>
      </c>
      <c r="O21" s="208">
        <v>0.6</v>
      </c>
      <c r="P21" s="208">
        <v>0.65</v>
      </c>
      <c r="Q21" s="245">
        <f t="shared" si="0"/>
        <v>0.625</v>
      </c>
      <c r="R21" s="197">
        <v>15.5</v>
      </c>
      <c r="S21" s="188">
        <v>138</v>
      </c>
      <c r="T21" s="217">
        <f t="shared" si="1"/>
        <v>30</v>
      </c>
      <c r="U21" s="193">
        <v>127</v>
      </c>
      <c r="V21" s="184">
        <f t="shared" si="2"/>
        <v>3810</v>
      </c>
      <c r="W21" s="190">
        <v>9</v>
      </c>
      <c r="X21" s="186" t="s">
        <v>46</v>
      </c>
      <c r="Y21" s="194" t="s">
        <v>97</v>
      </c>
      <c r="Z21" s="194" t="s">
        <v>86</v>
      </c>
      <c r="AA21" s="195" t="s">
        <v>102</v>
      </c>
      <c r="AB21" s="55" t="s">
        <v>340</v>
      </c>
      <c r="AE21" s="229"/>
      <c r="AP21" s="239" t="s">
        <v>114</v>
      </c>
      <c r="AR21" s="238" t="s">
        <v>68</v>
      </c>
      <c r="AV21" s="228" t="s">
        <v>348</v>
      </c>
    </row>
    <row r="22" spans="1:48" x14ac:dyDescent="0.15">
      <c r="A22" s="177" t="s">
        <v>34</v>
      </c>
      <c r="B22" s="177" t="s">
        <v>338</v>
      </c>
      <c r="C22" s="177">
        <v>2018</v>
      </c>
      <c r="D22" s="179" t="s">
        <v>495</v>
      </c>
      <c r="E22" s="178" t="s">
        <v>279</v>
      </c>
      <c r="F22" s="177" t="s">
        <v>280</v>
      </c>
      <c r="G22" s="180" t="s">
        <v>42</v>
      </c>
      <c r="H22" s="137" t="s">
        <v>157</v>
      </c>
      <c r="I22" s="137" t="s">
        <v>155</v>
      </c>
      <c r="J22" s="137" t="s">
        <v>38</v>
      </c>
      <c r="K22" s="137" t="s">
        <v>156</v>
      </c>
      <c r="L22" s="208">
        <v>3</v>
      </c>
      <c r="N22" s="208">
        <v>1</v>
      </c>
      <c r="O22" s="208">
        <v>0.65</v>
      </c>
      <c r="P22" s="235">
        <v>0.7</v>
      </c>
      <c r="Q22" s="245">
        <f t="shared" si="0"/>
        <v>0.67500000000000004</v>
      </c>
      <c r="R22" s="188">
        <v>16</v>
      </c>
      <c r="S22" s="188">
        <v>139</v>
      </c>
      <c r="T22" s="217">
        <f t="shared" si="1"/>
        <v>30</v>
      </c>
      <c r="U22" s="193">
        <v>127</v>
      </c>
      <c r="V22" s="184">
        <f t="shared" si="2"/>
        <v>3810</v>
      </c>
      <c r="W22" s="190">
        <v>9</v>
      </c>
      <c r="X22" s="186" t="s">
        <v>46</v>
      </c>
      <c r="Y22" s="194" t="s">
        <v>97</v>
      </c>
      <c r="Z22" s="194" t="s">
        <v>86</v>
      </c>
      <c r="AA22" s="195" t="s">
        <v>102</v>
      </c>
      <c r="AB22" s="55" t="s">
        <v>340</v>
      </c>
      <c r="AP22" s="239" t="s">
        <v>115</v>
      </c>
      <c r="AR22" s="238" t="s">
        <v>83</v>
      </c>
      <c r="AV22" s="224"/>
    </row>
    <row r="23" spans="1:48" x14ac:dyDescent="0.15">
      <c r="A23" s="177" t="s">
        <v>34</v>
      </c>
      <c r="B23" s="177" t="s">
        <v>338</v>
      </c>
      <c r="C23" s="178">
        <v>2018</v>
      </c>
      <c r="D23" s="179" t="s">
        <v>495</v>
      </c>
      <c r="E23" s="178" t="s">
        <v>279</v>
      </c>
      <c r="F23" s="177" t="s">
        <v>280</v>
      </c>
      <c r="G23" s="180" t="s">
        <v>42</v>
      </c>
      <c r="H23" s="137" t="s">
        <v>165</v>
      </c>
      <c r="I23" s="137" t="s">
        <v>155</v>
      </c>
      <c r="J23" s="137" t="s">
        <v>38</v>
      </c>
      <c r="K23" s="137" t="s">
        <v>156</v>
      </c>
      <c r="L23" s="208">
        <v>1</v>
      </c>
      <c r="N23" s="208">
        <v>1</v>
      </c>
      <c r="O23" s="208">
        <v>0.6</v>
      </c>
      <c r="P23" s="235">
        <v>0.55000000000000004</v>
      </c>
      <c r="Q23" s="245">
        <f t="shared" si="0"/>
        <v>0.57499999999999996</v>
      </c>
      <c r="R23" s="188">
        <v>17.2</v>
      </c>
      <c r="S23" s="188">
        <v>155</v>
      </c>
      <c r="T23" s="217">
        <f t="shared" si="1"/>
        <v>30</v>
      </c>
      <c r="U23" s="193">
        <v>127</v>
      </c>
      <c r="V23" s="184">
        <f t="shared" si="2"/>
        <v>3810</v>
      </c>
      <c r="W23" s="190">
        <v>9</v>
      </c>
      <c r="X23" s="186" t="s">
        <v>46</v>
      </c>
      <c r="Y23" s="194" t="s">
        <v>97</v>
      </c>
      <c r="Z23" s="194" t="s">
        <v>86</v>
      </c>
      <c r="AA23" s="195" t="s">
        <v>102</v>
      </c>
      <c r="AB23" s="55" t="s">
        <v>340</v>
      </c>
      <c r="AP23" s="239" t="s">
        <v>394</v>
      </c>
      <c r="AR23" s="238" t="s">
        <v>61</v>
      </c>
      <c r="AV23" s="224"/>
    </row>
    <row r="24" spans="1:48" x14ac:dyDescent="0.15">
      <c r="A24" s="177" t="s">
        <v>34</v>
      </c>
      <c r="B24" s="177" t="s">
        <v>338</v>
      </c>
      <c r="C24" s="177">
        <v>2018</v>
      </c>
      <c r="D24" s="179" t="s">
        <v>495</v>
      </c>
      <c r="E24" s="178" t="s">
        <v>279</v>
      </c>
      <c r="F24" s="177" t="s">
        <v>280</v>
      </c>
      <c r="G24" s="180" t="s">
        <v>42</v>
      </c>
      <c r="H24" s="137" t="s">
        <v>165</v>
      </c>
      <c r="I24" s="137" t="s">
        <v>155</v>
      </c>
      <c r="J24" s="137" t="s">
        <v>38</v>
      </c>
      <c r="K24" s="137" t="s">
        <v>156</v>
      </c>
      <c r="L24" s="208">
        <v>2</v>
      </c>
      <c r="N24" s="208">
        <v>1</v>
      </c>
      <c r="O24" s="208">
        <v>0.5</v>
      </c>
      <c r="P24" s="235">
        <v>0.45</v>
      </c>
      <c r="Q24" s="245">
        <f t="shared" si="0"/>
        <v>0.47499999999999998</v>
      </c>
      <c r="R24" s="188">
        <v>16.7</v>
      </c>
      <c r="S24" s="188">
        <v>163</v>
      </c>
      <c r="T24" s="217">
        <f t="shared" si="1"/>
        <v>30</v>
      </c>
      <c r="U24" s="193">
        <v>127</v>
      </c>
      <c r="V24" s="184">
        <f t="shared" si="2"/>
        <v>3810</v>
      </c>
      <c r="W24" s="190">
        <v>9</v>
      </c>
      <c r="X24" s="186" t="s">
        <v>46</v>
      </c>
      <c r="Y24" s="194" t="s">
        <v>97</v>
      </c>
      <c r="Z24" s="194" t="s">
        <v>86</v>
      </c>
      <c r="AA24" s="195" t="s">
        <v>102</v>
      </c>
      <c r="AB24" s="55" t="s">
        <v>340</v>
      </c>
      <c r="AP24" s="239" t="s">
        <v>395</v>
      </c>
      <c r="AR24" s="238" t="s">
        <v>91</v>
      </c>
      <c r="AV24" s="224"/>
    </row>
    <row r="25" spans="1:48" x14ac:dyDescent="0.15">
      <c r="A25" s="177" t="s">
        <v>34</v>
      </c>
      <c r="B25" s="177" t="s">
        <v>338</v>
      </c>
      <c r="C25" s="178">
        <v>2018</v>
      </c>
      <c r="D25" s="179" t="s">
        <v>495</v>
      </c>
      <c r="E25" s="178" t="s">
        <v>279</v>
      </c>
      <c r="F25" s="177" t="s">
        <v>280</v>
      </c>
      <c r="G25" s="180" t="s">
        <v>42</v>
      </c>
      <c r="H25" s="137" t="s">
        <v>165</v>
      </c>
      <c r="I25" s="137" t="s">
        <v>155</v>
      </c>
      <c r="J25" s="137" t="s">
        <v>38</v>
      </c>
      <c r="K25" s="137" t="s">
        <v>156</v>
      </c>
      <c r="L25" s="208">
        <v>3</v>
      </c>
      <c r="N25" s="208">
        <v>1</v>
      </c>
      <c r="O25" s="208">
        <v>0.55000000000000004</v>
      </c>
      <c r="P25" s="235">
        <v>0.6</v>
      </c>
      <c r="Q25" s="245">
        <f t="shared" si="0"/>
        <v>0.57499999999999996</v>
      </c>
      <c r="R25" s="188">
        <v>16.3</v>
      </c>
      <c r="S25" s="188">
        <v>152</v>
      </c>
      <c r="T25" s="217">
        <f t="shared" si="1"/>
        <v>30</v>
      </c>
      <c r="U25" s="193">
        <v>127</v>
      </c>
      <c r="V25" s="184">
        <f t="shared" si="2"/>
        <v>3810</v>
      </c>
      <c r="W25" s="190">
        <v>9</v>
      </c>
      <c r="X25" s="186" t="s">
        <v>46</v>
      </c>
      <c r="Y25" s="194" t="s">
        <v>97</v>
      </c>
      <c r="Z25" s="194" t="s">
        <v>86</v>
      </c>
      <c r="AA25" s="195" t="s">
        <v>102</v>
      </c>
      <c r="AB25" s="55" t="s">
        <v>340</v>
      </c>
      <c r="AP25" s="239" t="s">
        <v>116</v>
      </c>
      <c r="AR25" s="42" t="s">
        <v>92</v>
      </c>
      <c r="AV25" s="224"/>
    </row>
    <row r="26" spans="1:48" x14ac:dyDescent="0.15">
      <c r="A26" s="177" t="s">
        <v>34</v>
      </c>
      <c r="B26" s="177" t="s">
        <v>338</v>
      </c>
      <c r="C26" s="177">
        <v>2018</v>
      </c>
      <c r="D26" s="179" t="s">
        <v>495</v>
      </c>
      <c r="E26" s="178" t="s">
        <v>512</v>
      </c>
      <c r="F26" s="177" t="s">
        <v>280</v>
      </c>
      <c r="G26" s="180" t="s">
        <v>42</v>
      </c>
      <c r="H26" s="137" t="s">
        <v>157</v>
      </c>
      <c r="I26" s="137" t="s">
        <v>155</v>
      </c>
      <c r="J26" s="137" t="s">
        <v>38</v>
      </c>
      <c r="K26" s="137" t="s">
        <v>156</v>
      </c>
      <c r="L26" s="208">
        <v>1</v>
      </c>
      <c r="N26" s="208">
        <v>1</v>
      </c>
      <c r="O26" s="208">
        <v>0.5</v>
      </c>
      <c r="P26" s="237">
        <v>0.5</v>
      </c>
      <c r="Q26" s="245">
        <f t="shared" si="0"/>
        <v>0.5</v>
      </c>
      <c r="R26" s="188">
        <v>15.1</v>
      </c>
      <c r="S26" s="188">
        <v>140</v>
      </c>
      <c r="T26" s="217">
        <f t="shared" si="1"/>
        <v>30</v>
      </c>
      <c r="U26" s="193">
        <v>129</v>
      </c>
      <c r="V26" s="184">
        <f t="shared" si="2"/>
        <v>3870</v>
      </c>
      <c r="W26" s="190">
        <v>2</v>
      </c>
      <c r="X26" s="186" t="s">
        <v>46</v>
      </c>
      <c r="Y26" s="195" t="s">
        <v>88</v>
      </c>
      <c r="Z26" s="194" t="s">
        <v>97</v>
      </c>
      <c r="AA26" s="195" t="s">
        <v>78</v>
      </c>
      <c r="AB26" s="55" t="s">
        <v>340</v>
      </c>
      <c r="AP26" s="239" t="s">
        <v>117</v>
      </c>
      <c r="AR26" s="224" t="s">
        <v>289</v>
      </c>
      <c r="AV26" s="228"/>
    </row>
    <row r="27" spans="1:48" x14ac:dyDescent="0.15">
      <c r="A27" s="177" t="s">
        <v>34</v>
      </c>
      <c r="B27" s="177" t="s">
        <v>338</v>
      </c>
      <c r="C27" s="178">
        <v>2018</v>
      </c>
      <c r="D27" s="179" t="s">
        <v>495</v>
      </c>
      <c r="E27" s="178" t="s">
        <v>512</v>
      </c>
      <c r="F27" s="177" t="s">
        <v>280</v>
      </c>
      <c r="G27" s="180" t="s">
        <v>42</v>
      </c>
      <c r="H27" s="137" t="s">
        <v>157</v>
      </c>
      <c r="I27" s="137" t="s">
        <v>155</v>
      </c>
      <c r="J27" s="137" t="s">
        <v>38</v>
      </c>
      <c r="K27" s="137" t="s">
        <v>156</v>
      </c>
      <c r="L27" s="208">
        <v>2</v>
      </c>
      <c r="N27" s="208">
        <v>1</v>
      </c>
      <c r="O27" s="235">
        <v>0.65</v>
      </c>
      <c r="P27" s="237">
        <v>0.75</v>
      </c>
      <c r="Q27" s="245">
        <f t="shared" si="0"/>
        <v>0.7</v>
      </c>
      <c r="R27" s="188">
        <v>15.3</v>
      </c>
      <c r="S27" s="188">
        <v>143</v>
      </c>
      <c r="T27" s="217">
        <f t="shared" si="1"/>
        <v>30</v>
      </c>
      <c r="U27" s="193">
        <v>129</v>
      </c>
      <c r="V27" s="184">
        <f t="shared" si="2"/>
        <v>3870</v>
      </c>
      <c r="W27" s="190">
        <v>2</v>
      </c>
      <c r="X27" s="186" t="s">
        <v>46</v>
      </c>
      <c r="Y27" s="195" t="s">
        <v>88</v>
      </c>
      <c r="Z27" s="194" t="s">
        <v>97</v>
      </c>
      <c r="AA27" s="195" t="s">
        <v>78</v>
      </c>
      <c r="AB27" s="55" t="s">
        <v>340</v>
      </c>
      <c r="AP27" s="239" t="s">
        <v>118</v>
      </c>
      <c r="AR27" s="224"/>
    </row>
    <row r="28" spans="1:48" x14ac:dyDescent="0.15">
      <c r="A28" s="177" t="s">
        <v>34</v>
      </c>
      <c r="B28" s="177" t="s">
        <v>338</v>
      </c>
      <c r="C28" s="177">
        <v>2018</v>
      </c>
      <c r="D28" s="179" t="s">
        <v>495</v>
      </c>
      <c r="E28" s="178" t="s">
        <v>512</v>
      </c>
      <c r="F28" s="177" t="s">
        <v>280</v>
      </c>
      <c r="G28" s="180" t="s">
        <v>42</v>
      </c>
      <c r="H28" s="137" t="s">
        <v>157</v>
      </c>
      <c r="I28" s="137" t="s">
        <v>155</v>
      </c>
      <c r="J28" s="137" t="s">
        <v>38</v>
      </c>
      <c r="K28" s="137" t="s">
        <v>156</v>
      </c>
      <c r="L28" s="208">
        <v>3</v>
      </c>
      <c r="N28" s="208">
        <v>1</v>
      </c>
      <c r="O28" s="235">
        <v>0.55000000000000004</v>
      </c>
      <c r="P28" s="208">
        <v>0.6</v>
      </c>
      <c r="Q28" s="245">
        <f t="shared" si="0"/>
        <v>0.57499999999999996</v>
      </c>
      <c r="R28" s="188">
        <v>15.4</v>
      </c>
      <c r="S28" s="188">
        <v>136</v>
      </c>
      <c r="T28" s="217">
        <f t="shared" si="1"/>
        <v>30</v>
      </c>
      <c r="U28" s="193">
        <v>129</v>
      </c>
      <c r="V28" s="184">
        <f t="shared" si="2"/>
        <v>3870</v>
      </c>
      <c r="W28" s="190">
        <v>2</v>
      </c>
      <c r="X28" s="186" t="s">
        <v>46</v>
      </c>
      <c r="Y28" s="195" t="s">
        <v>88</v>
      </c>
      <c r="Z28" s="194" t="s">
        <v>97</v>
      </c>
      <c r="AA28" s="195" t="s">
        <v>78</v>
      </c>
      <c r="AB28" s="55" t="s">
        <v>340</v>
      </c>
      <c r="AR28" s="224"/>
    </row>
    <row r="29" spans="1:48" x14ac:dyDescent="0.15">
      <c r="A29" s="177" t="s">
        <v>34</v>
      </c>
      <c r="B29" s="177" t="s">
        <v>338</v>
      </c>
      <c r="C29" s="177">
        <v>2018</v>
      </c>
      <c r="D29" s="179" t="s">
        <v>495</v>
      </c>
      <c r="E29" s="178" t="s">
        <v>512</v>
      </c>
      <c r="F29" s="177" t="s">
        <v>280</v>
      </c>
      <c r="G29" s="180" t="s">
        <v>42</v>
      </c>
      <c r="H29" s="137" t="s">
        <v>165</v>
      </c>
      <c r="I29" s="137" t="s">
        <v>155</v>
      </c>
      <c r="J29" s="137" t="s">
        <v>38</v>
      </c>
      <c r="K29" s="137" t="s">
        <v>156</v>
      </c>
      <c r="L29" s="208">
        <v>1</v>
      </c>
      <c r="N29" s="208">
        <v>1</v>
      </c>
      <c r="O29" s="208">
        <v>0.85</v>
      </c>
      <c r="P29" s="208">
        <v>0.9</v>
      </c>
      <c r="Q29" s="245">
        <f t="shared" si="0"/>
        <v>0.875</v>
      </c>
      <c r="R29" s="188">
        <v>14.7</v>
      </c>
      <c r="S29" s="188">
        <v>135</v>
      </c>
      <c r="T29" s="217">
        <f t="shared" si="1"/>
        <v>30</v>
      </c>
      <c r="U29" s="193">
        <v>129</v>
      </c>
      <c r="V29" s="184">
        <f t="shared" si="2"/>
        <v>3870</v>
      </c>
      <c r="W29" s="190">
        <v>2</v>
      </c>
      <c r="X29" s="186" t="s">
        <v>46</v>
      </c>
      <c r="Y29" s="195" t="s">
        <v>88</v>
      </c>
      <c r="Z29" s="194" t="s">
        <v>97</v>
      </c>
      <c r="AA29" s="195" t="s">
        <v>78</v>
      </c>
      <c r="AB29" s="55" t="s">
        <v>340</v>
      </c>
      <c r="AR29" s="229"/>
    </row>
    <row r="30" spans="1:48" x14ac:dyDescent="0.15">
      <c r="A30" s="177" t="s">
        <v>34</v>
      </c>
      <c r="B30" s="177" t="s">
        <v>338</v>
      </c>
      <c r="C30" s="178">
        <v>2018</v>
      </c>
      <c r="D30" s="179" t="s">
        <v>495</v>
      </c>
      <c r="E30" s="178" t="s">
        <v>512</v>
      </c>
      <c r="F30" s="177" t="s">
        <v>280</v>
      </c>
      <c r="G30" s="180" t="s">
        <v>42</v>
      </c>
      <c r="H30" s="137" t="s">
        <v>165</v>
      </c>
      <c r="I30" s="137" t="s">
        <v>155</v>
      </c>
      <c r="J30" s="137" t="s">
        <v>38</v>
      </c>
      <c r="K30" s="137" t="s">
        <v>156</v>
      </c>
      <c r="L30" s="208">
        <v>2</v>
      </c>
      <c r="N30" s="208">
        <v>1</v>
      </c>
      <c r="O30" s="208">
        <v>0.65</v>
      </c>
      <c r="P30" s="208">
        <v>0.6</v>
      </c>
      <c r="Q30" s="245">
        <f t="shared" si="0"/>
        <v>0.625</v>
      </c>
      <c r="R30" s="188">
        <v>15.3</v>
      </c>
      <c r="S30" s="188">
        <v>145</v>
      </c>
      <c r="T30" s="217">
        <f t="shared" si="1"/>
        <v>30</v>
      </c>
      <c r="U30" s="193">
        <v>129</v>
      </c>
      <c r="V30" s="184">
        <f t="shared" si="2"/>
        <v>3870</v>
      </c>
      <c r="W30" s="190">
        <v>2</v>
      </c>
      <c r="X30" s="186" t="s">
        <v>46</v>
      </c>
      <c r="Y30" s="195" t="s">
        <v>88</v>
      </c>
      <c r="Z30" s="194" t="s">
        <v>97</v>
      </c>
      <c r="AA30" s="195" t="s">
        <v>78</v>
      </c>
      <c r="AB30" s="55" t="s">
        <v>340</v>
      </c>
    </row>
    <row r="31" spans="1:48" x14ac:dyDescent="0.15">
      <c r="A31" s="177" t="s">
        <v>34</v>
      </c>
      <c r="B31" s="177" t="s">
        <v>338</v>
      </c>
      <c r="C31" s="177">
        <v>2018</v>
      </c>
      <c r="D31" s="179" t="s">
        <v>495</v>
      </c>
      <c r="E31" s="178" t="s">
        <v>512</v>
      </c>
      <c r="F31" s="177" t="s">
        <v>280</v>
      </c>
      <c r="G31" s="180" t="s">
        <v>42</v>
      </c>
      <c r="H31" s="137" t="s">
        <v>165</v>
      </c>
      <c r="I31" s="137" t="s">
        <v>155</v>
      </c>
      <c r="J31" s="137" t="s">
        <v>38</v>
      </c>
      <c r="K31" s="137" t="s">
        <v>156</v>
      </c>
      <c r="L31" s="208">
        <v>3</v>
      </c>
      <c r="N31" s="208">
        <v>1</v>
      </c>
      <c r="O31" s="208">
        <v>0.7</v>
      </c>
      <c r="P31" s="208">
        <v>0.6</v>
      </c>
      <c r="Q31" s="245">
        <f t="shared" si="0"/>
        <v>0.64999999999999991</v>
      </c>
      <c r="R31" s="188">
        <v>15.5</v>
      </c>
      <c r="S31" s="188">
        <v>143</v>
      </c>
      <c r="T31" s="217">
        <f t="shared" si="1"/>
        <v>30</v>
      </c>
      <c r="U31" s="193">
        <v>129</v>
      </c>
      <c r="V31" s="184">
        <f t="shared" si="2"/>
        <v>3870</v>
      </c>
      <c r="W31" s="190">
        <v>2</v>
      </c>
      <c r="X31" s="186" t="s">
        <v>46</v>
      </c>
      <c r="Y31" s="195" t="s">
        <v>88</v>
      </c>
      <c r="Z31" s="194" t="s">
        <v>97</v>
      </c>
      <c r="AA31" s="195" t="s">
        <v>78</v>
      </c>
      <c r="AB31" s="55" t="s">
        <v>340</v>
      </c>
    </row>
    <row r="32" spans="1:48" ht="14.25" customHeight="1" x14ac:dyDescent="0.15">
      <c r="A32" s="177" t="s">
        <v>34</v>
      </c>
      <c r="B32" s="177" t="s">
        <v>338</v>
      </c>
      <c r="C32" s="178">
        <v>2018</v>
      </c>
      <c r="D32" s="179" t="s">
        <v>495</v>
      </c>
      <c r="E32" s="178" t="s">
        <v>279</v>
      </c>
      <c r="F32" s="177" t="s">
        <v>287</v>
      </c>
      <c r="G32" s="180" t="s">
        <v>42</v>
      </c>
      <c r="H32" s="137" t="s">
        <v>157</v>
      </c>
      <c r="I32" s="137" t="s">
        <v>155</v>
      </c>
      <c r="J32" s="137" t="s">
        <v>38</v>
      </c>
      <c r="K32" s="137" t="s">
        <v>156</v>
      </c>
      <c r="L32" s="208">
        <v>1</v>
      </c>
      <c r="N32" s="208">
        <v>1</v>
      </c>
      <c r="O32" s="208">
        <v>0.65</v>
      </c>
      <c r="P32" s="208">
        <v>0.65</v>
      </c>
      <c r="Q32" s="245">
        <f t="shared" si="0"/>
        <v>0.65</v>
      </c>
      <c r="R32" s="188">
        <v>15.7</v>
      </c>
      <c r="S32" s="188">
        <v>148</v>
      </c>
      <c r="T32" s="217">
        <f t="shared" si="1"/>
        <v>30</v>
      </c>
      <c r="U32" s="193">
        <v>127</v>
      </c>
      <c r="V32" s="184">
        <f t="shared" si="2"/>
        <v>3810</v>
      </c>
      <c r="W32" s="190">
        <v>6</v>
      </c>
      <c r="X32" s="186" t="s">
        <v>46</v>
      </c>
      <c r="Y32" s="195" t="s">
        <v>102</v>
      </c>
      <c r="Z32" s="194" t="s">
        <v>107</v>
      </c>
      <c r="AA32" s="194" t="s">
        <v>88</v>
      </c>
      <c r="AB32" s="55" t="s">
        <v>340</v>
      </c>
    </row>
    <row r="33" spans="1:28" x14ac:dyDescent="0.15">
      <c r="A33" s="177" t="s">
        <v>34</v>
      </c>
      <c r="B33" s="177" t="s">
        <v>338</v>
      </c>
      <c r="C33" s="177">
        <v>2018</v>
      </c>
      <c r="D33" s="179" t="s">
        <v>495</v>
      </c>
      <c r="E33" s="178" t="s">
        <v>279</v>
      </c>
      <c r="F33" s="177" t="s">
        <v>287</v>
      </c>
      <c r="G33" s="180" t="s">
        <v>42</v>
      </c>
      <c r="H33" s="137" t="s">
        <v>157</v>
      </c>
      <c r="I33" s="137" t="s">
        <v>155</v>
      </c>
      <c r="J33" s="137" t="s">
        <v>38</v>
      </c>
      <c r="K33" s="137" t="s">
        <v>156</v>
      </c>
      <c r="L33" s="208">
        <v>2</v>
      </c>
      <c r="N33" s="208">
        <v>1</v>
      </c>
      <c r="O33" s="208">
        <v>0.6</v>
      </c>
      <c r="P33" s="208">
        <v>0.7</v>
      </c>
      <c r="Q33" s="245">
        <f t="shared" si="0"/>
        <v>0.64999999999999991</v>
      </c>
      <c r="R33" s="188">
        <v>15.8</v>
      </c>
      <c r="S33" s="188">
        <v>146</v>
      </c>
      <c r="T33" s="217">
        <f t="shared" si="1"/>
        <v>30</v>
      </c>
      <c r="U33" s="193">
        <v>127</v>
      </c>
      <c r="V33" s="184">
        <f t="shared" si="2"/>
        <v>3810</v>
      </c>
      <c r="W33" s="190">
        <v>6</v>
      </c>
      <c r="X33" s="186" t="s">
        <v>46</v>
      </c>
      <c r="Y33" s="195" t="s">
        <v>102</v>
      </c>
      <c r="Z33" s="194" t="s">
        <v>107</v>
      </c>
      <c r="AA33" s="194" t="s">
        <v>88</v>
      </c>
      <c r="AB33" s="55" t="s">
        <v>340</v>
      </c>
    </row>
    <row r="34" spans="1:28" x14ac:dyDescent="0.15">
      <c r="A34" s="177" t="s">
        <v>34</v>
      </c>
      <c r="B34" s="177" t="s">
        <v>338</v>
      </c>
      <c r="C34" s="178">
        <v>2018</v>
      </c>
      <c r="D34" s="179" t="s">
        <v>495</v>
      </c>
      <c r="E34" s="178" t="s">
        <v>279</v>
      </c>
      <c r="F34" s="177" t="s">
        <v>287</v>
      </c>
      <c r="G34" s="180" t="s">
        <v>42</v>
      </c>
      <c r="H34" s="137" t="s">
        <v>157</v>
      </c>
      <c r="I34" s="137" t="s">
        <v>155</v>
      </c>
      <c r="J34" s="137" t="s">
        <v>38</v>
      </c>
      <c r="K34" s="137" t="s">
        <v>156</v>
      </c>
      <c r="L34" s="208">
        <v>3</v>
      </c>
      <c r="N34" s="208">
        <v>1</v>
      </c>
      <c r="O34" s="208">
        <v>0.65</v>
      </c>
      <c r="P34" s="235">
        <v>0.7</v>
      </c>
      <c r="Q34" s="245">
        <f t="shared" si="0"/>
        <v>0.67500000000000004</v>
      </c>
      <c r="R34" s="188">
        <v>16.100000000000001</v>
      </c>
      <c r="S34" s="188">
        <v>142</v>
      </c>
      <c r="T34" s="217">
        <f t="shared" si="1"/>
        <v>30</v>
      </c>
      <c r="U34" s="193">
        <v>127</v>
      </c>
      <c r="V34" s="184">
        <f t="shared" si="2"/>
        <v>3810</v>
      </c>
      <c r="W34" s="190">
        <v>6</v>
      </c>
      <c r="X34" s="186" t="s">
        <v>46</v>
      </c>
      <c r="Y34" s="195" t="s">
        <v>102</v>
      </c>
      <c r="Z34" s="194" t="s">
        <v>107</v>
      </c>
      <c r="AA34" s="194" t="s">
        <v>88</v>
      </c>
      <c r="AB34" s="55" t="s">
        <v>340</v>
      </c>
    </row>
    <row r="35" spans="1:28" x14ac:dyDescent="0.15">
      <c r="A35" s="177" t="s">
        <v>34</v>
      </c>
      <c r="B35" s="177" t="s">
        <v>338</v>
      </c>
      <c r="C35" s="177">
        <v>2018</v>
      </c>
      <c r="D35" s="179" t="s">
        <v>495</v>
      </c>
      <c r="E35" s="178" t="s">
        <v>279</v>
      </c>
      <c r="F35" s="177" t="s">
        <v>287</v>
      </c>
      <c r="G35" s="180" t="s">
        <v>42</v>
      </c>
      <c r="H35" s="137" t="s">
        <v>165</v>
      </c>
      <c r="I35" s="137" t="s">
        <v>155</v>
      </c>
      <c r="J35" s="137" t="s">
        <v>38</v>
      </c>
      <c r="K35" s="137" t="s">
        <v>156</v>
      </c>
      <c r="L35" s="208">
        <v>1</v>
      </c>
      <c r="N35" s="208">
        <v>1</v>
      </c>
      <c r="O35" s="208">
        <v>0.55000000000000004</v>
      </c>
      <c r="P35" s="208">
        <v>0.6</v>
      </c>
      <c r="Q35" s="245">
        <f t="shared" si="0"/>
        <v>0.57499999999999996</v>
      </c>
      <c r="R35" s="188">
        <v>17.399999999999999</v>
      </c>
      <c r="S35" s="188">
        <v>149</v>
      </c>
      <c r="T35" s="217">
        <f t="shared" si="1"/>
        <v>30</v>
      </c>
      <c r="U35" s="193">
        <v>127</v>
      </c>
      <c r="V35" s="184">
        <f t="shared" si="2"/>
        <v>3810</v>
      </c>
      <c r="W35" s="190">
        <v>6</v>
      </c>
      <c r="X35" s="186" t="s">
        <v>46</v>
      </c>
      <c r="Y35" s="194" t="s">
        <v>102</v>
      </c>
      <c r="Z35" s="194" t="s">
        <v>107</v>
      </c>
      <c r="AA35" s="194" t="s">
        <v>88</v>
      </c>
      <c r="AB35" s="55" t="s">
        <v>340</v>
      </c>
    </row>
    <row r="36" spans="1:28" x14ac:dyDescent="0.15">
      <c r="A36" s="177" t="s">
        <v>34</v>
      </c>
      <c r="B36" s="177" t="s">
        <v>338</v>
      </c>
      <c r="C36" s="178">
        <v>2018</v>
      </c>
      <c r="D36" s="179" t="s">
        <v>495</v>
      </c>
      <c r="E36" s="178" t="s">
        <v>279</v>
      </c>
      <c r="F36" s="177" t="s">
        <v>287</v>
      </c>
      <c r="G36" s="180" t="s">
        <v>42</v>
      </c>
      <c r="H36" s="137" t="s">
        <v>165</v>
      </c>
      <c r="I36" s="137" t="s">
        <v>155</v>
      </c>
      <c r="J36" s="137" t="s">
        <v>38</v>
      </c>
      <c r="K36" s="137" t="s">
        <v>156</v>
      </c>
      <c r="L36" s="208">
        <v>2</v>
      </c>
      <c r="N36" s="208">
        <v>1</v>
      </c>
      <c r="O36" s="208">
        <v>0.5</v>
      </c>
      <c r="P36" s="208">
        <v>0.5</v>
      </c>
      <c r="Q36" s="245">
        <f t="shared" si="0"/>
        <v>0.5</v>
      </c>
      <c r="R36" s="188">
        <v>16.600000000000001</v>
      </c>
      <c r="S36" s="188">
        <v>168</v>
      </c>
      <c r="T36" s="217">
        <f t="shared" si="1"/>
        <v>30</v>
      </c>
      <c r="U36" s="193">
        <v>127</v>
      </c>
      <c r="V36" s="184">
        <f t="shared" si="2"/>
        <v>3810</v>
      </c>
      <c r="W36" s="190">
        <v>6</v>
      </c>
      <c r="X36" s="186" t="s">
        <v>46</v>
      </c>
      <c r="Y36" s="194" t="s">
        <v>102</v>
      </c>
      <c r="Z36" s="194" t="s">
        <v>107</v>
      </c>
      <c r="AA36" s="194" t="s">
        <v>88</v>
      </c>
      <c r="AB36" s="55" t="s">
        <v>340</v>
      </c>
    </row>
    <row r="37" spans="1:28" x14ac:dyDescent="0.15">
      <c r="A37" s="177" t="s">
        <v>34</v>
      </c>
      <c r="B37" s="177" t="s">
        <v>338</v>
      </c>
      <c r="C37" s="177">
        <v>2018</v>
      </c>
      <c r="D37" s="179" t="s">
        <v>495</v>
      </c>
      <c r="E37" s="178" t="s">
        <v>279</v>
      </c>
      <c r="F37" s="177" t="s">
        <v>287</v>
      </c>
      <c r="G37" s="180" t="s">
        <v>42</v>
      </c>
      <c r="H37" s="137" t="s">
        <v>165</v>
      </c>
      <c r="I37" s="137" t="s">
        <v>155</v>
      </c>
      <c r="J37" s="137" t="s">
        <v>38</v>
      </c>
      <c r="K37" s="137" t="s">
        <v>156</v>
      </c>
      <c r="L37" s="208">
        <v>3</v>
      </c>
      <c r="N37" s="208">
        <v>1</v>
      </c>
      <c r="O37" s="208">
        <v>0.55000000000000004</v>
      </c>
      <c r="P37" s="208">
        <v>0.6</v>
      </c>
      <c r="Q37" s="245">
        <f t="shared" si="0"/>
        <v>0.57499999999999996</v>
      </c>
      <c r="R37" s="188">
        <v>16.399999999999999</v>
      </c>
      <c r="S37" s="188">
        <v>156</v>
      </c>
      <c r="T37" s="217">
        <f t="shared" si="1"/>
        <v>30</v>
      </c>
      <c r="U37" s="193">
        <v>127</v>
      </c>
      <c r="V37" s="184">
        <f t="shared" si="2"/>
        <v>3810</v>
      </c>
      <c r="W37" s="190">
        <v>6</v>
      </c>
      <c r="X37" s="186" t="s">
        <v>46</v>
      </c>
      <c r="Y37" s="194" t="s">
        <v>102</v>
      </c>
      <c r="Z37" s="194" t="s">
        <v>107</v>
      </c>
      <c r="AA37" s="194" t="s">
        <v>88</v>
      </c>
      <c r="AB37" s="55" t="s">
        <v>340</v>
      </c>
    </row>
    <row r="38" spans="1:28" x14ac:dyDescent="0.15">
      <c r="A38" s="177" t="s">
        <v>34</v>
      </c>
      <c r="B38" s="177" t="s">
        <v>338</v>
      </c>
      <c r="C38" s="178">
        <v>2018</v>
      </c>
      <c r="D38" s="179" t="s">
        <v>495</v>
      </c>
      <c r="E38" s="178" t="s">
        <v>139</v>
      </c>
      <c r="F38" s="177" t="s">
        <v>287</v>
      </c>
      <c r="G38" s="180" t="s">
        <v>36</v>
      </c>
      <c r="H38" s="137" t="s">
        <v>157</v>
      </c>
      <c r="I38" s="137" t="s">
        <v>155</v>
      </c>
      <c r="J38" s="137" t="s">
        <v>38</v>
      </c>
      <c r="K38" s="137" t="s">
        <v>156</v>
      </c>
      <c r="L38" s="208">
        <v>1</v>
      </c>
      <c r="N38" s="208">
        <v>1</v>
      </c>
      <c r="O38" s="208">
        <v>1</v>
      </c>
      <c r="P38" s="208">
        <v>0.85</v>
      </c>
      <c r="Q38" s="245">
        <f t="shared" si="0"/>
        <v>0.92500000000000004</v>
      </c>
      <c r="R38" s="188">
        <v>13.3</v>
      </c>
      <c r="S38" s="188">
        <v>145</v>
      </c>
      <c r="T38" s="217">
        <f t="shared" si="1"/>
        <v>30</v>
      </c>
      <c r="U38" s="193">
        <v>84</v>
      </c>
      <c r="V38" s="184">
        <f t="shared" si="2"/>
        <v>2520</v>
      </c>
      <c r="W38" s="190">
        <v>10</v>
      </c>
      <c r="X38" s="186" t="s">
        <v>46</v>
      </c>
      <c r="Y38" s="194" t="s">
        <v>102</v>
      </c>
      <c r="Z38" s="194" t="s">
        <v>78</v>
      </c>
      <c r="AA38" s="194" t="s">
        <v>97</v>
      </c>
      <c r="AB38" s="55" t="s">
        <v>340</v>
      </c>
    </row>
    <row r="39" spans="1:28" x14ac:dyDescent="0.15">
      <c r="A39" s="177" t="s">
        <v>34</v>
      </c>
      <c r="B39" s="177" t="s">
        <v>338</v>
      </c>
      <c r="C39" s="177">
        <v>2018</v>
      </c>
      <c r="D39" s="179" t="s">
        <v>495</v>
      </c>
      <c r="E39" s="178" t="s">
        <v>139</v>
      </c>
      <c r="F39" s="177" t="s">
        <v>287</v>
      </c>
      <c r="G39" s="180" t="s">
        <v>36</v>
      </c>
      <c r="H39" s="137" t="s">
        <v>157</v>
      </c>
      <c r="I39" s="137" t="s">
        <v>155</v>
      </c>
      <c r="J39" s="137" t="s">
        <v>38</v>
      </c>
      <c r="K39" s="137" t="s">
        <v>156</v>
      </c>
      <c r="L39" s="208">
        <v>2</v>
      </c>
      <c r="N39" s="208">
        <v>1</v>
      </c>
      <c r="O39" s="208">
        <v>0.85</v>
      </c>
      <c r="P39" s="208">
        <v>0.9</v>
      </c>
      <c r="Q39" s="245">
        <f t="shared" si="0"/>
        <v>0.875</v>
      </c>
      <c r="R39" s="188">
        <v>14.7</v>
      </c>
      <c r="S39" s="188">
        <v>139</v>
      </c>
      <c r="T39" s="217">
        <f t="shared" si="1"/>
        <v>30</v>
      </c>
      <c r="U39" s="193">
        <v>84</v>
      </c>
      <c r="V39" s="184">
        <f t="shared" si="2"/>
        <v>2520</v>
      </c>
      <c r="W39" s="190">
        <v>10</v>
      </c>
      <c r="X39" s="186" t="s">
        <v>46</v>
      </c>
      <c r="Y39" s="194" t="s">
        <v>102</v>
      </c>
      <c r="Z39" s="194" t="s">
        <v>78</v>
      </c>
      <c r="AA39" s="194" t="s">
        <v>97</v>
      </c>
      <c r="AB39" s="55" t="s">
        <v>340</v>
      </c>
    </row>
    <row r="40" spans="1:28" ht="12.75" customHeight="1" x14ac:dyDescent="0.15">
      <c r="A40" s="177" t="s">
        <v>34</v>
      </c>
      <c r="B40" s="177" t="s">
        <v>338</v>
      </c>
      <c r="C40" s="178">
        <v>2018</v>
      </c>
      <c r="D40" s="179" t="s">
        <v>495</v>
      </c>
      <c r="E40" s="178" t="s">
        <v>139</v>
      </c>
      <c r="F40" s="177" t="s">
        <v>287</v>
      </c>
      <c r="G40" s="180" t="s">
        <v>36</v>
      </c>
      <c r="H40" s="137" t="s">
        <v>157</v>
      </c>
      <c r="I40" s="137" t="s">
        <v>155</v>
      </c>
      <c r="J40" s="137" t="s">
        <v>38</v>
      </c>
      <c r="K40" s="137" t="s">
        <v>156</v>
      </c>
      <c r="L40" s="208">
        <v>3</v>
      </c>
      <c r="N40" s="208">
        <v>1</v>
      </c>
      <c r="O40" s="208">
        <v>0.9</v>
      </c>
      <c r="P40" s="208">
        <v>0.95</v>
      </c>
      <c r="Q40" s="245">
        <f t="shared" si="0"/>
        <v>0.92500000000000004</v>
      </c>
      <c r="R40" s="188">
        <v>14.6</v>
      </c>
      <c r="S40" s="188">
        <v>146</v>
      </c>
      <c r="T40" s="217">
        <f t="shared" si="1"/>
        <v>30</v>
      </c>
      <c r="U40" s="193">
        <v>84</v>
      </c>
      <c r="V40" s="184">
        <f t="shared" si="2"/>
        <v>2520</v>
      </c>
      <c r="W40" s="190">
        <v>10</v>
      </c>
      <c r="X40" s="186" t="s">
        <v>46</v>
      </c>
      <c r="Y40" s="194" t="s">
        <v>102</v>
      </c>
      <c r="Z40" s="194" t="s">
        <v>78</v>
      </c>
      <c r="AA40" s="194" t="s">
        <v>97</v>
      </c>
      <c r="AB40" s="55" t="s">
        <v>340</v>
      </c>
    </row>
    <row r="41" spans="1:28" ht="12.75" customHeight="1" x14ac:dyDescent="0.15">
      <c r="A41" s="137" t="s">
        <v>34</v>
      </c>
      <c r="B41" s="177" t="s">
        <v>338</v>
      </c>
      <c r="C41" s="178">
        <v>2018</v>
      </c>
      <c r="D41" s="179" t="s">
        <v>495</v>
      </c>
      <c r="E41" s="178" t="s">
        <v>139</v>
      </c>
      <c r="F41" s="177" t="s">
        <v>287</v>
      </c>
      <c r="G41" s="180" t="s">
        <v>36</v>
      </c>
      <c r="H41" s="137" t="s">
        <v>165</v>
      </c>
      <c r="I41" s="137" t="s">
        <v>155</v>
      </c>
      <c r="J41" s="137" t="s">
        <v>38</v>
      </c>
      <c r="K41" s="137" t="s">
        <v>156</v>
      </c>
      <c r="L41" s="208">
        <v>1</v>
      </c>
      <c r="N41" s="208">
        <v>1</v>
      </c>
      <c r="O41" s="208">
        <v>0.6</v>
      </c>
      <c r="P41" s="208">
        <v>0.7</v>
      </c>
      <c r="Q41" s="245">
        <f t="shared" si="0"/>
        <v>0.64999999999999991</v>
      </c>
      <c r="R41" s="188">
        <v>17.399999999999999</v>
      </c>
      <c r="S41" s="188">
        <v>148</v>
      </c>
      <c r="T41" s="217">
        <f t="shared" si="1"/>
        <v>30</v>
      </c>
      <c r="U41" s="193">
        <v>128</v>
      </c>
      <c r="V41" s="184">
        <f t="shared" si="2"/>
        <v>3840</v>
      </c>
      <c r="W41" s="247">
        <v>10</v>
      </c>
      <c r="X41" s="186" t="s">
        <v>46</v>
      </c>
      <c r="Y41" s="198" t="s">
        <v>102</v>
      </c>
      <c r="Z41" s="198" t="s">
        <v>78</v>
      </c>
      <c r="AA41" s="198" t="s">
        <v>97</v>
      </c>
      <c r="AB41" s="55" t="s">
        <v>340</v>
      </c>
    </row>
    <row r="42" spans="1:28" ht="12.75" customHeight="1" x14ac:dyDescent="0.15">
      <c r="A42" s="137" t="s">
        <v>34</v>
      </c>
      <c r="B42" s="177" t="s">
        <v>338</v>
      </c>
      <c r="C42" s="178">
        <v>2018</v>
      </c>
      <c r="D42" s="179" t="s">
        <v>495</v>
      </c>
      <c r="E42" s="178" t="s">
        <v>139</v>
      </c>
      <c r="F42" s="177" t="s">
        <v>287</v>
      </c>
      <c r="G42" s="180" t="s">
        <v>36</v>
      </c>
      <c r="H42" s="137" t="s">
        <v>165</v>
      </c>
      <c r="I42" s="137" t="s">
        <v>155</v>
      </c>
      <c r="J42" s="137" t="s">
        <v>38</v>
      </c>
      <c r="K42" s="137" t="s">
        <v>156</v>
      </c>
      <c r="L42" s="208">
        <v>2</v>
      </c>
      <c r="N42" s="208">
        <v>1</v>
      </c>
      <c r="O42" s="208">
        <v>0.55000000000000004</v>
      </c>
      <c r="P42" s="208">
        <v>0.5</v>
      </c>
      <c r="Q42" s="245">
        <f t="shared" si="0"/>
        <v>0.52500000000000002</v>
      </c>
      <c r="R42" s="188">
        <v>16.8</v>
      </c>
      <c r="S42" s="188">
        <v>148</v>
      </c>
      <c r="T42" s="217">
        <f t="shared" si="1"/>
        <v>30</v>
      </c>
      <c r="U42" s="193">
        <v>128</v>
      </c>
      <c r="V42" s="184">
        <f t="shared" si="2"/>
        <v>3840</v>
      </c>
      <c r="W42" s="247">
        <v>10</v>
      </c>
      <c r="X42" s="186" t="s">
        <v>46</v>
      </c>
      <c r="Y42" s="198" t="s">
        <v>102</v>
      </c>
      <c r="Z42" s="198" t="s">
        <v>78</v>
      </c>
      <c r="AA42" s="198" t="s">
        <v>97</v>
      </c>
      <c r="AB42" s="55" t="s">
        <v>340</v>
      </c>
    </row>
    <row r="43" spans="1:28" ht="12.75" customHeight="1" x14ac:dyDescent="0.15">
      <c r="A43" s="137" t="s">
        <v>34</v>
      </c>
      <c r="B43" s="177" t="s">
        <v>338</v>
      </c>
      <c r="C43" s="178">
        <v>2018</v>
      </c>
      <c r="D43" s="179" t="s">
        <v>495</v>
      </c>
      <c r="E43" s="178" t="s">
        <v>139</v>
      </c>
      <c r="F43" s="177" t="s">
        <v>287</v>
      </c>
      <c r="G43" s="180" t="s">
        <v>36</v>
      </c>
      <c r="H43" s="137" t="s">
        <v>165</v>
      </c>
      <c r="I43" s="137" t="s">
        <v>155</v>
      </c>
      <c r="J43" s="137" t="s">
        <v>38</v>
      </c>
      <c r="K43" s="137" t="s">
        <v>156</v>
      </c>
      <c r="L43" s="208">
        <v>3</v>
      </c>
      <c r="N43" s="208">
        <v>1</v>
      </c>
      <c r="O43" s="208">
        <v>0.5</v>
      </c>
      <c r="P43" s="208">
        <v>0.45</v>
      </c>
      <c r="Q43" s="245">
        <f t="shared" si="0"/>
        <v>0.47499999999999998</v>
      </c>
      <c r="R43" s="188">
        <v>17.7</v>
      </c>
      <c r="S43" s="188">
        <v>145</v>
      </c>
      <c r="T43" s="217">
        <f t="shared" si="1"/>
        <v>30</v>
      </c>
      <c r="U43" s="193">
        <v>128</v>
      </c>
      <c r="V43" s="184">
        <f t="shared" si="2"/>
        <v>3840</v>
      </c>
      <c r="W43" s="247">
        <v>10</v>
      </c>
      <c r="X43" s="186" t="s">
        <v>46</v>
      </c>
      <c r="Y43" s="198" t="s">
        <v>102</v>
      </c>
      <c r="Z43" s="198" t="s">
        <v>78</v>
      </c>
      <c r="AA43" s="198" t="s">
        <v>97</v>
      </c>
      <c r="AB43" s="55" t="s">
        <v>340</v>
      </c>
    </row>
    <row r="44" spans="1:28" x14ac:dyDescent="0.15">
      <c r="A44" s="208" t="s">
        <v>34</v>
      </c>
      <c r="B44" s="177" t="s">
        <v>338</v>
      </c>
      <c r="C44" s="178">
        <v>2018</v>
      </c>
      <c r="D44" s="179" t="s">
        <v>495</v>
      </c>
      <c r="E44" s="178" t="s">
        <v>133</v>
      </c>
      <c r="F44" s="177" t="s">
        <v>281</v>
      </c>
      <c r="G44" s="180" t="s">
        <v>36</v>
      </c>
      <c r="H44" s="137" t="s">
        <v>157</v>
      </c>
      <c r="I44" s="137" t="s">
        <v>155</v>
      </c>
      <c r="J44" s="247" t="s">
        <v>38</v>
      </c>
      <c r="K44" s="137" t="s">
        <v>156</v>
      </c>
      <c r="L44" s="208">
        <v>1</v>
      </c>
      <c r="N44" s="208">
        <v>1</v>
      </c>
      <c r="O44" s="208">
        <v>0.8</v>
      </c>
      <c r="P44" s="208">
        <v>0.7</v>
      </c>
      <c r="Q44" s="245">
        <f t="shared" si="0"/>
        <v>0.75</v>
      </c>
      <c r="R44" s="188">
        <v>14.6</v>
      </c>
      <c r="S44" s="188">
        <v>138</v>
      </c>
      <c r="T44" s="217">
        <f t="shared" si="1"/>
        <v>30</v>
      </c>
      <c r="U44" s="193">
        <v>149</v>
      </c>
      <c r="V44" s="217">
        <f t="shared" si="2"/>
        <v>4470</v>
      </c>
      <c r="W44" s="208">
        <v>10</v>
      </c>
      <c r="X44" s="186" t="s">
        <v>46</v>
      </c>
      <c r="Y44" s="198" t="s">
        <v>102</v>
      </c>
      <c r="Z44" s="198" t="s">
        <v>97</v>
      </c>
      <c r="AA44" s="198" t="s">
        <v>88</v>
      </c>
      <c r="AB44" s="55" t="s">
        <v>340</v>
      </c>
    </row>
    <row r="45" spans="1:28" x14ac:dyDescent="0.15">
      <c r="A45" s="208" t="s">
        <v>34</v>
      </c>
      <c r="B45" s="177" t="s">
        <v>338</v>
      </c>
      <c r="C45" s="177">
        <v>2018</v>
      </c>
      <c r="D45" s="179" t="s">
        <v>495</v>
      </c>
      <c r="E45" s="178" t="s">
        <v>133</v>
      </c>
      <c r="F45" s="177" t="s">
        <v>281</v>
      </c>
      <c r="G45" s="180" t="s">
        <v>36</v>
      </c>
      <c r="H45" s="137" t="s">
        <v>157</v>
      </c>
      <c r="I45" s="137" t="s">
        <v>155</v>
      </c>
      <c r="J45" s="247" t="s">
        <v>38</v>
      </c>
      <c r="K45" s="137" t="s">
        <v>156</v>
      </c>
      <c r="L45" s="208">
        <v>2</v>
      </c>
      <c r="N45" s="208">
        <v>1</v>
      </c>
      <c r="O45" s="208">
        <v>0.7</v>
      </c>
      <c r="P45" s="208">
        <v>0.75</v>
      </c>
      <c r="Q45" s="245">
        <f t="shared" si="0"/>
        <v>0.72499999999999998</v>
      </c>
      <c r="R45" s="188">
        <v>15.1</v>
      </c>
      <c r="S45" s="188">
        <v>136</v>
      </c>
      <c r="T45" s="217">
        <f t="shared" si="1"/>
        <v>30</v>
      </c>
      <c r="U45" s="193">
        <v>149</v>
      </c>
      <c r="V45" s="217">
        <f t="shared" si="2"/>
        <v>4470</v>
      </c>
      <c r="W45" s="208">
        <v>10</v>
      </c>
      <c r="X45" s="186" t="s">
        <v>46</v>
      </c>
      <c r="Y45" s="198" t="s">
        <v>102</v>
      </c>
      <c r="Z45" s="198" t="s">
        <v>97</v>
      </c>
      <c r="AA45" s="198" t="s">
        <v>88</v>
      </c>
      <c r="AB45" s="55" t="s">
        <v>340</v>
      </c>
    </row>
    <row r="46" spans="1:28" x14ac:dyDescent="0.15">
      <c r="A46" s="208" t="s">
        <v>34</v>
      </c>
      <c r="B46" s="177" t="s">
        <v>338</v>
      </c>
      <c r="C46" s="178">
        <v>2018</v>
      </c>
      <c r="D46" s="179" t="s">
        <v>495</v>
      </c>
      <c r="E46" s="178" t="s">
        <v>133</v>
      </c>
      <c r="F46" s="177" t="s">
        <v>281</v>
      </c>
      <c r="G46" s="180" t="s">
        <v>36</v>
      </c>
      <c r="H46" s="137" t="s">
        <v>157</v>
      </c>
      <c r="I46" s="137" t="s">
        <v>155</v>
      </c>
      <c r="J46" s="247" t="s">
        <v>38</v>
      </c>
      <c r="K46" s="137" t="s">
        <v>156</v>
      </c>
      <c r="L46" s="208">
        <v>3</v>
      </c>
      <c r="N46" s="208">
        <v>1</v>
      </c>
      <c r="O46" s="208">
        <v>0.8</v>
      </c>
      <c r="P46" s="208">
        <v>0.8</v>
      </c>
      <c r="Q46" s="245">
        <f t="shared" si="0"/>
        <v>0.8</v>
      </c>
      <c r="R46" s="188">
        <v>14.4</v>
      </c>
      <c r="S46" s="188">
        <v>143</v>
      </c>
      <c r="T46" s="217">
        <f t="shared" si="1"/>
        <v>30</v>
      </c>
      <c r="U46" s="193">
        <v>149</v>
      </c>
      <c r="V46" s="217">
        <f t="shared" si="2"/>
        <v>4470</v>
      </c>
      <c r="W46" s="208">
        <v>10</v>
      </c>
      <c r="X46" s="186" t="s">
        <v>46</v>
      </c>
      <c r="Y46" s="198" t="s">
        <v>102</v>
      </c>
      <c r="Z46" s="198" t="s">
        <v>97</v>
      </c>
      <c r="AA46" s="198" t="s">
        <v>88</v>
      </c>
      <c r="AB46" s="55" t="s">
        <v>340</v>
      </c>
    </row>
    <row r="47" spans="1:28" x14ac:dyDescent="0.15">
      <c r="A47" s="208" t="s">
        <v>34</v>
      </c>
      <c r="B47" s="235" t="s">
        <v>338</v>
      </c>
      <c r="C47" s="208">
        <v>2018</v>
      </c>
      <c r="D47" s="179" t="s">
        <v>495</v>
      </c>
      <c r="E47" s="208" t="s">
        <v>133</v>
      </c>
      <c r="F47" s="177" t="s">
        <v>281</v>
      </c>
      <c r="G47" s="180" t="s">
        <v>36</v>
      </c>
      <c r="H47" s="137" t="s">
        <v>165</v>
      </c>
      <c r="I47" s="137" t="s">
        <v>155</v>
      </c>
      <c r="J47" s="247" t="s">
        <v>38</v>
      </c>
      <c r="K47" s="137" t="s">
        <v>156</v>
      </c>
      <c r="L47" s="208">
        <v>1</v>
      </c>
      <c r="N47" s="208">
        <v>1</v>
      </c>
      <c r="O47" s="208">
        <v>0.65</v>
      </c>
      <c r="P47" s="208">
        <v>0.7</v>
      </c>
      <c r="Q47" s="245">
        <f t="shared" si="0"/>
        <v>0.67500000000000004</v>
      </c>
      <c r="R47" s="188">
        <v>15.2</v>
      </c>
      <c r="S47" s="188">
        <v>157</v>
      </c>
      <c r="T47" s="217">
        <f t="shared" si="1"/>
        <v>30</v>
      </c>
      <c r="U47" s="208">
        <v>149</v>
      </c>
      <c r="V47" s="217">
        <f t="shared" si="2"/>
        <v>4470</v>
      </c>
      <c r="W47" s="208">
        <v>10</v>
      </c>
      <c r="X47" s="186" t="s">
        <v>46</v>
      </c>
      <c r="Y47" s="208" t="s">
        <v>102</v>
      </c>
      <c r="Z47" s="208" t="s">
        <v>97</v>
      </c>
      <c r="AA47" s="208" t="s">
        <v>88</v>
      </c>
      <c r="AB47" s="55" t="s">
        <v>340</v>
      </c>
    </row>
    <row r="48" spans="1:28" x14ac:dyDescent="0.15">
      <c r="A48" s="208" t="s">
        <v>34</v>
      </c>
      <c r="B48" s="235" t="s">
        <v>338</v>
      </c>
      <c r="C48" s="208">
        <v>2018</v>
      </c>
      <c r="D48" s="179" t="s">
        <v>495</v>
      </c>
      <c r="E48" s="208" t="s">
        <v>133</v>
      </c>
      <c r="F48" s="177" t="s">
        <v>281</v>
      </c>
      <c r="G48" s="180" t="s">
        <v>36</v>
      </c>
      <c r="H48" s="137" t="s">
        <v>165</v>
      </c>
      <c r="I48" s="137" t="s">
        <v>155</v>
      </c>
      <c r="J48" s="247" t="s">
        <v>38</v>
      </c>
      <c r="K48" s="137" t="s">
        <v>156</v>
      </c>
      <c r="L48" s="208">
        <v>2</v>
      </c>
      <c r="N48" s="208">
        <v>1</v>
      </c>
      <c r="O48" s="208">
        <v>0.55000000000000004</v>
      </c>
      <c r="P48" s="208">
        <v>0.5</v>
      </c>
      <c r="Q48" s="245">
        <f t="shared" si="0"/>
        <v>0.52500000000000002</v>
      </c>
      <c r="R48" s="188">
        <v>15.4</v>
      </c>
      <c r="S48" s="188">
        <v>164</v>
      </c>
      <c r="T48" s="217">
        <f t="shared" si="1"/>
        <v>30</v>
      </c>
      <c r="U48" s="208">
        <v>149</v>
      </c>
      <c r="V48" s="217">
        <f t="shared" si="2"/>
        <v>4470</v>
      </c>
      <c r="W48" s="208">
        <v>10</v>
      </c>
      <c r="X48" s="186" t="s">
        <v>46</v>
      </c>
      <c r="Y48" s="208" t="s">
        <v>102</v>
      </c>
      <c r="Z48" s="208" t="s">
        <v>97</v>
      </c>
      <c r="AA48" s="208" t="s">
        <v>88</v>
      </c>
      <c r="AB48" s="55" t="s">
        <v>340</v>
      </c>
    </row>
    <row r="49" spans="1:28" x14ac:dyDescent="0.15">
      <c r="A49" s="208" t="s">
        <v>34</v>
      </c>
      <c r="B49" s="235" t="s">
        <v>338</v>
      </c>
      <c r="C49" s="208">
        <v>2018</v>
      </c>
      <c r="D49" s="179" t="s">
        <v>495</v>
      </c>
      <c r="E49" s="208" t="s">
        <v>133</v>
      </c>
      <c r="F49" s="177" t="s">
        <v>281</v>
      </c>
      <c r="G49" s="180" t="s">
        <v>36</v>
      </c>
      <c r="H49" s="137" t="s">
        <v>165</v>
      </c>
      <c r="I49" s="137" t="s">
        <v>155</v>
      </c>
      <c r="J49" s="247" t="s">
        <v>38</v>
      </c>
      <c r="K49" s="137" t="s">
        <v>156</v>
      </c>
      <c r="L49" s="208">
        <v>3</v>
      </c>
      <c r="N49" s="208">
        <v>1</v>
      </c>
      <c r="O49" s="208">
        <v>0.6</v>
      </c>
      <c r="P49" s="208">
        <v>0.65</v>
      </c>
      <c r="Q49" s="245">
        <f t="shared" si="0"/>
        <v>0.625</v>
      </c>
      <c r="R49" s="188">
        <v>16.100000000000001</v>
      </c>
      <c r="S49" s="188">
        <v>158</v>
      </c>
      <c r="T49" s="217">
        <f t="shared" si="1"/>
        <v>30</v>
      </c>
      <c r="U49" s="208">
        <v>149</v>
      </c>
      <c r="V49" s="217">
        <f t="shared" si="2"/>
        <v>4470</v>
      </c>
      <c r="W49" s="208">
        <v>10</v>
      </c>
      <c r="X49" s="186" t="s">
        <v>46</v>
      </c>
      <c r="Y49" s="208" t="s">
        <v>102</v>
      </c>
      <c r="Z49" s="208" t="s">
        <v>97</v>
      </c>
      <c r="AA49" s="208" t="s">
        <v>88</v>
      </c>
      <c r="AB49" s="55" t="s">
        <v>340</v>
      </c>
    </row>
    <row r="50" spans="1:28" x14ac:dyDescent="0.15">
      <c r="A50" s="208" t="s">
        <v>34</v>
      </c>
      <c r="B50" s="208" t="s">
        <v>338</v>
      </c>
      <c r="C50" s="208">
        <v>2018</v>
      </c>
      <c r="D50" s="179" t="s">
        <v>495</v>
      </c>
      <c r="E50" s="208" t="s">
        <v>213</v>
      </c>
      <c r="F50" s="177" t="s">
        <v>284</v>
      </c>
      <c r="G50" s="180" t="s">
        <v>36</v>
      </c>
      <c r="H50" s="247" t="s">
        <v>157</v>
      </c>
      <c r="I50" s="247" t="s">
        <v>155</v>
      </c>
      <c r="J50" s="247" t="s">
        <v>38</v>
      </c>
      <c r="K50" s="137" t="s">
        <v>156</v>
      </c>
      <c r="L50" s="208">
        <v>1</v>
      </c>
      <c r="N50" s="208">
        <v>1</v>
      </c>
      <c r="O50" s="208">
        <v>0.45</v>
      </c>
      <c r="P50" s="208">
        <v>0.5</v>
      </c>
      <c r="Q50" s="245">
        <f t="shared" si="0"/>
        <v>0.47499999999999998</v>
      </c>
      <c r="R50" s="208">
        <v>15</v>
      </c>
      <c r="S50" s="208">
        <v>160</v>
      </c>
      <c r="T50" s="217">
        <f t="shared" si="1"/>
        <v>30</v>
      </c>
      <c r="U50" s="208">
        <v>128</v>
      </c>
      <c r="V50" s="217">
        <f t="shared" si="2"/>
        <v>3840</v>
      </c>
      <c r="W50" s="208">
        <v>5</v>
      </c>
      <c r="X50" s="186" t="s">
        <v>46</v>
      </c>
      <c r="Y50" s="208" t="s">
        <v>102</v>
      </c>
      <c r="Z50" s="208" t="s">
        <v>88</v>
      </c>
      <c r="AA50" s="208" t="s">
        <v>78</v>
      </c>
      <c r="AB50" s="208" t="s">
        <v>340</v>
      </c>
    </row>
    <row r="51" spans="1:28" x14ac:dyDescent="0.15">
      <c r="A51" s="208" t="s">
        <v>34</v>
      </c>
      <c r="B51" s="208" t="s">
        <v>338</v>
      </c>
      <c r="C51" s="208">
        <v>2018</v>
      </c>
      <c r="D51" s="179" t="s">
        <v>495</v>
      </c>
      <c r="E51" s="208" t="s">
        <v>213</v>
      </c>
      <c r="F51" s="177" t="s">
        <v>284</v>
      </c>
      <c r="G51" s="180" t="s">
        <v>36</v>
      </c>
      <c r="H51" s="247" t="s">
        <v>157</v>
      </c>
      <c r="I51" s="247" t="s">
        <v>155</v>
      </c>
      <c r="J51" s="247" t="s">
        <v>38</v>
      </c>
      <c r="K51" s="137" t="s">
        <v>156</v>
      </c>
      <c r="L51" s="208">
        <v>2</v>
      </c>
      <c r="N51" s="208">
        <v>1</v>
      </c>
      <c r="O51" s="208">
        <v>0.5</v>
      </c>
      <c r="P51" s="208">
        <v>0.45</v>
      </c>
      <c r="Q51" s="245">
        <f t="shared" si="0"/>
        <v>0.47499999999999998</v>
      </c>
      <c r="R51" s="208">
        <v>14.7</v>
      </c>
      <c r="S51" s="208">
        <v>159</v>
      </c>
      <c r="T51" s="217">
        <f t="shared" si="1"/>
        <v>30</v>
      </c>
      <c r="U51" s="208">
        <v>128</v>
      </c>
      <c r="V51" s="217">
        <f t="shared" si="2"/>
        <v>3840</v>
      </c>
      <c r="W51" s="208">
        <v>5</v>
      </c>
      <c r="X51" s="186" t="s">
        <v>46</v>
      </c>
      <c r="Y51" s="208" t="s">
        <v>102</v>
      </c>
      <c r="Z51" s="208" t="s">
        <v>88</v>
      </c>
      <c r="AA51" s="208" t="s">
        <v>78</v>
      </c>
      <c r="AB51" s="208" t="s">
        <v>340</v>
      </c>
    </row>
    <row r="52" spans="1:28" x14ac:dyDescent="0.15">
      <c r="A52" s="208" t="s">
        <v>34</v>
      </c>
      <c r="B52" s="208" t="s">
        <v>338</v>
      </c>
      <c r="C52" s="208">
        <v>2018</v>
      </c>
      <c r="D52" s="179" t="s">
        <v>495</v>
      </c>
      <c r="E52" s="208" t="s">
        <v>213</v>
      </c>
      <c r="F52" s="177" t="s">
        <v>284</v>
      </c>
      <c r="G52" s="180" t="s">
        <v>36</v>
      </c>
      <c r="H52" s="247" t="s">
        <v>157</v>
      </c>
      <c r="I52" s="247" t="s">
        <v>155</v>
      </c>
      <c r="J52" s="247" t="s">
        <v>38</v>
      </c>
      <c r="K52" s="137" t="s">
        <v>156</v>
      </c>
      <c r="L52" s="208">
        <v>3</v>
      </c>
      <c r="N52" s="208">
        <v>1</v>
      </c>
      <c r="O52" s="208">
        <v>0.55000000000000004</v>
      </c>
      <c r="P52" s="208">
        <v>0.5</v>
      </c>
      <c r="Q52" s="245">
        <f t="shared" si="0"/>
        <v>0.52500000000000002</v>
      </c>
      <c r="R52" s="208">
        <v>14.5</v>
      </c>
      <c r="S52" s="208">
        <v>156</v>
      </c>
      <c r="T52" s="217">
        <f t="shared" si="1"/>
        <v>30</v>
      </c>
      <c r="U52" s="208">
        <v>128</v>
      </c>
      <c r="V52" s="217">
        <f t="shared" si="2"/>
        <v>3840</v>
      </c>
      <c r="W52" s="208">
        <v>5</v>
      </c>
      <c r="X52" s="186" t="s">
        <v>46</v>
      </c>
      <c r="Y52" s="208" t="s">
        <v>102</v>
      </c>
      <c r="Z52" s="208" t="s">
        <v>88</v>
      </c>
      <c r="AA52" s="208" t="s">
        <v>78</v>
      </c>
      <c r="AB52" s="208" t="s">
        <v>340</v>
      </c>
    </row>
    <row r="53" spans="1:28" x14ac:dyDescent="0.15">
      <c r="A53" s="208" t="s">
        <v>34</v>
      </c>
      <c r="B53" s="208" t="s">
        <v>338</v>
      </c>
      <c r="C53" s="208">
        <v>2018</v>
      </c>
      <c r="D53" s="179" t="s">
        <v>495</v>
      </c>
      <c r="E53" s="208" t="s">
        <v>213</v>
      </c>
      <c r="F53" s="177" t="s">
        <v>284</v>
      </c>
      <c r="G53" s="180" t="s">
        <v>36</v>
      </c>
      <c r="H53" s="247" t="s">
        <v>165</v>
      </c>
      <c r="I53" s="247" t="s">
        <v>155</v>
      </c>
      <c r="J53" s="247" t="s">
        <v>38</v>
      </c>
      <c r="K53" s="137" t="s">
        <v>156</v>
      </c>
      <c r="L53" s="208">
        <v>1</v>
      </c>
      <c r="N53" s="208">
        <v>1</v>
      </c>
      <c r="O53" s="208">
        <v>0.85</v>
      </c>
      <c r="P53" s="208">
        <v>0.7</v>
      </c>
      <c r="Q53" s="245">
        <f t="shared" si="0"/>
        <v>0.77499999999999991</v>
      </c>
      <c r="R53" s="208">
        <v>14.8</v>
      </c>
      <c r="S53" s="208">
        <v>146</v>
      </c>
      <c r="T53" s="217">
        <f t="shared" si="1"/>
        <v>30</v>
      </c>
      <c r="U53" s="208">
        <v>128</v>
      </c>
      <c r="V53" s="217">
        <f t="shared" si="2"/>
        <v>3840</v>
      </c>
      <c r="W53" s="208">
        <v>5</v>
      </c>
      <c r="X53" s="186" t="s">
        <v>46</v>
      </c>
      <c r="Y53" s="208" t="s">
        <v>102</v>
      </c>
      <c r="Z53" s="208" t="s">
        <v>88</v>
      </c>
      <c r="AA53" s="208" t="s">
        <v>78</v>
      </c>
      <c r="AB53" s="208" t="s">
        <v>340</v>
      </c>
    </row>
    <row r="54" spans="1:28" x14ac:dyDescent="0.15">
      <c r="A54" s="208" t="s">
        <v>34</v>
      </c>
      <c r="B54" s="208" t="s">
        <v>338</v>
      </c>
      <c r="C54" s="208">
        <v>2018</v>
      </c>
      <c r="D54" s="179" t="s">
        <v>495</v>
      </c>
      <c r="E54" s="208" t="s">
        <v>213</v>
      </c>
      <c r="F54" s="177" t="s">
        <v>284</v>
      </c>
      <c r="G54" s="180" t="s">
        <v>36</v>
      </c>
      <c r="H54" s="247" t="s">
        <v>165</v>
      </c>
      <c r="I54" s="247" t="s">
        <v>155</v>
      </c>
      <c r="J54" s="247" t="s">
        <v>38</v>
      </c>
      <c r="K54" s="137" t="s">
        <v>156</v>
      </c>
      <c r="L54" s="208">
        <v>2</v>
      </c>
      <c r="N54" s="208">
        <v>1</v>
      </c>
      <c r="O54" s="208">
        <v>1</v>
      </c>
      <c r="P54" s="208">
        <v>0.95</v>
      </c>
      <c r="Q54" s="245">
        <f t="shared" si="0"/>
        <v>0.97499999999999998</v>
      </c>
      <c r="R54" s="208">
        <v>14.7</v>
      </c>
      <c r="S54" s="208">
        <v>147</v>
      </c>
      <c r="T54" s="217">
        <f t="shared" si="1"/>
        <v>30</v>
      </c>
      <c r="U54" s="208">
        <v>128</v>
      </c>
      <c r="V54" s="217">
        <f t="shared" si="2"/>
        <v>3840</v>
      </c>
      <c r="W54" s="208">
        <v>5</v>
      </c>
      <c r="X54" s="186" t="s">
        <v>46</v>
      </c>
      <c r="Y54" s="208" t="s">
        <v>102</v>
      </c>
      <c r="Z54" s="208" t="s">
        <v>88</v>
      </c>
      <c r="AA54" s="208" t="s">
        <v>78</v>
      </c>
      <c r="AB54" s="208" t="s">
        <v>340</v>
      </c>
    </row>
    <row r="55" spans="1:28" x14ac:dyDescent="0.15">
      <c r="A55" s="208" t="s">
        <v>34</v>
      </c>
      <c r="B55" s="208" t="s">
        <v>338</v>
      </c>
      <c r="C55" s="208">
        <v>2018</v>
      </c>
      <c r="D55" s="179" t="s">
        <v>495</v>
      </c>
      <c r="E55" s="208" t="s">
        <v>213</v>
      </c>
      <c r="F55" s="177" t="s">
        <v>284</v>
      </c>
      <c r="G55" s="180" t="s">
        <v>36</v>
      </c>
      <c r="H55" s="247" t="s">
        <v>165</v>
      </c>
      <c r="I55" s="247" t="s">
        <v>155</v>
      </c>
      <c r="J55" s="247" t="s">
        <v>38</v>
      </c>
      <c r="K55" s="137" t="s">
        <v>156</v>
      </c>
      <c r="L55" s="208">
        <v>3</v>
      </c>
      <c r="N55" s="208">
        <v>1</v>
      </c>
      <c r="O55" s="208">
        <v>0.75</v>
      </c>
      <c r="P55" s="208">
        <v>0.6</v>
      </c>
      <c r="Q55" s="245">
        <f t="shared" si="0"/>
        <v>0.67500000000000004</v>
      </c>
      <c r="R55" s="208">
        <v>15.3</v>
      </c>
      <c r="S55" s="208">
        <v>148</v>
      </c>
      <c r="T55" s="217">
        <f t="shared" si="1"/>
        <v>30</v>
      </c>
      <c r="U55" s="208">
        <v>128</v>
      </c>
      <c r="V55" s="217">
        <f t="shared" si="2"/>
        <v>3840</v>
      </c>
      <c r="W55" s="208">
        <v>5</v>
      </c>
      <c r="X55" s="186" t="s">
        <v>46</v>
      </c>
      <c r="Y55" s="208" t="s">
        <v>102</v>
      </c>
      <c r="Z55" s="208" t="s">
        <v>88</v>
      </c>
      <c r="AA55" s="208" t="s">
        <v>78</v>
      </c>
      <c r="AB55" s="208" t="s">
        <v>340</v>
      </c>
    </row>
    <row r="56" spans="1:28" x14ac:dyDescent="0.15">
      <c r="D56" s="260"/>
      <c r="F56" s="177"/>
      <c r="G56" s="180"/>
      <c r="H56" s="247"/>
      <c r="I56" s="247"/>
      <c r="J56" s="247"/>
      <c r="K56" s="137"/>
      <c r="Q56" s="245"/>
      <c r="X56" s="186"/>
    </row>
    <row r="57" spans="1:28" x14ac:dyDescent="0.15">
      <c r="D57" s="199"/>
      <c r="F57" s="177"/>
      <c r="G57" s="180"/>
      <c r="H57" s="247"/>
      <c r="I57" s="247"/>
      <c r="J57" s="247"/>
      <c r="K57" s="137"/>
      <c r="Q57" s="245" t="str">
        <f t="shared" si="0"/>
        <v/>
      </c>
      <c r="T57" s="217" t="str">
        <f t="shared" si="1"/>
        <v/>
      </c>
      <c r="V57" s="217" t="str">
        <f t="shared" si="2"/>
        <v/>
      </c>
      <c r="X57" s="186"/>
    </row>
    <row r="58" spans="1:28" x14ac:dyDescent="0.15">
      <c r="D58" s="199"/>
      <c r="F58" s="177"/>
      <c r="G58" s="180"/>
      <c r="H58" s="247"/>
      <c r="I58" s="247"/>
      <c r="J58" s="247"/>
      <c r="K58" s="137"/>
      <c r="Q58" s="245" t="str">
        <f t="shared" si="0"/>
        <v/>
      </c>
      <c r="T58" s="217" t="str">
        <f t="shared" si="1"/>
        <v/>
      </c>
      <c r="V58" s="217" t="str">
        <f t="shared" si="2"/>
        <v/>
      </c>
      <c r="X58" s="186"/>
    </row>
    <row r="59" spans="1:28" x14ac:dyDescent="0.15">
      <c r="D59" s="199"/>
      <c r="F59" s="177"/>
      <c r="G59" s="180"/>
      <c r="H59" s="247"/>
      <c r="I59" s="247"/>
      <c r="J59" s="247"/>
      <c r="K59" s="137"/>
      <c r="Q59" s="245" t="str">
        <f t="shared" si="0"/>
        <v/>
      </c>
      <c r="T59" s="217" t="str">
        <f t="shared" si="1"/>
        <v/>
      </c>
      <c r="V59" s="217" t="str">
        <f t="shared" si="2"/>
        <v/>
      </c>
      <c r="X59" s="186"/>
    </row>
    <row r="60" spans="1:28" x14ac:dyDescent="0.15">
      <c r="D60" s="199"/>
      <c r="F60" s="177"/>
      <c r="G60" s="180"/>
      <c r="H60" s="247"/>
      <c r="I60" s="247"/>
      <c r="J60" s="247"/>
      <c r="K60" s="137"/>
      <c r="Q60" s="245" t="str">
        <f t="shared" si="0"/>
        <v/>
      </c>
      <c r="T60" s="217" t="str">
        <f t="shared" si="1"/>
        <v/>
      </c>
      <c r="V60" s="217" t="str">
        <f t="shared" si="2"/>
        <v/>
      </c>
      <c r="X60" s="186"/>
    </row>
    <row r="61" spans="1:28" x14ac:dyDescent="0.15">
      <c r="D61" s="199"/>
      <c r="F61" s="177"/>
      <c r="G61" s="180"/>
      <c r="H61" s="247"/>
      <c r="I61" s="247"/>
      <c r="J61" s="247"/>
      <c r="K61" s="137"/>
      <c r="Q61" s="245" t="str">
        <f t="shared" ref="Q61:Q86" si="3">IF(OR(O61="",P61=""),"",AVERAGE(O61,P61))</f>
        <v/>
      </c>
      <c r="T61" s="217" t="str">
        <f t="shared" ref="T61:T86" si="4">IF(H61="","",IF(OR(H61="GREEN",H61="GK"),IF(S61&gt;=$AX$2,VLOOKUP(S61,$AX$2:$AY$7,2,1),""),IF(S61&gt;=$AZ$2,VLOOKUP(S61,$AZ$2:$BA$7,2,1),"")))</f>
        <v/>
      </c>
      <c r="V61" s="217" t="str">
        <f t="shared" ref="V61:V86" si="5">IF(OR(N61="",U61="",T61=""),"",U61/N61*T61)</f>
        <v/>
      </c>
      <c r="X61" s="186"/>
    </row>
    <row r="62" spans="1:28" x14ac:dyDescent="0.15">
      <c r="D62" s="199"/>
      <c r="F62" s="177"/>
      <c r="G62" s="180"/>
      <c r="H62" s="247"/>
      <c r="I62" s="247"/>
      <c r="J62" s="247"/>
      <c r="K62" s="137"/>
      <c r="Q62" s="245" t="str">
        <f t="shared" si="3"/>
        <v/>
      </c>
      <c r="T62" s="217" t="str">
        <f t="shared" si="4"/>
        <v/>
      </c>
      <c r="V62" s="217" t="str">
        <f t="shared" si="5"/>
        <v/>
      </c>
      <c r="X62" s="186"/>
    </row>
    <row r="63" spans="1:28" x14ac:dyDescent="0.15">
      <c r="D63" s="199"/>
      <c r="F63" s="177"/>
      <c r="G63" s="180"/>
      <c r="H63" s="247"/>
      <c r="I63" s="247"/>
      <c r="J63" s="247"/>
      <c r="K63" s="137"/>
      <c r="Q63" s="245" t="str">
        <f t="shared" si="3"/>
        <v/>
      </c>
      <c r="T63" s="217" t="str">
        <f t="shared" si="4"/>
        <v/>
      </c>
      <c r="V63" s="217" t="str">
        <f t="shared" si="5"/>
        <v/>
      </c>
      <c r="X63" s="186"/>
    </row>
    <row r="64" spans="1:28" x14ac:dyDescent="0.15">
      <c r="D64" s="199"/>
      <c r="F64" s="177"/>
      <c r="G64" s="180"/>
      <c r="H64" s="247"/>
      <c r="I64" s="247"/>
      <c r="J64" s="247"/>
      <c r="K64" s="137"/>
      <c r="Q64" s="245" t="str">
        <f t="shared" si="3"/>
        <v/>
      </c>
      <c r="T64" s="217" t="str">
        <f t="shared" si="4"/>
        <v/>
      </c>
      <c r="V64" s="217" t="str">
        <f t="shared" si="5"/>
        <v/>
      </c>
      <c r="X64" s="186"/>
    </row>
    <row r="65" spans="4:24" x14ac:dyDescent="0.15">
      <c r="D65" s="199"/>
      <c r="F65" s="177"/>
      <c r="G65" s="180"/>
      <c r="H65" s="247"/>
      <c r="I65" s="247"/>
      <c r="J65" s="247"/>
      <c r="K65" s="137"/>
      <c r="Q65" s="245" t="str">
        <f t="shared" si="3"/>
        <v/>
      </c>
      <c r="T65" s="217" t="str">
        <f t="shared" si="4"/>
        <v/>
      </c>
      <c r="V65" s="217" t="str">
        <f t="shared" si="5"/>
        <v/>
      </c>
      <c r="X65" s="186"/>
    </row>
    <row r="66" spans="4:24" x14ac:dyDescent="0.15">
      <c r="D66" s="199"/>
      <c r="F66" s="177"/>
      <c r="G66" s="180"/>
      <c r="H66" s="247"/>
      <c r="I66" s="247"/>
      <c r="J66" s="247"/>
      <c r="K66" s="137"/>
      <c r="Q66" s="245" t="str">
        <f t="shared" si="3"/>
        <v/>
      </c>
      <c r="T66" s="217" t="str">
        <f t="shared" si="4"/>
        <v/>
      </c>
      <c r="V66" s="217" t="str">
        <f t="shared" si="5"/>
        <v/>
      </c>
      <c r="X66" s="186"/>
    </row>
    <row r="67" spans="4:24" x14ac:dyDescent="0.15">
      <c r="D67" s="199"/>
      <c r="F67" s="177"/>
      <c r="G67" s="180"/>
      <c r="H67" s="247"/>
      <c r="I67" s="247"/>
      <c r="J67" s="247"/>
      <c r="K67" s="137"/>
      <c r="Q67" s="245" t="str">
        <f t="shared" si="3"/>
        <v/>
      </c>
      <c r="T67" s="217" t="str">
        <f t="shared" si="4"/>
        <v/>
      </c>
      <c r="V67" s="217" t="str">
        <f t="shared" si="5"/>
        <v/>
      </c>
      <c r="X67" s="186"/>
    </row>
    <row r="68" spans="4:24" x14ac:dyDescent="0.15">
      <c r="D68" s="199"/>
      <c r="F68" s="177"/>
      <c r="G68" s="180"/>
      <c r="H68" s="247"/>
      <c r="I68" s="247"/>
      <c r="J68" s="247"/>
      <c r="K68" s="137"/>
      <c r="Q68" s="245" t="str">
        <f t="shared" si="3"/>
        <v/>
      </c>
      <c r="T68" s="217" t="str">
        <f t="shared" si="4"/>
        <v/>
      </c>
      <c r="V68" s="217" t="str">
        <f t="shared" si="5"/>
        <v/>
      </c>
      <c r="X68" s="186"/>
    </row>
    <row r="69" spans="4:24" x14ac:dyDescent="0.15">
      <c r="D69" s="199"/>
      <c r="F69" s="177"/>
      <c r="G69" s="180"/>
      <c r="H69" s="247"/>
      <c r="I69" s="247"/>
      <c r="J69" s="247"/>
      <c r="K69" s="137"/>
      <c r="Q69" s="245" t="str">
        <f t="shared" si="3"/>
        <v/>
      </c>
      <c r="T69" s="217" t="str">
        <f t="shared" si="4"/>
        <v/>
      </c>
      <c r="V69" s="217" t="str">
        <f t="shared" si="5"/>
        <v/>
      </c>
      <c r="X69" s="186"/>
    </row>
    <row r="70" spans="4:24" x14ac:dyDescent="0.15">
      <c r="D70" s="199"/>
      <c r="F70" s="177"/>
      <c r="G70" s="180"/>
      <c r="H70" s="247"/>
      <c r="I70" s="247"/>
      <c r="J70" s="247"/>
      <c r="K70" s="137"/>
      <c r="Q70" s="245" t="str">
        <f t="shared" si="3"/>
        <v/>
      </c>
      <c r="T70" s="217" t="str">
        <f t="shared" si="4"/>
        <v/>
      </c>
      <c r="V70" s="217" t="str">
        <f t="shared" si="5"/>
        <v/>
      </c>
      <c r="X70" s="186"/>
    </row>
    <row r="71" spans="4:24" x14ac:dyDescent="0.15">
      <c r="D71" s="199"/>
      <c r="F71" s="177"/>
      <c r="G71" s="180"/>
      <c r="H71" s="247"/>
      <c r="I71" s="247"/>
      <c r="J71" s="247"/>
      <c r="K71" s="137"/>
      <c r="Q71" s="245" t="str">
        <f t="shared" si="3"/>
        <v/>
      </c>
      <c r="T71" s="217" t="str">
        <f t="shared" si="4"/>
        <v/>
      </c>
      <c r="V71" s="217" t="str">
        <f t="shared" si="5"/>
        <v/>
      </c>
      <c r="X71" s="186"/>
    </row>
    <row r="72" spans="4:24" x14ac:dyDescent="0.15">
      <c r="D72" s="199"/>
      <c r="F72" s="177"/>
      <c r="G72" s="180"/>
      <c r="H72" s="247"/>
      <c r="I72" s="247"/>
      <c r="J72" s="247"/>
      <c r="K72" s="137"/>
      <c r="Q72" s="245" t="str">
        <f t="shared" si="3"/>
        <v/>
      </c>
      <c r="T72" s="217" t="str">
        <f t="shared" si="4"/>
        <v/>
      </c>
      <c r="V72" s="217" t="str">
        <f t="shared" si="5"/>
        <v/>
      </c>
      <c r="X72" s="186"/>
    </row>
    <row r="73" spans="4:24" x14ac:dyDescent="0.15">
      <c r="D73" s="199"/>
      <c r="F73" s="177"/>
      <c r="G73" s="180"/>
      <c r="H73" s="247"/>
      <c r="I73" s="247"/>
      <c r="J73" s="247"/>
      <c r="K73" s="137"/>
      <c r="Q73" s="245" t="str">
        <f t="shared" si="3"/>
        <v/>
      </c>
      <c r="T73" s="217" t="str">
        <f t="shared" si="4"/>
        <v/>
      </c>
      <c r="V73" s="217" t="str">
        <f t="shared" si="5"/>
        <v/>
      </c>
      <c r="X73" s="186"/>
    </row>
    <row r="74" spans="4:24" x14ac:dyDescent="0.15">
      <c r="D74" s="199"/>
      <c r="F74" s="177"/>
      <c r="G74" s="180"/>
      <c r="H74" s="247"/>
      <c r="I74" s="247"/>
      <c r="J74" s="247"/>
      <c r="K74" s="137"/>
      <c r="Q74" s="245" t="str">
        <f t="shared" si="3"/>
        <v/>
      </c>
      <c r="T74" s="217" t="str">
        <f t="shared" si="4"/>
        <v/>
      </c>
      <c r="V74" s="217" t="str">
        <f t="shared" si="5"/>
        <v/>
      </c>
      <c r="X74" s="186"/>
    </row>
    <row r="75" spans="4:24" x14ac:dyDescent="0.15">
      <c r="H75" s="247"/>
      <c r="I75" s="247"/>
      <c r="J75" s="247"/>
      <c r="K75" s="137"/>
      <c r="Q75" s="245" t="str">
        <f t="shared" si="3"/>
        <v/>
      </c>
      <c r="T75" s="217" t="str">
        <f t="shared" si="4"/>
        <v/>
      </c>
      <c r="V75" s="217" t="str">
        <f t="shared" si="5"/>
        <v/>
      </c>
    </row>
    <row r="76" spans="4:24" x14ac:dyDescent="0.15">
      <c r="H76" s="247"/>
      <c r="I76" s="247"/>
      <c r="J76" s="247"/>
      <c r="K76" s="137"/>
      <c r="Q76" s="245" t="str">
        <f t="shared" si="3"/>
        <v/>
      </c>
      <c r="T76" s="217" t="str">
        <f t="shared" si="4"/>
        <v/>
      </c>
      <c r="V76" s="217" t="str">
        <f t="shared" si="5"/>
        <v/>
      </c>
    </row>
    <row r="77" spans="4:24" x14ac:dyDescent="0.15">
      <c r="H77" s="247"/>
      <c r="I77" s="247"/>
      <c r="J77" s="247"/>
      <c r="K77" s="137"/>
      <c r="Q77" s="245" t="str">
        <f t="shared" si="3"/>
        <v/>
      </c>
      <c r="T77" s="217" t="str">
        <f t="shared" si="4"/>
        <v/>
      </c>
      <c r="V77" s="217" t="str">
        <f t="shared" si="5"/>
        <v/>
      </c>
    </row>
    <row r="78" spans="4:24" x14ac:dyDescent="0.15">
      <c r="H78" s="247"/>
      <c r="I78" s="247"/>
      <c r="J78" s="247"/>
      <c r="K78" s="137"/>
      <c r="Q78" s="245" t="str">
        <f t="shared" si="3"/>
        <v/>
      </c>
      <c r="T78" s="217" t="str">
        <f t="shared" si="4"/>
        <v/>
      </c>
      <c r="V78" s="217" t="str">
        <f t="shared" si="5"/>
        <v/>
      </c>
    </row>
    <row r="79" spans="4:24" x14ac:dyDescent="0.15">
      <c r="H79" s="247"/>
      <c r="I79" s="247"/>
      <c r="J79" s="247"/>
      <c r="K79" s="137"/>
      <c r="Q79" s="245" t="str">
        <f t="shared" si="3"/>
        <v/>
      </c>
      <c r="T79" s="217" t="str">
        <f t="shared" si="4"/>
        <v/>
      </c>
      <c r="V79" s="217" t="str">
        <f t="shared" si="5"/>
        <v/>
      </c>
    </row>
    <row r="80" spans="4:24" x14ac:dyDescent="0.15">
      <c r="H80" s="247"/>
      <c r="I80" s="247"/>
      <c r="J80" s="247"/>
      <c r="K80" s="137"/>
      <c r="Q80" s="245" t="str">
        <f t="shared" si="3"/>
        <v/>
      </c>
      <c r="T80" s="217" t="str">
        <f t="shared" si="4"/>
        <v/>
      </c>
      <c r="V80" s="217" t="str">
        <f t="shared" si="5"/>
        <v/>
      </c>
    </row>
    <row r="81" spans="8:22" x14ac:dyDescent="0.15">
      <c r="H81" s="247"/>
      <c r="I81" s="247"/>
      <c r="J81" s="247"/>
      <c r="K81" s="137"/>
      <c r="Q81" s="245" t="str">
        <f t="shared" si="3"/>
        <v/>
      </c>
      <c r="T81" s="217" t="str">
        <f t="shared" si="4"/>
        <v/>
      </c>
      <c r="V81" s="217" t="str">
        <f t="shared" si="5"/>
        <v/>
      </c>
    </row>
    <row r="82" spans="8:22" x14ac:dyDescent="0.15">
      <c r="H82" s="247"/>
      <c r="I82" s="247"/>
      <c r="J82" s="247"/>
      <c r="K82" s="137"/>
      <c r="Q82" s="245" t="str">
        <f t="shared" si="3"/>
        <v/>
      </c>
      <c r="T82" s="217" t="str">
        <f t="shared" si="4"/>
        <v/>
      </c>
      <c r="V82" s="217" t="str">
        <f t="shared" si="5"/>
        <v/>
      </c>
    </row>
    <row r="83" spans="8:22" x14ac:dyDescent="0.15">
      <c r="H83" s="247"/>
      <c r="I83" s="247"/>
      <c r="J83" s="247"/>
      <c r="K83" s="137"/>
      <c r="Q83" s="245" t="str">
        <f t="shared" si="3"/>
        <v/>
      </c>
      <c r="T83" s="217" t="str">
        <f t="shared" si="4"/>
        <v/>
      </c>
      <c r="V83" s="217" t="str">
        <f t="shared" si="5"/>
        <v/>
      </c>
    </row>
    <row r="84" spans="8:22" x14ac:dyDescent="0.15">
      <c r="H84" s="247"/>
      <c r="I84" s="247"/>
      <c r="J84" s="247"/>
      <c r="K84" s="137"/>
      <c r="Q84" s="245" t="str">
        <f t="shared" si="3"/>
        <v/>
      </c>
      <c r="T84" s="217" t="str">
        <f t="shared" si="4"/>
        <v/>
      </c>
      <c r="V84" s="217" t="str">
        <f t="shared" si="5"/>
        <v/>
      </c>
    </row>
    <row r="85" spans="8:22" x14ac:dyDescent="0.15">
      <c r="H85" s="247"/>
      <c r="I85" s="247"/>
      <c r="J85" s="247"/>
      <c r="K85" s="137"/>
      <c r="Q85" s="245" t="str">
        <f t="shared" si="3"/>
        <v/>
      </c>
      <c r="T85" s="217" t="str">
        <f t="shared" si="4"/>
        <v/>
      </c>
      <c r="V85" s="217" t="str">
        <f t="shared" si="5"/>
        <v/>
      </c>
    </row>
    <row r="86" spans="8:22" x14ac:dyDescent="0.15">
      <c r="H86" s="247"/>
      <c r="I86" s="247"/>
      <c r="J86" s="247"/>
      <c r="K86" s="137"/>
      <c r="Q86" s="245" t="str">
        <f t="shared" si="3"/>
        <v/>
      </c>
      <c r="T86" s="217" t="str">
        <f t="shared" si="4"/>
        <v/>
      </c>
      <c r="V86" s="217" t="str">
        <f t="shared" si="5"/>
        <v/>
      </c>
    </row>
    <row r="87" spans="8:22" x14ac:dyDescent="0.15">
      <c r="H87" s="247"/>
      <c r="I87" s="247"/>
      <c r="J87" s="247"/>
      <c r="K87" s="137"/>
      <c r="Q87" s="245"/>
    </row>
    <row r="88" spans="8:22" x14ac:dyDescent="0.15">
      <c r="H88" s="247"/>
      <c r="I88" s="247"/>
      <c r="J88" s="247"/>
      <c r="K88" s="137"/>
      <c r="Q88" s="245"/>
    </row>
    <row r="89" spans="8:22" x14ac:dyDescent="0.15">
      <c r="H89" s="247"/>
      <c r="I89" s="247"/>
      <c r="J89" s="247"/>
      <c r="K89" s="137"/>
      <c r="Q89" s="245"/>
    </row>
    <row r="90" spans="8:22" x14ac:dyDescent="0.15">
      <c r="H90" s="247"/>
      <c r="I90" s="247"/>
      <c r="J90" s="247"/>
      <c r="K90" s="137"/>
      <c r="Q90" s="245"/>
    </row>
    <row r="91" spans="8:22" x14ac:dyDescent="0.15">
      <c r="H91" s="247"/>
      <c r="I91" s="247"/>
      <c r="J91" s="247"/>
      <c r="K91" s="137"/>
      <c r="Q91" s="245"/>
    </row>
    <row r="92" spans="8:22" x14ac:dyDescent="0.15">
      <c r="H92" s="247"/>
      <c r="I92" s="247"/>
      <c r="J92" s="247"/>
      <c r="K92" s="137"/>
      <c r="Q92" s="245"/>
    </row>
    <row r="93" spans="8:22" x14ac:dyDescent="0.15">
      <c r="H93" s="247"/>
      <c r="I93" s="247"/>
      <c r="J93" s="247"/>
      <c r="K93" s="137"/>
      <c r="Q93" s="245"/>
    </row>
    <row r="94" spans="8:22" x14ac:dyDescent="0.15">
      <c r="H94" s="247"/>
      <c r="I94" s="247"/>
      <c r="J94" s="247"/>
      <c r="K94" s="137"/>
      <c r="Q94" s="245"/>
    </row>
    <row r="95" spans="8:22" x14ac:dyDescent="0.15">
      <c r="H95" s="247"/>
      <c r="I95" s="247"/>
      <c r="J95" s="247"/>
      <c r="K95" s="137"/>
      <c r="Q95" s="245"/>
    </row>
    <row r="96" spans="8:22" x14ac:dyDescent="0.15">
      <c r="H96" s="247"/>
      <c r="I96" s="247"/>
      <c r="J96" s="247"/>
      <c r="K96" s="137"/>
      <c r="Q96" s="245"/>
    </row>
    <row r="97" spans="8:17" x14ac:dyDescent="0.15">
      <c r="H97" s="247"/>
      <c r="I97" s="247"/>
      <c r="J97" s="247"/>
      <c r="K97" s="137"/>
      <c r="Q97" s="245"/>
    </row>
    <row r="98" spans="8:17" x14ac:dyDescent="0.15">
      <c r="H98" s="247"/>
      <c r="I98" s="247"/>
      <c r="J98" s="247"/>
      <c r="K98" s="137"/>
      <c r="Q98" s="245"/>
    </row>
    <row r="99" spans="8:17" x14ac:dyDescent="0.15">
      <c r="H99" s="247"/>
      <c r="I99" s="247"/>
      <c r="J99" s="247"/>
      <c r="K99" s="137"/>
      <c r="Q99" s="245"/>
    </row>
    <row r="100" spans="8:17" x14ac:dyDescent="0.15">
      <c r="H100" s="247"/>
      <c r="I100" s="247"/>
      <c r="J100" s="247"/>
      <c r="K100" s="137"/>
      <c r="Q100" s="245"/>
    </row>
    <row r="101" spans="8:17" x14ac:dyDescent="0.15">
      <c r="H101" s="247"/>
      <c r="I101" s="247"/>
      <c r="J101" s="247"/>
      <c r="K101" s="137"/>
      <c r="Q101" s="245"/>
    </row>
    <row r="102" spans="8:17" x14ac:dyDescent="0.15">
      <c r="H102" s="247"/>
      <c r="I102" s="247"/>
      <c r="J102" s="247"/>
      <c r="K102" s="137"/>
      <c r="Q102" s="245"/>
    </row>
    <row r="103" spans="8:17" x14ac:dyDescent="0.15">
      <c r="H103" s="247"/>
      <c r="I103" s="247"/>
      <c r="J103" s="247"/>
      <c r="K103" s="137"/>
      <c r="Q103" s="245"/>
    </row>
    <row r="104" spans="8:17" x14ac:dyDescent="0.15">
      <c r="H104" s="247"/>
      <c r="I104" s="247"/>
      <c r="J104" s="247"/>
      <c r="K104" s="137"/>
      <c r="Q104" s="245"/>
    </row>
    <row r="105" spans="8:17" x14ac:dyDescent="0.15">
      <c r="H105" s="247"/>
      <c r="I105" s="247"/>
      <c r="J105" s="247"/>
      <c r="K105" s="137"/>
      <c r="Q105" s="245"/>
    </row>
    <row r="106" spans="8:17" x14ac:dyDescent="0.15">
      <c r="H106" s="247"/>
      <c r="I106" s="247"/>
      <c r="J106" s="247"/>
      <c r="K106" s="137"/>
      <c r="Q106" s="245"/>
    </row>
    <row r="107" spans="8:17" x14ac:dyDescent="0.15">
      <c r="H107" s="247"/>
      <c r="I107" s="247"/>
      <c r="J107" s="247"/>
      <c r="K107" s="137"/>
      <c r="Q107" s="245"/>
    </row>
    <row r="108" spans="8:17" x14ac:dyDescent="0.15">
      <c r="H108" s="247"/>
      <c r="I108" s="247"/>
      <c r="J108" s="247"/>
      <c r="K108" s="137"/>
      <c r="Q108" s="245"/>
    </row>
    <row r="109" spans="8:17" x14ac:dyDescent="0.15">
      <c r="H109" s="247"/>
      <c r="I109" s="247"/>
      <c r="J109" s="247"/>
      <c r="K109" s="137"/>
      <c r="Q109" s="245"/>
    </row>
    <row r="110" spans="8:17" x14ac:dyDescent="0.15">
      <c r="H110" s="247"/>
      <c r="I110" s="247"/>
      <c r="J110" s="247"/>
      <c r="K110" s="137"/>
      <c r="Q110" s="245"/>
    </row>
    <row r="111" spans="8:17" x14ac:dyDescent="0.15">
      <c r="H111" s="247"/>
      <c r="I111" s="247"/>
      <c r="J111" s="247"/>
      <c r="K111" s="137"/>
      <c r="Q111" s="245"/>
    </row>
    <row r="112" spans="8:17" x14ac:dyDescent="0.15">
      <c r="H112" s="247"/>
      <c r="I112" s="247"/>
      <c r="J112" s="247"/>
      <c r="K112" s="137"/>
      <c r="Q112" s="245"/>
    </row>
    <row r="113" spans="8:17" x14ac:dyDescent="0.15">
      <c r="H113" s="247"/>
      <c r="I113" s="247"/>
      <c r="J113" s="247"/>
      <c r="K113" s="137"/>
      <c r="Q113" s="245"/>
    </row>
    <row r="114" spans="8:17" x14ac:dyDescent="0.15">
      <c r="H114" s="247"/>
      <c r="I114" s="247"/>
      <c r="J114" s="247"/>
      <c r="K114" s="137"/>
      <c r="Q114" s="245"/>
    </row>
    <row r="115" spans="8:17" x14ac:dyDescent="0.15">
      <c r="H115" s="247"/>
      <c r="I115" s="247"/>
      <c r="J115" s="247"/>
      <c r="K115" s="137"/>
      <c r="Q115" s="245"/>
    </row>
    <row r="116" spans="8:17" x14ac:dyDescent="0.15">
      <c r="H116" s="247"/>
      <c r="I116" s="247"/>
      <c r="J116" s="247"/>
      <c r="K116" s="137"/>
      <c r="Q116" s="245"/>
    </row>
    <row r="117" spans="8:17" x14ac:dyDescent="0.15">
      <c r="H117" s="247"/>
      <c r="I117" s="247"/>
      <c r="J117" s="247"/>
      <c r="K117" s="137"/>
      <c r="Q117" s="245"/>
    </row>
    <row r="118" spans="8:17" x14ac:dyDescent="0.15">
      <c r="H118" s="247"/>
      <c r="I118" s="247"/>
      <c r="J118" s="247"/>
      <c r="K118" s="137"/>
      <c r="Q118" s="245"/>
    </row>
    <row r="119" spans="8:17" x14ac:dyDescent="0.15">
      <c r="H119" s="247"/>
      <c r="I119" s="247"/>
      <c r="J119" s="247"/>
      <c r="K119" s="137"/>
      <c r="Q119" s="245"/>
    </row>
    <row r="120" spans="8:17" x14ac:dyDescent="0.15">
      <c r="H120" s="247"/>
      <c r="I120" s="247"/>
      <c r="J120" s="247"/>
      <c r="K120" s="137"/>
      <c r="Q120" s="245"/>
    </row>
    <row r="121" spans="8:17" x14ac:dyDescent="0.15">
      <c r="H121" s="247"/>
      <c r="I121" s="247"/>
      <c r="J121" s="247"/>
      <c r="K121" s="137"/>
      <c r="Q121" s="245"/>
    </row>
    <row r="122" spans="8:17" x14ac:dyDescent="0.15">
      <c r="H122" s="247"/>
      <c r="I122" s="247"/>
      <c r="J122" s="247"/>
      <c r="K122" s="137"/>
      <c r="Q122" s="245"/>
    </row>
    <row r="123" spans="8:17" x14ac:dyDescent="0.15">
      <c r="H123" s="247"/>
      <c r="I123" s="247"/>
      <c r="J123" s="247"/>
      <c r="K123" s="137"/>
      <c r="Q123" s="245"/>
    </row>
    <row r="124" spans="8:17" x14ac:dyDescent="0.15">
      <c r="H124" s="247"/>
      <c r="I124" s="247"/>
      <c r="J124" s="247"/>
      <c r="K124" s="137"/>
      <c r="Q124" s="245"/>
    </row>
    <row r="125" spans="8:17" x14ac:dyDescent="0.15">
      <c r="H125" s="247"/>
      <c r="I125" s="247"/>
      <c r="J125" s="247"/>
      <c r="K125" s="137"/>
      <c r="Q125" s="245"/>
    </row>
    <row r="126" spans="8:17" x14ac:dyDescent="0.15">
      <c r="H126" s="247"/>
      <c r="I126" s="247"/>
      <c r="J126" s="247"/>
      <c r="K126" s="137"/>
      <c r="Q126" s="245"/>
    </row>
    <row r="127" spans="8:17" x14ac:dyDescent="0.15">
      <c r="H127" s="247"/>
      <c r="I127" s="247"/>
      <c r="J127" s="247"/>
      <c r="K127" s="137"/>
      <c r="Q127" s="245"/>
    </row>
    <row r="128" spans="8:17" x14ac:dyDescent="0.15">
      <c r="H128" s="247"/>
      <c r="I128" s="247"/>
      <c r="J128" s="247"/>
      <c r="K128" s="137"/>
      <c r="Q128" s="245"/>
    </row>
    <row r="129" spans="8:17" x14ac:dyDescent="0.15">
      <c r="H129" s="247"/>
      <c r="I129" s="247"/>
      <c r="J129" s="247"/>
      <c r="K129" s="137"/>
      <c r="Q129" s="245"/>
    </row>
    <row r="130" spans="8:17" x14ac:dyDescent="0.15">
      <c r="H130" s="247"/>
      <c r="I130" s="247"/>
      <c r="J130" s="247"/>
      <c r="K130" s="137"/>
      <c r="Q130" s="245"/>
    </row>
    <row r="131" spans="8:17" x14ac:dyDescent="0.15">
      <c r="H131" s="247"/>
      <c r="I131" s="247"/>
      <c r="J131" s="247"/>
      <c r="K131" s="137"/>
      <c r="Q131" s="245"/>
    </row>
    <row r="132" spans="8:17" x14ac:dyDescent="0.15">
      <c r="H132" s="247"/>
      <c r="I132" s="247"/>
      <c r="J132" s="247"/>
      <c r="K132" s="137"/>
      <c r="Q132" s="245"/>
    </row>
    <row r="133" spans="8:17" x14ac:dyDescent="0.15">
      <c r="H133" s="247"/>
      <c r="I133" s="247"/>
      <c r="J133" s="247"/>
      <c r="K133" s="137"/>
      <c r="Q133" s="245"/>
    </row>
    <row r="134" spans="8:17" x14ac:dyDescent="0.15">
      <c r="H134" s="247"/>
      <c r="I134" s="247"/>
      <c r="J134" s="247"/>
      <c r="K134" s="137"/>
      <c r="Q134" s="245"/>
    </row>
    <row r="135" spans="8:17" x14ac:dyDescent="0.15">
      <c r="H135" s="247"/>
      <c r="I135" s="247"/>
      <c r="J135" s="247"/>
      <c r="K135" s="137"/>
      <c r="Q135" s="245"/>
    </row>
    <row r="136" spans="8:17" x14ac:dyDescent="0.15">
      <c r="H136" s="247"/>
      <c r="I136" s="247"/>
      <c r="J136" s="247"/>
      <c r="K136" s="137"/>
      <c r="Q136" s="245"/>
    </row>
    <row r="137" spans="8:17" x14ac:dyDescent="0.15">
      <c r="K137" s="137"/>
      <c r="Q137" s="245"/>
    </row>
    <row r="138" spans="8:17" x14ac:dyDescent="0.15">
      <c r="K138" s="137"/>
      <c r="Q138" s="245"/>
    </row>
    <row r="139" spans="8:17" x14ac:dyDescent="0.15">
      <c r="K139" s="137"/>
      <c r="Q139" s="245"/>
    </row>
    <row r="140" spans="8:17" x14ac:dyDescent="0.15">
      <c r="K140" s="137"/>
      <c r="Q140" s="245"/>
    </row>
    <row r="141" spans="8:17" x14ac:dyDescent="0.15">
      <c r="K141" s="137"/>
      <c r="Q141" s="245"/>
    </row>
    <row r="142" spans="8:17" x14ac:dyDescent="0.15">
      <c r="K142" s="137"/>
      <c r="Q142" s="245"/>
    </row>
    <row r="143" spans="8:17" x14ac:dyDescent="0.15">
      <c r="K143" s="137"/>
      <c r="Q143" s="245"/>
    </row>
    <row r="144" spans="8:17" x14ac:dyDescent="0.15">
      <c r="K144" s="137"/>
      <c r="Q144" s="245"/>
    </row>
    <row r="145" spans="11:17" x14ac:dyDescent="0.15">
      <c r="K145" s="137"/>
      <c r="Q145" s="245"/>
    </row>
    <row r="146" spans="11:17" x14ac:dyDescent="0.15">
      <c r="K146" s="137"/>
      <c r="Q146" s="245"/>
    </row>
    <row r="147" spans="11:17" x14ac:dyDescent="0.15">
      <c r="K147" s="137"/>
      <c r="Q147" s="245"/>
    </row>
    <row r="148" spans="11:17" x14ac:dyDescent="0.15">
      <c r="K148" s="137"/>
      <c r="Q148" s="245"/>
    </row>
    <row r="149" spans="11:17" x14ac:dyDescent="0.15">
      <c r="K149" s="137"/>
      <c r="Q149" s="245"/>
    </row>
    <row r="150" spans="11:17" x14ac:dyDescent="0.15">
      <c r="K150" s="137"/>
      <c r="Q150" s="245"/>
    </row>
    <row r="151" spans="11:17" x14ac:dyDescent="0.15">
      <c r="K151" s="137"/>
      <c r="Q151" s="245"/>
    </row>
    <row r="152" spans="11:17" x14ac:dyDescent="0.15">
      <c r="K152" s="137"/>
      <c r="Q152" s="245"/>
    </row>
    <row r="153" spans="11:17" x14ac:dyDescent="0.15">
      <c r="K153" s="137"/>
      <c r="Q153" s="245"/>
    </row>
    <row r="154" spans="11:17" x14ac:dyDescent="0.15">
      <c r="K154" s="137"/>
      <c r="Q154" s="245"/>
    </row>
    <row r="155" spans="11:17" x14ac:dyDescent="0.15">
      <c r="K155" s="137"/>
      <c r="Q155" s="245"/>
    </row>
    <row r="156" spans="11:17" x14ac:dyDescent="0.15">
      <c r="K156" s="137"/>
      <c r="Q156" s="245"/>
    </row>
    <row r="157" spans="11:17" x14ac:dyDescent="0.15">
      <c r="K157" s="137"/>
      <c r="Q157" s="245"/>
    </row>
    <row r="158" spans="11:17" x14ac:dyDescent="0.15">
      <c r="K158" s="137"/>
      <c r="Q158" s="245"/>
    </row>
    <row r="159" spans="11:17" x14ac:dyDescent="0.15">
      <c r="K159" s="137"/>
      <c r="Q159" s="245"/>
    </row>
    <row r="160" spans="11:17" x14ac:dyDescent="0.15">
      <c r="K160" s="137"/>
      <c r="Q160" s="245"/>
    </row>
    <row r="161" spans="11:17" x14ac:dyDescent="0.15">
      <c r="K161" s="137"/>
      <c r="Q161" s="245"/>
    </row>
    <row r="162" spans="11:17" x14ac:dyDescent="0.15">
      <c r="K162" s="137"/>
      <c r="Q162" s="245"/>
    </row>
    <row r="163" spans="11:17" x14ac:dyDescent="0.15">
      <c r="K163" s="137"/>
      <c r="Q163" s="245"/>
    </row>
    <row r="164" spans="11:17" x14ac:dyDescent="0.15">
      <c r="K164" s="137"/>
      <c r="Q164" s="245"/>
    </row>
    <row r="165" spans="11:17" x14ac:dyDescent="0.15">
      <c r="K165" s="137"/>
      <c r="Q165" s="245"/>
    </row>
    <row r="166" spans="11:17" x14ac:dyDescent="0.15">
      <c r="K166" s="137"/>
      <c r="Q166" s="245"/>
    </row>
    <row r="167" spans="11:17" x14ac:dyDescent="0.15">
      <c r="K167" s="137"/>
      <c r="Q167" s="245"/>
    </row>
    <row r="168" spans="11:17" x14ac:dyDescent="0.15">
      <c r="K168" s="137"/>
      <c r="Q168" s="245"/>
    </row>
    <row r="169" spans="11:17" x14ac:dyDescent="0.15">
      <c r="K169" s="137"/>
      <c r="Q169" s="245"/>
    </row>
    <row r="170" spans="11:17" x14ac:dyDescent="0.15">
      <c r="K170" s="137"/>
      <c r="Q170" s="245"/>
    </row>
    <row r="171" spans="11:17" x14ac:dyDescent="0.15">
      <c r="K171" s="137"/>
      <c r="Q171" s="245"/>
    </row>
    <row r="172" spans="11:17" x14ac:dyDescent="0.15">
      <c r="K172" s="137"/>
      <c r="Q172" s="245"/>
    </row>
    <row r="173" spans="11:17" x14ac:dyDescent="0.15">
      <c r="K173" s="137"/>
      <c r="Q173" s="245"/>
    </row>
    <row r="174" spans="11:17" x14ac:dyDescent="0.15">
      <c r="K174" s="137"/>
      <c r="Q174" s="245"/>
    </row>
    <row r="175" spans="11:17" x14ac:dyDescent="0.15">
      <c r="K175" s="137"/>
      <c r="Q175" s="245"/>
    </row>
    <row r="176" spans="11:17" x14ac:dyDescent="0.15">
      <c r="K176" s="137"/>
      <c r="Q176" s="245"/>
    </row>
    <row r="177" spans="11:17" x14ac:dyDescent="0.15">
      <c r="K177" s="137"/>
      <c r="Q177" s="245"/>
    </row>
    <row r="178" spans="11:17" x14ac:dyDescent="0.15">
      <c r="K178" s="137"/>
      <c r="Q178" s="245"/>
    </row>
    <row r="179" spans="11:17" x14ac:dyDescent="0.15">
      <c r="K179" s="137"/>
      <c r="Q179" s="245"/>
    </row>
    <row r="180" spans="11:17" x14ac:dyDescent="0.15">
      <c r="K180" s="137"/>
      <c r="Q180" s="245"/>
    </row>
    <row r="181" spans="11:17" x14ac:dyDescent="0.15">
      <c r="K181" s="137"/>
      <c r="Q181" s="245"/>
    </row>
    <row r="182" spans="11:17" x14ac:dyDescent="0.15">
      <c r="K182" s="137"/>
      <c r="Q182" s="245"/>
    </row>
    <row r="183" spans="11:17" x14ac:dyDescent="0.15">
      <c r="K183" s="137"/>
      <c r="Q183" s="245"/>
    </row>
    <row r="184" spans="11:17" x14ac:dyDescent="0.15">
      <c r="K184" s="137"/>
      <c r="Q184" s="245"/>
    </row>
    <row r="185" spans="11:17" x14ac:dyDescent="0.15">
      <c r="K185" s="137"/>
      <c r="Q185" s="245"/>
    </row>
    <row r="186" spans="11:17" x14ac:dyDescent="0.15">
      <c r="K186" s="137"/>
      <c r="Q186" s="245"/>
    </row>
    <row r="187" spans="11:17" x14ac:dyDescent="0.15">
      <c r="K187" s="137"/>
      <c r="Q187" s="245"/>
    </row>
    <row r="188" spans="11:17" x14ac:dyDescent="0.15">
      <c r="K188" s="137"/>
      <c r="Q188" s="245"/>
    </row>
    <row r="189" spans="11:17" x14ac:dyDescent="0.15">
      <c r="K189" s="137"/>
      <c r="Q189" s="245"/>
    </row>
    <row r="190" spans="11:17" x14ac:dyDescent="0.15">
      <c r="K190" s="137"/>
      <c r="Q190" s="245"/>
    </row>
    <row r="191" spans="11:17" x14ac:dyDescent="0.15">
      <c r="K191" s="137"/>
      <c r="Q191" s="245"/>
    </row>
    <row r="192" spans="11:17" x14ac:dyDescent="0.15">
      <c r="K192" s="137"/>
      <c r="Q192" s="245"/>
    </row>
    <row r="193" spans="11:17" x14ac:dyDescent="0.15">
      <c r="K193" s="137"/>
      <c r="Q193" s="245"/>
    </row>
    <row r="194" spans="11:17" x14ac:dyDescent="0.15">
      <c r="K194" s="137"/>
      <c r="Q194" s="245"/>
    </row>
    <row r="195" spans="11:17" x14ac:dyDescent="0.15">
      <c r="K195" s="137"/>
      <c r="Q195" s="245"/>
    </row>
    <row r="196" spans="11:17" x14ac:dyDescent="0.15">
      <c r="K196" s="137"/>
      <c r="Q196" s="245"/>
    </row>
    <row r="197" spans="11:17" x14ac:dyDescent="0.15">
      <c r="K197" s="137"/>
      <c r="Q197" s="245"/>
    </row>
    <row r="198" spans="11:17" x14ac:dyDescent="0.15">
      <c r="K198" s="137"/>
      <c r="Q198" s="245"/>
    </row>
    <row r="199" spans="11:17" x14ac:dyDescent="0.15">
      <c r="K199" s="137"/>
      <c r="Q199" s="245"/>
    </row>
    <row r="200" spans="11:17" x14ac:dyDescent="0.15">
      <c r="K200" s="137"/>
      <c r="Q200" s="245"/>
    </row>
    <row r="201" spans="11:17" x14ac:dyDescent="0.15">
      <c r="K201" s="137"/>
      <c r="Q201" s="245"/>
    </row>
    <row r="202" spans="11:17" x14ac:dyDescent="0.15">
      <c r="K202" s="137"/>
      <c r="Q202" s="245"/>
    </row>
    <row r="203" spans="11:17" x14ac:dyDescent="0.15">
      <c r="K203" s="137"/>
      <c r="Q203" s="245"/>
    </row>
    <row r="204" spans="11:17" x14ac:dyDescent="0.15">
      <c r="K204" s="137"/>
      <c r="Q204" s="245"/>
    </row>
    <row r="205" spans="11:17" x14ac:dyDescent="0.15">
      <c r="K205" s="137"/>
      <c r="Q205" s="245"/>
    </row>
    <row r="206" spans="11:17" x14ac:dyDescent="0.15">
      <c r="K206" s="137"/>
      <c r="Q206" s="245"/>
    </row>
    <row r="207" spans="11:17" x14ac:dyDescent="0.15">
      <c r="K207" s="137"/>
      <c r="Q207" s="245"/>
    </row>
    <row r="208" spans="11:17" x14ac:dyDescent="0.15">
      <c r="K208" s="137"/>
      <c r="Q208" s="245"/>
    </row>
    <row r="209" spans="11:17" x14ac:dyDescent="0.15">
      <c r="K209" s="137"/>
      <c r="Q209" s="245"/>
    </row>
    <row r="210" spans="11:17" x14ac:dyDescent="0.15">
      <c r="K210" s="137"/>
      <c r="Q210" s="245"/>
    </row>
    <row r="211" spans="11:17" x14ac:dyDescent="0.15">
      <c r="K211" s="137"/>
      <c r="Q211" s="245"/>
    </row>
    <row r="212" spans="11:17" x14ac:dyDescent="0.15">
      <c r="K212" s="137"/>
      <c r="Q212" s="245"/>
    </row>
    <row r="213" spans="11:17" x14ac:dyDescent="0.15">
      <c r="K213" s="137"/>
      <c r="Q213" s="245"/>
    </row>
    <row r="214" spans="11:17" x14ac:dyDescent="0.15">
      <c r="K214" s="137"/>
      <c r="Q214" s="245"/>
    </row>
    <row r="215" spans="11:17" x14ac:dyDescent="0.15">
      <c r="K215" s="137"/>
      <c r="Q215" s="245"/>
    </row>
    <row r="216" spans="11:17" x14ac:dyDescent="0.15">
      <c r="K216" s="137"/>
      <c r="Q216" s="245"/>
    </row>
    <row r="217" spans="11:17" x14ac:dyDescent="0.15">
      <c r="K217" s="137"/>
      <c r="Q217" s="245"/>
    </row>
    <row r="218" spans="11:17" x14ac:dyDescent="0.15">
      <c r="K218" s="137"/>
      <c r="Q218" s="245"/>
    </row>
    <row r="219" spans="11:17" x14ac:dyDescent="0.15">
      <c r="K219" s="137"/>
      <c r="Q219" s="245"/>
    </row>
    <row r="220" spans="11:17" x14ac:dyDescent="0.15">
      <c r="K220" s="137"/>
      <c r="Q220" s="245"/>
    </row>
    <row r="221" spans="11:17" x14ac:dyDescent="0.15">
      <c r="K221" s="137"/>
      <c r="Q221" s="245"/>
    </row>
    <row r="222" spans="11:17" x14ac:dyDescent="0.15">
      <c r="K222" s="137"/>
      <c r="Q222" s="245"/>
    </row>
    <row r="223" spans="11:17" x14ac:dyDescent="0.15">
      <c r="K223" s="137"/>
      <c r="Q223" s="245"/>
    </row>
    <row r="224" spans="11:17" x14ac:dyDescent="0.15">
      <c r="K224" s="137"/>
      <c r="Q224" s="245"/>
    </row>
    <row r="225" spans="11:17" x14ac:dyDescent="0.15">
      <c r="K225" s="137"/>
      <c r="Q225" s="245"/>
    </row>
    <row r="226" spans="11:17" x14ac:dyDescent="0.15">
      <c r="K226" s="137"/>
      <c r="Q226" s="245"/>
    </row>
    <row r="227" spans="11:17" x14ac:dyDescent="0.15">
      <c r="K227" s="137"/>
      <c r="Q227" s="245"/>
    </row>
    <row r="228" spans="11:17" x14ac:dyDescent="0.15">
      <c r="K228" s="137"/>
      <c r="Q228" s="245"/>
    </row>
    <row r="229" spans="11:17" x14ac:dyDescent="0.15">
      <c r="K229" s="137"/>
      <c r="Q229" s="245"/>
    </row>
    <row r="230" spans="11:17" x14ac:dyDescent="0.15">
      <c r="K230" s="137"/>
      <c r="Q230" s="245"/>
    </row>
    <row r="231" spans="11:17" x14ac:dyDescent="0.15">
      <c r="K231" s="137"/>
      <c r="Q231" s="245"/>
    </row>
    <row r="232" spans="11:17" x14ac:dyDescent="0.15">
      <c r="K232" s="137"/>
      <c r="Q232" s="245"/>
    </row>
    <row r="233" spans="11:17" x14ac:dyDescent="0.15">
      <c r="K233" s="137"/>
      <c r="Q233" s="245"/>
    </row>
    <row r="234" spans="11:17" x14ac:dyDescent="0.15">
      <c r="K234" s="137"/>
      <c r="Q234" s="245"/>
    </row>
    <row r="235" spans="11:17" x14ac:dyDescent="0.15">
      <c r="K235" s="137"/>
      <c r="Q235" s="245"/>
    </row>
    <row r="236" spans="11:17" x14ac:dyDescent="0.15">
      <c r="K236" s="137"/>
      <c r="Q236" s="245"/>
    </row>
    <row r="237" spans="11:17" x14ac:dyDescent="0.15">
      <c r="K237" s="137"/>
      <c r="Q237" s="245"/>
    </row>
    <row r="238" spans="11:17" x14ac:dyDescent="0.15">
      <c r="K238" s="137"/>
      <c r="Q238" s="245"/>
    </row>
    <row r="239" spans="11:17" x14ac:dyDescent="0.15">
      <c r="K239" s="137"/>
      <c r="Q239" s="245"/>
    </row>
    <row r="240" spans="11:17" x14ac:dyDescent="0.15">
      <c r="K240" s="137"/>
      <c r="Q240" s="245"/>
    </row>
    <row r="241" spans="11:17" x14ac:dyDescent="0.15">
      <c r="K241" s="137"/>
      <c r="Q241" s="245"/>
    </row>
    <row r="242" spans="11:17" x14ac:dyDescent="0.15">
      <c r="K242" s="137"/>
      <c r="Q242" s="245"/>
    </row>
    <row r="243" spans="11:17" x14ac:dyDescent="0.15">
      <c r="K243" s="137"/>
      <c r="Q243" s="245"/>
    </row>
    <row r="244" spans="11:17" x14ac:dyDescent="0.15">
      <c r="K244" s="137"/>
      <c r="Q244" s="245"/>
    </row>
    <row r="245" spans="11:17" x14ac:dyDescent="0.15">
      <c r="K245" s="137"/>
      <c r="Q245" s="245"/>
    </row>
    <row r="246" spans="11:17" x14ac:dyDescent="0.15">
      <c r="K246" s="137"/>
      <c r="Q246" s="245"/>
    </row>
    <row r="247" spans="11:17" x14ac:dyDescent="0.15">
      <c r="K247" s="137"/>
      <c r="Q247" s="245"/>
    </row>
    <row r="248" spans="11:17" x14ac:dyDescent="0.15">
      <c r="K248" s="137"/>
      <c r="Q248" s="245"/>
    </row>
    <row r="249" spans="11:17" x14ac:dyDescent="0.15">
      <c r="K249" s="137"/>
      <c r="Q249" s="245"/>
    </row>
    <row r="250" spans="11:17" x14ac:dyDescent="0.15">
      <c r="K250" s="137"/>
      <c r="Q250" s="245"/>
    </row>
    <row r="251" spans="11:17" x14ac:dyDescent="0.15">
      <c r="K251" s="137"/>
      <c r="Q251" s="245"/>
    </row>
    <row r="252" spans="11:17" x14ac:dyDescent="0.15">
      <c r="K252" s="137"/>
      <c r="Q252" s="245"/>
    </row>
    <row r="253" spans="11:17" x14ac:dyDescent="0.15">
      <c r="K253" s="137"/>
      <c r="Q253" s="245"/>
    </row>
    <row r="254" spans="11:17" x14ac:dyDescent="0.15">
      <c r="K254" s="137"/>
      <c r="Q254" s="245"/>
    </row>
    <row r="255" spans="11:17" x14ac:dyDescent="0.15">
      <c r="K255" s="137"/>
      <c r="Q255" s="245"/>
    </row>
    <row r="256" spans="11:17" x14ac:dyDescent="0.15">
      <c r="K256" s="137"/>
      <c r="Q256" s="245"/>
    </row>
    <row r="257" spans="11:17" x14ac:dyDescent="0.15">
      <c r="K257" s="137"/>
      <c r="Q257" s="245"/>
    </row>
    <row r="258" spans="11:17" x14ac:dyDescent="0.15">
      <c r="K258" s="137"/>
      <c r="Q258" s="245"/>
    </row>
    <row r="259" spans="11:17" x14ac:dyDescent="0.15">
      <c r="K259" s="137"/>
      <c r="Q259" s="245"/>
    </row>
    <row r="260" spans="11:17" x14ac:dyDescent="0.15">
      <c r="K260" s="137"/>
      <c r="Q260" s="245"/>
    </row>
    <row r="261" spans="11:17" x14ac:dyDescent="0.15">
      <c r="K261" s="137"/>
      <c r="Q261" s="245"/>
    </row>
    <row r="262" spans="11:17" x14ac:dyDescent="0.15">
      <c r="K262" s="137"/>
      <c r="Q262" s="245"/>
    </row>
    <row r="263" spans="11:17" x14ac:dyDescent="0.15">
      <c r="K263" s="137"/>
      <c r="Q263" s="245"/>
    </row>
    <row r="264" spans="11:17" x14ac:dyDescent="0.15">
      <c r="K264" s="137"/>
      <c r="Q264" s="245"/>
    </row>
    <row r="265" spans="11:17" x14ac:dyDescent="0.15">
      <c r="K265" s="137"/>
      <c r="Q265" s="245"/>
    </row>
    <row r="266" spans="11:17" x14ac:dyDescent="0.15">
      <c r="K266" s="137"/>
      <c r="Q266" s="245"/>
    </row>
    <row r="267" spans="11:17" x14ac:dyDescent="0.15">
      <c r="K267" s="137"/>
      <c r="Q267" s="245"/>
    </row>
    <row r="268" spans="11:17" x14ac:dyDescent="0.15">
      <c r="K268" s="137"/>
      <c r="Q268" s="245"/>
    </row>
    <row r="269" spans="11:17" x14ac:dyDescent="0.15">
      <c r="K269" s="137"/>
      <c r="Q269" s="245"/>
    </row>
    <row r="270" spans="11:17" x14ac:dyDescent="0.15">
      <c r="K270" s="137"/>
      <c r="Q270" s="245"/>
    </row>
    <row r="271" spans="11:17" x14ac:dyDescent="0.15">
      <c r="K271" s="137"/>
      <c r="Q271" s="245"/>
    </row>
    <row r="272" spans="11:17" x14ac:dyDescent="0.15">
      <c r="K272" s="137"/>
      <c r="Q272" s="245"/>
    </row>
    <row r="273" spans="11:17" x14ac:dyDescent="0.15">
      <c r="K273" s="137"/>
      <c r="Q273" s="245"/>
    </row>
    <row r="274" spans="11:17" x14ac:dyDescent="0.15">
      <c r="K274" s="137"/>
      <c r="Q274" s="245"/>
    </row>
    <row r="275" spans="11:17" x14ac:dyDescent="0.15">
      <c r="K275" s="137"/>
      <c r="Q275" s="245"/>
    </row>
    <row r="276" spans="11:17" x14ac:dyDescent="0.15">
      <c r="K276" s="137"/>
      <c r="Q276" s="245"/>
    </row>
    <row r="277" spans="11:17" x14ac:dyDescent="0.15">
      <c r="K277" s="137"/>
      <c r="Q277" s="245"/>
    </row>
    <row r="278" spans="11:17" x14ac:dyDescent="0.15">
      <c r="K278" s="137"/>
      <c r="Q278" s="245"/>
    </row>
    <row r="279" spans="11:17" x14ac:dyDescent="0.15">
      <c r="K279" s="137"/>
      <c r="Q279" s="245"/>
    </row>
    <row r="280" spans="11:17" x14ac:dyDescent="0.15">
      <c r="K280" s="137"/>
      <c r="Q280" s="245"/>
    </row>
    <row r="281" spans="11:17" x14ac:dyDescent="0.15">
      <c r="K281" s="137"/>
      <c r="Q281" s="245"/>
    </row>
    <row r="282" spans="11:17" x14ac:dyDescent="0.15">
      <c r="K282" s="137"/>
      <c r="Q282" s="245"/>
    </row>
    <row r="283" spans="11:17" x14ac:dyDescent="0.15">
      <c r="K283" s="137"/>
      <c r="Q283" s="245"/>
    </row>
    <row r="284" spans="11:17" x14ac:dyDescent="0.15">
      <c r="K284" s="137"/>
      <c r="Q284" s="245"/>
    </row>
    <row r="285" spans="11:17" x14ac:dyDescent="0.15">
      <c r="K285" s="137"/>
      <c r="Q285" s="245"/>
    </row>
    <row r="286" spans="11:17" x14ac:dyDescent="0.15">
      <c r="K286" s="137"/>
      <c r="Q286" s="245"/>
    </row>
    <row r="287" spans="11:17" x14ac:dyDescent="0.15">
      <c r="K287" s="137"/>
    </row>
    <row r="288" spans="11:17" x14ac:dyDescent="0.15">
      <c r="K288" s="137"/>
    </row>
    <row r="289" spans="11:11" x14ac:dyDescent="0.15">
      <c r="K289" s="137"/>
    </row>
    <row r="290" spans="11:11" x14ac:dyDescent="0.15">
      <c r="K290" s="137"/>
    </row>
    <row r="291" spans="11:11" x14ac:dyDescent="0.15">
      <c r="K291" s="137"/>
    </row>
    <row r="292" spans="11:11" x14ac:dyDescent="0.15">
      <c r="K292" s="137"/>
    </row>
    <row r="293" spans="11:11" x14ac:dyDescent="0.15">
      <c r="K293" s="137"/>
    </row>
    <row r="294" spans="11:11" x14ac:dyDescent="0.15">
      <c r="K294" s="137"/>
    </row>
    <row r="295" spans="11:11" x14ac:dyDescent="0.15">
      <c r="K295" s="137"/>
    </row>
    <row r="296" spans="11:11" x14ac:dyDescent="0.15">
      <c r="K296" s="137"/>
    </row>
    <row r="297" spans="11:11" x14ac:dyDescent="0.15">
      <c r="K297" s="137"/>
    </row>
    <row r="298" spans="11:11" x14ac:dyDescent="0.15">
      <c r="K298" s="137"/>
    </row>
    <row r="299" spans="11:11" x14ac:dyDescent="0.15">
      <c r="K299" s="137"/>
    </row>
    <row r="300" spans="11:11" x14ac:dyDescent="0.15">
      <c r="K300" s="137"/>
    </row>
    <row r="301" spans="11:11" x14ac:dyDescent="0.15">
      <c r="K301" s="137"/>
    </row>
    <row r="302" spans="11:11" x14ac:dyDescent="0.15">
      <c r="K302" s="137"/>
    </row>
    <row r="303" spans="11:11" x14ac:dyDescent="0.15">
      <c r="K303" s="137"/>
    </row>
    <row r="304" spans="11:11"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sheetData>
  <autoFilter ref="A1:BA1"/>
  <phoneticPr fontId="3"/>
  <dataValidations count="20">
    <dataValidation type="list" allowBlank="1" showInputMessage="1" showErrorMessage="1" sqref="J487:J64237">
      <formula1>$AP$2:$AP$16</formula1>
    </dataValidation>
    <dataValidation type="list" allowBlank="1" showInputMessage="1" showErrorMessage="1" sqref="I487:I64237">
      <formula1>$AN$2:$AN$6</formula1>
    </dataValidation>
    <dataValidation type="list" allowBlank="1" showInputMessage="1" showErrorMessage="1" sqref="Y487:AA64237">
      <formula1>$AV$2:$AV$26</formula1>
    </dataValidation>
    <dataValidation type="list" allowBlank="1" showInputMessage="1" showErrorMessage="1" sqref="K487:K64237">
      <formula1>$AR$2:$AR$28</formula1>
    </dataValidation>
    <dataValidation type="list" allowBlank="1" showInputMessage="1" showErrorMessage="1" sqref="H487:H64237">
      <formula1>$AL$2:$AL$10</formula1>
    </dataValidation>
    <dataValidation type="list" allowBlank="1" showInputMessage="1" showErrorMessage="1" sqref="E487:E64237">
      <formula1>$AG$2:$AG$9</formula1>
    </dataValidation>
    <dataValidation type="list" allowBlank="1" showInputMessage="1" showErrorMessage="1" sqref="F487:F64237">
      <formula1>$AH$2:$AH$8</formula1>
    </dataValidation>
    <dataValidation operator="equal" allowBlank="1" showInputMessage="1" showErrorMessage="1" sqref="B2:B46"/>
    <dataValidation type="list" allowBlank="1" showInputMessage="1" showErrorMessage="1" sqref="K439:K486">
      <formula1>$AR$2:$AR$25</formula1>
    </dataValidation>
    <dataValidation type="list" allowBlank="1" showInputMessage="1" showErrorMessage="1" sqref="K2:K438">
      <formula1>$AR$2:$AR$26</formula1>
    </dataValidation>
    <dataValidation type="list" allowBlank="1" showInputMessage="1" showErrorMessage="1" sqref="J2:J486">
      <formula1>$AP$2:$AP$27</formula1>
    </dataValidation>
    <dataValidation type="list" allowBlank="1" showInputMessage="1" showErrorMessage="1" sqref="G2:G486">
      <formula1>$AJ$2:$AJ$4</formula1>
    </dataValidation>
    <dataValidation type="list" allowBlank="1" showInputMessage="1" showErrorMessage="1" sqref="X2:X486">
      <formula1>$AT$2:$AT$3</formula1>
    </dataValidation>
    <dataValidation type="list" allowBlank="1" showInputMessage="1" showErrorMessage="1" sqref="A2:A486">
      <formula1>$AE$2:$AE$19</formula1>
    </dataValidation>
    <dataValidation type="list" allowBlank="1" showInputMessage="1" showErrorMessage="1" sqref="H2:H486">
      <formula1>$AL$2:$AL$8</formula1>
    </dataValidation>
    <dataValidation type="list" allowBlank="1" showInputMessage="1" showErrorMessage="1" sqref="I2:I486">
      <formula1>$AN$5:$AN$6</formula1>
    </dataValidation>
    <dataValidation type="list" allowBlank="1" showInputMessage="1" showErrorMessage="1" sqref="Y2:AA486">
      <formula1>$AV$2:$AV$21</formula1>
    </dataValidation>
    <dataValidation type="decimal" allowBlank="1" showInputMessage="1" showErrorMessage="1" error="硬度を正しく入力して下さい。" sqref="O2:P486">
      <formula1>0</formula1>
      <formula2>7</formula2>
    </dataValidation>
    <dataValidation type="list" allowBlank="1" showInputMessage="1" showErrorMessage="1" sqref="E2:E486">
      <formula1>$AG$2:$AG$10</formula1>
    </dataValidation>
    <dataValidation type="list" allowBlank="1" showInputMessage="1" showErrorMessage="1" sqref="F2:F486">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46"/>
  <sheetViews>
    <sheetView zoomScale="85" zoomScaleNormal="85" workbookViewId="0">
      <selection activeCell="M19" sqref="M19"/>
    </sheetView>
  </sheetViews>
  <sheetFormatPr defaultRowHeight="13.5" x14ac:dyDescent="0.15"/>
  <cols>
    <col min="1" max="1" width="9" style="208"/>
    <col min="2" max="2" width="6.5" style="208" customWidth="1"/>
    <col min="3" max="3" width="9" style="208"/>
    <col min="4" max="4" width="10.5" style="208" bestFit="1" customWidth="1"/>
    <col min="5" max="5" width="13.375" style="208" customWidth="1"/>
    <col min="6" max="6" width="18.875" style="208" bestFit="1" customWidth="1"/>
    <col min="7" max="9" width="9" style="208"/>
    <col min="10" max="10" width="9.25" style="208" customWidth="1"/>
    <col min="11" max="16" width="9" style="208"/>
    <col min="17" max="17" width="9" style="217"/>
    <col min="18" max="19" width="9" style="208"/>
    <col min="20" max="20" width="9" style="217"/>
    <col min="21" max="21" width="9" style="208"/>
    <col min="22" max="22" width="14.25" style="217" customWidth="1"/>
    <col min="23" max="23" width="9" style="208"/>
    <col min="24" max="24" width="9.625" style="208" customWidth="1"/>
    <col min="25" max="26" width="9" style="208"/>
    <col min="27" max="27" width="12.125" style="208" customWidth="1"/>
    <col min="28" max="32" width="9" style="208"/>
    <col min="33" max="33" width="15.125" style="208" bestFit="1" customWidth="1"/>
    <col min="34" max="34" width="19.625" style="208" bestFit="1" customWidth="1"/>
    <col min="35" max="16384" width="9" style="208"/>
  </cols>
  <sheetData>
    <row r="1" spans="1:53" ht="45" x14ac:dyDescent="0.15">
      <c r="A1" s="240" t="s">
        <v>0</v>
      </c>
      <c r="B1" s="202" t="s">
        <v>1</v>
      </c>
      <c r="C1" s="202" t="s">
        <v>159</v>
      </c>
      <c r="D1" s="203" t="s">
        <v>3</v>
      </c>
      <c r="E1" s="241" t="s">
        <v>4</v>
      </c>
      <c r="F1" s="241" t="s">
        <v>5</v>
      </c>
      <c r="G1" s="241" t="s">
        <v>6</v>
      </c>
      <c r="H1" s="241" t="s">
        <v>7</v>
      </c>
      <c r="I1" s="241" t="s">
        <v>8</v>
      </c>
      <c r="J1" s="241" t="s">
        <v>9</v>
      </c>
      <c r="K1" s="241" t="s">
        <v>10</v>
      </c>
      <c r="L1" s="203" t="s">
        <v>160</v>
      </c>
      <c r="M1" s="203" t="s">
        <v>12</v>
      </c>
      <c r="N1" s="203" t="s">
        <v>13</v>
      </c>
      <c r="O1" s="203" t="s">
        <v>161</v>
      </c>
      <c r="P1" s="203" t="s">
        <v>15</v>
      </c>
      <c r="Q1" s="204" t="s">
        <v>16</v>
      </c>
      <c r="R1" s="203" t="s">
        <v>17</v>
      </c>
      <c r="S1" s="203" t="s">
        <v>18</v>
      </c>
      <c r="T1" s="204" t="s">
        <v>19</v>
      </c>
      <c r="U1" s="205" t="s">
        <v>319</v>
      </c>
      <c r="V1" s="206" t="s">
        <v>20</v>
      </c>
      <c r="W1" s="203" t="s">
        <v>21</v>
      </c>
      <c r="X1" s="241" t="s">
        <v>22</v>
      </c>
      <c r="Y1" s="241" t="s">
        <v>23</v>
      </c>
      <c r="Z1" s="241" t="s">
        <v>320</v>
      </c>
      <c r="AA1" s="242" t="s">
        <v>25</v>
      </c>
      <c r="AB1" s="207" t="s">
        <v>26</v>
      </c>
      <c r="AE1" s="209" t="s">
        <v>0</v>
      </c>
      <c r="AF1" s="210"/>
      <c r="AG1" s="24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162</v>
      </c>
      <c r="AY1" s="214" t="s">
        <v>163</v>
      </c>
      <c r="AZ1" s="214" t="s">
        <v>174</v>
      </c>
      <c r="BA1" s="215" t="s">
        <v>164</v>
      </c>
    </row>
    <row r="2" spans="1:53" s="216" customFormat="1" x14ac:dyDescent="0.15">
      <c r="A2" s="216" t="s">
        <v>34</v>
      </c>
      <c r="B2" s="208" t="s">
        <v>338</v>
      </c>
      <c r="C2" s="208">
        <v>2018</v>
      </c>
      <c r="D2" s="250" t="s">
        <v>344</v>
      </c>
      <c r="E2" s="237" t="s">
        <v>513</v>
      </c>
      <c r="F2" s="237" t="s">
        <v>330</v>
      </c>
      <c r="G2" s="216" t="s">
        <v>36</v>
      </c>
      <c r="H2" s="208" t="s">
        <v>157</v>
      </c>
      <c r="I2" s="216" t="s">
        <v>155</v>
      </c>
      <c r="J2" s="216" t="s">
        <v>38</v>
      </c>
      <c r="K2" s="216" t="s">
        <v>156</v>
      </c>
      <c r="L2" s="216">
        <v>1</v>
      </c>
      <c r="N2" s="216">
        <v>1</v>
      </c>
      <c r="O2" s="216">
        <v>0.8</v>
      </c>
      <c r="P2" s="216">
        <v>0.8</v>
      </c>
      <c r="Q2" s="245">
        <f t="shared" ref="Q2:Q82" si="0">IF(OR(O2="",P2=""),"",AVERAGE(O2,P2))</f>
        <v>0.8</v>
      </c>
      <c r="R2" s="216">
        <v>14.5</v>
      </c>
      <c r="S2" s="216">
        <v>131</v>
      </c>
      <c r="T2" s="217">
        <f t="shared" ref="T2:T91" si="1">IF(H2="","",IF(OR(H2="GREEN",H2="GK"),IF(S2&gt;=$AX$2,VLOOKUP(S2,$AX$2:$AY$9,2,1),""),IF(S2&gt;=$AZ$2,VLOOKUP(S2,$AZ$2:$BA$9,2,1),"")))</f>
        <v>30</v>
      </c>
      <c r="U2" s="216">
        <v>105</v>
      </c>
      <c r="V2" s="217">
        <f t="shared" ref="V2:V91" si="2">IF(OR(N2="",U2="",T2=""),"",U2/N2*T2)</f>
        <v>3150</v>
      </c>
      <c r="W2" s="216">
        <v>3</v>
      </c>
      <c r="X2" s="216" t="s">
        <v>46</v>
      </c>
      <c r="Y2" s="216" t="s">
        <v>102</v>
      </c>
      <c r="Z2" s="216" t="s">
        <v>69</v>
      </c>
      <c r="AA2" s="216" t="s">
        <v>55</v>
      </c>
      <c r="AB2" s="216" t="s">
        <v>340</v>
      </c>
      <c r="AE2" s="218" t="s">
        <v>35</v>
      </c>
      <c r="AG2" s="251" t="s">
        <v>285</v>
      </c>
      <c r="AH2" s="243" t="s">
        <v>321</v>
      </c>
      <c r="AJ2" s="219" t="s">
        <v>36</v>
      </c>
      <c r="AL2" s="219" t="s">
        <v>127</v>
      </c>
      <c r="AN2" s="219" t="s">
        <v>37</v>
      </c>
      <c r="AP2" s="219" t="s">
        <v>38</v>
      </c>
      <c r="AR2" s="219" t="s">
        <v>120</v>
      </c>
      <c r="AT2" s="219" t="s">
        <v>39</v>
      </c>
      <c r="AV2" s="248" t="s">
        <v>40</v>
      </c>
      <c r="AX2" s="220">
        <v>1</v>
      </c>
      <c r="AY2" s="221">
        <v>50</v>
      </c>
      <c r="AZ2" s="221">
        <v>1</v>
      </c>
      <c r="BA2" s="222">
        <v>50</v>
      </c>
    </row>
    <row r="3" spans="1:53" x14ac:dyDescent="0.15">
      <c r="A3" s="216" t="s">
        <v>34</v>
      </c>
      <c r="B3" s="208" t="s">
        <v>338</v>
      </c>
      <c r="C3" s="208">
        <v>2018</v>
      </c>
      <c r="D3" s="250" t="s">
        <v>344</v>
      </c>
      <c r="E3" s="237" t="s">
        <v>513</v>
      </c>
      <c r="F3" s="237" t="s">
        <v>330</v>
      </c>
      <c r="G3" s="216" t="s">
        <v>36</v>
      </c>
      <c r="H3" s="208" t="s">
        <v>157</v>
      </c>
      <c r="I3" s="216" t="s">
        <v>155</v>
      </c>
      <c r="J3" s="216" t="s">
        <v>38</v>
      </c>
      <c r="K3" s="216" t="s">
        <v>156</v>
      </c>
      <c r="L3" s="208">
        <v>2</v>
      </c>
      <c r="N3" s="208">
        <v>1</v>
      </c>
      <c r="O3" s="208">
        <v>0.6</v>
      </c>
      <c r="P3" s="208">
        <v>0.65</v>
      </c>
      <c r="Q3" s="245">
        <f t="shared" si="0"/>
        <v>0.625</v>
      </c>
      <c r="R3" s="208">
        <v>13.7</v>
      </c>
      <c r="S3" s="208">
        <v>130</v>
      </c>
      <c r="T3" s="217">
        <f t="shared" si="1"/>
        <v>30</v>
      </c>
      <c r="U3" s="208">
        <v>105</v>
      </c>
      <c r="V3" s="217">
        <f t="shared" si="2"/>
        <v>3150</v>
      </c>
      <c r="W3" s="216">
        <v>3</v>
      </c>
      <c r="X3" s="216" t="s">
        <v>46</v>
      </c>
      <c r="Y3" s="216" t="s">
        <v>102</v>
      </c>
      <c r="Z3" s="216" t="s">
        <v>69</v>
      </c>
      <c r="AA3" s="216" t="s">
        <v>55</v>
      </c>
      <c r="AB3" s="216" t="s">
        <v>340</v>
      </c>
      <c r="AC3" s="216"/>
      <c r="AE3" s="223" t="s">
        <v>41</v>
      </c>
      <c r="AG3" s="252" t="s">
        <v>322</v>
      </c>
      <c r="AH3" s="243" t="s">
        <v>323</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216" t="s">
        <v>34</v>
      </c>
      <c r="B4" s="208" t="s">
        <v>338</v>
      </c>
      <c r="C4" s="208">
        <v>2018</v>
      </c>
      <c r="D4" s="250" t="s">
        <v>344</v>
      </c>
      <c r="E4" s="237" t="s">
        <v>513</v>
      </c>
      <c r="F4" s="237" t="s">
        <v>330</v>
      </c>
      <c r="G4" s="216" t="s">
        <v>36</v>
      </c>
      <c r="H4" s="208" t="s">
        <v>157</v>
      </c>
      <c r="I4" s="216" t="s">
        <v>155</v>
      </c>
      <c r="J4" s="216" t="s">
        <v>38</v>
      </c>
      <c r="K4" s="216" t="s">
        <v>156</v>
      </c>
      <c r="L4" s="208">
        <v>3</v>
      </c>
      <c r="N4" s="208">
        <v>1</v>
      </c>
      <c r="O4" s="208">
        <v>0.7</v>
      </c>
      <c r="P4" s="208">
        <v>0.7</v>
      </c>
      <c r="Q4" s="245">
        <f t="shared" si="0"/>
        <v>0.7</v>
      </c>
      <c r="R4" s="208">
        <v>15.1</v>
      </c>
      <c r="S4" s="208">
        <v>129</v>
      </c>
      <c r="T4" s="217">
        <f t="shared" si="1"/>
        <v>30</v>
      </c>
      <c r="U4" s="208">
        <v>105</v>
      </c>
      <c r="V4" s="217">
        <f t="shared" si="2"/>
        <v>3150</v>
      </c>
      <c r="W4" s="208">
        <v>3</v>
      </c>
      <c r="X4" s="216" t="s">
        <v>46</v>
      </c>
      <c r="Y4" s="216" t="s">
        <v>102</v>
      </c>
      <c r="Z4" s="216" t="s">
        <v>69</v>
      </c>
      <c r="AA4" s="216" t="s">
        <v>55</v>
      </c>
      <c r="AB4" s="216" t="s">
        <v>340</v>
      </c>
      <c r="AC4" s="216"/>
      <c r="AE4" s="223" t="s">
        <v>34</v>
      </c>
      <c r="AG4" s="252" t="s">
        <v>324</v>
      </c>
      <c r="AH4" s="243" t="s">
        <v>325</v>
      </c>
      <c r="AJ4" s="228" t="s">
        <v>48</v>
      </c>
      <c r="AL4" s="228" t="s">
        <v>129</v>
      </c>
      <c r="AN4" s="229" t="s">
        <v>49</v>
      </c>
      <c r="AP4" s="224" t="s">
        <v>93</v>
      </c>
      <c r="AR4" s="238" t="s">
        <v>121</v>
      </c>
      <c r="AT4" s="229"/>
      <c r="AV4" s="224" t="s">
        <v>50</v>
      </c>
      <c r="AX4" s="225">
        <v>75</v>
      </c>
      <c r="AY4" s="226">
        <v>42</v>
      </c>
      <c r="AZ4" s="226">
        <v>76</v>
      </c>
      <c r="BA4" s="227">
        <v>39</v>
      </c>
    </row>
    <row r="5" spans="1:53" x14ac:dyDescent="0.15">
      <c r="A5" s="216" t="s">
        <v>34</v>
      </c>
      <c r="B5" s="208" t="s">
        <v>338</v>
      </c>
      <c r="C5" s="208">
        <v>2018</v>
      </c>
      <c r="D5" s="250" t="s">
        <v>344</v>
      </c>
      <c r="E5" s="237" t="s">
        <v>513</v>
      </c>
      <c r="F5" s="237" t="s">
        <v>330</v>
      </c>
      <c r="G5" s="216" t="s">
        <v>36</v>
      </c>
      <c r="H5" s="208" t="s">
        <v>157</v>
      </c>
      <c r="I5" s="216" t="s">
        <v>155</v>
      </c>
      <c r="J5" s="216" t="s">
        <v>38</v>
      </c>
      <c r="K5" s="216" t="s">
        <v>156</v>
      </c>
      <c r="L5" s="216">
        <v>1</v>
      </c>
      <c r="N5" s="208">
        <v>5</v>
      </c>
      <c r="O5" s="208">
        <v>0.6</v>
      </c>
      <c r="P5" s="208">
        <v>0.55000000000000004</v>
      </c>
      <c r="Q5" s="245">
        <f t="shared" si="0"/>
        <v>0.57499999999999996</v>
      </c>
      <c r="R5" s="208">
        <v>13.6</v>
      </c>
      <c r="S5" s="208">
        <v>88</v>
      </c>
      <c r="T5" s="217">
        <f t="shared" si="1"/>
        <v>36</v>
      </c>
      <c r="U5" s="208">
        <v>429</v>
      </c>
      <c r="V5" s="217">
        <f t="shared" si="2"/>
        <v>3088.7999999999997</v>
      </c>
      <c r="W5" s="208">
        <v>3</v>
      </c>
      <c r="X5" s="216" t="s">
        <v>46</v>
      </c>
      <c r="Y5" s="216" t="s">
        <v>102</v>
      </c>
      <c r="Z5" s="216" t="s">
        <v>69</v>
      </c>
      <c r="AA5" s="216" t="s">
        <v>55</v>
      </c>
      <c r="AB5" s="216" t="s">
        <v>340</v>
      </c>
      <c r="AE5" s="223" t="s">
        <v>51</v>
      </c>
      <c r="AG5" s="252" t="s">
        <v>326</v>
      </c>
      <c r="AH5" s="243" t="s">
        <v>327</v>
      </c>
      <c r="AJ5" s="229"/>
      <c r="AL5" s="230" t="s">
        <v>167</v>
      </c>
      <c r="AN5" s="230" t="s">
        <v>168</v>
      </c>
      <c r="AP5" s="224" t="s">
        <v>119</v>
      </c>
      <c r="AR5" s="238" t="s">
        <v>54</v>
      </c>
      <c r="AV5" s="224" t="s">
        <v>55</v>
      </c>
      <c r="AX5" s="225">
        <v>84</v>
      </c>
      <c r="AY5" s="226">
        <v>39</v>
      </c>
      <c r="AZ5" s="226">
        <v>84</v>
      </c>
      <c r="BA5" s="227">
        <v>36</v>
      </c>
    </row>
    <row r="6" spans="1:53" x14ac:dyDescent="0.15">
      <c r="A6" s="216" t="s">
        <v>34</v>
      </c>
      <c r="B6" s="208" t="s">
        <v>338</v>
      </c>
      <c r="C6" s="208">
        <v>2018</v>
      </c>
      <c r="D6" s="250" t="s">
        <v>344</v>
      </c>
      <c r="E6" s="237" t="s">
        <v>513</v>
      </c>
      <c r="F6" s="237" t="s">
        <v>330</v>
      </c>
      <c r="G6" s="216" t="s">
        <v>36</v>
      </c>
      <c r="H6" s="208" t="s">
        <v>157</v>
      </c>
      <c r="I6" s="216" t="s">
        <v>155</v>
      </c>
      <c r="J6" s="216" t="s">
        <v>38</v>
      </c>
      <c r="K6" s="216" t="s">
        <v>156</v>
      </c>
      <c r="L6" s="208">
        <v>2</v>
      </c>
      <c r="N6" s="208">
        <v>5</v>
      </c>
      <c r="O6" s="208">
        <v>0.5</v>
      </c>
      <c r="P6" s="208">
        <v>0.55000000000000004</v>
      </c>
      <c r="Q6" s="245">
        <f t="shared" si="0"/>
        <v>0.52500000000000002</v>
      </c>
      <c r="R6" s="208">
        <v>14.3</v>
      </c>
      <c r="S6" s="208">
        <v>90</v>
      </c>
      <c r="T6" s="217">
        <f t="shared" si="1"/>
        <v>36</v>
      </c>
      <c r="U6" s="208">
        <v>429</v>
      </c>
      <c r="V6" s="217">
        <f t="shared" si="2"/>
        <v>3088.7999999999997</v>
      </c>
      <c r="W6" s="208">
        <v>3</v>
      </c>
      <c r="X6" s="216" t="s">
        <v>46</v>
      </c>
      <c r="Y6" s="216" t="s">
        <v>102</v>
      </c>
      <c r="Z6" s="216" t="s">
        <v>69</v>
      </c>
      <c r="AA6" s="216" t="s">
        <v>55</v>
      </c>
      <c r="AB6" s="216" t="s">
        <v>340</v>
      </c>
      <c r="AE6" s="223" t="s">
        <v>56</v>
      </c>
      <c r="AG6" s="252" t="s">
        <v>328</v>
      </c>
      <c r="AH6" s="243" t="s">
        <v>329</v>
      </c>
      <c r="AL6" s="230" t="s">
        <v>169</v>
      </c>
      <c r="AN6" s="230" t="s">
        <v>170</v>
      </c>
      <c r="AP6" s="224" t="s">
        <v>53</v>
      </c>
      <c r="AR6" s="238" t="s">
        <v>59</v>
      </c>
      <c r="AV6" s="224" t="s">
        <v>60</v>
      </c>
      <c r="AX6" s="225">
        <v>97</v>
      </c>
      <c r="AY6" s="226">
        <v>36</v>
      </c>
      <c r="AZ6" s="226">
        <v>99</v>
      </c>
      <c r="BA6" s="227">
        <v>33</v>
      </c>
    </row>
    <row r="7" spans="1:53" x14ac:dyDescent="0.15">
      <c r="A7" s="216" t="s">
        <v>34</v>
      </c>
      <c r="B7" s="208" t="s">
        <v>338</v>
      </c>
      <c r="C7" s="208">
        <v>2018</v>
      </c>
      <c r="D7" s="250" t="s">
        <v>344</v>
      </c>
      <c r="E7" s="237" t="s">
        <v>513</v>
      </c>
      <c r="F7" s="237" t="s">
        <v>330</v>
      </c>
      <c r="G7" s="216" t="s">
        <v>36</v>
      </c>
      <c r="H7" s="208" t="s">
        <v>157</v>
      </c>
      <c r="I7" s="216" t="s">
        <v>155</v>
      </c>
      <c r="J7" s="216" t="s">
        <v>38</v>
      </c>
      <c r="K7" s="216" t="s">
        <v>156</v>
      </c>
      <c r="L7" s="208">
        <v>3</v>
      </c>
      <c r="N7" s="208">
        <v>5</v>
      </c>
      <c r="O7" s="208">
        <v>0.6</v>
      </c>
      <c r="P7" s="208">
        <v>0.65</v>
      </c>
      <c r="Q7" s="245">
        <f t="shared" si="0"/>
        <v>0.625</v>
      </c>
      <c r="R7" s="208">
        <v>11.6</v>
      </c>
      <c r="S7" s="208">
        <v>85</v>
      </c>
      <c r="T7" s="217">
        <f t="shared" si="1"/>
        <v>36</v>
      </c>
      <c r="U7" s="208">
        <v>429</v>
      </c>
      <c r="V7" s="217">
        <f t="shared" si="2"/>
        <v>3088.7999999999997</v>
      </c>
      <c r="W7" s="208">
        <v>3</v>
      </c>
      <c r="X7" s="216" t="s">
        <v>46</v>
      </c>
      <c r="Y7" s="216" t="s">
        <v>102</v>
      </c>
      <c r="Z7" s="216" t="s">
        <v>69</v>
      </c>
      <c r="AA7" s="216" t="s">
        <v>55</v>
      </c>
      <c r="AB7" s="216" t="s">
        <v>340</v>
      </c>
      <c r="AE7" s="223" t="s">
        <v>61</v>
      </c>
      <c r="AG7" s="252" t="s">
        <v>213</v>
      </c>
      <c r="AH7" s="243" t="s">
        <v>330</v>
      </c>
      <c r="AL7" s="235" t="s">
        <v>171</v>
      </c>
      <c r="AP7" s="224" t="s">
        <v>58</v>
      </c>
      <c r="AR7" s="231" t="s">
        <v>122</v>
      </c>
      <c r="AV7" s="224" t="s">
        <v>64</v>
      </c>
      <c r="AX7" s="225">
        <v>109</v>
      </c>
      <c r="AY7" s="226">
        <v>33</v>
      </c>
      <c r="AZ7" s="226">
        <v>113</v>
      </c>
      <c r="BA7" s="227">
        <v>30</v>
      </c>
    </row>
    <row r="8" spans="1:53" x14ac:dyDescent="0.15">
      <c r="A8" s="216" t="s">
        <v>34</v>
      </c>
      <c r="B8" s="208" t="s">
        <v>338</v>
      </c>
      <c r="C8" s="208">
        <v>2018</v>
      </c>
      <c r="D8" s="250" t="s">
        <v>514</v>
      </c>
      <c r="E8" s="237" t="s">
        <v>515</v>
      </c>
      <c r="F8" s="237" t="s">
        <v>330</v>
      </c>
      <c r="G8" s="216" t="s">
        <v>36</v>
      </c>
      <c r="H8" s="208" t="s">
        <v>165</v>
      </c>
      <c r="I8" s="216" t="s">
        <v>155</v>
      </c>
      <c r="J8" s="216" t="s">
        <v>38</v>
      </c>
      <c r="K8" s="216" t="s">
        <v>156</v>
      </c>
      <c r="L8" s="216">
        <v>1</v>
      </c>
      <c r="N8" s="208">
        <v>1</v>
      </c>
      <c r="O8" s="208">
        <v>0.55000000000000004</v>
      </c>
      <c r="P8" s="208">
        <v>0.55000000000000004</v>
      </c>
      <c r="Q8" s="245">
        <f t="shared" si="0"/>
        <v>0.55000000000000004</v>
      </c>
      <c r="R8" s="208">
        <v>15.5</v>
      </c>
      <c r="S8" s="208">
        <v>134</v>
      </c>
      <c r="T8" s="217">
        <f t="shared" si="1"/>
        <v>30</v>
      </c>
      <c r="U8" s="208">
        <v>170</v>
      </c>
      <c r="V8" s="217">
        <f t="shared" si="2"/>
        <v>5100</v>
      </c>
      <c r="W8" s="208">
        <v>4</v>
      </c>
      <c r="X8" s="216" t="s">
        <v>46</v>
      </c>
      <c r="Y8" s="216" t="s">
        <v>102</v>
      </c>
      <c r="Z8" s="216" t="s">
        <v>69</v>
      </c>
      <c r="AA8" s="216" t="s">
        <v>55</v>
      </c>
      <c r="AB8" s="216" t="s">
        <v>340</v>
      </c>
      <c r="AE8" s="223" t="s">
        <v>59</v>
      </c>
      <c r="AG8" s="252" t="s">
        <v>331</v>
      </c>
      <c r="AH8" s="243" t="s">
        <v>332</v>
      </c>
      <c r="AL8" s="235" t="s">
        <v>346</v>
      </c>
      <c r="AP8" s="224" t="s">
        <v>62</v>
      </c>
      <c r="AR8" s="238" t="s">
        <v>81</v>
      </c>
      <c r="AV8" s="224" t="s">
        <v>97</v>
      </c>
      <c r="AX8" s="225">
        <v>151</v>
      </c>
      <c r="AY8" s="226">
        <v>22</v>
      </c>
      <c r="AZ8" s="226">
        <v>152</v>
      </c>
      <c r="BA8" s="227">
        <v>18</v>
      </c>
    </row>
    <row r="9" spans="1:53" x14ac:dyDescent="0.15">
      <c r="A9" s="216" t="s">
        <v>34</v>
      </c>
      <c r="B9" s="208" t="s">
        <v>338</v>
      </c>
      <c r="C9" s="208">
        <v>2018</v>
      </c>
      <c r="D9" s="250" t="s">
        <v>514</v>
      </c>
      <c r="E9" s="237" t="s">
        <v>515</v>
      </c>
      <c r="F9" s="237" t="s">
        <v>330</v>
      </c>
      <c r="G9" s="216" t="s">
        <v>36</v>
      </c>
      <c r="H9" s="208" t="s">
        <v>165</v>
      </c>
      <c r="I9" s="216" t="s">
        <v>155</v>
      </c>
      <c r="J9" s="216" t="s">
        <v>38</v>
      </c>
      <c r="K9" s="216" t="s">
        <v>156</v>
      </c>
      <c r="L9" s="208">
        <v>2</v>
      </c>
      <c r="N9" s="208">
        <v>1</v>
      </c>
      <c r="O9" s="208">
        <v>0.2</v>
      </c>
      <c r="P9" s="208">
        <v>0.2</v>
      </c>
      <c r="Q9" s="245">
        <f t="shared" si="0"/>
        <v>0.2</v>
      </c>
      <c r="R9" s="208">
        <v>15.1</v>
      </c>
      <c r="S9" s="208">
        <v>135</v>
      </c>
      <c r="T9" s="217">
        <f t="shared" si="1"/>
        <v>30</v>
      </c>
      <c r="U9" s="208">
        <v>170</v>
      </c>
      <c r="V9" s="217">
        <f t="shared" si="2"/>
        <v>5100</v>
      </c>
      <c r="W9" s="208">
        <v>4</v>
      </c>
      <c r="X9" s="216" t="s">
        <v>46</v>
      </c>
      <c r="Y9" s="216" t="s">
        <v>102</v>
      </c>
      <c r="Z9" s="216" t="s">
        <v>69</v>
      </c>
      <c r="AA9" s="216" t="s">
        <v>55</v>
      </c>
      <c r="AB9" s="216" t="s">
        <v>340</v>
      </c>
      <c r="AE9" s="223" t="s">
        <v>98</v>
      </c>
      <c r="AG9" s="252" t="s">
        <v>288</v>
      </c>
      <c r="AH9" s="243" t="s">
        <v>333</v>
      </c>
      <c r="AL9" s="230"/>
      <c r="AP9" s="224" t="s">
        <v>95</v>
      </c>
      <c r="AR9" s="231" t="s">
        <v>89</v>
      </c>
      <c r="AV9" s="224" t="s">
        <v>102</v>
      </c>
      <c r="AX9" s="232">
        <v>180</v>
      </c>
      <c r="AY9" s="233">
        <v>18</v>
      </c>
      <c r="AZ9" s="233">
        <v>181</v>
      </c>
      <c r="BA9" s="234">
        <v>16</v>
      </c>
    </row>
    <row r="10" spans="1:53" x14ac:dyDescent="0.15">
      <c r="A10" s="216" t="s">
        <v>34</v>
      </c>
      <c r="B10" s="208" t="s">
        <v>338</v>
      </c>
      <c r="C10" s="208">
        <v>2018</v>
      </c>
      <c r="D10" s="250" t="s">
        <v>516</v>
      </c>
      <c r="E10" s="237" t="s">
        <v>517</v>
      </c>
      <c r="F10" s="237" t="s">
        <v>330</v>
      </c>
      <c r="G10" s="216" t="s">
        <v>36</v>
      </c>
      <c r="H10" s="208" t="s">
        <v>165</v>
      </c>
      <c r="I10" s="216" t="s">
        <v>155</v>
      </c>
      <c r="J10" s="216" t="s">
        <v>38</v>
      </c>
      <c r="K10" s="216" t="s">
        <v>156</v>
      </c>
      <c r="L10" s="208">
        <v>3</v>
      </c>
      <c r="N10" s="208">
        <v>1</v>
      </c>
      <c r="O10" s="208">
        <v>0.6</v>
      </c>
      <c r="P10" s="208">
        <v>0.65</v>
      </c>
      <c r="Q10" s="245">
        <f t="shared" si="0"/>
        <v>0.625</v>
      </c>
      <c r="R10" s="208">
        <v>14.8</v>
      </c>
      <c r="S10" s="208">
        <v>138</v>
      </c>
      <c r="T10" s="217">
        <f t="shared" si="1"/>
        <v>30</v>
      </c>
      <c r="U10" s="208">
        <v>170</v>
      </c>
      <c r="V10" s="217">
        <f t="shared" si="2"/>
        <v>5100</v>
      </c>
      <c r="W10" s="208">
        <v>4</v>
      </c>
      <c r="X10" s="216" t="s">
        <v>46</v>
      </c>
      <c r="Y10" s="216" t="s">
        <v>102</v>
      </c>
      <c r="Z10" s="216" t="s">
        <v>69</v>
      </c>
      <c r="AA10" s="216" t="s">
        <v>55</v>
      </c>
      <c r="AB10" s="216" t="s">
        <v>340</v>
      </c>
      <c r="AE10" s="223" t="s">
        <v>103</v>
      </c>
      <c r="AG10" s="252" t="s">
        <v>334</v>
      </c>
      <c r="AH10" s="243" t="s">
        <v>335</v>
      </c>
      <c r="AL10" s="235"/>
      <c r="AP10" s="224" t="s">
        <v>100</v>
      </c>
      <c r="AR10" s="231" t="s">
        <v>123</v>
      </c>
      <c r="AV10" s="224" t="s">
        <v>106</v>
      </c>
    </row>
    <row r="11" spans="1:53" x14ac:dyDescent="0.15">
      <c r="A11" s="216" t="s">
        <v>34</v>
      </c>
      <c r="B11" s="208" t="s">
        <v>338</v>
      </c>
      <c r="C11" s="208">
        <v>2018</v>
      </c>
      <c r="D11" s="250" t="s">
        <v>516</v>
      </c>
      <c r="E11" s="237" t="s">
        <v>288</v>
      </c>
      <c r="F11" s="237" t="s">
        <v>333</v>
      </c>
      <c r="G11" s="216" t="s">
        <v>36</v>
      </c>
      <c r="H11" s="208" t="s">
        <v>157</v>
      </c>
      <c r="I11" s="216" t="s">
        <v>155</v>
      </c>
      <c r="J11" s="216" t="s">
        <v>38</v>
      </c>
      <c r="K11" s="216" t="s">
        <v>156</v>
      </c>
      <c r="L11" s="216">
        <v>1</v>
      </c>
      <c r="N11" s="208">
        <v>1</v>
      </c>
      <c r="O11" s="208">
        <v>0.5</v>
      </c>
      <c r="P11" s="208">
        <v>0.5</v>
      </c>
      <c r="Q11" s="245">
        <f t="shared" si="0"/>
        <v>0.5</v>
      </c>
      <c r="R11" s="208">
        <v>14.6</v>
      </c>
      <c r="S11" s="208">
        <v>120</v>
      </c>
      <c r="T11" s="217">
        <f t="shared" si="1"/>
        <v>30</v>
      </c>
      <c r="U11" s="208">
        <v>84</v>
      </c>
      <c r="V11" s="217">
        <f t="shared" si="2"/>
        <v>2520</v>
      </c>
      <c r="W11" s="208">
        <v>4</v>
      </c>
      <c r="X11" s="216" t="s">
        <v>46</v>
      </c>
      <c r="Y11" s="216" t="s">
        <v>69</v>
      </c>
      <c r="Z11" s="216" t="s">
        <v>55</v>
      </c>
      <c r="AA11" s="216" t="s">
        <v>102</v>
      </c>
      <c r="AB11" s="216" t="s">
        <v>340</v>
      </c>
      <c r="AE11" s="223" t="s">
        <v>65</v>
      </c>
      <c r="AG11" s="252" t="s">
        <v>173</v>
      </c>
      <c r="AH11" s="243" t="s">
        <v>336</v>
      </c>
      <c r="AL11" s="235"/>
      <c r="AP11" s="224" t="s">
        <v>104</v>
      </c>
      <c r="AR11" s="231" t="s">
        <v>87</v>
      </c>
      <c r="AV11" s="224" t="s">
        <v>69</v>
      </c>
    </row>
    <row r="12" spans="1:53" x14ac:dyDescent="0.15">
      <c r="A12" s="216" t="s">
        <v>34</v>
      </c>
      <c r="B12" s="208" t="s">
        <v>338</v>
      </c>
      <c r="C12" s="208">
        <v>2018</v>
      </c>
      <c r="D12" s="250" t="s">
        <v>518</v>
      </c>
      <c r="E12" s="237" t="s">
        <v>288</v>
      </c>
      <c r="F12" s="237" t="s">
        <v>333</v>
      </c>
      <c r="G12" s="216" t="s">
        <v>36</v>
      </c>
      <c r="H12" s="208" t="s">
        <v>157</v>
      </c>
      <c r="I12" s="216" t="s">
        <v>155</v>
      </c>
      <c r="J12" s="216" t="s">
        <v>38</v>
      </c>
      <c r="K12" s="216" t="s">
        <v>156</v>
      </c>
      <c r="L12" s="208">
        <v>2</v>
      </c>
      <c r="N12" s="208">
        <v>1</v>
      </c>
      <c r="O12" s="208">
        <v>0.8</v>
      </c>
      <c r="P12" s="208">
        <v>0.8</v>
      </c>
      <c r="Q12" s="245">
        <f t="shared" si="0"/>
        <v>0.8</v>
      </c>
      <c r="R12" s="208">
        <v>15.1</v>
      </c>
      <c r="S12" s="208">
        <v>117</v>
      </c>
      <c r="T12" s="217">
        <f t="shared" si="1"/>
        <v>30</v>
      </c>
      <c r="U12" s="208">
        <v>84</v>
      </c>
      <c r="V12" s="217">
        <f t="shared" si="2"/>
        <v>2520</v>
      </c>
      <c r="W12" s="208">
        <v>4</v>
      </c>
      <c r="X12" s="216" t="s">
        <v>46</v>
      </c>
      <c r="Y12" s="216" t="s">
        <v>69</v>
      </c>
      <c r="Z12" s="216" t="s">
        <v>55</v>
      </c>
      <c r="AA12" s="216" t="s">
        <v>102</v>
      </c>
      <c r="AB12" s="216" t="s">
        <v>340</v>
      </c>
      <c r="AE12" s="223" t="s">
        <v>70</v>
      </c>
      <c r="AG12" s="244"/>
      <c r="AH12" s="224"/>
      <c r="AL12" s="235"/>
      <c r="AP12" s="224" t="s">
        <v>67</v>
      </c>
      <c r="AR12" s="231" t="s">
        <v>124</v>
      </c>
      <c r="AV12" s="224" t="s">
        <v>72</v>
      </c>
    </row>
    <row r="13" spans="1:53" x14ac:dyDescent="0.15">
      <c r="A13" s="216" t="s">
        <v>34</v>
      </c>
      <c r="B13" s="208" t="s">
        <v>338</v>
      </c>
      <c r="C13" s="208">
        <v>2018</v>
      </c>
      <c r="D13" s="250" t="s">
        <v>519</v>
      </c>
      <c r="E13" s="237" t="s">
        <v>288</v>
      </c>
      <c r="F13" s="237" t="s">
        <v>333</v>
      </c>
      <c r="G13" s="216" t="s">
        <v>36</v>
      </c>
      <c r="H13" s="208" t="s">
        <v>157</v>
      </c>
      <c r="I13" s="216" t="s">
        <v>155</v>
      </c>
      <c r="J13" s="216" t="s">
        <v>38</v>
      </c>
      <c r="K13" s="216" t="s">
        <v>156</v>
      </c>
      <c r="L13" s="208">
        <v>3</v>
      </c>
      <c r="N13" s="208">
        <v>1</v>
      </c>
      <c r="O13" s="208">
        <v>0.55000000000000004</v>
      </c>
      <c r="P13" s="208">
        <v>0.5</v>
      </c>
      <c r="Q13" s="245">
        <f t="shared" si="0"/>
        <v>0.52500000000000002</v>
      </c>
      <c r="R13" s="208">
        <v>13.9</v>
      </c>
      <c r="S13" s="208">
        <v>117</v>
      </c>
      <c r="T13" s="217">
        <f t="shared" si="1"/>
        <v>30</v>
      </c>
      <c r="U13" s="208">
        <v>84</v>
      </c>
      <c r="V13" s="217">
        <f t="shared" si="2"/>
        <v>2520</v>
      </c>
      <c r="W13" s="208">
        <v>4</v>
      </c>
      <c r="X13" s="216" t="s">
        <v>46</v>
      </c>
      <c r="Y13" s="216" t="s">
        <v>69</v>
      </c>
      <c r="Z13" s="216" t="s">
        <v>55</v>
      </c>
      <c r="AA13" s="216" t="s">
        <v>102</v>
      </c>
      <c r="AB13" s="216" t="s">
        <v>340</v>
      </c>
      <c r="AE13" s="223" t="s">
        <v>73</v>
      </c>
      <c r="AG13" s="253"/>
      <c r="AH13" s="229"/>
      <c r="AP13" s="224" t="s">
        <v>71</v>
      </c>
      <c r="AR13" s="231" t="s">
        <v>103</v>
      </c>
      <c r="AV13" s="224" t="s">
        <v>75</v>
      </c>
    </row>
    <row r="14" spans="1:53" x14ac:dyDescent="0.15">
      <c r="A14" s="216" t="s">
        <v>34</v>
      </c>
      <c r="B14" s="208" t="s">
        <v>338</v>
      </c>
      <c r="C14" s="208">
        <v>2018</v>
      </c>
      <c r="D14" s="250" t="s">
        <v>520</v>
      </c>
      <c r="E14" s="237" t="s">
        <v>288</v>
      </c>
      <c r="F14" s="237" t="s">
        <v>333</v>
      </c>
      <c r="G14" s="216" t="s">
        <v>36</v>
      </c>
      <c r="H14" s="208" t="s">
        <v>165</v>
      </c>
      <c r="I14" s="216" t="s">
        <v>155</v>
      </c>
      <c r="J14" s="216" t="s">
        <v>38</v>
      </c>
      <c r="K14" s="216" t="s">
        <v>156</v>
      </c>
      <c r="L14" s="216">
        <v>1</v>
      </c>
      <c r="N14" s="208">
        <v>1</v>
      </c>
      <c r="O14" s="208">
        <v>0.2</v>
      </c>
      <c r="P14" s="208">
        <v>0.5</v>
      </c>
      <c r="Q14" s="245">
        <f t="shared" si="0"/>
        <v>0.35</v>
      </c>
      <c r="R14" s="208">
        <v>14.8</v>
      </c>
      <c r="S14" s="208">
        <v>123</v>
      </c>
      <c r="T14" s="217">
        <f t="shared" si="1"/>
        <v>30</v>
      </c>
      <c r="U14" s="208">
        <v>138</v>
      </c>
      <c r="V14" s="217">
        <f t="shared" si="2"/>
        <v>4140</v>
      </c>
      <c r="W14" s="208">
        <v>3</v>
      </c>
      <c r="X14" s="216" t="s">
        <v>46</v>
      </c>
      <c r="Y14" s="216" t="s">
        <v>69</v>
      </c>
      <c r="Z14" s="216" t="s">
        <v>55</v>
      </c>
      <c r="AA14" s="216" t="s">
        <v>102</v>
      </c>
      <c r="AB14" s="216" t="s">
        <v>340</v>
      </c>
      <c r="AE14" s="223" t="s">
        <v>76</v>
      </c>
      <c r="AG14" s="254"/>
      <c r="AL14" s="247"/>
      <c r="AP14" s="224" t="s">
        <v>74</v>
      </c>
      <c r="AR14" s="231" t="s">
        <v>125</v>
      </c>
      <c r="AV14" s="224" t="s">
        <v>78</v>
      </c>
    </row>
    <row r="15" spans="1:53" x14ac:dyDescent="0.15">
      <c r="A15" s="216" t="s">
        <v>34</v>
      </c>
      <c r="B15" s="208" t="s">
        <v>338</v>
      </c>
      <c r="C15" s="208">
        <v>2018</v>
      </c>
      <c r="D15" s="250" t="s">
        <v>520</v>
      </c>
      <c r="E15" s="237" t="s">
        <v>288</v>
      </c>
      <c r="F15" s="237" t="s">
        <v>333</v>
      </c>
      <c r="G15" s="216" t="s">
        <v>36</v>
      </c>
      <c r="H15" s="208" t="s">
        <v>165</v>
      </c>
      <c r="I15" s="216" t="s">
        <v>155</v>
      </c>
      <c r="J15" s="216" t="s">
        <v>38</v>
      </c>
      <c r="K15" s="216" t="s">
        <v>156</v>
      </c>
      <c r="L15" s="208">
        <v>2</v>
      </c>
      <c r="N15" s="208">
        <v>1</v>
      </c>
      <c r="O15" s="208">
        <v>0.55000000000000004</v>
      </c>
      <c r="P15" s="208">
        <v>0.5</v>
      </c>
      <c r="Q15" s="245">
        <f t="shared" si="0"/>
        <v>0.52500000000000002</v>
      </c>
      <c r="R15" s="208">
        <v>15.4</v>
      </c>
      <c r="S15" s="208">
        <v>123</v>
      </c>
      <c r="T15" s="217">
        <f t="shared" si="1"/>
        <v>30</v>
      </c>
      <c r="U15" s="208">
        <v>138</v>
      </c>
      <c r="V15" s="217">
        <f t="shared" si="2"/>
        <v>4140</v>
      </c>
      <c r="W15" s="208">
        <v>3</v>
      </c>
      <c r="X15" s="216" t="s">
        <v>46</v>
      </c>
      <c r="Y15" s="216" t="s">
        <v>69</v>
      </c>
      <c r="Z15" s="216" t="s">
        <v>55</v>
      </c>
      <c r="AA15" s="216" t="s">
        <v>102</v>
      </c>
      <c r="AB15" s="216" t="s">
        <v>340</v>
      </c>
      <c r="AE15" s="223" t="s">
        <v>79</v>
      </c>
      <c r="AL15" s="255"/>
      <c r="AP15" s="224" t="s">
        <v>77</v>
      </c>
      <c r="AR15" s="231" t="s">
        <v>94</v>
      </c>
      <c r="AV15" s="224" t="s">
        <v>107</v>
      </c>
    </row>
    <row r="16" spans="1:53" x14ac:dyDescent="0.15">
      <c r="A16" s="216" t="s">
        <v>34</v>
      </c>
      <c r="B16" s="208" t="s">
        <v>338</v>
      </c>
      <c r="C16" s="208">
        <v>2018</v>
      </c>
      <c r="D16" s="250" t="s">
        <v>521</v>
      </c>
      <c r="E16" s="237" t="s">
        <v>288</v>
      </c>
      <c r="F16" s="237" t="s">
        <v>333</v>
      </c>
      <c r="G16" s="216" t="s">
        <v>36</v>
      </c>
      <c r="H16" s="208" t="s">
        <v>165</v>
      </c>
      <c r="I16" s="216" t="s">
        <v>155</v>
      </c>
      <c r="J16" s="216" t="s">
        <v>38</v>
      </c>
      <c r="K16" s="216" t="s">
        <v>156</v>
      </c>
      <c r="L16" s="208">
        <v>3</v>
      </c>
      <c r="N16" s="208">
        <v>1</v>
      </c>
      <c r="O16" s="208">
        <v>0.55000000000000004</v>
      </c>
      <c r="P16" s="208">
        <v>0.6</v>
      </c>
      <c r="Q16" s="245">
        <f t="shared" si="0"/>
        <v>0.57499999999999996</v>
      </c>
      <c r="R16" s="208">
        <v>15.3</v>
      </c>
      <c r="S16" s="208">
        <v>125</v>
      </c>
      <c r="T16" s="217">
        <f t="shared" si="1"/>
        <v>30</v>
      </c>
      <c r="U16" s="208">
        <v>138</v>
      </c>
      <c r="V16" s="217">
        <f t="shared" si="2"/>
        <v>4140</v>
      </c>
      <c r="W16" s="208">
        <v>3</v>
      </c>
      <c r="X16" s="216" t="s">
        <v>46</v>
      </c>
      <c r="Y16" s="216" t="s">
        <v>69</v>
      </c>
      <c r="Z16" s="216" t="s">
        <v>55</v>
      </c>
      <c r="AA16" s="216" t="s">
        <v>102</v>
      </c>
      <c r="AB16" s="216" t="s">
        <v>340</v>
      </c>
      <c r="AE16" s="223" t="s">
        <v>82</v>
      </c>
      <c r="AL16" s="255"/>
      <c r="AP16" s="224" t="s">
        <v>80</v>
      </c>
      <c r="AR16" s="238" t="s">
        <v>63</v>
      </c>
      <c r="AV16" s="224" t="s">
        <v>84</v>
      </c>
    </row>
    <row r="17" spans="1:48" x14ac:dyDescent="0.15">
      <c r="A17" s="216" t="s">
        <v>34</v>
      </c>
      <c r="B17" s="208" t="s">
        <v>338</v>
      </c>
      <c r="C17" s="208">
        <v>2018</v>
      </c>
      <c r="D17" s="250" t="s">
        <v>521</v>
      </c>
      <c r="E17" s="237" t="s">
        <v>334</v>
      </c>
      <c r="F17" s="237" t="s">
        <v>335</v>
      </c>
      <c r="G17" s="216" t="s">
        <v>36</v>
      </c>
      <c r="H17" s="208" t="s">
        <v>157</v>
      </c>
      <c r="I17" s="216" t="s">
        <v>155</v>
      </c>
      <c r="J17" s="216" t="s">
        <v>38</v>
      </c>
      <c r="K17" s="216" t="s">
        <v>156</v>
      </c>
      <c r="L17" s="216">
        <v>1</v>
      </c>
      <c r="N17" s="208">
        <v>1</v>
      </c>
      <c r="O17" s="208">
        <v>0.2</v>
      </c>
      <c r="P17" s="208">
        <v>0.2</v>
      </c>
      <c r="Q17" s="245">
        <f t="shared" si="0"/>
        <v>0.2</v>
      </c>
      <c r="R17" s="208">
        <v>13.9</v>
      </c>
      <c r="S17" s="208">
        <v>131</v>
      </c>
      <c r="T17" s="217">
        <f t="shared" si="1"/>
        <v>30</v>
      </c>
      <c r="U17" s="208">
        <v>106</v>
      </c>
      <c r="V17" s="217">
        <f t="shared" si="2"/>
        <v>3180</v>
      </c>
      <c r="W17" s="208">
        <v>1</v>
      </c>
      <c r="X17" s="216" t="s">
        <v>46</v>
      </c>
      <c r="Y17" s="216" t="s">
        <v>69</v>
      </c>
      <c r="Z17" s="216" t="s">
        <v>47</v>
      </c>
      <c r="AA17" s="216" t="s">
        <v>102</v>
      </c>
      <c r="AB17" s="216" t="s">
        <v>340</v>
      </c>
      <c r="AE17" s="223" t="s">
        <v>85</v>
      </c>
      <c r="AL17" s="255"/>
      <c r="AP17" s="239" t="s">
        <v>110</v>
      </c>
      <c r="AR17" s="238" t="s">
        <v>96</v>
      </c>
      <c r="AV17" s="224" t="s">
        <v>86</v>
      </c>
    </row>
    <row r="18" spans="1:48" x14ac:dyDescent="0.15">
      <c r="A18" s="216" t="s">
        <v>34</v>
      </c>
      <c r="B18" s="208" t="s">
        <v>338</v>
      </c>
      <c r="C18" s="208">
        <v>2018</v>
      </c>
      <c r="D18" s="250" t="s">
        <v>521</v>
      </c>
      <c r="E18" s="237" t="s">
        <v>334</v>
      </c>
      <c r="F18" s="237" t="s">
        <v>335</v>
      </c>
      <c r="G18" s="216" t="s">
        <v>36</v>
      </c>
      <c r="H18" s="208" t="s">
        <v>157</v>
      </c>
      <c r="I18" s="216" t="s">
        <v>155</v>
      </c>
      <c r="J18" s="216" t="s">
        <v>38</v>
      </c>
      <c r="K18" s="216" t="s">
        <v>156</v>
      </c>
      <c r="L18" s="208">
        <v>2</v>
      </c>
      <c r="N18" s="208">
        <v>1</v>
      </c>
      <c r="O18" s="208">
        <v>0.5</v>
      </c>
      <c r="P18" s="208">
        <v>0.75</v>
      </c>
      <c r="Q18" s="245">
        <f t="shared" si="0"/>
        <v>0.625</v>
      </c>
      <c r="R18" s="208">
        <v>15.7</v>
      </c>
      <c r="S18" s="208">
        <v>138</v>
      </c>
      <c r="T18" s="217">
        <f t="shared" si="1"/>
        <v>30</v>
      </c>
      <c r="U18" s="208">
        <v>106</v>
      </c>
      <c r="V18" s="217">
        <f t="shared" si="2"/>
        <v>3180</v>
      </c>
      <c r="W18" s="208">
        <v>1</v>
      </c>
      <c r="X18" s="216" t="s">
        <v>46</v>
      </c>
      <c r="Y18" s="216" t="s">
        <v>69</v>
      </c>
      <c r="Z18" s="216" t="s">
        <v>47</v>
      </c>
      <c r="AA18" s="216" t="s">
        <v>102</v>
      </c>
      <c r="AB18" s="216" t="s">
        <v>340</v>
      </c>
      <c r="AE18" s="223" t="s">
        <v>87</v>
      </c>
      <c r="AL18" s="216"/>
      <c r="AP18" s="239" t="s">
        <v>111</v>
      </c>
      <c r="AR18" s="238" t="s">
        <v>101</v>
      </c>
      <c r="AV18" s="224" t="s">
        <v>88</v>
      </c>
    </row>
    <row r="19" spans="1:48" x14ac:dyDescent="0.15">
      <c r="A19" s="216" t="s">
        <v>34</v>
      </c>
      <c r="B19" s="208" t="s">
        <v>338</v>
      </c>
      <c r="C19" s="208">
        <v>2018</v>
      </c>
      <c r="D19" s="250" t="s">
        <v>518</v>
      </c>
      <c r="E19" s="237" t="s">
        <v>334</v>
      </c>
      <c r="F19" s="237" t="s">
        <v>335</v>
      </c>
      <c r="G19" s="216" t="s">
        <v>36</v>
      </c>
      <c r="H19" s="208" t="s">
        <v>157</v>
      </c>
      <c r="I19" s="216" t="s">
        <v>155</v>
      </c>
      <c r="J19" s="216" t="s">
        <v>38</v>
      </c>
      <c r="K19" s="216" t="s">
        <v>156</v>
      </c>
      <c r="L19" s="208">
        <v>3</v>
      </c>
      <c r="N19" s="208">
        <v>1</v>
      </c>
      <c r="O19" s="208">
        <v>0.5</v>
      </c>
      <c r="P19" s="208">
        <v>0.45</v>
      </c>
      <c r="Q19" s="245">
        <f t="shared" si="0"/>
        <v>0.47499999999999998</v>
      </c>
      <c r="R19" s="208">
        <v>15.3</v>
      </c>
      <c r="S19" s="208">
        <v>128</v>
      </c>
      <c r="T19" s="217">
        <f t="shared" si="1"/>
        <v>30</v>
      </c>
      <c r="U19" s="208">
        <v>106</v>
      </c>
      <c r="V19" s="217">
        <f t="shared" si="2"/>
        <v>3180</v>
      </c>
      <c r="W19" s="208">
        <v>1</v>
      </c>
      <c r="X19" s="216" t="s">
        <v>46</v>
      </c>
      <c r="Y19" s="216" t="s">
        <v>69</v>
      </c>
      <c r="Z19" s="216" t="s">
        <v>47</v>
      </c>
      <c r="AA19" s="216" t="s">
        <v>102</v>
      </c>
      <c r="AB19" s="216" t="s">
        <v>340</v>
      </c>
      <c r="AE19" s="236" t="s">
        <v>89</v>
      </c>
      <c r="AP19" s="239" t="s">
        <v>112</v>
      </c>
      <c r="AR19" s="231" t="s">
        <v>126</v>
      </c>
      <c r="AV19" s="224" t="s">
        <v>90</v>
      </c>
    </row>
    <row r="20" spans="1:48" x14ac:dyDescent="0.15">
      <c r="A20" s="216" t="s">
        <v>34</v>
      </c>
      <c r="B20" s="208" t="s">
        <v>338</v>
      </c>
      <c r="C20" s="208">
        <v>2018</v>
      </c>
      <c r="D20" s="250" t="s">
        <v>518</v>
      </c>
      <c r="E20" s="237" t="s">
        <v>334</v>
      </c>
      <c r="F20" s="237" t="s">
        <v>335</v>
      </c>
      <c r="G20" s="216" t="s">
        <v>36</v>
      </c>
      <c r="H20" s="208" t="s">
        <v>165</v>
      </c>
      <c r="I20" s="216" t="s">
        <v>155</v>
      </c>
      <c r="J20" s="216" t="s">
        <v>38</v>
      </c>
      <c r="K20" s="216" t="s">
        <v>156</v>
      </c>
      <c r="L20" s="216">
        <v>1</v>
      </c>
      <c r="N20" s="208">
        <v>1</v>
      </c>
      <c r="O20" s="208">
        <v>0.2</v>
      </c>
      <c r="P20" s="208">
        <v>0.2</v>
      </c>
      <c r="Q20" s="245">
        <f t="shared" si="0"/>
        <v>0.2</v>
      </c>
      <c r="R20" s="208">
        <v>14.2</v>
      </c>
      <c r="S20" s="208">
        <v>127</v>
      </c>
      <c r="T20" s="217">
        <f t="shared" si="1"/>
        <v>30</v>
      </c>
      <c r="U20" s="208">
        <v>106</v>
      </c>
      <c r="V20" s="217">
        <f t="shared" si="2"/>
        <v>3180</v>
      </c>
      <c r="W20" s="208">
        <v>1</v>
      </c>
      <c r="X20" s="216" t="s">
        <v>46</v>
      </c>
      <c r="Y20" s="216" t="s">
        <v>69</v>
      </c>
      <c r="Z20" s="216" t="s">
        <v>47</v>
      </c>
      <c r="AA20" s="216" t="s">
        <v>102</v>
      </c>
      <c r="AB20" s="216" t="s">
        <v>340</v>
      </c>
      <c r="AP20" s="239" t="s">
        <v>113</v>
      </c>
      <c r="AR20" s="238" t="s">
        <v>105</v>
      </c>
      <c r="AV20" s="228" t="s">
        <v>347</v>
      </c>
    </row>
    <row r="21" spans="1:48" x14ac:dyDescent="0.15">
      <c r="A21" s="216" t="s">
        <v>34</v>
      </c>
      <c r="B21" s="208" t="s">
        <v>338</v>
      </c>
      <c r="C21" s="208">
        <v>2018</v>
      </c>
      <c r="D21" s="250" t="s">
        <v>518</v>
      </c>
      <c r="E21" s="237" t="s">
        <v>334</v>
      </c>
      <c r="F21" s="237" t="s">
        <v>335</v>
      </c>
      <c r="G21" s="216" t="s">
        <v>36</v>
      </c>
      <c r="H21" s="208" t="s">
        <v>165</v>
      </c>
      <c r="I21" s="216" t="s">
        <v>155</v>
      </c>
      <c r="J21" s="216" t="s">
        <v>38</v>
      </c>
      <c r="K21" s="216" t="s">
        <v>156</v>
      </c>
      <c r="L21" s="208">
        <v>2</v>
      </c>
      <c r="N21" s="208">
        <v>1</v>
      </c>
      <c r="O21" s="208">
        <v>0.2</v>
      </c>
      <c r="P21" s="208">
        <v>0.2</v>
      </c>
      <c r="Q21" s="245">
        <f t="shared" si="0"/>
        <v>0.2</v>
      </c>
      <c r="R21" s="208">
        <v>15.8</v>
      </c>
      <c r="S21" s="208">
        <v>130</v>
      </c>
      <c r="T21" s="217">
        <f t="shared" si="1"/>
        <v>30</v>
      </c>
      <c r="U21" s="208">
        <v>106</v>
      </c>
      <c r="V21" s="217">
        <f t="shared" si="2"/>
        <v>3180</v>
      </c>
      <c r="W21" s="208">
        <v>1</v>
      </c>
      <c r="X21" s="216" t="s">
        <v>46</v>
      </c>
      <c r="Y21" s="216" t="s">
        <v>69</v>
      </c>
      <c r="Z21" s="216" t="s">
        <v>47</v>
      </c>
      <c r="AA21" s="216" t="s">
        <v>102</v>
      </c>
      <c r="AB21" s="216" t="s">
        <v>340</v>
      </c>
      <c r="AP21" s="239" t="s">
        <v>114</v>
      </c>
      <c r="AR21" s="238" t="s">
        <v>68</v>
      </c>
      <c r="AV21" s="228" t="s">
        <v>348</v>
      </c>
    </row>
    <row r="22" spans="1:48" x14ac:dyDescent="0.15">
      <c r="A22" s="216" t="s">
        <v>34</v>
      </c>
      <c r="B22" s="208" t="s">
        <v>338</v>
      </c>
      <c r="C22" s="208">
        <v>2018</v>
      </c>
      <c r="D22" s="250" t="s">
        <v>518</v>
      </c>
      <c r="E22" s="237" t="s">
        <v>334</v>
      </c>
      <c r="F22" s="237" t="s">
        <v>335</v>
      </c>
      <c r="G22" s="216" t="s">
        <v>36</v>
      </c>
      <c r="H22" s="208" t="s">
        <v>165</v>
      </c>
      <c r="I22" s="216" t="s">
        <v>155</v>
      </c>
      <c r="J22" s="216" t="s">
        <v>38</v>
      </c>
      <c r="K22" s="216" t="s">
        <v>156</v>
      </c>
      <c r="L22" s="208">
        <v>3</v>
      </c>
      <c r="N22" s="208">
        <v>1</v>
      </c>
      <c r="O22" s="208">
        <v>0.2</v>
      </c>
      <c r="P22" s="208">
        <v>0.2</v>
      </c>
      <c r="Q22" s="245">
        <f t="shared" si="0"/>
        <v>0.2</v>
      </c>
      <c r="R22" s="208">
        <v>13.9</v>
      </c>
      <c r="S22" s="208">
        <v>125</v>
      </c>
      <c r="T22" s="217">
        <f t="shared" si="1"/>
        <v>30</v>
      </c>
      <c r="U22" s="208">
        <v>106</v>
      </c>
      <c r="V22" s="217">
        <f t="shared" si="2"/>
        <v>3180</v>
      </c>
      <c r="W22" s="208">
        <v>1</v>
      </c>
      <c r="X22" s="216" t="s">
        <v>46</v>
      </c>
      <c r="Y22" s="216" t="s">
        <v>69</v>
      </c>
      <c r="Z22" s="216" t="s">
        <v>47</v>
      </c>
      <c r="AA22" s="216" t="s">
        <v>102</v>
      </c>
      <c r="AB22" s="216" t="s">
        <v>340</v>
      </c>
      <c r="AP22" s="239" t="s">
        <v>115</v>
      </c>
      <c r="AR22" s="238" t="s">
        <v>83</v>
      </c>
      <c r="AV22" s="228"/>
    </row>
    <row r="23" spans="1:48" x14ac:dyDescent="0.15">
      <c r="A23" s="216" t="s">
        <v>34</v>
      </c>
      <c r="B23" s="208" t="s">
        <v>338</v>
      </c>
      <c r="C23" s="208">
        <v>2018</v>
      </c>
      <c r="D23" s="250" t="s">
        <v>518</v>
      </c>
      <c r="E23" s="237" t="s">
        <v>331</v>
      </c>
      <c r="F23" s="237" t="s">
        <v>332</v>
      </c>
      <c r="G23" s="216" t="s">
        <v>36</v>
      </c>
      <c r="H23" s="208" t="s">
        <v>157</v>
      </c>
      <c r="I23" s="216" t="s">
        <v>155</v>
      </c>
      <c r="J23" s="216" t="s">
        <v>38</v>
      </c>
      <c r="K23" s="216" t="s">
        <v>156</v>
      </c>
      <c r="L23" s="216">
        <v>1</v>
      </c>
      <c r="N23" s="208">
        <v>1</v>
      </c>
      <c r="O23" s="208">
        <v>1</v>
      </c>
      <c r="P23" s="208">
        <v>0.9</v>
      </c>
      <c r="Q23" s="245">
        <f t="shared" si="0"/>
        <v>0.95</v>
      </c>
      <c r="R23" s="208">
        <v>13.9</v>
      </c>
      <c r="S23" s="208">
        <v>158</v>
      </c>
      <c r="T23" s="217">
        <f t="shared" si="1"/>
        <v>18</v>
      </c>
      <c r="U23" s="208">
        <v>105</v>
      </c>
      <c r="V23" s="217">
        <f t="shared" si="2"/>
        <v>1890</v>
      </c>
      <c r="W23" s="208">
        <v>3</v>
      </c>
      <c r="X23" s="216" t="s">
        <v>46</v>
      </c>
      <c r="Y23" s="216" t="s">
        <v>69</v>
      </c>
      <c r="Z23" s="216" t="s">
        <v>55</v>
      </c>
      <c r="AA23" s="216" t="s">
        <v>88</v>
      </c>
      <c r="AB23" s="216" t="s">
        <v>340</v>
      </c>
      <c r="AP23" s="239" t="s">
        <v>117</v>
      </c>
      <c r="AR23" s="238" t="s">
        <v>289</v>
      </c>
    </row>
    <row r="24" spans="1:48" x14ac:dyDescent="0.15">
      <c r="A24" s="216" t="s">
        <v>34</v>
      </c>
      <c r="B24" s="208" t="s">
        <v>338</v>
      </c>
      <c r="C24" s="208">
        <v>2018</v>
      </c>
      <c r="D24" s="250" t="s">
        <v>518</v>
      </c>
      <c r="E24" s="237" t="s">
        <v>331</v>
      </c>
      <c r="F24" s="237" t="s">
        <v>332</v>
      </c>
      <c r="G24" s="216" t="s">
        <v>36</v>
      </c>
      <c r="H24" s="208" t="s">
        <v>157</v>
      </c>
      <c r="I24" s="216" t="s">
        <v>155</v>
      </c>
      <c r="J24" s="216" t="s">
        <v>38</v>
      </c>
      <c r="K24" s="216" t="s">
        <v>156</v>
      </c>
      <c r="L24" s="208">
        <v>2</v>
      </c>
      <c r="N24" s="208">
        <v>1</v>
      </c>
      <c r="O24" s="208">
        <v>0.9</v>
      </c>
      <c r="P24" s="208">
        <v>0.9</v>
      </c>
      <c r="Q24" s="245">
        <f t="shared" si="0"/>
        <v>0.9</v>
      </c>
      <c r="R24" s="208">
        <v>14.4</v>
      </c>
      <c r="S24" s="208">
        <v>155</v>
      </c>
      <c r="T24" s="217">
        <f t="shared" si="1"/>
        <v>18</v>
      </c>
      <c r="U24" s="208">
        <v>105</v>
      </c>
      <c r="V24" s="217">
        <f t="shared" si="2"/>
        <v>1890</v>
      </c>
      <c r="W24" s="208">
        <v>3</v>
      </c>
      <c r="X24" s="216" t="s">
        <v>46</v>
      </c>
      <c r="Y24" s="216" t="s">
        <v>69</v>
      </c>
      <c r="Z24" s="216" t="s">
        <v>55</v>
      </c>
      <c r="AA24" s="216" t="s">
        <v>88</v>
      </c>
      <c r="AB24" s="216" t="s">
        <v>340</v>
      </c>
      <c r="AP24" s="239" t="s">
        <v>118</v>
      </c>
    </row>
    <row r="25" spans="1:48" x14ac:dyDescent="0.15">
      <c r="A25" s="216" t="s">
        <v>34</v>
      </c>
      <c r="B25" s="208" t="s">
        <v>338</v>
      </c>
      <c r="C25" s="208">
        <v>2018</v>
      </c>
      <c r="D25" s="250" t="s">
        <v>518</v>
      </c>
      <c r="E25" s="237" t="s">
        <v>331</v>
      </c>
      <c r="F25" s="237" t="s">
        <v>332</v>
      </c>
      <c r="G25" s="216" t="s">
        <v>36</v>
      </c>
      <c r="H25" s="208" t="s">
        <v>157</v>
      </c>
      <c r="I25" s="216" t="s">
        <v>155</v>
      </c>
      <c r="J25" s="216" t="s">
        <v>38</v>
      </c>
      <c r="K25" s="216" t="s">
        <v>156</v>
      </c>
      <c r="L25" s="208">
        <v>3</v>
      </c>
      <c r="N25" s="208">
        <v>1</v>
      </c>
      <c r="O25" s="208">
        <v>0.2</v>
      </c>
      <c r="P25" s="208">
        <v>0.2</v>
      </c>
      <c r="Q25" s="245">
        <f t="shared" si="0"/>
        <v>0.2</v>
      </c>
      <c r="R25" s="208">
        <v>12.9</v>
      </c>
      <c r="S25" s="208">
        <v>156</v>
      </c>
      <c r="T25" s="217">
        <f t="shared" si="1"/>
        <v>18</v>
      </c>
      <c r="U25" s="208">
        <v>105</v>
      </c>
      <c r="V25" s="217">
        <f t="shared" si="2"/>
        <v>1890</v>
      </c>
      <c r="W25" s="208">
        <v>3</v>
      </c>
      <c r="X25" s="216" t="s">
        <v>46</v>
      </c>
      <c r="Y25" s="216" t="s">
        <v>69</v>
      </c>
      <c r="Z25" s="216" t="s">
        <v>55</v>
      </c>
      <c r="AA25" s="216" t="s">
        <v>88</v>
      </c>
      <c r="AB25" s="216" t="s">
        <v>340</v>
      </c>
    </row>
    <row r="26" spans="1:48" x14ac:dyDescent="0.15">
      <c r="A26" s="216" t="s">
        <v>34</v>
      </c>
      <c r="B26" s="208" t="s">
        <v>338</v>
      </c>
      <c r="C26" s="208">
        <v>2018</v>
      </c>
      <c r="D26" s="250" t="s">
        <v>518</v>
      </c>
      <c r="E26" s="237" t="s">
        <v>331</v>
      </c>
      <c r="F26" s="237" t="s">
        <v>332</v>
      </c>
      <c r="G26" s="216" t="s">
        <v>36</v>
      </c>
      <c r="H26" s="208" t="s">
        <v>157</v>
      </c>
      <c r="I26" s="216" t="s">
        <v>155</v>
      </c>
      <c r="J26" s="216" t="s">
        <v>38</v>
      </c>
      <c r="K26" s="216" t="s">
        <v>156</v>
      </c>
      <c r="L26" s="216">
        <v>1</v>
      </c>
      <c r="N26" s="208">
        <v>6</v>
      </c>
      <c r="O26" s="208">
        <v>0.75</v>
      </c>
      <c r="P26" s="208">
        <v>0.55000000000000004</v>
      </c>
      <c r="Q26" s="245">
        <f t="shared" si="0"/>
        <v>0.65</v>
      </c>
      <c r="R26" s="208">
        <v>15.2</v>
      </c>
      <c r="S26" s="208">
        <v>130</v>
      </c>
      <c r="T26" s="217">
        <f t="shared" si="1"/>
        <v>30</v>
      </c>
      <c r="U26" s="208">
        <v>537</v>
      </c>
      <c r="V26" s="217">
        <f t="shared" si="2"/>
        <v>2685</v>
      </c>
      <c r="W26" s="208">
        <v>3</v>
      </c>
      <c r="X26" s="216" t="s">
        <v>39</v>
      </c>
      <c r="Y26" s="216" t="s">
        <v>69</v>
      </c>
      <c r="Z26" s="216" t="s">
        <v>55</v>
      </c>
      <c r="AA26" s="216" t="s">
        <v>88</v>
      </c>
      <c r="AB26" s="216" t="s">
        <v>340</v>
      </c>
    </row>
    <row r="27" spans="1:48" x14ac:dyDescent="0.15">
      <c r="A27" s="216" t="s">
        <v>34</v>
      </c>
      <c r="B27" s="208" t="s">
        <v>338</v>
      </c>
      <c r="C27" s="208">
        <v>2018</v>
      </c>
      <c r="D27" s="250" t="s">
        <v>518</v>
      </c>
      <c r="E27" s="237" t="s">
        <v>331</v>
      </c>
      <c r="F27" s="237" t="s">
        <v>332</v>
      </c>
      <c r="G27" s="216" t="s">
        <v>36</v>
      </c>
      <c r="H27" s="208" t="s">
        <v>157</v>
      </c>
      <c r="I27" s="216" t="s">
        <v>155</v>
      </c>
      <c r="J27" s="216" t="s">
        <v>38</v>
      </c>
      <c r="K27" s="216" t="s">
        <v>156</v>
      </c>
      <c r="L27" s="208">
        <v>2</v>
      </c>
      <c r="N27" s="208">
        <v>6</v>
      </c>
      <c r="O27" s="208">
        <v>0.8</v>
      </c>
      <c r="P27" s="208">
        <v>0.9</v>
      </c>
      <c r="Q27" s="245">
        <f t="shared" si="0"/>
        <v>0.85000000000000009</v>
      </c>
      <c r="R27" s="208">
        <v>11.4</v>
      </c>
      <c r="S27" s="208">
        <v>130</v>
      </c>
      <c r="T27" s="217">
        <f t="shared" si="1"/>
        <v>30</v>
      </c>
      <c r="U27" s="208">
        <v>537</v>
      </c>
      <c r="V27" s="217">
        <f t="shared" si="2"/>
        <v>2685</v>
      </c>
      <c r="W27" s="208">
        <v>3</v>
      </c>
      <c r="X27" s="216" t="s">
        <v>39</v>
      </c>
      <c r="Y27" s="216" t="s">
        <v>69</v>
      </c>
      <c r="Z27" s="216" t="s">
        <v>55</v>
      </c>
      <c r="AA27" s="216" t="s">
        <v>88</v>
      </c>
      <c r="AB27" s="216" t="s">
        <v>340</v>
      </c>
    </row>
    <row r="28" spans="1:48" x14ac:dyDescent="0.15">
      <c r="A28" s="216" t="s">
        <v>34</v>
      </c>
      <c r="B28" s="208" t="s">
        <v>338</v>
      </c>
      <c r="C28" s="208">
        <v>2018</v>
      </c>
      <c r="D28" s="250" t="s">
        <v>518</v>
      </c>
      <c r="E28" s="237" t="s">
        <v>331</v>
      </c>
      <c r="F28" s="237" t="s">
        <v>332</v>
      </c>
      <c r="G28" s="216" t="s">
        <v>36</v>
      </c>
      <c r="H28" s="208" t="s">
        <v>157</v>
      </c>
      <c r="I28" s="216" t="s">
        <v>155</v>
      </c>
      <c r="J28" s="216" t="s">
        <v>38</v>
      </c>
      <c r="K28" s="216" t="s">
        <v>156</v>
      </c>
      <c r="L28" s="208">
        <v>3</v>
      </c>
      <c r="N28" s="208">
        <v>6</v>
      </c>
      <c r="O28" s="208">
        <v>1.1000000000000001</v>
      </c>
      <c r="P28" s="208">
        <v>1.05</v>
      </c>
      <c r="Q28" s="245">
        <f t="shared" si="0"/>
        <v>1.0750000000000002</v>
      </c>
      <c r="R28" s="208">
        <v>14.6</v>
      </c>
      <c r="S28" s="208">
        <v>131</v>
      </c>
      <c r="T28" s="217">
        <f t="shared" si="1"/>
        <v>30</v>
      </c>
      <c r="U28" s="208">
        <v>537</v>
      </c>
      <c r="V28" s="217">
        <f t="shared" si="2"/>
        <v>2685</v>
      </c>
      <c r="W28" s="208">
        <v>3</v>
      </c>
      <c r="X28" s="216" t="s">
        <v>39</v>
      </c>
      <c r="Y28" s="216" t="s">
        <v>69</v>
      </c>
      <c r="Z28" s="216" t="s">
        <v>55</v>
      </c>
      <c r="AA28" s="216" t="s">
        <v>88</v>
      </c>
      <c r="AB28" s="216" t="s">
        <v>340</v>
      </c>
    </row>
    <row r="29" spans="1:48" x14ac:dyDescent="0.15">
      <c r="A29" s="216" t="s">
        <v>34</v>
      </c>
      <c r="B29" s="208" t="s">
        <v>338</v>
      </c>
      <c r="C29" s="208">
        <v>2018</v>
      </c>
      <c r="D29" s="250" t="s">
        <v>518</v>
      </c>
      <c r="E29" s="237" t="s">
        <v>331</v>
      </c>
      <c r="F29" s="237" t="s">
        <v>332</v>
      </c>
      <c r="G29" s="216" t="s">
        <v>36</v>
      </c>
      <c r="H29" s="208" t="s">
        <v>165</v>
      </c>
      <c r="I29" s="216" t="s">
        <v>155</v>
      </c>
      <c r="J29" s="216" t="s">
        <v>38</v>
      </c>
      <c r="K29" s="216" t="s">
        <v>156</v>
      </c>
      <c r="L29" s="216">
        <v>1</v>
      </c>
      <c r="N29" s="208">
        <v>1</v>
      </c>
      <c r="O29" s="208">
        <v>0.6</v>
      </c>
      <c r="P29" s="208">
        <v>0.5</v>
      </c>
      <c r="Q29" s="245">
        <f t="shared" si="0"/>
        <v>0.55000000000000004</v>
      </c>
      <c r="R29" s="208">
        <v>15</v>
      </c>
      <c r="S29" s="208">
        <v>135</v>
      </c>
      <c r="T29" s="217">
        <f t="shared" si="1"/>
        <v>30</v>
      </c>
      <c r="U29" s="208">
        <v>105</v>
      </c>
      <c r="V29" s="217">
        <f t="shared" si="2"/>
        <v>3150</v>
      </c>
      <c r="W29" s="208">
        <v>5</v>
      </c>
      <c r="X29" s="216" t="s">
        <v>46</v>
      </c>
      <c r="Y29" s="216" t="s">
        <v>69</v>
      </c>
      <c r="Z29" s="216" t="s">
        <v>55</v>
      </c>
      <c r="AA29" s="216" t="s">
        <v>88</v>
      </c>
      <c r="AB29" s="216" t="s">
        <v>340</v>
      </c>
    </row>
    <row r="30" spans="1:48" x14ac:dyDescent="0.15">
      <c r="A30" s="216" t="s">
        <v>34</v>
      </c>
      <c r="B30" s="208" t="s">
        <v>338</v>
      </c>
      <c r="C30" s="208">
        <v>2018</v>
      </c>
      <c r="D30" s="250" t="s">
        <v>518</v>
      </c>
      <c r="E30" s="237" t="s">
        <v>331</v>
      </c>
      <c r="F30" s="237" t="s">
        <v>332</v>
      </c>
      <c r="G30" s="216" t="s">
        <v>36</v>
      </c>
      <c r="H30" s="208" t="s">
        <v>165</v>
      </c>
      <c r="I30" s="216" t="s">
        <v>155</v>
      </c>
      <c r="J30" s="216" t="s">
        <v>38</v>
      </c>
      <c r="K30" s="216" t="s">
        <v>156</v>
      </c>
      <c r="L30" s="208">
        <v>2</v>
      </c>
      <c r="N30" s="208">
        <v>1</v>
      </c>
      <c r="O30" s="208">
        <v>0.5</v>
      </c>
      <c r="P30" s="208">
        <v>0.65</v>
      </c>
      <c r="Q30" s="245">
        <f t="shared" si="0"/>
        <v>0.57499999999999996</v>
      </c>
      <c r="R30" s="208">
        <v>15.8</v>
      </c>
      <c r="S30" s="208">
        <v>140</v>
      </c>
      <c r="T30" s="217">
        <f t="shared" si="1"/>
        <v>30</v>
      </c>
      <c r="U30" s="208">
        <v>105</v>
      </c>
      <c r="V30" s="217">
        <f t="shared" si="2"/>
        <v>3150</v>
      </c>
      <c r="W30" s="208">
        <v>5</v>
      </c>
      <c r="X30" s="216" t="s">
        <v>46</v>
      </c>
      <c r="Y30" s="216" t="s">
        <v>69</v>
      </c>
      <c r="Z30" s="216" t="s">
        <v>55</v>
      </c>
      <c r="AA30" s="216" t="s">
        <v>88</v>
      </c>
      <c r="AB30" s="216" t="s">
        <v>340</v>
      </c>
    </row>
    <row r="31" spans="1:48" x14ac:dyDescent="0.15">
      <c r="A31" s="216" t="s">
        <v>34</v>
      </c>
      <c r="B31" s="208" t="s">
        <v>338</v>
      </c>
      <c r="C31" s="208">
        <v>2018</v>
      </c>
      <c r="D31" s="250" t="s">
        <v>518</v>
      </c>
      <c r="E31" s="237" t="s">
        <v>331</v>
      </c>
      <c r="F31" s="237" t="s">
        <v>332</v>
      </c>
      <c r="G31" s="216" t="s">
        <v>36</v>
      </c>
      <c r="H31" s="208" t="s">
        <v>165</v>
      </c>
      <c r="I31" s="216" t="s">
        <v>155</v>
      </c>
      <c r="J31" s="216" t="s">
        <v>38</v>
      </c>
      <c r="K31" s="216" t="s">
        <v>156</v>
      </c>
      <c r="L31" s="208">
        <v>3</v>
      </c>
      <c r="N31" s="208">
        <v>1</v>
      </c>
      <c r="O31" s="208">
        <v>0.45</v>
      </c>
      <c r="P31" s="208">
        <v>0.2</v>
      </c>
      <c r="Q31" s="245">
        <f t="shared" si="0"/>
        <v>0.32500000000000001</v>
      </c>
      <c r="R31" s="208">
        <v>15.7</v>
      </c>
      <c r="S31" s="208">
        <v>137</v>
      </c>
      <c r="T31" s="217">
        <f t="shared" si="1"/>
        <v>30</v>
      </c>
      <c r="U31" s="208">
        <v>105</v>
      </c>
      <c r="V31" s="217">
        <f t="shared" si="2"/>
        <v>3150</v>
      </c>
      <c r="W31" s="208">
        <v>5</v>
      </c>
      <c r="X31" s="216" t="s">
        <v>46</v>
      </c>
      <c r="Y31" s="216" t="s">
        <v>69</v>
      </c>
      <c r="Z31" s="216" t="s">
        <v>55</v>
      </c>
      <c r="AA31" s="216" t="s">
        <v>88</v>
      </c>
      <c r="AB31" s="216" t="s">
        <v>340</v>
      </c>
    </row>
    <row r="32" spans="1:48" x14ac:dyDescent="0.15">
      <c r="A32" s="216" t="s">
        <v>34</v>
      </c>
      <c r="B32" s="208" t="s">
        <v>338</v>
      </c>
      <c r="C32" s="208">
        <v>2018</v>
      </c>
      <c r="D32" s="250" t="s">
        <v>518</v>
      </c>
      <c r="E32" s="237" t="s">
        <v>331</v>
      </c>
      <c r="F32" s="237" t="s">
        <v>332</v>
      </c>
      <c r="G32" s="216" t="s">
        <v>36</v>
      </c>
      <c r="H32" s="208" t="s">
        <v>165</v>
      </c>
      <c r="I32" s="216" t="s">
        <v>155</v>
      </c>
      <c r="J32" s="216" t="s">
        <v>38</v>
      </c>
      <c r="K32" s="216" t="s">
        <v>156</v>
      </c>
      <c r="L32" s="216">
        <v>1</v>
      </c>
      <c r="N32" s="208">
        <v>4</v>
      </c>
      <c r="O32" s="208">
        <v>0.55000000000000004</v>
      </c>
      <c r="P32" s="208">
        <v>0.55000000000000004</v>
      </c>
      <c r="Q32" s="245">
        <f t="shared" si="0"/>
        <v>0.55000000000000004</v>
      </c>
      <c r="R32" s="208">
        <v>13.7</v>
      </c>
      <c r="S32" s="208">
        <v>93</v>
      </c>
      <c r="T32" s="217">
        <f t="shared" si="1"/>
        <v>36</v>
      </c>
      <c r="U32" s="208">
        <v>429</v>
      </c>
      <c r="V32" s="217">
        <f t="shared" si="2"/>
        <v>3861</v>
      </c>
      <c r="W32" s="208">
        <v>5</v>
      </c>
      <c r="X32" s="216" t="s">
        <v>39</v>
      </c>
      <c r="Y32" s="216" t="s">
        <v>69</v>
      </c>
      <c r="Z32" s="216" t="s">
        <v>55</v>
      </c>
      <c r="AA32" s="216" t="s">
        <v>88</v>
      </c>
      <c r="AB32" s="216" t="s">
        <v>340</v>
      </c>
    </row>
    <row r="33" spans="1:28" x14ac:dyDescent="0.15">
      <c r="A33" s="216" t="s">
        <v>34</v>
      </c>
      <c r="B33" s="208" t="s">
        <v>338</v>
      </c>
      <c r="C33" s="208">
        <v>2018</v>
      </c>
      <c r="D33" s="250" t="s">
        <v>518</v>
      </c>
      <c r="E33" s="237" t="s">
        <v>331</v>
      </c>
      <c r="F33" s="237" t="s">
        <v>332</v>
      </c>
      <c r="G33" s="216" t="s">
        <v>36</v>
      </c>
      <c r="H33" s="208" t="s">
        <v>165</v>
      </c>
      <c r="I33" s="216" t="s">
        <v>155</v>
      </c>
      <c r="J33" s="216" t="s">
        <v>38</v>
      </c>
      <c r="K33" s="216" t="s">
        <v>156</v>
      </c>
      <c r="L33" s="208">
        <v>2</v>
      </c>
      <c r="N33" s="208">
        <v>4</v>
      </c>
      <c r="O33" s="208">
        <v>0.2</v>
      </c>
      <c r="P33" s="208">
        <v>0.2</v>
      </c>
      <c r="Q33" s="245">
        <f t="shared" si="0"/>
        <v>0.2</v>
      </c>
      <c r="R33" s="208">
        <v>14.9</v>
      </c>
      <c r="S33" s="208">
        <v>89</v>
      </c>
      <c r="T33" s="217">
        <f t="shared" si="1"/>
        <v>36</v>
      </c>
      <c r="U33" s="208">
        <v>429</v>
      </c>
      <c r="V33" s="217">
        <f t="shared" si="2"/>
        <v>3861</v>
      </c>
      <c r="W33" s="208">
        <v>5</v>
      </c>
      <c r="X33" s="216" t="s">
        <v>39</v>
      </c>
      <c r="Y33" s="216" t="s">
        <v>69</v>
      </c>
      <c r="Z33" s="216" t="s">
        <v>55</v>
      </c>
      <c r="AA33" s="216" t="s">
        <v>88</v>
      </c>
      <c r="AB33" s="216" t="s">
        <v>340</v>
      </c>
    </row>
    <row r="34" spans="1:28" x14ac:dyDescent="0.15">
      <c r="A34" s="216" t="s">
        <v>34</v>
      </c>
      <c r="B34" s="208" t="s">
        <v>338</v>
      </c>
      <c r="C34" s="208">
        <v>2018</v>
      </c>
      <c r="D34" s="250" t="s">
        <v>518</v>
      </c>
      <c r="E34" s="237" t="s">
        <v>331</v>
      </c>
      <c r="F34" s="237" t="s">
        <v>332</v>
      </c>
      <c r="G34" s="216" t="s">
        <v>36</v>
      </c>
      <c r="H34" s="208" t="s">
        <v>165</v>
      </c>
      <c r="I34" s="216" t="s">
        <v>155</v>
      </c>
      <c r="J34" s="216" t="s">
        <v>38</v>
      </c>
      <c r="K34" s="216" t="s">
        <v>156</v>
      </c>
      <c r="L34" s="208">
        <v>3</v>
      </c>
      <c r="N34" s="208">
        <v>4</v>
      </c>
      <c r="O34" s="208">
        <v>0.5</v>
      </c>
      <c r="P34" s="208">
        <v>0.6</v>
      </c>
      <c r="Q34" s="245">
        <f>IF(OR(O34="",P34=""),"",AVERAGE(O34,P34))</f>
        <v>0.55000000000000004</v>
      </c>
      <c r="R34" s="208">
        <v>14.7</v>
      </c>
      <c r="S34" s="208">
        <v>92</v>
      </c>
      <c r="T34" s="217">
        <f t="shared" si="1"/>
        <v>36</v>
      </c>
      <c r="U34" s="208">
        <v>429</v>
      </c>
      <c r="V34" s="217">
        <f t="shared" si="2"/>
        <v>3861</v>
      </c>
      <c r="W34" s="208">
        <v>5</v>
      </c>
      <c r="X34" s="216" t="s">
        <v>39</v>
      </c>
      <c r="Y34" s="216" t="s">
        <v>69</v>
      </c>
      <c r="Z34" s="216" t="s">
        <v>55</v>
      </c>
      <c r="AA34" s="216" t="s">
        <v>88</v>
      </c>
      <c r="AB34" s="216" t="s">
        <v>340</v>
      </c>
    </row>
    <row r="35" spans="1:28" x14ac:dyDescent="0.15">
      <c r="A35" s="216" t="s">
        <v>34</v>
      </c>
      <c r="B35" s="208" t="s">
        <v>338</v>
      </c>
      <c r="C35" s="208">
        <v>2018</v>
      </c>
      <c r="D35" s="250" t="s">
        <v>518</v>
      </c>
      <c r="E35" s="237" t="s">
        <v>173</v>
      </c>
      <c r="F35" s="237" t="s">
        <v>336</v>
      </c>
      <c r="G35" s="216" t="s">
        <v>36</v>
      </c>
      <c r="H35" s="208" t="s">
        <v>157</v>
      </c>
      <c r="I35" s="216" t="s">
        <v>155</v>
      </c>
      <c r="J35" s="216" t="s">
        <v>38</v>
      </c>
      <c r="K35" s="216" t="s">
        <v>156</v>
      </c>
      <c r="L35" s="216">
        <v>1</v>
      </c>
      <c r="N35" s="208">
        <v>1</v>
      </c>
      <c r="O35" s="208">
        <v>0.55000000000000004</v>
      </c>
      <c r="P35" s="208">
        <v>0.55000000000000004</v>
      </c>
      <c r="Q35" s="245">
        <f t="shared" ref="Q35:Q36" si="3">IF(OR(O35="",P35=""),"",AVERAGE(O35,P35))</f>
        <v>0.55000000000000004</v>
      </c>
      <c r="R35" s="208">
        <v>13.9</v>
      </c>
      <c r="S35" s="208">
        <v>136</v>
      </c>
      <c r="T35" s="217">
        <f t="shared" si="1"/>
        <v>30</v>
      </c>
      <c r="U35" s="208">
        <v>137</v>
      </c>
      <c r="V35" s="217">
        <f t="shared" si="2"/>
        <v>4110</v>
      </c>
      <c r="W35" s="208">
        <v>2</v>
      </c>
      <c r="X35" s="216" t="s">
        <v>46</v>
      </c>
      <c r="Y35" s="216" t="s">
        <v>69</v>
      </c>
      <c r="Z35" s="216" t="s">
        <v>55</v>
      </c>
      <c r="AA35" s="216" t="s">
        <v>102</v>
      </c>
      <c r="AB35" s="216" t="s">
        <v>340</v>
      </c>
    </row>
    <row r="36" spans="1:28" x14ac:dyDescent="0.15">
      <c r="A36" s="216" t="s">
        <v>34</v>
      </c>
      <c r="B36" s="208" t="s">
        <v>338</v>
      </c>
      <c r="C36" s="208">
        <v>2018</v>
      </c>
      <c r="D36" s="250" t="s">
        <v>518</v>
      </c>
      <c r="E36" s="237" t="s">
        <v>173</v>
      </c>
      <c r="F36" s="237" t="s">
        <v>336</v>
      </c>
      <c r="G36" s="216" t="s">
        <v>36</v>
      </c>
      <c r="H36" s="208" t="s">
        <v>157</v>
      </c>
      <c r="I36" s="216" t="s">
        <v>155</v>
      </c>
      <c r="J36" s="216" t="s">
        <v>38</v>
      </c>
      <c r="K36" s="216" t="s">
        <v>156</v>
      </c>
      <c r="L36" s="208">
        <v>2</v>
      </c>
      <c r="N36" s="208">
        <v>1</v>
      </c>
      <c r="O36" s="208">
        <v>0.6</v>
      </c>
      <c r="P36" s="208">
        <v>0.6</v>
      </c>
      <c r="Q36" s="245">
        <f t="shared" si="3"/>
        <v>0.6</v>
      </c>
      <c r="R36" s="208">
        <v>9.9</v>
      </c>
      <c r="S36" s="208">
        <v>137</v>
      </c>
      <c r="T36" s="217">
        <f t="shared" si="1"/>
        <v>30</v>
      </c>
      <c r="U36" s="208">
        <v>137</v>
      </c>
      <c r="V36" s="217">
        <f t="shared" si="2"/>
        <v>4110</v>
      </c>
      <c r="W36" s="208">
        <v>2</v>
      </c>
      <c r="X36" s="216" t="s">
        <v>46</v>
      </c>
      <c r="Y36" s="216" t="s">
        <v>69</v>
      </c>
      <c r="Z36" s="216" t="s">
        <v>55</v>
      </c>
      <c r="AA36" s="216" t="s">
        <v>102</v>
      </c>
      <c r="AB36" s="216" t="s">
        <v>340</v>
      </c>
    </row>
    <row r="37" spans="1:28" x14ac:dyDescent="0.15">
      <c r="A37" s="216" t="s">
        <v>34</v>
      </c>
      <c r="B37" s="208" t="s">
        <v>338</v>
      </c>
      <c r="C37" s="208">
        <v>2018</v>
      </c>
      <c r="D37" s="250" t="s">
        <v>518</v>
      </c>
      <c r="E37" s="237" t="s">
        <v>173</v>
      </c>
      <c r="F37" s="237" t="s">
        <v>336</v>
      </c>
      <c r="G37" s="216" t="s">
        <v>36</v>
      </c>
      <c r="H37" s="208" t="s">
        <v>157</v>
      </c>
      <c r="I37" s="216" t="s">
        <v>155</v>
      </c>
      <c r="J37" s="216" t="s">
        <v>38</v>
      </c>
      <c r="K37" s="216" t="s">
        <v>156</v>
      </c>
      <c r="L37" s="208">
        <v>3</v>
      </c>
      <c r="N37" s="208">
        <v>1</v>
      </c>
      <c r="O37" s="208">
        <v>0.55000000000000004</v>
      </c>
      <c r="P37" s="208">
        <v>0.5</v>
      </c>
      <c r="Q37" s="245">
        <f>IF(OR(O37="",P37=""),"",AVERAGE(O37,P37))</f>
        <v>0.52500000000000002</v>
      </c>
      <c r="R37" s="208">
        <v>14.2</v>
      </c>
      <c r="S37" s="208">
        <v>140</v>
      </c>
      <c r="T37" s="217">
        <f t="shared" si="1"/>
        <v>30</v>
      </c>
      <c r="U37" s="208">
        <v>137</v>
      </c>
      <c r="V37" s="217">
        <f t="shared" si="2"/>
        <v>4110</v>
      </c>
      <c r="W37" s="208">
        <v>2</v>
      </c>
      <c r="X37" s="216" t="s">
        <v>46</v>
      </c>
      <c r="Y37" s="216" t="s">
        <v>69</v>
      </c>
      <c r="Z37" s="216" t="s">
        <v>55</v>
      </c>
      <c r="AA37" s="216" t="s">
        <v>102</v>
      </c>
      <c r="AB37" s="216" t="s">
        <v>340</v>
      </c>
    </row>
    <row r="38" spans="1:28" x14ac:dyDescent="0.15">
      <c r="A38" s="216" t="s">
        <v>34</v>
      </c>
      <c r="B38" s="208" t="s">
        <v>338</v>
      </c>
      <c r="C38" s="208">
        <v>2018</v>
      </c>
      <c r="D38" s="250" t="s">
        <v>518</v>
      </c>
      <c r="E38" s="237" t="s">
        <v>173</v>
      </c>
      <c r="F38" s="237" t="s">
        <v>336</v>
      </c>
      <c r="G38" s="216" t="s">
        <v>36</v>
      </c>
      <c r="H38" s="208" t="s">
        <v>157</v>
      </c>
      <c r="I38" s="216" t="s">
        <v>155</v>
      </c>
      <c r="J38" s="216" t="s">
        <v>38</v>
      </c>
      <c r="K38" s="216" t="s">
        <v>156</v>
      </c>
      <c r="L38" s="216">
        <v>1</v>
      </c>
      <c r="N38" s="208">
        <v>4</v>
      </c>
      <c r="O38" s="208">
        <v>0.6</v>
      </c>
      <c r="P38" s="208">
        <v>0.6</v>
      </c>
      <c r="Q38" s="245">
        <f t="shared" ref="Q38:Q39" si="4">IF(OR(O38="",P38=""),"",AVERAGE(O38,P38))</f>
        <v>0.6</v>
      </c>
      <c r="R38" s="208">
        <v>14.7</v>
      </c>
      <c r="S38" s="208">
        <v>140</v>
      </c>
      <c r="T38" s="217">
        <f t="shared" si="1"/>
        <v>30</v>
      </c>
      <c r="U38" s="208">
        <v>471</v>
      </c>
      <c r="V38" s="217">
        <f t="shared" si="2"/>
        <v>3532.5</v>
      </c>
      <c r="W38" s="208">
        <v>2</v>
      </c>
      <c r="X38" s="216" t="s">
        <v>46</v>
      </c>
      <c r="Y38" s="216" t="s">
        <v>69</v>
      </c>
      <c r="Z38" s="216" t="s">
        <v>55</v>
      </c>
      <c r="AA38" s="216" t="s">
        <v>102</v>
      </c>
      <c r="AB38" s="216" t="s">
        <v>340</v>
      </c>
    </row>
    <row r="39" spans="1:28" x14ac:dyDescent="0.15">
      <c r="A39" s="216" t="s">
        <v>34</v>
      </c>
      <c r="B39" s="208" t="s">
        <v>338</v>
      </c>
      <c r="C39" s="208">
        <v>2018</v>
      </c>
      <c r="D39" s="250" t="s">
        <v>518</v>
      </c>
      <c r="E39" s="237" t="s">
        <v>173</v>
      </c>
      <c r="F39" s="237" t="s">
        <v>336</v>
      </c>
      <c r="G39" s="216" t="s">
        <v>36</v>
      </c>
      <c r="H39" s="208" t="s">
        <v>157</v>
      </c>
      <c r="I39" s="216" t="s">
        <v>155</v>
      </c>
      <c r="J39" s="216" t="s">
        <v>38</v>
      </c>
      <c r="K39" s="216" t="s">
        <v>156</v>
      </c>
      <c r="L39" s="208">
        <v>2</v>
      </c>
      <c r="N39" s="208">
        <v>4</v>
      </c>
      <c r="O39" s="208">
        <v>0.65</v>
      </c>
      <c r="P39" s="208">
        <v>0.7</v>
      </c>
      <c r="Q39" s="245">
        <f t="shared" si="4"/>
        <v>0.67500000000000004</v>
      </c>
      <c r="R39" s="208">
        <v>14.9</v>
      </c>
      <c r="S39" s="208">
        <v>136</v>
      </c>
      <c r="T39" s="217">
        <f t="shared" si="1"/>
        <v>30</v>
      </c>
      <c r="U39" s="208">
        <v>471</v>
      </c>
      <c r="V39" s="217">
        <f t="shared" si="2"/>
        <v>3532.5</v>
      </c>
      <c r="W39" s="208">
        <v>2</v>
      </c>
      <c r="X39" s="216" t="s">
        <v>46</v>
      </c>
      <c r="Y39" s="216" t="s">
        <v>69</v>
      </c>
      <c r="Z39" s="216" t="s">
        <v>55</v>
      </c>
      <c r="AA39" s="216" t="s">
        <v>102</v>
      </c>
      <c r="AB39" s="216" t="s">
        <v>340</v>
      </c>
    </row>
    <row r="40" spans="1:28" x14ac:dyDescent="0.15">
      <c r="A40" s="216" t="s">
        <v>34</v>
      </c>
      <c r="B40" s="208" t="s">
        <v>338</v>
      </c>
      <c r="C40" s="208">
        <v>2018</v>
      </c>
      <c r="D40" s="250" t="s">
        <v>518</v>
      </c>
      <c r="E40" s="237" t="s">
        <v>173</v>
      </c>
      <c r="F40" s="237" t="s">
        <v>336</v>
      </c>
      <c r="G40" s="216" t="s">
        <v>36</v>
      </c>
      <c r="H40" s="208" t="s">
        <v>157</v>
      </c>
      <c r="I40" s="216" t="s">
        <v>155</v>
      </c>
      <c r="J40" s="216" t="s">
        <v>38</v>
      </c>
      <c r="K40" s="216" t="s">
        <v>156</v>
      </c>
      <c r="L40" s="208">
        <v>3</v>
      </c>
      <c r="N40" s="208">
        <v>4</v>
      </c>
      <c r="O40" s="208">
        <v>0.5</v>
      </c>
      <c r="P40" s="208">
        <v>0.5</v>
      </c>
      <c r="Q40" s="245">
        <f>IF(OR(O40="",P40=""),"",AVERAGE(O40,P40))</f>
        <v>0.5</v>
      </c>
      <c r="R40" s="208">
        <v>14.2</v>
      </c>
      <c r="S40" s="208">
        <v>145</v>
      </c>
      <c r="T40" s="217">
        <f t="shared" si="1"/>
        <v>30</v>
      </c>
      <c r="U40" s="208">
        <v>471</v>
      </c>
      <c r="V40" s="217">
        <f t="shared" si="2"/>
        <v>3532.5</v>
      </c>
      <c r="W40" s="208">
        <v>2</v>
      </c>
      <c r="X40" s="216" t="s">
        <v>46</v>
      </c>
      <c r="Y40" s="216" t="s">
        <v>69</v>
      </c>
      <c r="Z40" s="216" t="s">
        <v>55</v>
      </c>
      <c r="AA40" s="216" t="s">
        <v>102</v>
      </c>
      <c r="AB40" s="216" t="s">
        <v>340</v>
      </c>
    </row>
    <row r="41" spans="1:28" x14ac:dyDescent="0.15">
      <c r="A41" s="216" t="s">
        <v>34</v>
      </c>
      <c r="B41" s="208" t="s">
        <v>338</v>
      </c>
      <c r="C41" s="208">
        <v>2018</v>
      </c>
      <c r="D41" s="250" t="s">
        <v>518</v>
      </c>
      <c r="E41" s="237" t="s">
        <v>173</v>
      </c>
      <c r="F41" s="237" t="s">
        <v>336</v>
      </c>
      <c r="G41" s="216" t="s">
        <v>36</v>
      </c>
      <c r="H41" s="208" t="s">
        <v>165</v>
      </c>
      <c r="I41" s="216" t="s">
        <v>155</v>
      </c>
      <c r="J41" s="216" t="s">
        <v>38</v>
      </c>
      <c r="K41" s="216" t="s">
        <v>156</v>
      </c>
      <c r="L41" s="216">
        <v>1</v>
      </c>
      <c r="N41" s="208">
        <v>1</v>
      </c>
      <c r="O41" s="208">
        <v>0.5</v>
      </c>
      <c r="P41" s="208">
        <v>0.55000000000000004</v>
      </c>
      <c r="Q41" s="245">
        <f t="shared" si="0"/>
        <v>0.52500000000000002</v>
      </c>
      <c r="R41" s="208">
        <v>15.3</v>
      </c>
      <c r="S41" s="208">
        <v>155</v>
      </c>
      <c r="T41" s="217">
        <f t="shared" si="1"/>
        <v>18</v>
      </c>
      <c r="U41" s="208">
        <v>137</v>
      </c>
      <c r="V41" s="217">
        <f t="shared" si="2"/>
        <v>2466</v>
      </c>
      <c r="W41" s="208">
        <v>4</v>
      </c>
      <c r="X41" s="216" t="s">
        <v>46</v>
      </c>
      <c r="Y41" s="216" t="s">
        <v>69</v>
      </c>
      <c r="Z41" s="216" t="s">
        <v>55</v>
      </c>
      <c r="AA41" s="216" t="s">
        <v>102</v>
      </c>
      <c r="AB41" s="216" t="s">
        <v>340</v>
      </c>
    </row>
    <row r="42" spans="1:28" x14ac:dyDescent="0.15">
      <c r="A42" s="216" t="s">
        <v>34</v>
      </c>
      <c r="B42" s="208" t="s">
        <v>338</v>
      </c>
      <c r="C42" s="208">
        <v>2018</v>
      </c>
      <c r="D42" s="250" t="s">
        <v>518</v>
      </c>
      <c r="E42" s="237" t="s">
        <v>173</v>
      </c>
      <c r="F42" s="237" t="s">
        <v>336</v>
      </c>
      <c r="G42" s="216" t="s">
        <v>36</v>
      </c>
      <c r="H42" s="208" t="s">
        <v>165</v>
      </c>
      <c r="I42" s="216" t="s">
        <v>155</v>
      </c>
      <c r="J42" s="216" t="s">
        <v>38</v>
      </c>
      <c r="K42" s="216" t="s">
        <v>156</v>
      </c>
      <c r="L42" s="208">
        <v>2</v>
      </c>
      <c r="N42" s="208">
        <v>1</v>
      </c>
      <c r="O42" s="208">
        <v>0.5</v>
      </c>
      <c r="P42" s="208">
        <v>0.55000000000000004</v>
      </c>
      <c r="Q42" s="245">
        <f t="shared" si="0"/>
        <v>0.52500000000000002</v>
      </c>
      <c r="R42" s="208">
        <v>14.2</v>
      </c>
      <c r="S42" s="208">
        <v>149</v>
      </c>
      <c r="T42" s="217">
        <f t="shared" si="1"/>
        <v>30</v>
      </c>
      <c r="U42" s="208">
        <v>137</v>
      </c>
      <c r="V42" s="217">
        <f t="shared" si="2"/>
        <v>4110</v>
      </c>
      <c r="W42" s="208">
        <v>4</v>
      </c>
      <c r="X42" s="216" t="s">
        <v>46</v>
      </c>
      <c r="Y42" s="216" t="s">
        <v>69</v>
      </c>
      <c r="Z42" s="216" t="s">
        <v>55</v>
      </c>
      <c r="AA42" s="216" t="s">
        <v>102</v>
      </c>
      <c r="AB42" s="216" t="s">
        <v>340</v>
      </c>
    </row>
    <row r="43" spans="1:28" x14ac:dyDescent="0.15">
      <c r="A43" s="216" t="s">
        <v>34</v>
      </c>
      <c r="B43" s="208" t="s">
        <v>338</v>
      </c>
      <c r="C43" s="208">
        <v>2018</v>
      </c>
      <c r="D43" s="250" t="s">
        <v>518</v>
      </c>
      <c r="E43" s="237" t="s">
        <v>173</v>
      </c>
      <c r="F43" s="237" t="s">
        <v>336</v>
      </c>
      <c r="G43" s="216" t="s">
        <v>36</v>
      </c>
      <c r="H43" s="208" t="s">
        <v>165</v>
      </c>
      <c r="I43" s="216" t="s">
        <v>155</v>
      </c>
      <c r="J43" s="216" t="s">
        <v>38</v>
      </c>
      <c r="K43" s="216" t="s">
        <v>156</v>
      </c>
      <c r="L43" s="208">
        <v>3</v>
      </c>
      <c r="N43" s="208">
        <v>1</v>
      </c>
      <c r="O43" s="208">
        <v>0.65</v>
      </c>
      <c r="P43" s="208">
        <v>0.6</v>
      </c>
      <c r="Q43" s="245">
        <f t="shared" si="0"/>
        <v>0.625</v>
      </c>
      <c r="R43" s="208">
        <v>16.7</v>
      </c>
      <c r="S43" s="208">
        <v>156</v>
      </c>
      <c r="T43" s="217">
        <f t="shared" si="1"/>
        <v>18</v>
      </c>
      <c r="U43" s="208">
        <v>137</v>
      </c>
      <c r="V43" s="217">
        <f t="shared" si="2"/>
        <v>2466</v>
      </c>
      <c r="W43" s="208">
        <v>4</v>
      </c>
      <c r="X43" s="216" t="s">
        <v>46</v>
      </c>
      <c r="Y43" s="216" t="s">
        <v>69</v>
      </c>
      <c r="Z43" s="216" t="s">
        <v>55</v>
      </c>
      <c r="AA43" s="216" t="s">
        <v>102</v>
      </c>
      <c r="AB43" s="216" t="s">
        <v>340</v>
      </c>
    </row>
    <row r="44" spans="1:28" x14ac:dyDescent="0.15">
      <c r="A44" s="216" t="s">
        <v>34</v>
      </c>
      <c r="B44" s="208" t="s">
        <v>338</v>
      </c>
      <c r="C44" s="208">
        <v>2018</v>
      </c>
      <c r="D44" s="250" t="s">
        <v>518</v>
      </c>
      <c r="E44" s="237" t="s">
        <v>173</v>
      </c>
      <c r="F44" s="237" t="s">
        <v>336</v>
      </c>
      <c r="G44" s="216" t="s">
        <v>36</v>
      </c>
      <c r="H44" s="208" t="s">
        <v>165</v>
      </c>
      <c r="I44" s="216" t="s">
        <v>155</v>
      </c>
      <c r="J44" s="216" t="s">
        <v>38</v>
      </c>
      <c r="K44" s="216" t="s">
        <v>156</v>
      </c>
      <c r="L44" s="216">
        <v>1</v>
      </c>
      <c r="N44" s="208">
        <v>4</v>
      </c>
      <c r="O44" s="208">
        <v>0.2</v>
      </c>
      <c r="P44" s="208">
        <v>0.2</v>
      </c>
      <c r="Q44" s="245">
        <f t="shared" si="0"/>
        <v>0.2</v>
      </c>
      <c r="R44" s="208">
        <v>17.399999999999999</v>
      </c>
      <c r="S44" s="208">
        <v>131</v>
      </c>
      <c r="T44" s="217">
        <f t="shared" si="1"/>
        <v>30</v>
      </c>
      <c r="U44" s="208">
        <v>471</v>
      </c>
      <c r="V44" s="217">
        <f t="shared" si="2"/>
        <v>3532.5</v>
      </c>
      <c r="W44" s="208">
        <v>4</v>
      </c>
      <c r="X44" s="216" t="s">
        <v>46</v>
      </c>
      <c r="Y44" s="216" t="s">
        <v>69</v>
      </c>
      <c r="Z44" s="216" t="s">
        <v>55</v>
      </c>
      <c r="AA44" s="216" t="s">
        <v>102</v>
      </c>
      <c r="AB44" s="216" t="s">
        <v>340</v>
      </c>
    </row>
    <row r="45" spans="1:28" x14ac:dyDescent="0.15">
      <c r="A45" s="216" t="s">
        <v>34</v>
      </c>
      <c r="B45" s="208" t="s">
        <v>338</v>
      </c>
      <c r="C45" s="208">
        <v>2018</v>
      </c>
      <c r="D45" s="250" t="s">
        <v>518</v>
      </c>
      <c r="E45" s="237" t="s">
        <v>173</v>
      </c>
      <c r="F45" s="237" t="s">
        <v>336</v>
      </c>
      <c r="G45" s="216" t="s">
        <v>36</v>
      </c>
      <c r="H45" s="208" t="s">
        <v>165</v>
      </c>
      <c r="I45" s="216" t="s">
        <v>155</v>
      </c>
      <c r="J45" s="216" t="s">
        <v>38</v>
      </c>
      <c r="K45" s="216" t="s">
        <v>156</v>
      </c>
      <c r="L45" s="208">
        <v>2</v>
      </c>
      <c r="N45" s="208">
        <v>4</v>
      </c>
      <c r="O45" s="208">
        <v>0.6</v>
      </c>
      <c r="P45" s="208">
        <v>0.65</v>
      </c>
      <c r="Q45" s="245">
        <f t="shared" si="0"/>
        <v>0.625</v>
      </c>
      <c r="R45" s="208">
        <v>13.3</v>
      </c>
      <c r="S45" s="208">
        <v>128</v>
      </c>
      <c r="T45" s="217">
        <f t="shared" si="1"/>
        <v>30</v>
      </c>
      <c r="U45" s="208">
        <v>471</v>
      </c>
      <c r="V45" s="217">
        <f t="shared" si="2"/>
        <v>3532.5</v>
      </c>
      <c r="W45" s="208">
        <v>4</v>
      </c>
      <c r="X45" s="216" t="s">
        <v>46</v>
      </c>
      <c r="Y45" s="216" t="s">
        <v>69</v>
      </c>
      <c r="Z45" s="216" t="s">
        <v>55</v>
      </c>
      <c r="AA45" s="216" t="s">
        <v>102</v>
      </c>
      <c r="AB45" s="216" t="s">
        <v>340</v>
      </c>
    </row>
    <row r="46" spans="1:28" x14ac:dyDescent="0.15">
      <c r="A46" s="216" t="s">
        <v>34</v>
      </c>
      <c r="B46" s="208" t="s">
        <v>338</v>
      </c>
      <c r="C46" s="208">
        <v>2018</v>
      </c>
      <c r="D46" s="250" t="s">
        <v>518</v>
      </c>
      <c r="E46" s="237" t="s">
        <v>173</v>
      </c>
      <c r="F46" s="237" t="s">
        <v>336</v>
      </c>
      <c r="G46" s="216" t="s">
        <v>36</v>
      </c>
      <c r="H46" s="208" t="s">
        <v>165</v>
      </c>
      <c r="I46" s="216" t="s">
        <v>155</v>
      </c>
      <c r="J46" s="216" t="s">
        <v>38</v>
      </c>
      <c r="K46" s="216" t="s">
        <v>156</v>
      </c>
      <c r="L46" s="208">
        <v>3</v>
      </c>
      <c r="N46" s="208">
        <v>4</v>
      </c>
      <c r="O46" s="208">
        <v>0.6</v>
      </c>
      <c r="P46" s="208">
        <v>0.7</v>
      </c>
      <c r="Q46" s="245">
        <f t="shared" si="0"/>
        <v>0.64999999999999991</v>
      </c>
      <c r="R46" s="208">
        <v>14.4</v>
      </c>
      <c r="S46" s="208">
        <v>132</v>
      </c>
      <c r="T46" s="217">
        <f t="shared" si="1"/>
        <v>30</v>
      </c>
      <c r="U46" s="208">
        <v>471</v>
      </c>
      <c r="V46" s="217">
        <f t="shared" si="2"/>
        <v>3532.5</v>
      </c>
      <c r="W46" s="208">
        <v>4</v>
      </c>
      <c r="X46" s="216" t="s">
        <v>46</v>
      </c>
      <c r="Y46" s="216" t="s">
        <v>69</v>
      </c>
      <c r="Z46" s="216" t="s">
        <v>55</v>
      </c>
      <c r="AA46" s="216" t="s">
        <v>102</v>
      </c>
      <c r="AB46" s="216" t="s">
        <v>340</v>
      </c>
    </row>
    <row r="47" spans="1:28" x14ac:dyDescent="0.15">
      <c r="A47" s="216" t="s">
        <v>34</v>
      </c>
      <c r="B47" s="208" t="s">
        <v>338</v>
      </c>
      <c r="C47" s="208">
        <v>2018</v>
      </c>
      <c r="D47" s="250" t="s">
        <v>518</v>
      </c>
      <c r="E47" s="237" t="s">
        <v>285</v>
      </c>
      <c r="F47" s="237" t="s">
        <v>321</v>
      </c>
      <c r="G47" s="216" t="s">
        <v>36</v>
      </c>
      <c r="H47" s="208" t="s">
        <v>157</v>
      </c>
      <c r="I47" s="216" t="s">
        <v>155</v>
      </c>
      <c r="J47" s="216" t="s">
        <v>38</v>
      </c>
      <c r="K47" s="216" t="s">
        <v>156</v>
      </c>
      <c r="L47" s="216">
        <v>1</v>
      </c>
      <c r="N47" s="208">
        <v>1</v>
      </c>
      <c r="O47" s="208">
        <v>0.7</v>
      </c>
      <c r="P47" s="208">
        <v>0.7</v>
      </c>
      <c r="Q47" s="245">
        <f t="shared" si="0"/>
        <v>0.7</v>
      </c>
      <c r="R47" s="208">
        <v>14.9</v>
      </c>
      <c r="S47" s="208">
        <v>135</v>
      </c>
      <c r="T47" s="217">
        <f t="shared" si="1"/>
        <v>30</v>
      </c>
      <c r="U47" s="208">
        <v>105</v>
      </c>
      <c r="V47" s="217">
        <f t="shared" si="2"/>
        <v>3150</v>
      </c>
      <c r="W47" s="208">
        <v>2</v>
      </c>
      <c r="X47" s="216" t="s">
        <v>46</v>
      </c>
      <c r="Y47" s="216" t="s">
        <v>69</v>
      </c>
      <c r="Z47" s="216" t="s">
        <v>97</v>
      </c>
      <c r="AA47" s="216" t="s">
        <v>88</v>
      </c>
      <c r="AB47" s="216" t="s">
        <v>340</v>
      </c>
    </row>
    <row r="48" spans="1:28" x14ac:dyDescent="0.15">
      <c r="A48" s="216" t="s">
        <v>34</v>
      </c>
      <c r="B48" s="208" t="s">
        <v>338</v>
      </c>
      <c r="C48" s="208">
        <v>2018</v>
      </c>
      <c r="D48" s="250" t="s">
        <v>518</v>
      </c>
      <c r="E48" s="237" t="s">
        <v>285</v>
      </c>
      <c r="F48" s="237" t="s">
        <v>321</v>
      </c>
      <c r="G48" s="216" t="s">
        <v>36</v>
      </c>
      <c r="H48" s="208" t="s">
        <v>157</v>
      </c>
      <c r="I48" s="216" t="s">
        <v>155</v>
      </c>
      <c r="J48" s="216" t="s">
        <v>38</v>
      </c>
      <c r="K48" s="216" t="s">
        <v>156</v>
      </c>
      <c r="L48" s="208">
        <v>2</v>
      </c>
      <c r="N48" s="208">
        <v>1</v>
      </c>
      <c r="O48" s="208">
        <v>0.75</v>
      </c>
      <c r="P48" s="208">
        <v>0.8</v>
      </c>
      <c r="Q48" s="245">
        <f t="shared" si="0"/>
        <v>0.77500000000000002</v>
      </c>
      <c r="R48" s="208">
        <v>16.3</v>
      </c>
      <c r="S48" s="208">
        <v>141</v>
      </c>
      <c r="T48" s="217">
        <f t="shared" si="1"/>
        <v>30</v>
      </c>
      <c r="U48" s="208">
        <v>105</v>
      </c>
      <c r="V48" s="217">
        <f t="shared" si="2"/>
        <v>3150</v>
      </c>
      <c r="W48" s="208">
        <v>2</v>
      </c>
      <c r="X48" s="216" t="s">
        <v>46</v>
      </c>
      <c r="Y48" s="216" t="s">
        <v>69</v>
      </c>
      <c r="Z48" s="216" t="s">
        <v>97</v>
      </c>
      <c r="AA48" s="216" t="s">
        <v>88</v>
      </c>
      <c r="AB48" s="216" t="s">
        <v>340</v>
      </c>
    </row>
    <row r="49" spans="1:28" x14ac:dyDescent="0.15">
      <c r="A49" s="216" t="s">
        <v>34</v>
      </c>
      <c r="B49" s="208" t="s">
        <v>338</v>
      </c>
      <c r="C49" s="208">
        <v>2018</v>
      </c>
      <c r="D49" s="250" t="s">
        <v>518</v>
      </c>
      <c r="E49" s="237" t="s">
        <v>285</v>
      </c>
      <c r="F49" s="237" t="s">
        <v>321</v>
      </c>
      <c r="G49" s="216" t="s">
        <v>36</v>
      </c>
      <c r="H49" s="208" t="s">
        <v>157</v>
      </c>
      <c r="I49" s="216" t="s">
        <v>155</v>
      </c>
      <c r="J49" s="216" t="s">
        <v>38</v>
      </c>
      <c r="K49" s="216" t="s">
        <v>156</v>
      </c>
      <c r="L49" s="208">
        <v>3</v>
      </c>
      <c r="N49" s="208">
        <v>1</v>
      </c>
      <c r="O49" s="208">
        <v>0.7</v>
      </c>
      <c r="P49" s="208">
        <v>0.7</v>
      </c>
      <c r="Q49" s="245">
        <f t="shared" si="0"/>
        <v>0.7</v>
      </c>
      <c r="R49" s="208">
        <v>15</v>
      </c>
      <c r="S49" s="208">
        <v>136</v>
      </c>
      <c r="T49" s="217">
        <f t="shared" si="1"/>
        <v>30</v>
      </c>
      <c r="U49" s="208">
        <v>105</v>
      </c>
      <c r="V49" s="217">
        <f t="shared" si="2"/>
        <v>3150</v>
      </c>
      <c r="W49" s="208">
        <v>2</v>
      </c>
      <c r="X49" s="216" t="s">
        <v>46</v>
      </c>
      <c r="Y49" s="216" t="s">
        <v>69</v>
      </c>
      <c r="Z49" s="216" t="s">
        <v>97</v>
      </c>
      <c r="AA49" s="216" t="s">
        <v>88</v>
      </c>
      <c r="AB49" s="216" t="s">
        <v>340</v>
      </c>
    </row>
    <row r="50" spans="1:28" x14ac:dyDescent="0.15">
      <c r="A50" s="216" t="s">
        <v>34</v>
      </c>
      <c r="B50" s="208" t="s">
        <v>338</v>
      </c>
      <c r="C50" s="208">
        <v>2018</v>
      </c>
      <c r="D50" s="250" t="s">
        <v>518</v>
      </c>
      <c r="E50" s="237" t="s">
        <v>285</v>
      </c>
      <c r="F50" s="237" t="s">
        <v>321</v>
      </c>
      <c r="G50" s="216" t="s">
        <v>36</v>
      </c>
      <c r="H50" s="208" t="s">
        <v>165</v>
      </c>
      <c r="I50" s="216" t="s">
        <v>155</v>
      </c>
      <c r="J50" s="216" t="s">
        <v>38</v>
      </c>
      <c r="K50" s="216" t="s">
        <v>156</v>
      </c>
      <c r="L50" s="216">
        <v>1</v>
      </c>
      <c r="N50" s="208">
        <v>1</v>
      </c>
      <c r="O50" s="208">
        <v>0.45</v>
      </c>
      <c r="P50" s="208">
        <v>0.5</v>
      </c>
      <c r="Q50" s="245">
        <f t="shared" si="0"/>
        <v>0.47499999999999998</v>
      </c>
      <c r="R50" s="208">
        <v>16.8</v>
      </c>
      <c r="S50" s="208">
        <v>140</v>
      </c>
      <c r="T50" s="217">
        <f t="shared" si="1"/>
        <v>30</v>
      </c>
      <c r="U50" s="208">
        <v>105</v>
      </c>
      <c r="V50" s="217">
        <f t="shared" si="2"/>
        <v>3150</v>
      </c>
      <c r="W50" s="208">
        <v>2</v>
      </c>
      <c r="X50" s="216" t="s">
        <v>46</v>
      </c>
      <c r="Y50" s="216" t="s">
        <v>69</v>
      </c>
      <c r="Z50" s="216" t="s">
        <v>97</v>
      </c>
      <c r="AA50" s="216" t="s">
        <v>88</v>
      </c>
      <c r="AB50" s="216" t="s">
        <v>340</v>
      </c>
    </row>
    <row r="51" spans="1:28" x14ac:dyDescent="0.15">
      <c r="A51" s="216" t="s">
        <v>34</v>
      </c>
      <c r="B51" s="208" t="s">
        <v>338</v>
      </c>
      <c r="C51" s="208">
        <v>2018</v>
      </c>
      <c r="D51" s="250" t="s">
        <v>518</v>
      </c>
      <c r="E51" s="237" t="s">
        <v>285</v>
      </c>
      <c r="F51" s="237" t="s">
        <v>321</v>
      </c>
      <c r="G51" s="216" t="s">
        <v>36</v>
      </c>
      <c r="H51" s="208" t="s">
        <v>165</v>
      </c>
      <c r="I51" s="216" t="s">
        <v>155</v>
      </c>
      <c r="J51" s="216" t="s">
        <v>38</v>
      </c>
      <c r="K51" s="216" t="s">
        <v>156</v>
      </c>
      <c r="L51" s="208">
        <v>2</v>
      </c>
      <c r="N51" s="208">
        <v>1</v>
      </c>
      <c r="O51" s="208">
        <v>0.55000000000000004</v>
      </c>
      <c r="P51" s="208">
        <v>0.65</v>
      </c>
      <c r="Q51" s="245">
        <f t="shared" si="0"/>
        <v>0.60000000000000009</v>
      </c>
      <c r="R51" s="208">
        <v>14.4</v>
      </c>
      <c r="S51" s="208">
        <v>142</v>
      </c>
      <c r="T51" s="217">
        <f t="shared" si="1"/>
        <v>30</v>
      </c>
      <c r="U51" s="208">
        <v>105</v>
      </c>
      <c r="V51" s="217">
        <f t="shared" si="2"/>
        <v>3150</v>
      </c>
      <c r="W51" s="208">
        <v>2</v>
      </c>
      <c r="X51" s="216" t="s">
        <v>46</v>
      </c>
      <c r="Y51" s="216" t="s">
        <v>69</v>
      </c>
      <c r="Z51" s="216" t="s">
        <v>97</v>
      </c>
      <c r="AA51" s="216" t="s">
        <v>88</v>
      </c>
      <c r="AB51" s="216" t="s">
        <v>340</v>
      </c>
    </row>
    <row r="52" spans="1:28" x14ac:dyDescent="0.15">
      <c r="A52" s="216" t="s">
        <v>34</v>
      </c>
      <c r="B52" s="208" t="s">
        <v>338</v>
      </c>
      <c r="C52" s="208">
        <v>2018</v>
      </c>
      <c r="D52" s="250" t="s">
        <v>518</v>
      </c>
      <c r="E52" s="237" t="s">
        <v>285</v>
      </c>
      <c r="F52" s="237" t="s">
        <v>321</v>
      </c>
      <c r="G52" s="216" t="s">
        <v>36</v>
      </c>
      <c r="H52" s="208" t="s">
        <v>165</v>
      </c>
      <c r="I52" s="216" t="s">
        <v>155</v>
      </c>
      <c r="J52" s="216" t="s">
        <v>38</v>
      </c>
      <c r="K52" s="216" t="s">
        <v>156</v>
      </c>
      <c r="L52" s="208">
        <v>3</v>
      </c>
      <c r="N52" s="208">
        <v>1</v>
      </c>
      <c r="O52" s="208">
        <v>0.6</v>
      </c>
      <c r="P52" s="208">
        <v>0.65</v>
      </c>
      <c r="Q52" s="245">
        <f t="shared" si="0"/>
        <v>0.625</v>
      </c>
      <c r="R52" s="208">
        <v>15.2</v>
      </c>
      <c r="S52" s="208">
        <v>135</v>
      </c>
      <c r="T52" s="217">
        <f t="shared" si="1"/>
        <v>30</v>
      </c>
      <c r="U52" s="208">
        <v>105</v>
      </c>
      <c r="V52" s="217">
        <f t="shared" si="2"/>
        <v>3150</v>
      </c>
      <c r="W52" s="208">
        <v>2</v>
      </c>
      <c r="X52" s="216" t="s">
        <v>46</v>
      </c>
      <c r="Y52" s="216" t="s">
        <v>69</v>
      </c>
      <c r="Z52" s="216" t="s">
        <v>97</v>
      </c>
      <c r="AA52" s="216" t="s">
        <v>88</v>
      </c>
      <c r="AB52" s="216" t="s">
        <v>340</v>
      </c>
    </row>
    <row r="53" spans="1:28" x14ac:dyDescent="0.15">
      <c r="A53" s="216" t="s">
        <v>34</v>
      </c>
      <c r="B53" s="208" t="s">
        <v>338</v>
      </c>
      <c r="C53" s="208">
        <v>2018</v>
      </c>
      <c r="D53" s="250" t="s">
        <v>518</v>
      </c>
      <c r="E53" s="237" t="s">
        <v>322</v>
      </c>
      <c r="F53" s="237" t="s">
        <v>323</v>
      </c>
      <c r="G53" s="216" t="s">
        <v>36</v>
      </c>
      <c r="H53" s="208" t="s">
        <v>157</v>
      </c>
      <c r="I53" s="216" t="s">
        <v>155</v>
      </c>
      <c r="J53" s="216" t="s">
        <v>38</v>
      </c>
      <c r="K53" s="216" t="s">
        <v>156</v>
      </c>
      <c r="L53" s="216">
        <v>1</v>
      </c>
      <c r="N53" s="208">
        <v>1</v>
      </c>
      <c r="O53" s="208">
        <v>0.85</v>
      </c>
      <c r="P53" s="208">
        <v>0.8</v>
      </c>
      <c r="Q53" s="245">
        <f t="shared" si="0"/>
        <v>0.82499999999999996</v>
      </c>
      <c r="R53" s="208">
        <v>17.3</v>
      </c>
      <c r="S53" s="208">
        <v>125</v>
      </c>
      <c r="T53" s="217">
        <f t="shared" si="1"/>
        <v>30</v>
      </c>
      <c r="U53" s="208">
        <v>138</v>
      </c>
      <c r="V53" s="217">
        <f t="shared" si="2"/>
        <v>4140</v>
      </c>
      <c r="W53" s="208">
        <v>4</v>
      </c>
      <c r="X53" s="216" t="s">
        <v>46</v>
      </c>
      <c r="Y53" s="216" t="s">
        <v>69</v>
      </c>
      <c r="Z53" s="216" t="s">
        <v>55</v>
      </c>
      <c r="AA53" s="216" t="s">
        <v>88</v>
      </c>
      <c r="AB53" s="216" t="s">
        <v>340</v>
      </c>
    </row>
    <row r="54" spans="1:28" x14ac:dyDescent="0.15">
      <c r="A54" s="216" t="s">
        <v>34</v>
      </c>
      <c r="B54" s="208" t="s">
        <v>338</v>
      </c>
      <c r="C54" s="208">
        <v>2018</v>
      </c>
      <c r="D54" s="250" t="s">
        <v>518</v>
      </c>
      <c r="E54" s="237" t="s">
        <v>322</v>
      </c>
      <c r="F54" s="237" t="s">
        <v>323</v>
      </c>
      <c r="G54" s="216" t="s">
        <v>36</v>
      </c>
      <c r="H54" s="208" t="s">
        <v>157</v>
      </c>
      <c r="I54" s="216" t="s">
        <v>155</v>
      </c>
      <c r="J54" s="216" t="s">
        <v>38</v>
      </c>
      <c r="K54" s="216" t="s">
        <v>156</v>
      </c>
      <c r="L54" s="208">
        <v>2</v>
      </c>
      <c r="N54" s="208">
        <v>1</v>
      </c>
      <c r="O54" s="208">
        <v>0.85</v>
      </c>
      <c r="P54" s="208">
        <v>0.9</v>
      </c>
      <c r="Q54" s="245">
        <f t="shared" si="0"/>
        <v>0.875</v>
      </c>
      <c r="R54" s="208">
        <v>14.2</v>
      </c>
      <c r="S54" s="208">
        <v>133</v>
      </c>
      <c r="T54" s="217">
        <f t="shared" si="1"/>
        <v>30</v>
      </c>
      <c r="U54" s="208">
        <v>138</v>
      </c>
      <c r="V54" s="217">
        <f t="shared" si="2"/>
        <v>4140</v>
      </c>
      <c r="W54" s="208">
        <v>4</v>
      </c>
      <c r="X54" s="216" t="s">
        <v>46</v>
      </c>
      <c r="Y54" s="216" t="s">
        <v>69</v>
      </c>
      <c r="Z54" s="216" t="s">
        <v>55</v>
      </c>
      <c r="AA54" s="216" t="s">
        <v>88</v>
      </c>
      <c r="AB54" s="216" t="s">
        <v>340</v>
      </c>
    </row>
    <row r="55" spans="1:28" x14ac:dyDescent="0.15">
      <c r="A55" s="216" t="s">
        <v>34</v>
      </c>
      <c r="B55" s="208" t="s">
        <v>338</v>
      </c>
      <c r="C55" s="208">
        <v>2018</v>
      </c>
      <c r="D55" s="250" t="s">
        <v>518</v>
      </c>
      <c r="E55" s="237" t="s">
        <v>322</v>
      </c>
      <c r="F55" s="237" t="s">
        <v>323</v>
      </c>
      <c r="G55" s="216" t="s">
        <v>36</v>
      </c>
      <c r="H55" s="208" t="s">
        <v>157</v>
      </c>
      <c r="I55" s="216" t="s">
        <v>155</v>
      </c>
      <c r="J55" s="216" t="s">
        <v>38</v>
      </c>
      <c r="K55" s="216" t="s">
        <v>156</v>
      </c>
      <c r="L55" s="208">
        <v>3</v>
      </c>
      <c r="N55" s="208">
        <v>1</v>
      </c>
      <c r="O55" s="208">
        <v>0.65</v>
      </c>
      <c r="P55" s="208">
        <v>0.45</v>
      </c>
      <c r="Q55" s="245">
        <f t="shared" si="0"/>
        <v>0.55000000000000004</v>
      </c>
      <c r="R55" s="208">
        <v>14.5</v>
      </c>
      <c r="S55" s="208">
        <v>87</v>
      </c>
      <c r="T55" s="217">
        <f t="shared" si="1"/>
        <v>36</v>
      </c>
      <c r="U55" s="208">
        <v>138</v>
      </c>
      <c r="V55" s="217">
        <f t="shared" si="2"/>
        <v>4968</v>
      </c>
      <c r="W55" s="208">
        <v>4</v>
      </c>
      <c r="X55" s="216" t="s">
        <v>46</v>
      </c>
      <c r="Y55" s="216" t="s">
        <v>69</v>
      </c>
      <c r="Z55" s="216" t="s">
        <v>55</v>
      </c>
      <c r="AA55" s="216" t="s">
        <v>88</v>
      </c>
      <c r="AB55" s="216" t="s">
        <v>340</v>
      </c>
    </row>
    <row r="56" spans="1:28" x14ac:dyDescent="0.15">
      <c r="A56" s="216" t="s">
        <v>34</v>
      </c>
      <c r="B56" s="208" t="s">
        <v>338</v>
      </c>
      <c r="C56" s="208">
        <v>2018</v>
      </c>
      <c r="D56" s="250" t="s">
        <v>518</v>
      </c>
      <c r="E56" s="237" t="s">
        <v>322</v>
      </c>
      <c r="F56" s="237" t="s">
        <v>323</v>
      </c>
      <c r="G56" s="216" t="s">
        <v>36</v>
      </c>
      <c r="H56" s="208" t="s">
        <v>157</v>
      </c>
      <c r="I56" s="216" t="s">
        <v>155</v>
      </c>
      <c r="J56" s="216" t="s">
        <v>38</v>
      </c>
      <c r="K56" s="216" t="s">
        <v>156</v>
      </c>
      <c r="L56" s="216">
        <v>1</v>
      </c>
      <c r="N56" s="208">
        <v>5</v>
      </c>
      <c r="O56" s="208">
        <v>0.2</v>
      </c>
      <c r="P56" s="208">
        <v>0.2</v>
      </c>
      <c r="Q56" s="245">
        <f t="shared" si="0"/>
        <v>0.2</v>
      </c>
      <c r="R56" s="208">
        <v>18.5</v>
      </c>
      <c r="S56" s="208">
        <v>98</v>
      </c>
      <c r="T56" s="217">
        <f t="shared" si="1"/>
        <v>36</v>
      </c>
      <c r="U56" s="208">
        <v>430</v>
      </c>
      <c r="V56" s="217">
        <f t="shared" si="2"/>
        <v>3096</v>
      </c>
      <c r="W56" s="208">
        <v>4</v>
      </c>
      <c r="X56" s="216" t="s">
        <v>46</v>
      </c>
      <c r="Y56" s="216" t="s">
        <v>69</v>
      </c>
      <c r="Z56" s="216" t="s">
        <v>55</v>
      </c>
      <c r="AA56" s="216" t="s">
        <v>88</v>
      </c>
      <c r="AB56" s="216" t="s">
        <v>340</v>
      </c>
    </row>
    <row r="57" spans="1:28" x14ac:dyDescent="0.15">
      <c r="A57" s="216" t="s">
        <v>34</v>
      </c>
      <c r="B57" s="208" t="s">
        <v>338</v>
      </c>
      <c r="C57" s="208">
        <v>2018</v>
      </c>
      <c r="D57" s="250" t="s">
        <v>518</v>
      </c>
      <c r="E57" s="237" t="s">
        <v>322</v>
      </c>
      <c r="F57" s="237" t="s">
        <v>323</v>
      </c>
      <c r="G57" s="216" t="s">
        <v>36</v>
      </c>
      <c r="H57" s="208" t="s">
        <v>157</v>
      </c>
      <c r="I57" s="216" t="s">
        <v>155</v>
      </c>
      <c r="J57" s="216" t="s">
        <v>38</v>
      </c>
      <c r="K57" s="216" t="s">
        <v>156</v>
      </c>
      <c r="L57" s="208">
        <v>2</v>
      </c>
      <c r="N57" s="208">
        <v>5</v>
      </c>
      <c r="O57" s="208">
        <v>0.45</v>
      </c>
      <c r="P57" s="208">
        <v>0.2</v>
      </c>
      <c r="Q57" s="245">
        <f t="shared" si="0"/>
        <v>0.32500000000000001</v>
      </c>
      <c r="R57" s="208">
        <v>16.5</v>
      </c>
      <c r="S57" s="208">
        <v>97</v>
      </c>
      <c r="T57" s="217">
        <f t="shared" si="1"/>
        <v>36</v>
      </c>
      <c r="U57" s="208">
        <v>430</v>
      </c>
      <c r="V57" s="217">
        <f t="shared" si="2"/>
        <v>3096</v>
      </c>
      <c r="W57" s="208">
        <v>4</v>
      </c>
      <c r="X57" s="216" t="s">
        <v>46</v>
      </c>
      <c r="Y57" s="216" t="s">
        <v>69</v>
      </c>
      <c r="Z57" s="216" t="s">
        <v>55</v>
      </c>
      <c r="AA57" s="216" t="s">
        <v>88</v>
      </c>
      <c r="AB57" s="216" t="s">
        <v>340</v>
      </c>
    </row>
    <row r="58" spans="1:28" x14ac:dyDescent="0.15">
      <c r="A58" s="216" t="s">
        <v>34</v>
      </c>
      <c r="B58" s="208" t="s">
        <v>338</v>
      </c>
      <c r="C58" s="208">
        <v>2018</v>
      </c>
      <c r="D58" s="250" t="s">
        <v>518</v>
      </c>
      <c r="E58" s="237" t="s">
        <v>322</v>
      </c>
      <c r="F58" s="237" t="s">
        <v>323</v>
      </c>
      <c r="G58" s="216" t="s">
        <v>36</v>
      </c>
      <c r="H58" s="208" t="s">
        <v>157</v>
      </c>
      <c r="I58" s="216" t="s">
        <v>155</v>
      </c>
      <c r="J58" s="216" t="s">
        <v>38</v>
      </c>
      <c r="K58" s="216" t="s">
        <v>156</v>
      </c>
      <c r="L58" s="208">
        <v>3</v>
      </c>
      <c r="N58" s="208">
        <v>5</v>
      </c>
      <c r="O58" s="208">
        <v>0.55000000000000004</v>
      </c>
      <c r="P58" s="208">
        <v>0.45</v>
      </c>
      <c r="Q58" s="245">
        <f t="shared" si="0"/>
        <v>0.5</v>
      </c>
      <c r="R58" s="208">
        <v>16</v>
      </c>
      <c r="S58" s="208">
        <v>105</v>
      </c>
      <c r="T58" s="217">
        <f t="shared" si="1"/>
        <v>33</v>
      </c>
      <c r="U58" s="208">
        <v>430</v>
      </c>
      <c r="V58" s="217">
        <f t="shared" si="2"/>
        <v>2838</v>
      </c>
      <c r="W58" s="208">
        <v>4</v>
      </c>
      <c r="X58" s="216" t="s">
        <v>46</v>
      </c>
      <c r="Y58" s="216" t="s">
        <v>69</v>
      </c>
      <c r="Z58" s="216" t="s">
        <v>55</v>
      </c>
      <c r="AA58" s="216" t="s">
        <v>88</v>
      </c>
      <c r="AB58" s="216" t="s">
        <v>340</v>
      </c>
    </row>
    <row r="59" spans="1:28" x14ac:dyDescent="0.15">
      <c r="A59" s="216" t="s">
        <v>34</v>
      </c>
      <c r="B59" s="208" t="s">
        <v>338</v>
      </c>
      <c r="C59" s="208">
        <v>2018</v>
      </c>
      <c r="D59" s="250" t="s">
        <v>518</v>
      </c>
      <c r="E59" s="237" t="s">
        <v>322</v>
      </c>
      <c r="F59" s="237" t="s">
        <v>323</v>
      </c>
      <c r="G59" s="216" t="s">
        <v>36</v>
      </c>
      <c r="H59" s="208" t="s">
        <v>165</v>
      </c>
      <c r="I59" s="216" t="s">
        <v>158</v>
      </c>
      <c r="J59" s="216" t="s">
        <v>38</v>
      </c>
      <c r="K59" s="216" t="s">
        <v>156</v>
      </c>
      <c r="L59" s="216">
        <v>1</v>
      </c>
      <c r="N59" s="208">
        <v>1</v>
      </c>
      <c r="O59" s="208">
        <v>0.7</v>
      </c>
      <c r="P59" s="208">
        <v>0.2</v>
      </c>
      <c r="Q59" s="245">
        <f t="shared" si="0"/>
        <v>0.44999999999999996</v>
      </c>
      <c r="R59" s="208">
        <v>14.1</v>
      </c>
      <c r="S59" s="208">
        <v>124</v>
      </c>
      <c r="T59" s="217">
        <f t="shared" si="1"/>
        <v>30</v>
      </c>
      <c r="U59" s="208">
        <v>171</v>
      </c>
      <c r="V59" s="217">
        <f t="shared" si="2"/>
        <v>5130</v>
      </c>
      <c r="W59" s="208">
        <v>2</v>
      </c>
      <c r="X59" s="216" t="s">
        <v>46</v>
      </c>
      <c r="Y59" s="216" t="s">
        <v>69</v>
      </c>
      <c r="Z59" s="216" t="s">
        <v>55</v>
      </c>
      <c r="AA59" s="216" t="s">
        <v>88</v>
      </c>
      <c r="AB59" s="216" t="s">
        <v>340</v>
      </c>
    </row>
    <row r="60" spans="1:28" x14ac:dyDescent="0.15">
      <c r="A60" s="216" t="s">
        <v>34</v>
      </c>
      <c r="B60" s="208" t="s">
        <v>338</v>
      </c>
      <c r="C60" s="208">
        <v>2018</v>
      </c>
      <c r="D60" s="250" t="s">
        <v>518</v>
      </c>
      <c r="E60" s="237" t="s">
        <v>322</v>
      </c>
      <c r="F60" s="237" t="s">
        <v>323</v>
      </c>
      <c r="G60" s="216" t="s">
        <v>36</v>
      </c>
      <c r="H60" s="208" t="s">
        <v>165</v>
      </c>
      <c r="I60" s="216" t="s">
        <v>158</v>
      </c>
      <c r="J60" s="216" t="s">
        <v>38</v>
      </c>
      <c r="K60" s="216" t="s">
        <v>156</v>
      </c>
      <c r="L60" s="208">
        <v>2</v>
      </c>
      <c r="N60" s="208">
        <v>1</v>
      </c>
      <c r="O60" s="208">
        <v>0.8</v>
      </c>
      <c r="P60" s="208">
        <v>0.2</v>
      </c>
      <c r="Q60" s="245">
        <f t="shared" si="0"/>
        <v>0.5</v>
      </c>
      <c r="R60" s="208">
        <v>13.7</v>
      </c>
      <c r="S60" s="208">
        <v>134</v>
      </c>
      <c r="T60" s="217">
        <f t="shared" si="1"/>
        <v>30</v>
      </c>
      <c r="U60" s="208">
        <v>171</v>
      </c>
      <c r="V60" s="217">
        <f t="shared" si="2"/>
        <v>5130</v>
      </c>
      <c r="W60" s="208">
        <v>2</v>
      </c>
      <c r="X60" s="216" t="s">
        <v>46</v>
      </c>
      <c r="Y60" s="216" t="s">
        <v>69</v>
      </c>
      <c r="Z60" s="216" t="s">
        <v>55</v>
      </c>
      <c r="AA60" s="216" t="s">
        <v>88</v>
      </c>
      <c r="AB60" s="216" t="s">
        <v>340</v>
      </c>
    </row>
    <row r="61" spans="1:28" x14ac:dyDescent="0.15">
      <c r="A61" s="216" t="s">
        <v>34</v>
      </c>
      <c r="B61" s="208" t="s">
        <v>338</v>
      </c>
      <c r="C61" s="208">
        <v>2018</v>
      </c>
      <c r="D61" s="250" t="s">
        <v>518</v>
      </c>
      <c r="E61" s="237" t="s">
        <v>322</v>
      </c>
      <c r="F61" s="237" t="s">
        <v>323</v>
      </c>
      <c r="G61" s="216" t="s">
        <v>36</v>
      </c>
      <c r="H61" s="208" t="s">
        <v>165</v>
      </c>
      <c r="I61" s="216" t="s">
        <v>158</v>
      </c>
      <c r="J61" s="216" t="s">
        <v>38</v>
      </c>
      <c r="K61" s="216" t="s">
        <v>156</v>
      </c>
      <c r="L61" s="208">
        <v>3</v>
      </c>
      <c r="N61" s="208">
        <v>1</v>
      </c>
      <c r="O61" s="208">
        <v>1</v>
      </c>
      <c r="P61" s="208">
        <v>0.2</v>
      </c>
      <c r="Q61" s="245">
        <f t="shared" si="0"/>
        <v>0.6</v>
      </c>
      <c r="R61" s="208">
        <v>14.8</v>
      </c>
      <c r="S61" s="208">
        <v>129</v>
      </c>
      <c r="T61" s="217">
        <f t="shared" si="1"/>
        <v>30</v>
      </c>
      <c r="U61" s="208">
        <v>171</v>
      </c>
      <c r="V61" s="217">
        <f t="shared" si="2"/>
        <v>5130</v>
      </c>
      <c r="W61" s="208">
        <v>2</v>
      </c>
      <c r="X61" s="216" t="s">
        <v>46</v>
      </c>
      <c r="Y61" s="216" t="s">
        <v>69</v>
      </c>
      <c r="Z61" s="216" t="s">
        <v>55</v>
      </c>
      <c r="AA61" s="216" t="s">
        <v>88</v>
      </c>
      <c r="AB61" s="216" t="s">
        <v>340</v>
      </c>
    </row>
    <row r="62" spans="1:28" x14ac:dyDescent="0.15">
      <c r="A62" s="216" t="s">
        <v>34</v>
      </c>
      <c r="B62" s="208" t="s">
        <v>338</v>
      </c>
      <c r="C62" s="208">
        <v>2018</v>
      </c>
      <c r="D62" s="250" t="s">
        <v>518</v>
      </c>
      <c r="E62" s="237" t="s">
        <v>324</v>
      </c>
      <c r="F62" s="237" t="s">
        <v>325</v>
      </c>
      <c r="G62" s="216" t="s">
        <v>36</v>
      </c>
      <c r="H62" s="208" t="s">
        <v>157</v>
      </c>
      <c r="I62" s="216" t="s">
        <v>155</v>
      </c>
      <c r="J62" s="216" t="s">
        <v>38</v>
      </c>
      <c r="K62" s="216" t="s">
        <v>156</v>
      </c>
      <c r="L62" s="216">
        <v>1</v>
      </c>
      <c r="N62" s="208">
        <v>1</v>
      </c>
      <c r="O62" s="208">
        <v>0.75</v>
      </c>
      <c r="P62" s="208">
        <v>1.05</v>
      </c>
      <c r="Q62" s="245">
        <f t="shared" si="0"/>
        <v>0.9</v>
      </c>
      <c r="R62" s="208">
        <v>14.5</v>
      </c>
      <c r="S62" s="208">
        <v>143</v>
      </c>
      <c r="T62" s="217">
        <f t="shared" si="1"/>
        <v>30</v>
      </c>
      <c r="U62" s="208">
        <v>108</v>
      </c>
      <c r="V62" s="217">
        <f t="shared" si="2"/>
        <v>3240</v>
      </c>
      <c r="W62" s="208">
        <v>6</v>
      </c>
      <c r="X62" s="216" t="s">
        <v>46</v>
      </c>
      <c r="Y62" s="216" t="s">
        <v>88</v>
      </c>
      <c r="Z62" s="216" t="s">
        <v>102</v>
      </c>
      <c r="AA62" s="216" t="s">
        <v>55</v>
      </c>
      <c r="AB62" s="216" t="s">
        <v>340</v>
      </c>
    </row>
    <row r="63" spans="1:28" x14ac:dyDescent="0.15">
      <c r="A63" s="216" t="s">
        <v>34</v>
      </c>
      <c r="B63" s="208" t="s">
        <v>338</v>
      </c>
      <c r="C63" s="208">
        <v>2018</v>
      </c>
      <c r="D63" s="250" t="s">
        <v>518</v>
      </c>
      <c r="E63" s="237" t="s">
        <v>324</v>
      </c>
      <c r="F63" s="237" t="s">
        <v>325</v>
      </c>
      <c r="G63" s="216" t="s">
        <v>36</v>
      </c>
      <c r="H63" s="208" t="s">
        <v>157</v>
      </c>
      <c r="I63" s="216" t="s">
        <v>155</v>
      </c>
      <c r="J63" s="216" t="s">
        <v>38</v>
      </c>
      <c r="K63" s="216" t="s">
        <v>156</v>
      </c>
      <c r="L63" s="208">
        <v>2</v>
      </c>
      <c r="N63" s="208">
        <v>1</v>
      </c>
      <c r="O63" s="208">
        <v>0.65</v>
      </c>
      <c r="P63" s="208">
        <v>0.9</v>
      </c>
      <c r="Q63" s="245">
        <f t="shared" si="0"/>
        <v>0.77500000000000002</v>
      </c>
      <c r="R63" s="208">
        <v>14</v>
      </c>
      <c r="S63" s="208">
        <v>147</v>
      </c>
      <c r="T63" s="217">
        <f t="shared" si="1"/>
        <v>30</v>
      </c>
      <c r="U63" s="208">
        <v>108</v>
      </c>
      <c r="V63" s="217">
        <f t="shared" si="2"/>
        <v>3240</v>
      </c>
      <c r="W63" s="208">
        <v>6</v>
      </c>
      <c r="X63" s="216" t="s">
        <v>46</v>
      </c>
      <c r="Y63" s="216" t="s">
        <v>88</v>
      </c>
      <c r="Z63" s="216" t="s">
        <v>102</v>
      </c>
      <c r="AA63" s="216" t="s">
        <v>55</v>
      </c>
      <c r="AB63" s="216" t="s">
        <v>340</v>
      </c>
    </row>
    <row r="64" spans="1:28" x14ac:dyDescent="0.15">
      <c r="A64" s="216" t="s">
        <v>34</v>
      </c>
      <c r="B64" s="208" t="s">
        <v>338</v>
      </c>
      <c r="C64" s="208">
        <v>2018</v>
      </c>
      <c r="D64" s="250" t="s">
        <v>518</v>
      </c>
      <c r="E64" s="237" t="s">
        <v>324</v>
      </c>
      <c r="F64" s="237" t="s">
        <v>325</v>
      </c>
      <c r="G64" s="216" t="s">
        <v>36</v>
      </c>
      <c r="H64" s="208" t="s">
        <v>157</v>
      </c>
      <c r="I64" s="216" t="s">
        <v>155</v>
      </c>
      <c r="J64" s="216" t="s">
        <v>38</v>
      </c>
      <c r="K64" s="216" t="s">
        <v>156</v>
      </c>
      <c r="L64" s="208">
        <v>3</v>
      </c>
      <c r="N64" s="208">
        <v>1</v>
      </c>
      <c r="O64" s="208">
        <v>0.65</v>
      </c>
      <c r="P64" s="208">
        <v>0.6</v>
      </c>
      <c r="Q64" s="245">
        <f t="shared" si="0"/>
        <v>0.625</v>
      </c>
      <c r="R64" s="208">
        <v>14</v>
      </c>
      <c r="S64" s="208">
        <v>139</v>
      </c>
      <c r="T64" s="217">
        <f t="shared" si="1"/>
        <v>30</v>
      </c>
      <c r="U64" s="208">
        <v>108</v>
      </c>
      <c r="V64" s="217">
        <f t="shared" si="2"/>
        <v>3240</v>
      </c>
      <c r="W64" s="208">
        <v>6</v>
      </c>
      <c r="X64" s="216" t="s">
        <v>46</v>
      </c>
      <c r="Y64" s="216" t="s">
        <v>88</v>
      </c>
      <c r="Z64" s="216" t="s">
        <v>102</v>
      </c>
      <c r="AA64" s="216" t="s">
        <v>55</v>
      </c>
      <c r="AB64" s="216" t="s">
        <v>340</v>
      </c>
    </row>
    <row r="65" spans="1:28" x14ac:dyDescent="0.15">
      <c r="A65" s="216" t="s">
        <v>34</v>
      </c>
      <c r="B65" s="208" t="s">
        <v>338</v>
      </c>
      <c r="C65" s="208">
        <v>2018</v>
      </c>
      <c r="D65" s="250" t="s">
        <v>518</v>
      </c>
      <c r="E65" s="237" t="s">
        <v>324</v>
      </c>
      <c r="F65" s="237" t="s">
        <v>325</v>
      </c>
      <c r="G65" s="216" t="s">
        <v>36</v>
      </c>
      <c r="H65" s="208" t="s">
        <v>157</v>
      </c>
      <c r="I65" s="216" t="s">
        <v>155</v>
      </c>
      <c r="J65" s="216" t="s">
        <v>38</v>
      </c>
      <c r="K65" s="216" t="s">
        <v>156</v>
      </c>
      <c r="L65" s="216">
        <v>1</v>
      </c>
      <c r="N65" s="208">
        <v>4</v>
      </c>
      <c r="O65" s="208">
        <v>0.2</v>
      </c>
      <c r="P65" s="208">
        <v>0.5</v>
      </c>
      <c r="Q65" s="245">
        <f t="shared" si="0"/>
        <v>0.35</v>
      </c>
      <c r="R65" s="208">
        <v>13.8</v>
      </c>
      <c r="S65" s="208">
        <v>94</v>
      </c>
      <c r="T65" s="217">
        <f t="shared" si="1"/>
        <v>36</v>
      </c>
      <c r="U65" s="208">
        <v>321</v>
      </c>
      <c r="V65" s="217">
        <f t="shared" si="2"/>
        <v>2889</v>
      </c>
      <c r="W65" s="208">
        <v>6</v>
      </c>
      <c r="X65" s="216" t="s">
        <v>46</v>
      </c>
      <c r="Y65" s="216" t="s">
        <v>88</v>
      </c>
      <c r="Z65" s="216" t="s">
        <v>102</v>
      </c>
      <c r="AA65" s="216" t="s">
        <v>55</v>
      </c>
      <c r="AB65" s="216" t="s">
        <v>340</v>
      </c>
    </row>
    <row r="66" spans="1:28" x14ac:dyDescent="0.15">
      <c r="A66" s="216" t="s">
        <v>34</v>
      </c>
      <c r="B66" s="208" t="s">
        <v>338</v>
      </c>
      <c r="C66" s="208">
        <v>2018</v>
      </c>
      <c r="D66" s="250" t="s">
        <v>518</v>
      </c>
      <c r="E66" s="237" t="s">
        <v>324</v>
      </c>
      <c r="F66" s="237" t="s">
        <v>325</v>
      </c>
      <c r="G66" s="216" t="s">
        <v>36</v>
      </c>
      <c r="H66" s="208" t="s">
        <v>157</v>
      </c>
      <c r="I66" s="216" t="s">
        <v>155</v>
      </c>
      <c r="J66" s="216" t="s">
        <v>38</v>
      </c>
      <c r="K66" s="216" t="s">
        <v>156</v>
      </c>
      <c r="L66" s="208">
        <v>2</v>
      </c>
      <c r="N66" s="208">
        <v>4</v>
      </c>
      <c r="O66" s="208">
        <v>0.2</v>
      </c>
      <c r="P66" s="208">
        <v>0.55000000000000004</v>
      </c>
      <c r="Q66" s="245">
        <f t="shared" si="0"/>
        <v>0.375</v>
      </c>
      <c r="R66" s="208">
        <v>12.1</v>
      </c>
      <c r="S66" s="208">
        <v>88</v>
      </c>
      <c r="T66" s="217">
        <f t="shared" si="1"/>
        <v>36</v>
      </c>
      <c r="U66" s="208">
        <v>321</v>
      </c>
      <c r="V66" s="217">
        <f t="shared" si="2"/>
        <v>2889</v>
      </c>
      <c r="W66" s="208">
        <v>6</v>
      </c>
      <c r="X66" s="216" t="s">
        <v>46</v>
      </c>
      <c r="Y66" s="216" t="s">
        <v>88</v>
      </c>
      <c r="Z66" s="216" t="s">
        <v>102</v>
      </c>
      <c r="AA66" s="216" t="s">
        <v>55</v>
      </c>
      <c r="AB66" s="216" t="s">
        <v>340</v>
      </c>
    </row>
    <row r="67" spans="1:28" x14ac:dyDescent="0.15">
      <c r="A67" s="216" t="s">
        <v>34</v>
      </c>
      <c r="B67" s="208" t="s">
        <v>338</v>
      </c>
      <c r="C67" s="208">
        <v>2018</v>
      </c>
      <c r="D67" s="250" t="s">
        <v>518</v>
      </c>
      <c r="E67" s="237" t="s">
        <v>324</v>
      </c>
      <c r="F67" s="237" t="s">
        <v>325</v>
      </c>
      <c r="G67" s="216" t="s">
        <v>36</v>
      </c>
      <c r="H67" s="208" t="s">
        <v>157</v>
      </c>
      <c r="I67" s="216" t="s">
        <v>155</v>
      </c>
      <c r="J67" s="216" t="s">
        <v>38</v>
      </c>
      <c r="K67" s="216" t="s">
        <v>156</v>
      </c>
      <c r="L67" s="208">
        <v>3</v>
      </c>
      <c r="N67" s="208">
        <v>4</v>
      </c>
      <c r="O67" s="208">
        <v>0.2</v>
      </c>
      <c r="P67" s="208">
        <v>0.55000000000000004</v>
      </c>
      <c r="Q67" s="245">
        <f t="shared" si="0"/>
        <v>0.375</v>
      </c>
      <c r="R67" s="208">
        <v>14.3</v>
      </c>
      <c r="S67" s="208">
        <v>91</v>
      </c>
      <c r="T67" s="217">
        <f t="shared" si="1"/>
        <v>36</v>
      </c>
      <c r="U67" s="208">
        <v>321</v>
      </c>
      <c r="V67" s="217">
        <f t="shared" si="2"/>
        <v>2889</v>
      </c>
      <c r="W67" s="208">
        <v>6</v>
      </c>
      <c r="X67" s="216" t="s">
        <v>46</v>
      </c>
      <c r="Y67" s="216" t="s">
        <v>88</v>
      </c>
      <c r="Z67" s="216" t="s">
        <v>102</v>
      </c>
      <c r="AA67" s="216" t="s">
        <v>55</v>
      </c>
      <c r="AB67" s="216" t="s">
        <v>340</v>
      </c>
    </row>
    <row r="68" spans="1:28" x14ac:dyDescent="0.15">
      <c r="A68" s="216" t="s">
        <v>34</v>
      </c>
      <c r="B68" s="208" t="s">
        <v>338</v>
      </c>
      <c r="C68" s="208">
        <v>2018</v>
      </c>
      <c r="D68" s="250" t="s">
        <v>518</v>
      </c>
      <c r="E68" s="237" t="s">
        <v>324</v>
      </c>
      <c r="F68" s="237" t="s">
        <v>325</v>
      </c>
      <c r="G68" s="216" t="s">
        <v>36</v>
      </c>
      <c r="H68" s="208" t="s">
        <v>165</v>
      </c>
      <c r="I68" s="216" t="s">
        <v>155</v>
      </c>
      <c r="J68" s="216" t="s">
        <v>38</v>
      </c>
      <c r="K68" s="216" t="s">
        <v>156</v>
      </c>
      <c r="L68" s="216">
        <v>1</v>
      </c>
      <c r="N68" s="208">
        <v>1</v>
      </c>
      <c r="O68" s="208">
        <v>0.2</v>
      </c>
      <c r="P68" s="208">
        <v>1</v>
      </c>
      <c r="Q68" s="245">
        <f t="shared" si="0"/>
        <v>0.6</v>
      </c>
      <c r="R68" s="208">
        <v>15.8</v>
      </c>
      <c r="S68" s="208">
        <v>129</v>
      </c>
      <c r="T68" s="217">
        <f t="shared" si="1"/>
        <v>30</v>
      </c>
      <c r="U68" s="208">
        <v>108</v>
      </c>
      <c r="V68" s="217">
        <f t="shared" si="2"/>
        <v>3240</v>
      </c>
      <c r="W68" s="208">
        <v>5</v>
      </c>
      <c r="X68" s="216" t="s">
        <v>46</v>
      </c>
      <c r="Y68" s="216" t="s">
        <v>88</v>
      </c>
      <c r="Z68" s="216" t="s">
        <v>102</v>
      </c>
      <c r="AA68" s="216" t="s">
        <v>55</v>
      </c>
      <c r="AB68" s="216" t="s">
        <v>340</v>
      </c>
    </row>
    <row r="69" spans="1:28" x14ac:dyDescent="0.15">
      <c r="A69" s="216" t="s">
        <v>34</v>
      </c>
      <c r="B69" s="208" t="s">
        <v>338</v>
      </c>
      <c r="C69" s="208">
        <v>2018</v>
      </c>
      <c r="D69" s="250" t="s">
        <v>518</v>
      </c>
      <c r="E69" s="237" t="s">
        <v>324</v>
      </c>
      <c r="F69" s="237" t="s">
        <v>325</v>
      </c>
      <c r="G69" s="216" t="s">
        <v>36</v>
      </c>
      <c r="H69" s="208" t="s">
        <v>165</v>
      </c>
      <c r="I69" s="216" t="s">
        <v>155</v>
      </c>
      <c r="J69" s="216" t="s">
        <v>38</v>
      </c>
      <c r="K69" s="216" t="s">
        <v>156</v>
      </c>
      <c r="L69" s="208">
        <v>2</v>
      </c>
      <c r="N69" s="208">
        <v>1</v>
      </c>
      <c r="O69" s="208">
        <v>0.2</v>
      </c>
      <c r="P69" s="208">
        <v>0.75</v>
      </c>
      <c r="Q69" s="245">
        <f t="shared" si="0"/>
        <v>0.47499999999999998</v>
      </c>
      <c r="R69" s="208">
        <v>18.600000000000001</v>
      </c>
      <c r="S69" s="208">
        <v>126</v>
      </c>
      <c r="T69" s="217">
        <f t="shared" si="1"/>
        <v>30</v>
      </c>
      <c r="U69" s="208">
        <v>108</v>
      </c>
      <c r="V69" s="217">
        <f t="shared" si="2"/>
        <v>3240</v>
      </c>
      <c r="W69" s="208">
        <v>5</v>
      </c>
      <c r="X69" s="216" t="s">
        <v>46</v>
      </c>
      <c r="Y69" s="216" t="s">
        <v>88</v>
      </c>
      <c r="Z69" s="216" t="s">
        <v>102</v>
      </c>
      <c r="AA69" s="216" t="s">
        <v>55</v>
      </c>
      <c r="AB69" s="216" t="s">
        <v>340</v>
      </c>
    </row>
    <row r="70" spans="1:28" x14ac:dyDescent="0.15">
      <c r="A70" s="216" t="s">
        <v>34</v>
      </c>
      <c r="B70" s="208" t="s">
        <v>338</v>
      </c>
      <c r="C70" s="208">
        <v>2018</v>
      </c>
      <c r="D70" s="250" t="s">
        <v>518</v>
      </c>
      <c r="E70" s="237" t="s">
        <v>324</v>
      </c>
      <c r="F70" s="237" t="s">
        <v>325</v>
      </c>
      <c r="G70" s="216" t="s">
        <v>36</v>
      </c>
      <c r="H70" s="208" t="s">
        <v>165</v>
      </c>
      <c r="I70" s="216" t="s">
        <v>155</v>
      </c>
      <c r="J70" s="216" t="s">
        <v>38</v>
      </c>
      <c r="K70" s="216" t="s">
        <v>156</v>
      </c>
      <c r="L70" s="208">
        <v>3</v>
      </c>
      <c r="N70" s="208">
        <v>1</v>
      </c>
      <c r="O70" s="208">
        <v>0.2</v>
      </c>
      <c r="P70" s="208">
        <v>1.1000000000000001</v>
      </c>
      <c r="Q70" s="245">
        <f t="shared" si="0"/>
        <v>0.65</v>
      </c>
      <c r="R70" s="208">
        <v>18.600000000000001</v>
      </c>
      <c r="S70" s="208">
        <v>106</v>
      </c>
      <c r="T70" s="217">
        <f t="shared" si="1"/>
        <v>33</v>
      </c>
      <c r="U70" s="208">
        <v>108</v>
      </c>
      <c r="V70" s="217">
        <f t="shared" si="2"/>
        <v>3564</v>
      </c>
      <c r="W70" s="208">
        <v>5</v>
      </c>
      <c r="X70" s="216" t="s">
        <v>46</v>
      </c>
      <c r="Y70" s="216" t="s">
        <v>88</v>
      </c>
      <c r="Z70" s="216" t="s">
        <v>102</v>
      </c>
      <c r="AA70" s="216" t="s">
        <v>55</v>
      </c>
      <c r="AB70" s="216" t="s">
        <v>340</v>
      </c>
    </row>
    <row r="71" spans="1:28" x14ac:dyDescent="0.15">
      <c r="A71" s="216" t="s">
        <v>34</v>
      </c>
      <c r="B71" s="208" t="s">
        <v>338</v>
      </c>
      <c r="C71" s="208">
        <v>2018</v>
      </c>
      <c r="D71" s="250" t="s">
        <v>518</v>
      </c>
      <c r="E71" s="237" t="s">
        <v>326</v>
      </c>
      <c r="F71" s="237" t="s">
        <v>327</v>
      </c>
      <c r="G71" s="216" t="s">
        <v>36</v>
      </c>
      <c r="H71" s="208" t="s">
        <v>157</v>
      </c>
      <c r="I71" s="216" t="s">
        <v>155</v>
      </c>
      <c r="J71" s="216" t="s">
        <v>38</v>
      </c>
      <c r="K71" s="216" t="s">
        <v>156</v>
      </c>
      <c r="L71" s="216">
        <v>1</v>
      </c>
      <c r="N71" s="208">
        <v>1</v>
      </c>
      <c r="O71" s="208">
        <v>0.7</v>
      </c>
      <c r="P71" s="208">
        <v>0.75</v>
      </c>
      <c r="Q71" s="245">
        <f t="shared" si="0"/>
        <v>0.72499999999999998</v>
      </c>
      <c r="R71" s="208">
        <v>13.2</v>
      </c>
      <c r="S71" s="208">
        <v>129</v>
      </c>
      <c r="T71" s="217">
        <f t="shared" si="1"/>
        <v>30</v>
      </c>
      <c r="U71" s="208">
        <v>108</v>
      </c>
      <c r="V71" s="217">
        <f t="shared" si="2"/>
        <v>3240</v>
      </c>
      <c r="W71" s="208">
        <v>5</v>
      </c>
      <c r="X71" s="216" t="s">
        <v>46</v>
      </c>
      <c r="Y71" s="216" t="s">
        <v>69</v>
      </c>
      <c r="Z71" s="216" t="s">
        <v>102</v>
      </c>
      <c r="AA71" s="216" t="s">
        <v>55</v>
      </c>
      <c r="AB71" s="216" t="s">
        <v>340</v>
      </c>
    </row>
    <row r="72" spans="1:28" x14ac:dyDescent="0.15">
      <c r="A72" s="216" t="s">
        <v>34</v>
      </c>
      <c r="B72" s="208" t="s">
        <v>338</v>
      </c>
      <c r="C72" s="208">
        <v>2018</v>
      </c>
      <c r="D72" s="250" t="s">
        <v>518</v>
      </c>
      <c r="E72" s="237" t="s">
        <v>326</v>
      </c>
      <c r="F72" s="237" t="s">
        <v>327</v>
      </c>
      <c r="G72" s="216" t="s">
        <v>36</v>
      </c>
      <c r="H72" s="208" t="s">
        <v>157</v>
      </c>
      <c r="I72" s="216" t="s">
        <v>155</v>
      </c>
      <c r="J72" s="216" t="s">
        <v>38</v>
      </c>
      <c r="K72" s="216" t="s">
        <v>156</v>
      </c>
      <c r="L72" s="208">
        <v>2</v>
      </c>
      <c r="N72" s="208">
        <v>1</v>
      </c>
      <c r="O72" s="208">
        <v>0.7</v>
      </c>
      <c r="P72" s="208">
        <v>0.85</v>
      </c>
      <c r="Q72" s="245">
        <f t="shared" si="0"/>
        <v>0.77499999999999991</v>
      </c>
      <c r="R72" s="208">
        <v>14.6</v>
      </c>
      <c r="S72" s="208">
        <v>133</v>
      </c>
      <c r="T72" s="217">
        <f t="shared" si="1"/>
        <v>30</v>
      </c>
      <c r="U72" s="208">
        <v>108</v>
      </c>
      <c r="V72" s="217">
        <f t="shared" si="2"/>
        <v>3240</v>
      </c>
      <c r="W72" s="208">
        <v>5</v>
      </c>
      <c r="X72" s="216" t="s">
        <v>46</v>
      </c>
      <c r="Y72" s="216" t="s">
        <v>69</v>
      </c>
      <c r="Z72" s="216" t="s">
        <v>102</v>
      </c>
      <c r="AA72" s="216" t="s">
        <v>55</v>
      </c>
      <c r="AB72" s="216" t="s">
        <v>340</v>
      </c>
    </row>
    <row r="73" spans="1:28" x14ac:dyDescent="0.15">
      <c r="A73" s="216" t="s">
        <v>34</v>
      </c>
      <c r="B73" s="208" t="s">
        <v>338</v>
      </c>
      <c r="C73" s="208">
        <v>2018</v>
      </c>
      <c r="D73" s="250" t="s">
        <v>518</v>
      </c>
      <c r="E73" s="237" t="s">
        <v>326</v>
      </c>
      <c r="F73" s="237" t="s">
        <v>327</v>
      </c>
      <c r="G73" s="216" t="s">
        <v>36</v>
      </c>
      <c r="H73" s="208" t="s">
        <v>157</v>
      </c>
      <c r="I73" s="216" t="s">
        <v>155</v>
      </c>
      <c r="J73" s="216" t="s">
        <v>38</v>
      </c>
      <c r="K73" s="216" t="s">
        <v>156</v>
      </c>
      <c r="L73" s="208">
        <v>3</v>
      </c>
      <c r="N73" s="208">
        <v>1</v>
      </c>
      <c r="O73" s="208">
        <v>0.7</v>
      </c>
      <c r="P73" s="208">
        <v>0.75</v>
      </c>
      <c r="Q73" s="245">
        <f t="shared" si="0"/>
        <v>0.72499999999999998</v>
      </c>
      <c r="R73" s="208">
        <v>14.7</v>
      </c>
      <c r="S73" s="208">
        <v>129</v>
      </c>
      <c r="T73" s="217">
        <f t="shared" si="1"/>
        <v>30</v>
      </c>
      <c r="U73" s="208">
        <v>108</v>
      </c>
      <c r="V73" s="217">
        <f t="shared" si="2"/>
        <v>3240</v>
      </c>
      <c r="W73" s="208">
        <v>5</v>
      </c>
      <c r="X73" s="216" t="s">
        <v>46</v>
      </c>
      <c r="Y73" s="216" t="s">
        <v>69</v>
      </c>
      <c r="Z73" s="216" t="s">
        <v>102</v>
      </c>
      <c r="AA73" s="216" t="s">
        <v>55</v>
      </c>
      <c r="AB73" s="216" t="s">
        <v>340</v>
      </c>
    </row>
    <row r="74" spans="1:28" x14ac:dyDescent="0.15">
      <c r="A74" s="216" t="s">
        <v>34</v>
      </c>
      <c r="B74" s="208" t="s">
        <v>338</v>
      </c>
      <c r="C74" s="208">
        <v>2018</v>
      </c>
      <c r="D74" s="250" t="s">
        <v>518</v>
      </c>
      <c r="E74" s="237" t="s">
        <v>326</v>
      </c>
      <c r="F74" s="237" t="s">
        <v>327</v>
      </c>
      <c r="G74" s="216" t="s">
        <v>36</v>
      </c>
      <c r="H74" s="208" t="s">
        <v>157</v>
      </c>
      <c r="I74" s="216" t="s">
        <v>155</v>
      </c>
      <c r="J74" s="216" t="s">
        <v>38</v>
      </c>
      <c r="K74" s="216" t="s">
        <v>156</v>
      </c>
      <c r="L74" s="216">
        <v>1</v>
      </c>
      <c r="N74" s="208">
        <v>4</v>
      </c>
      <c r="O74" s="208">
        <v>1.05</v>
      </c>
      <c r="P74" s="208">
        <v>0.95</v>
      </c>
      <c r="Q74" s="245">
        <f t="shared" si="0"/>
        <v>1</v>
      </c>
      <c r="R74" s="208">
        <v>10.9</v>
      </c>
      <c r="S74" s="208">
        <v>86</v>
      </c>
      <c r="T74" s="217">
        <f t="shared" si="1"/>
        <v>36</v>
      </c>
      <c r="U74" s="208">
        <v>430</v>
      </c>
      <c r="V74" s="217">
        <f t="shared" si="2"/>
        <v>3870</v>
      </c>
      <c r="W74" s="208">
        <v>5</v>
      </c>
      <c r="X74" s="216" t="s">
        <v>46</v>
      </c>
      <c r="Y74" s="216" t="s">
        <v>69</v>
      </c>
      <c r="Z74" s="216" t="s">
        <v>102</v>
      </c>
      <c r="AA74" s="216" t="s">
        <v>55</v>
      </c>
      <c r="AB74" s="216" t="s">
        <v>340</v>
      </c>
    </row>
    <row r="75" spans="1:28" x14ac:dyDescent="0.15">
      <c r="A75" s="216" t="s">
        <v>34</v>
      </c>
      <c r="B75" s="208" t="s">
        <v>338</v>
      </c>
      <c r="C75" s="208">
        <v>2018</v>
      </c>
      <c r="D75" s="250" t="s">
        <v>518</v>
      </c>
      <c r="E75" s="237" t="s">
        <v>326</v>
      </c>
      <c r="F75" s="237" t="s">
        <v>327</v>
      </c>
      <c r="G75" s="216" t="s">
        <v>36</v>
      </c>
      <c r="H75" s="208" t="s">
        <v>157</v>
      </c>
      <c r="I75" s="216" t="s">
        <v>155</v>
      </c>
      <c r="J75" s="216" t="s">
        <v>38</v>
      </c>
      <c r="K75" s="216" t="s">
        <v>156</v>
      </c>
      <c r="L75" s="208">
        <v>2</v>
      </c>
      <c r="N75" s="208">
        <v>4</v>
      </c>
      <c r="O75" s="208">
        <v>0.75</v>
      </c>
      <c r="P75" s="208">
        <v>0.85</v>
      </c>
      <c r="Q75" s="245">
        <f t="shared" si="0"/>
        <v>0.8</v>
      </c>
      <c r="R75" s="208">
        <v>11.1</v>
      </c>
      <c r="S75" s="208">
        <v>88</v>
      </c>
      <c r="T75" s="217">
        <f t="shared" si="1"/>
        <v>36</v>
      </c>
      <c r="U75" s="208">
        <v>430</v>
      </c>
      <c r="V75" s="217">
        <f t="shared" si="2"/>
        <v>3870</v>
      </c>
      <c r="W75" s="208">
        <v>5</v>
      </c>
      <c r="X75" s="216" t="s">
        <v>46</v>
      </c>
      <c r="Y75" s="216" t="s">
        <v>69</v>
      </c>
      <c r="Z75" s="216" t="s">
        <v>102</v>
      </c>
      <c r="AA75" s="216" t="s">
        <v>55</v>
      </c>
      <c r="AB75" s="216" t="s">
        <v>340</v>
      </c>
    </row>
    <row r="76" spans="1:28" x14ac:dyDescent="0.15">
      <c r="A76" s="216" t="s">
        <v>34</v>
      </c>
      <c r="B76" s="208" t="s">
        <v>338</v>
      </c>
      <c r="C76" s="208">
        <v>2018</v>
      </c>
      <c r="D76" s="250" t="s">
        <v>518</v>
      </c>
      <c r="E76" s="237" t="s">
        <v>326</v>
      </c>
      <c r="F76" s="237" t="s">
        <v>327</v>
      </c>
      <c r="G76" s="216" t="s">
        <v>36</v>
      </c>
      <c r="H76" s="208" t="s">
        <v>157</v>
      </c>
      <c r="I76" s="216" t="s">
        <v>155</v>
      </c>
      <c r="J76" s="216" t="s">
        <v>38</v>
      </c>
      <c r="K76" s="216" t="s">
        <v>156</v>
      </c>
      <c r="L76" s="208">
        <v>3</v>
      </c>
      <c r="N76" s="208">
        <v>4</v>
      </c>
      <c r="O76" s="208">
        <v>0.7</v>
      </c>
      <c r="P76" s="208">
        <v>0.7</v>
      </c>
      <c r="Q76" s="245">
        <f t="shared" si="0"/>
        <v>0.7</v>
      </c>
      <c r="R76" s="208">
        <v>13.3</v>
      </c>
      <c r="S76" s="208">
        <v>88</v>
      </c>
      <c r="T76" s="217">
        <f t="shared" si="1"/>
        <v>36</v>
      </c>
      <c r="U76" s="208">
        <v>430</v>
      </c>
      <c r="V76" s="217">
        <f t="shared" si="2"/>
        <v>3870</v>
      </c>
      <c r="W76" s="208">
        <v>5</v>
      </c>
      <c r="X76" s="216" t="s">
        <v>46</v>
      </c>
      <c r="Y76" s="216" t="s">
        <v>69</v>
      </c>
      <c r="Z76" s="216" t="s">
        <v>102</v>
      </c>
      <c r="AA76" s="216" t="s">
        <v>55</v>
      </c>
      <c r="AB76" s="216" t="s">
        <v>340</v>
      </c>
    </row>
    <row r="77" spans="1:28" x14ac:dyDescent="0.15">
      <c r="A77" s="216" t="s">
        <v>34</v>
      </c>
      <c r="B77" s="208" t="s">
        <v>338</v>
      </c>
      <c r="C77" s="208">
        <v>2018</v>
      </c>
      <c r="D77" s="250" t="s">
        <v>518</v>
      </c>
      <c r="E77" s="237" t="s">
        <v>326</v>
      </c>
      <c r="F77" s="237" t="s">
        <v>327</v>
      </c>
      <c r="G77" s="216" t="s">
        <v>36</v>
      </c>
      <c r="H77" s="208" t="s">
        <v>165</v>
      </c>
      <c r="I77" s="216" t="s">
        <v>155</v>
      </c>
      <c r="J77" s="216" t="s">
        <v>38</v>
      </c>
      <c r="K77" s="216" t="s">
        <v>156</v>
      </c>
      <c r="L77" s="216">
        <v>1</v>
      </c>
      <c r="N77" s="208">
        <v>1</v>
      </c>
      <c r="O77" s="208">
        <v>0.6</v>
      </c>
      <c r="P77" s="208">
        <v>0.65</v>
      </c>
      <c r="Q77" s="245">
        <f t="shared" si="0"/>
        <v>0.625</v>
      </c>
      <c r="R77" s="208">
        <v>14.5</v>
      </c>
      <c r="S77" s="208">
        <v>128</v>
      </c>
      <c r="T77" s="217">
        <f t="shared" si="1"/>
        <v>30</v>
      </c>
      <c r="U77" s="208">
        <v>139</v>
      </c>
      <c r="V77" s="217">
        <f t="shared" si="2"/>
        <v>4170</v>
      </c>
      <c r="W77" s="208">
        <v>5</v>
      </c>
      <c r="X77" s="216" t="s">
        <v>46</v>
      </c>
      <c r="Y77" s="216" t="s">
        <v>69</v>
      </c>
      <c r="Z77" s="216" t="s">
        <v>102</v>
      </c>
      <c r="AA77" s="216" t="s">
        <v>55</v>
      </c>
      <c r="AB77" s="216" t="s">
        <v>340</v>
      </c>
    </row>
    <row r="78" spans="1:28" x14ac:dyDescent="0.15">
      <c r="A78" s="216" t="s">
        <v>34</v>
      </c>
      <c r="B78" s="208" t="s">
        <v>338</v>
      </c>
      <c r="C78" s="208">
        <v>2018</v>
      </c>
      <c r="D78" s="250" t="s">
        <v>518</v>
      </c>
      <c r="E78" s="237" t="s">
        <v>326</v>
      </c>
      <c r="F78" s="237" t="s">
        <v>327</v>
      </c>
      <c r="G78" s="216" t="s">
        <v>36</v>
      </c>
      <c r="H78" s="208" t="s">
        <v>165</v>
      </c>
      <c r="I78" s="216" t="s">
        <v>155</v>
      </c>
      <c r="J78" s="216" t="s">
        <v>38</v>
      </c>
      <c r="K78" s="216" t="s">
        <v>156</v>
      </c>
      <c r="L78" s="208">
        <v>2</v>
      </c>
      <c r="N78" s="208">
        <v>1</v>
      </c>
      <c r="O78" s="208">
        <v>0.6</v>
      </c>
      <c r="P78" s="208">
        <v>0.6</v>
      </c>
      <c r="Q78" s="245">
        <f t="shared" si="0"/>
        <v>0.6</v>
      </c>
      <c r="R78" s="208">
        <v>15.2</v>
      </c>
      <c r="S78" s="208">
        <v>136</v>
      </c>
      <c r="T78" s="217">
        <f t="shared" si="1"/>
        <v>30</v>
      </c>
      <c r="U78" s="208">
        <v>139</v>
      </c>
      <c r="V78" s="217">
        <f t="shared" si="2"/>
        <v>4170</v>
      </c>
      <c r="W78" s="208">
        <v>5</v>
      </c>
      <c r="X78" s="216" t="s">
        <v>46</v>
      </c>
      <c r="Y78" s="216" t="s">
        <v>69</v>
      </c>
      <c r="Z78" s="216" t="s">
        <v>102</v>
      </c>
      <c r="AA78" s="216" t="s">
        <v>55</v>
      </c>
      <c r="AB78" s="216" t="s">
        <v>340</v>
      </c>
    </row>
    <row r="79" spans="1:28" x14ac:dyDescent="0.15">
      <c r="A79" s="216" t="s">
        <v>34</v>
      </c>
      <c r="B79" s="208" t="s">
        <v>338</v>
      </c>
      <c r="C79" s="208">
        <v>2018</v>
      </c>
      <c r="D79" s="250" t="s">
        <v>518</v>
      </c>
      <c r="E79" s="237" t="s">
        <v>326</v>
      </c>
      <c r="F79" s="237" t="s">
        <v>327</v>
      </c>
      <c r="G79" s="216" t="s">
        <v>36</v>
      </c>
      <c r="H79" s="208" t="s">
        <v>165</v>
      </c>
      <c r="I79" s="216" t="s">
        <v>155</v>
      </c>
      <c r="J79" s="216" t="s">
        <v>38</v>
      </c>
      <c r="K79" s="216" t="s">
        <v>156</v>
      </c>
      <c r="L79" s="208">
        <v>3</v>
      </c>
      <c r="N79" s="208">
        <v>1</v>
      </c>
      <c r="O79" s="208">
        <v>0.55000000000000004</v>
      </c>
      <c r="P79" s="208">
        <v>0.6</v>
      </c>
      <c r="Q79" s="245">
        <f t="shared" si="0"/>
        <v>0.57499999999999996</v>
      </c>
      <c r="R79" s="208">
        <v>15.1</v>
      </c>
      <c r="S79" s="208">
        <v>142</v>
      </c>
      <c r="T79" s="217">
        <f t="shared" si="1"/>
        <v>30</v>
      </c>
      <c r="U79" s="208">
        <v>139</v>
      </c>
      <c r="V79" s="217">
        <f t="shared" si="2"/>
        <v>4170</v>
      </c>
      <c r="W79" s="208">
        <v>5</v>
      </c>
      <c r="X79" s="216" t="s">
        <v>46</v>
      </c>
      <c r="Y79" s="216" t="s">
        <v>69</v>
      </c>
      <c r="Z79" s="216" t="s">
        <v>102</v>
      </c>
      <c r="AA79" s="216" t="s">
        <v>55</v>
      </c>
      <c r="AB79" s="216" t="s">
        <v>340</v>
      </c>
    </row>
    <row r="80" spans="1:28" x14ac:dyDescent="0.15">
      <c r="A80" s="216" t="s">
        <v>34</v>
      </c>
      <c r="B80" s="208" t="s">
        <v>338</v>
      </c>
      <c r="C80" s="208">
        <v>2018</v>
      </c>
      <c r="D80" s="250" t="s">
        <v>518</v>
      </c>
      <c r="E80" s="237" t="s">
        <v>328</v>
      </c>
      <c r="F80" s="237" t="s">
        <v>329</v>
      </c>
      <c r="G80" s="216" t="s">
        <v>36</v>
      </c>
      <c r="H80" s="208" t="s">
        <v>157</v>
      </c>
      <c r="I80" s="216" t="s">
        <v>155</v>
      </c>
      <c r="J80" s="216" t="s">
        <v>38</v>
      </c>
      <c r="K80" s="216" t="s">
        <v>156</v>
      </c>
      <c r="L80" s="216">
        <v>1</v>
      </c>
      <c r="N80" s="208">
        <v>1</v>
      </c>
      <c r="O80" s="208">
        <v>0.55000000000000004</v>
      </c>
      <c r="P80" s="208">
        <v>0.5</v>
      </c>
      <c r="Q80" s="245">
        <f t="shared" si="0"/>
        <v>0.52500000000000002</v>
      </c>
      <c r="R80" s="208">
        <v>10.4</v>
      </c>
      <c r="S80" s="208">
        <v>131</v>
      </c>
      <c r="T80" s="217">
        <f t="shared" si="1"/>
        <v>30</v>
      </c>
      <c r="U80" s="208">
        <v>149</v>
      </c>
      <c r="V80" s="217">
        <f t="shared" si="2"/>
        <v>4470</v>
      </c>
      <c r="W80" s="208">
        <v>5</v>
      </c>
      <c r="X80" s="216" t="s">
        <v>46</v>
      </c>
      <c r="Y80" s="216" t="s">
        <v>88</v>
      </c>
      <c r="Z80" s="216" t="s">
        <v>69</v>
      </c>
      <c r="AA80" s="208" t="s">
        <v>102</v>
      </c>
      <c r="AB80" s="216" t="s">
        <v>340</v>
      </c>
    </row>
    <row r="81" spans="1:28" x14ac:dyDescent="0.15">
      <c r="A81" s="216" t="s">
        <v>34</v>
      </c>
      <c r="B81" s="208" t="s">
        <v>338</v>
      </c>
      <c r="C81" s="208">
        <v>2018</v>
      </c>
      <c r="D81" s="250" t="s">
        <v>518</v>
      </c>
      <c r="E81" s="237" t="s">
        <v>328</v>
      </c>
      <c r="F81" s="237" t="s">
        <v>329</v>
      </c>
      <c r="G81" s="216" t="s">
        <v>36</v>
      </c>
      <c r="H81" s="208" t="s">
        <v>157</v>
      </c>
      <c r="I81" s="216" t="s">
        <v>155</v>
      </c>
      <c r="J81" s="216" t="s">
        <v>38</v>
      </c>
      <c r="K81" s="216" t="s">
        <v>156</v>
      </c>
      <c r="L81" s="208">
        <v>2</v>
      </c>
      <c r="N81" s="208">
        <v>1</v>
      </c>
      <c r="O81" s="208">
        <v>0.2</v>
      </c>
      <c r="P81" s="208">
        <v>0.2</v>
      </c>
      <c r="Q81" s="245">
        <f t="shared" si="0"/>
        <v>0.2</v>
      </c>
      <c r="R81" s="208">
        <v>13.7</v>
      </c>
      <c r="S81" s="208">
        <v>127</v>
      </c>
      <c r="T81" s="217">
        <f t="shared" si="1"/>
        <v>30</v>
      </c>
      <c r="U81" s="208">
        <v>149</v>
      </c>
      <c r="V81" s="217">
        <f t="shared" si="2"/>
        <v>4470</v>
      </c>
      <c r="W81" s="208">
        <v>5</v>
      </c>
      <c r="X81" s="216" t="s">
        <v>46</v>
      </c>
      <c r="Y81" s="216" t="s">
        <v>88</v>
      </c>
      <c r="Z81" s="216" t="s">
        <v>69</v>
      </c>
      <c r="AA81" s="208" t="s">
        <v>102</v>
      </c>
      <c r="AB81" s="216" t="s">
        <v>340</v>
      </c>
    </row>
    <row r="82" spans="1:28" x14ac:dyDescent="0.15">
      <c r="A82" s="216" t="s">
        <v>34</v>
      </c>
      <c r="B82" s="208" t="s">
        <v>338</v>
      </c>
      <c r="C82" s="208">
        <v>2018</v>
      </c>
      <c r="D82" s="250" t="s">
        <v>518</v>
      </c>
      <c r="E82" s="237" t="s">
        <v>328</v>
      </c>
      <c r="F82" s="237" t="s">
        <v>329</v>
      </c>
      <c r="G82" s="216" t="s">
        <v>36</v>
      </c>
      <c r="H82" s="208" t="s">
        <v>157</v>
      </c>
      <c r="I82" s="216" t="s">
        <v>155</v>
      </c>
      <c r="J82" s="216" t="s">
        <v>38</v>
      </c>
      <c r="K82" s="216" t="s">
        <v>156</v>
      </c>
      <c r="L82" s="208">
        <v>3</v>
      </c>
      <c r="N82" s="208">
        <v>1</v>
      </c>
      <c r="O82" s="208">
        <v>0.55000000000000004</v>
      </c>
      <c r="P82" s="208">
        <v>0.55000000000000004</v>
      </c>
      <c r="Q82" s="245">
        <f t="shared" si="0"/>
        <v>0.55000000000000004</v>
      </c>
      <c r="R82" s="208">
        <v>10.199999999999999</v>
      </c>
      <c r="S82" s="208">
        <v>122</v>
      </c>
      <c r="T82" s="217">
        <f t="shared" si="1"/>
        <v>30</v>
      </c>
      <c r="U82" s="208">
        <v>149</v>
      </c>
      <c r="V82" s="217">
        <f t="shared" si="2"/>
        <v>4470</v>
      </c>
      <c r="W82" s="208">
        <v>5</v>
      </c>
      <c r="X82" s="216" t="s">
        <v>46</v>
      </c>
      <c r="Y82" s="216" t="s">
        <v>88</v>
      </c>
      <c r="Z82" s="216" t="s">
        <v>69</v>
      </c>
      <c r="AA82" s="208" t="s">
        <v>102</v>
      </c>
      <c r="AB82" s="216" t="s">
        <v>340</v>
      </c>
    </row>
    <row r="83" spans="1:28" x14ac:dyDescent="0.15">
      <c r="A83" s="216" t="s">
        <v>34</v>
      </c>
      <c r="B83" s="208" t="s">
        <v>338</v>
      </c>
      <c r="C83" s="208">
        <v>2018</v>
      </c>
      <c r="D83" s="250" t="s">
        <v>518</v>
      </c>
      <c r="E83" s="237" t="s">
        <v>328</v>
      </c>
      <c r="F83" s="237" t="s">
        <v>329</v>
      </c>
      <c r="G83" s="216" t="s">
        <v>36</v>
      </c>
      <c r="H83" s="208" t="s">
        <v>157</v>
      </c>
      <c r="I83" s="216" t="s">
        <v>158</v>
      </c>
      <c r="J83" s="216" t="s">
        <v>38</v>
      </c>
      <c r="K83" s="216" t="s">
        <v>156</v>
      </c>
      <c r="L83" s="216">
        <v>1</v>
      </c>
      <c r="N83" s="208">
        <v>4</v>
      </c>
      <c r="O83" s="208">
        <v>0.5</v>
      </c>
      <c r="P83" s="208">
        <v>0.55000000000000004</v>
      </c>
      <c r="Q83" s="245">
        <f t="shared" ref="Q83:Q91" si="5">IF(OR(O83="",P83=""),"",AVERAGE(O83,P83))</f>
        <v>0.52500000000000002</v>
      </c>
      <c r="R83" s="208">
        <v>14</v>
      </c>
      <c r="S83" s="208">
        <v>115</v>
      </c>
      <c r="T83" s="217">
        <f t="shared" si="1"/>
        <v>30</v>
      </c>
      <c r="U83" s="208">
        <v>378</v>
      </c>
      <c r="V83" s="217">
        <f t="shared" si="2"/>
        <v>2835</v>
      </c>
      <c r="W83" s="208">
        <v>5</v>
      </c>
      <c r="X83" s="216" t="s">
        <v>46</v>
      </c>
      <c r="Y83" s="216" t="s">
        <v>88</v>
      </c>
      <c r="Z83" s="216" t="s">
        <v>69</v>
      </c>
      <c r="AA83" s="208" t="s">
        <v>102</v>
      </c>
      <c r="AB83" s="216" t="s">
        <v>340</v>
      </c>
    </row>
    <row r="84" spans="1:28" x14ac:dyDescent="0.15">
      <c r="A84" s="216" t="s">
        <v>34</v>
      </c>
      <c r="B84" s="208" t="s">
        <v>338</v>
      </c>
      <c r="C84" s="208">
        <v>2018</v>
      </c>
      <c r="D84" s="250" t="s">
        <v>518</v>
      </c>
      <c r="E84" s="237" t="s">
        <v>328</v>
      </c>
      <c r="F84" s="237" t="s">
        <v>329</v>
      </c>
      <c r="G84" s="216" t="s">
        <v>36</v>
      </c>
      <c r="H84" s="208" t="s">
        <v>157</v>
      </c>
      <c r="I84" s="216" t="s">
        <v>158</v>
      </c>
      <c r="J84" s="216" t="s">
        <v>38</v>
      </c>
      <c r="K84" s="216" t="s">
        <v>156</v>
      </c>
      <c r="L84" s="208">
        <v>2</v>
      </c>
      <c r="N84" s="208">
        <v>4</v>
      </c>
      <c r="O84" s="208">
        <v>0.65</v>
      </c>
      <c r="P84" s="208">
        <v>0.6</v>
      </c>
      <c r="Q84" s="245">
        <f t="shared" si="5"/>
        <v>0.625</v>
      </c>
      <c r="R84" s="208">
        <v>11.8</v>
      </c>
      <c r="S84" s="208">
        <v>108</v>
      </c>
      <c r="T84" s="217">
        <f t="shared" si="1"/>
        <v>33</v>
      </c>
      <c r="U84" s="208">
        <v>378</v>
      </c>
      <c r="V84" s="217">
        <f t="shared" si="2"/>
        <v>3118.5</v>
      </c>
      <c r="W84" s="208">
        <v>5</v>
      </c>
      <c r="X84" s="216" t="s">
        <v>46</v>
      </c>
      <c r="Y84" s="216" t="s">
        <v>88</v>
      </c>
      <c r="Z84" s="216" t="s">
        <v>69</v>
      </c>
      <c r="AA84" s="208" t="s">
        <v>102</v>
      </c>
      <c r="AB84" s="216" t="s">
        <v>340</v>
      </c>
    </row>
    <row r="85" spans="1:28" x14ac:dyDescent="0.15">
      <c r="A85" s="216" t="s">
        <v>34</v>
      </c>
      <c r="B85" s="208" t="s">
        <v>338</v>
      </c>
      <c r="C85" s="208">
        <v>2018</v>
      </c>
      <c r="D85" s="250" t="s">
        <v>518</v>
      </c>
      <c r="E85" s="237" t="s">
        <v>328</v>
      </c>
      <c r="F85" s="237" t="s">
        <v>329</v>
      </c>
      <c r="G85" s="216" t="s">
        <v>36</v>
      </c>
      <c r="H85" s="208" t="s">
        <v>157</v>
      </c>
      <c r="I85" s="216" t="s">
        <v>158</v>
      </c>
      <c r="J85" s="216" t="s">
        <v>38</v>
      </c>
      <c r="K85" s="216" t="s">
        <v>156</v>
      </c>
      <c r="L85" s="208">
        <v>3</v>
      </c>
      <c r="N85" s="208">
        <v>4</v>
      </c>
      <c r="O85" s="208">
        <v>0.7</v>
      </c>
      <c r="P85" s="208">
        <v>0.85</v>
      </c>
      <c r="Q85" s="217">
        <f t="shared" si="5"/>
        <v>0.77499999999999991</v>
      </c>
      <c r="R85" s="208">
        <v>13.5</v>
      </c>
      <c r="S85" s="208">
        <v>114</v>
      </c>
      <c r="T85" s="217">
        <f t="shared" si="1"/>
        <v>30</v>
      </c>
      <c r="U85" s="208">
        <v>378</v>
      </c>
      <c r="V85" s="217">
        <f t="shared" si="2"/>
        <v>2835</v>
      </c>
      <c r="W85" s="208">
        <v>5</v>
      </c>
      <c r="X85" s="216" t="s">
        <v>46</v>
      </c>
      <c r="Y85" s="216" t="s">
        <v>88</v>
      </c>
      <c r="Z85" s="216" t="s">
        <v>69</v>
      </c>
      <c r="AA85" s="208" t="s">
        <v>102</v>
      </c>
      <c r="AB85" s="216" t="s">
        <v>340</v>
      </c>
    </row>
    <row r="86" spans="1:28" x14ac:dyDescent="0.15">
      <c r="A86" s="216" t="s">
        <v>34</v>
      </c>
      <c r="B86" s="208" t="s">
        <v>338</v>
      </c>
      <c r="C86" s="208">
        <v>2018</v>
      </c>
      <c r="D86" s="250" t="s">
        <v>518</v>
      </c>
      <c r="E86" s="237" t="s">
        <v>328</v>
      </c>
      <c r="F86" s="237" t="s">
        <v>329</v>
      </c>
      <c r="G86" s="216" t="s">
        <v>36</v>
      </c>
      <c r="H86" s="208" t="s">
        <v>157</v>
      </c>
      <c r="I86" s="216" t="s">
        <v>155</v>
      </c>
      <c r="J86" s="216" t="s">
        <v>38</v>
      </c>
      <c r="K86" s="216" t="s">
        <v>156</v>
      </c>
      <c r="L86" s="216">
        <v>1</v>
      </c>
      <c r="N86" s="208">
        <v>3</v>
      </c>
      <c r="O86" s="208">
        <v>0.8</v>
      </c>
      <c r="P86" s="208">
        <v>0.95</v>
      </c>
      <c r="Q86" s="217">
        <f t="shared" si="5"/>
        <v>0.875</v>
      </c>
      <c r="R86" s="208">
        <v>14.5</v>
      </c>
      <c r="S86" s="208">
        <v>131</v>
      </c>
      <c r="T86" s="217">
        <f t="shared" si="1"/>
        <v>30</v>
      </c>
      <c r="U86" s="208">
        <v>429</v>
      </c>
      <c r="V86" s="217">
        <f t="shared" si="2"/>
        <v>4290</v>
      </c>
      <c r="W86" s="208">
        <v>5</v>
      </c>
      <c r="X86" s="216" t="s">
        <v>46</v>
      </c>
      <c r="Y86" s="216" t="s">
        <v>88</v>
      </c>
      <c r="Z86" s="216" t="s">
        <v>69</v>
      </c>
      <c r="AA86" s="208" t="s">
        <v>102</v>
      </c>
      <c r="AB86" s="216" t="s">
        <v>340</v>
      </c>
    </row>
    <row r="87" spans="1:28" x14ac:dyDescent="0.15">
      <c r="A87" s="216" t="s">
        <v>34</v>
      </c>
      <c r="B87" s="208" t="s">
        <v>338</v>
      </c>
      <c r="C87" s="208">
        <v>2018</v>
      </c>
      <c r="D87" s="250" t="s">
        <v>518</v>
      </c>
      <c r="E87" s="237" t="s">
        <v>328</v>
      </c>
      <c r="F87" s="237" t="s">
        <v>329</v>
      </c>
      <c r="G87" s="216" t="s">
        <v>36</v>
      </c>
      <c r="H87" s="208" t="s">
        <v>157</v>
      </c>
      <c r="I87" s="216" t="s">
        <v>155</v>
      </c>
      <c r="J87" s="216" t="s">
        <v>38</v>
      </c>
      <c r="K87" s="216" t="s">
        <v>156</v>
      </c>
      <c r="L87" s="208">
        <v>2</v>
      </c>
      <c r="N87" s="208">
        <v>3</v>
      </c>
      <c r="O87" s="208">
        <v>0.45</v>
      </c>
      <c r="P87" s="208">
        <v>0.5</v>
      </c>
      <c r="Q87" s="217">
        <f t="shared" si="5"/>
        <v>0.47499999999999998</v>
      </c>
      <c r="R87" s="208">
        <v>13.9</v>
      </c>
      <c r="S87" s="208">
        <v>126</v>
      </c>
      <c r="T87" s="217">
        <f t="shared" si="1"/>
        <v>30</v>
      </c>
      <c r="U87" s="208">
        <v>429</v>
      </c>
      <c r="V87" s="217">
        <f t="shared" si="2"/>
        <v>4290</v>
      </c>
      <c r="W87" s="208">
        <v>5</v>
      </c>
      <c r="X87" s="216" t="s">
        <v>46</v>
      </c>
      <c r="Y87" s="216" t="s">
        <v>88</v>
      </c>
      <c r="Z87" s="216" t="s">
        <v>69</v>
      </c>
      <c r="AA87" s="208" t="s">
        <v>102</v>
      </c>
      <c r="AB87" s="216" t="s">
        <v>340</v>
      </c>
    </row>
    <row r="88" spans="1:28" x14ac:dyDescent="0.15">
      <c r="A88" s="216" t="s">
        <v>34</v>
      </c>
      <c r="B88" s="208" t="s">
        <v>338</v>
      </c>
      <c r="C88" s="208">
        <v>2018</v>
      </c>
      <c r="D88" s="250" t="s">
        <v>518</v>
      </c>
      <c r="E88" s="237" t="s">
        <v>328</v>
      </c>
      <c r="F88" s="237" t="s">
        <v>329</v>
      </c>
      <c r="G88" s="216" t="s">
        <v>36</v>
      </c>
      <c r="H88" s="208" t="s">
        <v>157</v>
      </c>
      <c r="I88" s="216" t="s">
        <v>155</v>
      </c>
      <c r="J88" s="216" t="s">
        <v>38</v>
      </c>
      <c r="K88" s="216" t="s">
        <v>156</v>
      </c>
      <c r="L88" s="208">
        <v>3</v>
      </c>
      <c r="N88" s="208">
        <v>3</v>
      </c>
      <c r="O88" s="208">
        <v>0.75</v>
      </c>
      <c r="P88" s="208">
        <v>0.75</v>
      </c>
      <c r="Q88" s="217">
        <f t="shared" si="5"/>
        <v>0.75</v>
      </c>
      <c r="R88" s="208">
        <v>13.8</v>
      </c>
      <c r="S88" s="208">
        <v>134</v>
      </c>
      <c r="T88" s="217">
        <f t="shared" si="1"/>
        <v>30</v>
      </c>
      <c r="U88" s="208">
        <v>429</v>
      </c>
      <c r="V88" s="217">
        <f t="shared" si="2"/>
        <v>4290</v>
      </c>
      <c r="W88" s="208">
        <v>5</v>
      </c>
      <c r="X88" s="216" t="s">
        <v>46</v>
      </c>
      <c r="Y88" s="216" t="s">
        <v>88</v>
      </c>
      <c r="Z88" s="216" t="s">
        <v>69</v>
      </c>
      <c r="AA88" s="208" t="s">
        <v>102</v>
      </c>
      <c r="AB88" s="216" t="s">
        <v>340</v>
      </c>
    </row>
    <row r="89" spans="1:28" x14ac:dyDescent="0.15">
      <c r="A89" s="216" t="s">
        <v>34</v>
      </c>
      <c r="B89" s="208" t="s">
        <v>338</v>
      </c>
      <c r="C89" s="208">
        <v>2018</v>
      </c>
      <c r="D89" s="250" t="s">
        <v>518</v>
      </c>
      <c r="E89" s="237" t="s">
        <v>328</v>
      </c>
      <c r="F89" s="237" t="s">
        <v>329</v>
      </c>
      <c r="G89" s="216" t="s">
        <v>36</v>
      </c>
      <c r="H89" s="208" t="s">
        <v>165</v>
      </c>
      <c r="I89" s="216" t="s">
        <v>158</v>
      </c>
      <c r="J89" s="216" t="s">
        <v>38</v>
      </c>
      <c r="K89" s="216" t="s">
        <v>156</v>
      </c>
      <c r="L89" s="216">
        <v>1</v>
      </c>
      <c r="N89" s="208">
        <v>3</v>
      </c>
      <c r="O89" s="208">
        <v>0.2</v>
      </c>
      <c r="P89" s="208">
        <v>0.2</v>
      </c>
      <c r="Q89" s="217">
        <f t="shared" si="5"/>
        <v>0.2</v>
      </c>
      <c r="R89" s="208">
        <v>17.399999999999999</v>
      </c>
      <c r="S89" s="208">
        <v>127</v>
      </c>
      <c r="T89" s="217">
        <f t="shared" si="1"/>
        <v>30</v>
      </c>
      <c r="U89" s="208">
        <v>537</v>
      </c>
      <c r="V89" s="217">
        <f t="shared" si="2"/>
        <v>5370</v>
      </c>
      <c r="W89" s="208">
        <v>1</v>
      </c>
      <c r="X89" s="216" t="s">
        <v>46</v>
      </c>
      <c r="Y89" s="216" t="s">
        <v>88</v>
      </c>
      <c r="Z89" s="216" t="s">
        <v>69</v>
      </c>
      <c r="AA89" s="208" t="s">
        <v>102</v>
      </c>
      <c r="AB89" s="216" t="s">
        <v>340</v>
      </c>
    </row>
    <row r="90" spans="1:28" x14ac:dyDescent="0.15">
      <c r="A90" s="216" t="s">
        <v>34</v>
      </c>
      <c r="B90" s="208" t="s">
        <v>338</v>
      </c>
      <c r="C90" s="208">
        <v>2018</v>
      </c>
      <c r="D90" s="250" t="s">
        <v>518</v>
      </c>
      <c r="E90" s="237" t="s">
        <v>328</v>
      </c>
      <c r="F90" s="237" t="s">
        <v>329</v>
      </c>
      <c r="G90" s="216" t="s">
        <v>36</v>
      </c>
      <c r="H90" s="208" t="s">
        <v>165</v>
      </c>
      <c r="I90" s="216" t="s">
        <v>158</v>
      </c>
      <c r="J90" s="216" t="s">
        <v>38</v>
      </c>
      <c r="K90" s="216" t="s">
        <v>156</v>
      </c>
      <c r="L90" s="208">
        <v>2</v>
      </c>
      <c r="N90" s="208">
        <v>3</v>
      </c>
      <c r="O90" s="208">
        <v>0.2</v>
      </c>
      <c r="P90" s="208">
        <v>0.2</v>
      </c>
      <c r="Q90" s="217">
        <f t="shared" si="5"/>
        <v>0.2</v>
      </c>
      <c r="R90" s="208">
        <v>16.7</v>
      </c>
      <c r="S90" s="208">
        <v>131</v>
      </c>
      <c r="T90" s="217">
        <f t="shared" si="1"/>
        <v>30</v>
      </c>
      <c r="U90" s="208">
        <v>537</v>
      </c>
      <c r="V90" s="217">
        <f t="shared" si="2"/>
        <v>5370</v>
      </c>
      <c r="W90" s="208">
        <v>1</v>
      </c>
      <c r="X90" s="216" t="s">
        <v>46</v>
      </c>
      <c r="Y90" s="216" t="s">
        <v>88</v>
      </c>
      <c r="Z90" s="216" t="s">
        <v>69</v>
      </c>
      <c r="AA90" s="208" t="s">
        <v>102</v>
      </c>
      <c r="AB90" s="216" t="s">
        <v>340</v>
      </c>
    </row>
    <row r="91" spans="1:28" x14ac:dyDescent="0.15">
      <c r="A91" s="216" t="s">
        <v>34</v>
      </c>
      <c r="B91" s="208" t="s">
        <v>338</v>
      </c>
      <c r="C91" s="208">
        <v>2018</v>
      </c>
      <c r="D91" s="250" t="s">
        <v>518</v>
      </c>
      <c r="E91" s="237" t="s">
        <v>328</v>
      </c>
      <c r="F91" s="237" t="s">
        <v>329</v>
      </c>
      <c r="G91" s="216" t="s">
        <v>36</v>
      </c>
      <c r="H91" s="208" t="s">
        <v>165</v>
      </c>
      <c r="I91" s="216" t="s">
        <v>158</v>
      </c>
      <c r="J91" s="216" t="s">
        <v>38</v>
      </c>
      <c r="K91" s="216" t="s">
        <v>156</v>
      </c>
      <c r="L91" s="208">
        <v>3</v>
      </c>
      <c r="N91" s="208">
        <v>3</v>
      </c>
      <c r="O91" s="208">
        <v>0.2</v>
      </c>
      <c r="P91" s="208">
        <v>0.45</v>
      </c>
      <c r="Q91" s="217">
        <f t="shared" si="5"/>
        <v>0.32500000000000001</v>
      </c>
      <c r="R91" s="208">
        <v>14.8</v>
      </c>
      <c r="S91" s="208">
        <v>135</v>
      </c>
      <c r="T91" s="217">
        <f t="shared" si="1"/>
        <v>30</v>
      </c>
      <c r="U91" s="208">
        <v>537</v>
      </c>
      <c r="V91" s="217">
        <f t="shared" si="2"/>
        <v>5370</v>
      </c>
      <c r="W91" s="208">
        <v>1</v>
      </c>
      <c r="X91" s="216" t="s">
        <v>46</v>
      </c>
      <c r="Y91" s="216" t="s">
        <v>88</v>
      </c>
      <c r="Z91" s="216" t="s">
        <v>69</v>
      </c>
      <c r="AA91" s="208" t="s">
        <v>102</v>
      </c>
      <c r="AB91" s="216" t="s">
        <v>340</v>
      </c>
    </row>
    <row r="92" spans="1:28" x14ac:dyDescent="0.15">
      <c r="K92" s="216"/>
    </row>
    <row r="93" spans="1:28" x14ac:dyDescent="0.15">
      <c r="K93" s="216"/>
    </row>
    <row r="94" spans="1:28" x14ac:dyDescent="0.15">
      <c r="K94" s="216"/>
    </row>
    <row r="95" spans="1:28" x14ac:dyDescent="0.15">
      <c r="K95" s="216"/>
    </row>
    <row r="96" spans="1:28" x14ac:dyDescent="0.15">
      <c r="K96" s="216"/>
    </row>
    <row r="97" spans="11:11" x14ac:dyDescent="0.15">
      <c r="K97" s="216"/>
    </row>
    <row r="98" spans="11:11" x14ac:dyDescent="0.15">
      <c r="K98" s="216"/>
    </row>
    <row r="99" spans="11:11" x14ac:dyDescent="0.15">
      <c r="K99" s="216"/>
    </row>
    <row r="100" spans="11:11" x14ac:dyDescent="0.15">
      <c r="K100" s="216"/>
    </row>
    <row r="101" spans="11:11" x14ac:dyDescent="0.15">
      <c r="K101" s="216"/>
    </row>
    <row r="102" spans="11:11" x14ac:dyDescent="0.15">
      <c r="K102" s="216"/>
    </row>
    <row r="103" spans="11:11" x14ac:dyDescent="0.15">
      <c r="K103" s="216"/>
    </row>
    <row r="104" spans="11:11" x14ac:dyDescent="0.15">
      <c r="K104" s="216"/>
    </row>
    <row r="105" spans="11:11" x14ac:dyDescent="0.15">
      <c r="K105" s="216"/>
    </row>
    <row r="106" spans="11:11" x14ac:dyDescent="0.15">
      <c r="K106" s="216"/>
    </row>
    <row r="107" spans="11:11" x14ac:dyDescent="0.15">
      <c r="K107" s="216"/>
    </row>
    <row r="108" spans="11:11" x14ac:dyDescent="0.15">
      <c r="K108" s="216"/>
    </row>
    <row r="109" spans="11:11" x14ac:dyDescent="0.15">
      <c r="K109" s="216"/>
    </row>
    <row r="110" spans="11:11" x14ac:dyDescent="0.15">
      <c r="K110" s="216"/>
    </row>
    <row r="111" spans="11:11" x14ac:dyDescent="0.15">
      <c r="K111" s="216"/>
    </row>
    <row r="112" spans="11: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row r="451" spans="11:11" x14ac:dyDescent="0.15">
      <c r="K451" s="216"/>
    </row>
    <row r="452" spans="11:11" x14ac:dyDescent="0.15">
      <c r="K452" s="216"/>
    </row>
    <row r="453" spans="11:11" x14ac:dyDescent="0.15">
      <c r="K453" s="216"/>
    </row>
    <row r="454" spans="11:11" x14ac:dyDescent="0.15">
      <c r="K454" s="216"/>
    </row>
    <row r="455" spans="11:11" x14ac:dyDescent="0.15">
      <c r="K455" s="216"/>
    </row>
    <row r="456" spans="11:11" x14ac:dyDescent="0.15">
      <c r="K456" s="216"/>
    </row>
    <row r="457" spans="11:11" x14ac:dyDescent="0.15">
      <c r="K457" s="216"/>
    </row>
    <row r="458" spans="11:11" x14ac:dyDescent="0.15">
      <c r="K458" s="216"/>
    </row>
    <row r="459" spans="11:11" x14ac:dyDescent="0.15">
      <c r="K459" s="216"/>
    </row>
    <row r="460" spans="11:11" x14ac:dyDescent="0.15">
      <c r="K460" s="216"/>
    </row>
    <row r="461" spans="11:11" x14ac:dyDescent="0.15">
      <c r="K461" s="216"/>
    </row>
    <row r="462" spans="11:11" x14ac:dyDescent="0.15">
      <c r="K462" s="216"/>
    </row>
    <row r="463" spans="11:11" x14ac:dyDescent="0.15">
      <c r="K463" s="216"/>
    </row>
    <row r="464" spans="11:11" x14ac:dyDescent="0.15">
      <c r="K464" s="216"/>
    </row>
    <row r="465" spans="11:11" x14ac:dyDescent="0.15">
      <c r="K465" s="216"/>
    </row>
    <row r="466" spans="11:11" x14ac:dyDescent="0.15">
      <c r="K466" s="216"/>
    </row>
    <row r="467" spans="11:11" x14ac:dyDescent="0.15">
      <c r="K467" s="216"/>
    </row>
    <row r="468" spans="11:11" x14ac:dyDescent="0.15">
      <c r="K468" s="216"/>
    </row>
    <row r="469" spans="11:11" x14ac:dyDescent="0.15">
      <c r="K469" s="216"/>
    </row>
    <row r="470" spans="11:11" x14ac:dyDescent="0.15">
      <c r="K470" s="216"/>
    </row>
    <row r="471" spans="11:11" x14ac:dyDescent="0.15">
      <c r="K471" s="216"/>
    </row>
    <row r="472" spans="11:11" x14ac:dyDescent="0.15">
      <c r="K472" s="216"/>
    </row>
    <row r="473" spans="11:11" x14ac:dyDescent="0.15">
      <c r="K473" s="216"/>
    </row>
    <row r="474" spans="11:11" x14ac:dyDescent="0.15">
      <c r="K474" s="216"/>
    </row>
    <row r="475" spans="11:11" x14ac:dyDescent="0.15">
      <c r="K475" s="216"/>
    </row>
    <row r="476" spans="11:11" x14ac:dyDescent="0.15">
      <c r="K476" s="216"/>
    </row>
    <row r="477" spans="11:11" x14ac:dyDescent="0.15">
      <c r="K477" s="216"/>
    </row>
    <row r="478" spans="11:11" x14ac:dyDescent="0.15">
      <c r="K478" s="216"/>
    </row>
    <row r="479" spans="11:11" x14ac:dyDescent="0.15">
      <c r="K479" s="216"/>
    </row>
    <row r="480" spans="11:11" x14ac:dyDescent="0.15">
      <c r="K480" s="216"/>
    </row>
    <row r="481" spans="11:11" x14ac:dyDescent="0.15">
      <c r="K481" s="216"/>
    </row>
    <row r="482" spans="11:11" x14ac:dyDescent="0.15">
      <c r="K482" s="216"/>
    </row>
    <row r="483" spans="11:11" x14ac:dyDescent="0.15">
      <c r="K483" s="216"/>
    </row>
    <row r="484" spans="11:11" x14ac:dyDescent="0.15">
      <c r="K484" s="216"/>
    </row>
    <row r="485" spans="11:11" x14ac:dyDescent="0.15">
      <c r="K485" s="216"/>
    </row>
    <row r="486" spans="11:11" x14ac:dyDescent="0.15">
      <c r="K486" s="216"/>
    </row>
    <row r="487" spans="11:11" x14ac:dyDescent="0.15">
      <c r="K487" s="216"/>
    </row>
    <row r="488" spans="11:11" x14ac:dyDescent="0.15">
      <c r="K488" s="216"/>
    </row>
    <row r="489" spans="11:11" x14ac:dyDescent="0.15">
      <c r="K489" s="216"/>
    </row>
    <row r="490" spans="11:11" x14ac:dyDescent="0.15">
      <c r="K490" s="216"/>
    </row>
    <row r="491" spans="11:11" x14ac:dyDescent="0.15">
      <c r="K491" s="216"/>
    </row>
    <row r="492" spans="11:11" x14ac:dyDescent="0.15">
      <c r="K492" s="216"/>
    </row>
    <row r="493" spans="11:11" x14ac:dyDescent="0.15">
      <c r="K493" s="216"/>
    </row>
    <row r="494" spans="11:11" x14ac:dyDescent="0.15">
      <c r="K494" s="216"/>
    </row>
    <row r="495" spans="11:11" x14ac:dyDescent="0.15">
      <c r="K495" s="216"/>
    </row>
    <row r="496" spans="11:11" x14ac:dyDescent="0.15">
      <c r="K496" s="216"/>
    </row>
    <row r="497" spans="11:11" x14ac:dyDescent="0.15">
      <c r="K497" s="216"/>
    </row>
    <row r="498" spans="11:11" x14ac:dyDescent="0.15">
      <c r="K498" s="216"/>
    </row>
    <row r="499" spans="11:11" x14ac:dyDescent="0.15">
      <c r="K499" s="216"/>
    </row>
    <row r="500" spans="11:11" x14ac:dyDescent="0.15">
      <c r="K500" s="216"/>
    </row>
    <row r="501" spans="11:11" x14ac:dyDescent="0.15">
      <c r="K501" s="216"/>
    </row>
    <row r="502" spans="11:11" x14ac:dyDescent="0.15">
      <c r="K502" s="216"/>
    </row>
    <row r="503" spans="11:11" x14ac:dyDescent="0.15">
      <c r="K503" s="216"/>
    </row>
    <row r="504" spans="11:11" x14ac:dyDescent="0.15">
      <c r="K504" s="216"/>
    </row>
    <row r="505" spans="11:11" x14ac:dyDescent="0.15">
      <c r="K505" s="216"/>
    </row>
    <row r="506" spans="11:11" x14ac:dyDescent="0.15">
      <c r="K506" s="216"/>
    </row>
    <row r="507" spans="11:11" x14ac:dyDescent="0.15">
      <c r="K507" s="216"/>
    </row>
    <row r="508" spans="11:11" x14ac:dyDescent="0.15">
      <c r="K508" s="216"/>
    </row>
    <row r="509" spans="11:11" x14ac:dyDescent="0.15">
      <c r="K509" s="216"/>
    </row>
    <row r="510" spans="11:11" x14ac:dyDescent="0.15">
      <c r="K510" s="216"/>
    </row>
    <row r="511" spans="11:11" x14ac:dyDescent="0.15">
      <c r="K511" s="216"/>
    </row>
    <row r="512" spans="11:11" x14ac:dyDescent="0.15">
      <c r="K512" s="216"/>
    </row>
    <row r="513" spans="11:11" x14ac:dyDescent="0.15">
      <c r="K513" s="216"/>
    </row>
    <row r="514" spans="11:11" x14ac:dyDescent="0.15">
      <c r="K514" s="216"/>
    </row>
    <row r="515" spans="11:11" x14ac:dyDescent="0.15">
      <c r="K515" s="216"/>
    </row>
    <row r="516" spans="11:11" x14ac:dyDescent="0.15">
      <c r="K516" s="216"/>
    </row>
    <row r="517" spans="11:11" x14ac:dyDescent="0.15">
      <c r="K517" s="216"/>
    </row>
    <row r="518" spans="11:11" x14ac:dyDescent="0.15">
      <c r="K518" s="216"/>
    </row>
    <row r="519" spans="11:11" x14ac:dyDescent="0.15">
      <c r="K519" s="216"/>
    </row>
    <row r="520" spans="11:11" x14ac:dyDescent="0.15">
      <c r="K520" s="216"/>
    </row>
    <row r="521" spans="11:11" x14ac:dyDescent="0.15">
      <c r="K521" s="216"/>
    </row>
    <row r="522" spans="11:11" x14ac:dyDescent="0.15">
      <c r="K522" s="216"/>
    </row>
    <row r="523" spans="11:11" x14ac:dyDescent="0.15">
      <c r="K523" s="216"/>
    </row>
    <row r="524" spans="11:11" x14ac:dyDescent="0.15">
      <c r="K524" s="216"/>
    </row>
    <row r="525" spans="11:11" x14ac:dyDescent="0.15">
      <c r="K525" s="216"/>
    </row>
    <row r="526" spans="11:11" x14ac:dyDescent="0.15">
      <c r="K526" s="216"/>
    </row>
    <row r="527" spans="11:11" x14ac:dyDescent="0.15">
      <c r="K527" s="216"/>
    </row>
    <row r="528" spans="11:11" x14ac:dyDescent="0.15">
      <c r="K528" s="216"/>
    </row>
    <row r="529" spans="11:11" x14ac:dyDescent="0.15">
      <c r="K529" s="216"/>
    </row>
    <row r="530" spans="11:11" x14ac:dyDescent="0.15">
      <c r="K530" s="216"/>
    </row>
    <row r="531" spans="11:11" x14ac:dyDescent="0.15">
      <c r="K531" s="216"/>
    </row>
    <row r="532" spans="11:11" x14ac:dyDescent="0.15">
      <c r="K532" s="216"/>
    </row>
    <row r="533" spans="11:11" x14ac:dyDescent="0.15">
      <c r="K533" s="216"/>
    </row>
    <row r="534" spans="11:11" x14ac:dyDescent="0.15">
      <c r="K534" s="216"/>
    </row>
    <row r="535" spans="11:11" x14ac:dyDescent="0.15">
      <c r="K535" s="216"/>
    </row>
    <row r="536" spans="11:11" x14ac:dyDescent="0.15">
      <c r="K536" s="216"/>
    </row>
    <row r="537" spans="11:11" x14ac:dyDescent="0.15">
      <c r="K537" s="216"/>
    </row>
    <row r="538" spans="11:11" x14ac:dyDescent="0.15">
      <c r="K538" s="216"/>
    </row>
    <row r="539" spans="11:11" x14ac:dyDescent="0.15">
      <c r="K539" s="216"/>
    </row>
    <row r="540" spans="11:11" x14ac:dyDescent="0.15">
      <c r="K540" s="216"/>
    </row>
    <row r="541" spans="11:11" x14ac:dyDescent="0.15">
      <c r="K541" s="216"/>
    </row>
    <row r="542" spans="11:11" x14ac:dyDescent="0.15">
      <c r="K542" s="216"/>
    </row>
    <row r="543" spans="11:11" x14ac:dyDescent="0.15">
      <c r="K543" s="216"/>
    </row>
    <row r="544" spans="11:11" x14ac:dyDescent="0.15">
      <c r="K544" s="216"/>
    </row>
    <row r="545" spans="11:11" x14ac:dyDescent="0.15">
      <c r="K545" s="216"/>
    </row>
    <row r="546" spans="11:11" x14ac:dyDescent="0.15">
      <c r="K546" s="216"/>
    </row>
    <row r="547" spans="11:11" x14ac:dyDescent="0.15">
      <c r="K547" s="216"/>
    </row>
    <row r="548" spans="11:11" x14ac:dyDescent="0.15">
      <c r="K548" s="216"/>
    </row>
    <row r="549" spans="11:11" x14ac:dyDescent="0.15">
      <c r="K549" s="216"/>
    </row>
    <row r="550" spans="11:11" x14ac:dyDescent="0.15">
      <c r="K550" s="216"/>
    </row>
    <row r="551" spans="11:11" x14ac:dyDescent="0.15">
      <c r="K551" s="216"/>
    </row>
    <row r="552" spans="11:11" x14ac:dyDescent="0.15">
      <c r="K552" s="216"/>
    </row>
    <row r="553" spans="11:11" x14ac:dyDescent="0.15">
      <c r="K553" s="216"/>
    </row>
    <row r="554" spans="11:11" x14ac:dyDescent="0.15">
      <c r="K554" s="216"/>
    </row>
    <row r="555" spans="11:11" x14ac:dyDescent="0.15">
      <c r="K555" s="216"/>
    </row>
    <row r="556" spans="11:11" x14ac:dyDescent="0.15">
      <c r="K556" s="216"/>
    </row>
    <row r="557" spans="11:11" x14ac:dyDescent="0.15">
      <c r="K557" s="216"/>
    </row>
    <row r="558" spans="11:11" x14ac:dyDescent="0.15">
      <c r="K558" s="216"/>
    </row>
    <row r="559" spans="11:11" x14ac:dyDescent="0.15">
      <c r="K559" s="216"/>
    </row>
    <row r="560" spans="11:11" x14ac:dyDescent="0.15">
      <c r="K560" s="216"/>
    </row>
    <row r="561" spans="11:11" x14ac:dyDescent="0.15">
      <c r="K561" s="216"/>
    </row>
    <row r="562" spans="11:11" x14ac:dyDescent="0.15">
      <c r="K562" s="216"/>
    </row>
    <row r="563" spans="11:11" x14ac:dyDescent="0.15">
      <c r="K563" s="216"/>
    </row>
    <row r="564" spans="11:11" x14ac:dyDescent="0.15">
      <c r="K564" s="216"/>
    </row>
    <row r="565" spans="11:11" x14ac:dyDescent="0.15">
      <c r="K565" s="216"/>
    </row>
    <row r="566" spans="11:11" x14ac:dyDescent="0.15">
      <c r="K566" s="216"/>
    </row>
    <row r="567" spans="11:11" x14ac:dyDescent="0.15">
      <c r="K567" s="216"/>
    </row>
    <row r="568" spans="11:11" x14ac:dyDescent="0.15">
      <c r="K568" s="216"/>
    </row>
    <row r="569" spans="11:11" x14ac:dyDescent="0.15">
      <c r="K569" s="216"/>
    </row>
    <row r="570" spans="11:11" x14ac:dyDescent="0.15">
      <c r="K570" s="216"/>
    </row>
    <row r="571" spans="11:11" x14ac:dyDescent="0.15">
      <c r="K571" s="216"/>
    </row>
    <row r="572" spans="11:11" x14ac:dyDescent="0.15">
      <c r="K572" s="216"/>
    </row>
    <row r="573" spans="11:11" x14ac:dyDescent="0.15">
      <c r="K573" s="216"/>
    </row>
    <row r="574" spans="11:11" x14ac:dyDescent="0.15">
      <c r="K574" s="216"/>
    </row>
    <row r="575" spans="11:11" x14ac:dyDescent="0.15">
      <c r="K575" s="216"/>
    </row>
    <row r="576" spans="11:11" x14ac:dyDescent="0.15">
      <c r="K576" s="216"/>
    </row>
    <row r="577" spans="11:11" x14ac:dyDescent="0.15">
      <c r="K577" s="216"/>
    </row>
    <row r="578" spans="11:11" x14ac:dyDescent="0.15">
      <c r="K578" s="216"/>
    </row>
    <row r="579" spans="11:11" x14ac:dyDescent="0.15">
      <c r="K579" s="216"/>
    </row>
    <row r="580" spans="11:11" x14ac:dyDescent="0.15">
      <c r="K580" s="216"/>
    </row>
    <row r="581" spans="11:11" x14ac:dyDescent="0.15">
      <c r="K581" s="216"/>
    </row>
    <row r="582" spans="11:11" x14ac:dyDescent="0.15">
      <c r="K582" s="216"/>
    </row>
    <row r="583" spans="11:11" x14ac:dyDescent="0.15">
      <c r="K583" s="216"/>
    </row>
    <row r="584" spans="11:11" x14ac:dyDescent="0.15">
      <c r="K584" s="216"/>
    </row>
    <row r="585" spans="11:11" x14ac:dyDescent="0.15">
      <c r="K585" s="216"/>
    </row>
    <row r="586" spans="11:11" x14ac:dyDescent="0.15">
      <c r="K586" s="216"/>
    </row>
    <row r="587" spans="11:11" x14ac:dyDescent="0.15">
      <c r="K587" s="216"/>
    </row>
    <row r="588" spans="11:11" x14ac:dyDescent="0.15">
      <c r="K588" s="216"/>
    </row>
    <row r="589" spans="11:11" x14ac:dyDescent="0.15">
      <c r="K589" s="216"/>
    </row>
    <row r="590" spans="11:11" x14ac:dyDescent="0.15">
      <c r="K590" s="216"/>
    </row>
    <row r="591" spans="11:11" x14ac:dyDescent="0.15">
      <c r="K591" s="216"/>
    </row>
    <row r="592" spans="11:11" x14ac:dyDescent="0.15">
      <c r="K592" s="216"/>
    </row>
    <row r="593" spans="11:11" x14ac:dyDescent="0.15">
      <c r="K593" s="216"/>
    </row>
    <row r="594" spans="11:11" x14ac:dyDescent="0.15">
      <c r="K594" s="216"/>
    </row>
    <row r="595" spans="11:11" x14ac:dyDescent="0.15">
      <c r="K595" s="216"/>
    </row>
    <row r="596" spans="11:11" x14ac:dyDescent="0.15">
      <c r="K596" s="216"/>
    </row>
    <row r="597" spans="11:11" x14ac:dyDescent="0.15">
      <c r="K597" s="216"/>
    </row>
    <row r="598" spans="11:11" x14ac:dyDescent="0.15">
      <c r="K598" s="216"/>
    </row>
    <row r="599" spans="11:11" x14ac:dyDescent="0.15">
      <c r="K599" s="216"/>
    </row>
    <row r="600" spans="11:11" x14ac:dyDescent="0.15">
      <c r="K600" s="216"/>
    </row>
    <row r="601" spans="11:11" x14ac:dyDescent="0.15">
      <c r="K601" s="216"/>
    </row>
    <row r="602" spans="11:11" x14ac:dyDescent="0.15">
      <c r="K602" s="216"/>
    </row>
    <row r="603" spans="11:11" x14ac:dyDescent="0.15">
      <c r="K603" s="216"/>
    </row>
    <row r="604" spans="11:11" x14ac:dyDescent="0.15">
      <c r="K604" s="216"/>
    </row>
    <row r="605" spans="11:11" x14ac:dyDescent="0.15">
      <c r="K605" s="216"/>
    </row>
    <row r="606" spans="11:11" x14ac:dyDescent="0.15">
      <c r="K606" s="216"/>
    </row>
    <row r="607" spans="11:11" x14ac:dyDescent="0.15">
      <c r="K607" s="216"/>
    </row>
    <row r="608" spans="11:11" x14ac:dyDescent="0.15">
      <c r="K608" s="216"/>
    </row>
    <row r="609" spans="11:11" x14ac:dyDescent="0.15">
      <c r="K609" s="216"/>
    </row>
    <row r="610" spans="11:11" x14ac:dyDescent="0.15">
      <c r="K610" s="216"/>
    </row>
    <row r="611" spans="11:11" x14ac:dyDescent="0.15">
      <c r="K611" s="216"/>
    </row>
    <row r="612" spans="11:11" x14ac:dyDescent="0.15">
      <c r="K612" s="216"/>
    </row>
    <row r="613" spans="11:11" x14ac:dyDescent="0.15">
      <c r="K613" s="216"/>
    </row>
    <row r="614" spans="11:11" x14ac:dyDescent="0.15">
      <c r="K614" s="216"/>
    </row>
    <row r="615" spans="11:11" x14ac:dyDescent="0.15">
      <c r="K615" s="216"/>
    </row>
    <row r="616" spans="11:11" x14ac:dyDescent="0.15">
      <c r="K616" s="216"/>
    </row>
    <row r="617" spans="11:11" x14ac:dyDescent="0.15">
      <c r="K617" s="216"/>
    </row>
    <row r="618" spans="11:11" x14ac:dyDescent="0.15">
      <c r="K618" s="216"/>
    </row>
    <row r="619" spans="11:11" x14ac:dyDescent="0.15">
      <c r="K619" s="216"/>
    </row>
    <row r="620" spans="11:11" x14ac:dyDescent="0.15">
      <c r="K620" s="216"/>
    </row>
    <row r="621" spans="11:11" x14ac:dyDescent="0.15">
      <c r="K621" s="216"/>
    </row>
    <row r="622" spans="11:11" x14ac:dyDescent="0.15">
      <c r="K622" s="216"/>
    </row>
    <row r="623" spans="11:11" x14ac:dyDescent="0.15">
      <c r="K623" s="216"/>
    </row>
    <row r="624" spans="11:11" x14ac:dyDescent="0.15">
      <c r="K624" s="216"/>
    </row>
    <row r="625" spans="11:11" x14ac:dyDescent="0.15">
      <c r="K625" s="216"/>
    </row>
    <row r="626" spans="11:11" x14ac:dyDescent="0.15">
      <c r="K626" s="216"/>
    </row>
    <row r="627" spans="11:11" x14ac:dyDescent="0.15">
      <c r="K627" s="216"/>
    </row>
    <row r="628" spans="11:11" x14ac:dyDescent="0.15">
      <c r="K628" s="216"/>
    </row>
    <row r="629" spans="11:11" x14ac:dyDescent="0.15">
      <c r="K629" s="216"/>
    </row>
    <row r="630" spans="11:11" x14ac:dyDescent="0.15">
      <c r="K630" s="216"/>
    </row>
    <row r="631" spans="11:11" x14ac:dyDescent="0.15">
      <c r="K631" s="216"/>
    </row>
    <row r="632" spans="11:11" x14ac:dyDescent="0.15">
      <c r="K632" s="216"/>
    </row>
    <row r="633" spans="11:11" x14ac:dyDescent="0.15">
      <c r="K633" s="216"/>
    </row>
    <row r="634" spans="11:11" x14ac:dyDescent="0.15">
      <c r="K634" s="216"/>
    </row>
    <row r="635" spans="11:11" x14ac:dyDescent="0.15">
      <c r="K635" s="216"/>
    </row>
    <row r="636" spans="11:11" x14ac:dyDescent="0.15">
      <c r="K636" s="216"/>
    </row>
    <row r="637" spans="11:11" x14ac:dyDescent="0.15">
      <c r="K637" s="216"/>
    </row>
    <row r="638" spans="11:11" x14ac:dyDescent="0.15">
      <c r="K638" s="216"/>
    </row>
    <row r="639" spans="11:11" x14ac:dyDescent="0.15">
      <c r="K639" s="216"/>
    </row>
    <row r="640" spans="11:11" x14ac:dyDescent="0.15">
      <c r="K640" s="216"/>
    </row>
    <row r="641" spans="11:11" x14ac:dyDescent="0.15">
      <c r="K641" s="216"/>
    </row>
    <row r="642" spans="11:11" x14ac:dyDescent="0.15">
      <c r="K642" s="216"/>
    </row>
    <row r="643" spans="11:11" x14ac:dyDescent="0.15">
      <c r="K643" s="216"/>
    </row>
    <row r="644" spans="11:11" x14ac:dyDescent="0.15">
      <c r="K644" s="216"/>
    </row>
    <row r="645" spans="11:11" x14ac:dyDescent="0.15">
      <c r="K645" s="216"/>
    </row>
    <row r="646" spans="11:11" x14ac:dyDescent="0.15">
      <c r="K646" s="216"/>
    </row>
    <row r="647" spans="11:11" x14ac:dyDescent="0.15">
      <c r="K647" s="216"/>
    </row>
    <row r="648" spans="11:11" x14ac:dyDescent="0.15">
      <c r="K648" s="216"/>
    </row>
    <row r="649" spans="11:11" x14ac:dyDescent="0.15">
      <c r="K649" s="216"/>
    </row>
    <row r="650" spans="11:11" x14ac:dyDescent="0.15">
      <c r="K650" s="216"/>
    </row>
    <row r="651" spans="11:11" x14ac:dyDescent="0.15">
      <c r="K651" s="216"/>
    </row>
    <row r="652" spans="11:11" x14ac:dyDescent="0.15">
      <c r="K652" s="216"/>
    </row>
    <row r="653" spans="11:11" x14ac:dyDescent="0.15">
      <c r="K653" s="216"/>
    </row>
    <row r="654" spans="11:11" x14ac:dyDescent="0.15">
      <c r="K654" s="216"/>
    </row>
    <row r="655" spans="11:11" x14ac:dyDescent="0.15">
      <c r="K655" s="216"/>
    </row>
    <row r="656" spans="11:11" x14ac:dyDescent="0.15">
      <c r="K656" s="216"/>
    </row>
    <row r="657" spans="11:11" x14ac:dyDescent="0.15">
      <c r="K657" s="216"/>
    </row>
    <row r="658" spans="11:11" x14ac:dyDescent="0.15">
      <c r="K658" s="216"/>
    </row>
    <row r="659" spans="11:11" x14ac:dyDescent="0.15">
      <c r="K659" s="216"/>
    </row>
    <row r="660" spans="11:11" x14ac:dyDescent="0.15">
      <c r="K660" s="216"/>
    </row>
    <row r="661" spans="11:11" x14ac:dyDescent="0.15">
      <c r="K661" s="216"/>
    </row>
    <row r="662" spans="11:11" x14ac:dyDescent="0.15">
      <c r="K662" s="216"/>
    </row>
    <row r="663" spans="11:11" x14ac:dyDescent="0.15">
      <c r="K663" s="216"/>
    </row>
    <row r="664" spans="11:11" x14ac:dyDescent="0.15">
      <c r="K664" s="216"/>
    </row>
    <row r="665" spans="11:11" x14ac:dyDescent="0.15">
      <c r="K665" s="216"/>
    </row>
    <row r="666" spans="11:11" x14ac:dyDescent="0.15">
      <c r="K666" s="216"/>
    </row>
    <row r="667" spans="11:11" x14ac:dyDescent="0.15">
      <c r="K667" s="216"/>
    </row>
    <row r="668" spans="11:11" x14ac:dyDescent="0.15">
      <c r="K668" s="216"/>
    </row>
    <row r="669" spans="11:11" x14ac:dyDescent="0.15">
      <c r="K669" s="216"/>
    </row>
    <row r="670" spans="11:11" x14ac:dyDescent="0.15">
      <c r="K670" s="216"/>
    </row>
    <row r="671" spans="11:11" x14ac:dyDescent="0.15">
      <c r="K671" s="216"/>
    </row>
    <row r="672" spans="11:11" x14ac:dyDescent="0.15">
      <c r="K672" s="216"/>
    </row>
    <row r="673" spans="11:11" x14ac:dyDescent="0.15">
      <c r="K673" s="216"/>
    </row>
    <row r="674" spans="11:11" x14ac:dyDescent="0.15">
      <c r="K674" s="216"/>
    </row>
    <row r="675" spans="11:11" x14ac:dyDescent="0.15">
      <c r="K675" s="216"/>
    </row>
    <row r="676" spans="11:11" x14ac:dyDescent="0.15">
      <c r="K676" s="216"/>
    </row>
    <row r="677" spans="11:11" x14ac:dyDescent="0.15">
      <c r="K677" s="216"/>
    </row>
    <row r="678" spans="11:11" x14ac:dyDescent="0.15">
      <c r="K678" s="216"/>
    </row>
    <row r="679" spans="11:11" x14ac:dyDescent="0.15">
      <c r="K679" s="216"/>
    </row>
    <row r="680" spans="11:11" x14ac:dyDescent="0.15">
      <c r="K680" s="216"/>
    </row>
    <row r="681" spans="11:11" x14ac:dyDescent="0.15">
      <c r="K681" s="216"/>
    </row>
    <row r="682" spans="11:11" x14ac:dyDescent="0.15">
      <c r="K682" s="216"/>
    </row>
    <row r="683" spans="11:11" x14ac:dyDescent="0.15">
      <c r="K683" s="216"/>
    </row>
    <row r="684" spans="11:11" x14ac:dyDescent="0.15">
      <c r="K684" s="216"/>
    </row>
    <row r="685" spans="11:11" x14ac:dyDescent="0.15">
      <c r="K685" s="216"/>
    </row>
    <row r="686" spans="11:11" x14ac:dyDescent="0.15">
      <c r="K686" s="216"/>
    </row>
    <row r="687" spans="11:11" x14ac:dyDescent="0.15">
      <c r="K687" s="216"/>
    </row>
    <row r="688" spans="11:11" x14ac:dyDescent="0.15">
      <c r="K688" s="216"/>
    </row>
    <row r="689" spans="11:11" x14ac:dyDescent="0.15">
      <c r="K689" s="216"/>
    </row>
    <row r="690" spans="11:11" x14ac:dyDescent="0.15">
      <c r="K690" s="216"/>
    </row>
    <row r="691" spans="11:11" x14ac:dyDescent="0.15">
      <c r="K691" s="216"/>
    </row>
    <row r="692" spans="11:11" x14ac:dyDescent="0.15">
      <c r="K692" s="216"/>
    </row>
    <row r="693" spans="11:11" x14ac:dyDescent="0.15">
      <c r="K693" s="216"/>
    </row>
    <row r="694" spans="11:11" x14ac:dyDescent="0.15">
      <c r="K694" s="216"/>
    </row>
    <row r="695" spans="11:11" x14ac:dyDescent="0.15">
      <c r="K695" s="216"/>
    </row>
    <row r="696" spans="11:11" x14ac:dyDescent="0.15">
      <c r="K696" s="216"/>
    </row>
    <row r="697" spans="11:11" x14ac:dyDescent="0.15">
      <c r="K697" s="216"/>
    </row>
    <row r="698" spans="11:11" x14ac:dyDescent="0.15">
      <c r="K698" s="216"/>
    </row>
    <row r="699" spans="11:11" x14ac:dyDescent="0.15">
      <c r="K699" s="216"/>
    </row>
    <row r="700" spans="11:11" x14ac:dyDescent="0.15">
      <c r="K700" s="216"/>
    </row>
    <row r="701" spans="11:11" x14ac:dyDescent="0.15">
      <c r="K701" s="216"/>
    </row>
    <row r="702" spans="11:11" x14ac:dyDescent="0.15">
      <c r="K702" s="216"/>
    </row>
    <row r="703" spans="11:11" x14ac:dyDescent="0.15">
      <c r="K703" s="216"/>
    </row>
    <row r="704" spans="11:11" x14ac:dyDescent="0.15">
      <c r="K704" s="216"/>
    </row>
    <row r="705" spans="11:11" x14ac:dyDescent="0.15">
      <c r="K705" s="216"/>
    </row>
    <row r="706" spans="11:11" x14ac:dyDescent="0.15">
      <c r="K706" s="216"/>
    </row>
    <row r="707" spans="11:11" x14ac:dyDescent="0.15">
      <c r="K707" s="216"/>
    </row>
    <row r="708" spans="11:11" x14ac:dyDescent="0.15">
      <c r="K708" s="216"/>
    </row>
    <row r="709" spans="11:11" x14ac:dyDescent="0.15">
      <c r="K709" s="216"/>
    </row>
    <row r="710" spans="11:11" x14ac:dyDescent="0.15">
      <c r="K710" s="216"/>
    </row>
    <row r="711" spans="11:11" x14ac:dyDescent="0.15">
      <c r="K711" s="216"/>
    </row>
    <row r="712" spans="11:11" x14ac:dyDescent="0.15">
      <c r="K712" s="216"/>
    </row>
    <row r="713" spans="11:11" x14ac:dyDescent="0.15">
      <c r="K713" s="216"/>
    </row>
    <row r="714" spans="11:11" x14ac:dyDescent="0.15">
      <c r="K714" s="216"/>
    </row>
    <row r="715" spans="11:11" x14ac:dyDescent="0.15">
      <c r="K715" s="216"/>
    </row>
    <row r="716" spans="11:11" x14ac:dyDescent="0.15">
      <c r="K716" s="216"/>
    </row>
    <row r="717" spans="11:11" x14ac:dyDescent="0.15">
      <c r="K717" s="216"/>
    </row>
    <row r="718" spans="11:11" x14ac:dyDescent="0.15">
      <c r="K718" s="216"/>
    </row>
    <row r="719" spans="11:11" x14ac:dyDescent="0.15">
      <c r="K719" s="216"/>
    </row>
    <row r="720" spans="11:11" x14ac:dyDescent="0.15">
      <c r="K720" s="216"/>
    </row>
    <row r="721" spans="11:11" x14ac:dyDescent="0.15">
      <c r="K721" s="216"/>
    </row>
    <row r="722" spans="11:11" x14ac:dyDescent="0.15">
      <c r="K722" s="216"/>
    </row>
    <row r="723" spans="11:11" x14ac:dyDescent="0.15">
      <c r="K723" s="216"/>
    </row>
    <row r="724" spans="11:11" x14ac:dyDescent="0.15">
      <c r="K724" s="216"/>
    </row>
    <row r="725" spans="11:11" x14ac:dyDescent="0.15">
      <c r="K725" s="216"/>
    </row>
    <row r="726" spans="11:11" x14ac:dyDescent="0.15">
      <c r="K726" s="216"/>
    </row>
    <row r="727" spans="11:11" x14ac:dyDescent="0.15">
      <c r="K727" s="216"/>
    </row>
    <row r="728" spans="11:11" x14ac:dyDescent="0.15">
      <c r="K728" s="216"/>
    </row>
    <row r="729" spans="11:11" x14ac:dyDescent="0.15">
      <c r="K729" s="216"/>
    </row>
    <row r="730" spans="11:11" x14ac:dyDescent="0.15">
      <c r="K730" s="216"/>
    </row>
    <row r="731" spans="11:11" x14ac:dyDescent="0.15">
      <c r="K731" s="216"/>
    </row>
    <row r="732" spans="11:11" x14ac:dyDescent="0.15">
      <c r="K732" s="216"/>
    </row>
    <row r="733" spans="11:11" x14ac:dyDescent="0.15">
      <c r="K733" s="216"/>
    </row>
    <row r="734" spans="11:11" x14ac:dyDescent="0.15">
      <c r="K734" s="216"/>
    </row>
    <row r="735" spans="11:11" x14ac:dyDescent="0.15">
      <c r="K735" s="216"/>
    </row>
    <row r="736" spans="11:11" x14ac:dyDescent="0.15">
      <c r="K736" s="216"/>
    </row>
    <row r="737" spans="11:11" x14ac:dyDescent="0.15">
      <c r="K737" s="216"/>
    </row>
    <row r="738" spans="11:11" x14ac:dyDescent="0.15">
      <c r="K738" s="216"/>
    </row>
    <row r="739" spans="11:11" x14ac:dyDescent="0.15">
      <c r="K739" s="216"/>
    </row>
    <row r="740" spans="11:11" x14ac:dyDescent="0.15">
      <c r="K740" s="216"/>
    </row>
    <row r="741" spans="11:11" x14ac:dyDescent="0.15">
      <c r="K741" s="216"/>
    </row>
    <row r="742" spans="11:11" x14ac:dyDescent="0.15">
      <c r="K742" s="216"/>
    </row>
    <row r="743" spans="11:11" x14ac:dyDescent="0.15">
      <c r="K743" s="216"/>
    </row>
    <row r="744" spans="11:11" x14ac:dyDescent="0.15">
      <c r="K744" s="216"/>
    </row>
    <row r="745" spans="11:11" x14ac:dyDescent="0.15">
      <c r="K745" s="216"/>
    </row>
    <row r="746" spans="11:11" x14ac:dyDescent="0.15">
      <c r="K746" s="216"/>
    </row>
  </sheetData>
  <autoFilter ref="A1:AB91"/>
  <phoneticPr fontId="3"/>
  <dataValidations count="12">
    <dataValidation type="list" allowBlank="1" showInputMessage="1" showErrorMessage="1" sqref="K2:K746">
      <formula1>$AR$2:$AR$23</formula1>
    </dataValidation>
    <dataValidation type="list" allowBlank="1" showInputMessage="1" showErrorMessage="1" sqref="A2:A433">
      <formula1>$AE$2:$AE$19</formula1>
    </dataValidation>
    <dataValidation type="list" allowBlank="1" showInputMessage="1" showErrorMessage="1" sqref="Y2:AA434">
      <formula1>$AV$2:$AV$21</formula1>
    </dataValidation>
    <dataValidation type="list" allowBlank="1" showInputMessage="1" showErrorMessage="1" sqref="H2:H434">
      <formula1>$AL$2:$AL$8</formula1>
    </dataValidation>
    <dataValidation type="list" allowBlank="1" showInputMessage="1" showErrorMessage="1" sqref="X2:X434">
      <formula1>$AT$2:$AT$3</formula1>
    </dataValidation>
    <dataValidation type="list" allowBlank="1" showInputMessage="1" showErrorMessage="1" sqref="G2:G434">
      <formula1>$AJ$2:$AJ$4</formula1>
    </dataValidation>
    <dataValidation type="list" allowBlank="1" showInputMessage="1" showErrorMessage="1" sqref="I2:I434">
      <formula1>$AN$5:$AN$6</formula1>
    </dataValidation>
    <dataValidation type="list" allowBlank="1" showInputMessage="1" showErrorMessage="1" sqref="J2:J434">
      <formula1>$AP$2:$AP$24</formula1>
    </dataValidation>
    <dataValidation type="list" allowBlank="1" showInputMessage="1" showErrorMessage="1" sqref="F2:F434">
      <formula1>$AH$2:$AH$11</formula1>
    </dataValidation>
    <dataValidation type="list" allowBlank="1" showInputMessage="1" showErrorMessage="1" sqref="E2:E434">
      <formula1>$AG$2:$AG$11</formula1>
    </dataValidation>
    <dataValidation type="decimal" allowBlank="1" showInputMessage="1" showErrorMessage="1" error="硬度を正しく入力して下さい。" sqref="O2:P49 O59:P434">
      <formula1>0</formula1>
      <formula2>7</formula2>
    </dataValidation>
    <dataValidation operator="equal" allowBlank="1" showInputMessage="1" showErrorMessage="1" sqref="B2:B91"/>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7761C7D-EA44-4F54-BD80-44F056FB03D8}"/>
</file>

<file path=customXml/itemProps2.xml><?xml version="1.0" encoding="utf-8"?>
<ds:datastoreItem xmlns:ds="http://schemas.openxmlformats.org/officeDocument/2006/customXml" ds:itemID="{4E0A8CF5-7470-47EA-BA51-B35C96A2A06D}"/>
</file>

<file path=customXml/itemProps3.xml><?xml version="1.0" encoding="utf-8"?>
<ds:datastoreItem xmlns:ds="http://schemas.openxmlformats.org/officeDocument/2006/customXml" ds:itemID="{9C9C0F39-331B-42F9-ADED-83E7DB8BD80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2018-08-21T01:16:38Z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