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worksheets/sheet8.xml" ContentType="application/vnd.openxmlformats-officedocument.spreadsheetml.worksheet+xml"/>
  <Override PartName="/xl/styles.xml" ContentType="application/vnd.openxmlformats-officedocument.spreadsheetml.styles+xml"/>
  <Override PartName="/xl/worksheets/sheet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bookViews>
  <sheets>
    <sheet name="sapporo" sheetId="17" r:id="rId1"/>
    <sheet name="miyagi" sheetId="26" r:id="rId2"/>
    <sheet name="nagoya" sheetId="27" r:id="rId3"/>
    <sheet name="osaka" sheetId="28" r:id="rId4"/>
    <sheet name="hiroshima" sheetId="31" r:id="rId5"/>
    <sheet name="fukuoka" sheetId="29" r:id="rId6"/>
    <sheet name="tokyo-east(ota)" sheetId="32" r:id="rId7"/>
    <sheet name="tokyo-west(kato)" sheetId="30" r:id="rId8"/>
  </sheets>
  <externalReferences>
    <externalReference r:id="rId9"/>
    <externalReference r:id="rId10"/>
  </externalReferences>
  <definedNames>
    <definedName name="_xlnm._FilterDatabase" localSheetId="5" hidden="1">fukuoka!$A$1:$BA$152</definedName>
    <definedName name="_xlnm._FilterDatabase" localSheetId="4" hidden="1">hiroshima!$A$1:$BA$1</definedName>
    <definedName name="_xlnm._FilterDatabase" localSheetId="1" hidden="1">miyagi!$A$1:$BA$142</definedName>
    <definedName name="_xlnm._FilterDatabase" localSheetId="2" hidden="1">nagoya!$A$1:$BA$52</definedName>
    <definedName name="_xlnm._FilterDatabase" localSheetId="3" hidden="1">osaka!$A$1:$BA$73</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4">#REF!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4">#REF!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4">#REF!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4">#REF!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hiroshima!$E$1:$S$75</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4">#REF!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T91" i="32" l="1"/>
  <c r="V91" i="32" s="1"/>
  <c r="Q91" i="32"/>
  <c r="T90" i="32"/>
  <c r="V90" i="32" s="1"/>
  <c r="Q90" i="32"/>
  <c r="T89" i="32"/>
  <c r="V89" i="32" s="1"/>
  <c r="Q89" i="32"/>
  <c r="T88" i="32"/>
  <c r="V88" i="32" s="1"/>
  <c r="Q88" i="32"/>
  <c r="V87" i="32"/>
  <c r="T87" i="32"/>
  <c r="Q87" i="32"/>
  <c r="V86" i="32"/>
  <c r="T86" i="32"/>
  <c r="Q86" i="32"/>
  <c r="T85" i="32"/>
  <c r="V85" i="32" s="1"/>
  <c r="Q85" i="32"/>
  <c r="T84" i="32"/>
  <c r="V84" i="32" s="1"/>
  <c r="Q84" i="32"/>
  <c r="T83" i="32"/>
  <c r="V83" i="32" s="1"/>
  <c r="Q83" i="32"/>
  <c r="T82" i="32"/>
  <c r="V82" i="32" s="1"/>
  <c r="Q82" i="32"/>
  <c r="T81" i="32"/>
  <c r="V81" i="32" s="1"/>
  <c r="Q81" i="32"/>
  <c r="T80" i="32"/>
  <c r="V80" i="32" s="1"/>
  <c r="Q80" i="32"/>
  <c r="V79" i="32"/>
  <c r="T79" i="32"/>
  <c r="Q79" i="32"/>
  <c r="V78" i="32"/>
  <c r="T78" i="32"/>
  <c r="Q78" i="32"/>
  <c r="T77" i="32"/>
  <c r="V77" i="32" s="1"/>
  <c r="Q77" i="32"/>
  <c r="T76" i="32"/>
  <c r="V76" i="32" s="1"/>
  <c r="Q76" i="32"/>
  <c r="T75" i="32"/>
  <c r="V75" i="32" s="1"/>
  <c r="Q75" i="32"/>
  <c r="T74" i="32"/>
  <c r="V74" i="32" s="1"/>
  <c r="Q74" i="32"/>
  <c r="T73" i="32"/>
  <c r="V73" i="32" s="1"/>
  <c r="Q73" i="32"/>
  <c r="T72" i="32"/>
  <c r="V72" i="32" s="1"/>
  <c r="Q72" i="32"/>
  <c r="V71" i="32"/>
  <c r="T71" i="32"/>
  <c r="Q71" i="32"/>
  <c r="V70" i="32"/>
  <c r="T70" i="32"/>
  <c r="Q70" i="32"/>
  <c r="T69" i="32"/>
  <c r="V69" i="32" s="1"/>
  <c r="Q69" i="32"/>
  <c r="T68" i="32"/>
  <c r="V68" i="32" s="1"/>
  <c r="Q68" i="32"/>
  <c r="T67" i="32"/>
  <c r="V67" i="32" s="1"/>
  <c r="Q67" i="32"/>
  <c r="T66" i="32"/>
  <c r="V66" i="32" s="1"/>
  <c r="Q66" i="32"/>
  <c r="T65" i="32"/>
  <c r="V65" i="32" s="1"/>
  <c r="Q65" i="32"/>
  <c r="T64" i="32"/>
  <c r="V64" i="32" s="1"/>
  <c r="Q64" i="32"/>
  <c r="V63" i="32"/>
  <c r="T63" i="32"/>
  <c r="Q63" i="32"/>
  <c r="V62" i="32"/>
  <c r="T62" i="32"/>
  <c r="Q62" i="32"/>
  <c r="T61" i="32"/>
  <c r="V61" i="32" s="1"/>
  <c r="Q61" i="32"/>
  <c r="T60" i="32"/>
  <c r="V60" i="32" s="1"/>
  <c r="Q60" i="32"/>
  <c r="T59" i="32"/>
  <c r="V59" i="32" s="1"/>
  <c r="Q59" i="32"/>
  <c r="T58" i="32"/>
  <c r="V58" i="32" s="1"/>
  <c r="Q58" i="32"/>
  <c r="T57" i="32"/>
  <c r="V57" i="32" s="1"/>
  <c r="Q57" i="32"/>
  <c r="T56" i="32"/>
  <c r="V56" i="32" s="1"/>
  <c r="Q56" i="32"/>
  <c r="V55" i="32"/>
  <c r="T55" i="32"/>
  <c r="Q55" i="32"/>
  <c r="V54" i="32"/>
  <c r="T54" i="32"/>
  <c r="Q54" i="32"/>
  <c r="T53" i="32"/>
  <c r="V53" i="32" s="1"/>
  <c r="Q53" i="32"/>
  <c r="T52" i="32"/>
  <c r="V52" i="32" s="1"/>
  <c r="Q52" i="32"/>
  <c r="T51" i="32"/>
  <c r="V51" i="32" s="1"/>
  <c r="Q51" i="32"/>
  <c r="T50" i="32"/>
  <c r="V50" i="32" s="1"/>
  <c r="Q50" i="32"/>
  <c r="T49" i="32"/>
  <c r="V49" i="32" s="1"/>
  <c r="Q49" i="32"/>
  <c r="T48" i="32"/>
  <c r="V48" i="32" s="1"/>
  <c r="Q48" i="32"/>
  <c r="V47" i="32"/>
  <c r="T47" i="32"/>
  <c r="Q47" i="32"/>
  <c r="V46" i="32"/>
  <c r="T46" i="32"/>
  <c r="Q46" i="32"/>
  <c r="T45" i="32"/>
  <c r="V45" i="32" s="1"/>
  <c r="Q45" i="32"/>
  <c r="T44" i="32"/>
  <c r="V44" i="32" s="1"/>
  <c r="Q44" i="32"/>
  <c r="T43" i="32"/>
  <c r="V43" i="32" s="1"/>
  <c r="Q43" i="32"/>
  <c r="T42" i="32"/>
  <c r="V42" i="32" s="1"/>
  <c r="Q42" i="32"/>
  <c r="T41" i="32"/>
  <c r="V41" i="32" s="1"/>
  <c r="Q41" i="32"/>
  <c r="T40" i="32"/>
  <c r="V40" i="32" s="1"/>
  <c r="Q40" i="32"/>
  <c r="V39" i="32"/>
  <c r="T39" i="32"/>
  <c r="Q39" i="32"/>
  <c r="V38" i="32"/>
  <c r="T38" i="32"/>
  <c r="Q38" i="32"/>
  <c r="T37" i="32"/>
  <c r="V37" i="32" s="1"/>
  <c r="Q37" i="32"/>
  <c r="T36" i="32"/>
  <c r="V36" i="32" s="1"/>
  <c r="Q36" i="32"/>
  <c r="T35" i="32"/>
  <c r="V35" i="32" s="1"/>
  <c r="Q35" i="32"/>
  <c r="T34" i="32"/>
  <c r="V34" i="32" s="1"/>
  <c r="Q34" i="32"/>
  <c r="T33" i="32"/>
  <c r="V33" i="32" s="1"/>
  <c r="Q33" i="32"/>
  <c r="T32" i="32"/>
  <c r="V32" i="32" s="1"/>
  <c r="Q32" i="32"/>
  <c r="V31" i="32"/>
  <c r="T31" i="32"/>
  <c r="Q31" i="32"/>
  <c r="V30" i="32"/>
  <c r="T30" i="32"/>
  <c r="Q30" i="32"/>
  <c r="T29" i="32"/>
  <c r="V29" i="32" s="1"/>
  <c r="Q29" i="32"/>
  <c r="T28" i="32"/>
  <c r="V28" i="32" s="1"/>
  <c r="Q28" i="32"/>
  <c r="T27" i="32"/>
  <c r="V27" i="32" s="1"/>
  <c r="Q27" i="32"/>
  <c r="T26" i="32"/>
  <c r="V26" i="32" s="1"/>
  <c r="Q26" i="32"/>
  <c r="T25" i="32"/>
  <c r="V25" i="32" s="1"/>
  <c r="Q25" i="32"/>
  <c r="T24" i="32"/>
  <c r="V24" i="32" s="1"/>
  <c r="Q24" i="32"/>
  <c r="V23" i="32"/>
  <c r="T23" i="32"/>
  <c r="Q23" i="32"/>
  <c r="V22" i="32"/>
  <c r="T22" i="32"/>
  <c r="Q22" i="32"/>
  <c r="T21" i="32"/>
  <c r="V21" i="32" s="1"/>
  <c r="Q21" i="32"/>
  <c r="T20" i="32"/>
  <c r="V20" i="32" s="1"/>
  <c r="Q20" i="32"/>
  <c r="T19" i="32"/>
  <c r="V19" i="32" s="1"/>
  <c r="Q19" i="32"/>
  <c r="T18" i="32"/>
  <c r="V18" i="32" s="1"/>
  <c r="Q18" i="32"/>
  <c r="T17" i="32"/>
  <c r="V17" i="32" s="1"/>
  <c r="Q17" i="32"/>
  <c r="T16" i="32"/>
  <c r="V16" i="32" s="1"/>
  <c r="Q16" i="32"/>
  <c r="V15" i="32"/>
  <c r="T15" i="32"/>
  <c r="Q15" i="32"/>
  <c r="V14" i="32"/>
  <c r="T14" i="32"/>
  <c r="Q14" i="32"/>
  <c r="T13" i="32"/>
  <c r="V13" i="32" s="1"/>
  <c r="Q13" i="32"/>
  <c r="T12" i="32"/>
  <c r="V12" i="32" s="1"/>
  <c r="Q12" i="32"/>
  <c r="T11" i="32"/>
  <c r="V11" i="32" s="1"/>
  <c r="Q11" i="32"/>
  <c r="T10" i="32"/>
  <c r="V10" i="32" s="1"/>
  <c r="Q10" i="32"/>
  <c r="T9" i="32"/>
  <c r="V9" i="32" s="1"/>
  <c r="Q9" i="32"/>
  <c r="T8" i="32"/>
  <c r="V8" i="32" s="1"/>
  <c r="Q8" i="32"/>
  <c r="V7" i="32"/>
  <c r="T7" i="32"/>
  <c r="Q7" i="32"/>
  <c r="V6" i="32"/>
  <c r="T6" i="32"/>
  <c r="Q6" i="32"/>
  <c r="T5" i="32"/>
  <c r="V5" i="32" s="1"/>
  <c r="Q5" i="32"/>
  <c r="T4" i="32"/>
  <c r="V4" i="32" s="1"/>
  <c r="Q4" i="32"/>
  <c r="T3" i="32"/>
  <c r="V3" i="32" s="1"/>
  <c r="Q3" i="32"/>
  <c r="T2" i="32"/>
  <c r="V2" i="32" s="1"/>
  <c r="Q2" i="32"/>
  <c r="V85" i="31" l="1"/>
  <c r="T85" i="31"/>
  <c r="Q85" i="31"/>
  <c r="T84" i="31"/>
  <c r="V84" i="31" s="1"/>
  <c r="Q84" i="31"/>
  <c r="V83" i="31"/>
  <c r="T83" i="31"/>
  <c r="Q83" i="31"/>
  <c r="T82" i="31"/>
  <c r="V82" i="31" s="1"/>
  <c r="Q82" i="31"/>
  <c r="V81" i="31"/>
  <c r="T81" i="31"/>
  <c r="Q81" i="31"/>
  <c r="T80" i="31"/>
  <c r="V80" i="31" s="1"/>
  <c r="Q80" i="31"/>
  <c r="T79" i="31"/>
  <c r="V79" i="31" s="1"/>
  <c r="Q79" i="31"/>
  <c r="V78" i="31"/>
  <c r="T78" i="31"/>
  <c r="Q78" i="31"/>
  <c r="V77" i="31"/>
  <c r="T77" i="31"/>
  <c r="Q77" i="31"/>
  <c r="T76" i="31"/>
  <c r="V76" i="31" s="1"/>
  <c r="Q76" i="31"/>
  <c r="V75" i="31"/>
  <c r="T75" i="31"/>
  <c r="Q75" i="31"/>
  <c r="T74" i="31"/>
  <c r="V74" i="31" s="1"/>
  <c r="Q74" i="31"/>
  <c r="V73" i="31"/>
  <c r="T73" i="31"/>
  <c r="Q73" i="31"/>
  <c r="T72" i="31"/>
  <c r="V72" i="31" s="1"/>
  <c r="Q72" i="31"/>
  <c r="T71" i="31"/>
  <c r="V71" i="31" s="1"/>
  <c r="Q71" i="31"/>
  <c r="V70" i="31"/>
  <c r="T70" i="31"/>
  <c r="Q70" i="31"/>
  <c r="V69" i="31"/>
  <c r="T69" i="31"/>
  <c r="Q69" i="31"/>
  <c r="T68" i="31"/>
  <c r="V68" i="31" s="1"/>
  <c r="Q68" i="31"/>
  <c r="V67" i="31"/>
  <c r="T67" i="31"/>
  <c r="Q67" i="31"/>
  <c r="T66" i="31"/>
  <c r="V66" i="31" s="1"/>
  <c r="Q66" i="31"/>
  <c r="V65" i="31"/>
  <c r="T65" i="31"/>
  <c r="Q65" i="31"/>
  <c r="T64" i="31"/>
  <c r="V64" i="31" s="1"/>
  <c r="Q64" i="31"/>
  <c r="T63" i="31"/>
  <c r="V63" i="31" s="1"/>
  <c r="Q63" i="31"/>
  <c r="V62" i="31"/>
  <c r="T62" i="31"/>
  <c r="Q62" i="31"/>
  <c r="V61" i="31"/>
  <c r="T61" i="31"/>
  <c r="Q61" i="31"/>
  <c r="T60" i="31"/>
  <c r="V60" i="31" s="1"/>
  <c r="Q60" i="31"/>
  <c r="V59" i="31"/>
  <c r="T59" i="31"/>
  <c r="Q59" i="31"/>
  <c r="T58" i="31"/>
  <c r="V58" i="31" s="1"/>
  <c r="Q58" i="31"/>
  <c r="V57" i="31"/>
  <c r="T57" i="31"/>
  <c r="Q57" i="31"/>
  <c r="T56" i="31"/>
  <c r="V56" i="31" s="1"/>
  <c r="Q56" i="31"/>
  <c r="T55" i="31"/>
  <c r="V55" i="31" s="1"/>
  <c r="Q55" i="31"/>
  <c r="V54" i="31"/>
  <c r="T54" i="31"/>
  <c r="Q54" i="31"/>
  <c r="V53" i="31"/>
  <c r="T53" i="31"/>
  <c r="Q53" i="31"/>
  <c r="T52" i="31"/>
  <c r="V52" i="31" s="1"/>
  <c r="Q52" i="31"/>
  <c r="V51" i="31"/>
  <c r="T51" i="31"/>
  <c r="Q51" i="31"/>
  <c r="T50" i="31"/>
  <c r="V50" i="31" s="1"/>
  <c r="Q50" i="31"/>
  <c r="V49" i="31"/>
  <c r="T49" i="31"/>
  <c r="Q49" i="31"/>
  <c r="T48" i="31"/>
  <c r="V48" i="31" s="1"/>
  <c r="Q48" i="31"/>
  <c r="T47" i="31"/>
  <c r="V47" i="31" s="1"/>
  <c r="Q47" i="31"/>
  <c r="V46" i="31"/>
  <c r="T46" i="31"/>
  <c r="Q46" i="31"/>
  <c r="V45" i="31"/>
  <c r="T45" i="31"/>
  <c r="Q45" i="31"/>
  <c r="T44" i="31"/>
  <c r="V44" i="31" s="1"/>
  <c r="Q44" i="31"/>
  <c r="V43" i="31"/>
  <c r="T43" i="31"/>
  <c r="Q43" i="31"/>
  <c r="T42" i="31"/>
  <c r="V42" i="31" s="1"/>
  <c r="Q42" i="31"/>
  <c r="V41" i="31"/>
  <c r="T41" i="31"/>
  <c r="Q41" i="31"/>
  <c r="T40" i="31"/>
  <c r="V40" i="31" s="1"/>
  <c r="Q40" i="31"/>
  <c r="T39" i="31"/>
  <c r="V39" i="31" s="1"/>
  <c r="Q39" i="31"/>
  <c r="V38" i="31"/>
  <c r="T38" i="31"/>
  <c r="Q38" i="31"/>
  <c r="V37" i="31"/>
  <c r="T37" i="31"/>
  <c r="Q37" i="31"/>
  <c r="T36" i="31"/>
  <c r="V36" i="31" s="1"/>
  <c r="Q36" i="31"/>
  <c r="V35" i="31"/>
  <c r="T35" i="31"/>
  <c r="Q35" i="31"/>
  <c r="T34" i="31"/>
  <c r="V34" i="31" s="1"/>
  <c r="Q34" i="31"/>
  <c r="V33" i="31"/>
  <c r="T33" i="31"/>
  <c r="Q33" i="31"/>
  <c r="T32" i="31"/>
  <c r="V32" i="31" s="1"/>
  <c r="Q32" i="31"/>
  <c r="T31" i="31"/>
  <c r="V31" i="31" s="1"/>
  <c r="Q31" i="31"/>
  <c r="V30" i="31"/>
  <c r="T30" i="31"/>
  <c r="Q30" i="31"/>
  <c r="V29" i="31"/>
  <c r="T29" i="31"/>
  <c r="Q29" i="31"/>
  <c r="T28" i="31"/>
  <c r="V28" i="31" s="1"/>
  <c r="Q28" i="31"/>
  <c r="V27" i="31"/>
  <c r="T27" i="31"/>
  <c r="Q27" i="31"/>
  <c r="T26" i="31"/>
  <c r="V26" i="31" s="1"/>
  <c r="Q26" i="31"/>
  <c r="V25" i="31"/>
  <c r="T25" i="31"/>
  <c r="Q25" i="31"/>
  <c r="T24" i="31"/>
  <c r="V24" i="31" s="1"/>
  <c r="Q24" i="31"/>
  <c r="T23" i="31"/>
  <c r="V23" i="31" s="1"/>
  <c r="Q23" i="31"/>
  <c r="V22" i="31"/>
  <c r="T22" i="31"/>
  <c r="Q22" i="31"/>
  <c r="V21" i="31"/>
  <c r="T21" i="31"/>
  <c r="Q21" i="31"/>
  <c r="T20" i="31"/>
  <c r="V20" i="31" s="1"/>
  <c r="Q20" i="31"/>
  <c r="V19" i="31"/>
  <c r="T19" i="31"/>
  <c r="Q19" i="31"/>
  <c r="T18" i="31"/>
  <c r="V18" i="31" s="1"/>
  <c r="Q18" i="31"/>
  <c r="V17" i="31"/>
  <c r="T17" i="31"/>
  <c r="Q17" i="31"/>
  <c r="T16" i="31"/>
  <c r="V16" i="31" s="1"/>
  <c r="Q16" i="31"/>
  <c r="T15" i="31"/>
  <c r="V15" i="31" s="1"/>
  <c r="Q15" i="31"/>
  <c r="V14" i="31"/>
  <c r="T14" i="31"/>
  <c r="Q14" i="31"/>
  <c r="V13" i="31"/>
  <c r="T13" i="31"/>
  <c r="Q13" i="31"/>
  <c r="T12" i="31"/>
  <c r="V12" i="31" s="1"/>
  <c r="Q12" i="31"/>
  <c r="V11" i="31"/>
  <c r="T11" i="31"/>
  <c r="Q11" i="31"/>
  <c r="T10" i="31"/>
  <c r="V10" i="31" s="1"/>
  <c r="Q10" i="31"/>
  <c r="V9" i="31"/>
  <c r="T9" i="31"/>
  <c r="Q9" i="31"/>
  <c r="T8" i="31"/>
  <c r="V8" i="31" s="1"/>
  <c r="Q8" i="31"/>
  <c r="T7" i="31"/>
  <c r="V7" i="31" s="1"/>
  <c r="Q7" i="31"/>
  <c r="V6" i="31"/>
  <c r="T6" i="31"/>
  <c r="Q6" i="31"/>
  <c r="V5" i="31"/>
  <c r="T5" i="31"/>
  <c r="Q5" i="31"/>
  <c r="T4" i="31"/>
  <c r="V4" i="31" s="1"/>
  <c r="Q4" i="31"/>
  <c r="V3" i="31"/>
  <c r="T3" i="31"/>
  <c r="Q3" i="31"/>
  <c r="T2" i="31"/>
  <c r="V2" i="31" s="1"/>
  <c r="Q2" i="31"/>
  <c r="T123" i="30" l="1"/>
  <c r="T122" i="30"/>
  <c r="T121" i="30"/>
  <c r="T120" i="30"/>
  <c r="V119" i="30"/>
  <c r="T119" i="30"/>
  <c r="V118" i="30"/>
  <c r="T118" i="30"/>
  <c r="T117" i="30"/>
  <c r="V117" i="30" s="1"/>
  <c r="Q117" i="30"/>
  <c r="T116" i="30"/>
  <c r="V116" i="30" s="1"/>
  <c r="Q116" i="30"/>
  <c r="T115" i="30"/>
  <c r="V115" i="30" s="1"/>
  <c r="Q115" i="30"/>
  <c r="V114" i="30"/>
  <c r="T114" i="30"/>
  <c r="Q114" i="30"/>
  <c r="V113" i="30"/>
  <c r="T113" i="30"/>
  <c r="Q113" i="30"/>
  <c r="T112" i="30"/>
  <c r="V112" i="30" s="1"/>
  <c r="Q112" i="30"/>
  <c r="T111" i="30"/>
  <c r="V111" i="30" s="1"/>
  <c r="Q111" i="30"/>
  <c r="T110" i="30"/>
  <c r="V110" i="30" s="1"/>
  <c r="Q110" i="30"/>
  <c r="T109" i="30"/>
  <c r="V109" i="30" s="1"/>
  <c r="Q109" i="30"/>
  <c r="T108" i="30"/>
  <c r="V108" i="30" s="1"/>
  <c r="Q108" i="30"/>
  <c r="T107" i="30"/>
  <c r="V107" i="30" s="1"/>
  <c r="Q107" i="30"/>
  <c r="V106" i="30"/>
  <c r="T106" i="30"/>
  <c r="Q106" i="30"/>
  <c r="V105" i="30"/>
  <c r="T105" i="30"/>
  <c r="Q105" i="30"/>
  <c r="T104" i="30"/>
  <c r="V104" i="30" s="1"/>
  <c r="Q104" i="30"/>
  <c r="T103" i="30"/>
  <c r="V103" i="30" s="1"/>
  <c r="Q103" i="30"/>
  <c r="T102" i="30"/>
  <c r="V102" i="30" s="1"/>
  <c r="Q102" i="30"/>
  <c r="T101" i="30"/>
  <c r="V101" i="30" s="1"/>
  <c r="Q101" i="30"/>
  <c r="T100" i="30"/>
  <c r="V100" i="30" s="1"/>
  <c r="Q100" i="30"/>
  <c r="T99" i="30"/>
  <c r="V99" i="30" s="1"/>
  <c r="Q99" i="30"/>
  <c r="V98" i="30"/>
  <c r="T98" i="30"/>
  <c r="Q98" i="30"/>
  <c r="V97" i="30"/>
  <c r="T97" i="30"/>
  <c r="Q97" i="30"/>
  <c r="T96" i="30"/>
  <c r="V96" i="30" s="1"/>
  <c r="Q96" i="30"/>
  <c r="T95" i="30"/>
  <c r="V95" i="30" s="1"/>
  <c r="Q95" i="30"/>
  <c r="T94" i="30"/>
  <c r="V94" i="30" s="1"/>
  <c r="Q94" i="30"/>
  <c r="T93" i="30"/>
  <c r="V93" i="30" s="1"/>
  <c r="Q93" i="30"/>
  <c r="T92" i="30"/>
  <c r="V92" i="30" s="1"/>
  <c r="Q92" i="30"/>
  <c r="T91" i="30"/>
  <c r="V91" i="30" s="1"/>
  <c r="Q91" i="30"/>
  <c r="V90" i="30"/>
  <c r="T90" i="30"/>
  <c r="Q90" i="30"/>
  <c r="V89" i="30"/>
  <c r="T89" i="30"/>
  <c r="Q89" i="30"/>
  <c r="T88" i="30"/>
  <c r="V88" i="30" s="1"/>
  <c r="Q88" i="30"/>
  <c r="T87" i="30"/>
  <c r="V87" i="30" s="1"/>
  <c r="Q87" i="30"/>
  <c r="T86" i="30"/>
  <c r="V86" i="30" s="1"/>
  <c r="Q86" i="30"/>
  <c r="T85" i="30"/>
  <c r="V85" i="30" s="1"/>
  <c r="Q85" i="30"/>
  <c r="T84" i="30"/>
  <c r="V84" i="30" s="1"/>
  <c r="Q84" i="30"/>
  <c r="T83" i="30"/>
  <c r="V83" i="30" s="1"/>
  <c r="Q83" i="30"/>
  <c r="V82" i="30"/>
  <c r="T82" i="30"/>
  <c r="Q82" i="30"/>
  <c r="V81" i="30"/>
  <c r="T81" i="30"/>
  <c r="Q81" i="30"/>
  <c r="T80" i="30"/>
  <c r="V80" i="30" s="1"/>
  <c r="Q80" i="30"/>
  <c r="T79" i="30"/>
  <c r="V79" i="30" s="1"/>
  <c r="Q79" i="30"/>
  <c r="T78" i="30"/>
  <c r="V78" i="30" s="1"/>
  <c r="Q78" i="30"/>
  <c r="T77" i="30"/>
  <c r="V77" i="30" s="1"/>
  <c r="Q77" i="30"/>
  <c r="T76" i="30"/>
  <c r="V76" i="30" s="1"/>
  <c r="Q76" i="30"/>
  <c r="T75" i="30"/>
  <c r="V75" i="30" s="1"/>
  <c r="Q75" i="30"/>
  <c r="V74" i="30"/>
  <c r="T74" i="30"/>
  <c r="Q74" i="30"/>
  <c r="V73" i="30"/>
  <c r="T73" i="30"/>
  <c r="Q73" i="30"/>
  <c r="T72" i="30"/>
  <c r="V72" i="30" s="1"/>
  <c r="Q72" i="30"/>
  <c r="T71" i="30"/>
  <c r="V71" i="30" s="1"/>
  <c r="Q71" i="30"/>
  <c r="T70" i="30"/>
  <c r="V70" i="30" s="1"/>
  <c r="Q70" i="30"/>
  <c r="T69" i="30"/>
  <c r="V69" i="30" s="1"/>
  <c r="Q69" i="30"/>
  <c r="T68" i="30"/>
  <c r="V68" i="30" s="1"/>
  <c r="Q68" i="30"/>
  <c r="T67" i="30"/>
  <c r="V67" i="30" s="1"/>
  <c r="Q67" i="30"/>
  <c r="V66" i="30"/>
  <c r="T66" i="30"/>
  <c r="Q66" i="30"/>
  <c r="V65" i="30"/>
  <c r="T65" i="30"/>
  <c r="Q65" i="30"/>
  <c r="T64" i="30"/>
  <c r="V64" i="30" s="1"/>
  <c r="Q64" i="30"/>
  <c r="T63" i="30"/>
  <c r="V63" i="30" s="1"/>
  <c r="Q63" i="30"/>
  <c r="T62" i="30"/>
  <c r="V62" i="30" s="1"/>
  <c r="Q62" i="30"/>
  <c r="T61" i="30"/>
  <c r="V61" i="30" s="1"/>
  <c r="Q61" i="30"/>
  <c r="T60" i="30"/>
  <c r="V60" i="30" s="1"/>
  <c r="Q60" i="30"/>
  <c r="T59" i="30"/>
  <c r="V59" i="30" s="1"/>
  <c r="Q59" i="30"/>
  <c r="V58" i="30"/>
  <c r="T58" i="30"/>
  <c r="Q58" i="30"/>
  <c r="V57" i="30"/>
  <c r="T57" i="30"/>
  <c r="Q57" i="30"/>
  <c r="T56" i="30"/>
  <c r="V56" i="30" s="1"/>
  <c r="Q56" i="30"/>
  <c r="T55" i="30"/>
  <c r="V55" i="30" s="1"/>
  <c r="Q55" i="30"/>
  <c r="T54" i="30"/>
  <c r="V54" i="30" s="1"/>
  <c r="Q54" i="30"/>
  <c r="T53" i="30"/>
  <c r="V53" i="30" s="1"/>
  <c r="Q53" i="30"/>
  <c r="T52" i="30"/>
  <c r="V52" i="30" s="1"/>
  <c r="Q52" i="30"/>
  <c r="T51" i="30"/>
  <c r="V51" i="30" s="1"/>
  <c r="Q51" i="30"/>
  <c r="V50" i="30"/>
  <c r="T50" i="30"/>
  <c r="Q50" i="30"/>
  <c r="V49" i="30"/>
  <c r="T49" i="30"/>
  <c r="Q49" i="30"/>
  <c r="T48" i="30"/>
  <c r="V48" i="30" s="1"/>
  <c r="Q48" i="30"/>
  <c r="T47" i="30"/>
  <c r="V47" i="30" s="1"/>
  <c r="Q47" i="30"/>
  <c r="T46" i="30"/>
  <c r="V46" i="30" s="1"/>
  <c r="Q46" i="30"/>
  <c r="T45" i="30"/>
  <c r="V45" i="30" s="1"/>
  <c r="Q45" i="30"/>
  <c r="T44" i="30"/>
  <c r="V44" i="30" s="1"/>
  <c r="Q44" i="30"/>
  <c r="T43" i="30"/>
  <c r="V43" i="30" s="1"/>
  <c r="Q43" i="30"/>
  <c r="V42" i="30"/>
  <c r="T42" i="30"/>
  <c r="Q42" i="30"/>
  <c r="V41" i="30"/>
  <c r="T41" i="30"/>
  <c r="Q41" i="30"/>
  <c r="T40" i="30"/>
  <c r="V40" i="30" s="1"/>
  <c r="Q40" i="30"/>
  <c r="T39" i="30"/>
  <c r="V39" i="30" s="1"/>
  <c r="Q39" i="30"/>
  <c r="T38" i="30"/>
  <c r="V38" i="30" s="1"/>
  <c r="Q38" i="30"/>
  <c r="T37" i="30"/>
  <c r="V37" i="30" s="1"/>
  <c r="Q37" i="30"/>
  <c r="T36" i="30"/>
  <c r="V36" i="30" s="1"/>
  <c r="Q36" i="30"/>
  <c r="T35" i="30"/>
  <c r="V35" i="30" s="1"/>
  <c r="Q35" i="30"/>
  <c r="V34" i="30"/>
  <c r="T34" i="30"/>
  <c r="Q34" i="30"/>
  <c r="V33" i="30"/>
  <c r="T33" i="30"/>
  <c r="Q33" i="30"/>
  <c r="T32" i="30"/>
  <c r="V32" i="30" s="1"/>
  <c r="Q32" i="30"/>
  <c r="T31" i="30"/>
  <c r="V31" i="30" s="1"/>
  <c r="Q31" i="30"/>
  <c r="T30" i="30"/>
  <c r="V30" i="30" s="1"/>
  <c r="Q30" i="30"/>
  <c r="T29" i="30"/>
  <c r="V29" i="30" s="1"/>
  <c r="Q29" i="30"/>
  <c r="T28" i="30"/>
  <c r="V28" i="30" s="1"/>
  <c r="Q28" i="30"/>
  <c r="T27" i="30"/>
  <c r="V27" i="30" s="1"/>
  <c r="Q27" i="30"/>
  <c r="V26" i="30"/>
  <c r="T26" i="30"/>
  <c r="Q26" i="30"/>
  <c r="V25" i="30"/>
  <c r="T25" i="30"/>
  <c r="Q25" i="30"/>
  <c r="T24" i="30"/>
  <c r="V24" i="30" s="1"/>
  <c r="Q24" i="30"/>
  <c r="T23" i="30"/>
  <c r="V23" i="30" s="1"/>
  <c r="Q23" i="30"/>
  <c r="T22" i="30"/>
  <c r="V22" i="30" s="1"/>
  <c r="Q22" i="30"/>
  <c r="T21" i="30"/>
  <c r="V21" i="30" s="1"/>
  <c r="Q21" i="30"/>
  <c r="T20" i="30"/>
  <c r="V20" i="30" s="1"/>
  <c r="Q20" i="30"/>
  <c r="T19" i="30"/>
  <c r="V19" i="30" s="1"/>
  <c r="Q19" i="30"/>
  <c r="V18" i="30"/>
  <c r="T18" i="30"/>
  <c r="Q18" i="30"/>
  <c r="V17" i="30"/>
  <c r="T17" i="30"/>
  <c r="Q17" i="30"/>
  <c r="T16" i="30"/>
  <c r="V16" i="30" s="1"/>
  <c r="Q16" i="30"/>
  <c r="T15" i="30"/>
  <c r="V15" i="30" s="1"/>
  <c r="Q15" i="30"/>
  <c r="T14" i="30"/>
  <c r="V14" i="30" s="1"/>
  <c r="Q14" i="30"/>
  <c r="T13" i="30"/>
  <c r="V13" i="30" s="1"/>
  <c r="Q13" i="30"/>
  <c r="T12" i="30"/>
  <c r="V12" i="30" s="1"/>
  <c r="Q12" i="30"/>
  <c r="T11" i="30"/>
  <c r="V11" i="30" s="1"/>
  <c r="Q11" i="30"/>
  <c r="V10" i="30"/>
  <c r="T10" i="30"/>
  <c r="Q10" i="30"/>
  <c r="V9" i="30"/>
  <c r="T9" i="30"/>
  <c r="Q9" i="30"/>
  <c r="T8" i="30"/>
  <c r="V8" i="30" s="1"/>
  <c r="Q8" i="30"/>
  <c r="T7" i="30"/>
  <c r="V7" i="30" s="1"/>
  <c r="Q7" i="30"/>
  <c r="T6" i="30"/>
  <c r="V6" i="30" s="1"/>
  <c r="Q6" i="30"/>
  <c r="T5" i="30"/>
  <c r="V5" i="30" s="1"/>
  <c r="Q5" i="30"/>
  <c r="T4" i="30"/>
  <c r="V4" i="30" s="1"/>
  <c r="Q4" i="30"/>
  <c r="T3" i="30"/>
  <c r="V3" i="30" s="1"/>
  <c r="Q3" i="30"/>
  <c r="V2" i="30"/>
  <c r="T2" i="30"/>
  <c r="Q2" i="30"/>
  <c r="V152" i="29" l="1"/>
  <c r="T152" i="29"/>
  <c r="Q152" i="29"/>
  <c r="V151" i="29"/>
  <c r="T151" i="29"/>
  <c r="Q151" i="29"/>
  <c r="V150" i="29"/>
  <c r="T150" i="29"/>
  <c r="Q150" i="29"/>
  <c r="V149" i="29"/>
  <c r="T149" i="29"/>
  <c r="Q149" i="29"/>
  <c r="V148" i="29"/>
  <c r="T148" i="29"/>
  <c r="Q148" i="29"/>
  <c r="V147" i="29"/>
  <c r="T147" i="29"/>
  <c r="Q147" i="29"/>
  <c r="V146" i="29"/>
  <c r="T146" i="29"/>
  <c r="Q146" i="29"/>
  <c r="V145" i="29"/>
  <c r="T145" i="29"/>
  <c r="Q145" i="29"/>
  <c r="V144" i="29"/>
  <c r="T144" i="29"/>
  <c r="Q144" i="29"/>
  <c r="V143" i="29"/>
  <c r="T143" i="29"/>
  <c r="Q143" i="29"/>
  <c r="V142" i="29"/>
  <c r="T142" i="29"/>
  <c r="Q142" i="29"/>
  <c r="V141" i="29"/>
  <c r="T141" i="29"/>
  <c r="Q141" i="29"/>
  <c r="V140" i="29"/>
  <c r="T140" i="29"/>
  <c r="Q140" i="29"/>
  <c r="V139" i="29"/>
  <c r="T139" i="29"/>
  <c r="Q139" i="29"/>
  <c r="V138" i="29"/>
  <c r="T138" i="29"/>
  <c r="Q138" i="29"/>
  <c r="V137" i="29"/>
  <c r="T137" i="29"/>
  <c r="Q137" i="29"/>
  <c r="V136" i="29"/>
  <c r="T136" i="29"/>
  <c r="Q136" i="29"/>
  <c r="V135" i="29"/>
  <c r="T135" i="29"/>
  <c r="Q135" i="29"/>
  <c r="V134" i="29"/>
  <c r="T134" i="29"/>
  <c r="Q134" i="29"/>
  <c r="V133" i="29"/>
  <c r="T133" i="29"/>
  <c r="Q133" i="29"/>
  <c r="V132" i="29"/>
  <c r="T132" i="29"/>
  <c r="Q132" i="29"/>
  <c r="V131" i="29"/>
  <c r="T131" i="29"/>
  <c r="Q131" i="29"/>
  <c r="V130" i="29"/>
  <c r="T130" i="29"/>
  <c r="Q130" i="29"/>
  <c r="V129" i="29"/>
  <c r="T129" i="29"/>
  <c r="Q129" i="29"/>
  <c r="V128" i="29"/>
  <c r="T128" i="29"/>
  <c r="Q128" i="29"/>
  <c r="V127" i="29"/>
  <c r="T127" i="29"/>
  <c r="Q127" i="29"/>
  <c r="V126" i="29"/>
  <c r="T126" i="29"/>
  <c r="Q126" i="29"/>
  <c r="V125" i="29"/>
  <c r="T125" i="29"/>
  <c r="Q125" i="29"/>
  <c r="V124" i="29"/>
  <c r="T124" i="29"/>
  <c r="Q124" i="29"/>
  <c r="V123" i="29"/>
  <c r="T123" i="29"/>
  <c r="Q123" i="29"/>
  <c r="V122" i="29"/>
  <c r="T122" i="29"/>
  <c r="Q122" i="29"/>
  <c r="V121" i="29"/>
  <c r="T121" i="29"/>
  <c r="Q121" i="29"/>
  <c r="V120" i="29"/>
  <c r="T120" i="29"/>
  <c r="Q120" i="29"/>
  <c r="V119" i="29"/>
  <c r="T119" i="29"/>
  <c r="Q119" i="29"/>
  <c r="V118" i="29"/>
  <c r="T118" i="29"/>
  <c r="Q118" i="29"/>
  <c r="V117" i="29"/>
  <c r="T117" i="29"/>
  <c r="Q117" i="29"/>
  <c r="V116" i="29"/>
  <c r="T116" i="29"/>
  <c r="Q116" i="29"/>
  <c r="V115" i="29"/>
  <c r="T115" i="29"/>
  <c r="Q115" i="29"/>
  <c r="V114" i="29"/>
  <c r="T114" i="29"/>
  <c r="Q114" i="29"/>
  <c r="V113" i="29"/>
  <c r="T113" i="29"/>
  <c r="Q113" i="29"/>
  <c r="V112" i="29"/>
  <c r="T112" i="29"/>
  <c r="Q112" i="29"/>
  <c r="V111" i="29"/>
  <c r="T111" i="29"/>
  <c r="Q111" i="29"/>
  <c r="V110" i="29"/>
  <c r="T110" i="29"/>
  <c r="Q110" i="29"/>
  <c r="V109" i="29"/>
  <c r="T109" i="29"/>
  <c r="Q109" i="29"/>
  <c r="V108" i="29"/>
  <c r="T108" i="29"/>
  <c r="Q108" i="29"/>
  <c r="V107" i="29"/>
  <c r="T107" i="29"/>
  <c r="Q107" i="29"/>
  <c r="V106" i="29"/>
  <c r="T106" i="29"/>
  <c r="Q106" i="29"/>
  <c r="V105" i="29"/>
  <c r="T105" i="29"/>
  <c r="Q105" i="29"/>
  <c r="V104" i="29"/>
  <c r="T104" i="29"/>
  <c r="Q104" i="29"/>
  <c r="V103" i="29"/>
  <c r="T103" i="29"/>
  <c r="Q103" i="29"/>
  <c r="V102" i="29"/>
  <c r="T102" i="29"/>
  <c r="Q102" i="29"/>
  <c r="V101" i="29"/>
  <c r="T101" i="29"/>
  <c r="Q101" i="29"/>
  <c r="T73" i="29"/>
  <c r="Q73" i="29"/>
  <c r="V72" i="29"/>
  <c r="T72" i="29"/>
  <c r="Q72" i="29"/>
  <c r="V71" i="29"/>
  <c r="T71" i="29"/>
  <c r="Q71" i="29"/>
  <c r="V70" i="29"/>
  <c r="T70" i="29"/>
  <c r="Q70" i="29"/>
  <c r="V69" i="29"/>
  <c r="T69" i="29"/>
  <c r="Q69" i="29"/>
  <c r="V68" i="29"/>
  <c r="T68" i="29"/>
  <c r="Q68" i="29"/>
  <c r="V67" i="29"/>
  <c r="T67" i="29"/>
  <c r="Q67" i="29"/>
  <c r="V66" i="29"/>
  <c r="T66" i="29"/>
  <c r="Q66" i="29"/>
  <c r="V65" i="29"/>
  <c r="T65" i="29"/>
  <c r="Q65" i="29"/>
  <c r="V64" i="29"/>
  <c r="T64" i="29"/>
  <c r="Q64" i="29"/>
  <c r="V63" i="29"/>
  <c r="T63" i="29"/>
  <c r="Q63" i="29"/>
  <c r="V62" i="29"/>
  <c r="T62" i="29"/>
  <c r="Q62" i="29"/>
  <c r="V61" i="29"/>
  <c r="T61" i="29"/>
  <c r="Q61" i="29"/>
  <c r="V60" i="29"/>
  <c r="T60" i="29"/>
  <c r="Q60" i="29"/>
  <c r="V59" i="29"/>
  <c r="T59" i="29"/>
  <c r="Q59" i="29"/>
  <c r="V58" i="29"/>
  <c r="T58" i="29"/>
  <c r="Q58" i="29"/>
  <c r="V57" i="29"/>
  <c r="T57" i="29"/>
  <c r="Q57" i="29"/>
  <c r="V56" i="29"/>
  <c r="T56" i="29"/>
  <c r="Q56" i="29"/>
  <c r="V55" i="29"/>
  <c r="T55" i="29"/>
  <c r="Q55" i="29"/>
  <c r="V54" i="29"/>
  <c r="T54" i="29"/>
  <c r="Q54" i="29"/>
  <c r="V53" i="29"/>
  <c r="T53" i="29"/>
  <c r="Q53" i="29"/>
  <c r="V52" i="29"/>
  <c r="T52" i="29"/>
  <c r="Q52" i="29"/>
  <c r="V51" i="29"/>
  <c r="T51" i="29"/>
  <c r="Q51" i="29"/>
  <c r="V50" i="29"/>
  <c r="T50" i="29"/>
  <c r="Q50" i="29"/>
  <c r="V49" i="29"/>
  <c r="T49" i="29"/>
  <c r="Q49" i="29"/>
  <c r="V48" i="29"/>
  <c r="T48" i="29"/>
  <c r="Q48" i="29"/>
  <c r="V47" i="29"/>
  <c r="T47" i="29"/>
  <c r="Q47" i="29"/>
  <c r="V46" i="29"/>
  <c r="T46" i="29"/>
  <c r="Q46" i="29"/>
  <c r="V45" i="29"/>
  <c r="T45" i="29"/>
  <c r="Q45" i="29"/>
  <c r="V44" i="29"/>
  <c r="T44" i="29"/>
  <c r="Q44" i="29"/>
  <c r="V43" i="29"/>
  <c r="T43" i="29"/>
  <c r="Q43" i="29"/>
  <c r="V42" i="29"/>
  <c r="T42" i="29"/>
  <c r="Q42" i="29"/>
  <c r="V41" i="29"/>
  <c r="T41" i="29"/>
  <c r="Q41" i="29"/>
  <c r="V40" i="29"/>
  <c r="T40" i="29"/>
  <c r="Q40" i="29"/>
  <c r="V39" i="29"/>
  <c r="T39" i="29"/>
  <c r="Q39" i="29"/>
  <c r="V38" i="29"/>
  <c r="T38" i="29"/>
  <c r="Q38" i="29"/>
  <c r="V37" i="29"/>
  <c r="T37" i="29"/>
  <c r="Q37" i="29"/>
  <c r="V36" i="29"/>
  <c r="T36" i="29"/>
  <c r="Q36" i="29"/>
  <c r="V35" i="29"/>
  <c r="T35" i="29"/>
  <c r="Q35" i="29"/>
  <c r="V34" i="29"/>
  <c r="T34" i="29"/>
  <c r="Q34" i="29"/>
  <c r="V33" i="29"/>
  <c r="T33" i="29"/>
  <c r="Q33" i="29"/>
  <c r="V32" i="29"/>
  <c r="T32" i="29"/>
  <c r="Q32" i="29"/>
  <c r="V31" i="29"/>
  <c r="T31" i="29"/>
  <c r="Q31" i="29"/>
  <c r="V30" i="29"/>
  <c r="T30" i="29"/>
  <c r="Q30" i="29"/>
  <c r="V29" i="29"/>
  <c r="T29" i="29"/>
  <c r="Q29" i="29"/>
  <c r="V28" i="29"/>
  <c r="T28" i="29"/>
  <c r="Q28" i="29"/>
  <c r="V27" i="29"/>
  <c r="T27" i="29"/>
  <c r="Q27" i="29"/>
  <c r="V26" i="29"/>
  <c r="T26" i="29"/>
  <c r="Q26" i="29"/>
  <c r="V25" i="29"/>
  <c r="T25" i="29"/>
  <c r="Q25" i="29"/>
  <c r="V24" i="29"/>
  <c r="T24" i="29"/>
  <c r="Q24" i="29"/>
  <c r="V23" i="29"/>
  <c r="T23" i="29"/>
  <c r="Q23" i="29"/>
  <c r="V22" i="29"/>
  <c r="T22" i="29"/>
  <c r="Q22" i="29"/>
  <c r="V21" i="29"/>
  <c r="T21" i="29"/>
  <c r="Q21" i="29"/>
  <c r="V20" i="29"/>
  <c r="T20" i="29"/>
  <c r="Q20" i="29"/>
  <c r="V19" i="29"/>
  <c r="T19" i="29"/>
  <c r="Q19" i="29"/>
  <c r="V18" i="29"/>
  <c r="T18" i="29"/>
  <c r="Q18" i="29"/>
  <c r="V17" i="29"/>
  <c r="T17" i="29"/>
  <c r="Q17" i="29"/>
  <c r="V16" i="29"/>
  <c r="T16" i="29"/>
  <c r="Q16" i="29"/>
  <c r="V15" i="29"/>
  <c r="T15" i="29"/>
  <c r="Q15" i="29"/>
  <c r="V14" i="29"/>
  <c r="T14" i="29"/>
  <c r="Q14" i="29"/>
  <c r="V13" i="29"/>
  <c r="T13" i="29"/>
  <c r="Q13" i="29"/>
  <c r="V12" i="29"/>
  <c r="T12" i="29"/>
  <c r="Q12" i="29"/>
  <c r="V11" i="29"/>
  <c r="T11" i="29"/>
  <c r="Q11" i="29"/>
  <c r="V10" i="29"/>
  <c r="T10" i="29"/>
  <c r="Q10" i="29"/>
  <c r="V9" i="29"/>
  <c r="T9" i="29"/>
  <c r="Q9" i="29"/>
  <c r="V8" i="29"/>
  <c r="T8" i="29"/>
  <c r="Q8" i="29"/>
  <c r="V7" i="29"/>
  <c r="T7" i="29"/>
  <c r="Q7" i="29"/>
  <c r="V6" i="29"/>
  <c r="T6" i="29"/>
  <c r="Q6" i="29"/>
  <c r="V5" i="29"/>
  <c r="T5" i="29"/>
  <c r="Q5" i="29"/>
  <c r="V4" i="29"/>
  <c r="T4" i="29"/>
  <c r="Q4" i="29"/>
  <c r="V3" i="29"/>
  <c r="T3" i="29"/>
  <c r="Q3" i="29"/>
  <c r="V2" i="29"/>
  <c r="T2" i="29"/>
  <c r="Q2" i="29"/>
  <c r="T73" i="28" l="1"/>
  <c r="V73" i="28" s="1"/>
  <c r="Q73" i="28"/>
  <c r="V72" i="28"/>
  <c r="T72" i="28"/>
  <c r="Q72" i="28"/>
  <c r="T71" i="28"/>
  <c r="V71" i="28" s="1"/>
  <c r="Q71" i="28"/>
  <c r="T70" i="28"/>
  <c r="V70" i="28" s="1"/>
  <c r="Q70" i="28"/>
  <c r="T69" i="28"/>
  <c r="V69" i="28" s="1"/>
  <c r="Q69" i="28"/>
  <c r="V68" i="28"/>
  <c r="T68" i="28"/>
  <c r="Q68" i="28"/>
  <c r="T67" i="28"/>
  <c r="V67" i="28" s="1"/>
  <c r="Q67" i="28"/>
  <c r="T66" i="28"/>
  <c r="V66" i="28" s="1"/>
  <c r="Q66" i="28"/>
  <c r="T65" i="28"/>
  <c r="V65" i="28" s="1"/>
  <c r="Q65" i="28"/>
  <c r="V64" i="28"/>
  <c r="T64" i="28"/>
  <c r="Q64" i="28"/>
  <c r="T63" i="28"/>
  <c r="V63" i="28" s="1"/>
  <c r="Q63" i="28"/>
  <c r="T62" i="28"/>
  <c r="V62" i="28" s="1"/>
  <c r="Q62" i="28"/>
  <c r="T61" i="28"/>
  <c r="V61" i="28" s="1"/>
  <c r="Q61" i="28"/>
  <c r="V60" i="28"/>
  <c r="T60" i="28"/>
  <c r="Q60" i="28"/>
  <c r="T59" i="28"/>
  <c r="V59" i="28" s="1"/>
  <c r="Q59" i="28"/>
  <c r="T58" i="28"/>
  <c r="V58" i="28" s="1"/>
  <c r="Q58" i="28"/>
  <c r="T57" i="28"/>
  <c r="V57" i="28" s="1"/>
  <c r="Q57" i="28"/>
  <c r="V56" i="28"/>
  <c r="T56" i="28"/>
  <c r="Q56" i="28"/>
  <c r="T55" i="28"/>
  <c r="V55" i="28" s="1"/>
  <c r="Q55" i="28"/>
  <c r="T54" i="28"/>
  <c r="V54" i="28" s="1"/>
  <c r="Q54" i="28"/>
  <c r="T53" i="28"/>
  <c r="V53" i="28" s="1"/>
  <c r="Q53" i="28"/>
  <c r="V52" i="28"/>
  <c r="T52" i="28"/>
  <c r="Q52" i="28"/>
  <c r="T51" i="28"/>
  <c r="V51" i="28" s="1"/>
  <c r="Q51" i="28"/>
  <c r="T50" i="28"/>
  <c r="V50" i="28" s="1"/>
  <c r="Q50" i="28"/>
  <c r="T49" i="28"/>
  <c r="V49" i="28" s="1"/>
  <c r="Q49" i="28"/>
  <c r="V48" i="28"/>
  <c r="T48" i="28"/>
  <c r="Q48" i="28"/>
  <c r="T47" i="28"/>
  <c r="V47" i="28" s="1"/>
  <c r="Q47" i="28"/>
  <c r="T46" i="28"/>
  <c r="V46" i="28" s="1"/>
  <c r="Q46" i="28"/>
  <c r="T45" i="28"/>
  <c r="V45" i="28" s="1"/>
  <c r="Q45" i="28"/>
  <c r="V44" i="28"/>
  <c r="T44" i="28"/>
  <c r="Q44" i="28"/>
  <c r="T43" i="28"/>
  <c r="V43" i="28" s="1"/>
  <c r="Q43" i="28"/>
  <c r="T42" i="28"/>
  <c r="V42" i="28" s="1"/>
  <c r="Q42" i="28"/>
  <c r="T41" i="28"/>
  <c r="V41" i="28" s="1"/>
  <c r="Q41" i="28"/>
  <c r="V40" i="28"/>
  <c r="T40" i="28"/>
  <c r="Q40" i="28"/>
  <c r="T39" i="28"/>
  <c r="V39" i="28" s="1"/>
  <c r="Q39" i="28"/>
  <c r="T38" i="28"/>
  <c r="V38" i="28" s="1"/>
  <c r="Q38" i="28"/>
  <c r="T37" i="28"/>
  <c r="V37" i="28" s="1"/>
  <c r="Q37" i="28"/>
  <c r="V36" i="28"/>
  <c r="T36" i="28"/>
  <c r="Q36" i="28"/>
  <c r="T35" i="28"/>
  <c r="V35" i="28" s="1"/>
  <c r="Q35" i="28"/>
  <c r="T34" i="28"/>
  <c r="V34" i="28" s="1"/>
  <c r="Q34" i="28"/>
  <c r="T33" i="28"/>
  <c r="V33" i="28" s="1"/>
  <c r="Q33" i="28"/>
  <c r="V32" i="28"/>
  <c r="T32" i="28"/>
  <c r="Q32" i="28"/>
  <c r="T31" i="28"/>
  <c r="V31" i="28" s="1"/>
  <c r="Q31" i="28"/>
  <c r="T30" i="28"/>
  <c r="V30" i="28" s="1"/>
  <c r="Q30" i="28"/>
  <c r="T29" i="28"/>
  <c r="V29" i="28" s="1"/>
  <c r="Q29" i="28"/>
  <c r="V28" i="28"/>
  <c r="T28" i="28"/>
  <c r="Q28" i="28"/>
  <c r="T27" i="28"/>
  <c r="V27" i="28" s="1"/>
  <c r="Q27" i="28"/>
  <c r="T26" i="28"/>
  <c r="V26" i="28" s="1"/>
  <c r="Q26" i="28"/>
  <c r="T25" i="28"/>
  <c r="V25" i="28" s="1"/>
  <c r="Q25" i="28"/>
  <c r="V24" i="28"/>
  <c r="T24" i="28"/>
  <c r="Q24" i="28"/>
  <c r="T23" i="28"/>
  <c r="V23" i="28" s="1"/>
  <c r="Q23" i="28"/>
  <c r="T22" i="28"/>
  <c r="V22" i="28" s="1"/>
  <c r="Q22" i="28"/>
  <c r="T21" i="28"/>
  <c r="V21" i="28" s="1"/>
  <c r="Q21" i="28"/>
  <c r="V20" i="28"/>
  <c r="T20" i="28"/>
  <c r="Q20" i="28"/>
  <c r="T19" i="28"/>
  <c r="V19" i="28" s="1"/>
  <c r="Q19" i="28"/>
  <c r="T18" i="28"/>
  <c r="V18" i="28" s="1"/>
  <c r="Q18" i="28"/>
  <c r="T17" i="28"/>
  <c r="V17" i="28" s="1"/>
  <c r="Q17" i="28"/>
  <c r="V16" i="28"/>
  <c r="T16" i="28"/>
  <c r="Q16" i="28"/>
  <c r="T15" i="28"/>
  <c r="V15" i="28" s="1"/>
  <c r="Q15" i="28"/>
  <c r="T14" i="28"/>
  <c r="V14" i="28" s="1"/>
  <c r="Q14" i="28"/>
  <c r="T13" i="28"/>
  <c r="V13" i="28" s="1"/>
  <c r="Q13" i="28"/>
  <c r="V12" i="28"/>
  <c r="T12" i="28"/>
  <c r="Q12" i="28"/>
  <c r="T11" i="28"/>
  <c r="V11" i="28" s="1"/>
  <c r="Q11" i="28"/>
  <c r="T10" i="28"/>
  <c r="V10" i="28" s="1"/>
  <c r="Q10" i="28"/>
  <c r="T9" i="28"/>
  <c r="V9" i="28" s="1"/>
  <c r="Q9" i="28"/>
  <c r="V8" i="28"/>
  <c r="T8" i="28"/>
  <c r="Q8" i="28"/>
  <c r="T7" i="28"/>
  <c r="V7" i="28" s="1"/>
  <c r="Q7" i="28"/>
  <c r="T6" i="28"/>
  <c r="V6" i="28" s="1"/>
  <c r="Q6" i="28"/>
  <c r="T5" i="28"/>
  <c r="V5" i="28" s="1"/>
  <c r="Q5" i="28"/>
  <c r="V4" i="28"/>
  <c r="T4" i="28"/>
  <c r="Q4" i="28"/>
  <c r="T3" i="28"/>
  <c r="V3" i="28" s="1"/>
  <c r="Q3" i="28"/>
  <c r="T2" i="28"/>
  <c r="V2" i="28" s="1"/>
  <c r="Q2" i="28"/>
  <c r="T82" i="27" l="1"/>
  <c r="V82" i="27" s="1"/>
  <c r="Q82" i="27"/>
  <c r="V81" i="27"/>
  <c r="T81" i="27"/>
  <c r="Q81" i="27"/>
  <c r="T80" i="27"/>
  <c r="V80" i="27" s="1"/>
  <c r="Q80" i="27"/>
  <c r="T79" i="27"/>
  <c r="V79" i="27" s="1"/>
  <c r="Q79" i="27"/>
  <c r="T78" i="27"/>
  <c r="V78" i="27" s="1"/>
  <c r="Q78" i="27"/>
  <c r="V77" i="27"/>
  <c r="T77" i="27"/>
  <c r="Q77" i="27"/>
  <c r="T76" i="27"/>
  <c r="V76" i="27" s="1"/>
  <c r="Q76" i="27"/>
  <c r="T75" i="27"/>
  <c r="V75" i="27" s="1"/>
  <c r="Q75" i="27"/>
  <c r="T74" i="27"/>
  <c r="V74" i="27" s="1"/>
  <c r="Q74" i="27"/>
  <c r="V73" i="27"/>
  <c r="T73" i="27"/>
  <c r="Q73" i="27"/>
  <c r="T72" i="27"/>
  <c r="V72" i="27" s="1"/>
  <c r="Q72" i="27"/>
  <c r="T71" i="27"/>
  <c r="V71" i="27" s="1"/>
  <c r="Q71" i="27"/>
  <c r="T70" i="27"/>
  <c r="V70" i="27" s="1"/>
  <c r="Q70" i="27"/>
  <c r="V69" i="27"/>
  <c r="T69" i="27"/>
  <c r="Q69" i="27"/>
  <c r="T68" i="27"/>
  <c r="V68" i="27" s="1"/>
  <c r="Q68" i="27"/>
  <c r="T67" i="27"/>
  <c r="V67" i="27" s="1"/>
  <c r="Q67" i="27"/>
  <c r="T66" i="27"/>
  <c r="V66" i="27" s="1"/>
  <c r="Q66" i="27"/>
  <c r="V65" i="27"/>
  <c r="T65" i="27"/>
  <c r="Q65" i="27"/>
  <c r="T64" i="27"/>
  <c r="V64" i="27" s="1"/>
  <c r="Q64" i="27"/>
  <c r="T63" i="27"/>
  <c r="V63" i="27" s="1"/>
  <c r="Q63" i="27"/>
  <c r="T62" i="27"/>
  <c r="V62" i="27" s="1"/>
  <c r="Q62" i="27"/>
  <c r="V61" i="27"/>
  <c r="T61" i="27"/>
  <c r="Q61" i="27"/>
  <c r="T60" i="27"/>
  <c r="V60" i="27" s="1"/>
  <c r="Q60" i="27"/>
  <c r="T59" i="27"/>
  <c r="V59" i="27" s="1"/>
  <c r="Q59" i="27"/>
  <c r="T58" i="27"/>
  <c r="V58" i="27" s="1"/>
  <c r="Q58" i="27"/>
  <c r="V57" i="27"/>
  <c r="T57" i="27"/>
  <c r="Q57" i="27"/>
  <c r="T56" i="27"/>
  <c r="V56" i="27" s="1"/>
  <c r="Q56" i="27"/>
  <c r="T55" i="27"/>
  <c r="V55" i="27" s="1"/>
  <c r="Q55" i="27"/>
  <c r="T54" i="27"/>
  <c r="V54" i="27" s="1"/>
  <c r="Q54" i="27"/>
  <c r="V53" i="27"/>
  <c r="T53" i="27"/>
  <c r="Q53" i="27"/>
  <c r="T52" i="27"/>
  <c r="V52" i="27" s="1"/>
  <c r="Q52" i="27"/>
  <c r="T51" i="27"/>
  <c r="V51" i="27" s="1"/>
  <c r="Q51" i="27"/>
  <c r="T50" i="27"/>
  <c r="V50" i="27" s="1"/>
  <c r="Q50" i="27"/>
  <c r="V49" i="27"/>
  <c r="T49" i="27"/>
  <c r="Q49" i="27"/>
  <c r="T48" i="27"/>
  <c r="V48" i="27" s="1"/>
  <c r="Q48" i="27"/>
  <c r="T47" i="27"/>
  <c r="V47" i="27" s="1"/>
  <c r="Q47" i="27"/>
  <c r="T46" i="27"/>
  <c r="V46" i="27" s="1"/>
  <c r="Q46" i="27"/>
  <c r="V45" i="27"/>
  <c r="T45" i="27"/>
  <c r="Q45" i="27"/>
  <c r="T44" i="27"/>
  <c r="V44" i="27" s="1"/>
  <c r="Q44" i="27"/>
  <c r="T43" i="27"/>
  <c r="V43" i="27" s="1"/>
  <c r="Q43" i="27"/>
  <c r="T42" i="27"/>
  <c r="V42" i="27" s="1"/>
  <c r="Q42" i="27"/>
  <c r="V41" i="27"/>
  <c r="T41" i="27"/>
  <c r="Q41" i="27"/>
  <c r="T40" i="27"/>
  <c r="V40" i="27" s="1"/>
  <c r="Q40" i="27"/>
  <c r="T39" i="27"/>
  <c r="V39" i="27" s="1"/>
  <c r="Q39" i="27"/>
  <c r="T38" i="27"/>
  <c r="V38" i="27" s="1"/>
  <c r="Q38" i="27"/>
  <c r="V37" i="27"/>
  <c r="T37" i="27"/>
  <c r="Q37" i="27"/>
  <c r="T36" i="27"/>
  <c r="V36" i="27" s="1"/>
  <c r="Q36" i="27"/>
  <c r="T35" i="27"/>
  <c r="V35" i="27" s="1"/>
  <c r="Q35" i="27"/>
  <c r="T34" i="27"/>
  <c r="V34" i="27" s="1"/>
  <c r="Q34" i="27"/>
  <c r="V33" i="27"/>
  <c r="T33" i="27"/>
  <c r="Q33" i="27"/>
  <c r="T32" i="27"/>
  <c r="V32" i="27" s="1"/>
  <c r="Q32" i="27"/>
  <c r="T31" i="27"/>
  <c r="V31" i="27" s="1"/>
  <c r="Q31" i="27"/>
  <c r="T30" i="27"/>
  <c r="V30" i="27" s="1"/>
  <c r="Q30" i="27"/>
  <c r="V29" i="27"/>
  <c r="T29" i="27"/>
  <c r="Q29" i="27"/>
  <c r="T28" i="27"/>
  <c r="V28" i="27" s="1"/>
  <c r="Q28" i="27"/>
  <c r="T27" i="27"/>
  <c r="V27" i="27" s="1"/>
  <c r="Q27" i="27"/>
  <c r="T26" i="27"/>
  <c r="V26" i="27" s="1"/>
  <c r="Q26" i="27"/>
  <c r="V25" i="27"/>
  <c r="T25" i="27"/>
  <c r="Q25" i="27"/>
  <c r="T24" i="27"/>
  <c r="V24" i="27" s="1"/>
  <c r="Q24" i="27"/>
  <c r="T23" i="27"/>
  <c r="V23" i="27" s="1"/>
  <c r="Q23" i="27"/>
  <c r="T22" i="27"/>
  <c r="V22" i="27" s="1"/>
  <c r="Q22" i="27"/>
  <c r="V21" i="27"/>
  <c r="T21" i="27"/>
  <c r="Q21" i="27"/>
  <c r="T20" i="27"/>
  <c r="V20" i="27" s="1"/>
  <c r="Q20" i="27"/>
  <c r="T19" i="27"/>
  <c r="V19" i="27" s="1"/>
  <c r="Q19" i="27"/>
  <c r="T18" i="27"/>
  <c r="V18" i="27" s="1"/>
  <c r="Q18" i="27"/>
  <c r="V17" i="27"/>
  <c r="T17" i="27"/>
  <c r="Q17" i="27"/>
  <c r="T16" i="27"/>
  <c r="V16" i="27" s="1"/>
  <c r="Q16" i="27"/>
  <c r="T15" i="27"/>
  <c r="V15" i="27" s="1"/>
  <c r="Q15" i="27"/>
  <c r="T14" i="27"/>
  <c r="V14" i="27" s="1"/>
  <c r="Q14" i="27"/>
  <c r="V13" i="27"/>
  <c r="T13" i="27"/>
  <c r="Q13" i="27"/>
  <c r="T12" i="27"/>
  <c r="V12" i="27" s="1"/>
  <c r="Q12" i="27"/>
  <c r="T11" i="27"/>
  <c r="V11" i="27" s="1"/>
  <c r="Q11" i="27"/>
  <c r="T10" i="27"/>
  <c r="V10" i="27" s="1"/>
  <c r="Q10" i="27"/>
  <c r="V9" i="27"/>
  <c r="T9" i="27"/>
  <c r="Q9" i="27"/>
  <c r="T8" i="27"/>
  <c r="V8" i="27" s="1"/>
  <c r="Q8" i="27"/>
  <c r="T7" i="27"/>
  <c r="V7" i="27" s="1"/>
  <c r="Q7" i="27"/>
  <c r="T6" i="27"/>
  <c r="V6" i="27" s="1"/>
  <c r="Q6" i="27"/>
  <c r="V5" i="27"/>
  <c r="T5" i="27"/>
  <c r="Q5" i="27"/>
  <c r="T4" i="27"/>
  <c r="V4" i="27" s="1"/>
  <c r="Q4" i="27"/>
  <c r="T3" i="27"/>
  <c r="V3" i="27" s="1"/>
  <c r="Q3" i="27"/>
  <c r="T2" i="27"/>
  <c r="V2" i="27" s="1"/>
  <c r="Q2" i="27"/>
  <c r="T142" i="26" l="1"/>
  <c r="V142" i="26" s="1"/>
  <c r="Q142" i="26"/>
  <c r="T141" i="26"/>
  <c r="V141" i="26" s="1"/>
  <c r="Q141" i="26"/>
  <c r="V140" i="26"/>
  <c r="T140" i="26"/>
  <c r="Q140" i="26"/>
  <c r="T139" i="26"/>
  <c r="V139" i="26" s="1"/>
  <c r="Q139" i="26"/>
  <c r="T138" i="26"/>
  <c r="V138" i="26" s="1"/>
  <c r="Q138" i="26"/>
  <c r="V137" i="26"/>
  <c r="T137" i="26"/>
  <c r="Q137" i="26"/>
  <c r="T136" i="26"/>
  <c r="V136" i="26" s="1"/>
  <c r="Q136" i="26"/>
  <c r="T135" i="26"/>
  <c r="V135" i="26" s="1"/>
  <c r="Q135" i="26"/>
  <c r="T134" i="26"/>
  <c r="V134" i="26" s="1"/>
  <c r="Q134" i="26"/>
  <c r="T133" i="26"/>
  <c r="V133" i="26" s="1"/>
  <c r="Q133" i="26"/>
  <c r="V132" i="26"/>
  <c r="T132" i="26"/>
  <c r="Q132" i="26"/>
  <c r="T131" i="26"/>
  <c r="V131" i="26" s="1"/>
  <c r="Q131" i="26"/>
  <c r="T130" i="26"/>
  <c r="V130" i="26" s="1"/>
  <c r="Q130" i="26"/>
  <c r="V129" i="26"/>
  <c r="T129" i="26"/>
  <c r="Q129" i="26"/>
  <c r="T128" i="26"/>
  <c r="V128" i="26" s="1"/>
  <c r="Q128" i="26"/>
  <c r="T127" i="26"/>
  <c r="V127" i="26" s="1"/>
  <c r="Q127" i="26"/>
  <c r="T126" i="26"/>
  <c r="V126" i="26" s="1"/>
  <c r="Q126" i="26"/>
  <c r="T125" i="26"/>
  <c r="V125" i="26" s="1"/>
  <c r="Q125" i="26"/>
  <c r="V124" i="26"/>
  <c r="T124" i="26"/>
  <c r="Q124" i="26"/>
  <c r="T123" i="26"/>
  <c r="V123" i="26" s="1"/>
  <c r="Q123" i="26"/>
  <c r="T122" i="26"/>
  <c r="V122" i="26" s="1"/>
  <c r="Q122" i="26"/>
  <c r="V121" i="26"/>
  <c r="T121" i="26"/>
  <c r="Q121" i="26"/>
  <c r="T120" i="26"/>
  <c r="V120" i="26" s="1"/>
  <c r="Q120" i="26"/>
  <c r="T119" i="26"/>
  <c r="V119" i="26" s="1"/>
  <c r="Q119" i="26"/>
  <c r="T118" i="26"/>
  <c r="V118" i="26" s="1"/>
  <c r="Q118" i="26"/>
  <c r="T117" i="26"/>
  <c r="V117" i="26" s="1"/>
  <c r="Q117" i="26"/>
  <c r="V116" i="26"/>
  <c r="T116" i="26"/>
  <c r="Q116" i="26"/>
  <c r="T115" i="26"/>
  <c r="V115" i="26" s="1"/>
  <c r="Q115" i="26"/>
  <c r="T114" i="26"/>
  <c r="V114" i="26" s="1"/>
  <c r="Q114" i="26"/>
  <c r="V113" i="26"/>
  <c r="T113" i="26"/>
  <c r="Q113" i="26"/>
  <c r="T112" i="26"/>
  <c r="V112" i="26" s="1"/>
  <c r="Q112" i="26"/>
  <c r="T111" i="26"/>
  <c r="V111" i="26" s="1"/>
  <c r="Q111" i="26"/>
  <c r="T110" i="26"/>
  <c r="V110" i="26" s="1"/>
  <c r="Q110" i="26"/>
  <c r="T109" i="26"/>
  <c r="V109" i="26" s="1"/>
  <c r="Q109" i="26"/>
  <c r="V108" i="26"/>
  <c r="T108" i="26"/>
  <c r="Q108" i="26"/>
  <c r="T107" i="26"/>
  <c r="V107" i="26" s="1"/>
  <c r="Q107" i="26"/>
  <c r="T106" i="26"/>
  <c r="V106" i="26" s="1"/>
  <c r="Q106" i="26"/>
  <c r="V105" i="26"/>
  <c r="T105" i="26"/>
  <c r="Q105" i="26"/>
  <c r="T104" i="26"/>
  <c r="V104" i="26" s="1"/>
  <c r="Q104" i="26"/>
  <c r="T103" i="26"/>
  <c r="V103" i="26" s="1"/>
  <c r="Q103" i="26"/>
  <c r="T102" i="26"/>
  <c r="V102" i="26" s="1"/>
  <c r="Q102" i="26"/>
  <c r="T101" i="26"/>
  <c r="V101" i="26" s="1"/>
  <c r="Q101" i="26"/>
  <c r="V100" i="26"/>
  <c r="T100" i="26"/>
  <c r="Q100" i="26"/>
  <c r="T99" i="26"/>
  <c r="V99" i="26" s="1"/>
  <c r="Q99" i="26"/>
  <c r="T98" i="26"/>
  <c r="V98" i="26" s="1"/>
  <c r="Q98" i="26"/>
  <c r="V97" i="26"/>
  <c r="T97" i="26"/>
  <c r="Q97" i="26"/>
  <c r="T96" i="26"/>
  <c r="V96" i="26" s="1"/>
  <c r="Q96" i="26"/>
  <c r="T95" i="26"/>
  <c r="V95" i="26" s="1"/>
  <c r="Q95" i="26"/>
  <c r="T94" i="26"/>
  <c r="V94" i="26" s="1"/>
  <c r="Q94" i="26"/>
  <c r="T93" i="26"/>
  <c r="V93" i="26" s="1"/>
  <c r="Q93" i="26"/>
  <c r="V92" i="26"/>
  <c r="T92" i="26"/>
  <c r="Q92" i="26"/>
  <c r="T91" i="26"/>
  <c r="V91" i="26" s="1"/>
  <c r="Q91" i="26"/>
  <c r="T90" i="26"/>
  <c r="V90" i="26" s="1"/>
  <c r="Q90" i="26"/>
  <c r="V89" i="26"/>
  <c r="T89" i="26"/>
  <c r="Q89" i="26"/>
  <c r="T88" i="26"/>
  <c r="V88" i="26" s="1"/>
  <c r="Q88" i="26"/>
  <c r="T87" i="26"/>
  <c r="V87" i="26" s="1"/>
  <c r="Q87" i="26"/>
  <c r="T86" i="26"/>
  <c r="V86" i="26" s="1"/>
  <c r="Q86" i="26"/>
  <c r="T85" i="26"/>
  <c r="V85" i="26" s="1"/>
  <c r="Q85" i="26"/>
  <c r="V84" i="26"/>
  <c r="T84" i="26"/>
  <c r="Q84" i="26"/>
  <c r="T83" i="26"/>
  <c r="V83" i="26" s="1"/>
  <c r="Q83" i="26"/>
  <c r="T82" i="26"/>
  <c r="V82" i="26" s="1"/>
  <c r="Q82" i="26"/>
  <c r="V81" i="26"/>
  <c r="T81" i="26"/>
  <c r="Q81" i="26"/>
  <c r="T80" i="26"/>
  <c r="V80" i="26" s="1"/>
  <c r="Q80" i="26"/>
  <c r="T79" i="26"/>
  <c r="V79" i="26" s="1"/>
  <c r="Q79" i="26"/>
  <c r="T78" i="26"/>
  <c r="V78" i="26" s="1"/>
  <c r="Q78" i="26"/>
  <c r="T77" i="26"/>
  <c r="V77" i="26" s="1"/>
  <c r="Q77" i="26"/>
  <c r="V76" i="26"/>
  <c r="T76" i="26"/>
  <c r="Q76" i="26"/>
  <c r="T75" i="26"/>
  <c r="V75" i="26" s="1"/>
  <c r="Q75" i="26"/>
  <c r="T74" i="26"/>
  <c r="V74" i="26" s="1"/>
  <c r="Q74" i="26"/>
  <c r="V73" i="26"/>
  <c r="T73" i="26"/>
  <c r="Q73" i="26"/>
  <c r="T72" i="26"/>
  <c r="V72" i="26" s="1"/>
  <c r="Q72" i="26"/>
  <c r="T71" i="26"/>
  <c r="V71" i="26" s="1"/>
  <c r="Q71" i="26"/>
  <c r="T70" i="26"/>
  <c r="V70" i="26" s="1"/>
  <c r="Q70" i="26"/>
  <c r="T69" i="26"/>
  <c r="V69" i="26" s="1"/>
  <c r="Q69" i="26"/>
  <c r="V68" i="26"/>
  <c r="T68" i="26"/>
  <c r="Q68" i="26"/>
  <c r="T67" i="26"/>
  <c r="V67" i="26" s="1"/>
  <c r="Q67" i="26"/>
  <c r="T66" i="26"/>
  <c r="V66" i="26" s="1"/>
  <c r="Q66" i="26"/>
  <c r="V65" i="26"/>
  <c r="T65" i="26"/>
  <c r="Q65" i="26"/>
  <c r="T64" i="26"/>
  <c r="V64" i="26" s="1"/>
  <c r="Q64" i="26"/>
  <c r="T63" i="26"/>
  <c r="V63" i="26" s="1"/>
  <c r="Q63" i="26"/>
  <c r="T62" i="26"/>
  <c r="V62" i="26" s="1"/>
  <c r="Q62" i="26"/>
  <c r="T61" i="26"/>
  <c r="V61" i="26" s="1"/>
  <c r="Q61" i="26"/>
  <c r="V60" i="26"/>
  <c r="T60" i="26"/>
  <c r="Q60" i="26"/>
  <c r="T59" i="26"/>
  <c r="V59" i="26" s="1"/>
  <c r="Q59" i="26"/>
  <c r="T58" i="26"/>
  <c r="V58" i="26" s="1"/>
  <c r="Q58" i="26"/>
  <c r="V57" i="26"/>
  <c r="T57" i="26"/>
  <c r="Q57" i="26"/>
  <c r="T56" i="26"/>
  <c r="V56" i="26" s="1"/>
  <c r="Q56" i="26"/>
  <c r="T55" i="26"/>
  <c r="V55" i="26" s="1"/>
  <c r="Q55" i="26"/>
  <c r="T54" i="26"/>
  <c r="V54" i="26" s="1"/>
  <c r="Q54" i="26"/>
  <c r="T53" i="26"/>
  <c r="V53" i="26" s="1"/>
  <c r="Q53" i="26"/>
  <c r="V52" i="26"/>
  <c r="T52" i="26"/>
  <c r="Q52" i="26"/>
  <c r="T51" i="26"/>
  <c r="V51" i="26" s="1"/>
  <c r="Q51" i="26"/>
  <c r="T50" i="26"/>
  <c r="V50" i="26" s="1"/>
  <c r="Q50" i="26"/>
  <c r="V49" i="26"/>
  <c r="T49" i="26"/>
  <c r="Q49" i="26"/>
  <c r="T48" i="26"/>
  <c r="V48" i="26" s="1"/>
  <c r="Q48" i="26"/>
  <c r="T47" i="26"/>
  <c r="V47" i="26" s="1"/>
  <c r="Q47" i="26"/>
  <c r="T46" i="26"/>
  <c r="V46" i="26" s="1"/>
  <c r="Q46" i="26"/>
  <c r="T45" i="26"/>
  <c r="V45" i="26" s="1"/>
  <c r="Q45" i="26"/>
  <c r="V44" i="26"/>
  <c r="T44" i="26"/>
  <c r="Q44" i="26"/>
  <c r="T43" i="26"/>
  <c r="V43" i="26" s="1"/>
  <c r="Q43" i="26"/>
  <c r="T42" i="26"/>
  <c r="V42" i="26" s="1"/>
  <c r="Q42" i="26"/>
  <c r="V41" i="26"/>
  <c r="T41" i="26"/>
  <c r="Q41" i="26"/>
  <c r="T40" i="26"/>
  <c r="V40" i="26" s="1"/>
  <c r="Q40" i="26"/>
  <c r="T39" i="26"/>
  <c r="V39" i="26" s="1"/>
  <c r="Q39" i="26"/>
  <c r="T38" i="26"/>
  <c r="V38" i="26" s="1"/>
  <c r="Q38" i="26"/>
  <c r="T37" i="26"/>
  <c r="V37" i="26" s="1"/>
  <c r="Q37" i="26"/>
  <c r="V36" i="26"/>
  <c r="T36" i="26"/>
  <c r="Q36" i="26"/>
  <c r="T35" i="26"/>
  <c r="V35" i="26" s="1"/>
  <c r="Q35" i="26"/>
  <c r="T34" i="26"/>
  <c r="V34" i="26" s="1"/>
  <c r="Q34" i="26"/>
  <c r="V33" i="26"/>
  <c r="T33" i="26"/>
  <c r="Q33" i="26"/>
  <c r="T32" i="26"/>
  <c r="V32" i="26" s="1"/>
  <c r="Q32" i="26"/>
  <c r="T31" i="26"/>
  <c r="V31" i="26" s="1"/>
  <c r="Q31" i="26"/>
  <c r="T30" i="26"/>
  <c r="V30" i="26" s="1"/>
  <c r="Q30" i="26"/>
  <c r="T29" i="26"/>
  <c r="V29" i="26" s="1"/>
  <c r="Q29" i="26"/>
  <c r="V28" i="26"/>
  <c r="T28" i="26"/>
  <c r="Q28" i="26"/>
  <c r="T27" i="26"/>
  <c r="V27" i="26" s="1"/>
  <c r="Q27" i="26"/>
  <c r="T26" i="26"/>
  <c r="V26" i="26" s="1"/>
  <c r="Q26" i="26"/>
  <c r="V25" i="26"/>
  <c r="T25" i="26"/>
  <c r="Q25" i="26"/>
  <c r="T24" i="26"/>
  <c r="V24" i="26" s="1"/>
  <c r="Q24" i="26"/>
  <c r="T23" i="26"/>
  <c r="V23" i="26" s="1"/>
  <c r="Q23" i="26"/>
  <c r="T22" i="26"/>
  <c r="V22" i="26" s="1"/>
  <c r="Q22" i="26"/>
  <c r="T21" i="26"/>
  <c r="V21" i="26" s="1"/>
  <c r="Q21" i="26"/>
  <c r="V20" i="26"/>
  <c r="T20" i="26"/>
  <c r="Q20" i="26"/>
  <c r="T19" i="26"/>
  <c r="V19" i="26" s="1"/>
  <c r="Q19" i="26"/>
  <c r="T18" i="26"/>
  <c r="V18" i="26" s="1"/>
  <c r="Q18" i="26"/>
  <c r="V17" i="26"/>
  <c r="T17" i="26"/>
  <c r="Q17" i="26"/>
  <c r="T16" i="26"/>
  <c r="V16" i="26" s="1"/>
  <c r="Q16" i="26"/>
  <c r="T15" i="26"/>
  <c r="V15" i="26" s="1"/>
  <c r="Q15" i="26"/>
  <c r="T14" i="26"/>
  <c r="V14" i="26" s="1"/>
  <c r="Q14" i="26"/>
  <c r="T13" i="26"/>
  <c r="V13" i="26" s="1"/>
  <c r="Q13" i="26"/>
  <c r="V12" i="26"/>
  <c r="T12" i="26"/>
  <c r="Q12" i="26"/>
  <c r="T11" i="26"/>
  <c r="V11" i="26" s="1"/>
  <c r="Q11" i="26"/>
  <c r="T10" i="26"/>
  <c r="V10" i="26" s="1"/>
  <c r="Q10" i="26"/>
  <c r="V9" i="26"/>
  <c r="T9" i="26"/>
  <c r="Q9" i="26"/>
  <c r="T8" i="26"/>
  <c r="V8" i="26" s="1"/>
  <c r="Q8" i="26"/>
  <c r="T7" i="26"/>
  <c r="V7" i="26" s="1"/>
  <c r="Q7" i="26"/>
  <c r="T6" i="26"/>
  <c r="V6" i="26" s="1"/>
  <c r="Q6" i="26"/>
  <c r="T5" i="26"/>
  <c r="V5" i="26" s="1"/>
  <c r="Q5" i="26"/>
  <c r="V4" i="26"/>
  <c r="T4" i="26"/>
  <c r="Q4" i="26"/>
  <c r="T3" i="26"/>
  <c r="V3" i="26" s="1"/>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<sst xmlns="http://schemas.openxmlformats.org/spreadsheetml/2006/main" count="11508" uniqueCount="557">
  <si>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</si>
  <si>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</si>
  <si>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</si>
  <si>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</si>
  <si>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</si>
  <si>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</si>
  <si>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</si>
  <si>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</si>
  <si>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</si>
  <si>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</si>
  <si>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</si>
  <si>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</si>
  <si>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</si>
  <si>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</si>
  <si>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</si>
  <si>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</si>
  <si>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</si>
  <si>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</si>
  <si>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</si>
  <si>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</si>
  <si>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</si>
  <si>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</si>
  <si>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</si>
  <si>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</si>
  <si>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</si>
  <si>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</si>
  <si>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</si>
  <si>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</si>
  <si>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</si>
  <si>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</si>
  <si>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</si>
  <si>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</si>
  <si>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</si>
  <si>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</si>
  <si>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</si>
  <si>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</si>
  <si>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</si>
  <si>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</si>
  <si>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</si>
  <si>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</si>
  <si>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</si>
  <si>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</si>
  <si>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</si>
  <si>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</si>
  <si>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</si>
  <si>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</si>
  <si>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</si>
  <si>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</si>
  <si>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</si>
  <si>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</si>
  <si>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</si>
  <si>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</si>
  <si>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</si>
  <si>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</si>
  <si>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</si>
  <si>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</si>
  <si>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</si>
  <si>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</si>
  <si>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</si>
  <si>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</si>
  <si>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</si>
  <si>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</si>
  <si>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</si>
  <si>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</si>
  <si>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</si>
  <si>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</si>
  <si>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</si>
  <si>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</si>
  <si>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</si>
  <si>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</si>
  <si>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</si>
  <si>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</si>
  <si>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</si>
  <si>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</si>
  <si>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</si>
  <si>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</si>
  <si>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</si>
  <si>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</si>
  <si>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</si>
  <si>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</si>
  <si>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</si>
  <si>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</si>
  <si>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</si>
  <si>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</si>
  <si>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</si>
  <si>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</si>
  <si>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</si>
  <si>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</si>
  <si>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</si>
  <si>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</si>
  <si>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</si>
  <si>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</si>
  <si>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</si>
  <si>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</si>
  <si>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</si>
  <si>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</si>
  <si>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</si>
  <si>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</si>
  <si>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</si>
  <si>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</si>
  <si>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</si>
  <si>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</si>
  <si>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</si>
  <si>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</si>
  <si>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</si>
  <si>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</si>
  <si>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</si>
  <si>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</si>
  <si>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</si>
  <si>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</si>
  <si>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</si>
  <si>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</si>
  <si>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</si>
  <si>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</si>
  <si>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</si>
  <si>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</si>
  <si>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</si>
  <si>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</si>
  <si>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</si>
  <si>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</si>
  <si>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</si>
  <si>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</si>
  <si>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</si>
  <si>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</si>
  <si>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</si>
  <si>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</si>
  <si>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</si>
  <si>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</si>
  <si>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</si>
  <si>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</si>
  <si>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</si>
  <si>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</si>
  <si>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</si>
  <si>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</si>
  <si>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</si>
  <si>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</si>
  <si>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</si>
  <si>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</si>
  <si>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</si>
  <si>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</si>
  <si>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トライアル</t>
  </si>
  <si>
    <t>ホクレンショップ</t>
  </si>
  <si>
    <t>スーパーアークス</t>
  </si>
  <si>
    <t>東光ストア</t>
  </si>
  <si>
    <t>ラルズマート</t>
  </si>
  <si>
    <t>とんでん店</t>
    <rPh sb="4" eb="5">
      <t>テン</t>
    </rPh>
    <phoneticPr fontId="3"/>
  </si>
  <si>
    <t>屯田店</t>
    <rPh sb="2" eb="3">
      <t>テン</t>
    </rPh>
    <phoneticPr fontId="3"/>
  </si>
  <si>
    <t>篠路店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</si>
  <si>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</si>
  <si>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</si>
  <si>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</si>
  <si>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</si>
  <si>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</si>
  <si>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</si>
  <si>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</si>
  <si>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</si>
  <si>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</si>
  <si>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</si>
  <si>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</si>
  <si>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検体
番号</t>
    <phoneticPr fontId="4"/>
  </si>
  <si>
    <t>Weight</t>
    <phoneticPr fontId="4"/>
  </si>
  <si>
    <t>Gold
SIZE</t>
    <phoneticPr fontId="4"/>
  </si>
  <si>
    <t>GA</t>
  </si>
  <si>
    <t>佐賀</t>
    <rPh sb="0" eb="2">
      <t>サガ</t>
    </rPh>
    <phoneticPr fontId="3"/>
  </si>
  <si>
    <t>ラフランス</t>
  </si>
  <si>
    <t>西友</t>
  </si>
  <si>
    <t>日進岩藤店</t>
    <rPh sb="0" eb="2">
      <t>ニッシン</t>
    </rPh>
    <phoneticPr fontId="4"/>
  </si>
  <si>
    <t>アオキスーパー</t>
    <phoneticPr fontId="4"/>
  </si>
  <si>
    <t>日進店</t>
    <rPh sb="0" eb="2">
      <t>ニッシン</t>
    </rPh>
    <rPh sb="2" eb="3">
      <t>ミセ</t>
    </rPh>
    <phoneticPr fontId="4"/>
  </si>
  <si>
    <t>長久手南店</t>
    <phoneticPr fontId="4"/>
  </si>
  <si>
    <t>その他レッド</t>
    <rPh sb="2" eb="3">
      <t>タ</t>
    </rPh>
    <phoneticPr fontId="4"/>
  </si>
  <si>
    <t>HW</t>
    <phoneticPr fontId="4"/>
  </si>
  <si>
    <t>長久手店</t>
    <phoneticPr fontId="4"/>
  </si>
  <si>
    <t>マックスバリュ</t>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</si>
  <si>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</si>
  <si>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</si>
  <si>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</si>
  <si>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</si>
  <si>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</si>
  <si>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</si>
  <si>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</si>
  <si>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</si>
  <si>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</si>
  <si>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</si>
  <si>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</si>
  <si>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</si>
  <si>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</si>
  <si>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</si>
  <si>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</si>
  <si>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</si>
  <si>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</si>
  <si>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</si>
  <si>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</si>
  <si>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</si>
  <si>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</si>
  <si>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</si>
  <si>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</si>
  <si>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</si>
  <si>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</si>
  <si>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</si>
  <si>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</si>
  <si>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</si>
  <si>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</si>
  <si>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</si>
  <si>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</si>
  <si>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</si>
  <si>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</si>
  <si>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</si>
  <si>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</si>
  <si>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</si>
  <si>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</si>
  <si>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</si>
  <si>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</si>
  <si>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</si>
  <si>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</si>
  <si>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</si>
  <si>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</si>
  <si>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</si>
  <si>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</si>
  <si>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</si>
  <si>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</si>
  <si>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</si>
  <si>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</si>
  <si>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</si>
  <si>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</si>
  <si>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</si>
  <si>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</si>
  <si>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</si>
  <si>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</si>
  <si>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</si>
  <si>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</si>
  <si>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</si>
  <si>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</si>
  <si>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</si>
  <si>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</si>
  <si>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</si>
  <si>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</si>
  <si>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</si>
  <si>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</si>
  <si>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ＪＡ神奈川</t>
  </si>
  <si>
    <t>ＪＡ石川</t>
  </si>
  <si>
    <t>HE</t>
    <phoneticPr fontId="4"/>
  </si>
  <si>
    <t>福岡</t>
    <rPh sb="0" eb="2">
      <t>フクオカ</t>
    </rPh>
    <phoneticPr fontId="4"/>
  </si>
  <si>
    <t>西鉄ストア</t>
    <rPh sb="0" eb="2">
      <t>ニシテツ</t>
    </rPh>
    <phoneticPr fontId="3"/>
  </si>
  <si>
    <t>Del Monte</t>
    <phoneticPr fontId="4"/>
  </si>
  <si>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</si>
  <si>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</si>
  <si>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</si>
  <si>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</si>
  <si>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</si>
  <si>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</si>
  <si>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</si>
  <si>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</si>
  <si>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</si>
  <si>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</si>
  <si>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</si>
  <si>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山口</t>
    <rPh sb="0" eb="2">
      <t>ヤマグチ</t>
    </rPh>
    <phoneticPr fontId="3"/>
  </si>
  <si>
    <t>マルエツ</t>
  </si>
  <si>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</si>
  <si>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</si>
  <si>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</si>
  <si>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</si>
  <si>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</si>
  <si>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</si>
  <si>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</si>
  <si>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</si>
  <si>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</si>
  <si>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</si>
  <si>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</si>
  <si>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</si>
  <si>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</si>
  <si>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</si>
  <si>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</si>
  <si>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</si>
  <si>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</si>
  <si>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</si>
  <si>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</si>
  <si>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</si>
  <si>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</si>
  <si>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</si>
  <si>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</si>
  <si>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</si>
  <si>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</si>
  <si>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</si>
  <si>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</si>
  <si>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</si>
  <si>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</si>
  <si>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</si>
  <si>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</si>
  <si>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シーズン</t>
    <phoneticPr fontId="4"/>
  </si>
  <si>
    <t>硬度
１</t>
    <phoneticPr fontId="4"/>
  </si>
  <si>
    <t>糖度</t>
    <phoneticPr fontId="4"/>
  </si>
  <si>
    <t>U/P JPY</t>
    <phoneticPr fontId="4"/>
  </si>
  <si>
    <t>２番人気
果実</t>
    <phoneticPr fontId="3"/>
  </si>
  <si>
    <t>松江店</t>
  </si>
  <si>
    <t>オリンピック</t>
  </si>
  <si>
    <t>西一之江店</t>
  </si>
  <si>
    <t>ヤマイチ</t>
  </si>
  <si>
    <t>今井店</t>
  </si>
  <si>
    <t>中国</t>
    <phoneticPr fontId="4"/>
  </si>
  <si>
    <t>コモディイイダ</t>
  </si>
  <si>
    <t>西瑞江店</t>
  </si>
  <si>
    <t>いなげや</t>
  </si>
  <si>
    <t>江戸川春江店</t>
  </si>
  <si>
    <t>GK</t>
    <phoneticPr fontId="4"/>
  </si>
  <si>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</si>
  <si>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</si>
  <si>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</si>
  <si>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</si>
  <si>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</si>
  <si>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</si>
  <si>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</si>
  <si>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</si>
  <si>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</si>
  <si>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</si>
  <si>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</si>
  <si>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JPY</t>
    <phoneticPr fontId="3"/>
  </si>
  <si>
    <t>22.05.2018</t>
  </si>
  <si>
    <t>22.05.2018</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</si>
  <si>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</si>
  <si>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</si>
  <si>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</si>
  <si>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</si>
  <si>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</si>
  <si>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</si>
  <si>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</si>
  <si>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</si>
  <si>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</si>
  <si>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</si>
  <si>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</si>
  <si>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22.05.2018</t>
    <phoneticPr fontId="3"/>
  </si>
  <si>
    <t>ﾆｭｰｼﾞｰﾗﾝﾄﾞ</t>
    <phoneticPr fontId="4"/>
  </si>
  <si>
    <t>D'lish</t>
    <phoneticPr fontId="4"/>
  </si>
  <si>
    <t>中国</t>
    <phoneticPr fontId="4"/>
  </si>
  <si>
    <t>大阪</t>
    <phoneticPr fontId="4"/>
  </si>
  <si>
    <t>HW</t>
    <phoneticPr fontId="4"/>
  </si>
  <si>
    <t>CK</t>
    <phoneticPr fontId="4"/>
  </si>
  <si>
    <t>Del Monte</t>
    <phoneticPr fontId="3"/>
  </si>
  <si>
    <t>GK</t>
    <phoneticPr fontId="4"/>
  </si>
  <si>
    <t>OB</t>
    <phoneticPr fontId="4"/>
  </si>
  <si>
    <t>HE</t>
    <phoneticPr fontId="4"/>
  </si>
  <si>
    <t>GA</t>
    <phoneticPr fontId="4"/>
  </si>
  <si>
    <t>いちじく</t>
    <phoneticPr fontId="4"/>
  </si>
  <si>
    <t>ラフランス</t>
    <phoneticPr fontId="3"/>
  </si>
  <si>
    <t>24.05.2018</t>
    <phoneticPr fontId="3"/>
  </si>
  <si>
    <t>アオキスーパー</t>
  </si>
  <si>
    <t>ピアゴ</t>
    <phoneticPr fontId="4"/>
  </si>
  <si>
    <t>カネスエ</t>
    <phoneticPr fontId="4"/>
  </si>
  <si>
    <t>アピタ</t>
    <phoneticPr fontId="4"/>
  </si>
  <si>
    <t>JP</t>
    <phoneticPr fontId="3"/>
  </si>
  <si>
    <t>24.05.2018</t>
    <phoneticPr fontId="3"/>
  </si>
  <si>
    <t>カネトク</t>
    <phoneticPr fontId="4"/>
  </si>
  <si>
    <t>JP</t>
    <phoneticPr fontId="3"/>
  </si>
  <si>
    <t>24.05.2018</t>
    <phoneticPr fontId="3"/>
  </si>
  <si>
    <t>マックスバリュ</t>
    <phoneticPr fontId="4"/>
  </si>
  <si>
    <t>長久手店</t>
    <phoneticPr fontId="4"/>
  </si>
  <si>
    <t>アピタ</t>
    <phoneticPr fontId="4"/>
  </si>
  <si>
    <t>JP</t>
    <phoneticPr fontId="3"/>
  </si>
  <si>
    <t>24.05.2018</t>
    <phoneticPr fontId="3"/>
  </si>
  <si>
    <t>アオキスーパー</t>
    <phoneticPr fontId="4"/>
  </si>
  <si>
    <t>長久手店</t>
    <phoneticPr fontId="4"/>
  </si>
  <si>
    <t>JP</t>
    <phoneticPr fontId="3"/>
  </si>
  <si>
    <t>24.05.2018</t>
    <phoneticPr fontId="3"/>
  </si>
  <si>
    <t>JP</t>
    <phoneticPr fontId="3"/>
  </si>
  <si>
    <t>24.05.2018</t>
    <phoneticPr fontId="3"/>
  </si>
  <si>
    <t>JP</t>
    <phoneticPr fontId="3"/>
  </si>
  <si>
    <t>24.05.2018</t>
    <phoneticPr fontId="3"/>
  </si>
  <si>
    <t>ピアゴ</t>
  </si>
  <si>
    <t>長久手南店</t>
  </si>
  <si>
    <t>ラフランス</t>
    <phoneticPr fontId="4"/>
  </si>
  <si>
    <t>キラキラ</t>
    <phoneticPr fontId="4"/>
  </si>
  <si>
    <t>グリーンアイ</t>
    <phoneticPr fontId="4"/>
  </si>
  <si>
    <t>カネスエ</t>
  </si>
  <si>
    <t>長久手店</t>
  </si>
  <si>
    <t>カネトク</t>
  </si>
  <si>
    <t>アピタ</t>
  </si>
  <si>
    <t>28.05.2018</t>
    <phoneticPr fontId="18"/>
  </si>
  <si>
    <t>26.05.2018</t>
    <phoneticPr fontId="18"/>
  </si>
  <si>
    <t>津久野店</t>
  </si>
  <si>
    <t>宮崎</t>
  </si>
  <si>
    <t>販売
ユニット
個数</t>
    <phoneticPr fontId="4"/>
  </si>
  <si>
    <t>U/P JPY</t>
    <phoneticPr fontId="4"/>
  </si>
  <si>
    <t>JP</t>
    <phoneticPr fontId="3"/>
  </si>
  <si>
    <t>23.05.2018</t>
    <phoneticPr fontId="3"/>
  </si>
  <si>
    <t>マルショク</t>
    <phoneticPr fontId="3"/>
  </si>
  <si>
    <t>りんご</t>
    <phoneticPr fontId="3"/>
  </si>
  <si>
    <t>バナナ</t>
    <phoneticPr fontId="3"/>
  </si>
  <si>
    <t>JPY</t>
    <phoneticPr fontId="4"/>
  </si>
  <si>
    <t>一般栽培</t>
    <phoneticPr fontId="4"/>
  </si>
  <si>
    <t>ﾆｭｰｼﾞｰﾗﾝﾄﾞ</t>
    <phoneticPr fontId="4"/>
  </si>
  <si>
    <t>JP</t>
    <phoneticPr fontId="3"/>
  </si>
  <si>
    <t>23.05.2018</t>
    <phoneticPr fontId="3"/>
  </si>
  <si>
    <t>マルショク</t>
    <phoneticPr fontId="3"/>
  </si>
  <si>
    <t>りんご</t>
    <phoneticPr fontId="3"/>
  </si>
  <si>
    <t>バナナ</t>
    <phoneticPr fontId="3"/>
  </si>
  <si>
    <t>JPY</t>
    <phoneticPr fontId="4"/>
  </si>
  <si>
    <t>CK</t>
    <phoneticPr fontId="3"/>
  </si>
  <si>
    <t>D'lish</t>
    <phoneticPr fontId="4"/>
  </si>
  <si>
    <t>HW</t>
    <phoneticPr fontId="4"/>
  </si>
  <si>
    <t>CK</t>
    <phoneticPr fontId="4"/>
  </si>
  <si>
    <t>Del Monte</t>
    <phoneticPr fontId="4"/>
  </si>
  <si>
    <t>いちご</t>
    <phoneticPr fontId="3"/>
  </si>
  <si>
    <t>GK</t>
    <phoneticPr fontId="4"/>
  </si>
  <si>
    <t>OB</t>
    <phoneticPr fontId="4"/>
  </si>
  <si>
    <t>23.05.2018</t>
    <phoneticPr fontId="3"/>
  </si>
  <si>
    <t>マルショク</t>
    <phoneticPr fontId="3"/>
  </si>
  <si>
    <t>りんご</t>
    <phoneticPr fontId="3"/>
  </si>
  <si>
    <t>バナナ</t>
    <phoneticPr fontId="3"/>
  </si>
  <si>
    <t>JPY</t>
    <phoneticPr fontId="4"/>
  </si>
  <si>
    <t>HE</t>
    <phoneticPr fontId="4"/>
  </si>
  <si>
    <t>JP</t>
    <phoneticPr fontId="3"/>
  </si>
  <si>
    <t>23.05.2018</t>
    <phoneticPr fontId="3"/>
  </si>
  <si>
    <t>GA</t>
    <phoneticPr fontId="4"/>
  </si>
  <si>
    <t>23.05.2018</t>
    <phoneticPr fontId="3"/>
  </si>
  <si>
    <t>オレンジ</t>
    <phoneticPr fontId="3"/>
  </si>
  <si>
    <t>JP</t>
    <phoneticPr fontId="3"/>
  </si>
  <si>
    <t>23.05.2018</t>
    <phoneticPr fontId="3"/>
  </si>
  <si>
    <t>23.05.2018</t>
    <phoneticPr fontId="3"/>
  </si>
  <si>
    <t>23.05.2018</t>
    <phoneticPr fontId="3"/>
  </si>
  <si>
    <t>JPY</t>
    <phoneticPr fontId="4"/>
  </si>
  <si>
    <t>23.05.2018</t>
    <phoneticPr fontId="3"/>
  </si>
  <si>
    <t>JPY</t>
    <phoneticPr fontId="4"/>
  </si>
  <si>
    <t>JP</t>
    <phoneticPr fontId="3"/>
  </si>
  <si>
    <t>23.05.2018</t>
    <phoneticPr fontId="3"/>
  </si>
  <si>
    <t>JPY</t>
    <phoneticPr fontId="4"/>
  </si>
  <si>
    <t>いちじく</t>
    <phoneticPr fontId="4"/>
  </si>
  <si>
    <t>ラフランス</t>
    <phoneticPr fontId="3"/>
  </si>
  <si>
    <t>キラキラ</t>
    <phoneticPr fontId="4"/>
  </si>
  <si>
    <t>プラム</t>
    <phoneticPr fontId="3"/>
  </si>
  <si>
    <t>グリーンアイ</t>
    <phoneticPr fontId="4"/>
  </si>
  <si>
    <t>ぽんかん</t>
    <phoneticPr fontId="3"/>
  </si>
  <si>
    <t>アメリカンチェリー</t>
    <phoneticPr fontId="3"/>
  </si>
  <si>
    <t>JPY</t>
    <phoneticPr fontId="4"/>
  </si>
  <si>
    <t>23.05.2018</t>
  </si>
  <si>
    <t>県名</t>
    <phoneticPr fontId="3"/>
  </si>
  <si>
    <t>シーズン</t>
    <phoneticPr fontId="4"/>
  </si>
  <si>
    <t>チェーン名</t>
    <phoneticPr fontId="3"/>
  </si>
  <si>
    <t>品種</t>
    <phoneticPr fontId="3"/>
  </si>
  <si>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</si>
  <si>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</si>
  <si>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</si>
  <si>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</si>
  <si>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</si>
  <si>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</si>
  <si>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</si>
  <si>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</si>
  <si>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</si>
  <si>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</si>
  <si>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</si>
  <si>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31.05.2018</t>
    <phoneticPr fontId="3"/>
  </si>
  <si>
    <t>福や</t>
  </si>
  <si>
    <t>鉄砲町店</t>
    <rPh sb="3" eb="4">
      <t>テン</t>
    </rPh>
    <phoneticPr fontId="3"/>
  </si>
  <si>
    <t>JPY</t>
    <phoneticPr fontId="3"/>
  </si>
  <si>
    <t>ﾆｭｰｼﾞｰﾗﾝﾄﾞ</t>
    <phoneticPr fontId="4"/>
  </si>
  <si>
    <t>ユアーズ</t>
  </si>
  <si>
    <t>十日市店</t>
    <rPh sb="3" eb="4">
      <t>テン</t>
    </rPh>
    <phoneticPr fontId="3"/>
  </si>
  <si>
    <t>スパーク</t>
  </si>
  <si>
    <t>御幸の杜店</t>
    <rPh sb="3" eb="4">
      <t>モリ</t>
    </rPh>
    <rPh sb="4" eb="5">
      <t>テン</t>
    </rPh>
    <phoneticPr fontId="3"/>
  </si>
  <si>
    <t>D'lish</t>
    <phoneticPr fontId="4"/>
  </si>
  <si>
    <t>中国</t>
    <phoneticPr fontId="4"/>
  </si>
  <si>
    <t>山陽マルナカ</t>
  </si>
  <si>
    <t>白島店</t>
    <rPh sb="0" eb="2">
      <t>ハクシマ</t>
    </rPh>
    <rPh sb="2" eb="3">
      <t>テン</t>
    </rPh>
    <phoneticPr fontId="3"/>
  </si>
  <si>
    <t>HW</t>
    <phoneticPr fontId="4"/>
  </si>
  <si>
    <t>CK</t>
    <phoneticPr fontId="4"/>
  </si>
  <si>
    <t>Del Monte</t>
    <phoneticPr fontId="3"/>
  </si>
  <si>
    <t>アルク</t>
  </si>
  <si>
    <t>東千田店</t>
    <rPh sb="3" eb="4">
      <t>テン</t>
    </rPh>
    <phoneticPr fontId="3"/>
  </si>
  <si>
    <t>GK</t>
    <phoneticPr fontId="4"/>
  </si>
  <si>
    <t>OB</t>
    <phoneticPr fontId="4"/>
  </si>
  <si>
    <t>フレスタ</t>
  </si>
  <si>
    <t>吉島店</t>
    <rPh sb="0" eb="2">
      <t>ヨシジマ</t>
    </rPh>
    <rPh sb="2" eb="3">
      <t>テン</t>
    </rPh>
    <phoneticPr fontId="3"/>
  </si>
  <si>
    <t>HE</t>
    <phoneticPr fontId="4"/>
  </si>
  <si>
    <t>JP</t>
    <phoneticPr fontId="3"/>
  </si>
  <si>
    <t>31.05.2018</t>
    <phoneticPr fontId="3"/>
  </si>
  <si>
    <t>JPY</t>
    <phoneticPr fontId="3"/>
  </si>
  <si>
    <t>ピュアクック</t>
  </si>
  <si>
    <t>観音店</t>
    <rPh sb="2" eb="3">
      <t>テン</t>
    </rPh>
    <phoneticPr fontId="3"/>
  </si>
  <si>
    <t>GA</t>
    <phoneticPr fontId="4"/>
  </si>
  <si>
    <t>宇品店</t>
    <rPh sb="2" eb="3">
      <t>テン</t>
    </rPh>
    <phoneticPr fontId="3"/>
  </si>
  <si>
    <t>JP</t>
    <phoneticPr fontId="3"/>
  </si>
  <si>
    <t>31.05.2018</t>
    <phoneticPr fontId="3"/>
  </si>
  <si>
    <t>JPY</t>
    <phoneticPr fontId="3"/>
  </si>
  <si>
    <t>イズミゆめタウン</t>
  </si>
  <si>
    <t>広島店</t>
    <rPh sb="2" eb="3">
      <t>テン</t>
    </rPh>
    <phoneticPr fontId="3"/>
  </si>
  <si>
    <t>フジグラン</t>
  </si>
  <si>
    <t>バナナ</t>
    <phoneticPr fontId="4"/>
  </si>
  <si>
    <t>JP</t>
    <phoneticPr fontId="3"/>
  </si>
  <si>
    <t>31.05.2018</t>
    <phoneticPr fontId="3"/>
  </si>
  <si>
    <t>JPY</t>
    <phoneticPr fontId="3"/>
  </si>
  <si>
    <t>パパイヤ</t>
    <phoneticPr fontId="4"/>
  </si>
  <si>
    <t>JP</t>
    <phoneticPr fontId="3"/>
  </si>
  <si>
    <t>31.05.2018</t>
    <phoneticPr fontId="3"/>
  </si>
  <si>
    <t>JPY</t>
    <phoneticPr fontId="3"/>
  </si>
  <si>
    <t>びわ</t>
    <phoneticPr fontId="4"/>
  </si>
  <si>
    <t>JP</t>
    <phoneticPr fontId="3"/>
  </si>
  <si>
    <t>31.05.2018</t>
    <phoneticPr fontId="3"/>
  </si>
  <si>
    <t>JPY</t>
    <phoneticPr fontId="3"/>
  </si>
  <si>
    <t>メロン</t>
    <phoneticPr fontId="4"/>
  </si>
  <si>
    <t>桃</t>
    <phoneticPr fontId="4"/>
  </si>
  <si>
    <t>JP</t>
    <phoneticPr fontId="3"/>
  </si>
  <si>
    <t>31.05.2018</t>
    <phoneticPr fontId="3"/>
  </si>
  <si>
    <t>JPY</t>
    <phoneticPr fontId="3"/>
  </si>
  <si>
    <t>ブドウ</t>
    <phoneticPr fontId="4"/>
  </si>
  <si>
    <t>ラフランス</t>
    <phoneticPr fontId="4"/>
  </si>
  <si>
    <t>いちじく</t>
    <phoneticPr fontId="4"/>
  </si>
  <si>
    <t>りんご</t>
    <phoneticPr fontId="4"/>
  </si>
  <si>
    <t>みかん</t>
    <phoneticPr fontId="4"/>
  </si>
  <si>
    <t>マンゴー</t>
    <phoneticPr fontId="3"/>
  </si>
  <si>
    <t>キラキラ</t>
    <phoneticPr fontId="4"/>
  </si>
  <si>
    <t>グリーンアイ</t>
    <phoneticPr fontId="4"/>
  </si>
  <si>
    <t>ひこさか</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</si>
  <si>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</si>
  <si>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</si>
  <si>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</si>
  <si>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</si>
  <si>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</si>
  <si>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</si>
  <si>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</si>
  <si>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</si>
  <si>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</si>
  <si>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</si>
  <si>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</si>
  <si>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</si>
  <si>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25.05.2018</t>
    <phoneticPr fontId="3"/>
  </si>
  <si>
    <t>サミット</t>
  </si>
  <si>
    <t>久が原食品館</t>
    <rPh sb="0" eb="1">
      <t>ヒサ</t>
    </rPh>
    <rPh sb="2" eb="3">
      <t>ハラ</t>
    </rPh>
    <rPh sb="3" eb="5">
      <t>ショクヒン</t>
    </rPh>
    <rPh sb="5" eb="6">
      <t>カン</t>
    </rPh>
    <phoneticPr fontId="4"/>
  </si>
  <si>
    <t>JPY</t>
    <phoneticPr fontId="3"/>
  </si>
  <si>
    <t>カドヤ</t>
    <phoneticPr fontId="4"/>
  </si>
  <si>
    <t>大森館</t>
    <rPh sb="2" eb="3">
      <t>カン</t>
    </rPh>
    <phoneticPr fontId="4"/>
  </si>
  <si>
    <t>ﾆｭｰｼﾞｰﾗﾝﾄﾞ</t>
    <phoneticPr fontId="4"/>
  </si>
  <si>
    <t>25.05.2018</t>
  </si>
  <si>
    <t>西友</t>
    <rPh sb="0" eb="2">
      <t>セイユウ</t>
    </rPh>
    <phoneticPr fontId="4"/>
  </si>
  <si>
    <t>大森店</t>
    <rPh sb="0" eb="2">
      <t>オオモリ</t>
    </rPh>
    <rPh sb="2" eb="3">
      <t>テン</t>
    </rPh>
    <phoneticPr fontId="4"/>
  </si>
  <si>
    <t>イオン</t>
    <phoneticPr fontId="4"/>
  </si>
  <si>
    <t>品川シーサイド店</t>
    <rPh sb="0" eb="2">
      <t>シナガワ</t>
    </rPh>
    <rPh sb="7" eb="8">
      <t>テン</t>
    </rPh>
    <phoneticPr fontId="4"/>
  </si>
  <si>
    <t>D'lish</t>
    <phoneticPr fontId="4"/>
  </si>
  <si>
    <t>中国</t>
    <phoneticPr fontId="4"/>
  </si>
  <si>
    <t>ライフ</t>
    <phoneticPr fontId="4"/>
  </si>
  <si>
    <t>大崎ﾆｭｰｼﾃｨ店</t>
    <rPh sb="0" eb="2">
      <t>オオサキ</t>
    </rPh>
    <rPh sb="8" eb="9">
      <t>テン</t>
    </rPh>
    <phoneticPr fontId="4"/>
  </si>
  <si>
    <t>HW</t>
    <phoneticPr fontId="4"/>
  </si>
  <si>
    <t>CK</t>
    <phoneticPr fontId="4"/>
  </si>
  <si>
    <t>Del Monte</t>
    <phoneticPr fontId="3"/>
  </si>
  <si>
    <t>マルエツ</t>
    <phoneticPr fontId="4"/>
  </si>
  <si>
    <t>蒲田店</t>
    <rPh sb="0" eb="2">
      <t>カマタ</t>
    </rPh>
    <rPh sb="2" eb="3">
      <t>テン</t>
    </rPh>
    <phoneticPr fontId="4"/>
  </si>
  <si>
    <t>GK</t>
    <phoneticPr fontId="4"/>
  </si>
  <si>
    <t>OB</t>
    <phoneticPr fontId="4"/>
  </si>
  <si>
    <t>東急ストア</t>
    <rPh sb="0" eb="2">
      <t>トウキュウ</t>
    </rPh>
    <phoneticPr fontId="4"/>
  </si>
  <si>
    <t>HE</t>
    <phoneticPr fontId="4"/>
  </si>
  <si>
    <t>サミット</t>
    <phoneticPr fontId="4"/>
  </si>
  <si>
    <t>品川店</t>
    <rPh sb="0" eb="2">
      <t>シナガワ</t>
    </rPh>
    <rPh sb="2" eb="3">
      <t>テン</t>
    </rPh>
    <phoneticPr fontId="4"/>
  </si>
  <si>
    <t>イトーヨーカドー</t>
    <phoneticPr fontId="4"/>
  </si>
  <si>
    <t>大井町店</t>
    <rPh sb="0" eb="4">
      <t>オオイマチテン</t>
    </rPh>
    <phoneticPr fontId="4"/>
  </si>
  <si>
    <t>サミット</t>
    <phoneticPr fontId="4"/>
  </si>
  <si>
    <t>大森西店</t>
    <phoneticPr fontId="4"/>
  </si>
  <si>
    <t>大森西店</t>
  </si>
  <si>
    <t>ラフランス</t>
    <phoneticPr fontId="3"/>
  </si>
  <si>
    <t>カドヤ</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</si>
</sst>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9"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
      <sz val="6"/>
      <name val="ＭＳ Ｐゴシック"/>
      <family val="3"/>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6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0" fontId="14" fillId="0" borderId="0" xfId="1" applyFont="1" applyFill="1"/>
    <xf numFmtId="178" fontId="1" fillId="3" borderId="0" xfId="1" applyNumberFormat="1" applyFont="1" applyFill="1"/>
    <xf numFmtId="0" fontId="10" fillId="0" borderId="0" xfId="1" applyFont="1" applyBorder="1"/>
    <xf numFmtId="0" fontId="1" fillId="0" borderId="0" xfId="1" applyFont="1" applyFill="1" applyBorder="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49" fontId="2" fillId="5" borderId="25" xfId="1" applyNumberFormat="1" applyFont="1" applyFill="1" applyBorder="1" applyAlignment="1">
      <alignment horizontal="center" vertical="center" wrapText="1"/>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5" xfId="1" applyFont="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Fill="1" applyBorder="1"/>
    <xf numFmtId="0" fontId="1" fillId="3" borderId="0" xfId="1" applyFill="1" applyBorder="1"/>
    <xf numFmtId="0" fontId="1" fillId="0" borderId="42" xfId="1" applyFill="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0" borderId="42" xfId="1" applyBorder="1"/>
    <xf numFmtId="0" fontId="1" fillId="4" borderId="16" xfId="1" applyFill="1" applyBorder="1"/>
    <xf numFmtId="0" fontId="1" fillId="4" borderId="17" xfId="1" applyFill="1" applyBorder="1"/>
    <xf numFmtId="0" fontId="1" fillId="0" borderId="41" xfId="1" applyBorder="1"/>
    <xf numFmtId="0" fontId="1" fillId="0" borderId="43" xfId="1" applyBorder="1"/>
    <xf numFmtId="0" fontId="1" fillId="0" borderId="43" xfId="1" applyFont="1" applyBorder="1"/>
    <xf numFmtId="0" fontId="1" fillId="0" borderId="17" xfId="1" applyFill="1" applyBorder="1"/>
    <xf numFmtId="0" fontId="1" fillId="0" borderId="44" xfId="1" applyFont="1" applyBorder="1"/>
    <xf numFmtId="0" fontId="1" fillId="0" borderId="35" xfId="1" applyBorder="1"/>
    <xf numFmtId="14" fontId="0" fillId="0" borderId="0" xfId="1" applyNumberFormat="1" applyFont="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hiroshima_2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2467;&#12500;&#12540;Zespri%20Shopsurvey_ota_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85" zoomScaleNormal="85" workbookViewId="0">
      <selection activeCell="AB2" sqref="AB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312</v>
      </c>
      <c r="B2" s="15" t="s">
        <v>314</v>
      </c>
      <c r="C2" s="15">
        <v>2018</v>
      </c>
      <c r="D2" s="50" t="s">
        <v>318</v>
      </c>
      <c r="E2" s="15" t="s">
        <v>142</v>
      </c>
      <c r="F2" s="15" t="s">
        <v>151</v>
      </c>
      <c r="G2" s="15" t="s">
        <v>36</v>
      </c>
      <c r="H2" s="15" t="s">
        <v>157</v>
      </c>
      <c r="I2" s="15" t="s">
        <v>155</v>
      </c>
      <c r="J2" s="15" t="s">
        <v>38</v>
      </c>
      <c r="K2" s="7" t="s">
        <v>156</v>
      </c>
      <c r="L2" s="7">
        <v>1</v>
      </c>
      <c r="N2" s="47">
        <v>1</v>
      </c>
      <c r="O2" s="15">
        <v>0.5</v>
      </c>
      <c r="P2" s="15">
        <v>0.5</v>
      </c>
      <c r="Q2" s="51">
        <f t="shared" ref="Q2:Q65" si="0">IF(OR(O2="",P2=""),"",AVERAGE(O2,P2))</f>
        <v>0.5</v>
      </c>
      <c r="R2" s="15">
        <v>16.7</v>
      </c>
      <c r="S2" s="15">
        <v>112</v>
      </c>
      <c r="T2" s="38">
        <f t="shared" ref="T2:T59" si="1">IF(H2="","",IF(OR(H2="GREEN",H2="GK"),IF(S2&gt;=$AX$2,VLOOKUP(S2,$AX$2:$AY$12,2,1),""),IF(S2&gt;=$AZ$2,VLOOKUP(S2,$AZ$2:$BA$12,2,1),"")))</f>
        <v>33</v>
      </c>
      <c r="U2" s="15">
        <v>96</v>
      </c>
      <c r="V2" s="38">
        <f t="shared" ref="V2:V65" si="2">IF(OR(N2="",U2="",T2=""),"",U2/N2*T2)</f>
        <v>3168</v>
      </c>
      <c r="W2" s="15">
        <v>13</v>
      </c>
      <c r="X2" s="15" t="s">
        <v>46</v>
      </c>
      <c r="Y2" s="15" t="s">
        <v>55</v>
      </c>
      <c r="Z2" s="15" t="s">
        <v>47</v>
      </c>
      <c r="AA2" s="15" t="s">
        <v>90</v>
      </c>
      <c r="AB2" s="39" t="s">
        <v>316</v>
      </c>
      <c r="AE2" s="17" t="s">
        <v>35</v>
      </c>
      <c r="AG2" s="49" t="s">
        <v>131</v>
      </c>
      <c r="AH2" s="49" t="s">
        <v>145</v>
      </c>
      <c r="AJ2" s="18" t="s">
        <v>36</v>
      </c>
      <c r="AL2" s="18" t="s">
        <v>127</v>
      </c>
      <c r="AN2" s="18" t="s">
        <v>37</v>
      </c>
      <c r="AP2" s="18" t="s">
        <v>38</v>
      </c>
      <c r="AR2" s="18" t="s">
        <v>120</v>
      </c>
      <c r="AT2" s="18" t="s">
        <v>39</v>
      </c>
      <c r="AV2" s="18" t="s">
        <v>40</v>
      </c>
      <c r="AX2" s="19">
        <v>1</v>
      </c>
      <c r="AY2" s="20">
        <v>50</v>
      </c>
      <c r="AZ2" s="20">
        <v>1</v>
      </c>
      <c r="BA2" s="21">
        <v>50</v>
      </c>
    </row>
    <row r="3" spans="1:53" x14ac:dyDescent="0.15">
      <c r="A3" s="15" t="s">
        <v>312</v>
      </c>
      <c r="B3" s="15" t="s">
        <v>313</v>
      </c>
      <c r="C3" s="15">
        <v>2018</v>
      </c>
      <c r="D3" s="37" t="s">
        <v>317</v>
      </c>
      <c r="E3" s="15" t="s">
        <v>142</v>
      </c>
      <c r="F3" s="7" t="s">
        <v>151</v>
      </c>
      <c r="G3" s="7" t="s">
        <v>36</v>
      </c>
      <c r="H3" s="15" t="s">
        <v>157</v>
      </c>
      <c r="I3" s="7" t="s">
        <v>155</v>
      </c>
      <c r="J3" s="15" t="s">
        <v>38</v>
      </c>
      <c r="K3" s="7" t="s">
        <v>156</v>
      </c>
      <c r="L3" s="7">
        <v>2</v>
      </c>
      <c r="N3" s="7">
        <v>1</v>
      </c>
      <c r="O3" s="34">
        <v>0.5</v>
      </c>
      <c r="P3" s="7">
        <v>0.5</v>
      </c>
      <c r="Q3" s="52">
        <f t="shared" si="0"/>
        <v>0.5</v>
      </c>
      <c r="R3" s="7">
        <v>15.9</v>
      </c>
      <c r="S3" s="7">
        <v>121</v>
      </c>
      <c r="T3" s="16">
        <f t="shared" si="1"/>
        <v>27</v>
      </c>
      <c r="U3" s="15">
        <v>96</v>
      </c>
      <c r="V3" s="16">
        <f t="shared" si="2"/>
        <v>2592</v>
      </c>
      <c r="W3" s="15">
        <v>13</v>
      </c>
      <c r="X3" s="15" t="s">
        <v>46</v>
      </c>
      <c r="Y3" s="15" t="s">
        <v>55</v>
      </c>
      <c r="Z3" s="15" t="s">
        <v>47</v>
      </c>
      <c r="AA3" s="15" t="s">
        <v>90</v>
      </c>
      <c r="AB3" s="39" t="s">
        <v>315</v>
      </c>
      <c r="AE3" s="22" t="s">
        <v>41</v>
      </c>
      <c r="AG3" s="49" t="s">
        <v>139</v>
      </c>
      <c r="AH3" s="49" t="s">
        <v>146</v>
      </c>
      <c r="AJ3" s="23" t="s">
        <v>42</v>
      </c>
      <c r="AL3" s="23" t="s">
        <v>128</v>
      </c>
      <c r="AN3" s="23" t="s">
        <v>43</v>
      </c>
      <c r="AP3" s="23" t="s">
        <v>44</v>
      </c>
      <c r="AR3" s="41" t="s">
        <v>45</v>
      </c>
      <c r="AT3" s="23" t="s">
        <v>46</v>
      </c>
      <c r="AV3" s="23" t="s">
        <v>47</v>
      </c>
      <c r="AX3" s="24">
        <v>72</v>
      </c>
      <c r="AY3" s="25">
        <v>46</v>
      </c>
      <c r="AZ3" s="25">
        <v>71</v>
      </c>
      <c r="BA3" s="26">
        <v>42</v>
      </c>
    </row>
    <row r="4" spans="1:53" x14ac:dyDescent="0.15">
      <c r="A4" s="15" t="s">
        <v>312</v>
      </c>
      <c r="B4" s="15" t="s">
        <v>313</v>
      </c>
      <c r="C4" s="15">
        <v>2018</v>
      </c>
      <c r="D4" s="37" t="s">
        <v>317</v>
      </c>
      <c r="E4" s="15" t="s">
        <v>142</v>
      </c>
      <c r="F4" s="7" t="s">
        <v>151</v>
      </c>
      <c r="G4" s="7" t="s">
        <v>36</v>
      </c>
      <c r="H4" s="15" t="s">
        <v>157</v>
      </c>
      <c r="I4" s="149" t="s">
        <v>155</v>
      </c>
      <c r="J4" s="15" t="s">
        <v>38</v>
      </c>
      <c r="K4" s="7" t="s">
        <v>156</v>
      </c>
      <c r="L4" s="7">
        <v>3</v>
      </c>
      <c r="N4" s="7">
        <v>1</v>
      </c>
      <c r="O4" s="7">
        <v>0.5</v>
      </c>
      <c r="P4" s="7">
        <v>0.5</v>
      </c>
      <c r="Q4" s="52">
        <f t="shared" si="0"/>
        <v>0.5</v>
      </c>
      <c r="R4" s="7">
        <v>15.4</v>
      </c>
      <c r="S4" s="7">
        <v>121</v>
      </c>
      <c r="T4" s="16">
        <f t="shared" si="1"/>
        <v>27</v>
      </c>
      <c r="U4" s="15">
        <v>96</v>
      </c>
      <c r="V4" s="16">
        <f t="shared" si="2"/>
        <v>2592</v>
      </c>
      <c r="W4" s="15">
        <v>13</v>
      </c>
      <c r="X4" s="15" t="s">
        <v>46</v>
      </c>
      <c r="Y4" s="15" t="s">
        <v>55</v>
      </c>
      <c r="Z4" s="15" t="s">
        <v>47</v>
      </c>
      <c r="AA4" s="15" t="s">
        <v>90</v>
      </c>
      <c r="AB4" s="39" t="s">
        <v>315</v>
      </c>
      <c r="AE4" s="22" t="s">
        <v>34</v>
      </c>
      <c r="AG4" s="49" t="s">
        <v>140</v>
      </c>
      <c r="AH4" s="49" t="s">
        <v>147</v>
      </c>
      <c r="AJ4" s="27" t="s">
        <v>48</v>
      </c>
      <c r="AL4" s="27" t="s">
        <v>129</v>
      </c>
      <c r="AN4" s="28" t="s">
        <v>49</v>
      </c>
      <c r="AP4" s="23" t="s">
        <v>93</v>
      </c>
      <c r="AR4" s="41" t="s">
        <v>121</v>
      </c>
      <c r="AT4" s="28"/>
      <c r="AV4" s="23" t="s">
        <v>50</v>
      </c>
      <c r="AX4" s="24">
        <v>75</v>
      </c>
      <c r="AY4" s="25">
        <v>42</v>
      </c>
      <c r="AZ4" s="25">
        <v>76</v>
      </c>
      <c r="BA4" s="26">
        <v>39</v>
      </c>
    </row>
    <row r="5" spans="1:53" x14ac:dyDescent="0.15">
      <c r="A5" s="15" t="s">
        <v>312</v>
      </c>
      <c r="B5" s="15" t="s">
        <v>313</v>
      </c>
      <c r="C5" s="15">
        <v>2018</v>
      </c>
      <c r="D5" s="37" t="s">
        <v>317</v>
      </c>
      <c r="E5" s="15" t="s">
        <v>142</v>
      </c>
      <c r="F5" s="15" t="s">
        <v>151</v>
      </c>
      <c r="G5" s="7" t="s">
        <v>36</v>
      </c>
      <c r="H5" s="15" t="s">
        <v>162</v>
      </c>
      <c r="I5" s="149" t="s">
        <v>155</v>
      </c>
      <c r="J5" s="15" t="s">
        <v>38</v>
      </c>
      <c r="K5" s="7" t="s">
        <v>156</v>
      </c>
      <c r="L5" s="7">
        <v>1</v>
      </c>
      <c r="N5" s="7">
        <v>1</v>
      </c>
      <c r="O5" s="7">
        <v>0.7</v>
      </c>
      <c r="P5" s="7">
        <v>0.8</v>
      </c>
      <c r="Q5" s="52">
        <f t="shared" si="0"/>
        <v>0.75</v>
      </c>
      <c r="R5" s="7">
        <v>19</v>
      </c>
      <c r="S5" s="7">
        <v>144</v>
      </c>
      <c r="T5" s="16">
        <f t="shared" si="1"/>
        <v>22</v>
      </c>
      <c r="U5" s="15">
        <v>145</v>
      </c>
      <c r="V5" s="16">
        <f t="shared" si="2"/>
        <v>3190</v>
      </c>
      <c r="W5" s="15">
        <v>15</v>
      </c>
      <c r="X5" s="15" t="s">
        <v>46</v>
      </c>
      <c r="Y5" s="15" t="s">
        <v>55</v>
      </c>
      <c r="Z5" s="15" t="s">
        <v>47</v>
      </c>
      <c r="AA5" s="15" t="s">
        <v>90</v>
      </c>
      <c r="AB5" s="39" t="s">
        <v>315</v>
      </c>
      <c r="AE5" s="22" t="s">
        <v>51</v>
      </c>
      <c r="AG5" s="49" t="s">
        <v>130</v>
      </c>
      <c r="AH5" s="49" t="s">
        <v>148</v>
      </c>
      <c r="AJ5" s="28"/>
      <c r="AL5" s="29" t="s">
        <v>66</v>
      </c>
      <c r="AN5" s="29" t="s">
        <v>52</v>
      </c>
      <c r="AP5" s="23" t="s">
        <v>119</v>
      </c>
      <c r="AR5" s="41" t="s">
        <v>54</v>
      </c>
      <c r="AV5" s="23" t="s">
        <v>55</v>
      </c>
      <c r="AX5" s="24">
        <v>84</v>
      </c>
      <c r="AY5" s="25">
        <v>39</v>
      </c>
      <c r="AZ5" s="25">
        <v>84</v>
      </c>
      <c r="BA5" s="26">
        <v>36</v>
      </c>
    </row>
    <row r="6" spans="1:53" x14ac:dyDescent="0.15">
      <c r="A6" s="15" t="s">
        <v>312</v>
      </c>
      <c r="B6" s="15" t="s">
        <v>313</v>
      </c>
      <c r="C6" s="15">
        <v>2018</v>
      </c>
      <c r="D6" s="37" t="s">
        <v>317</v>
      </c>
      <c r="E6" s="15" t="s">
        <v>142</v>
      </c>
      <c r="F6" s="7" t="s">
        <v>151</v>
      </c>
      <c r="G6" s="7" t="s">
        <v>36</v>
      </c>
      <c r="H6" s="157" t="s">
        <v>162</v>
      </c>
      <c r="I6" s="149" t="s">
        <v>155</v>
      </c>
      <c r="J6" s="157" t="s">
        <v>38</v>
      </c>
      <c r="K6" s="149" t="s">
        <v>156</v>
      </c>
      <c r="L6" s="7">
        <v>2</v>
      </c>
      <c r="N6" s="7">
        <v>1</v>
      </c>
      <c r="O6" s="7">
        <v>0.6</v>
      </c>
      <c r="P6" s="7">
        <v>0.65</v>
      </c>
      <c r="Q6" s="52">
        <f t="shared" si="0"/>
        <v>0.625</v>
      </c>
      <c r="R6" s="7">
        <v>19.8</v>
      </c>
      <c r="S6" s="7">
        <v>142</v>
      </c>
      <c r="T6" s="16">
        <f t="shared" si="1"/>
        <v>22</v>
      </c>
      <c r="U6" s="157">
        <v>145</v>
      </c>
      <c r="V6" s="16">
        <f t="shared" si="2"/>
        <v>3190</v>
      </c>
      <c r="W6" s="15">
        <v>15</v>
      </c>
      <c r="X6" s="15" t="s">
        <v>46</v>
      </c>
      <c r="Y6" s="15" t="s">
        <v>55</v>
      </c>
      <c r="Z6" s="15" t="s">
        <v>47</v>
      </c>
      <c r="AA6" s="15" t="s">
        <v>90</v>
      </c>
      <c r="AB6" s="39" t="s">
        <v>315</v>
      </c>
      <c r="AE6" s="22" t="s">
        <v>56</v>
      </c>
      <c r="AG6" s="49" t="s">
        <v>132</v>
      </c>
      <c r="AH6" s="49" t="s">
        <v>149</v>
      </c>
      <c r="AL6" s="29" t="s">
        <v>99</v>
      </c>
      <c r="AN6" s="29" t="s">
        <v>57</v>
      </c>
      <c r="AP6" s="23" t="s">
        <v>53</v>
      </c>
      <c r="AR6" s="41" t="s">
        <v>59</v>
      </c>
      <c r="AV6" s="23" t="s">
        <v>60</v>
      </c>
      <c r="AX6" s="24">
        <v>97</v>
      </c>
      <c r="AY6" s="25">
        <v>36</v>
      </c>
      <c r="AZ6" s="25">
        <v>99</v>
      </c>
      <c r="BA6" s="26">
        <v>33</v>
      </c>
    </row>
    <row r="7" spans="1:53" ht="12" customHeight="1" x14ac:dyDescent="0.15">
      <c r="A7" s="15" t="s">
        <v>312</v>
      </c>
      <c r="B7" s="15" t="s">
        <v>313</v>
      </c>
      <c r="C7" s="15">
        <v>2018</v>
      </c>
      <c r="D7" s="37" t="s">
        <v>317</v>
      </c>
      <c r="E7" s="15" t="s">
        <v>142</v>
      </c>
      <c r="F7" s="7" t="s">
        <v>151</v>
      </c>
      <c r="G7" s="7" t="s">
        <v>36</v>
      </c>
      <c r="H7" s="157" t="s">
        <v>162</v>
      </c>
      <c r="I7" s="149" t="s">
        <v>155</v>
      </c>
      <c r="J7" s="157" t="s">
        <v>38</v>
      </c>
      <c r="K7" s="149" t="s">
        <v>156</v>
      </c>
      <c r="L7" s="7">
        <v>3</v>
      </c>
      <c r="N7" s="7">
        <v>1</v>
      </c>
      <c r="O7" s="7">
        <v>0.65</v>
      </c>
      <c r="P7" s="7">
        <v>0.8</v>
      </c>
      <c r="Q7" s="52">
        <f t="shared" si="0"/>
        <v>0.72500000000000009</v>
      </c>
      <c r="R7" s="34">
        <v>17.899999999999999</v>
      </c>
      <c r="S7" s="7">
        <v>133</v>
      </c>
      <c r="T7" s="16">
        <f t="shared" si="1"/>
        <v>25</v>
      </c>
      <c r="U7" s="157">
        <v>145</v>
      </c>
      <c r="V7" s="16">
        <f t="shared" si="2"/>
        <v>3625</v>
      </c>
      <c r="W7" s="15">
        <v>15</v>
      </c>
      <c r="X7" s="15" t="s">
        <v>46</v>
      </c>
      <c r="Y7" s="15" t="s">
        <v>55</v>
      </c>
      <c r="Z7" s="15" t="s">
        <v>47</v>
      </c>
      <c r="AA7" s="15" t="s">
        <v>90</v>
      </c>
      <c r="AB7" s="39" t="s">
        <v>315</v>
      </c>
      <c r="AE7" s="22" t="s">
        <v>61</v>
      </c>
      <c r="AG7" s="49" t="s">
        <v>141</v>
      </c>
      <c r="AH7" s="49" t="s">
        <v>150</v>
      </c>
      <c r="AL7" s="34" t="s">
        <v>109</v>
      </c>
      <c r="AP7" s="23" t="s">
        <v>58</v>
      </c>
      <c r="AR7" s="30" t="s">
        <v>122</v>
      </c>
      <c r="AV7" s="23" t="s">
        <v>64</v>
      </c>
      <c r="AX7" s="24">
        <v>109</v>
      </c>
      <c r="AY7" s="25">
        <v>33</v>
      </c>
      <c r="AZ7" s="25">
        <v>113</v>
      </c>
      <c r="BA7" s="26">
        <v>30</v>
      </c>
    </row>
    <row r="8" spans="1:53" ht="12.75" customHeight="1" x14ac:dyDescent="0.15">
      <c r="A8" s="15" t="s">
        <v>312</v>
      </c>
      <c r="B8" s="15" t="s">
        <v>313</v>
      </c>
      <c r="C8" s="15">
        <v>2018</v>
      </c>
      <c r="D8" s="37" t="s">
        <v>317</v>
      </c>
      <c r="E8" s="15" t="s">
        <v>133</v>
      </c>
      <c r="F8" s="7" t="s">
        <v>152</v>
      </c>
      <c r="G8" s="7" t="s">
        <v>36</v>
      </c>
      <c r="H8" s="15" t="s">
        <v>157</v>
      </c>
      <c r="I8" s="149" t="s">
        <v>155</v>
      </c>
      <c r="J8" s="15" t="s">
        <v>38</v>
      </c>
      <c r="K8" s="7" t="s">
        <v>156</v>
      </c>
      <c r="L8" s="7">
        <v>1</v>
      </c>
      <c r="N8" s="7">
        <v>1</v>
      </c>
      <c r="O8" s="7">
        <v>0.7</v>
      </c>
      <c r="P8" s="7">
        <v>0.85</v>
      </c>
      <c r="Q8" s="52">
        <f t="shared" si="0"/>
        <v>0.77499999999999991</v>
      </c>
      <c r="R8" s="34">
        <v>16.100000000000001</v>
      </c>
      <c r="S8" s="7">
        <v>168</v>
      </c>
      <c r="T8" s="16">
        <f t="shared" si="1"/>
        <v>18</v>
      </c>
      <c r="U8" s="15">
        <v>105</v>
      </c>
      <c r="V8" s="16">
        <f t="shared" si="2"/>
        <v>1890</v>
      </c>
      <c r="W8" s="15">
        <v>12</v>
      </c>
      <c r="X8" s="15" t="s">
        <v>46</v>
      </c>
      <c r="Y8" s="15" t="s">
        <v>55</v>
      </c>
      <c r="Z8" s="15" t="s">
        <v>47</v>
      </c>
      <c r="AA8" s="15" t="s">
        <v>69</v>
      </c>
      <c r="AB8" s="39" t="s">
        <v>315</v>
      </c>
      <c r="AE8" s="22" t="s">
        <v>59</v>
      </c>
      <c r="AG8" s="49" t="s">
        <v>142</v>
      </c>
      <c r="AH8" s="49" t="s">
        <v>151</v>
      </c>
      <c r="AL8" s="34" t="s">
        <v>134</v>
      </c>
      <c r="AP8" s="23" t="s">
        <v>62</v>
      </c>
      <c r="AR8" s="41" t="s">
        <v>81</v>
      </c>
      <c r="AV8" s="23" t="s">
        <v>97</v>
      </c>
      <c r="AX8" s="24">
        <v>119</v>
      </c>
      <c r="AY8" s="25">
        <v>30</v>
      </c>
      <c r="AZ8" s="25">
        <v>121</v>
      </c>
      <c r="BA8" s="26">
        <v>27</v>
      </c>
    </row>
    <row r="9" spans="1:53" x14ac:dyDescent="0.15">
      <c r="A9" s="15" t="s">
        <v>312</v>
      </c>
      <c r="B9" s="15" t="s">
        <v>313</v>
      </c>
      <c r="C9" s="15">
        <v>2018</v>
      </c>
      <c r="D9" s="37" t="s">
        <v>317</v>
      </c>
      <c r="E9" s="15" t="s">
        <v>133</v>
      </c>
      <c r="F9" s="7" t="s">
        <v>152</v>
      </c>
      <c r="G9" s="7" t="s">
        <v>36</v>
      </c>
      <c r="H9" s="157" t="s">
        <v>157</v>
      </c>
      <c r="I9" s="149" t="s">
        <v>155</v>
      </c>
      <c r="J9" s="157" t="s">
        <v>38</v>
      </c>
      <c r="K9" s="149" t="s">
        <v>156</v>
      </c>
      <c r="L9" s="7">
        <v>2</v>
      </c>
      <c r="N9" s="7">
        <v>1</v>
      </c>
      <c r="O9" s="7">
        <v>0.55000000000000004</v>
      </c>
      <c r="P9" s="7">
        <v>0.55000000000000004</v>
      </c>
      <c r="Q9" s="52">
        <f t="shared" si="0"/>
        <v>0.55000000000000004</v>
      </c>
      <c r="R9" s="7">
        <v>14.4</v>
      </c>
      <c r="S9" s="7">
        <v>151</v>
      </c>
      <c r="T9" s="16">
        <f t="shared" si="1"/>
        <v>22</v>
      </c>
      <c r="U9" s="157">
        <v>105</v>
      </c>
      <c r="V9" s="16">
        <f t="shared" si="2"/>
        <v>2310</v>
      </c>
      <c r="W9" s="15">
        <v>12</v>
      </c>
      <c r="X9" s="15" t="s">
        <v>46</v>
      </c>
      <c r="Y9" s="15" t="s">
        <v>55</v>
      </c>
      <c r="Z9" s="15" t="s">
        <v>47</v>
      </c>
      <c r="AA9" s="15" t="s">
        <v>69</v>
      </c>
      <c r="AB9" s="39" t="s">
        <v>315</v>
      </c>
      <c r="AE9" s="22" t="s">
        <v>98</v>
      </c>
      <c r="AG9" s="49" t="s">
        <v>133</v>
      </c>
      <c r="AH9" s="49" t="s">
        <v>152</v>
      </c>
      <c r="AL9" s="34"/>
      <c r="AP9" s="23" t="s">
        <v>95</v>
      </c>
      <c r="AR9" s="30" t="s">
        <v>89</v>
      </c>
      <c r="AV9" s="23" t="s">
        <v>102</v>
      </c>
      <c r="AX9" s="24">
        <v>128</v>
      </c>
      <c r="AY9" s="25">
        <v>27</v>
      </c>
      <c r="AZ9" s="25">
        <v>129</v>
      </c>
      <c r="BA9" s="26">
        <v>25</v>
      </c>
    </row>
    <row r="10" spans="1:53" x14ac:dyDescent="0.15">
      <c r="A10" s="15" t="s">
        <v>312</v>
      </c>
      <c r="B10" s="15" t="s">
        <v>313</v>
      </c>
      <c r="C10" s="15">
        <v>2018</v>
      </c>
      <c r="D10" s="37" t="s">
        <v>317</v>
      </c>
      <c r="E10" s="15" t="s">
        <v>133</v>
      </c>
      <c r="F10" s="7" t="s">
        <v>152</v>
      </c>
      <c r="G10" s="7" t="s">
        <v>36</v>
      </c>
      <c r="H10" s="157" t="s">
        <v>157</v>
      </c>
      <c r="I10" s="149" t="s">
        <v>155</v>
      </c>
      <c r="J10" s="157" t="s">
        <v>38</v>
      </c>
      <c r="K10" s="149" t="s">
        <v>156</v>
      </c>
      <c r="L10" s="7">
        <v>3</v>
      </c>
      <c r="N10" s="7">
        <v>1</v>
      </c>
      <c r="O10" s="7">
        <v>0.9</v>
      </c>
      <c r="P10" s="7">
        <v>0.85</v>
      </c>
      <c r="Q10" s="52">
        <f t="shared" si="0"/>
        <v>0.875</v>
      </c>
      <c r="R10" s="7">
        <v>15.5</v>
      </c>
      <c r="S10" s="7">
        <v>157</v>
      </c>
      <c r="T10" s="16">
        <f t="shared" si="1"/>
        <v>18</v>
      </c>
      <c r="U10" s="157">
        <v>105</v>
      </c>
      <c r="V10" s="16">
        <f t="shared" si="2"/>
        <v>1890</v>
      </c>
      <c r="W10" s="15">
        <v>12</v>
      </c>
      <c r="X10" s="15" t="s">
        <v>46</v>
      </c>
      <c r="Y10" s="15" t="s">
        <v>55</v>
      </c>
      <c r="Z10" s="15" t="s">
        <v>47</v>
      </c>
      <c r="AA10" s="15" t="s">
        <v>69</v>
      </c>
      <c r="AB10" s="39" t="s">
        <v>315</v>
      </c>
      <c r="AE10" s="22" t="s">
        <v>103</v>
      </c>
      <c r="AG10" s="49" t="s">
        <v>143</v>
      </c>
      <c r="AH10" s="49" t="s">
        <v>153</v>
      </c>
      <c r="AP10" s="23" t="s">
        <v>100</v>
      </c>
      <c r="AR10" s="30" t="s">
        <v>123</v>
      </c>
      <c r="AV10" s="23" t="s">
        <v>106</v>
      </c>
      <c r="AX10" s="24">
        <v>138</v>
      </c>
      <c r="AY10" s="25">
        <v>25</v>
      </c>
      <c r="AZ10" s="25">
        <v>138</v>
      </c>
      <c r="BA10" s="26">
        <v>22</v>
      </c>
    </row>
    <row r="11" spans="1:53" x14ac:dyDescent="0.15">
      <c r="A11" s="15" t="s">
        <v>312</v>
      </c>
      <c r="B11" s="15" t="s">
        <v>313</v>
      </c>
      <c r="C11" s="15">
        <v>2018</v>
      </c>
      <c r="D11" s="37" t="s">
        <v>317</v>
      </c>
      <c r="E11" s="15" t="s">
        <v>133</v>
      </c>
      <c r="F11" s="7" t="s">
        <v>152</v>
      </c>
      <c r="G11" s="7" t="s">
        <v>36</v>
      </c>
      <c r="H11" s="157" t="s">
        <v>162</v>
      </c>
      <c r="I11" s="7" t="s">
        <v>155</v>
      </c>
      <c r="J11" s="15" t="s">
        <v>38</v>
      </c>
      <c r="K11" s="7" t="s">
        <v>156</v>
      </c>
      <c r="L11" s="7">
        <v>1</v>
      </c>
      <c r="N11" s="7">
        <v>1</v>
      </c>
      <c r="O11" s="7">
        <v>0.5</v>
      </c>
      <c r="P11" s="7">
        <v>0.5</v>
      </c>
      <c r="Q11" s="52">
        <f t="shared" si="0"/>
        <v>0.5</v>
      </c>
      <c r="R11" s="7">
        <v>15.8</v>
      </c>
      <c r="S11" s="7">
        <v>136</v>
      </c>
      <c r="T11" s="16">
        <f t="shared" si="1"/>
        <v>25</v>
      </c>
      <c r="U11" s="7">
        <v>105</v>
      </c>
      <c r="V11" s="16">
        <f t="shared" si="2"/>
        <v>2625</v>
      </c>
      <c r="W11" s="7">
        <v>19</v>
      </c>
      <c r="X11" s="15" t="s">
        <v>46</v>
      </c>
      <c r="Y11" s="15" t="s">
        <v>55</v>
      </c>
      <c r="Z11" s="15" t="s">
        <v>47</v>
      </c>
      <c r="AA11" s="15" t="s">
        <v>69</v>
      </c>
      <c r="AB11" s="39" t="s">
        <v>315</v>
      </c>
      <c r="AE11" s="22" t="s">
        <v>65</v>
      </c>
      <c r="AG11" s="49" t="s">
        <v>144</v>
      </c>
      <c r="AH11" s="49" t="s">
        <v>154</v>
      </c>
      <c r="AP11" s="23" t="s">
        <v>104</v>
      </c>
      <c r="AR11" s="30" t="s">
        <v>87</v>
      </c>
      <c r="AV11" s="23" t="s">
        <v>69</v>
      </c>
      <c r="AX11" s="24">
        <v>151</v>
      </c>
      <c r="AY11" s="25">
        <v>22</v>
      </c>
      <c r="AZ11" s="25">
        <v>152</v>
      </c>
      <c r="BA11" s="26">
        <v>18</v>
      </c>
    </row>
    <row r="12" spans="1:53" x14ac:dyDescent="0.15">
      <c r="A12" s="15" t="s">
        <v>312</v>
      </c>
      <c r="B12" s="15" t="s">
        <v>313</v>
      </c>
      <c r="C12" s="15">
        <v>2018</v>
      </c>
      <c r="D12" s="37" t="s">
        <v>317</v>
      </c>
      <c r="E12" s="15" t="s">
        <v>133</v>
      </c>
      <c r="F12" s="7" t="s">
        <v>152</v>
      </c>
      <c r="G12" s="7" t="s">
        <v>36</v>
      </c>
      <c r="H12" s="157" t="s">
        <v>162</v>
      </c>
      <c r="I12" s="149" t="s">
        <v>155</v>
      </c>
      <c r="J12" s="157" t="s">
        <v>38</v>
      </c>
      <c r="K12" s="149" t="s">
        <v>156</v>
      </c>
      <c r="L12" s="7">
        <v>2</v>
      </c>
      <c r="N12" s="7">
        <v>1</v>
      </c>
      <c r="O12" s="7">
        <v>0.5</v>
      </c>
      <c r="P12" s="7">
        <v>0.5</v>
      </c>
      <c r="Q12" s="52">
        <f t="shared" si="0"/>
        <v>0.5</v>
      </c>
      <c r="R12" s="34">
        <v>17.5</v>
      </c>
      <c r="S12" s="7">
        <v>144</v>
      </c>
      <c r="T12" s="16">
        <f t="shared" si="1"/>
        <v>22</v>
      </c>
      <c r="U12" s="149">
        <v>105</v>
      </c>
      <c r="V12" s="16">
        <f t="shared" si="2"/>
        <v>2310</v>
      </c>
      <c r="W12" s="7">
        <v>19</v>
      </c>
      <c r="X12" s="15" t="s">
        <v>46</v>
      </c>
      <c r="Y12" s="15" t="s">
        <v>55</v>
      </c>
      <c r="Z12" s="15" t="s">
        <v>47</v>
      </c>
      <c r="AA12" s="15" t="s">
        <v>69</v>
      </c>
      <c r="AB12" s="39" t="s">
        <v>315</v>
      </c>
      <c r="AE12" s="22" t="s">
        <v>70</v>
      </c>
      <c r="AG12" s="40"/>
      <c r="AH12" s="40"/>
      <c r="AP12" s="23" t="s">
        <v>67</v>
      </c>
      <c r="AR12" s="30" t="s">
        <v>124</v>
      </c>
      <c r="AV12" s="23" t="s">
        <v>72</v>
      </c>
      <c r="AX12" s="31">
        <v>180</v>
      </c>
      <c r="AY12" s="32">
        <v>18</v>
      </c>
      <c r="AZ12" s="32">
        <v>181</v>
      </c>
      <c r="BA12" s="33">
        <v>16</v>
      </c>
    </row>
    <row r="13" spans="1:53" x14ac:dyDescent="0.15">
      <c r="A13" s="15" t="s">
        <v>312</v>
      </c>
      <c r="B13" s="15" t="s">
        <v>313</v>
      </c>
      <c r="C13" s="15">
        <v>2018</v>
      </c>
      <c r="D13" s="37" t="s">
        <v>317</v>
      </c>
      <c r="E13" s="15" t="s">
        <v>133</v>
      </c>
      <c r="F13" s="7" t="s">
        <v>152</v>
      </c>
      <c r="G13" s="7" t="s">
        <v>36</v>
      </c>
      <c r="H13" s="157" t="s">
        <v>162</v>
      </c>
      <c r="I13" s="149" t="s">
        <v>155</v>
      </c>
      <c r="J13" s="157" t="s">
        <v>38</v>
      </c>
      <c r="K13" s="149" t="s">
        <v>156</v>
      </c>
      <c r="L13" s="7">
        <v>3</v>
      </c>
      <c r="N13" s="7">
        <v>1</v>
      </c>
      <c r="O13" s="7">
        <v>0.7</v>
      </c>
      <c r="P13" s="7">
        <v>0.6</v>
      </c>
      <c r="Q13" s="52">
        <f t="shared" si="0"/>
        <v>0.64999999999999991</v>
      </c>
      <c r="R13" s="7">
        <v>15.8</v>
      </c>
      <c r="S13" s="7">
        <v>145</v>
      </c>
      <c r="T13" s="16">
        <f t="shared" si="1"/>
        <v>22</v>
      </c>
      <c r="U13" s="149">
        <v>105</v>
      </c>
      <c r="V13" s="16">
        <f t="shared" si="2"/>
        <v>2310</v>
      </c>
      <c r="W13" s="7">
        <v>19</v>
      </c>
      <c r="X13" s="15" t="s">
        <v>46</v>
      </c>
      <c r="Y13" s="15" t="s">
        <v>55</v>
      </c>
      <c r="Z13" s="15" t="s">
        <v>47</v>
      </c>
      <c r="AA13" s="15" t="s">
        <v>69</v>
      </c>
      <c r="AB13" s="39" t="s">
        <v>315</v>
      </c>
      <c r="AE13" s="22" t="s">
        <v>73</v>
      </c>
      <c r="AG13" s="23"/>
      <c r="AH13" s="23"/>
      <c r="AP13" s="23" t="s">
        <v>71</v>
      </c>
      <c r="AR13" s="30" t="s">
        <v>103</v>
      </c>
      <c r="AV13" s="23" t="s">
        <v>75</v>
      </c>
    </row>
    <row r="14" spans="1:53" x14ac:dyDescent="0.15">
      <c r="A14" s="15" t="s">
        <v>312</v>
      </c>
      <c r="B14" s="15" t="s">
        <v>313</v>
      </c>
      <c r="C14" s="15">
        <v>2018</v>
      </c>
      <c r="D14" s="37" t="s">
        <v>317</v>
      </c>
      <c r="E14" s="15" t="s">
        <v>143</v>
      </c>
      <c r="F14" s="7" t="s">
        <v>153</v>
      </c>
      <c r="G14" s="7" t="s">
        <v>36</v>
      </c>
      <c r="H14" s="15" t="s">
        <v>157</v>
      </c>
      <c r="I14" s="7" t="s">
        <v>155</v>
      </c>
      <c r="J14" s="15" t="s">
        <v>38</v>
      </c>
      <c r="K14" s="7" t="s">
        <v>156</v>
      </c>
      <c r="L14" s="7">
        <v>1</v>
      </c>
      <c r="N14" s="7">
        <v>1</v>
      </c>
      <c r="O14" s="7">
        <v>0.6</v>
      </c>
      <c r="P14" s="7">
        <v>0.6</v>
      </c>
      <c r="Q14" s="52">
        <f t="shared" si="0"/>
        <v>0.6</v>
      </c>
      <c r="R14" s="7">
        <v>14.2</v>
      </c>
      <c r="S14" s="7">
        <v>125</v>
      </c>
      <c r="T14" s="16">
        <f t="shared" si="1"/>
        <v>27</v>
      </c>
      <c r="U14" s="7">
        <v>108</v>
      </c>
      <c r="V14" s="16">
        <f t="shared" si="2"/>
        <v>2916</v>
      </c>
      <c r="W14" s="7">
        <v>4</v>
      </c>
      <c r="X14" s="15" t="s">
        <v>46</v>
      </c>
      <c r="Y14" s="15" t="s">
        <v>55</v>
      </c>
      <c r="Z14" s="15" t="s">
        <v>69</v>
      </c>
      <c r="AA14" s="15" t="s">
        <v>90</v>
      </c>
      <c r="AB14" s="39" t="s">
        <v>315</v>
      </c>
      <c r="AE14" s="22" t="s">
        <v>76</v>
      </c>
      <c r="AG14" s="23"/>
      <c r="AH14" s="23"/>
      <c r="AP14" s="23" t="s">
        <v>74</v>
      </c>
      <c r="AR14" s="30" t="s">
        <v>125</v>
      </c>
      <c r="AV14" s="23" t="s">
        <v>78</v>
      </c>
    </row>
    <row r="15" spans="1:53" x14ac:dyDescent="0.15">
      <c r="A15" s="15" t="s">
        <v>312</v>
      </c>
      <c r="B15" s="15" t="s">
        <v>313</v>
      </c>
      <c r="C15" s="15">
        <v>2018</v>
      </c>
      <c r="D15" s="37" t="s">
        <v>317</v>
      </c>
      <c r="E15" s="15" t="s">
        <v>143</v>
      </c>
      <c r="F15" s="7" t="s">
        <v>153</v>
      </c>
      <c r="G15" s="7" t="s">
        <v>36</v>
      </c>
      <c r="H15" s="157" t="s">
        <v>157</v>
      </c>
      <c r="I15" s="149" t="s">
        <v>155</v>
      </c>
      <c r="J15" s="157" t="s">
        <v>38</v>
      </c>
      <c r="K15" s="149" t="s">
        <v>156</v>
      </c>
      <c r="L15" s="7">
        <v>2</v>
      </c>
      <c r="N15" s="7">
        <v>1</v>
      </c>
      <c r="O15" s="7">
        <v>1.2</v>
      </c>
      <c r="P15" s="7">
        <v>1.25</v>
      </c>
      <c r="Q15" s="52">
        <f t="shared" si="0"/>
        <v>1.2250000000000001</v>
      </c>
      <c r="R15" s="7">
        <v>15.2</v>
      </c>
      <c r="S15" s="7">
        <v>127</v>
      </c>
      <c r="T15" s="16">
        <f t="shared" si="1"/>
        <v>27</v>
      </c>
      <c r="U15" s="149">
        <v>108</v>
      </c>
      <c r="V15" s="16">
        <f t="shared" si="2"/>
        <v>2916</v>
      </c>
      <c r="W15" s="7">
        <v>4</v>
      </c>
      <c r="X15" s="15" t="s">
        <v>46</v>
      </c>
      <c r="Y15" s="15" t="s">
        <v>55</v>
      </c>
      <c r="Z15" s="15" t="s">
        <v>69</v>
      </c>
      <c r="AA15" s="15" t="s">
        <v>90</v>
      </c>
      <c r="AB15" s="39" t="s">
        <v>315</v>
      </c>
      <c r="AE15" s="22" t="s">
        <v>79</v>
      </c>
      <c r="AG15" s="23"/>
      <c r="AH15" s="23"/>
      <c r="AP15" s="23" t="s">
        <v>77</v>
      </c>
      <c r="AR15" s="30" t="s">
        <v>94</v>
      </c>
      <c r="AV15" s="23" t="s">
        <v>107</v>
      </c>
    </row>
    <row r="16" spans="1:53" x14ac:dyDescent="0.15">
      <c r="A16" s="15" t="s">
        <v>312</v>
      </c>
      <c r="B16" s="15" t="s">
        <v>313</v>
      </c>
      <c r="C16" s="15">
        <v>2018</v>
      </c>
      <c r="D16" s="37" t="s">
        <v>317</v>
      </c>
      <c r="E16" s="15" t="s">
        <v>143</v>
      </c>
      <c r="F16" s="7" t="s">
        <v>153</v>
      </c>
      <c r="G16" s="7" t="s">
        <v>36</v>
      </c>
      <c r="H16" s="157" t="s">
        <v>157</v>
      </c>
      <c r="I16" s="149" t="s">
        <v>155</v>
      </c>
      <c r="J16" s="157" t="s">
        <v>38</v>
      </c>
      <c r="K16" s="149" t="s">
        <v>156</v>
      </c>
      <c r="L16" s="7">
        <v>3</v>
      </c>
      <c r="N16" s="7">
        <v>1</v>
      </c>
      <c r="O16" s="7">
        <v>1</v>
      </c>
      <c r="P16" s="7">
        <v>1.05</v>
      </c>
      <c r="Q16" s="52">
        <f t="shared" si="0"/>
        <v>1.0249999999999999</v>
      </c>
      <c r="R16" s="7">
        <v>15.3</v>
      </c>
      <c r="S16" s="7">
        <v>125</v>
      </c>
      <c r="T16" s="16">
        <f t="shared" si="1"/>
        <v>27</v>
      </c>
      <c r="U16" s="149">
        <v>108</v>
      </c>
      <c r="V16" s="16">
        <f t="shared" si="2"/>
        <v>2916</v>
      </c>
      <c r="W16" s="7">
        <v>4</v>
      </c>
      <c r="X16" s="15" t="s">
        <v>46</v>
      </c>
      <c r="Y16" s="15" t="s">
        <v>55</v>
      </c>
      <c r="Z16" s="15" t="s">
        <v>69</v>
      </c>
      <c r="AA16" s="15" t="s">
        <v>90</v>
      </c>
      <c r="AB16" s="39" t="s">
        <v>315</v>
      </c>
      <c r="AE16" s="22" t="s">
        <v>82</v>
      </c>
      <c r="AG16" s="28"/>
      <c r="AH16" s="28"/>
      <c r="AP16" s="23" t="s">
        <v>80</v>
      </c>
      <c r="AR16" s="41" t="s">
        <v>63</v>
      </c>
      <c r="AV16" s="23" t="s">
        <v>84</v>
      </c>
    </row>
    <row r="17" spans="1:48" x14ac:dyDescent="0.15">
      <c r="A17" s="15" t="s">
        <v>312</v>
      </c>
      <c r="B17" s="15" t="s">
        <v>313</v>
      </c>
      <c r="C17" s="15">
        <v>2018</v>
      </c>
      <c r="D17" s="37" t="s">
        <v>317</v>
      </c>
      <c r="E17" s="15" t="s">
        <v>143</v>
      </c>
      <c r="F17" s="7" t="s">
        <v>153</v>
      </c>
      <c r="G17" s="7" t="s">
        <v>36</v>
      </c>
      <c r="H17" s="15" t="s">
        <v>162</v>
      </c>
      <c r="I17" s="149" t="s">
        <v>155</v>
      </c>
      <c r="J17" s="157" t="s">
        <v>38</v>
      </c>
      <c r="K17" s="149" t="s">
        <v>156</v>
      </c>
      <c r="L17" s="7">
        <v>1</v>
      </c>
      <c r="N17" s="7">
        <v>1</v>
      </c>
      <c r="O17" s="7">
        <v>0.5</v>
      </c>
      <c r="P17" s="7">
        <v>0.55000000000000004</v>
      </c>
      <c r="Q17" s="52">
        <f t="shared" si="0"/>
        <v>0.52500000000000002</v>
      </c>
      <c r="R17" s="7">
        <v>15.2</v>
      </c>
      <c r="S17" s="7">
        <v>136</v>
      </c>
      <c r="T17" s="16">
        <f t="shared" si="1"/>
        <v>25</v>
      </c>
      <c r="U17" s="7">
        <v>149</v>
      </c>
      <c r="V17" s="16">
        <f t="shared" si="2"/>
        <v>3725</v>
      </c>
      <c r="W17" s="7">
        <v>5</v>
      </c>
      <c r="X17" s="15" t="s">
        <v>46</v>
      </c>
      <c r="Y17" s="15" t="s">
        <v>55</v>
      </c>
      <c r="Z17" s="15" t="s">
        <v>69</v>
      </c>
      <c r="AA17" s="15" t="s">
        <v>90</v>
      </c>
      <c r="AB17" s="39" t="s">
        <v>315</v>
      </c>
      <c r="AE17" s="22" t="s">
        <v>85</v>
      </c>
      <c r="AP17" s="43" t="s">
        <v>110</v>
      </c>
      <c r="AR17" s="41" t="s">
        <v>96</v>
      </c>
      <c r="AV17" s="23" t="s">
        <v>86</v>
      </c>
    </row>
    <row r="18" spans="1:48" x14ac:dyDescent="0.15">
      <c r="A18" s="15" t="s">
        <v>312</v>
      </c>
      <c r="B18" s="15" t="s">
        <v>313</v>
      </c>
      <c r="C18" s="15">
        <v>2018</v>
      </c>
      <c r="D18" s="37" t="s">
        <v>317</v>
      </c>
      <c r="E18" s="15" t="s">
        <v>143</v>
      </c>
      <c r="F18" s="7" t="s">
        <v>153</v>
      </c>
      <c r="G18" s="7" t="s">
        <v>36</v>
      </c>
      <c r="H18" s="157" t="s">
        <v>162</v>
      </c>
      <c r="I18" s="149" t="s">
        <v>155</v>
      </c>
      <c r="J18" s="157" t="s">
        <v>38</v>
      </c>
      <c r="K18" s="149" t="s">
        <v>156</v>
      </c>
      <c r="L18" s="7">
        <v>2</v>
      </c>
      <c r="N18" s="7">
        <v>1</v>
      </c>
      <c r="O18" s="7">
        <v>0.55000000000000004</v>
      </c>
      <c r="P18" s="7">
        <v>0.55000000000000004</v>
      </c>
      <c r="Q18" s="52">
        <f t="shared" si="0"/>
        <v>0.55000000000000004</v>
      </c>
      <c r="R18" s="7">
        <v>15.6</v>
      </c>
      <c r="S18" s="7">
        <v>144</v>
      </c>
      <c r="T18" s="16">
        <f t="shared" si="1"/>
        <v>22</v>
      </c>
      <c r="U18" s="149">
        <v>149</v>
      </c>
      <c r="V18" s="16">
        <f t="shared" si="2"/>
        <v>3278</v>
      </c>
      <c r="W18" s="7">
        <v>5</v>
      </c>
      <c r="X18" s="15" t="s">
        <v>46</v>
      </c>
      <c r="Y18" s="15" t="s">
        <v>55</v>
      </c>
      <c r="Z18" s="15" t="s">
        <v>69</v>
      </c>
      <c r="AA18" s="15" t="s">
        <v>90</v>
      </c>
      <c r="AB18" s="39" t="s">
        <v>315</v>
      </c>
      <c r="AE18" s="22" t="s">
        <v>87</v>
      </c>
      <c r="AP18" s="43" t="s">
        <v>111</v>
      </c>
      <c r="AR18" s="41" t="s">
        <v>101</v>
      </c>
      <c r="AV18" s="23" t="s">
        <v>88</v>
      </c>
    </row>
    <row r="19" spans="1:48" x14ac:dyDescent="0.15">
      <c r="A19" s="15" t="s">
        <v>312</v>
      </c>
      <c r="B19" s="15" t="s">
        <v>313</v>
      </c>
      <c r="C19" s="15">
        <v>2018</v>
      </c>
      <c r="D19" s="37" t="s">
        <v>317</v>
      </c>
      <c r="E19" s="15" t="s">
        <v>143</v>
      </c>
      <c r="F19" s="7" t="s">
        <v>153</v>
      </c>
      <c r="G19" s="7" t="s">
        <v>36</v>
      </c>
      <c r="H19" s="157" t="s">
        <v>162</v>
      </c>
      <c r="I19" s="149" t="s">
        <v>155</v>
      </c>
      <c r="J19" s="157" t="s">
        <v>38</v>
      </c>
      <c r="K19" s="149" t="s">
        <v>156</v>
      </c>
      <c r="L19" s="7">
        <v>3</v>
      </c>
      <c r="N19" s="7">
        <v>1</v>
      </c>
      <c r="O19" s="7">
        <v>0.5</v>
      </c>
      <c r="P19" s="7">
        <v>0.5</v>
      </c>
      <c r="Q19" s="52">
        <f t="shared" si="0"/>
        <v>0.5</v>
      </c>
      <c r="R19" s="7">
        <v>15.9</v>
      </c>
      <c r="S19" s="7">
        <v>145</v>
      </c>
      <c r="T19" s="16">
        <f t="shared" si="1"/>
        <v>22</v>
      </c>
      <c r="U19" s="149">
        <v>149</v>
      </c>
      <c r="V19" s="16">
        <f t="shared" si="2"/>
        <v>3278</v>
      </c>
      <c r="W19" s="7">
        <v>5</v>
      </c>
      <c r="X19" s="15" t="s">
        <v>46</v>
      </c>
      <c r="Y19" s="15" t="s">
        <v>55</v>
      </c>
      <c r="Z19" s="15" t="s">
        <v>69</v>
      </c>
      <c r="AA19" s="15" t="s">
        <v>90</v>
      </c>
      <c r="AB19" s="39" t="s">
        <v>315</v>
      </c>
      <c r="AE19" s="35" t="s">
        <v>89</v>
      </c>
      <c r="AP19" s="43" t="s">
        <v>112</v>
      </c>
      <c r="AR19" s="30" t="s">
        <v>126</v>
      </c>
      <c r="AV19" s="23" t="s">
        <v>90</v>
      </c>
    </row>
    <row r="20" spans="1:48" x14ac:dyDescent="0.15">
      <c r="A20" s="15" t="s">
        <v>312</v>
      </c>
      <c r="B20" s="15" t="s">
        <v>313</v>
      </c>
      <c r="C20" s="15">
        <v>2018</v>
      </c>
      <c r="D20" s="37" t="s">
        <v>317</v>
      </c>
      <c r="E20" s="15" t="s">
        <v>144</v>
      </c>
      <c r="F20" s="7" t="s">
        <v>154</v>
      </c>
      <c r="G20" s="7" t="s">
        <v>36</v>
      </c>
      <c r="H20" s="15" t="s">
        <v>157</v>
      </c>
      <c r="I20" s="149" t="s">
        <v>155</v>
      </c>
      <c r="J20" s="15" t="s">
        <v>38</v>
      </c>
      <c r="K20" s="7" t="s">
        <v>156</v>
      </c>
      <c r="L20" s="7">
        <v>1</v>
      </c>
      <c r="N20" s="7">
        <v>1</v>
      </c>
      <c r="O20" s="7">
        <v>0.9</v>
      </c>
      <c r="P20" s="34">
        <v>0.9</v>
      </c>
      <c r="Q20" s="52">
        <f t="shared" si="0"/>
        <v>0.9</v>
      </c>
      <c r="R20" s="7">
        <v>13.3</v>
      </c>
      <c r="S20" s="7">
        <v>113</v>
      </c>
      <c r="T20" s="16">
        <f t="shared" si="1"/>
        <v>30</v>
      </c>
      <c r="U20" s="7">
        <v>96</v>
      </c>
      <c r="V20" s="16">
        <f t="shared" si="2"/>
        <v>2880</v>
      </c>
      <c r="W20" s="7">
        <v>3</v>
      </c>
      <c r="X20" s="15" t="s">
        <v>46</v>
      </c>
      <c r="Y20" s="15" t="s">
        <v>55</v>
      </c>
      <c r="Z20" s="15" t="s">
        <v>47</v>
      </c>
      <c r="AA20" s="15" t="s">
        <v>69</v>
      </c>
      <c r="AB20" s="39" t="s">
        <v>315</v>
      </c>
      <c r="AE20" s="22"/>
      <c r="AP20" s="43" t="s">
        <v>113</v>
      </c>
      <c r="AR20" s="41" t="s">
        <v>105</v>
      </c>
      <c r="AV20" s="27" t="s">
        <v>135</v>
      </c>
    </row>
    <row r="21" spans="1:48" x14ac:dyDescent="0.15">
      <c r="A21" s="15" t="s">
        <v>312</v>
      </c>
      <c r="B21" s="15" t="s">
        <v>313</v>
      </c>
      <c r="C21" s="15">
        <v>2018</v>
      </c>
      <c r="D21" s="37" t="s">
        <v>317</v>
      </c>
      <c r="E21" s="15" t="s">
        <v>144</v>
      </c>
      <c r="F21" s="7" t="s">
        <v>154</v>
      </c>
      <c r="G21" s="7" t="s">
        <v>36</v>
      </c>
      <c r="H21" s="157" t="s">
        <v>157</v>
      </c>
      <c r="I21" s="149" t="s">
        <v>155</v>
      </c>
      <c r="J21" s="157" t="s">
        <v>38</v>
      </c>
      <c r="K21" s="149" t="s">
        <v>156</v>
      </c>
      <c r="L21" s="7">
        <v>2</v>
      </c>
      <c r="N21" s="7">
        <v>1</v>
      </c>
      <c r="O21" s="7">
        <v>0.75</v>
      </c>
      <c r="P21" s="7">
        <v>0.8</v>
      </c>
      <c r="Q21" s="52">
        <f t="shared" si="0"/>
        <v>0.77500000000000002</v>
      </c>
      <c r="R21" s="7">
        <v>15</v>
      </c>
      <c r="S21" s="7">
        <v>119</v>
      </c>
      <c r="T21" s="16">
        <f t="shared" si="1"/>
        <v>30</v>
      </c>
      <c r="U21" s="149">
        <v>96</v>
      </c>
      <c r="V21" s="16">
        <f t="shared" si="2"/>
        <v>2880</v>
      </c>
      <c r="W21" s="7">
        <v>3</v>
      </c>
      <c r="X21" s="15" t="s">
        <v>46</v>
      </c>
      <c r="Y21" s="15" t="s">
        <v>55</v>
      </c>
      <c r="Z21" s="15" t="s">
        <v>47</v>
      </c>
      <c r="AA21" s="15" t="s">
        <v>69</v>
      </c>
      <c r="AB21" s="39" t="s">
        <v>315</v>
      </c>
      <c r="AE21" s="22"/>
      <c r="AP21" s="43" t="s">
        <v>114</v>
      </c>
      <c r="AR21" s="41" t="s">
        <v>68</v>
      </c>
      <c r="AV21" s="27" t="s">
        <v>136</v>
      </c>
    </row>
    <row r="22" spans="1:48" x14ac:dyDescent="0.15">
      <c r="A22" s="15" t="s">
        <v>312</v>
      </c>
      <c r="B22" s="15" t="s">
        <v>313</v>
      </c>
      <c r="C22" s="15">
        <v>2018</v>
      </c>
      <c r="D22" s="37" t="s">
        <v>317</v>
      </c>
      <c r="E22" s="15" t="s">
        <v>144</v>
      </c>
      <c r="F22" s="7" t="s">
        <v>154</v>
      </c>
      <c r="G22" s="7" t="s">
        <v>36</v>
      </c>
      <c r="H22" s="157" t="s">
        <v>157</v>
      </c>
      <c r="I22" s="149" t="s">
        <v>155</v>
      </c>
      <c r="J22" s="157" t="s">
        <v>38</v>
      </c>
      <c r="K22" s="149" t="s">
        <v>156</v>
      </c>
      <c r="L22" s="7">
        <v>3</v>
      </c>
      <c r="N22" s="7">
        <v>1</v>
      </c>
      <c r="O22" s="34">
        <v>0.7</v>
      </c>
      <c r="P22" s="7">
        <v>0.85</v>
      </c>
      <c r="Q22" s="52">
        <f t="shared" si="0"/>
        <v>0.77499999999999991</v>
      </c>
      <c r="R22" s="7">
        <v>15.5</v>
      </c>
      <c r="S22" s="7">
        <v>122</v>
      </c>
      <c r="T22" s="16">
        <f t="shared" si="1"/>
        <v>27</v>
      </c>
      <c r="U22" s="149">
        <v>96</v>
      </c>
      <c r="V22" s="16">
        <f t="shared" si="2"/>
        <v>2592</v>
      </c>
      <c r="W22" s="7">
        <v>3</v>
      </c>
      <c r="X22" s="15" t="s">
        <v>46</v>
      </c>
      <c r="Y22" s="15" t="s">
        <v>55</v>
      </c>
      <c r="Z22" s="15" t="s">
        <v>47</v>
      </c>
      <c r="AA22" s="15" t="s">
        <v>69</v>
      </c>
      <c r="AB22" s="39" t="s">
        <v>315</v>
      </c>
      <c r="AE22" s="35"/>
      <c r="AP22" s="43" t="s">
        <v>115</v>
      </c>
      <c r="AR22" s="41" t="s">
        <v>83</v>
      </c>
      <c r="AV22" s="27"/>
    </row>
    <row r="23" spans="1:48" x14ac:dyDescent="0.15">
      <c r="A23" s="15" t="s">
        <v>312</v>
      </c>
      <c r="B23" s="15" t="s">
        <v>313</v>
      </c>
      <c r="C23" s="15">
        <v>2018</v>
      </c>
      <c r="D23" s="37" t="s">
        <v>317</v>
      </c>
      <c r="E23" s="7" t="s">
        <v>144</v>
      </c>
      <c r="F23" s="7" t="s">
        <v>154</v>
      </c>
      <c r="G23" s="7" t="s">
        <v>36</v>
      </c>
      <c r="H23" s="15" t="s">
        <v>162</v>
      </c>
      <c r="I23" s="149" t="s">
        <v>155</v>
      </c>
      <c r="J23" s="15" t="s">
        <v>38</v>
      </c>
      <c r="K23" s="7" t="s">
        <v>156</v>
      </c>
      <c r="L23" s="7">
        <v>1</v>
      </c>
      <c r="N23" s="7">
        <v>1</v>
      </c>
      <c r="O23" s="34">
        <v>0.55000000000000004</v>
      </c>
      <c r="P23" s="7">
        <v>0.65</v>
      </c>
      <c r="Q23" s="52">
        <f t="shared" si="0"/>
        <v>0.60000000000000009</v>
      </c>
      <c r="R23" s="7">
        <v>17.399999999999999</v>
      </c>
      <c r="S23" s="7">
        <v>145</v>
      </c>
      <c r="T23" s="16">
        <f t="shared" si="1"/>
        <v>22</v>
      </c>
      <c r="U23" s="7">
        <v>149</v>
      </c>
      <c r="V23" s="16">
        <f t="shared" si="2"/>
        <v>3278</v>
      </c>
      <c r="W23" s="7">
        <v>4</v>
      </c>
      <c r="X23" s="15" t="s">
        <v>46</v>
      </c>
      <c r="Y23" s="15" t="s">
        <v>55</v>
      </c>
      <c r="Z23" s="15" t="s">
        <v>47</v>
      </c>
      <c r="AA23" s="15" t="s">
        <v>69</v>
      </c>
      <c r="AB23" s="39" t="s">
        <v>315</v>
      </c>
      <c r="AE23" s="22"/>
      <c r="AP23" s="43" t="s">
        <v>137</v>
      </c>
      <c r="AR23" s="41" t="s">
        <v>61</v>
      </c>
      <c r="AV23" s="27"/>
    </row>
    <row r="24" spans="1:48" x14ac:dyDescent="0.15">
      <c r="A24" s="15" t="s">
        <v>312</v>
      </c>
      <c r="B24" s="15" t="s">
        <v>313</v>
      </c>
      <c r="C24" s="15">
        <v>2018</v>
      </c>
      <c r="D24" s="37" t="s">
        <v>317</v>
      </c>
      <c r="E24" s="7" t="s">
        <v>144</v>
      </c>
      <c r="F24" s="7" t="s">
        <v>154</v>
      </c>
      <c r="G24" s="7" t="s">
        <v>36</v>
      </c>
      <c r="H24" s="157" t="s">
        <v>162</v>
      </c>
      <c r="I24" s="149" t="s">
        <v>155</v>
      </c>
      <c r="J24" s="15" t="s">
        <v>38</v>
      </c>
      <c r="K24" s="7" t="s">
        <v>156</v>
      </c>
      <c r="L24" s="7">
        <v>2</v>
      </c>
      <c r="N24" s="7">
        <v>1</v>
      </c>
      <c r="O24" s="7">
        <v>0.65</v>
      </c>
      <c r="P24" s="7">
        <v>0.65</v>
      </c>
      <c r="Q24" s="52">
        <f t="shared" si="0"/>
        <v>0.65</v>
      </c>
      <c r="R24" s="7">
        <v>19.3</v>
      </c>
      <c r="S24" s="7">
        <v>142</v>
      </c>
      <c r="T24" s="16">
        <f t="shared" si="1"/>
        <v>22</v>
      </c>
      <c r="U24" s="149">
        <v>149</v>
      </c>
      <c r="V24" s="16">
        <f t="shared" si="2"/>
        <v>3278</v>
      </c>
      <c r="W24" s="7">
        <v>4</v>
      </c>
      <c r="X24" s="15" t="s">
        <v>46</v>
      </c>
      <c r="Y24" s="15" t="s">
        <v>55</v>
      </c>
      <c r="Z24" s="157" t="s">
        <v>47</v>
      </c>
      <c r="AA24" s="15" t="s">
        <v>69</v>
      </c>
      <c r="AB24" s="39" t="s">
        <v>315</v>
      </c>
      <c r="AE24" s="22"/>
      <c r="AP24" s="43" t="s">
        <v>138</v>
      </c>
      <c r="AR24" s="41" t="s">
        <v>91</v>
      </c>
      <c r="AV24" s="27"/>
    </row>
    <row r="25" spans="1:48" x14ac:dyDescent="0.15">
      <c r="A25" s="15" t="s">
        <v>312</v>
      </c>
      <c r="B25" s="15" t="s">
        <v>313</v>
      </c>
      <c r="C25" s="15">
        <v>2018</v>
      </c>
      <c r="D25" s="37" t="s">
        <v>317</v>
      </c>
      <c r="E25" s="7" t="s">
        <v>144</v>
      </c>
      <c r="F25" s="7" t="s">
        <v>154</v>
      </c>
      <c r="G25" s="7" t="s">
        <v>36</v>
      </c>
      <c r="H25" s="157" t="s">
        <v>162</v>
      </c>
      <c r="I25" s="149" t="s">
        <v>155</v>
      </c>
      <c r="J25" s="15" t="s">
        <v>38</v>
      </c>
      <c r="K25" s="7" t="s">
        <v>156</v>
      </c>
      <c r="L25" s="7">
        <v>3</v>
      </c>
      <c r="N25" s="7">
        <v>1</v>
      </c>
      <c r="O25" s="7">
        <v>0.7</v>
      </c>
      <c r="P25" s="7">
        <v>0.75</v>
      </c>
      <c r="Q25" s="52">
        <f t="shared" si="0"/>
        <v>0.72499999999999998</v>
      </c>
      <c r="R25" s="7">
        <v>16.8</v>
      </c>
      <c r="S25" s="7">
        <v>142</v>
      </c>
      <c r="T25" s="16">
        <f t="shared" si="1"/>
        <v>22</v>
      </c>
      <c r="U25" s="149">
        <v>149</v>
      </c>
      <c r="V25" s="16">
        <f t="shared" si="2"/>
        <v>3278</v>
      </c>
      <c r="W25" s="7">
        <v>4</v>
      </c>
      <c r="X25" s="15" t="s">
        <v>46</v>
      </c>
      <c r="Y25" s="15" t="s">
        <v>55</v>
      </c>
      <c r="Z25" s="15" t="s">
        <v>47</v>
      </c>
      <c r="AA25" s="15" t="s">
        <v>69</v>
      </c>
      <c r="AB25" s="39" t="s">
        <v>315</v>
      </c>
      <c r="AE25" s="35"/>
      <c r="AP25" s="43" t="s">
        <v>116</v>
      </c>
      <c r="AR25" s="42" t="s">
        <v>92</v>
      </c>
      <c r="AV25" s="27"/>
    </row>
    <row r="26" spans="1:48" x14ac:dyDescent="0.15">
      <c r="A26" s="15" t="s">
        <v>312</v>
      </c>
      <c r="B26" s="15" t="s">
        <v>313</v>
      </c>
      <c r="C26" s="15">
        <v>2018</v>
      </c>
      <c r="D26" s="37" t="s">
        <v>317</v>
      </c>
      <c r="E26" s="7" t="s">
        <v>131</v>
      </c>
      <c r="F26" s="7" t="s">
        <v>145</v>
      </c>
      <c r="G26" s="7" t="s">
        <v>36</v>
      </c>
      <c r="H26" s="15" t="s">
        <v>157</v>
      </c>
      <c r="I26" s="149" t="s">
        <v>155</v>
      </c>
      <c r="J26" s="15" t="s">
        <v>38</v>
      </c>
      <c r="K26" s="7" t="s">
        <v>156</v>
      </c>
      <c r="L26" s="7">
        <v>1</v>
      </c>
      <c r="N26" s="7">
        <v>1</v>
      </c>
      <c r="O26" s="7">
        <v>1.1000000000000001</v>
      </c>
      <c r="P26" s="7">
        <v>1.2</v>
      </c>
      <c r="Q26" s="52">
        <f t="shared" si="0"/>
        <v>1.1499999999999999</v>
      </c>
      <c r="R26" s="7">
        <v>15.4</v>
      </c>
      <c r="S26" s="7">
        <v>138</v>
      </c>
      <c r="T26" s="16">
        <f t="shared" si="1"/>
        <v>22</v>
      </c>
      <c r="U26" s="7">
        <v>149</v>
      </c>
      <c r="V26" s="16">
        <f t="shared" si="2"/>
        <v>3278</v>
      </c>
      <c r="W26" s="7">
        <v>4</v>
      </c>
      <c r="X26" s="15" t="s">
        <v>46</v>
      </c>
      <c r="Y26" s="15" t="s">
        <v>55</v>
      </c>
      <c r="Z26" s="15" t="s">
        <v>90</v>
      </c>
      <c r="AA26" s="15" t="s">
        <v>47</v>
      </c>
      <c r="AB26" s="39" t="s">
        <v>315</v>
      </c>
      <c r="AE26" s="35"/>
      <c r="AP26" s="43" t="s">
        <v>117</v>
      </c>
      <c r="AR26" s="23" t="s">
        <v>259</v>
      </c>
      <c r="AV26" s="28"/>
    </row>
    <row r="27" spans="1:48" x14ac:dyDescent="0.15">
      <c r="A27" s="15" t="s">
        <v>312</v>
      </c>
      <c r="B27" s="15" t="s">
        <v>313</v>
      </c>
      <c r="C27" s="15">
        <v>2018</v>
      </c>
      <c r="D27" s="37" t="s">
        <v>317</v>
      </c>
      <c r="E27" s="7" t="s">
        <v>131</v>
      </c>
      <c r="F27" s="7" t="s">
        <v>145</v>
      </c>
      <c r="G27" s="7" t="s">
        <v>36</v>
      </c>
      <c r="H27" s="157" t="s">
        <v>157</v>
      </c>
      <c r="I27" s="149" t="s">
        <v>155</v>
      </c>
      <c r="J27" s="15" t="s">
        <v>38</v>
      </c>
      <c r="K27" s="7" t="s">
        <v>156</v>
      </c>
      <c r="L27" s="7">
        <v>2</v>
      </c>
      <c r="N27" s="7">
        <v>1</v>
      </c>
      <c r="O27" s="7">
        <v>1.1499999999999999</v>
      </c>
      <c r="P27" s="7">
        <v>1.2</v>
      </c>
      <c r="Q27" s="52">
        <f t="shared" si="0"/>
        <v>1.1749999999999998</v>
      </c>
      <c r="R27" s="7">
        <v>15.7</v>
      </c>
      <c r="S27" s="7">
        <v>147</v>
      </c>
      <c r="T27" s="16">
        <f t="shared" si="1"/>
        <v>22</v>
      </c>
      <c r="U27" s="149">
        <v>149</v>
      </c>
      <c r="V27" s="16">
        <f t="shared" si="2"/>
        <v>3278</v>
      </c>
      <c r="W27" s="7">
        <v>4</v>
      </c>
      <c r="X27" s="15" t="s">
        <v>46</v>
      </c>
      <c r="Y27" s="157" t="s">
        <v>55</v>
      </c>
      <c r="Z27" s="157" t="s">
        <v>90</v>
      </c>
      <c r="AA27" s="157" t="s">
        <v>47</v>
      </c>
      <c r="AB27" s="39" t="s">
        <v>315</v>
      </c>
      <c r="AE27" s="28"/>
      <c r="AP27" s="43" t="s">
        <v>118</v>
      </c>
      <c r="AR27" s="23"/>
    </row>
    <row r="28" spans="1:48" x14ac:dyDescent="0.15">
      <c r="A28" s="15" t="s">
        <v>312</v>
      </c>
      <c r="B28" s="15" t="s">
        <v>313</v>
      </c>
      <c r="C28" s="15">
        <v>2018</v>
      </c>
      <c r="D28" s="37" t="s">
        <v>317</v>
      </c>
      <c r="E28" s="7" t="s">
        <v>131</v>
      </c>
      <c r="F28" s="7" t="s">
        <v>145</v>
      </c>
      <c r="G28" s="7" t="s">
        <v>36</v>
      </c>
      <c r="H28" s="157" t="s">
        <v>157</v>
      </c>
      <c r="I28" s="149" t="s">
        <v>155</v>
      </c>
      <c r="J28" s="15" t="s">
        <v>38</v>
      </c>
      <c r="K28" s="7" t="s">
        <v>156</v>
      </c>
      <c r="L28" s="7">
        <v>3</v>
      </c>
      <c r="N28" s="7">
        <v>1</v>
      </c>
      <c r="O28" s="7">
        <v>0.95</v>
      </c>
      <c r="P28" s="7">
        <v>0.85</v>
      </c>
      <c r="Q28" s="52">
        <f t="shared" si="0"/>
        <v>0.89999999999999991</v>
      </c>
      <c r="R28" s="7">
        <v>15.1</v>
      </c>
      <c r="S28" s="7">
        <v>137</v>
      </c>
      <c r="T28" s="16">
        <f t="shared" si="1"/>
        <v>25</v>
      </c>
      <c r="U28" s="149">
        <v>149</v>
      </c>
      <c r="V28" s="16">
        <f t="shared" si="2"/>
        <v>3725</v>
      </c>
      <c r="W28" s="7">
        <v>4</v>
      </c>
      <c r="X28" s="15" t="s">
        <v>46</v>
      </c>
      <c r="Y28" s="157" t="s">
        <v>55</v>
      </c>
      <c r="Z28" s="157" t="s">
        <v>90</v>
      </c>
      <c r="AA28" s="157" t="s">
        <v>47</v>
      </c>
      <c r="AB28" s="39" t="s">
        <v>315</v>
      </c>
      <c r="AP28" s="27"/>
      <c r="AR28" s="23"/>
    </row>
    <row r="29" spans="1:48" x14ac:dyDescent="0.15">
      <c r="A29" s="15" t="s">
        <v>312</v>
      </c>
      <c r="B29" s="15" t="s">
        <v>313</v>
      </c>
      <c r="C29" s="15">
        <v>2018</v>
      </c>
      <c r="D29" s="37" t="s">
        <v>317</v>
      </c>
      <c r="E29" s="7" t="s">
        <v>131</v>
      </c>
      <c r="F29" s="7" t="s">
        <v>145</v>
      </c>
      <c r="G29" s="7" t="s">
        <v>36</v>
      </c>
      <c r="H29" s="15" t="s">
        <v>162</v>
      </c>
      <c r="I29" s="149" t="s">
        <v>155</v>
      </c>
      <c r="J29" s="15" t="s">
        <v>38</v>
      </c>
      <c r="K29" s="7" t="s">
        <v>156</v>
      </c>
      <c r="L29" s="7">
        <v>1</v>
      </c>
      <c r="N29" s="7">
        <v>1</v>
      </c>
      <c r="O29" s="7">
        <v>0.55000000000000004</v>
      </c>
      <c r="P29" s="7">
        <v>0.5</v>
      </c>
      <c r="Q29" s="52">
        <f t="shared" si="0"/>
        <v>0.52500000000000002</v>
      </c>
      <c r="R29" s="7">
        <v>14.6</v>
      </c>
      <c r="S29" s="7">
        <v>128</v>
      </c>
      <c r="T29" s="16">
        <f t="shared" si="1"/>
        <v>27</v>
      </c>
      <c r="U29" s="7">
        <v>149</v>
      </c>
      <c r="V29" s="16">
        <f t="shared" si="2"/>
        <v>4023</v>
      </c>
      <c r="W29" s="7">
        <v>6</v>
      </c>
      <c r="X29" s="15" t="s">
        <v>46</v>
      </c>
      <c r="Y29" s="157" t="s">
        <v>55</v>
      </c>
      <c r="Z29" s="157" t="s">
        <v>90</v>
      </c>
      <c r="AA29" s="157" t="s">
        <v>47</v>
      </c>
      <c r="AB29" s="39" t="s">
        <v>315</v>
      </c>
      <c r="AP29" s="27"/>
      <c r="AR29" s="27"/>
      <c r="AV29" s="28"/>
    </row>
    <row r="30" spans="1:48" x14ac:dyDescent="0.15">
      <c r="A30" s="15" t="s">
        <v>312</v>
      </c>
      <c r="B30" s="15" t="s">
        <v>313</v>
      </c>
      <c r="C30" s="15">
        <v>2018</v>
      </c>
      <c r="D30" s="37" t="s">
        <v>317</v>
      </c>
      <c r="E30" s="7" t="s">
        <v>131</v>
      </c>
      <c r="F30" s="7" t="s">
        <v>145</v>
      </c>
      <c r="G30" s="7" t="s">
        <v>36</v>
      </c>
      <c r="H30" s="157" t="s">
        <v>162</v>
      </c>
      <c r="I30" s="149" t="s">
        <v>155</v>
      </c>
      <c r="J30" s="15" t="s">
        <v>38</v>
      </c>
      <c r="K30" s="7" t="s">
        <v>156</v>
      </c>
      <c r="L30" s="7">
        <v>2</v>
      </c>
      <c r="N30" s="7">
        <v>1</v>
      </c>
      <c r="O30" s="7">
        <v>0.55000000000000004</v>
      </c>
      <c r="P30" s="7">
        <v>0.6</v>
      </c>
      <c r="Q30" s="52">
        <f t="shared" si="0"/>
        <v>0.57499999999999996</v>
      </c>
      <c r="R30" s="7">
        <v>15.3</v>
      </c>
      <c r="S30" s="7">
        <v>126</v>
      </c>
      <c r="T30" s="16">
        <f t="shared" si="1"/>
        <v>27</v>
      </c>
      <c r="U30" s="149">
        <v>149</v>
      </c>
      <c r="V30" s="16">
        <f t="shared" si="2"/>
        <v>4023</v>
      </c>
      <c r="W30" s="7">
        <v>6</v>
      </c>
      <c r="X30" s="15" t="s">
        <v>46</v>
      </c>
      <c r="Y30" s="157" t="s">
        <v>55</v>
      </c>
      <c r="Z30" s="157" t="s">
        <v>90</v>
      </c>
      <c r="AA30" s="157" t="s">
        <v>47</v>
      </c>
      <c r="AB30" s="39" t="s">
        <v>315</v>
      </c>
      <c r="AP30" s="27"/>
      <c r="AR30" s="27"/>
    </row>
    <row r="31" spans="1:48" x14ac:dyDescent="0.15">
      <c r="A31" s="15" t="s">
        <v>312</v>
      </c>
      <c r="B31" s="15" t="s">
        <v>313</v>
      </c>
      <c r="C31" s="15">
        <v>2018</v>
      </c>
      <c r="D31" s="37" t="s">
        <v>317</v>
      </c>
      <c r="E31" s="7" t="s">
        <v>131</v>
      </c>
      <c r="F31" s="7" t="s">
        <v>145</v>
      </c>
      <c r="G31" s="7" t="s">
        <v>36</v>
      </c>
      <c r="H31" s="157" t="s">
        <v>162</v>
      </c>
      <c r="I31" s="149" t="s">
        <v>155</v>
      </c>
      <c r="J31" s="15" t="s">
        <v>38</v>
      </c>
      <c r="K31" s="7" t="s">
        <v>156</v>
      </c>
      <c r="L31" s="7">
        <v>3</v>
      </c>
      <c r="N31" s="7">
        <v>1</v>
      </c>
      <c r="O31" s="7">
        <v>0.65</v>
      </c>
      <c r="P31" s="7">
        <v>0.6</v>
      </c>
      <c r="Q31" s="52">
        <f t="shared" si="0"/>
        <v>0.625</v>
      </c>
      <c r="R31" s="7">
        <v>15.8</v>
      </c>
      <c r="S31" s="7">
        <v>128</v>
      </c>
      <c r="T31" s="16">
        <f t="shared" si="1"/>
        <v>27</v>
      </c>
      <c r="U31" s="149">
        <v>149</v>
      </c>
      <c r="V31" s="16">
        <f t="shared" si="2"/>
        <v>4023</v>
      </c>
      <c r="W31" s="7">
        <v>6</v>
      </c>
      <c r="X31" s="15" t="s">
        <v>46</v>
      </c>
      <c r="Y31" s="157" t="s">
        <v>55</v>
      </c>
      <c r="Z31" s="157" t="s">
        <v>90</v>
      </c>
      <c r="AA31" s="157" t="s">
        <v>47</v>
      </c>
      <c r="AB31" s="39" t="s">
        <v>315</v>
      </c>
      <c r="AP31" s="27"/>
      <c r="AR31" s="27"/>
    </row>
    <row r="32" spans="1:48" x14ac:dyDescent="0.15">
      <c r="A32" s="15" t="s">
        <v>312</v>
      </c>
      <c r="B32" s="15" t="s">
        <v>313</v>
      </c>
      <c r="C32" s="15">
        <v>2018</v>
      </c>
      <c r="D32" s="37" t="s">
        <v>317</v>
      </c>
      <c r="E32" s="7" t="s">
        <v>139</v>
      </c>
      <c r="F32" s="7" t="s">
        <v>146</v>
      </c>
      <c r="G32" s="7" t="s">
        <v>36</v>
      </c>
      <c r="H32" s="15" t="s">
        <v>157</v>
      </c>
      <c r="I32" s="149" t="s">
        <v>155</v>
      </c>
      <c r="J32" s="15" t="s">
        <v>38</v>
      </c>
      <c r="K32" s="7" t="s">
        <v>156</v>
      </c>
      <c r="L32" s="7">
        <v>1</v>
      </c>
      <c r="N32" s="7">
        <v>1</v>
      </c>
      <c r="O32" s="7">
        <v>0.5</v>
      </c>
      <c r="P32" s="7">
        <v>0.55000000000000004</v>
      </c>
      <c r="Q32" s="52">
        <f t="shared" si="0"/>
        <v>0.52500000000000002</v>
      </c>
      <c r="R32" s="7">
        <v>15.3</v>
      </c>
      <c r="S32" s="7">
        <v>114</v>
      </c>
      <c r="T32" s="16">
        <f t="shared" si="1"/>
        <v>30</v>
      </c>
      <c r="U32" s="7">
        <v>100</v>
      </c>
      <c r="V32" s="16">
        <f t="shared" si="2"/>
        <v>3000</v>
      </c>
      <c r="W32" s="7">
        <v>4</v>
      </c>
      <c r="X32" s="15" t="s">
        <v>46</v>
      </c>
      <c r="Y32" s="15" t="s">
        <v>55</v>
      </c>
      <c r="Z32" s="15" t="s">
        <v>40</v>
      </c>
      <c r="AA32" s="15" t="s">
        <v>47</v>
      </c>
      <c r="AB32" s="39" t="s">
        <v>315</v>
      </c>
      <c r="AP32" s="28"/>
      <c r="AR32" s="28"/>
    </row>
    <row r="33" spans="1:44" x14ac:dyDescent="0.15">
      <c r="A33" s="15" t="s">
        <v>312</v>
      </c>
      <c r="B33" s="15" t="s">
        <v>313</v>
      </c>
      <c r="C33" s="15">
        <v>2018</v>
      </c>
      <c r="D33" s="37" t="s">
        <v>317</v>
      </c>
      <c r="E33" s="7" t="s">
        <v>139</v>
      </c>
      <c r="F33" s="7" t="s">
        <v>146</v>
      </c>
      <c r="G33" s="7" t="s">
        <v>36</v>
      </c>
      <c r="H33" s="157" t="s">
        <v>157</v>
      </c>
      <c r="I33" s="149" t="s">
        <v>155</v>
      </c>
      <c r="J33" s="15" t="s">
        <v>38</v>
      </c>
      <c r="K33" s="7" t="s">
        <v>156</v>
      </c>
      <c r="L33" s="7">
        <v>2</v>
      </c>
      <c r="N33" s="7">
        <v>1</v>
      </c>
      <c r="O33" s="7">
        <v>0.85</v>
      </c>
      <c r="P33" s="7">
        <v>0.85</v>
      </c>
      <c r="Q33" s="52">
        <f t="shared" si="0"/>
        <v>0.85</v>
      </c>
      <c r="R33" s="7">
        <v>13.1</v>
      </c>
      <c r="S33" s="7">
        <v>110</v>
      </c>
      <c r="T33" s="16">
        <f t="shared" si="1"/>
        <v>33</v>
      </c>
      <c r="U33" s="149">
        <v>100</v>
      </c>
      <c r="V33" s="16">
        <f t="shared" si="2"/>
        <v>3300</v>
      </c>
      <c r="W33" s="7">
        <v>4</v>
      </c>
      <c r="X33" s="15" t="s">
        <v>46</v>
      </c>
      <c r="Y33" s="157" t="s">
        <v>55</v>
      </c>
      <c r="Z33" s="157" t="s">
        <v>40</v>
      </c>
      <c r="AA33" s="157" t="s">
        <v>47</v>
      </c>
      <c r="AB33" s="39" t="s">
        <v>315</v>
      </c>
    </row>
    <row r="34" spans="1:44" x14ac:dyDescent="0.15">
      <c r="A34" s="15" t="s">
        <v>312</v>
      </c>
      <c r="B34" s="15" t="s">
        <v>313</v>
      </c>
      <c r="C34" s="15">
        <v>2018</v>
      </c>
      <c r="D34" s="37" t="s">
        <v>317</v>
      </c>
      <c r="E34" s="7" t="s">
        <v>139</v>
      </c>
      <c r="F34" s="7" t="s">
        <v>146</v>
      </c>
      <c r="G34" s="7" t="s">
        <v>36</v>
      </c>
      <c r="H34" s="157" t="s">
        <v>157</v>
      </c>
      <c r="I34" s="149" t="s">
        <v>155</v>
      </c>
      <c r="J34" s="15" t="s">
        <v>38</v>
      </c>
      <c r="K34" s="7" t="s">
        <v>156</v>
      </c>
      <c r="L34" s="7">
        <v>3</v>
      </c>
      <c r="N34" s="7">
        <v>1</v>
      </c>
      <c r="O34" s="7">
        <v>0.55000000000000004</v>
      </c>
      <c r="P34" s="7">
        <v>0.6</v>
      </c>
      <c r="Q34" s="52">
        <f t="shared" si="0"/>
        <v>0.57499999999999996</v>
      </c>
      <c r="R34" s="7">
        <v>14.1</v>
      </c>
      <c r="S34" s="7">
        <v>110</v>
      </c>
      <c r="T34" s="16">
        <f t="shared" si="1"/>
        <v>33</v>
      </c>
      <c r="U34" s="149">
        <v>100</v>
      </c>
      <c r="V34" s="16">
        <f t="shared" si="2"/>
        <v>3300</v>
      </c>
      <c r="W34" s="7">
        <v>4</v>
      </c>
      <c r="X34" s="15" t="s">
        <v>46</v>
      </c>
      <c r="Y34" s="157" t="s">
        <v>55</v>
      </c>
      <c r="Z34" s="157" t="s">
        <v>40</v>
      </c>
      <c r="AA34" s="157" t="s">
        <v>47</v>
      </c>
      <c r="AB34" s="39" t="s">
        <v>315</v>
      </c>
    </row>
    <row r="35" spans="1:44" x14ac:dyDescent="0.15">
      <c r="A35" s="15" t="s">
        <v>312</v>
      </c>
      <c r="B35" s="15" t="s">
        <v>313</v>
      </c>
      <c r="C35" s="15">
        <v>2018</v>
      </c>
      <c r="D35" s="37" t="s">
        <v>317</v>
      </c>
      <c r="E35" s="7" t="s">
        <v>139</v>
      </c>
      <c r="F35" s="7" t="s">
        <v>146</v>
      </c>
      <c r="G35" s="7" t="s">
        <v>36</v>
      </c>
      <c r="H35" s="157" t="s">
        <v>162</v>
      </c>
      <c r="I35" s="149" t="s">
        <v>155</v>
      </c>
      <c r="J35" s="15" t="s">
        <v>38</v>
      </c>
      <c r="K35" s="7" t="s">
        <v>156</v>
      </c>
      <c r="L35" s="7">
        <v>1</v>
      </c>
      <c r="N35" s="7">
        <v>1</v>
      </c>
      <c r="O35" s="7">
        <v>0.5</v>
      </c>
      <c r="P35" s="7">
        <v>0.5</v>
      </c>
      <c r="Q35" s="52">
        <f t="shared" si="0"/>
        <v>0.5</v>
      </c>
      <c r="R35" s="7">
        <v>16.600000000000001</v>
      </c>
      <c r="S35" s="7">
        <v>153</v>
      </c>
      <c r="T35" s="16">
        <f t="shared" si="1"/>
        <v>18</v>
      </c>
      <c r="U35" s="7">
        <v>171</v>
      </c>
      <c r="V35" s="16">
        <f t="shared" si="2"/>
        <v>3078</v>
      </c>
      <c r="W35" s="7">
        <v>13</v>
      </c>
      <c r="X35" s="15" t="s">
        <v>46</v>
      </c>
      <c r="Y35" s="157" t="s">
        <v>55</v>
      </c>
      <c r="Z35" s="157" t="s">
        <v>40</v>
      </c>
      <c r="AA35" s="157" t="s">
        <v>47</v>
      </c>
      <c r="AB35" s="39" t="s">
        <v>315</v>
      </c>
      <c r="AP35" s="28"/>
      <c r="AR35" s="28"/>
    </row>
    <row r="36" spans="1:44" x14ac:dyDescent="0.15">
      <c r="A36" s="15" t="s">
        <v>312</v>
      </c>
      <c r="B36" s="15" t="s">
        <v>313</v>
      </c>
      <c r="C36" s="15">
        <v>2018</v>
      </c>
      <c r="D36" s="37" t="s">
        <v>317</v>
      </c>
      <c r="E36" s="7" t="s">
        <v>139</v>
      </c>
      <c r="F36" s="7" t="s">
        <v>146</v>
      </c>
      <c r="G36" s="7" t="s">
        <v>36</v>
      </c>
      <c r="H36" s="157" t="s">
        <v>162</v>
      </c>
      <c r="I36" s="149" t="s">
        <v>155</v>
      </c>
      <c r="J36" s="15" t="s">
        <v>38</v>
      </c>
      <c r="K36" s="7" t="s">
        <v>156</v>
      </c>
      <c r="L36" s="7">
        <v>2</v>
      </c>
      <c r="N36" s="7">
        <v>1</v>
      </c>
      <c r="O36" s="7">
        <v>0.5</v>
      </c>
      <c r="P36" s="7">
        <v>0.5</v>
      </c>
      <c r="Q36" s="52">
        <f t="shared" si="0"/>
        <v>0.5</v>
      </c>
      <c r="R36" s="7">
        <v>16.8</v>
      </c>
      <c r="S36" s="7">
        <v>159</v>
      </c>
      <c r="T36" s="16">
        <f t="shared" si="1"/>
        <v>18</v>
      </c>
      <c r="U36" s="149">
        <v>171</v>
      </c>
      <c r="V36" s="16">
        <f t="shared" si="2"/>
        <v>3078</v>
      </c>
      <c r="W36" s="7">
        <v>13</v>
      </c>
      <c r="X36" s="15" t="s">
        <v>46</v>
      </c>
      <c r="Y36" s="157" t="s">
        <v>55</v>
      </c>
      <c r="Z36" s="157" t="s">
        <v>40</v>
      </c>
      <c r="AA36" s="157" t="s">
        <v>47</v>
      </c>
      <c r="AB36" s="39" t="s">
        <v>315</v>
      </c>
    </row>
    <row r="37" spans="1:44" x14ac:dyDescent="0.15">
      <c r="A37" s="15" t="s">
        <v>312</v>
      </c>
      <c r="B37" s="15" t="s">
        <v>313</v>
      </c>
      <c r="C37" s="15">
        <v>2018</v>
      </c>
      <c r="D37" s="37" t="s">
        <v>317</v>
      </c>
      <c r="E37" s="7" t="s">
        <v>139</v>
      </c>
      <c r="F37" s="7" t="s">
        <v>146</v>
      </c>
      <c r="G37" s="7" t="s">
        <v>36</v>
      </c>
      <c r="H37" s="157" t="s">
        <v>162</v>
      </c>
      <c r="I37" s="149" t="s">
        <v>155</v>
      </c>
      <c r="J37" s="15" t="s">
        <v>38</v>
      </c>
      <c r="K37" s="7" t="s">
        <v>156</v>
      </c>
      <c r="L37" s="7">
        <v>3</v>
      </c>
      <c r="N37" s="7">
        <v>1</v>
      </c>
      <c r="O37" s="34">
        <v>0.8</v>
      </c>
      <c r="P37" s="34">
        <v>0.8</v>
      </c>
      <c r="Q37" s="52">
        <f t="shared" si="0"/>
        <v>0.8</v>
      </c>
      <c r="R37" s="7">
        <v>15.6</v>
      </c>
      <c r="S37" s="7">
        <v>166</v>
      </c>
      <c r="T37" s="16">
        <f t="shared" si="1"/>
        <v>18</v>
      </c>
      <c r="U37" s="149">
        <v>171</v>
      </c>
      <c r="V37" s="16">
        <f t="shared" si="2"/>
        <v>3078</v>
      </c>
      <c r="W37" s="7">
        <v>13</v>
      </c>
      <c r="X37" s="15" t="s">
        <v>46</v>
      </c>
      <c r="Y37" s="157" t="s">
        <v>55</v>
      </c>
      <c r="Z37" s="157" t="s">
        <v>40</v>
      </c>
      <c r="AA37" s="157" t="s">
        <v>47</v>
      </c>
      <c r="AB37" s="39" t="s">
        <v>315</v>
      </c>
    </row>
    <row r="38" spans="1:44" x14ac:dyDescent="0.15">
      <c r="A38" s="15" t="s">
        <v>312</v>
      </c>
      <c r="B38" s="15" t="s">
        <v>313</v>
      </c>
      <c r="C38" s="15">
        <v>2018</v>
      </c>
      <c r="D38" s="37" t="s">
        <v>317</v>
      </c>
      <c r="E38" s="7" t="s">
        <v>139</v>
      </c>
      <c r="F38" s="7" t="s">
        <v>146</v>
      </c>
      <c r="G38" s="7" t="s">
        <v>36</v>
      </c>
      <c r="H38" s="157" t="s">
        <v>128</v>
      </c>
      <c r="I38" s="7" t="s">
        <v>155</v>
      </c>
      <c r="J38" s="15" t="s">
        <v>80</v>
      </c>
      <c r="K38" s="7" t="s">
        <v>45</v>
      </c>
      <c r="L38" s="7">
        <v>1</v>
      </c>
      <c r="N38" s="7">
        <v>5</v>
      </c>
      <c r="O38" s="34">
        <v>0.5</v>
      </c>
      <c r="P38" s="34">
        <v>0.5</v>
      </c>
      <c r="Q38" s="52">
        <f t="shared" si="0"/>
        <v>0.5</v>
      </c>
      <c r="R38" s="7">
        <v>17.600000000000001</v>
      </c>
      <c r="S38" s="7">
        <v>101</v>
      </c>
      <c r="T38" s="16">
        <f t="shared" si="1"/>
        <v>33</v>
      </c>
      <c r="U38" s="7">
        <v>492</v>
      </c>
      <c r="V38" s="16">
        <f t="shared" si="2"/>
        <v>3247.2000000000003</v>
      </c>
      <c r="W38" s="7">
        <v>3</v>
      </c>
      <c r="X38" s="15" t="s">
        <v>46</v>
      </c>
      <c r="Y38" s="157" t="s">
        <v>55</v>
      </c>
      <c r="Z38" s="157" t="s">
        <v>40</v>
      </c>
      <c r="AA38" s="157" t="s">
        <v>47</v>
      </c>
      <c r="AB38" s="39" t="s">
        <v>315</v>
      </c>
    </row>
    <row r="39" spans="1:44" x14ac:dyDescent="0.15">
      <c r="A39" s="15" t="s">
        <v>312</v>
      </c>
      <c r="B39" s="15" t="s">
        <v>313</v>
      </c>
      <c r="C39" s="15">
        <v>2018</v>
      </c>
      <c r="D39" s="37" t="s">
        <v>317</v>
      </c>
      <c r="E39" s="7" t="s">
        <v>139</v>
      </c>
      <c r="F39" s="7" t="s">
        <v>146</v>
      </c>
      <c r="G39" s="7" t="s">
        <v>36</v>
      </c>
      <c r="H39" s="157" t="s">
        <v>128</v>
      </c>
      <c r="I39" s="149" t="s">
        <v>155</v>
      </c>
      <c r="J39" s="157" t="s">
        <v>80</v>
      </c>
      <c r="K39" s="149" t="s">
        <v>45</v>
      </c>
      <c r="L39" s="7">
        <v>2</v>
      </c>
      <c r="N39" s="7">
        <v>5</v>
      </c>
      <c r="O39" s="7">
        <v>0.5</v>
      </c>
      <c r="P39" s="7">
        <v>0.5</v>
      </c>
      <c r="Q39" s="52">
        <f t="shared" si="0"/>
        <v>0.5</v>
      </c>
      <c r="R39" s="34">
        <v>17.399999999999999</v>
      </c>
      <c r="S39" s="7">
        <v>93</v>
      </c>
      <c r="T39" s="16">
        <f t="shared" si="1"/>
        <v>36</v>
      </c>
      <c r="U39" s="149">
        <v>492</v>
      </c>
      <c r="V39" s="16">
        <f t="shared" si="2"/>
        <v>3542.4</v>
      </c>
      <c r="W39" s="7">
        <v>3</v>
      </c>
      <c r="X39" s="15" t="s">
        <v>46</v>
      </c>
      <c r="Y39" s="157" t="s">
        <v>55</v>
      </c>
      <c r="Z39" s="157" t="s">
        <v>40</v>
      </c>
      <c r="AA39" s="157" t="s">
        <v>47</v>
      </c>
      <c r="AB39" s="39" t="s">
        <v>315</v>
      </c>
    </row>
    <row r="40" spans="1:44" x14ac:dyDescent="0.15">
      <c r="A40" s="15" t="s">
        <v>312</v>
      </c>
      <c r="B40" s="15" t="s">
        <v>313</v>
      </c>
      <c r="C40" s="15">
        <v>2018</v>
      </c>
      <c r="D40" s="37" t="s">
        <v>317</v>
      </c>
      <c r="E40" s="7" t="s">
        <v>139</v>
      </c>
      <c r="F40" s="7" t="s">
        <v>146</v>
      </c>
      <c r="G40" s="7" t="s">
        <v>36</v>
      </c>
      <c r="H40" s="157" t="s">
        <v>128</v>
      </c>
      <c r="I40" s="149" t="s">
        <v>155</v>
      </c>
      <c r="J40" s="157" t="s">
        <v>80</v>
      </c>
      <c r="K40" s="149" t="s">
        <v>45</v>
      </c>
      <c r="L40" s="7">
        <v>3</v>
      </c>
      <c r="N40" s="7">
        <v>5</v>
      </c>
      <c r="O40" s="7">
        <v>0.5</v>
      </c>
      <c r="P40" s="7">
        <v>0.5</v>
      </c>
      <c r="Q40" s="52">
        <f t="shared" si="0"/>
        <v>0.5</v>
      </c>
      <c r="R40" s="7">
        <v>17.3</v>
      </c>
      <c r="S40" s="7">
        <v>98</v>
      </c>
      <c r="T40" s="16">
        <f t="shared" si="1"/>
        <v>36</v>
      </c>
      <c r="U40" s="149">
        <v>492</v>
      </c>
      <c r="V40" s="16">
        <f t="shared" si="2"/>
        <v>3542.4</v>
      </c>
      <c r="W40" s="7">
        <v>3</v>
      </c>
      <c r="X40" s="15" t="s">
        <v>46</v>
      </c>
      <c r="Y40" s="157" t="s">
        <v>55</v>
      </c>
      <c r="Z40" s="157" t="s">
        <v>40</v>
      </c>
      <c r="AA40" s="157" t="s">
        <v>47</v>
      </c>
      <c r="AB40" s="39" t="s">
        <v>315</v>
      </c>
    </row>
    <row r="41" spans="1:44" ht="12.75" customHeight="1" x14ac:dyDescent="0.15">
      <c r="A41" s="15" t="s">
        <v>312</v>
      </c>
      <c r="B41" s="15" t="s">
        <v>313</v>
      </c>
      <c r="C41" s="15">
        <v>2018</v>
      </c>
      <c r="D41" s="37" t="s">
        <v>317</v>
      </c>
      <c r="E41" s="7" t="s">
        <v>140</v>
      </c>
      <c r="F41" s="7" t="s">
        <v>147</v>
      </c>
      <c r="G41" s="7" t="s">
        <v>36</v>
      </c>
      <c r="H41" s="15" t="s">
        <v>157</v>
      </c>
      <c r="I41" s="7" t="s">
        <v>155</v>
      </c>
      <c r="J41" s="15" t="s">
        <v>38</v>
      </c>
      <c r="K41" s="7" t="s">
        <v>156</v>
      </c>
      <c r="L41" s="7">
        <v>1</v>
      </c>
      <c r="N41" s="7">
        <v>1</v>
      </c>
      <c r="O41" s="7">
        <v>0.7</v>
      </c>
      <c r="P41" s="7">
        <v>0.85</v>
      </c>
      <c r="Q41" s="52">
        <f t="shared" si="0"/>
        <v>0.77499999999999991</v>
      </c>
      <c r="R41" s="7">
        <v>12.8</v>
      </c>
      <c r="S41" s="7">
        <v>126</v>
      </c>
      <c r="T41" s="16">
        <f t="shared" si="1"/>
        <v>27</v>
      </c>
      <c r="U41" s="7">
        <v>100</v>
      </c>
      <c r="V41" s="16">
        <f t="shared" si="2"/>
        <v>2700</v>
      </c>
      <c r="W41" s="7">
        <v>3</v>
      </c>
      <c r="X41" s="15" t="s">
        <v>46</v>
      </c>
      <c r="Y41" s="157" t="s">
        <v>69</v>
      </c>
      <c r="Z41" s="157" t="s">
        <v>55</v>
      </c>
      <c r="AA41" s="157" t="s">
        <v>47</v>
      </c>
      <c r="AB41" s="39" t="s">
        <v>315</v>
      </c>
    </row>
    <row r="42" spans="1:44" x14ac:dyDescent="0.15">
      <c r="A42" s="15" t="s">
        <v>312</v>
      </c>
      <c r="B42" s="15" t="s">
        <v>313</v>
      </c>
      <c r="C42" s="15">
        <v>2018</v>
      </c>
      <c r="D42" s="37" t="s">
        <v>317</v>
      </c>
      <c r="E42" s="7" t="s">
        <v>140</v>
      </c>
      <c r="F42" s="7" t="s">
        <v>147</v>
      </c>
      <c r="G42" s="7" t="s">
        <v>36</v>
      </c>
      <c r="H42" s="157" t="s">
        <v>157</v>
      </c>
      <c r="I42" s="149" t="s">
        <v>155</v>
      </c>
      <c r="J42" s="15" t="s">
        <v>38</v>
      </c>
      <c r="K42" s="7" t="s">
        <v>156</v>
      </c>
      <c r="L42" s="7">
        <v>2</v>
      </c>
      <c r="N42" s="7">
        <v>1</v>
      </c>
      <c r="O42" s="7">
        <v>0.95</v>
      </c>
      <c r="P42" s="7">
        <v>1.05</v>
      </c>
      <c r="Q42" s="52">
        <f t="shared" si="0"/>
        <v>1</v>
      </c>
      <c r="R42" s="7">
        <v>13</v>
      </c>
      <c r="S42" s="7">
        <v>120</v>
      </c>
      <c r="T42" s="16">
        <f t="shared" si="1"/>
        <v>30</v>
      </c>
      <c r="U42" s="149">
        <v>100</v>
      </c>
      <c r="V42" s="16">
        <f t="shared" si="2"/>
        <v>3000</v>
      </c>
      <c r="W42" s="7">
        <v>3</v>
      </c>
      <c r="X42" s="15" t="s">
        <v>46</v>
      </c>
      <c r="Y42" s="157" t="s">
        <v>69</v>
      </c>
      <c r="Z42" s="157" t="s">
        <v>55</v>
      </c>
      <c r="AA42" s="157" t="s">
        <v>47</v>
      </c>
      <c r="AB42" s="39" t="s">
        <v>315</v>
      </c>
    </row>
    <row r="43" spans="1:44" x14ac:dyDescent="0.15">
      <c r="A43" s="15" t="s">
        <v>312</v>
      </c>
      <c r="B43" s="15" t="s">
        <v>313</v>
      </c>
      <c r="C43" s="15">
        <v>2018</v>
      </c>
      <c r="D43" s="37" t="s">
        <v>317</v>
      </c>
      <c r="E43" s="7" t="s">
        <v>140</v>
      </c>
      <c r="F43" s="7" t="s">
        <v>147</v>
      </c>
      <c r="G43" s="7" t="s">
        <v>36</v>
      </c>
      <c r="H43" s="157" t="s">
        <v>157</v>
      </c>
      <c r="I43" s="149" t="s">
        <v>155</v>
      </c>
      <c r="J43" s="15" t="s">
        <v>38</v>
      </c>
      <c r="K43" s="7" t="s">
        <v>156</v>
      </c>
      <c r="L43" s="7">
        <v>3</v>
      </c>
      <c r="N43" s="7">
        <v>1</v>
      </c>
      <c r="O43" s="7">
        <v>1</v>
      </c>
      <c r="P43" s="7">
        <v>1.05</v>
      </c>
      <c r="Q43" s="52">
        <f t="shared" si="0"/>
        <v>1.0249999999999999</v>
      </c>
      <c r="R43" s="7">
        <v>14.6</v>
      </c>
      <c r="S43" s="7">
        <v>122</v>
      </c>
      <c r="T43" s="16">
        <f t="shared" si="1"/>
        <v>27</v>
      </c>
      <c r="U43" s="149">
        <v>100</v>
      </c>
      <c r="V43" s="16">
        <f t="shared" si="2"/>
        <v>2700</v>
      </c>
      <c r="W43" s="7">
        <v>3</v>
      </c>
      <c r="X43" s="15" t="s">
        <v>46</v>
      </c>
      <c r="Y43" s="157" t="s">
        <v>69</v>
      </c>
      <c r="Z43" s="157" t="s">
        <v>55</v>
      </c>
      <c r="AA43" s="157" t="s">
        <v>47</v>
      </c>
      <c r="AB43" s="39" t="s">
        <v>315</v>
      </c>
    </row>
    <row r="44" spans="1:44" x14ac:dyDescent="0.15">
      <c r="A44" s="15" t="s">
        <v>312</v>
      </c>
      <c r="B44" s="15" t="s">
        <v>313</v>
      </c>
      <c r="C44" s="15">
        <v>2018</v>
      </c>
      <c r="D44" s="37" t="s">
        <v>317</v>
      </c>
      <c r="E44" s="7" t="s">
        <v>140</v>
      </c>
      <c r="F44" s="7" t="s">
        <v>147</v>
      </c>
      <c r="G44" s="7" t="s">
        <v>36</v>
      </c>
      <c r="H44" s="15" t="s">
        <v>162</v>
      </c>
      <c r="I44" s="149" t="s">
        <v>155</v>
      </c>
      <c r="J44" s="15" t="s">
        <v>38</v>
      </c>
      <c r="K44" s="7" t="s">
        <v>156</v>
      </c>
      <c r="L44" s="7">
        <v>1</v>
      </c>
      <c r="N44" s="7">
        <v>1</v>
      </c>
      <c r="O44" s="7">
        <v>0.65</v>
      </c>
      <c r="P44" s="7">
        <v>0.5</v>
      </c>
      <c r="Q44" s="52">
        <f t="shared" si="0"/>
        <v>0.57499999999999996</v>
      </c>
      <c r="R44" s="7">
        <v>19.399999999999999</v>
      </c>
      <c r="S44" s="7">
        <v>170</v>
      </c>
      <c r="T44" s="16">
        <f t="shared" si="1"/>
        <v>18</v>
      </c>
      <c r="U44" s="7">
        <v>137</v>
      </c>
      <c r="V44" s="16">
        <f t="shared" si="2"/>
        <v>2466</v>
      </c>
      <c r="W44" s="7">
        <v>6</v>
      </c>
      <c r="X44" s="15" t="s">
        <v>46</v>
      </c>
      <c r="Y44" s="15" t="s">
        <v>69</v>
      </c>
      <c r="Z44" s="15" t="s">
        <v>55</v>
      </c>
      <c r="AA44" s="15" t="s">
        <v>47</v>
      </c>
      <c r="AB44" s="39" t="s">
        <v>315</v>
      </c>
    </row>
    <row r="45" spans="1:44" x14ac:dyDescent="0.15">
      <c r="A45" s="15" t="s">
        <v>312</v>
      </c>
      <c r="B45" s="15" t="s">
        <v>313</v>
      </c>
      <c r="C45" s="15">
        <v>2018</v>
      </c>
      <c r="D45" s="37" t="s">
        <v>317</v>
      </c>
      <c r="E45" s="7" t="s">
        <v>140</v>
      </c>
      <c r="F45" s="7" t="s">
        <v>147</v>
      </c>
      <c r="G45" s="7" t="s">
        <v>36</v>
      </c>
      <c r="H45" s="157" t="s">
        <v>162</v>
      </c>
      <c r="I45" s="149" t="s">
        <v>155</v>
      </c>
      <c r="J45" s="15" t="s">
        <v>38</v>
      </c>
      <c r="K45" s="7" t="s">
        <v>156</v>
      </c>
      <c r="L45" s="7">
        <v>2</v>
      </c>
      <c r="N45" s="7">
        <v>1</v>
      </c>
      <c r="O45" s="7">
        <v>0.55000000000000004</v>
      </c>
      <c r="P45" s="7">
        <v>0.55000000000000004</v>
      </c>
      <c r="Q45" s="52">
        <f t="shared" si="0"/>
        <v>0.55000000000000004</v>
      </c>
      <c r="R45" s="7">
        <v>18.899999999999999</v>
      </c>
      <c r="S45" s="7">
        <v>171</v>
      </c>
      <c r="T45" s="16">
        <f t="shared" si="1"/>
        <v>18</v>
      </c>
      <c r="U45" s="149">
        <v>137</v>
      </c>
      <c r="V45" s="16">
        <f t="shared" si="2"/>
        <v>2466</v>
      </c>
      <c r="W45" s="7">
        <v>6</v>
      </c>
      <c r="X45" s="15" t="s">
        <v>46</v>
      </c>
      <c r="Y45" s="15" t="s">
        <v>69</v>
      </c>
      <c r="Z45" s="15" t="s">
        <v>55</v>
      </c>
      <c r="AA45" s="15" t="s">
        <v>47</v>
      </c>
      <c r="AB45" s="39" t="s">
        <v>315</v>
      </c>
    </row>
    <row r="46" spans="1:44" x14ac:dyDescent="0.15">
      <c r="A46" s="15" t="s">
        <v>312</v>
      </c>
      <c r="B46" s="15" t="s">
        <v>313</v>
      </c>
      <c r="C46" s="15">
        <v>2018</v>
      </c>
      <c r="D46" s="37" t="s">
        <v>317</v>
      </c>
      <c r="E46" s="7" t="s">
        <v>140</v>
      </c>
      <c r="F46" s="7" t="s">
        <v>147</v>
      </c>
      <c r="G46" s="7" t="s">
        <v>36</v>
      </c>
      <c r="H46" s="157" t="s">
        <v>162</v>
      </c>
      <c r="I46" s="149" t="s">
        <v>155</v>
      </c>
      <c r="J46" s="15" t="s">
        <v>38</v>
      </c>
      <c r="K46" s="7" t="s">
        <v>156</v>
      </c>
      <c r="L46" s="7">
        <v>3</v>
      </c>
      <c r="N46" s="7">
        <v>1</v>
      </c>
      <c r="O46" s="7">
        <v>0.65</v>
      </c>
      <c r="P46" s="34">
        <v>0.65</v>
      </c>
      <c r="Q46" s="52">
        <f t="shared" si="0"/>
        <v>0.65</v>
      </c>
      <c r="R46" s="7">
        <v>18.5</v>
      </c>
      <c r="S46" s="7">
        <v>152</v>
      </c>
      <c r="T46" s="16">
        <f t="shared" si="1"/>
        <v>18</v>
      </c>
      <c r="U46" s="149">
        <v>137</v>
      </c>
      <c r="V46" s="16">
        <f t="shared" si="2"/>
        <v>2466</v>
      </c>
      <c r="W46" s="7">
        <v>6</v>
      </c>
      <c r="X46" s="15" t="s">
        <v>46</v>
      </c>
      <c r="Y46" s="15" t="s">
        <v>69</v>
      </c>
      <c r="Z46" s="15" t="s">
        <v>55</v>
      </c>
      <c r="AA46" s="15" t="s">
        <v>47</v>
      </c>
      <c r="AB46" s="39" t="s">
        <v>315</v>
      </c>
    </row>
    <row r="47" spans="1:44" x14ac:dyDescent="0.15">
      <c r="A47" s="15" t="s">
        <v>312</v>
      </c>
      <c r="B47" s="15" t="s">
        <v>313</v>
      </c>
      <c r="C47" s="15">
        <v>2018</v>
      </c>
      <c r="D47" s="37" t="s">
        <v>317</v>
      </c>
      <c r="E47" s="7" t="s">
        <v>130</v>
      </c>
      <c r="F47" s="7" t="s">
        <v>148</v>
      </c>
      <c r="G47" s="7" t="s">
        <v>36</v>
      </c>
      <c r="H47" s="15" t="s">
        <v>157</v>
      </c>
      <c r="I47" s="149" t="s">
        <v>155</v>
      </c>
      <c r="J47" s="15" t="s">
        <v>38</v>
      </c>
      <c r="K47" s="7" t="s">
        <v>156</v>
      </c>
      <c r="L47" s="7">
        <v>1</v>
      </c>
      <c r="N47" s="7">
        <v>1</v>
      </c>
      <c r="O47" s="7">
        <v>0.95</v>
      </c>
      <c r="P47" s="7">
        <v>0.95</v>
      </c>
      <c r="Q47" s="52">
        <f t="shared" si="0"/>
        <v>0.95</v>
      </c>
      <c r="R47" s="7">
        <v>14.1</v>
      </c>
      <c r="S47" s="7">
        <v>123</v>
      </c>
      <c r="T47" s="16">
        <f t="shared" si="1"/>
        <v>27</v>
      </c>
      <c r="U47" s="7">
        <v>105</v>
      </c>
      <c r="V47" s="16">
        <f t="shared" si="2"/>
        <v>2835</v>
      </c>
      <c r="W47" s="7">
        <v>8</v>
      </c>
      <c r="X47" s="15" t="s">
        <v>46</v>
      </c>
      <c r="Y47" s="15" t="s">
        <v>55</v>
      </c>
      <c r="Z47" s="15" t="s">
        <v>40</v>
      </c>
      <c r="AA47" s="15" t="s">
        <v>69</v>
      </c>
      <c r="AB47" s="39" t="s">
        <v>315</v>
      </c>
    </row>
    <row r="48" spans="1:44" x14ac:dyDescent="0.15">
      <c r="A48" s="15" t="s">
        <v>312</v>
      </c>
      <c r="B48" s="15" t="s">
        <v>313</v>
      </c>
      <c r="C48" s="15">
        <v>2018</v>
      </c>
      <c r="D48" s="37" t="s">
        <v>317</v>
      </c>
      <c r="E48" s="7" t="s">
        <v>130</v>
      </c>
      <c r="F48" s="7" t="s">
        <v>148</v>
      </c>
      <c r="G48" s="7" t="s">
        <v>36</v>
      </c>
      <c r="H48" s="157" t="s">
        <v>157</v>
      </c>
      <c r="I48" s="149" t="s">
        <v>155</v>
      </c>
      <c r="J48" s="15" t="s">
        <v>38</v>
      </c>
      <c r="K48" s="7" t="s">
        <v>156</v>
      </c>
      <c r="L48" s="7">
        <v>2</v>
      </c>
      <c r="N48" s="7">
        <v>1</v>
      </c>
      <c r="O48" s="7">
        <v>1</v>
      </c>
      <c r="P48" s="7">
        <v>1</v>
      </c>
      <c r="Q48" s="52">
        <f t="shared" si="0"/>
        <v>1</v>
      </c>
      <c r="R48" s="7">
        <v>15.6</v>
      </c>
      <c r="S48" s="7">
        <v>121</v>
      </c>
      <c r="T48" s="16">
        <f t="shared" si="1"/>
        <v>27</v>
      </c>
      <c r="U48" s="149">
        <v>105</v>
      </c>
      <c r="V48" s="16">
        <f t="shared" si="2"/>
        <v>2835</v>
      </c>
      <c r="W48" s="7">
        <v>8</v>
      </c>
      <c r="X48" s="15" t="s">
        <v>46</v>
      </c>
      <c r="Y48" s="15" t="s">
        <v>55</v>
      </c>
      <c r="Z48" s="15" t="s">
        <v>40</v>
      </c>
      <c r="AA48" s="15" t="s">
        <v>69</v>
      </c>
      <c r="AB48" s="39" t="s">
        <v>315</v>
      </c>
    </row>
    <row r="49" spans="1:29" x14ac:dyDescent="0.15">
      <c r="A49" s="15" t="s">
        <v>312</v>
      </c>
      <c r="B49" s="15" t="s">
        <v>313</v>
      </c>
      <c r="C49" s="15">
        <v>2018</v>
      </c>
      <c r="D49" s="37" t="s">
        <v>317</v>
      </c>
      <c r="E49" s="7" t="s">
        <v>130</v>
      </c>
      <c r="F49" s="7" t="s">
        <v>148</v>
      </c>
      <c r="G49" s="7" t="s">
        <v>36</v>
      </c>
      <c r="H49" s="157" t="s">
        <v>157</v>
      </c>
      <c r="I49" s="149" t="s">
        <v>155</v>
      </c>
      <c r="J49" s="15" t="s">
        <v>38</v>
      </c>
      <c r="K49" s="7" t="s">
        <v>156</v>
      </c>
      <c r="L49" s="7">
        <v>3</v>
      </c>
      <c r="N49" s="7">
        <v>1</v>
      </c>
      <c r="O49" s="7">
        <v>0.95</v>
      </c>
      <c r="P49" s="34">
        <v>1.05</v>
      </c>
      <c r="Q49" s="52">
        <f t="shared" si="0"/>
        <v>1</v>
      </c>
      <c r="R49" s="7">
        <v>12.1</v>
      </c>
      <c r="S49" s="7">
        <v>118</v>
      </c>
      <c r="T49" s="16">
        <f t="shared" si="1"/>
        <v>30</v>
      </c>
      <c r="U49" s="149">
        <v>105</v>
      </c>
      <c r="V49" s="16">
        <f t="shared" si="2"/>
        <v>3150</v>
      </c>
      <c r="W49" s="7">
        <v>8</v>
      </c>
      <c r="X49" s="15" t="s">
        <v>46</v>
      </c>
      <c r="Y49" s="15" t="s">
        <v>55</v>
      </c>
      <c r="Z49" s="15" t="s">
        <v>40</v>
      </c>
      <c r="AA49" s="15" t="s">
        <v>69</v>
      </c>
      <c r="AB49" s="39" t="s">
        <v>315</v>
      </c>
    </row>
    <row r="50" spans="1:29" x14ac:dyDescent="0.15">
      <c r="A50" s="15" t="s">
        <v>312</v>
      </c>
      <c r="B50" s="15" t="s">
        <v>313</v>
      </c>
      <c r="C50" s="15">
        <v>2018</v>
      </c>
      <c r="D50" s="37" t="s">
        <v>317</v>
      </c>
      <c r="E50" s="7" t="s">
        <v>130</v>
      </c>
      <c r="F50" s="7" t="s">
        <v>148</v>
      </c>
      <c r="G50" s="7" t="s">
        <v>36</v>
      </c>
      <c r="H50" s="15" t="s">
        <v>162</v>
      </c>
      <c r="I50" s="149" t="s">
        <v>155</v>
      </c>
      <c r="J50" s="15" t="s">
        <v>38</v>
      </c>
      <c r="K50" s="7" t="s">
        <v>156</v>
      </c>
      <c r="L50" s="7">
        <v>1</v>
      </c>
      <c r="N50" s="7">
        <v>1</v>
      </c>
      <c r="O50" s="7">
        <v>0.55000000000000004</v>
      </c>
      <c r="P50" s="7">
        <v>0.55000000000000004</v>
      </c>
      <c r="Q50" s="52">
        <f t="shared" si="0"/>
        <v>0.55000000000000004</v>
      </c>
      <c r="R50" s="7">
        <v>19.100000000000001</v>
      </c>
      <c r="S50" s="7">
        <v>141</v>
      </c>
      <c r="T50" s="16">
        <f t="shared" si="1"/>
        <v>22</v>
      </c>
      <c r="U50" s="149">
        <v>108</v>
      </c>
      <c r="V50" s="16">
        <f t="shared" si="2"/>
        <v>2376</v>
      </c>
      <c r="W50" s="7">
        <v>14</v>
      </c>
      <c r="X50" s="15" t="s">
        <v>46</v>
      </c>
      <c r="Y50" s="15" t="s">
        <v>55</v>
      </c>
      <c r="Z50" s="15" t="s">
        <v>40</v>
      </c>
      <c r="AA50" s="15" t="s">
        <v>69</v>
      </c>
      <c r="AB50" s="39" t="s">
        <v>315</v>
      </c>
    </row>
    <row r="51" spans="1:29" x14ac:dyDescent="0.15">
      <c r="A51" s="15" t="s">
        <v>312</v>
      </c>
      <c r="B51" s="15" t="s">
        <v>313</v>
      </c>
      <c r="C51" s="15">
        <v>2018</v>
      </c>
      <c r="D51" s="37" t="s">
        <v>317</v>
      </c>
      <c r="E51" s="7" t="s">
        <v>130</v>
      </c>
      <c r="F51" s="7" t="s">
        <v>148</v>
      </c>
      <c r="G51" s="7" t="s">
        <v>36</v>
      </c>
      <c r="H51" s="157" t="s">
        <v>162</v>
      </c>
      <c r="I51" s="149" t="s">
        <v>155</v>
      </c>
      <c r="J51" s="15" t="s">
        <v>38</v>
      </c>
      <c r="K51" s="7" t="s">
        <v>156</v>
      </c>
      <c r="L51" s="7">
        <v>2</v>
      </c>
      <c r="N51" s="7">
        <v>1</v>
      </c>
      <c r="O51" s="7">
        <v>0.65</v>
      </c>
      <c r="P51" s="7">
        <v>0.65</v>
      </c>
      <c r="Q51" s="52">
        <f t="shared" si="0"/>
        <v>0.65</v>
      </c>
      <c r="R51" s="7">
        <v>19.5</v>
      </c>
      <c r="S51" s="7">
        <v>137</v>
      </c>
      <c r="T51" s="16">
        <f t="shared" si="1"/>
        <v>25</v>
      </c>
      <c r="U51" s="149">
        <v>108</v>
      </c>
      <c r="V51" s="16">
        <f t="shared" si="2"/>
        <v>2700</v>
      </c>
      <c r="W51" s="7">
        <v>14</v>
      </c>
      <c r="X51" s="15" t="s">
        <v>46</v>
      </c>
      <c r="Y51" s="15" t="s">
        <v>55</v>
      </c>
      <c r="Z51" s="15" t="s">
        <v>40</v>
      </c>
      <c r="AA51" s="15" t="s">
        <v>69</v>
      </c>
      <c r="AB51" s="39" t="s">
        <v>315</v>
      </c>
    </row>
    <row r="52" spans="1:29" x14ac:dyDescent="0.15">
      <c r="A52" s="15" t="s">
        <v>312</v>
      </c>
      <c r="B52" s="15" t="s">
        <v>313</v>
      </c>
      <c r="C52" s="15">
        <v>2018</v>
      </c>
      <c r="D52" s="37" t="s">
        <v>317</v>
      </c>
      <c r="E52" s="7" t="s">
        <v>130</v>
      </c>
      <c r="F52" s="7" t="s">
        <v>148</v>
      </c>
      <c r="G52" s="7" t="s">
        <v>36</v>
      </c>
      <c r="H52" s="157" t="s">
        <v>162</v>
      </c>
      <c r="I52" s="149" t="s">
        <v>155</v>
      </c>
      <c r="J52" s="15" t="s">
        <v>38</v>
      </c>
      <c r="K52" s="7" t="s">
        <v>156</v>
      </c>
      <c r="L52" s="7">
        <v>3</v>
      </c>
      <c r="N52" s="7">
        <v>1</v>
      </c>
      <c r="O52" s="7">
        <v>0.7</v>
      </c>
      <c r="P52" s="7">
        <v>0.7</v>
      </c>
      <c r="Q52" s="52">
        <f t="shared" si="0"/>
        <v>0.7</v>
      </c>
      <c r="R52" s="7">
        <v>19</v>
      </c>
      <c r="S52" s="7">
        <v>139</v>
      </c>
      <c r="T52" s="16">
        <f t="shared" si="1"/>
        <v>22</v>
      </c>
      <c r="U52" s="149">
        <v>108</v>
      </c>
      <c r="V52" s="16">
        <f t="shared" si="2"/>
        <v>2376</v>
      </c>
      <c r="W52" s="7">
        <v>14</v>
      </c>
      <c r="X52" s="15" t="s">
        <v>46</v>
      </c>
      <c r="Y52" s="15" t="s">
        <v>55</v>
      </c>
      <c r="Z52" s="15" t="s">
        <v>40</v>
      </c>
      <c r="AA52" s="15" t="s">
        <v>69</v>
      </c>
      <c r="AB52" s="39" t="s">
        <v>315</v>
      </c>
    </row>
    <row r="53" spans="1:29" x14ac:dyDescent="0.15">
      <c r="A53" s="15" t="s">
        <v>312</v>
      </c>
      <c r="B53" s="15" t="s">
        <v>313</v>
      </c>
      <c r="C53" s="15">
        <v>2018</v>
      </c>
      <c r="D53" s="37" t="s">
        <v>317</v>
      </c>
      <c r="E53" s="7" t="s">
        <v>132</v>
      </c>
      <c r="F53" s="7" t="s">
        <v>149</v>
      </c>
      <c r="G53" s="7" t="s">
        <v>36</v>
      </c>
      <c r="H53" s="15" t="s">
        <v>157</v>
      </c>
      <c r="I53" s="149" t="s">
        <v>155</v>
      </c>
      <c r="J53" s="15" t="s">
        <v>38</v>
      </c>
      <c r="K53" s="7" t="s">
        <v>156</v>
      </c>
      <c r="L53" s="7">
        <v>1</v>
      </c>
      <c r="N53" s="7">
        <v>1</v>
      </c>
      <c r="O53" s="7">
        <v>1.25</v>
      </c>
      <c r="P53" s="7">
        <v>1.2</v>
      </c>
      <c r="Q53" s="52">
        <f t="shared" si="0"/>
        <v>1.2250000000000001</v>
      </c>
      <c r="R53" s="7">
        <v>15.3</v>
      </c>
      <c r="S53" s="7">
        <v>125</v>
      </c>
      <c r="T53" s="16">
        <f t="shared" si="1"/>
        <v>27</v>
      </c>
      <c r="U53" s="7">
        <v>105</v>
      </c>
      <c r="V53" s="16">
        <f t="shared" si="2"/>
        <v>2835</v>
      </c>
      <c r="W53" s="7">
        <v>17</v>
      </c>
      <c r="X53" s="15" t="s">
        <v>46</v>
      </c>
      <c r="Y53" s="15" t="s">
        <v>55</v>
      </c>
      <c r="Z53" s="15" t="s">
        <v>90</v>
      </c>
      <c r="AA53" s="157" t="s">
        <v>86</v>
      </c>
      <c r="AB53" s="39" t="s">
        <v>315</v>
      </c>
      <c r="AC53" s="36"/>
    </row>
    <row r="54" spans="1:29" x14ac:dyDescent="0.15">
      <c r="A54" s="15" t="s">
        <v>312</v>
      </c>
      <c r="B54" s="15" t="s">
        <v>313</v>
      </c>
      <c r="C54" s="15">
        <v>2018</v>
      </c>
      <c r="D54" s="37" t="s">
        <v>317</v>
      </c>
      <c r="E54" s="7" t="s">
        <v>132</v>
      </c>
      <c r="F54" s="7" t="s">
        <v>149</v>
      </c>
      <c r="G54" s="7" t="s">
        <v>36</v>
      </c>
      <c r="H54" s="157" t="s">
        <v>157</v>
      </c>
      <c r="I54" s="149" t="s">
        <v>155</v>
      </c>
      <c r="J54" s="157" t="s">
        <v>38</v>
      </c>
      <c r="K54" s="7" t="s">
        <v>156</v>
      </c>
      <c r="L54" s="7">
        <v>2</v>
      </c>
      <c r="N54" s="7">
        <v>1</v>
      </c>
      <c r="O54" s="7">
        <v>0.9</v>
      </c>
      <c r="P54" s="7">
        <v>0.85</v>
      </c>
      <c r="Q54" s="52">
        <f t="shared" si="0"/>
        <v>0.875</v>
      </c>
      <c r="R54" s="7">
        <v>15.5</v>
      </c>
      <c r="S54" s="7">
        <v>121</v>
      </c>
      <c r="T54" s="16">
        <f t="shared" si="1"/>
        <v>27</v>
      </c>
      <c r="U54" s="149">
        <v>105</v>
      </c>
      <c r="V54" s="16">
        <f t="shared" si="2"/>
        <v>2835</v>
      </c>
      <c r="W54" s="7">
        <v>17</v>
      </c>
      <c r="X54" s="15" t="s">
        <v>46</v>
      </c>
      <c r="Y54" s="157" t="s">
        <v>55</v>
      </c>
      <c r="Z54" s="157" t="s">
        <v>90</v>
      </c>
      <c r="AA54" s="157" t="s">
        <v>86</v>
      </c>
      <c r="AB54" s="39" t="s">
        <v>315</v>
      </c>
      <c r="AC54" s="36"/>
    </row>
    <row r="55" spans="1:29" x14ac:dyDescent="0.15">
      <c r="A55" s="15" t="s">
        <v>312</v>
      </c>
      <c r="B55" s="15" t="s">
        <v>313</v>
      </c>
      <c r="C55" s="15">
        <v>2018</v>
      </c>
      <c r="D55" s="37" t="s">
        <v>317</v>
      </c>
      <c r="E55" s="7" t="s">
        <v>132</v>
      </c>
      <c r="F55" s="7" t="s">
        <v>149</v>
      </c>
      <c r="G55" s="7" t="s">
        <v>36</v>
      </c>
      <c r="H55" s="157" t="s">
        <v>157</v>
      </c>
      <c r="I55" s="149" t="s">
        <v>155</v>
      </c>
      <c r="J55" s="157" t="s">
        <v>38</v>
      </c>
      <c r="K55" s="7" t="s">
        <v>156</v>
      </c>
      <c r="L55" s="7">
        <v>3</v>
      </c>
      <c r="N55" s="7">
        <v>1</v>
      </c>
      <c r="O55" s="7">
        <v>1.1000000000000001</v>
      </c>
      <c r="P55" s="7">
        <v>1.1499999999999999</v>
      </c>
      <c r="Q55" s="52">
        <f t="shared" si="0"/>
        <v>1.125</v>
      </c>
      <c r="R55" s="7">
        <v>13.7</v>
      </c>
      <c r="S55" s="7">
        <v>113</v>
      </c>
      <c r="T55" s="16">
        <f t="shared" si="1"/>
        <v>30</v>
      </c>
      <c r="U55" s="149">
        <v>105</v>
      </c>
      <c r="V55" s="16">
        <f t="shared" si="2"/>
        <v>3150</v>
      </c>
      <c r="W55" s="7">
        <v>17</v>
      </c>
      <c r="X55" s="15" t="s">
        <v>46</v>
      </c>
      <c r="Y55" s="157" t="s">
        <v>55</v>
      </c>
      <c r="Z55" s="157" t="s">
        <v>90</v>
      </c>
      <c r="AA55" s="157" t="s">
        <v>86</v>
      </c>
      <c r="AB55" s="39" t="s">
        <v>315</v>
      </c>
      <c r="AC55" s="36"/>
    </row>
    <row r="56" spans="1:29" x14ac:dyDescent="0.15">
      <c r="A56" s="15" t="s">
        <v>312</v>
      </c>
      <c r="B56" s="15" t="s">
        <v>313</v>
      </c>
      <c r="C56" s="15">
        <v>2018</v>
      </c>
      <c r="D56" s="37" t="s">
        <v>317</v>
      </c>
      <c r="E56" s="7" t="s">
        <v>132</v>
      </c>
      <c r="F56" s="7" t="s">
        <v>149</v>
      </c>
      <c r="G56" s="7" t="s">
        <v>36</v>
      </c>
      <c r="H56" s="15" t="s">
        <v>162</v>
      </c>
      <c r="I56" s="149" t="s">
        <v>155</v>
      </c>
      <c r="J56" s="15" t="s">
        <v>38</v>
      </c>
      <c r="K56" s="7" t="s">
        <v>156</v>
      </c>
      <c r="L56" s="7">
        <v>1</v>
      </c>
      <c r="N56" s="7">
        <v>1</v>
      </c>
      <c r="O56" s="7">
        <v>0.5</v>
      </c>
      <c r="P56" s="7">
        <v>0.5</v>
      </c>
      <c r="Q56" s="52">
        <f t="shared" si="0"/>
        <v>0.5</v>
      </c>
      <c r="R56" s="7">
        <v>19.100000000000001</v>
      </c>
      <c r="S56" s="7">
        <v>155</v>
      </c>
      <c r="T56" s="16">
        <f t="shared" si="1"/>
        <v>18</v>
      </c>
      <c r="U56" s="149">
        <v>138</v>
      </c>
      <c r="V56" s="16">
        <f t="shared" si="2"/>
        <v>2484</v>
      </c>
      <c r="W56" s="7">
        <v>16</v>
      </c>
      <c r="X56" s="15" t="s">
        <v>46</v>
      </c>
      <c r="Y56" s="157" t="s">
        <v>55</v>
      </c>
      <c r="Z56" s="157" t="s">
        <v>90</v>
      </c>
      <c r="AA56" s="157" t="s">
        <v>86</v>
      </c>
      <c r="AB56" s="39" t="s">
        <v>315</v>
      </c>
    </row>
    <row r="57" spans="1:29" x14ac:dyDescent="0.15">
      <c r="A57" s="15" t="s">
        <v>312</v>
      </c>
      <c r="B57" s="15" t="s">
        <v>313</v>
      </c>
      <c r="C57" s="15">
        <v>2018</v>
      </c>
      <c r="D57" s="37" t="s">
        <v>317</v>
      </c>
      <c r="E57" s="7" t="s">
        <v>132</v>
      </c>
      <c r="F57" s="7" t="s">
        <v>149</v>
      </c>
      <c r="G57" s="7" t="s">
        <v>36</v>
      </c>
      <c r="H57" s="157" t="s">
        <v>162</v>
      </c>
      <c r="I57" s="149" t="s">
        <v>155</v>
      </c>
      <c r="J57" s="15" t="s">
        <v>38</v>
      </c>
      <c r="K57" s="7" t="s">
        <v>156</v>
      </c>
      <c r="L57" s="7">
        <v>2</v>
      </c>
      <c r="N57" s="7">
        <v>1</v>
      </c>
      <c r="O57" s="7">
        <v>0.5</v>
      </c>
      <c r="P57" s="7">
        <v>0.5</v>
      </c>
      <c r="Q57" s="52">
        <f t="shared" si="0"/>
        <v>0.5</v>
      </c>
      <c r="R57" s="7">
        <v>16.600000000000001</v>
      </c>
      <c r="S57" s="7">
        <v>147</v>
      </c>
      <c r="T57" s="16">
        <f t="shared" si="1"/>
        <v>22</v>
      </c>
      <c r="U57" s="149">
        <v>138</v>
      </c>
      <c r="V57" s="16">
        <f t="shared" si="2"/>
        <v>3036</v>
      </c>
      <c r="W57" s="7">
        <v>16</v>
      </c>
      <c r="X57" s="15" t="s">
        <v>46</v>
      </c>
      <c r="Y57" s="157" t="s">
        <v>55</v>
      </c>
      <c r="Z57" s="157" t="s">
        <v>90</v>
      </c>
      <c r="AA57" s="157" t="s">
        <v>86</v>
      </c>
      <c r="AB57" s="39" t="s">
        <v>315</v>
      </c>
    </row>
    <row r="58" spans="1:29" x14ac:dyDescent="0.15">
      <c r="A58" s="15" t="s">
        <v>312</v>
      </c>
      <c r="B58" s="15" t="s">
        <v>313</v>
      </c>
      <c r="C58" s="15">
        <v>2018</v>
      </c>
      <c r="D58" s="37" t="s">
        <v>317</v>
      </c>
      <c r="E58" s="7" t="s">
        <v>132</v>
      </c>
      <c r="F58" s="7" t="s">
        <v>149</v>
      </c>
      <c r="G58" s="7" t="s">
        <v>36</v>
      </c>
      <c r="H58" s="157" t="s">
        <v>162</v>
      </c>
      <c r="I58" s="149" t="s">
        <v>155</v>
      </c>
      <c r="J58" s="15" t="s">
        <v>38</v>
      </c>
      <c r="K58" s="7" t="s">
        <v>156</v>
      </c>
      <c r="L58" s="7">
        <v>3</v>
      </c>
      <c r="N58" s="7">
        <v>1</v>
      </c>
      <c r="O58" s="7">
        <v>0.6</v>
      </c>
      <c r="P58" s="7">
        <v>0.5</v>
      </c>
      <c r="Q58" s="52">
        <f t="shared" si="0"/>
        <v>0.55000000000000004</v>
      </c>
      <c r="R58" s="7">
        <v>18</v>
      </c>
      <c r="S58" s="7">
        <v>150</v>
      </c>
      <c r="T58" s="16">
        <f t="shared" si="1"/>
        <v>22</v>
      </c>
      <c r="U58" s="149">
        <v>138</v>
      </c>
      <c r="V58" s="16">
        <f t="shared" si="2"/>
        <v>3036</v>
      </c>
      <c r="W58" s="7">
        <v>16</v>
      </c>
      <c r="X58" s="15" t="s">
        <v>46</v>
      </c>
      <c r="Y58" s="157" t="s">
        <v>55</v>
      </c>
      <c r="Z58" s="157" t="s">
        <v>90</v>
      </c>
      <c r="AA58" s="157" t="s">
        <v>86</v>
      </c>
      <c r="AB58" s="39" t="s">
        <v>315</v>
      </c>
    </row>
    <row r="59" spans="1:29" x14ac:dyDescent="0.15">
      <c r="A59" s="15" t="s">
        <v>312</v>
      </c>
      <c r="B59" s="15" t="s">
        <v>313</v>
      </c>
      <c r="C59" s="15">
        <v>2018</v>
      </c>
      <c r="D59" s="37" t="s">
        <v>317</v>
      </c>
      <c r="E59" s="7" t="s">
        <v>141</v>
      </c>
      <c r="F59" s="7" t="s">
        <v>150</v>
      </c>
      <c r="G59" s="7" t="s">
        <v>36</v>
      </c>
      <c r="H59" s="15" t="s">
        <v>157</v>
      </c>
      <c r="I59" s="149" t="s">
        <v>155</v>
      </c>
      <c r="J59" s="15" t="s">
        <v>38</v>
      </c>
      <c r="K59" s="7" t="s">
        <v>156</v>
      </c>
      <c r="L59" s="7">
        <v>1</v>
      </c>
      <c r="N59" s="7">
        <v>1</v>
      </c>
      <c r="O59" s="7">
        <v>0.7</v>
      </c>
      <c r="P59" s="7">
        <v>0.6</v>
      </c>
      <c r="Q59" s="52">
        <f t="shared" si="0"/>
        <v>0.64999999999999991</v>
      </c>
      <c r="R59" s="7">
        <v>12.9</v>
      </c>
      <c r="S59" s="7">
        <v>97</v>
      </c>
      <c r="T59" s="16">
        <f t="shared" si="1"/>
        <v>36</v>
      </c>
      <c r="U59" s="7">
        <v>108</v>
      </c>
      <c r="V59" s="16">
        <f t="shared" si="2"/>
        <v>3888</v>
      </c>
      <c r="W59" s="7">
        <v>10</v>
      </c>
      <c r="X59" s="15" t="s">
        <v>46</v>
      </c>
      <c r="Y59" s="15" t="s">
        <v>55</v>
      </c>
      <c r="Z59" s="15" t="s">
        <v>90</v>
      </c>
      <c r="AA59" s="15" t="s">
        <v>47</v>
      </c>
      <c r="AB59" s="39" t="s">
        <v>315</v>
      </c>
    </row>
    <row r="60" spans="1:29" x14ac:dyDescent="0.15">
      <c r="A60" s="15" t="s">
        <v>312</v>
      </c>
      <c r="B60" s="15" t="s">
        <v>313</v>
      </c>
      <c r="C60" s="15">
        <v>2018</v>
      </c>
      <c r="D60" s="37" t="s">
        <v>317</v>
      </c>
      <c r="E60" s="7" t="s">
        <v>141</v>
      </c>
      <c r="F60" s="7" t="s">
        <v>150</v>
      </c>
      <c r="G60" s="7" t="s">
        <v>36</v>
      </c>
      <c r="H60" s="157" t="s">
        <v>157</v>
      </c>
      <c r="I60" s="149" t="s">
        <v>155</v>
      </c>
      <c r="J60" s="15" t="s">
        <v>38</v>
      </c>
      <c r="K60" s="7" t="s">
        <v>156</v>
      </c>
      <c r="L60" s="7">
        <v>2</v>
      </c>
      <c r="N60" s="7">
        <v>1</v>
      </c>
      <c r="O60" s="7">
        <v>0.55000000000000004</v>
      </c>
      <c r="P60" s="7">
        <v>0.65</v>
      </c>
      <c r="Q60" s="52">
        <f t="shared" si="0"/>
        <v>0.60000000000000009</v>
      </c>
      <c r="R60" s="7">
        <v>14.3</v>
      </c>
      <c r="S60" s="7">
        <v>97</v>
      </c>
      <c r="T60" s="16">
        <f>IF(H60="","",IF(OR(H60="GREEN",H60="GK"),IF(S60&gt;=$AX$2,VLOOKUP(S60,$AX$2:$AY$12,2,1),""),IF(S60&gt;=$AZ$2,VLOOKUP(S60,$AZ$2:$BA$12,2,1),"")))</f>
        <v>36</v>
      </c>
      <c r="U60" s="149">
        <v>108</v>
      </c>
      <c r="V60" s="16">
        <f t="shared" si="2"/>
        <v>3888</v>
      </c>
      <c r="W60" s="7">
        <v>10</v>
      </c>
      <c r="X60" s="15" t="s">
        <v>46</v>
      </c>
      <c r="Y60" s="157" t="s">
        <v>55</v>
      </c>
      <c r="Z60" s="157" t="s">
        <v>90</v>
      </c>
      <c r="AA60" s="157" t="s">
        <v>47</v>
      </c>
      <c r="AB60" s="39" t="s">
        <v>315</v>
      </c>
    </row>
    <row r="61" spans="1:29" x14ac:dyDescent="0.15">
      <c r="A61" s="15" t="s">
        <v>312</v>
      </c>
      <c r="B61" s="15" t="s">
        <v>313</v>
      </c>
      <c r="C61" s="15">
        <v>2018</v>
      </c>
      <c r="D61" s="37" t="s">
        <v>317</v>
      </c>
      <c r="E61" s="7" t="s">
        <v>141</v>
      </c>
      <c r="F61" s="7" t="s">
        <v>150</v>
      </c>
      <c r="G61" s="7" t="s">
        <v>36</v>
      </c>
      <c r="H61" s="157" t="s">
        <v>157</v>
      </c>
      <c r="I61" s="149" t="s">
        <v>155</v>
      </c>
      <c r="J61" s="15" t="s">
        <v>38</v>
      </c>
      <c r="K61" s="7" t="s">
        <v>156</v>
      </c>
      <c r="L61" s="7">
        <v>3</v>
      </c>
      <c r="N61" s="7">
        <v>1</v>
      </c>
      <c r="O61" s="7">
        <v>0.95</v>
      </c>
      <c r="P61" s="7">
        <v>0.95</v>
      </c>
      <c r="Q61" s="52">
        <f t="shared" si="0"/>
        <v>0.95</v>
      </c>
      <c r="R61" s="7">
        <v>13.6</v>
      </c>
      <c r="S61" s="7">
        <v>101</v>
      </c>
      <c r="T61" s="16">
        <f>IF(H61="","",IF(OR(H61="GREEN",H61="GK"),IF(S61&gt;=$AX$2,VLOOKUP(S61,$AX$2:$AY$12,2,1),""),IF(S61&gt;=$AZ$2,VLOOKUP(S61,$AZ$2:$BA$12,2,1),"")))</f>
        <v>33</v>
      </c>
      <c r="U61" s="149">
        <v>108</v>
      </c>
      <c r="V61" s="16">
        <f t="shared" si="2"/>
        <v>3564</v>
      </c>
      <c r="W61" s="7">
        <v>10</v>
      </c>
      <c r="X61" s="15" t="s">
        <v>46</v>
      </c>
      <c r="Y61" s="157" t="s">
        <v>55</v>
      </c>
      <c r="Z61" s="157" t="s">
        <v>90</v>
      </c>
      <c r="AA61" s="157" t="s">
        <v>47</v>
      </c>
      <c r="AB61" s="39" t="s">
        <v>315</v>
      </c>
    </row>
    <row r="62" spans="1:29" x14ac:dyDescent="0.15">
      <c r="A62" s="15" t="s">
        <v>312</v>
      </c>
      <c r="B62" s="15" t="s">
        <v>313</v>
      </c>
      <c r="C62" s="15">
        <v>2018</v>
      </c>
      <c r="D62" s="37" t="s">
        <v>317</v>
      </c>
      <c r="E62" s="7" t="s">
        <v>141</v>
      </c>
      <c r="F62" s="7" t="s">
        <v>150</v>
      </c>
      <c r="G62" s="7" t="s">
        <v>36</v>
      </c>
      <c r="H62" s="15" t="s">
        <v>162</v>
      </c>
      <c r="I62" s="149" t="s">
        <v>155</v>
      </c>
      <c r="J62" s="15" t="s">
        <v>38</v>
      </c>
      <c r="K62" s="7" t="s">
        <v>156</v>
      </c>
      <c r="L62" s="7">
        <v>1</v>
      </c>
      <c r="N62" s="7">
        <v>1</v>
      </c>
      <c r="O62" s="7">
        <v>0.6</v>
      </c>
      <c r="P62" s="7">
        <v>0.6</v>
      </c>
      <c r="Q62" s="52">
        <f t="shared" si="0"/>
        <v>0.6</v>
      </c>
      <c r="R62" s="7">
        <v>18.8</v>
      </c>
      <c r="S62" s="7">
        <v>228</v>
      </c>
      <c r="T62" s="16">
        <f t="shared" ref="T62:T120" si="3">IF(H62="","",IF(OR(H62="GREEN",H62="GK"),IF(S62&gt;=$AX$2,VLOOKUP(S62,$AX$2:$AY$12,2,1),""),IF(S62&gt;=$AZ$2,VLOOKUP(S62,$AZ$2:$BA$12,2,1),"")))</f>
        <v>16</v>
      </c>
      <c r="U62" s="7">
        <v>162</v>
      </c>
      <c r="V62" s="16">
        <f t="shared" si="2"/>
        <v>2592</v>
      </c>
      <c r="W62" s="7">
        <v>14</v>
      </c>
      <c r="X62" s="15" t="s">
        <v>46</v>
      </c>
      <c r="Y62" s="157" t="s">
        <v>55</v>
      </c>
      <c r="Z62" s="157" t="s">
        <v>90</v>
      </c>
      <c r="AA62" s="157" t="s">
        <v>47</v>
      </c>
      <c r="AB62" s="39" t="s">
        <v>315</v>
      </c>
    </row>
    <row r="63" spans="1:29" x14ac:dyDescent="0.15">
      <c r="A63" s="15" t="s">
        <v>312</v>
      </c>
      <c r="B63" s="15" t="s">
        <v>313</v>
      </c>
      <c r="C63" s="15">
        <v>2018</v>
      </c>
      <c r="D63" s="37" t="s">
        <v>317</v>
      </c>
      <c r="E63" s="7" t="s">
        <v>141</v>
      </c>
      <c r="F63" s="7" t="s">
        <v>150</v>
      </c>
      <c r="G63" s="7" t="s">
        <v>36</v>
      </c>
      <c r="H63" s="157" t="s">
        <v>162</v>
      </c>
      <c r="I63" s="149" t="s">
        <v>155</v>
      </c>
      <c r="J63" s="15" t="s">
        <v>38</v>
      </c>
      <c r="K63" s="7" t="s">
        <v>156</v>
      </c>
      <c r="L63" s="7">
        <v>2</v>
      </c>
      <c r="N63" s="7">
        <v>1</v>
      </c>
      <c r="O63" s="7">
        <v>0.55000000000000004</v>
      </c>
      <c r="P63" s="7">
        <v>0.6</v>
      </c>
      <c r="Q63" s="52">
        <f t="shared" si="0"/>
        <v>0.57499999999999996</v>
      </c>
      <c r="R63" s="7">
        <v>18.100000000000001</v>
      </c>
      <c r="S63" s="7">
        <v>181</v>
      </c>
      <c r="T63" s="16">
        <f t="shared" si="3"/>
        <v>16</v>
      </c>
      <c r="U63" s="149">
        <v>162</v>
      </c>
      <c r="V63" s="16">
        <f t="shared" si="2"/>
        <v>2592</v>
      </c>
      <c r="W63" s="7">
        <v>14</v>
      </c>
      <c r="X63" s="15" t="s">
        <v>46</v>
      </c>
      <c r="Y63" s="157" t="s">
        <v>55</v>
      </c>
      <c r="Z63" s="157" t="s">
        <v>90</v>
      </c>
      <c r="AA63" s="157" t="s">
        <v>47</v>
      </c>
      <c r="AB63" s="39" t="s">
        <v>315</v>
      </c>
    </row>
    <row r="64" spans="1:29" x14ac:dyDescent="0.15">
      <c r="A64" s="15" t="s">
        <v>312</v>
      </c>
      <c r="B64" s="15" t="s">
        <v>313</v>
      </c>
      <c r="C64" s="15">
        <v>2018</v>
      </c>
      <c r="D64" s="37" t="s">
        <v>317</v>
      </c>
      <c r="E64" s="7" t="s">
        <v>141</v>
      </c>
      <c r="F64" s="7" t="s">
        <v>150</v>
      </c>
      <c r="G64" s="7" t="s">
        <v>36</v>
      </c>
      <c r="H64" s="157" t="s">
        <v>162</v>
      </c>
      <c r="I64" s="149" t="s">
        <v>155</v>
      </c>
      <c r="J64" s="15" t="s">
        <v>38</v>
      </c>
      <c r="K64" s="7" t="s">
        <v>156</v>
      </c>
      <c r="L64" s="7">
        <v>3</v>
      </c>
      <c r="N64" s="7">
        <v>1</v>
      </c>
      <c r="O64" s="7">
        <v>0.7</v>
      </c>
      <c r="P64" s="7">
        <v>0.6</v>
      </c>
      <c r="Q64" s="52">
        <f t="shared" si="0"/>
        <v>0.64999999999999991</v>
      </c>
      <c r="R64" s="7">
        <v>20.7</v>
      </c>
      <c r="S64" s="7">
        <v>216</v>
      </c>
      <c r="T64" s="16">
        <f t="shared" si="3"/>
        <v>16</v>
      </c>
      <c r="U64" s="149">
        <v>162</v>
      </c>
      <c r="V64" s="16">
        <f t="shared" si="2"/>
        <v>2592</v>
      </c>
      <c r="W64" s="7">
        <v>14</v>
      </c>
      <c r="X64" s="15" t="s">
        <v>46</v>
      </c>
      <c r="Y64" s="157" t="s">
        <v>55</v>
      </c>
      <c r="Z64" s="157" t="s">
        <v>90</v>
      </c>
      <c r="AA64" s="157" t="s">
        <v>47</v>
      </c>
      <c r="AB64" s="39" t="s">
        <v>315</v>
      </c>
    </row>
    <row r="65" spans="1:28" x14ac:dyDescent="0.15">
      <c r="A65" s="15"/>
      <c r="B65" s="15"/>
      <c r="C65" s="15"/>
      <c r="D65" s="37"/>
      <c r="H65" s="15"/>
      <c r="I65" s="149"/>
      <c r="J65" s="15"/>
      <c r="Q65" s="52" t="str">
        <f t="shared" si="0"/>
        <v/>
      </c>
      <c r="T65" s="16" t="str">
        <f t="shared" si="3"/>
        <v/>
      </c>
      <c r="V65" s="16" t="str">
        <f t="shared" si="2"/>
        <v/>
      </c>
      <c r="X65" s="15"/>
      <c r="Y65" s="15"/>
      <c r="Z65" s="157"/>
      <c r="AA65" s="15"/>
      <c r="AB65" s="39"/>
    </row>
    <row r="66" spans="1:28" x14ac:dyDescent="0.15">
      <c r="A66" s="15"/>
      <c r="B66" s="15"/>
      <c r="C66" s="15"/>
      <c r="D66" s="37"/>
      <c r="H66" s="157"/>
      <c r="I66" s="149"/>
      <c r="J66" s="15"/>
      <c r="Q66" s="52" t="str">
        <f t="shared" ref="Q66:Q77" si="4">IF(OR(O66="",P66=""),"",AVERAGE(O66,P66))</f>
        <v/>
      </c>
      <c r="T66" s="16" t="str">
        <f t="shared" si="3"/>
        <v/>
      </c>
      <c r="U66" s="149"/>
      <c r="V66" s="16" t="str">
        <f t="shared" ref="V66:V70" si="5">IF(OR(N66="",U66="",T66=""),"",U66/N66*T66)</f>
        <v/>
      </c>
      <c r="X66" s="15"/>
      <c r="Y66" s="157"/>
      <c r="Z66" s="157"/>
      <c r="AA66" s="157"/>
      <c r="AB66" s="39"/>
    </row>
    <row r="67" spans="1:28" x14ac:dyDescent="0.15">
      <c r="A67" s="15"/>
      <c r="B67" s="15"/>
      <c r="C67" s="15"/>
      <c r="D67" s="37"/>
      <c r="H67" s="157"/>
      <c r="I67" s="149"/>
      <c r="J67" s="15"/>
      <c r="Q67" s="52" t="str">
        <f t="shared" si="4"/>
        <v/>
      </c>
      <c r="T67" s="16" t="str">
        <f t="shared" si="3"/>
        <v/>
      </c>
      <c r="U67" s="149"/>
      <c r="V67" s="16" t="str">
        <f t="shared" si="5"/>
        <v/>
      </c>
      <c r="X67" s="15"/>
      <c r="Y67" s="157"/>
      <c r="Z67" s="157"/>
      <c r="AA67" s="157"/>
      <c r="AB67" s="39"/>
    </row>
    <row r="68" spans="1:28" x14ac:dyDescent="0.15">
      <c r="A68" s="15"/>
      <c r="B68" s="15"/>
      <c r="C68" s="15"/>
      <c r="D68" s="37"/>
      <c r="H68" s="15"/>
      <c r="I68" s="149"/>
      <c r="J68" s="15"/>
      <c r="Q68" s="52" t="str">
        <f t="shared" si="4"/>
        <v/>
      </c>
      <c r="T68" s="16" t="str">
        <f t="shared" si="3"/>
        <v/>
      </c>
      <c r="V68" s="16" t="str">
        <f t="shared" si="5"/>
        <v/>
      </c>
      <c r="X68" s="15"/>
      <c r="Y68" s="157"/>
      <c r="Z68" s="157"/>
      <c r="AA68" s="157"/>
      <c r="AB68" s="39"/>
    </row>
    <row r="69" spans="1:28" x14ac:dyDescent="0.15">
      <c r="A69" s="15"/>
      <c r="B69" s="15"/>
      <c r="C69" s="15"/>
      <c r="D69" s="37"/>
      <c r="H69" s="157"/>
      <c r="I69" s="149"/>
      <c r="J69" s="15"/>
      <c r="N69" s="149"/>
      <c r="Q69" s="52" t="str">
        <f t="shared" si="4"/>
        <v/>
      </c>
      <c r="T69" s="16" t="str">
        <f t="shared" si="3"/>
        <v/>
      </c>
      <c r="U69" s="149"/>
      <c r="V69" s="16" t="str">
        <f t="shared" si="5"/>
        <v/>
      </c>
      <c r="X69" s="15"/>
      <c r="Y69" s="157"/>
      <c r="Z69" s="157"/>
      <c r="AA69" s="157"/>
      <c r="AB69" s="39"/>
    </row>
    <row r="70" spans="1:28" x14ac:dyDescent="0.15">
      <c r="A70" s="15"/>
      <c r="B70" s="15"/>
      <c r="C70" s="15"/>
      <c r="D70" s="37"/>
      <c r="H70" s="157"/>
      <c r="I70" s="149"/>
      <c r="J70" s="15"/>
      <c r="N70" s="149"/>
      <c r="Q70" s="52" t="str">
        <f t="shared" si="4"/>
        <v/>
      </c>
      <c r="T70" s="16" t="str">
        <f t="shared" si="3"/>
        <v/>
      </c>
      <c r="U70" s="149"/>
      <c r="V70" s="16" t="str">
        <f t="shared" si="5"/>
        <v/>
      </c>
      <c r="X70" s="15"/>
      <c r="Y70" s="157"/>
      <c r="Z70" s="157"/>
      <c r="AA70" s="157"/>
      <c r="AB70" s="39"/>
    </row>
    <row r="71" spans="1:28" x14ac:dyDescent="0.15">
      <c r="A71" s="15"/>
      <c r="B71" s="15"/>
      <c r="C71" s="15"/>
      <c r="D71" s="37"/>
      <c r="H71" s="15"/>
      <c r="I71" s="149"/>
      <c r="J71" s="15"/>
      <c r="N71" s="149"/>
      <c r="Q71" s="52" t="str">
        <f t="shared" si="4"/>
        <v/>
      </c>
      <c r="T71" s="16" t="str">
        <f t="shared" si="3"/>
        <v/>
      </c>
      <c r="V71" s="16" t="str">
        <f>IF(OR(N71="",U71="",T71=""),"",U71/N71*T71)</f>
        <v/>
      </c>
      <c r="X71" s="15"/>
      <c r="Y71" s="15"/>
      <c r="Z71" s="15"/>
      <c r="AA71" s="15"/>
      <c r="AB71" s="39"/>
    </row>
    <row r="72" spans="1:28" x14ac:dyDescent="0.15">
      <c r="A72" s="15"/>
      <c r="B72" s="15"/>
      <c r="C72" s="15"/>
      <c r="D72" s="37"/>
      <c r="H72" s="157"/>
      <c r="I72" s="149"/>
      <c r="J72" s="157"/>
      <c r="K72" s="149"/>
      <c r="N72" s="149"/>
      <c r="Q72" s="52" t="str">
        <f t="shared" si="4"/>
        <v/>
      </c>
      <c r="T72" s="16" t="str">
        <f t="shared" si="3"/>
        <v/>
      </c>
      <c r="U72" s="149"/>
      <c r="V72" s="16" t="str">
        <f t="shared" ref="V72:V74" si="6">IF(OR(N72="",U72="",T72=""),"",U72/N72*T72)</f>
        <v/>
      </c>
      <c r="X72" s="15"/>
      <c r="Y72" s="157"/>
      <c r="Z72" s="157"/>
      <c r="AA72" s="157"/>
      <c r="AB72" s="39"/>
    </row>
    <row r="73" spans="1:28" x14ac:dyDescent="0.15">
      <c r="A73" s="15"/>
      <c r="B73" s="15"/>
      <c r="C73" s="15"/>
      <c r="D73" s="37"/>
      <c r="H73" s="157"/>
      <c r="I73" s="149"/>
      <c r="J73" s="157"/>
      <c r="K73" s="149"/>
      <c r="N73" s="149"/>
      <c r="Q73" s="52" t="str">
        <f t="shared" si="4"/>
        <v/>
      </c>
      <c r="T73" s="16" t="str">
        <f t="shared" si="3"/>
        <v/>
      </c>
      <c r="U73" s="149"/>
      <c r="V73" s="16" t="str">
        <f>IF(OR(N73="",U73="",T73=""),"",U73/N73*T73)</f>
        <v/>
      </c>
      <c r="X73" s="15"/>
      <c r="Y73" s="157"/>
      <c r="Z73" s="157"/>
      <c r="AA73" s="157"/>
      <c r="AB73" s="39"/>
    </row>
    <row r="74" spans="1:28" x14ac:dyDescent="0.15">
      <c r="A74" s="15"/>
      <c r="B74" s="15"/>
      <c r="C74" s="15"/>
      <c r="D74" s="37"/>
      <c r="H74" s="15"/>
      <c r="I74" s="149"/>
      <c r="J74" s="15"/>
      <c r="N74" s="149"/>
      <c r="Q74" s="52" t="str">
        <f t="shared" si="4"/>
        <v/>
      </c>
      <c r="T74" s="16" t="str">
        <f t="shared" si="3"/>
        <v/>
      </c>
      <c r="V74" s="16" t="str">
        <f t="shared" si="6"/>
        <v/>
      </c>
      <c r="X74" s="15"/>
      <c r="Y74" s="157"/>
      <c r="Z74" s="157"/>
      <c r="AA74" s="157"/>
      <c r="AB74" s="39"/>
    </row>
    <row r="75" spans="1:28" x14ac:dyDescent="0.15">
      <c r="A75" s="15"/>
      <c r="B75" s="15"/>
      <c r="C75" s="15"/>
      <c r="D75" s="37"/>
      <c r="H75" s="157"/>
      <c r="I75" s="149"/>
      <c r="J75" s="15"/>
      <c r="N75" s="149"/>
      <c r="Q75" s="52" t="str">
        <f t="shared" si="4"/>
        <v/>
      </c>
      <c r="T75" s="16" t="str">
        <f t="shared" si="3"/>
        <v/>
      </c>
      <c r="U75" s="149"/>
      <c r="V75" s="16" t="str">
        <f>IF(OR(N75="",U75="",T75=""),"",U75/N75*T75)</f>
        <v/>
      </c>
      <c r="X75" s="15"/>
      <c r="Y75" s="157"/>
      <c r="Z75" s="157"/>
      <c r="AA75" s="157"/>
      <c r="AB75" s="39"/>
    </row>
    <row r="76" spans="1:28" x14ac:dyDescent="0.15">
      <c r="A76" s="15"/>
      <c r="B76" s="15"/>
      <c r="C76" s="15"/>
      <c r="D76" s="37"/>
      <c r="H76" s="157"/>
      <c r="I76" s="149"/>
      <c r="J76" s="15"/>
      <c r="N76" s="149"/>
      <c r="Q76" s="52" t="str">
        <f t="shared" si="4"/>
        <v/>
      </c>
      <c r="T76" s="16" t="str">
        <f t="shared" si="3"/>
        <v/>
      </c>
      <c r="U76" s="149"/>
      <c r="V76" s="16" t="str">
        <f>IF(OR(N76="",U76="",T76=""),"",U76/N76*T76)</f>
        <v/>
      </c>
      <c r="X76" s="15"/>
      <c r="Y76" s="157"/>
      <c r="Z76" s="157"/>
      <c r="AA76" s="157"/>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69"/>
  <sheetViews>
    <sheetView topLeftCell="A52" zoomScale="70" zoomScaleNormal="70" workbookViewId="0">
      <selection activeCell="AB57" sqref="AB57"/>
    </sheetView>
  </sheetViews>
  <sheetFormatPr defaultColWidth="9" defaultRowHeight="13.5" x14ac:dyDescent="0.15"/>
  <cols>
    <col min="1" max="3" width="9" style="178"/>
    <col min="4" max="4" width="11" style="178" bestFit="1" customWidth="1"/>
    <col min="5" max="5" width="10.875" style="178" bestFit="1" customWidth="1"/>
    <col min="6" max="16" width="9" style="178"/>
    <col min="17" max="17" width="9" style="57"/>
    <col min="18" max="18" width="9" style="178"/>
    <col min="19" max="19" width="11.625" style="178" bestFit="1" customWidth="1"/>
    <col min="20" max="20" width="9" style="57"/>
    <col min="21" max="21" width="9" style="178"/>
    <col min="22" max="22" width="9" style="58"/>
    <col min="23" max="32" width="9" style="178"/>
    <col min="33" max="33" width="14.375" style="178" bestFit="1" customWidth="1"/>
    <col min="34" max="34" width="11.375" style="178" bestFit="1" customWidth="1"/>
    <col min="35" max="16384" width="9" style="178"/>
  </cols>
  <sheetData>
    <row r="1" spans="1:53" ht="45" x14ac:dyDescent="0.15">
      <c r="A1" s="181" t="s">
        <v>0</v>
      </c>
      <c r="B1" s="143" t="s">
        <v>1</v>
      </c>
      <c r="C1" s="143" t="s">
        <v>319</v>
      </c>
      <c r="D1" s="144" t="s">
        <v>3</v>
      </c>
      <c r="E1" s="182" t="s">
        <v>4</v>
      </c>
      <c r="F1" s="182" t="s">
        <v>5</v>
      </c>
      <c r="G1" s="182" t="s">
        <v>6</v>
      </c>
      <c r="H1" s="182" t="s">
        <v>7</v>
      </c>
      <c r="I1" s="182" t="s">
        <v>8</v>
      </c>
      <c r="J1" s="182" t="s">
        <v>9</v>
      </c>
      <c r="K1" s="182" t="s">
        <v>10</v>
      </c>
      <c r="L1" s="144" t="s">
        <v>320</v>
      </c>
      <c r="M1" s="144" t="s">
        <v>12</v>
      </c>
      <c r="N1" s="144" t="s">
        <v>13</v>
      </c>
      <c r="O1" s="144" t="s">
        <v>321</v>
      </c>
      <c r="P1" s="144" t="s">
        <v>322</v>
      </c>
      <c r="Q1" s="53" t="s">
        <v>16</v>
      </c>
      <c r="R1" s="144" t="s">
        <v>323</v>
      </c>
      <c r="S1" s="144" t="s">
        <v>324</v>
      </c>
      <c r="T1" s="53" t="s">
        <v>19</v>
      </c>
      <c r="U1" s="146" t="s">
        <v>108</v>
      </c>
      <c r="V1" s="54" t="s">
        <v>20</v>
      </c>
      <c r="W1" s="144" t="s">
        <v>21</v>
      </c>
      <c r="X1" s="182" t="s">
        <v>22</v>
      </c>
      <c r="Y1" s="182" t="s">
        <v>23</v>
      </c>
      <c r="Z1" s="182" t="s">
        <v>24</v>
      </c>
      <c r="AA1" s="182" t="s">
        <v>25</v>
      </c>
      <c r="AB1" s="183" t="s">
        <v>325</v>
      </c>
      <c r="AE1" s="150" t="s">
        <v>0</v>
      </c>
      <c r="AF1" s="151"/>
      <c r="AG1" s="150" t="s">
        <v>4</v>
      </c>
      <c r="AH1" s="150" t="s">
        <v>5</v>
      </c>
      <c r="AI1" s="151"/>
      <c r="AJ1" s="150" t="s">
        <v>6</v>
      </c>
      <c r="AK1" s="151"/>
      <c r="AL1" s="152" t="s">
        <v>7</v>
      </c>
      <c r="AM1" s="151"/>
      <c r="AN1" s="152" t="s">
        <v>8</v>
      </c>
      <c r="AO1" s="151"/>
      <c r="AP1" s="152" t="s">
        <v>27</v>
      </c>
      <c r="AQ1" s="151"/>
      <c r="AR1" s="152" t="s">
        <v>10</v>
      </c>
      <c r="AS1" s="151"/>
      <c r="AT1" s="153" t="s">
        <v>28</v>
      </c>
      <c r="AU1" s="151"/>
      <c r="AV1" s="152" t="s">
        <v>29</v>
      </c>
      <c r="AX1" s="154" t="s">
        <v>326</v>
      </c>
      <c r="AY1" s="155" t="s">
        <v>327</v>
      </c>
      <c r="AZ1" s="155" t="s">
        <v>328</v>
      </c>
      <c r="BA1" s="156" t="s">
        <v>329</v>
      </c>
    </row>
    <row r="2" spans="1:53" s="55" customFormat="1" x14ac:dyDescent="0.15">
      <c r="A2" s="55" t="s">
        <v>41</v>
      </c>
      <c r="B2" s="178" t="s">
        <v>313</v>
      </c>
      <c r="C2" s="133">
        <v>2018</v>
      </c>
      <c r="D2" s="56" t="s">
        <v>330</v>
      </c>
      <c r="E2" s="178" t="s">
        <v>133</v>
      </c>
      <c r="F2" s="178" t="s">
        <v>265</v>
      </c>
      <c r="G2" s="55" t="s">
        <v>42</v>
      </c>
      <c r="H2" s="55" t="s">
        <v>211</v>
      </c>
      <c r="I2" s="55" t="s">
        <v>155</v>
      </c>
      <c r="J2" s="55" t="s">
        <v>38</v>
      </c>
      <c r="K2" s="55" t="s">
        <v>156</v>
      </c>
      <c r="L2" s="178">
        <v>1</v>
      </c>
      <c r="M2" s="178"/>
      <c r="N2" s="55">
        <v>1</v>
      </c>
      <c r="O2" s="55">
        <v>0.15</v>
      </c>
      <c r="P2" s="55">
        <v>0.15</v>
      </c>
      <c r="Q2" s="57">
        <f t="shared" ref="Q2:Q65" si="0">IF(OR(O2="",P2=""),"",AVERAGE(O2,P2))</f>
        <v>0.15</v>
      </c>
      <c r="R2" s="55">
        <v>12.8</v>
      </c>
      <c r="S2" s="55">
        <v>108</v>
      </c>
      <c r="T2" s="57">
        <f t="shared" ref="T2:T65" si="1">IF(H2="","",IF(OR(H2="GREEN",H2="GK"),IF(S2&gt;=$AX$2,VLOOKUP(S2,$AX$2:$AY$10,2,1),""),IF(S2&gt;=$AZ$2,VLOOKUP(S2,$AZ$2:$BA$10,2,1),"")))</f>
        <v>33</v>
      </c>
      <c r="U2" s="178">
        <v>105</v>
      </c>
      <c r="V2" s="58">
        <f t="shared" ref="V2:V65" si="2">IF(OR(N2="",U2="",T2=""),"",U2/N2*T2)</f>
        <v>3465</v>
      </c>
      <c r="W2" s="178">
        <v>6</v>
      </c>
      <c r="X2" s="55" t="s">
        <v>46</v>
      </c>
      <c r="Y2" s="55" t="s">
        <v>69</v>
      </c>
      <c r="Z2" s="55" t="s">
        <v>55</v>
      </c>
      <c r="AA2" s="55" t="s">
        <v>86</v>
      </c>
      <c r="AB2" s="39" t="s">
        <v>316</v>
      </c>
      <c r="AE2" s="159" t="s">
        <v>35</v>
      </c>
      <c r="AG2" s="59" t="s">
        <v>133</v>
      </c>
      <c r="AH2" s="60" t="s">
        <v>265</v>
      </c>
      <c r="AJ2" s="184" t="s">
        <v>36</v>
      </c>
      <c r="AL2" s="184" t="s">
        <v>127</v>
      </c>
      <c r="AN2" s="184" t="s">
        <v>37</v>
      </c>
      <c r="AP2" s="184" t="s">
        <v>38</v>
      </c>
      <c r="AR2" s="184" t="s">
        <v>331</v>
      </c>
      <c r="AT2" s="184" t="s">
        <v>39</v>
      </c>
      <c r="AV2" s="184" t="s">
        <v>40</v>
      </c>
      <c r="AX2" s="61">
        <v>1</v>
      </c>
      <c r="AY2" s="62">
        <v>50</v>
      </c>
      <c r="AZ2" s="62">
        <v>1</v>
      </c>
      <c r="BA2" s="63">
        <v>50</v>
      </c>
    </row>
    <row r="3" spans="1:53" x14ac:dyDescent="0.15">
      <c r="A3" s="55" t="s">
        <v>41</v>
      </c>
      <c r="B3" s="178" t="s">
        <v>313</v>
      </c>
      <c r="C3" s="133">
        <v>2018</v>
      </c>
      <c r="D3" s="56" t="s">
        <v>330</v>
      </c>
      <c r="E3" s="178" t="s">
        <v>133</v>
      </c>
      <c r="F3" s="178" t="s">
        <v>265</v>
      </c>
      <c r="G3" s="55" t="s">
        <v>42</v>
      </c>
      <c r="H3" s="55" t="s">
        <v>211</v>
      </c>
      <c r="I3" s="55" t="s">
        <v>155</v>
      </c>
      <c r="J3" s="55" t="s">
        <v>38</v>
      </c>
      <c r="K3" s="55" t="s">
        <v>156</v>
      </c>
      <c r="L3" s="178">
        <v>2</v>
      </c>
      <c r="N3" s="55">
        <v>1</v>
      </c>
      <c r="O3" s="55">
        <v>0.2</v>
      </c>
      <c r="P3" s="55">
        <v>0.15</v>
      </c>
      <c r="Q3" s="57">
        <f t="shared" si="0"/>
        <v>0.17499999999999999</v>
      </c>
      <c r="R3" s="55">
        <v>14.8</v>
      </c>
      <c r="S3" s="55">
        <v>101</v>
      </c>
      <c r="T3" s="57">
        <f t="shared" si="1"/>
        <v>33</v>
      </c>
      <c r="U3" s="178">
        <v>105</v>
      </c>
      <c r="V3" s="58">
        <f t="shared" si="2"/>
        <v>3465</v>
      </c>
      <c r="W3" s="178">
        <v>6</v>
      </c>
      <c r="X3" s="55" t="s">
        <v>46</v>
      </c>
      <c r="Y3" s="55" t="s">
        <v>69</v>
      </c>
      <c r="Z3" s="55" t="s">
        <v>55</v>
      </c>
      <c r="AA3" s="55" t="s">
        <v>86</v>
      </c>
      <c r="AB3" s="39" t="s">
        <v>316</v>
      </c>
      <c r="AE3" s="164" t="s">
        <v>41</v>
      </c>
      <c r="AG3" s="64" t="s">
        <v>260</v>
      </c>
      <c r="AH3" s="64" t="s">
        <v>265</v>
      </c>
      <c r="AJ3" s="65" t="s">
        <v>42</v>
      </c>
      <c r="AL3" s="65" t="s">
        <v>128</v>
      </c>
      <c r="AN3" s="65" t="s">
        <v>43</v>
      </c>
      <c r="AP3" s="65" t="s">
        <v>44</v>
      </c>
      <c r="AR3" s="172" t="s">
        <v>45</v>
      </c>
      <c r="AT3" s="65" t="s">
        <v>46</v>
      </c>
      <c r="AV3" s="65" t="s">
        <v>47</v>
      </c>
      <c r="AX3" s="66">
        <v>72</v>
      </c>
      <c r="AY3" s="67">
        <v>46</v>
      </c>
      <c r="AZ3" s="67">
        <v>71</v>
      </c>
      <c r="BA3" s="68">
        <v>42</v>
      </c>
    </row>
    <row r="4" spans="1:53" x14ac:dyDescent="0.15">
      <c r="A4" s="55" t="s">
        <v>41</v>
      </c>
      <c r="B4" s="178" t="s">
        <v>313</v>
      </c>
      <c r="C4" s="133">
        <v>2018</v>
      </c>
      <c r="D4" s="56" t="s">
        <v>330</v>
      </c>
      <c r="E4" s="178" t="s">
        <v>133</v>
      </c>
      <c r="F4" s="178" t="s">
        <v>265</v>
      </c>
      <c r="G4" s="55" t="s">
        <v>42</v>
      </c>
      <c r="H4" s="55" t="s">
        <v>211</v>
      </c>
      <c r="I4" s="55" t="s">
        <v>155</v>
      </c>
      <c r="J4" s="55" t="s">
        <v>38</v>
      </c>
      <c r="K4" s="55" t="s">
        <v>156</v>
      </c>
      <c r="L4" s="178">
        <v>3</v>
      </c>
      <c r="N4" s="55">
        <v>1</v>
      </c>
      <c r="O4" s="55">
        <v>0.1</v>
      </c>
      <c r="P4" s="55">
        <v>0.15</v>
      </c>
      <c r="Q4" s="57">
        <f t="shared" si="0"/>
        <v>0.125</v>
      </c>
      <c r="R4" s="55">
        <v>15.9</v>
      </c>
      <c r="S4" s="55">
        <v>112</v>
      </c>
      <c r="T4" s="57">
        <f t="shared" si="1"/>
        <v>33</v>
      </c>
      <c r="U4" s="178">
        <v>105</v>
      </c>
      <c r="V4" s="58">
        <f t="shared" si="2"/>
        <v>3465</v>
      </c>
      <c r="W4" s="178">
        <v>6</v>
      </c>
      <c r="X4" s="55" t="s">
        <v>46</v>
      </c>
      <c r="Y4" s="55" t="s">
        <v>69</v>
      </c>
      <c r="Z4" s="55" t="s">
        <v>55</v>
      </c>
      <c r="AA4" s="55" t="s">
        <v>86</v>
      </c>
      <c r="AB4" s="39" t="s">
        <v>316</v>
      </c>
      <c r="AE4" s="164" t="s">
        <v>34</v>
      </c>
      <c r="AG4" s="64" t="s">
        <v>260</v>
      </c>
      <c r="AH4" s="64" t="s">
        <v>266</v>
      </c>
      <c r="AJ4" s="69" t="s">
        <v>48</v>
      </c>
      <c r="AL4" s="69" t="s">
        <v>129</v>
      </c>
      <c r="AN4" s="185" t="s">
        <v>49</v>
      </c>
      <c r="AP4" s="65" t="s">
        <v>332</v>
      </c>
      <c r="AR4" s="172" t="s">
        <v>333</v>
      </c>
      <c r="AT4" s="185"/>
      <c r="AV4" s="65" t="s">
        <v>50</v>
      </c>
      <c r="AX4" s="66">
        <v>75</v>
      </c>
      <c r="AY4" s="67">
        <v>42</v>
      </c>
      <c r="AZ4" s="67">
        <v>76</v>
      </c>
      <c r="BA4" s="68">
        <v>39</v>
      </c>
    </row>
    <row r="5" spans="1:53" s="55" customFormat="1" ht="13.5" customHeight="1" x14ac:dyDescent="0.15">
      <c r="A5" s="55" t="s">
        <v>41</v>
      </c>
      <c r="B5" s="178" t="s">
        <v>313</v>
      </c>
      <c r="C5" s="133">
        <v>2018</v>
      </c>
      <c r="D5" s="56" t="s">
        <v>317</v>
      </c>
      <c r="E5" s="178" t="s">
        <v>133</v>
      </c>
      <c r="F5" s="178" t="s">
        <v>265</v>
      </c>
      <c r="G5" s="55" t="s">
        <v>42</v>
      </c>
      <c r="H5" s="55" t="s">
        <v>157</v>
      </c>
      <c r="I5" s="55" t="s">
        <v>155</v>
      </c>
      <c r="J5" s="55" t="s">
        <v>38</v>
      </c>
      <c r="K5" s="55" t="s">
        <v>156</v>
      </c>
      <c r="L5" s="178">
        <v>1</v>
      </c>
      <c r="M5" s="178"/>
      <c r="N5" s="178">
        <v>8</v>
      </c>
      <c r="O5" s="55">
        <v>0.25</v>
      </c>
      <c r="P5" s="55">
        <v>0.2</v>
      </c>
      <c r="Q5" s="57">
        <f t="shared" si="0"/>
        <v>0.22500000000000001</v>
      </c>
      <c r="R5" s="55">
        <v>17.399999999999999</v>
      </c>
      <c r="S5" s="178">
        <v>98</v>
      </c>
      <c r="T5" s="57">
        <f t="shared" si="1"/>
        <v>36</v>
      </c>
      <c r="U5" s="178">
        <v>829</v>
      </c>
      <c r="V5" s="58">
        <f t="shared" si="2"/>
        <v>3730.5</v>
      </c>
      <c r="W5" s="178">
        <v>4</v>
      </c>
      <c r="X5" s="55" t="s">
        <v>46</v>
      </c>
      <c r="Y5" s="55" t="s">
        <v>69</v>
      </c>
      <c r="Z5" s="55" t="s">
        <v>55</v>
      </c>
      <c r="AA5" s="55" t="s">
        <v>86</v>
      </c>
      <c r="AB5" s="39" t="s">
        <v>316</v>
      </c>
      <c r="AC5" s="178"/>
      <c r="AD5" s="178"/>
      <c r="AE5" s="70" t="s">
        <v>334</v>
      </c>
      <c r="AG5" s="64" t="s">
        <v>261</v>
      </c>
      <c r="AH5" s="64" t="s">
        <v>265</v>
      </c>
      <c r="AJ5" s="71"/>
      <c r="AL5" s="72" t="s">
        <v>335</v>
      </c>
      <c r="AN5" s="72" t="s">
        <v>336</v>
      </c>
      <c r="AP5" s="172" t="s">
        <v>337</v>
      </c>
      <c r="AR5" s="172" t="s">
        <v>54</v>
      </c>
      <c r="AV5" s="172" t="s">
        <v>55</v>
      </c>
      <c r="AX5" s="73">
        <v>84</v>
      </c>
      <c r="AY5" s="74">
        <v>39</v>
      </c>
      <c r="AZ5" s="74">
        <v>84</v>
      </c>
      <c r="BA5" s="75">
        <v>36</v>
      </c>
    </row>
    <row r="6" spans="1:53" x14ac:dyDescent="0.15">
      <c r="A6" s="55" t="s">
        <v>41</v>
      </c>
      <c r="B6" s="178" t="s">
        <v>313</v>
      </c>
      <c r="C6" s="133">
        <v>2018</v>
      </c>
      <c r="D6" s="56" t="s">
        <v>317</v>
      </c>
      <c r="E6" s="178" t="s">
        <v>133</v>
      </c>
      <c r="F6" s="178" t="s">
        <v>265</v>
      </c>
      <c r="G6" s="55" t="s">
        <v>42</v>
      </c>
      <c r="H6" s="55" t="s">
        <v>157</v>
      </c>
      <c r="I6" s="55" t="s">
        <v>155</v>
      </c>
      <c r="J6" s="55" t="s">
        <v>38</v>
      </c>
      <c r="K6" s="55" t="s">
        <v>156</v>
      </c>
      <c r="L6" s="178">
        <v>2</v>
      </c>
      <c r="N6" s="178">
        <v>8</v>
      </c>
      <c r="O6" s="55">
        <v>0.3</v>
      </c>
      <c r="P6" s="55">
        <v>0.2</v>
      </c>
      <c r="Q6" s="57">
        <f t="shared" si="0"/>
        <v>0.25</v>
      </c>
      <c r="R6" s="55">
        <v>14.1</v>
      </c>
      <c r="S6" s="178">
        <v>101</v>
      </c>
      <c r="T6" s="57">
        <f t="shared" si="1"/>
        <v>33</v>
      </c>
      <c r="U6" s="178">
        <v>829</v>
      </c>
      <c r="V6" s="58">
        <f t="shared" si="2"/>
        <v>3419.625</v>
      </c>
      <c r="W6" s="178">
        <v>4</v>
      </c>
      <c r="X6" s="55" t="s">
        <v>46</v>
      </c>
      <c r="Y6" s="55" t="s">
        <v>69</v>
      </c>
      <c r="Z6" s="55" t="s">
        <v>55</v>
      </c>
      <c r="AA6" s="55" t="s">
        <v>86</v>
      </c>
      <c r="AB6" s="39" t="s">
        <v>316</v>
      </c>
      <c r="AE6" s="164" t="s">
        <v>56</v>
      </c>
      <c r="AG6" s="64" t="s">
        <v>261</v>
      </c>
      <c r="AH6" s="64" t="s">
        <v>267</v>
      </c>
      <c r="AL6" s="72" t="s">
        <v>338</v>
      </c>
      <c r="AN6" s="72" t="s">
        <v>339</v>
      </c>
      <c r="AP6" s="65" t="s">
        <v>53</v>
      </c>
      <c r="AR6" s="172" t="s">
        <v>59</v>
      </c>
      <c r="AV6" s="65" t="s">
        <v>60</v>
      </c>
      <c r="AX6" s="66">
        <v>97</v>
      </c>
      <c r="AY6" s="67">
        <v>36</v>
      </c>
      <c r="AZ6" s="67">
        <v>99</v>
      </c>
      <c r="BA6" s="68">
        <v>33</v>
      </c>
    </row>
    <row r="7" spans="1:53" x14ac:dyDescent="0.15">
      <c r="A7" s="55" t="s">
        <v>41</v>
      </c>
      <c r="B7" s="178" t="s">
        <v>313</v>
      </c>
      <c r="C7" s="133">
        <v>2018</v>
      </c>
      <c r="D7" s="56" t="s">
        <v>317</v>
      </c>
      <c r="E7" s="178" t="s">
        <v>133</v>
      </c>
      <c r="F7" s="178" t="s">
        <v>265</v>
      </c>
      <c r="G7" s="55" t="s">
        <v>42</v>
      </c>
      <c r="H7" s="55" t="s">
        <v>157</v>
      </c>
      <c r="I7" s="55" t="s">
        <v>155</v>
      </c>
      <c r="J7" s="55" t="s">
        <v>38</v>
      </c>
      <c r="K7" s="55" t="s">
        <v>156</v>
      </c>
      <c r="L7" s="178">
        <v>3</v>
      </c>
      <c r="N7" s="178">
        <v>8</v>
      </c>
      <c r="O7" s="55">
        <v>0.25</v>
      </c>
      <c r="P7" s="55">
        <v>0.25</v>
      </c>
      <c r="Q7" s="57">
        <f t="shared" si="0"/>
        <v>0.25</v>
      </c>
      <c r="R7" s="55">
        <v>13.5</v>
      </c>
      <c r="S7" s="178">
        <v>100</v>
      </c>
      <c r="T7" s="57">
        <f t="shared" si="1"/>
        <v>33</v>
      </c>
      <c r="U7" s="178">
        <v>829</v>
      </c>
      <c r="V7" s="58">
        <f t="shared" si="2"/>
        <v>3419.625</v>
      </c>
      <c r="W7" s="178">
        <v>4</v>
      </c>
      <c r="X7" s="55" t="s">
        <v>46</v>
      </c>
      <c r="Y7" s="55" t="s">
        <v>69</v>
      </c>
      <c r="Z7" s="55" t="s">
        <v>55</v>
      </c>
      <c r="AA7" s="55" t="s">
        <v>86</v>
      </c>
      <c r="AB7" s="39" t="s">
        <v>316</v>
      </c>
      <c r="AE7" s="164" t="s">
        <v>61</v>
      </c>
      <c r="AG7" s="64" t="s">
        <v>262</v>
      </c>
      <c r="AH7" s="64" t="s">
        <v>267</v>
      </c>
      <c r="AL7" s="76" t="s">
        <v>340</v>
      </c>
      <c r="AP7" s="65" t="s">
        <v>58</v>
      </c>
      <c r="AR7" s="172" t="s">
        <v>122</v>
      </c>
      <c r="AV7" s="65" t="s">
        <v>64</v>
      </c>
      <c r="AX7" s="66">
        <v>109</v>
      </c>
      <c r="AY7" s="67">
        <v>33</v>
      </c>
      <c r="AZ7" s="67">
        <v>113</v>
      </c>
      <c r="BA7" s="68">
        <v>30</v>
      </c>
    </row>
    <row r="8" spans="1:53" x14ac:dyDescent="0.15">
      <c r="A8" s="55" t="s">
        <v>41</v>
      </c>
      <c r="B8" s="178" t="s">
        <v>313</v>
      </c>
      <c r="C8" s="133">
        <v>2018</v>
      </c>
      <c r="D8" s="56" t="s">
        <v>317</v>
      </c>
      <c r="E8" s="178" t="s">
        <v>133</v>
      </c>
      <c r="F8" s="178" t="s">
        <v>265</v>
      </c>
      <c r="G8" s="55" t="s">
        <v>42</v>
      </c>
      <c r="H8" s="55" t="s">
        <v>162</v>
      </c>
      <c r="I8" s="55" t="s">
        <v>155</v>
      </c>
      <c r="J8" s="55" t="s">
        <v>38</v>
      </c>
      <c r="K8" s="55" t="s">
        <v>156</v>
      </c>
      <c r="L8" s="178">
        <v>1</v>
      </c>
      <c r="N8" s="178">
        <v>12</v>
      </c>
      <c r="O8" s="55">
        <v>0.45</v>
      </c>
      <c r="P8" s="55">
        <v>0.5</v>
      </c>
      <c r="Q8" s="57">
        <f t="shared" si="0"/>
        <v>0.47499999999999998</v>
      </c>
      <c r="R8" s="55">
        <v>16.8</v>
      </c>
      <c r="S8" s="178">
        <v>145</v>
      </c>
      <c r="T8" s="57">
        <f t="shared" si="1"/>
        <v>22</v>
      </c>
      <c r="U8" s="178">
        <v>2138</v>
      </c>
      <c r="V8" s="58">
        <f t="shared" si="2"/>
        <v>3919.6666666666665</v>
      </c>
      <c r="W8" s="178">
        <v>1</v>
      </c>
      <c r="X8" s="55" t="s">
        <v>46</v>
      </c>
      <c r="Y8" s="55" t="s">
        <v>69</v>
      </c>
      <c r="Z8" s="55" t="s">
        <v>55</v>
      </c>
      <c r="AA8" s="55" t="s">
        <v>86</v>
      </c>
      <c r="AB8" s="39" t="s">
        <v>316</v>
      </c>
      <c r="AC8" s="55"/>
      <c r="AD8" s="55"/>
      <c r="AE8" s="164" t="s">
        <v>59</v>
      </c>
      <c r="AG8" s="64" t="s">
        <v>263</v>
      </c>
      <c r="AH8" s="64" t="s">
        <v>268</v>
      </c>
      <c r="AL8" s="76" t="s">
        <v>341</v>
      </c>
      <c r="AP8" s="65" t="s">
        <v>62</v>
      </c>
      <c r="AR8" s="172" t="s">
        <v>81</v>
      </c>
      <c r="AV8" s="65" t="s">
        <v>97</v>
      </c>
      <c r="AX8" s="66">
        <v>119</v>
      </c>
      <c r="AY8" s="67">
        <v>30</v>
      </c>
      <c r="AZ8" s="67">
        <v>121</v>
      </c>
      <c r="BA8" s="68">
        <v>27</v>
      </c>
    </row>
    <row r="9" spans="1:53" x14ac:dyDescent="0.15">
      <c r="A9" s="55" t="s">
        <v>41</v>
      </c>
      <c r="B9" s="178" t="s">
        <v>313</v>
      </c>
      <c r="C9" s="133">
        <v>2018</v>
      </c>
      <c r="D9" s="56" t="s">
        <v>317</v>
      </c>
      <c r="E9" s="178" t="s">
        <v>133</v>
      </c>
      <c r="F9" s="178" t="s">
        <v>265</v>
      </c>
      <c r="G9" s="55" t="s">
        <v>42</v>
      </c>
      <c r="H9" s="55" t="s">
        <v>162</v>
      </c>
      <c r="I9" s="55" t="s">
        <v>155</v>
      </c>
      <c r="J9" s="55" t="s">
        <v>38</v>
      </c>
      <c r="K9" s="55" t="s">
        <v>156</v>
      </c>
      <c r="L9" s="178">
        <v>2</v>
      </c>
      <c r="N9" s="178">
        <v>12</v>
      </c>
      <c r="O9" s="55">
        <v>0.65</v>
      </c>
      <c r="P9" s="55">
        <v>0.55000000000000004</v>
      </c>
      <c r="Q9" s="57">
        <f t="shared" si="0"/>
        <v>0.60000000000000009</v>
      </c>
      <c r="R9" s="55">
        <v>19.7</v>
      </c>
      <c r="S9" s="178">
        <v>157</v>
      </c>
      <c r="T9" s="57">
        <f t="shared" si="1"/>
        <v>22</v>
      </c>
      <c r="U9" s="178">
        <v>2138</v>
      </c>
      <c r="V9" s="58">
        <f t="shared" si="2"/>
        <v>3919.6666666666665</v>
      </c>
      <c r="W9" s="178">
        <v>1</v>
      </c>
      <c r="X9" s="55" t="s">
        <v>46</v>
      </c>
      <c r="Y9" s="55" t="s">
        <v>69</v>
      </c>
      <c r="Z9" s="55" t="s">
        <v>55</v>
      </c>
      <c r="AA9" s="55" t="s">
        <v>86</v>
      </c>
      <c r="AB9" s="39" t="s">
        <v>316</v>
      </c>
      <c r="AE9" s="164" t="s">
        <v>98</v>
      </c>
      <c r="AG9" s="64" t="s">
        <v>263</v>
      </c>
      <c r="AH9" s="64" t="s">
        <v>269</v>
      </c>
      <c r="AL9" s="72"/>
      <c r="AP9" s="65" t="s">
        <v>95</v>
      </c>
      <c r="AR9" s="172" t="s">
        <v>89</v>
      </c>
      <c r="AV9" s="65" t="s">
        <v>102</v>
      </c>
      <c r="AX9" s="66">
        <v>128</v>
      </c>
      <c r="AY9" s="67">
        <v>27</v>
      </c>
      <c r="AZ9" s="67">
        <v>129</v>
      </c>
      <c r="BA9" s="68">
        <v>25</v>
      </c>
    </row>
    <row r="10" spans="1:53" x14ac:dyDescent="0.15">
      <c r="A10" s="55" t="s">
        <v>41</v>
      </c>
      <c r="B10" s="178" t="s">
        <v>313</v>
      </c>
      <c r="C10" s="133">
        <v>2018</v>
      </c>
      <c r="D10" s="56" t="s">
        <v>317</v>
      </c>
      <c r="E10" s="178" t="s">
        <v>133</v>
      </c>
      <c r="F10" s="178" t="s">
        <v>265</v>
      </c>
      <c r="G10" s="55" t="s">
        <v>42</v>
      </c>
      <c r="H10" s="55" t="s">
        <v>162</v>
      </c>
      <c r="I10" s="55" t="s">
        <v>155</v>
      </c>
      <c r="J10" s="55" t="s">
        <v>38</v>
      </c>
      <c r="K10" s="55" t="s">
        <v>156</v>
      </c>
      <c r="L10" s="178">
        <v>3</v>
      </c>
      <c r="N10" s="178">
        <v>12</v>
      </c>
      <c r="O10" s="55">
        <v>0.75</v>
      </c>
      <c r="P10" s="55">
        <v>0.6</v>
      </c>
      <c r="Q10" s="57">
        <f t="shared" si="0"/>
        <v>0.67500000000000004</v>
      </c>
      <c r="R10" s="55">
        <v>14.8</v>
      </c>
      <c r="S10" s="178">
        <v>151</v>
      </c>
      <c r="T10" s="57">
        <f t="shared" si="1"/>
        <v>22</v>
      </c>
      <c r="U10" s="178">
        <v>2138</v>
      </c>
      <c r="V10" s="58">
        <f t="shared" si="2"/>
        <v>3919.6666666666665</v>
      </c>
      <c r="W10" s="178">
        <v>1</v>
      </c>
      <c r="X10" s="55" t="s">
        <v>46</v>
      </c>
      <c r="Y10" s="55" t="s">
        <v>69</v>
      </c>
      <c r="Z10" s="55" t="s">
        <v>55</v>
      </c>
      <c r="AA10" s="55" t="s">
        <v>86</v>
      </c>
      <c r="AB10" s="39" t="s">
        <v>316</v>
      </c>
      <c r="AE10" s="164" t="s">
        <v>103</v>
      </c>
      <c r="AG10" s="64" t="s">
        <v>264</v>
      </c>
      <c r="AH10" s="64" t="s">
        <v>270</v>
      </c>
      <c r="AL10" s="76"/>
      <c r="AP10" s="65" t="s">
        <v>100</v>
      </c>
      <c r="AR10" s="172" t="s">
        <v>123</v>
      </c>
      <c r="AV10" s="65" t="s">
        <v>106</v>
      </c>
      <c r="AX10" s="66">
        <v>138</v>
      </c>
      <c r="AY10" s="67">
        <v>25</v>
      </c>
      <c r="AZ10" s="67">
        <v>138</v>
      </c>
      <c r="BA10" s="68">
        <v>22</v>
      </c>
    </row>
    <row r="11" spans="1:53" x14ac:dyDescent="0.15">
      <c r="A11" s="55" t="s">
        <v>41</v>
      </c>
      <c r="B11" s="178" t="s">
        <v>313</v>
      </c>
      <c r="C11" s="133">
        <v>2018</v>
      </c>
      <c r="D11" s="56" t="s">
        <v>317</v>
      </c>
      <c r="E11" s="178" t="s">
        <v>133</v>
      </c>
      <c r="F11" s="178" t="s">
        <v>265</v>
      </c>
      <c r="G11" s="55" t="s">
        <v>42</v>
      </c>
      <c r="H11" s="55" t="s">
        <v>162</v>
      </c>
      <c r="I11" s="55" t="s">
        <v>155</v>
      </c>
      <c r="J11" s="55" t="s">
        <v>38</v>
      </c>
      <c r="K11" s="55" t="s">
        <v>156</v>
      </c>
      <c r="L11" s="178">
        <v>1</v>
      </c>
      <c r="M11" s="55"/>
      <c r="N11" s="55">
        <v>1</v>
      </c>
      <c r="O11" s="55">
        <v>0.35</v>
      </c>
      <c r="P11" s="55">
        <v>0.4</v>
      </c>
      <c r="Q11" s="57">
        <f t="shared" si="0"/>
        <v>0.375</v>
      </c>
      <c r="R11" s="178">
        <v>15.8</v>
      </c>
      <c r="S11" s="178">
        <v>128</v>
      </c>
      <c r="T11" s="77">
        <f t="shared" si="1"/>
        <v>27</v>
      </c>
      <c r="U11" s="55">
        <v>170</v>
      </c>
      <c r="V11" s="78">
        <f t="shared" si="2"/>
        <v>4590</v>
      </c>
      <c r="W11" s="55">
        <v>5</v>
      </c>
      <c r="X11" s="55" t="s">
        <v>46</v>
      </c>
      <c r="Y11" s="55" t="s">
        <v>69</v>
      </c>
      <c r="Z11" s="55" t="s">
        <v>55</v>
      </c>
      <c r="AA11" s="55" t="s">
        <v>86</v>
      </c>
      <c r="AB11" s="39" t="s">
        <v>316</v>
      </c>
      <c r="AE11" s="164" t="s">
        <v>65</v>
      </c>
      <c r="AG11" s="64" t="s">
        <v>165</v>
      </c>
      <c r="AH11" s="64" t="s">
        <v>271</v>
      </c>
      <c r="AL11" s="76"/>
      <c r="AP11" s="65" t="s">
        <v>104</v>
      </c>
      <c r="AR11" s="172" t="s">
        <v>87</v>
      </c>
      <c r="AV11" s="65" t="s">
        <v>69</v>
      </c>
      <c r="AX11" s="66">
        <v>151</v>
      </c>
      <c r="AY11" s="67">
        <v>22</v>
      </c>
      <c r="AZ11" s="67">
        <v>152</v>
      </c>
      <c r="BA11" s="68">
        <v>18</v>
      </c>
    </row>
    <row r="12" spans="1:53" x14ac:dyDescent="0.15">
      <c r="A12" s="55" t="s">
        <v>41</v>
      </c>
      <c r="B12" s="178" t="s">
        <v>313</v>
      </c>
      <c r="C12" s="133">
        <v>2018</v>
      </c>
      <c r="D12" s="56" t="s">
        <v>317</v>
      </c>
      <c r="E12" s="178" t="s">
        <v>133</v>
      </c>
      <c r="F12" s="178" t="s">
        <v>265</v>
      </c>
      <c r="G12" s="55" t="s">
        <v>42</v>
      </c>
      <c r="H12" s="55" t="s">
        <v>162</v>
      </c>
      <c r="I12" s="55" t="s">
        <v>155</v>
      </c>
      <c r="J12" s="55" t="s">
        <v>38</v>
      </c>
      <c r="K12" s="55" t="s">
        <v>156</v>
      </c>
      <c r="L12" s="178">
        <v>2</v>
      </c>
      <c r="N12" s="55">
        <v>1</v>
      </c>
      <c r="O12" s="55">
        <v>0.65</v>
      </c>
      <c r="P12" s="55">
        <v>0.55000000000000004</v>
      </c>
      <c r="Q12" s="57">
        <f t="shared" si="0"/>
        <v>0.60000000000000009</v>
      </c>
      <c r="R12" s="178">
        <v>16.7</v>
      </c>
      <c r="S12" s="178">
        <v>120</v>
      </c>
      <c r="T12" s="77">
        <f t="shared" si="1"/>
        <v>30</v>
      </c>
      <c r="U12" s="55">
        <v>170</v>
      </c>
      <c r="V12" s="58">
        <f t="shared" si="2"/>
        <v>5100</v>
      </c>
      <c r="W12" s="178">
        <v>5</v>
      </c>
      <c r="X12" s="55" t="s">
        <v>46</v>
      </c>
      <c r="Y12" s="55" t="s">
        <v>69</v>
      </c>
      <c r="Z12" s="55" t="s">
        <v>55</v>
      </c>
      <c r="AA12" s="55" t="s">
        <v>86</v>
      </c>
      <c r="AB12" s="39" t="s">
        <v>316</v>
      </c>
      <c r="AE12" s="164" t="s">
        <v>70</v>
      </c>
      <c r="AG12" s="70"/>
      <c r="AH12" s="70"/>
      <c r="AL12" s="76"/>
      <c r="AP12" s="65" t="s">
        <v>67</v>
      </c>
      <c r="AR12" s="172" t="s">
        <v>124</v>
      </c>
      <c r="AV12" s="65" t="s">
        <v>72</v>
      </c>
      <c r="AX12" s="79">
        <v>180</v>
      </c>
      <c r="AY12" s="80">
        <v>18</v>
      </c>
      <c r="AZ12" s="80">
        <v>181</v>
      </c>
      <c r="BA12" s="81">
        <v>16</v>
      </c>
    </row>
    <row r="13" spans="1:53" x14ac:dyDescent="0.15">
      <c r="A13" s="55" t="s">
        <v>41</v>
      </c>
      <c r="B13" s="178" t="s">
        <v>313</v>
      </c>
      <c r="C13" s="133">
        <v>2018</v>
      </c>
      <c r="D13" s="56" t="s">
        <v>317</v>
      </c>
      <c r="E13" s="178" t="s">
        <v>133</v>
      </c>
      <c r="F13" s="178" t="s">
        <v>265</v>
      </c>
      <c r="G13" s="55" t="s">
        <v>42</v>
      </c>
      <c r="H13" s="55" t="s">
        <v>162</v>
      </c>
      <c r="I13" s="55" t="s">
        <v>155</v>
      </c>
      <c r="J13" s="55" t="s">
        <v>38</v>
      </c>
      <c r="K13" s="55" t="s">
        <v>156</v>
      </c>
      <c r="L13" s="178">
        <v>3</v>
      </c>
      <c r="N13" s="55">
        <v>1</v>
      </c>
      <c r="O13" s="55">
        <v>0.5</v>
      </c>
      <c r="P13" s="55">
        <v>0.45</v>
      </c>
      <c r="Q13" s="57">
        <f t="shared" si="0"/>
        <v>0.47499999999999998</v>
      </c>
      <c r="R13" s="178">
        <v>17.399999999999999</v>
      </c>
      <c r="S13" s="178">
        <v>137</v>
      </c>
      <c r="T13" s="77">
        <f t="shared" si="1"/>
        <v>25</v>
      </c>
      <c r="U13" s="55">
        <v>170</v>
      </c>
      <c r="V13" s="58">
        <f t="shared" si="2"/>
        <v>4250</v>
      </c>
      <c r="W13" s="178">
        <v>5</v>
      </c>
      <c r="X13" s="55" t="s">
        <v>46</v>
      </c>
      <c r="Y13" s="55" t="s">
        <v>69</v>
      </c>
      <c r="Z13" s="55" t="s">
        <v>55</v>
      </c>
      <c r="AA13" s="55" t="s">
        <v>86</v>
      </c>
      <c r="AB13" s="39" t="s">
        <v>316</v>
      </c>
      <c r="AE13" s="164" t="s">
        <v>73</v>
      </c>
      <c r="AG13" s="172"/>
      <c r="AH13" s="172"/>
      <c r="AP13" s="65" t="s">
        <v>71</v>
      </c>
      <c r="AR13" s="172" t="s">
        <v>103</v>
      </c>
      <c r="AV13" s="65" t="s">
        <v>75</v>
      </c>
    </row>
    <row r="14" spans="1:53" x14ac:dyDescent="0.15">
      <c r="A14" s="55" t="s">
        <v>41</v>
      </c>
      <c r="B14" s="178" t="s">
        <v>313</v>
      </c>
      <c r="C14" s="133">
        <v>2018</v>
      </c>
      <c r="D14" s="56" t="s">
        <v>317</v>
      </c>
      <c r="E14" s="178" t="s">
        <v>260</v>
      </c>
      <c r="F14" s="178" t="s">
        <v>265</v>
      </c>
      <c r="G14" s="55" t="s">
        <v>42</v>
      </c>
      <c r="H14" s="55" t="s">
        <v>157</v>
      </c>
      <c r="I14" s="55" t="s">
        <v>155</v>
      </c>
      <c r="J14" s="55" t="s">
        <v>38</v>
      </c>
      <c r="K14" s="55" t="s">
        <v>156</v>
      </c>
      <c r="L14" s="178">
        <v>1</v>
      </c>
      <c r="M14" s="55"/>
      <c r="N14" s="55">
        <v>1</v>
      </c>
      <c r="O14" s="55">
        <v>0.95</v>
      </c>
      <c r="P14" s="55">
        <v>0.8</v>
      </c>
      <c r="Q14" s="82">
        <f t="shared" si="0"/>
        <v>0.875</v>
      </c>
      <c r="R14" s="55">
        <v>13.8</v>
      </c>
      <c r="S14" s="55">
        <v>118</v>
      </c>
      <c r="T14" s="77">
        <f t="shared" si="1"/>
        <v>30</v>
      </c>
      <c r="U14" s="55">
        <v>149</v>
      </c>
      <c r="V14" s="78">
        <f t="shared" si="2"/>
        <v>4470</v>
      </c>
      <c r="W14" s="55">
        <v>2</v>
      </c>
      <c r="X14" s="55" t="s">
        <v>46</v>
      </c>
      <c r="Y14" s="55" t="s">
        <v>69</v>
      </c>
      <c r="Z14" s="55" t="s">
        <v>55</v>
      </c>
      <c r="AA14" s="55" t="s">
        <v>86</v>
      </c>
      <c r="AB14" s="39" t="s">
        <v>316</v>
      </c>
      <c r="AE14" s="164" t="s">
        <v>76</v>
      </c>
      <c r="AG14" s="172"/>
      <c r="AH14" s="172"/>
      <c r="AP14" s="65" t="s">
        <v>74</v>
      </c>
      <c r="AR14" s="172" t="s">
        <v>125</v>
      </c>
      <c r="AV14" s="65" t="s">
        <v>78</v>
      </c>
    </row>
    <row r="15" spans="1:53" x14ac:dyDescent="0.15">
      <c r="A15" s="55" t="s">
        <v>41</v>
      </c>
      <c r="B15" s="178" t="s">
        <v>313</v>
      </c>
      <c r="C15" s="133">
        <v>2018</v>
      </c>
      <c r="D15" s="56" t="s">
        <v>317</v>
      </c>
      <c r="E15" s="178" t="s">
        <v>260</v>
      </c>
      <c r="F15" s="178" t="s">
        <v>265</v>
      </c>
      <c r="G15" s="55" t="s">
        <v>42</v>
      </c>
      <c r="H15" s="55" t="s">
        <v>157</v>
      </c>
      <c r="I15" s="55" t="s">
        <v>155</v>
      </c>
      <c r="J15" s="55" t="s">
        <v>38</v>
      </c>
      <c r="K15" s="55" t="s">
        <v>156</v>
      </c>
      <c r="L15" s="178">
        <v>2</v>
      </c>
      <c r="N15" s="55">
        <v>1</v>
      </c>
      <c r="O15" s="55">
        <v>0.8</v>
      </c>
      <c r="P15" s="55">
        <v>0.95</v>
      </c>
      <c r="Q15" s="82">
        <f t="shared" si="0"/>
        <v>0.875</v>
      </c>
      <c r="R15" s="55">
        <v>14.2</v>
      </c>
      <c r="S15" s="55">
        <v>120</v>
      </c>
      <c r="T15" s="77">
        <f t="shared" si="1"/>
        <v>30</v>
      </c>
      <c r="U15" s="55">
        <v>149</v>
      </c>
      <c r="V15" s="58">
        <f t="shared" si="2"/>
        <v>4470</v>
      </c>
      <c r="W15" s="178">
        <v>2</v>
      </c>
      <c r="X15" s="55" t="s">
        <v>46</v>
      </c>
      <c r="Y15" s="55" t="s">
        <v>69</v>
      </c>
      <c r="Z15" s="55" t="s">
        <v>55</v>
      </c>
      <c r="AA15" s="55" t="s">
        <v>86</v>
      </c>
      <c r="AB15" s="39" t="s">
        <v>316</v>
      </c>
      <c r="AE15" s="164" t="s">
        <v>79</v>
      </c>
      <c r="AG15" s="172"/>
      <c r="AH15" s="172"/>
      <c r="AP15" s="65" t="s">
        <v>77</v>
      </c>
      <c r="AR15" s="172" t="s">
        <v>94</v>
      </c>
      <c r="AV15" s="65" t="s">
        <v>107</v>
      </c>
    </row>
    <row r="16" spans="1:53" x14ac:dyDescent="0.15">
      <c r="A16" s="55" t="s">
        <v>41</v>
      </c>
      <c r="B16" s="178" t="s">
        <v>313</v>
      </c>
      <c r="C16" s="133">
        <v>2018</v>
      </c>
      <c r="D16" s="56" t="s">
        <v>317</v>
      </c>
      <c r="E16" s="178" t="s">
        <v>260</v>
      </c>
      <c r="F16" s="178" t="s">
        <v>265</v>
      </c>
      <c r="G16" s="55" t="s">
        <v>42</v>
      </c>
      <c r="H16" s="55" t="s">
        <v>157</v>
      </c>
      <c r="I16" s="55" t="s">
        <v>155</v>
      </c>
      <c r="J16" s="55" t="s">
        <v>38</v>
      </c>
      <c r="K16" s="55" t="s">
        <v>156</v>
      </c>
      <c r="L16" s="178">
        <v>3</v>
      </c>
      <c r="N16" s="55">
        <v>1</v>
      </c>
      <c r="O16" s="55">
        <v>0.7</v>
      </c>
      <c r="P16" s="55">
        <v>0.75</v>
      </c>
      <c r="Q16" s="82">
        <f t="shared" si="0"/>
        <v>0.72499999999999998</v>
      </c>
      <c r="R16" s="55">
        <v>15.2</v>
      </c>
      <c r="S16" s="55">
        <v>128</v>
      </c>
      <c r="T16" s="77">
        <f t="shared" si="1"/>
        <v>27</v>
      </c>
      <c r="U16" s="55">
        <v>149</v>
      </c>
      <c r="V16" s="58">
        <f t="shared" si="2"/>
        <v>4023</v>
      </c>
      <c r="W16" s="178">
        <v>2</v>
      </c>
      <c r="X16" s="55" t="s">
        <v>46</v>
      </c>
      <c r="Y16" s="55" t="s">
        <v>69</v>
      </c>
      <c r="Z16" s="55" t="s">
        <v>55</v>
      </c>
      <c r="AA16" s="55" t="s">
        <v>86</v>
      </c>
      <c r="AB16" s="39" t="s">
        <v>316</v>
      </c>
      <c r="AE16" s="164" t="s">
        <v>82</v>
      </c>
      <c r="AG16" s="71"/>
      <c r="AH16" s="71"/>
      <c r="AP16" s="65" t="s">
        <v>80</v>
      </c>
      <c r="AR16" s="172" t="s">
        <v>63</v>
      </c>
      <c r="AV16" s="65" t="s">
        <v>84</v>
      </c>
    </row>
    <row r="17" spans="1:48" x14ac:dyDescent="0.15">
      <c r="A17" s="55" t="s">
        <v>41</v>
      </c>
      <c r="B17" s="178" t="s">
        <v>313</v>
      </c>
      <c r="C17" s="133">
        <v>2018</v>
      </c>
      <c r="D17" s="56" t="s">
        <v>317</v>
      </c>
      <c r="E17" s="178" t="s">
        <v>260</v>
      </c>
      <c r="F17" s="55" t="s">
        <v>265</v>
      </c>
      <c r="G17" s="55" t="s">
        <v>42</v>
      </c>
      <c r="H17" s="55" t="s">
        <v>157</v>
      </c>
      <c r="I17" s="55" t="s">
        <v>155</v>
      </c>
      <c r="J17" s="55" t="s">
        <v>38</v>
      </c>
      <c r="K17" s="55" t="s">
        <v>156</v>
      </c>
      <c r="L17" s="178">
        <v>1</v>
      </c>
      <c r="M17" s="55"/>
      <c r="N17" s="55">
        <v>3</v>
      </c>
      <c r="O17" s="55">
        <v>0.75</v>
      </c>
      <c r="P17" s="55">
        <v>0.8</v>
      </c>
      <c r="Q17" s="82">
        <f t="shared" si="0"/>
        <v>0.77500000000000002</v>
      </c>
      <c r="R17" s="55">
        <v>16.8</v>
      </c>
      <c r="S17" s="55">
        <v>170</v>
      </c>
      <c r="T17" s="77">
        <f t="shared" si="1"/>
        <v>22</v>
      </c>
      <c r="U17" s="55">
        <v>429</v>
      </c>
      <c r="V17" s="78">
        <f t="shared" si="2"/>
        <v>3146</v>
      </c>
      <c r="W17" s="55">
        <v>2</v>
      </c>
      <c r="X17" s="55" t="s">
        <v>46</v>
      </c>
      <c r="Y17" s="55" t="s">
        <v>69</v>
      </c>
      <c r="Z17" s="55" t="s">
        <v>55</v>
      </c>
      <c r="AA17" s="55" t="s">
        <v>86</v>
      </c>
      <c r="AB17" s="39" t="s">
        <v>316</v>
      </c>
      <c r="AE17" s="164" t="s">
        <v>85</v>
      </c>
      <c r="AP17" s="180" t="s">
        <v>110</v>
      </c>
      <c r="AR17" s="172" t="s">
        <v>96</v>
      </c>
      <c r="AV17" s="65" t="s">
        <v>86</v>
      </c>
    </row>
    <row r="18" spans="1:48" x14ac:dyDescent="0.15">
      <c r="A18" s="55" t="s">
        <v>41</v>
      </c>
      <c r="B18" s="178" t="s">
        <v>313</v>
      </c>
      <c r="C18" s="133">
        <v>2018</v>
      </c>
      <c r="D18" s="56" t="s">
        <v>317</v>
      </c>
      <c r="E18" s="178" t="s">
        <v>260</v>
      </c>
      <c r="F18" s="55" t="s">
        <v>265</v>
      </c>
      <c r="G18" s="55" t="s">
        <v>42</v>
      </c>
      <c r="H18" s="55" t="s">
        <v>157</v>
      </c>
      <c r="I18" s="55" t="s">
        <v>155</v>
      </c>
      <c r="J18" s="55" t="s">
        <v>38</v>
      </c>
      <c r="K18" s="55" t="s">
        <v>156</v>
      </c>
      <c r="L18" s="178">
        <v>2</v>
      </c>
      <c r="N18" s="55">
        <v>3</v>
      </c>
      <c r="O18" s="55">
        <v>0.5</v>
      </c>
      <c r="P18" s="55">
        <v>0.65</v>
      </c>
      <c r="Q18" s="82">
        <f t="shared" si="0"/>
        <v>0.57499999999999996</v>
      </c>
      <c r="R18" s="55">
        <v>14.7</v>
      </c>
      <c r="S18" s="55">
        <v>161</v>
      </c>
      <c r="T18" s="77">
        <f t="shared" si="1"/>
        <v>22</v>
      </c>
      <c r="U18" s="55">
        <v>429</v>
      </c>
      <c r="V18" s="78">
        <f t="shared" si="2"/>
        <v>3146</v>
      </c>
      <c r="W18" s="55">
        <v>2</v>
      </c>
      <c r="X18" s="55" t="s">
        <v>46</v>
      </c>
      <c r="Y18" s="55" t="s">
        <v>69</v>
      </c>
      <c r="Z18" s="55" t="s">
        <v>55</v>
      </c>
      <c r="AA18" s="55" t="s">
        <v>86</v>
      </c>
      <c r="AB18" s="39" t="s">
        <v>316</v>
      </c>
      <c r="AE18" s="164" t="s">
        <v>87</v>
      </c>
      <c r="AP18" s="180" t="s">
        <v>111</v>
      </c>
      <c r="AR18" s="172" t="s">
        <v>101</v>
      </c>
      <c r="AV18" s="65" t="s">
        <v>88</v>
      </c>
    </row>
    <row r="19" spans="1:48" x14ac:dyDescent="0.15">
      <c r="A19" s="55" t="s">
        <v>41</v>
      </c>
      <c r="B19" s="178" t="s">
        <v>313</v>
      </c>
      <c r="C19" s="133">
        <v>2018</v>
      </c>
      <c r="D19" s="56" t="s">
        <v>317</v>
      </c>
      <c r="E19" s="178" t="s">
        <v>260</v>
      </c>
      <c r="F19" s="55" t="s">
        <v>265</v>
      </c>
      <c r="G19" s="55" t="s">
        <v>42</v>
      </c>
      <c r="H19" s="55" t="s">
        <v>157</v>
      </c>
      <c r="I19" s="55" t="s">
        <v>155</v>
      </c>
      <c r="J19" s="55" t="s">
        <v>38</v>
      </c>
      <c r="K19" s="55" t="s">
        <v>156</v>
      </c>
      <c r="L19" s="178">
        <v>3</v>
      </c>
      <c r="N19" s="55">
        <v>3</v>
      </c>
      <c r="O19" s="55">
        <v>0.45</v>
      </c>
      <c r="P19" s="55">
        <v>0.65</v>
      </c>
      <c r="Q19" s="82">
        <f t="shared" si="0"/>
        <v>0.55000000000000004</v>
      </c>
      <c r="R19" s="55">
        <v>15.8</v>
      </c>
      <c r="S19" s="55">
        <v>155</v>
      </c>
      <c r="T19" s="77">
        <f t="shared" si="1"/>
        <v>22</v>
      </c>
      <c r="U19" s="55">
        <v>429</v>
      </c>
      <c r="V19" s="78">
        <f t="shared" si="2"/>
        <v>3146</v>
      </c>
      <c r="W19" s="178">
        <v>2</v>
      </c>
      <c r="X19" s="55" t="s">
        <v>46</v>
      </c>
      <c r="Y19" s="55" t="s">
        <v>69</v>
      </c>
      <c r="Z19" s="55" t="s">
        <v>55</v>
      </c>
      <c r="AA19" s="55" t="s">
        <v>86</v>
      </c>
      <c r="AB19" s="39" t="s">
        <v>316</v>
      </c>
      <c r="AE19" s="177" t="s">
        <v>89</v>
      </c>
      <c r="AP19" s="180" t="s">
        <v>112</v>
      </c>
      <c r="AR19" s="172" t="s">
        <v>126</v>
      </c>
      <c r="AV19" s="65" t="s">
        <v>90</v>
      </c>
    </row>
    <row r="20" spans="1:48" x14ac:dyDescent="0.15">
      <c r="A20" s="55" t="s">
        <v>41</v>
      </c>
      <c r="B20" s="178" t="s">
        <v>313</v>
      </c>
      <c r="C20" s="133">
        <v>2018</v>
      </c>
      <c r="D20" s="56" t="s">
        <v>317</v>
      </c>
      <c r="E20" s="178" t="s">
        <v>260</v>
      </c>
      <c r="F20" s="55" t="s">
        <v>265</v>
      </c>
      <c r="G20" s="55" t="s">
        <v>42</v>
      </c>
      <c r="H20" s="55" t="s">
        <v>157</v>
      </c>
      <c r="I20" s="55" t="s">
        <v>155</v>
      </c>
      <c r="J20" s="55" t="s">
        <v>38</v>
      </c>
      <c r="K20" s="55" t="s">
        <v>156</v>
      </c>
      <c r="L20" s="178">
        <v>1</v>
      </c>
      <c r="M20" s="55"/>
      <c r="N20" s="55">
        <v>6</v>
      </c>
      <c r="O20" s="55">
        <v>0.3</v>
      </c>
      <c r="P20" s="55">
        <v>0.45</v>
      </c>
      <c r="Q20" s="82">
        <f t="shared" si="0"/>
        <v>0.375</v>
      </c>
      <c r="R20" s="55">
        <v>14.9</v>
      </c>
      <c r="S20" s="55">
        <v>124</v>
      </c>
      <c r="T20" s="77">
        <f t="shared" si="1"/>
        <v>27</v>
      </c>
      <c r="U20" s="55">
        <v>734</v>
      </c>
      <c r="V20" s="78">
        <f t="shared" si="2"/>
        <v>3303</v>
      </c>
      <c r="W20" s="55">
        <v>1</v>
      </c>
      <c r="X20" s="55" t="s">
        <v>46</v>
      </c>
      <c r="Y20" s="55" t="s">
        <v>69</v>
      </c>
      <c r="Z20" s="55" t="s">
        <v>55</v>
      </c>
      <c r="AA20" s="55" t="s">
        <v>86</v>
      </c>
      <c r="AB20" s="39" t="s">
        <v>316</v>
      </c>
      <c r="AE20" s="177"/>
      <c r="AP20" s="180" t="s">
        <v>113</v>
      </c>
      <c r="AR20" s="172" t="s">
        <v>105</v>
      </c>
      <c r="AV20" s="69" t="s">
        <v>342</v>
      </c>
    </row>
    <row r="21" spans="1:48" x14ac:dyDescent="0.15">
      <c r="A21" s="55" t="s">
        <v>41</v>
      </c>
      <c r="B21" s="178" t="s">
        <v>313</v>
      </c>
      <c r="C21" s="133">
        <v>2018</v>
      </c>
      <c r="D21" s="56" t="s">
        <v>317</v>
      </c>
      <c r="E21" s="178" t="s">
        <v>260</v>
      </c>
      <c r="F21" s="55" t="s">
        <v>265</v>
      </c>
      <c r="G21" s="55" t="s">
        <v>42</v>
      </c>
      <c r="H21" s="55" t="s">
        <v>157</v>
      </c>
      <c r="I21" s="55" t="s">
        <v>155</v>
      </c>
      <c r="J21" s="55" t="s">
        <v>38</v>
      </c>
      <c r="K21" s="55" t="s">
        <v>156</v>
      </c>
      <c r="L21" s="178">
        <v>2</v>
      </c>
      <c r="N21" s="55">
        <v>6</v>
      </c>
      <c r="O21" s="55">
        <v>0.65</v>
      </c>
      <c r="P21" s="55">
        <v>0.45</v>
      </c>
      <c r="Q21" s="82">
        <f t="shared" si="0"/>
        <v>0.55000000000000004</v>
      </c>
      <c r="R21" s="55">
        <v>13.7</v>
      </c>
      <c r="S21" s="55">
        <v>120</v>
      </c>
      <c r="T21" s="77">
        <f t="shared" si="1"/>
        <v>30</v>
      </c>
      <c r="U21" s="55">
        <v>734</v>
      </c>
      <c r="V21" s="78">
        <f t="shared" si="2"/>
        <v>3670</v>
      </c>
      <c r="W21" s="55">
        <v>1</v>
      </c>
      <c r="X21" s="55" t="s">
        <v>46</v>
      </c>
      <c r="Y21" s="55" t="s">
        <v>69</v>
      </c>
      <c r="Z21" s="55" t="s">
        <v>55</v>
      </c>
      <c r="AA21" s="55" t="s">
        <v>86</v>
      </c>
      <c r="AB21" s="39" t="s">
        <v>316</v>
      </c>
      <c r="AE21" s="185"/>
      <c r="AP21" s="180" t="s">
        <v>114</v>
      </c>
      <c r="AR21" s="172" t="s">
        <v>68</v>
      </c>
      <c r="AV21" s="69" t="s">
        <v>343</v>
      </c>
    </row>
    <row r="22" spans="1:48" x14ac:dyDescent="0.15">
      <c r="A22" s="55" t="s">
        <v>41</v>
      </c>
      <c r="B22" s="178" t="s">
        <v>313</v>
      </c>
      <c r="C22" s="133">
        <v>2018</v>
      </c>
      <c r="D22" s="56" t="s">
        <v>317</v>
      </c>
      <c r="E22" s="178" t="s">
        <v>260</v>
      </c>
      <c r="F22" s="55" t="s">
        <v>265</v>
      </c>
      <c r="G22" s="55" t="s">
        <v>42</v>
      </c>
      <c r="H22" s="55" t="s">
        <v>157</v>
      </c>
      <c r="I22" s="55" t="s">
        <v>155</v>
      </c>
      <c r="J22" s="55" t="s">
        <v>38</v>
      </c>
      <c r="K22" s="55" t="s">
        <v>156</v>
      </c>
      <c r="L22" s="178">
        <v>3</v>
      </c>
      <c r="N22" s="55">
        <v>6</v>
      </c>
      <c r="O22" s="55">
        <v>0.5</v>
      </c>
      <c r="P22" s="55">
        <v>0.65</v>
      </c>
      <c r="Q22" s="82">
        <f t="shared" si="0"/>
        <v>0.57499999999999996</v>
      </c>
      <c r="R22" s="55">
        <v>15.2</v>
      </c>
      <c r="S22" s="55">
        <v>130</v>
      </c>
      <c r="T22" s="77">
        <f t="shared" si="1"/>
        <v>25</v>
      </c>
      <c r="U22" s="55">
        <v>734</v>
      </c>
      <c r="V22" s="78">
        <f t="shared" si="2"/>
        <v>3058.333333333333</v>
      </c>
      <c r="W22" s="178">
        <v>1</v>
      </c>
      <c r="X22" s="55" t="s">
        <v>46</v>
      </c>
      <c r="Y22" s="55" t="s">
        <v>69</v>
      </c>
      <c r="Z22" s="55" t="s">
        <v>55</v>
      </c>
      <c r="AA22" s="55" t="s">
        <v>86</v>
      </c>
      <c r="AB22" s="39" t="s">
        <v>316</v>
      </c>
      <c r="AP22" s="180" t="s">
        <v>115</v>
      </c>
      <c r="AR22" s="172" t="s">
        <v>83</v>
      </c>
      <c r="AV22" s="69"/>
    </row>
    <row r="23" spans="1:48" x14ac:dyDescent="0.15">
      <c r="A23" s="55" t="s">
        <v>41</v>
      </c>
      <c r="B23" s="178" t="s">
        <v>313</v>
      </c>
      <c r="C23" s="133">
        <v>2018</v>
      </c>
      <c r="D23" s="56" t="s">
        <v>317</v>
      </c>
      <c r="E23" s="178" t="s">
        <v>260</v>
      </c>
      <c r="F23" s="55" t="s">
        <v>265</v>
      </c>
      <c r="G23" s="55" t="s">
        <v>42</v>
      </c>
      <c r="H23" s="55" t="s">
        <v>157</v>
      </c>
      <c r="I23" s="55" t="s">
        <v>155</v>
      </c>
      <c r="J23" s="55" t="s">
        <v>38</v>
      </c>
      <c r="K23" s="55" t="s">
        <v>156</v>
      </c>
      <c r="L23" s="178">
        <v>1</v>
      </c>
      <c r="M23" s="55"/>
      <c r="N23" s="55">
        <v>7</v>
      </c>
      <c r="O23" s="55">
        <v>0.85</v>
      </c>
      <c r="P23" s="55">
        <v>0.7</v>
      </c>
      <c r="Q23" s="82">
        <f t="shared" si="0"/>
        <v>0.77499999999999991</v>
      </c>
      <c r="R23" s="55">
        <v>13.8</v>
      </c>
      <c r="S23" s="55">
        <v>161</v>
      </c>
      <c r="T23" s="77">
        <f t="shared" si="1"/>
        <v>22</v>
      </c>
      <c r="U23" s="55">
        <v>950</v>
      </c>
      <c r="V23" s="78">
        <f t="shared" si="2"/>
        <v>2985.7142857142858</v>
      </c>
      <c r="W23" s="55">
        <v>1</v>
      </c>
      <c r="X23" s="55" t="s">
        <v>46</v>
      </c>
      <c r="Y23" s="55" t="s">
        <v>69</v>
      </c>
      <c r="Z23" s="55" t="s">
        <v>55</v>
      </c>
      <c r="AA23" s="55" t="s">
        <v>86</v>
      </c>
      <c r="AB23" s="39" t="s">
        <v>316</v>
      </c>
      <c r="AP23" s="180" t="s">
        <v>117</v>
      </c>
      <c r="AR23" s="185" t="s">
        <v>259</v>
      </c>
      <c r="AV23" s="185"/>
    </row>
    <row r="24" spans="1:48" x14ac:dyDescent="0.15">
      <c r="A24" s="55" t="s">
        <v>41</v>
      </c>
      <c r="B24" s="178" t="s">
        <v>313</v>
      </c>
      <c r="C24" s="133">
        <v>2018</v>
      </c>
      <c r="D24" s="56" t="s">
        <v>317</v>
      </c>
      <c r="E24" s="178" t="s">
        <v>260</v>
      </c>
      <c r="F24" s="55" t="s">
        <v>265</v>
      </c>
      <c r="G24" s="55" t="s">
        <v>42</v>
      </c>
      <c r="H24" s="55" t="s">
        <v>157</v>
      </c>
      <c r="I24" s="55" t="s">
        <v>155</v>
      </c>
      <c r="J24" s="55" t="s">
        <v>38</v>
      </c>
      <c r="K24" s="55" t="s">
        <v>156</v>
      </c>
      <c r="L24" s="178">
        <v>2</v>
      </c>
      <c r="N24" s="55">
        <v>7</v>
      </c>
      <c r="O24" s="55">
        <v>0.65</v>
      </c>
      <c r="P24" s="55">
        <v>0.65</v>
      </c>
      <c r="Q24" s="82">
        <f t="shared" si="0"/>
        <v>0.65</v>
      </c>
      <c r="R24" s="55">
        <v>16.899999999999999</v>
      </c>
      <c r="S24" s="55">
        <v>154</v>
      </c>
      <c r="T24" s="77">
        <f t="shared" si="1"/>
        <v>22</v>
      </c>
      <c r="U24" s="55">
        <v>950</v>
      </c>
      <c r="V24" s="78">
        <f t="shared" si="2"/>
        <v>2985.7142857142858</v>
      </c>
      <c r="W24" s="55">
        <v>1</v>
      </c>
      <c r="X24" s="55" t="s">
        <v>46</v>
      </c>
      <c r="Y24" s="55" t="s">
        <v>69</v>
      </c>
      <c r="Z24" s="55" t="s">
        <v>55</v>
      </c>
      <c r="AA24" s="55" t="s">
        <v>86</v>
      </c>
      <c r="AB24" s="39" t="s">
        <v>316</v>
      </c>
      <c r="AP24" s="180" t="s">
        <v>118</v>
      </c>
    </row>
    <row r="25" spans="1:48" x14ac:dyDescent="0.15">
      <c r="A25" s="55" t="s">
        <v>41</v>
      </c>
      <c r="B25" s="178" t="s">
        <v>313</v>
      </c>
      <c r="C25" s="133">
        <v>2018</v>
      </c>
      <c r="D25" s="56" t="s">
        <v>317</v>
      </c>
      <c r="E25" s="178" t="s">
        <v>260</v>
      </c>
      <c r="F25" s="55" t="s">
        <v>265</v>
      </c>
      <c r="G25" s="55" t="s">
        <v>42</v>
      </c>
      <c r="H25" s="55" t="s">
        <v>157</v>
      </c>
      <c r="I25" s="55" t="s">
        <v>155</v>
      </c>
      <c r="J25" s="55" t="s">
        <v>38</v>
      </c>
      <c r="K25" s="55" t="s">
        <v>156</v>
      </c>
      <c r="L25" s="178">
        <v>3</v>
      </c>
      <c r="N25" s="55">
        <v>7</v>
      </c>
      <c r="O25" s="55">
        <v>0.7</v>
      </c>
      <c r="P25" s="55">
        <v>0.8</v>
      </c>
      <c r="Q25" s="82">
        <f t="shared" si="0"/>
        <v>0.75</v>
      </c>
      <c r="R25" s="55">
        <v>15</v>
      </c>
      <c r="S25" s="55">
        <v>162</v>
      </c>
      <c r="T25" s="77">
        <f t="shared" si="1"/>
        <v>22</v>
      </c>
      <c r="U25" s="55">
        <v>950</v>
      </c>
      <c r="V25" s="78">
        <f t="shared" si="2"/>
        <v>2985.7142857142858</v>
      </c>
      <c r="W25" s="178">
        <v>1</v>
      </c>
      <c r="X25" s="55" t="s">
        <v>46</v>
      </c>
      <c r="Y25" s="55" t="s">
        <v>69</v>
      </c>
      <c r="Z25" s="55" t="s">
        <v>55</v>
      </c>
      <c r="AA25" s="55" t="s">
        <v>86</v>
      </c>
      <c r="AB25" s="39" t="s">
        <v>316</v>
      </c>
    </row>
    <row r="26" spans="1:48" x14ac:dyDescent="0.15">
      <c r="A26" s="55" t="s">
        <v>41</v>
      </c>
      <c r="B26" s="178" t="s">
        <v>313</v>
      </c>
      <c r="C26" s="133">
        <v>2018</v>
      </c>
      <c r="D26" s="56" t="s">
        <v>317</v>
      </c>
      <c r="E26" s="178" t="s">
        <v>260</v>
      </c>
      <c r="F26" s="55" t="s">
        <v>265</v>
      </c>
      <c r="G26" s="55" t="s">
        <v>42</v>
      </c>
      <c r="H26" s="55" t="s">
        <v>162</v>
      </c>
      <c r="I26" s="55" t="s">
        <v>155</v>
      </c>
      <c r="J26" s="55" t="s">
        <v>38</v>
      </c>
      <c r="K26" s="55" t="s">
        <v>156</v>
      </c>
      <c r="L26" s="178">
        <v>1</v>
      </c>
      <c r="M26" s="55"/>
      <c r="N26" s="55">
        <v>1</v>
      </c>
      <c r="O26" s="55">
        <v>0.25</v>
      </c>
      <c r="P26" s="55">
        <v>0.35</v>
      </c>
      <c r="Q26" s="82">
        <f t="shared" si="0"/>
        <v>0.3</v>
      </c>
      <c r="R26" s="55">
        <v>19.399999999999999</v>
      </c>
      <c r="S26" s="55">
        <v>134</v>
      </c>
      <c r="T26" s="77">
        <f t="shared" si="1"/>
        <v>25</v>
      </c>
      <c r="U26" s="55">
        <v>149</v>
      </c>
      <c r="V26" s="78">
        <f t="shared" si="2"/>
        <v>3725</v>
      </c>
      <c r="W26" s="55">
        <v>4</v>
      </c>
      <c r="X26" s="55" t="s">
        <v>46</v>
      </c>
      <c r="Y26" s="55" t="s">
        <v>69</v>
      </c>
      <c r="Z26" s="55" t="s">
        <v>55</v>
      </c>
      <c r="AA26" s="55" t="s">
        <v>86</v>
      </c>
      <c r="AB26" s="39" t="s">
        <v>316</v>
      </c>
    </row>
    <row r="27" spans="1:48" x14ac:dyDescent="0.15">
      <c r="A27" s="55" t="s">
        <v>41</v>
      </c>
      <c r="B27" s="178" t="s">
        <v>313</v>
      </c>
      <c r="C27" s="133">
        <v>2018</v>
      </c>
      <c r="D27" s="56" t="s">
        <v>317</v>
      </c>
      <c r="E27" s="178" t="s">
        <v>260</v>
      </c>
      <c r="F27" s="55" t="s">
        <v>265</v>
      </c>
      <c r="G27" s="55" t="s">
        <v>42</v>
      </c>
      <c r="H27" s="55" t="s">
        <v>162</v>
      </c>
      <c r="I27" s="55" t="s">
        <v>155</v>
      </c>
      <c r="J27" s="55" t="s">
        <v>38</v>
      </c>
      <c r="K27" s="55" t="s">
        <v>156</v>
      </c>
      <c r="L27" s="178">
        <v>2</v>
      </c>
      <c r="N27" s="55">
        <v>1</v>
      </c>
      <c r="O27" s="55">
        <v>0.35</v>
      </c>
      <c r="P27" s="55">
        <v>0.25</v>
      </c>
      <c r="Q27" s="82">
        <f t="shared" si="0"/>
        <v>0.3</v>
      </c>
      <c r="R27" s="55">
        <v>15.8</v>
      </c>
      <c r="S27" s="55">
        <v>129</v>
      </c>
      <c r="T27" s="77">
        <f t="shared" si="1"/>
        <v>25</v>
      </c>
      <c r="U27" s="55">
        <v>149</v>
      </c>
      <c r="V27" s="58">
        <f t="shared" si="2"/>
        <v>3725</v>
      </c>
      <c r="W27" s="178">
        <v>4</v>
      </c>
      <c r="X27" s="55" t="s">
        <v>46</v>
      </c>
      <c r="Y27" s="55" t="s">
        <v>69</v>
      </c>
      <c r="Z27" s="55" t="s">
        <v>55</v>
      </c>
      <c r="AA27" s="55" t="s">
        <v>86</v>
      </c>
      <c r="AB27" s="39" t="s">
        <v>316</v>
      </c>
    </row>
    <row r="28" spans="1:48" x14ac:dyDescent="0.15">
      <c r="A28" s="55" t="s">
        <v>41</v>
      </c>
      <c r="B28" s="178" t="s">
        <v>313</v>
      </c>
      <c r="C28" s="133">
        <v>2018</v>
      </c>
      <c r="D28" s="56" t="s">
        <v>317</v>
      </c>
      <c r="E28" s="178" t="s">
        <v>260</v>
      </c>
      <c r="F28" s="55" t="s">
        <v>265</v>
      </c>
      <c r="G28" s="55" t="s">
        <v>42</v>
      </c>
      <c r="H28" s="55" t="s">
        <v>162</v>
      </c>
      <c r="I28" s="55" t="s">
        <v>155</v>
      </c>
      <c r="J28" s="55" t="s">
        <v>38</v>
      </c>
      <c r="K28" s="55" t="s">
        <v>156</v>
      </c>
      <c r="L28" s="178">
        <v>3</v>
      </c>
      <c r="N28" s="55">
        <v>1</v>
      </c>
      <c r="O28" s="55">
        <v>0.45</v>
      </c>
      <c r="P28" s="55">
        <v>0.5</v>
      </c>
      <c r="Q28" s="82">
        <f t="shared" si="0"/>
        <v>0.47499999999999998</v>
      </c>
      <c r="R28" s="55">
        <v>17</v>
      </c>
      <c r="S28" s="55">
        <v>137</v>
      </c>
      <c r="T28" s="77">
        <f t="shared" si="1"/>
        <v>25</v>
      </c>
      <c r="U28" s="55">
        <v>149</v>
      </c>
      <c r="V28" s="58">
        <f t="shared" si="2"/>
        <v>3725</v>
      </c>
      <c r="W28" s="178">
        <v>4</v>
      </c>
      <c r="X28" s="55" t="s">
        <v>46</v>
      </c>
      <c r="Y28" s="55" t="s">
        <v>69</v>
      </c>
      <c r="Z28" s="55" t="s">
        <v>55</v>
      </c>
      <c r="AA28" s="55" t="s">
        <v>86</v>
      </c>
      <c r="AB28" s="39" t="s">
        <v>316</v>
      </c>
    </row>
    <row r="29" spans="1:48" x14ac:dyDescent="0.15">
      <c r="A29" s="55" t="s">
        <v>41</v>
      </c>
      <c r="B29" s="178" t="s">
        <v>313</v>
      </c>
      <c r="C29" s="133">
        <v>2018</v>
      </c>
      <c r="D29" s="56" t="s">
        <v>317</v>
      </c>
      <c r="E29" s="178" t="s">
        <v>260</v>
      </c>
      <c r="F29" s="55" t="s">
        <v>265</v>
      </c>
      <c r="G29" s="55" t="s">
        <v>42</v>
      </c>
      <c r="H29" s="55" t="s">
        <v>162</v>
      </c>
      <c r="I29" s="55" t="s">
        <v>155</v>
      </c>
      <c r="J29" s="55" t="s">
        <v>38</v>
      </c>
      <c r="K29" s="55" t="s">
        <v>156</v>
      </c>
      <c r="L29" s="178">
        <v>1</v>
      </c>
      <c r="N29" s="55">
        <v>3</v>
      </c>
      <c r="O29" s="55">
        <v>0.45</v>
      </c>
      <c r="P29" s="55">
        <v>0.65</v>
      </c>
      <c r="Q29" s="57">
        <f t="shared" si="0"/>
        <v>0.55000000000000004</v>
      </c>
      <c r="R29" s="178">
        <v>12.9</v>
      </c>
      <c r="S29" s="55">
        <v>127</v>
      </c>
      <c r="T29" s="57">
        <f t="shared" si="1"/>
        <v>27</v>
      </c>
      <c r="U29" s="55">
        <v>537</v>
      </c>
      <c r="V29" s="58">
        <f t="shared" si="2"/>
        <v>4833</v>
      </c>
      <c r="W29" s="178">
        <v>2</v>
      </c>
      <c r="X29" s="55" t="s">
        <v>46</v>
      </c>
      <c r="Y29" s="55" t="s">
        <v>69</v>
      </c>
      <c r="Z29" s="55" t="s">
        <v>55</v>
      </c>
      <c r="AA29" s="55" t="s">
        <v>86</v>
      </c>
      <c r="AB29" s="39" t="s">
        <v>316</v>
      </c>
    </row>
    <row r="30" spans="1:48" x14ac:dyDescent="0.15">
      <c r="A30" s="55" t="s">
        <v>41</v>
      </c>
      <c r="B30" s="178" t="s">
        <v>313</v>
      </c>
      <c r="C30" s="133">
        <v>2018</v>
      </c>
      <c r="D30" s="56" t="s">
        <v>317</v>
      </c>
      <c r="E30" s="178" t="s">
        <v>260</v>
      </c>
      <c r="F30" s="55" t="s">
        <v>265</v>
      </c>
      <c r="G30" s="55" t="s">
        <v>42</v>
      </c>
      <c r="H30" s="55" t="s">
        <v>162</v>
      </c>
      <c r="I30" s="55" t="s">
        <v>155</v>
      </c>
      <c r="J30" s="55" t="s">
        <v>38</v>
      </c>
      <c r="K30" s="55" t="s">
        <v>156</v>
      </c>
      <c r="L30" s="178">
        <v>2</v>
      </c>
      <c r="N30" s="55">
        <v>3</v>
      </c>
      <c r="O30" s="55">
        <v>0.75</v>
      </c>
      <c r="P30" s="55">
        <v>0.8</v>
      </c>
      <c r="Q30" s="57">
        <f t="shared" si="0"/>
        <v>0.77500000000000002</v>
      </c>
      <c r="R30" s="178">
        <v>16.8</v>
      </c>
      <c r="S30" s="55">
        <v>133</v>
      </c>
      <c r="T30" s="57">
        <f t="shared" si="1"/>
        <v>25</v>
      </c>
      <c r="U30" s="55">
        <v>537</v>
      </c>
      <c r="V30" s="58">
        <f t="shared" si="2"/>
        <v>4475</v>
      </c>
      <c r="W30" s="178">
        <v>2</v>
      </c>
      <c r="X30" s="55" t="s">
        <v>46</v>
      </c>
      <c r="Y30" s="55" t="s">
        <v>69</v>
      </c>
      <c r="Z30" s="55" t="s">
        <v>55</v>
      </c>
      <c r="AA30" s="55" t="s">
        <v>86</v>
      </c>
      <c r="AB30" s="39" t="s">
        <v>316</v>
      </c>
    </row>
    <row r="31" spans="1:48" x14ac:dyDescent="0.15">
      <c r="A31" s="55" t="s">
        <v>41</v>
      </c>
      <c r="B31" s="178" t="s">
        <v>313</v>
      </c>
      <c r="C31" s="133">
        <v>2018</v>
      </c>
      <c r="D31" s="56" t="s">
        <v>317</v>
      </c>
      <c r="E31" s="178" t="s">
        <v>260</v>
      </c>
      <c r="F31" s="55" t="s">
        <v>265</v>
      </c>
      <c r="G31" s="55" t="s">
        <v>42</v>
      </c>
      <c r="H31" s="55" t="s">
        <v>162</v>
      </c>
      <c r="I31" s="55" t="s">
        <v>155</v>
      </c>
      <c r="J31" s="55" t="s">
        <v>38</v>
      </c>
      <c r="K31" s="55" t="s">
        <v>156</v>
      </c>
      <c r="L31" s="178">
        <v>3</v>
      </c>
      <c r="N31" s="55">
        <v>3</v>
      </c>
      <c r="O31" s="55">
        <v>0.55000000000000004</v>
      </c>
      <c r="P31" s="55">
        <v>0.7</v>
      </c>
      <c r="Q31" s="57">
        <f t="shared" si="0"/>
        <v>0.625</v>
      </c>
      <c r="R31" s="178">
        <v>17.100000000000001</v>
      </c>
      <c r="S31" s="55">
        <v>134</v>
      </c>
      <c r="T31" s="57">
        <f t="shared" si="1"/>
        <v>25</v>
      </c>
      <c r="U31" s="55">
        <v>537</v>
      </c>
      <c r="V31" s="58">
        <f t="shared" si="2"/>
        <v>4475</v>
      </c>
      <c r="W31" s="178">
        <v>2</v>
      </c>
      <c r="X31" s="55" t="s">
        <v>46</v>
      </c>
      <c r="Y31" s="55" t="s">
        <v>69</v>
      </c>
      <c r="Z31" s="55" t="s">
        <v>55</v>
      </c>
      <c r="AA31" s="55" t="s">
        <v>86</v>
      </c>
      <c r="AB31" s="39" t="s">
        <v>316</v>
      </c>
    </row>
    <row r="32" spans="1:48" x14ac:dyDescent="0.15">
      <c r="A32" s="55" t="s">
        <v>41</v>
      </c>
      <c r="B32" s="178" t="s">
        <v>313</v>
      </c>
      <c r="C32" s="133">
        <v>2018</v>
      </c>
      <c r="D32" s="56" t="s">
        <v>317</v>
      </c>
      <c r="E32" s="178" t="s">
        <v>260</v>
      </c>
      <c r="F32" s="55" t="s">
        <v>265</v>
      </c>
      <c r="G32" s="55" t="s">
        <v>42</v>
      </c>
      <c r="H32" s="55" t="s">
        <v>162</v>
      </c>
      <c r="I32" s="55" t="s">
        <v>155</v>
      </c>
      <c r="J32" s="55" t="s">
        <v>38</v>
      </c>
      <c r="K32" s="55" t="s">
        <v>156</v>
      </c>
      <c r="L32" s="178">
        <v>1</v>
      </c>
      <c r="M32" s="55"/>
      <c r="N32" s="55">
        <v>6</v>
      </c>
      <c r="O32" s="55">
        <v>0.85</v>
      </c>
      <c r="P32" s="55">
        <v>0.7</v>
      </c>
      <c r="Q32" s="57">
        <f t="shared" si="0"/>
        <v>0.77499999999999991</v>
      </c>
      <c r="R32" s="178">
        <v>14.8</v>
      </c>
      <c r="S32" s="55">
        <v>140</v>
      </c>
      <c r="T32" s="77">
        <f t="shared" si="1"/>
        <v>22</v>
      </c>
      <c r="U32" s="55">
        <v>734</v>
      </c>
      <c r="V32" s="78">
        <f t="shared" si="2"/>
        <v>2691.333333333333</v>
      </c>
      <c r="W32" s="55">
        <v>1</v>
      </c>
      <c r="X32" s="55" t="s">
        <v>46</v>
      </c>
      <c r="Y32" s="55" t="s">
        <v>69</v>
      </c>
      <c r="Z32" s="55" t="s">
        <v>55</v>
      </c>
      <c r="AA32" s="55" t="s">
        <v>86</v>
      </c>
      <c r="AB32" s="39" t="s">
        <v>316</v>
      </c>
    </row>
    <row r="33" spans="1:49" x14ac:dyDescent="0.15">
      <c r="A33" s="55" t="s">
        <v>41</v>
      </c>
      <c r="B33" s="178" t="s">
        <v>313</v>
      </c>
      <c r="C33" s="133">
        <v>2018</v>
      </c>
      <c r="D33" s="56" t="s">
        <v>317</v>
      </c>
      <c r="E33" s="178" t="s">
        <v>260</v>
      </c>
      <c r="F33" s="55" t="s">
        <v>265</v>
      </c>
      <c r="G33" s="55" t="s">
        <v>42</v>
      </c>
      <c r="H33" s="55" t="s">
        <v>162</v>
      </c>
      <c r="I33" s="55" t="s">
        <v>155</v>
      </c>
      <c r="J33" s="55" t="s">
        <v>38</v>
      </c>
      <c r="K33" s="55" t="s">
        <v>156</v>
      </c>
      <c r="L33" s="178">
        <v>2</v>
      </c>
      <c r="N33" s="55">
        <v>6</v>
      </c>
      <c r="O33" s="55">
        <v>0.7</v>
      </c>
      <c r="P33" s="55">
        <v>0.65</v>
      </c>
      <c r="Q33" s="57">
        <f t="shared" si="0"/>
        <v>0.67500000000000004</v>
      </c>
      <c r="R33" s="178">
        <v>12.8</v>
      </c>
      <c r="S33" s="55">
        <v>130</v>
      </c>
      <c r="T33" s="77">
        <f t="shared" si="1"/>
        <v>25</v>
      </c>
      <c r="U33" s="55">
        <v>734</v>
      </c>
      <c r="V33" s="58">
        <f t="shared" si="2"/>
        <v>3058.333333333333</v>
      </c>
      <c r="W33" s="178">
        <v>1</v>
      </c>
      <c r="X33" s="55" t="s">
        <v>46</v>
      </c>
      <c r="Y33" s="55" t="s">
        <v>69</v>
      </c>
      <c r="Z33" s="55" t="s">
        <v>55</v>
      </c>
      <c r="AA33" s="55" t="s">
        <v>86</v>
      </c>
      <c r="AB33" s="39" t="s">
        <v>316</v>
      </c>
      <c r="AE33" s="194"/>
      <c r="AF33" s="194"/>
      <c r="AG33" s="194"/>
      <c r="AH33" s="194"/>
      <c r="AI33" s="194"/>
      <c r="AJ33" s="194"/>
      <c r="AK33" s="194"/>
      <c r="AL33" s="194"/>
      <c r="AM33" s="194"/>
      <c r="AN33" s="194"/>
      <c r="AO33" s="194"/>
      <c r="AP33" s="194"/>
      <c r="AQ33" s="194"/>
      <c r="AR33" s="194"/>
      <c r="AS33" s="194"/>
      <c r="AT33" s="194"/>
      <c r="AU33" s="194"/>
      <c r="AV33" s="194"/>
      <c r="AW33" s="194"/>
    </row>
    <row r="34" spans="1:49" x14ac:dyDescent="0.15">
      <c r="A34" s="55" t="s">
        <v>41</v>
      </c>
      <c r="B34" s="178" t="s">
        <v>313</v>
      </c>
      <c r="C34" s="133">
        <v>2018</v>
      </c>
      <c r="D34" s="56" t="s">
        <v>317</v>
      </c>
      <c r="E34" s="178" t="s">
        <v>260</v>
      </c>
      <c r="F34" s="55" t="s">
        <v>265</v>
      </c>
      <c r="G34" s="55" t="s">
        <v>42</v>
      </c>
      <c r="H34" s="55" t="s">
        <v>162</v>
      </c>
      <c r="I34" s="55" t="s">
        <v>155</v>
      </c>
      <c r="J34" s="55" t="s">
        <v>38</v>
      </c>
      <c r="K34" s="55" t="s">
        <v>156</v>
      </c>
      <c r="L34" s="178">
        <v>3</v>
      </c>
      <c r="N34" s="55">
        <v>6</v>
      </c>
      <c r="O34" s="55">
        <v>0.55000000000000004</v>
      </c>
      <c r="P34" s="55">
        <v>0.8</v>
      </c>
      <c r="Q34" s="57">
        <f t="shared" si="0"/>
        <v>0.67500000000000004</v>
      </c>
      <c r="R34" s="178">
        <v>15.9</v>
      </c>
      <c r="S34" s="55">
        <v>131</v>
      </c>
      <c r="T34" s="77">
        <f t="shared" si="1"/>
        <v>25</v>
      </c>
      <c r="U34" s="55">
        <v>734</v>
      </c>
      <c r="V34" s="58">
        <f t="shared" si="2"/>
        <v>3058.333333333333</v>
      </c>
      <c r="W34" s="178">
        <v>1</v>
      </c>
      <c r="X34" s="55" t="s">
        <v>46</v>
      </c>
      <c r="Y34" s="55" t="s">
        <v>69</v>
      </c>
      <c r="Z34" s="55" t="s">
        <v>55</v>
      </c>
      <c r="AA34" s="55" t="s">
        <v>86</v>
      </c>
      <c r="AB34" s="39" t="s">
        <v>316</v>
      </c>
      <c r="AE34" s="194"/>
      <c r="AF34" s="194"/>
      <c r="AG34" s="194"/>
      <c r="AH34" s="194"/>
      <c r="AI34" s="194"/>
      <c r="AJ34" s="194"/>
      <c r="AK34" s="194"/>
      <c r="AL34" s="194"/>
      <c r="AM34" s="194"/>
      <c r="AN34" s="194"/>
      <c r="AO34" s="194"/>
      <c r="AP34" s="194"/>
      <c r="AQ34" s="194"/>
      <c r="AR34" s="194"/>
      <c r="AS34" s="194"/>
      <c r="AT34" s="194"/>
      <c r="AU34" s="194"/>
      <c r="AV34" s="194"/>
      <c r="AW34" s="194"/>
    </row>
    <row r="35" spans="1:49" x14ac:dyDescent="0.15">
      <c r="A35" s="55" t="s">
        <v>41</v>
      </c>
      <c r="B35" s="178" t="s">
        <v>313</v>
      </c>
      <c r="C35" s="133">
        <v>2018</v>
      </c>
      <c r="D35" s="56" t="s">
        <v>317</v>
      </c>
      <c r="E35" s="178" t="s">
        <v>260</v>
      </c>
      <c r="F35" s="55" t="s">
        <v>265</v>
      </c>
      <c r="G35" s="55" t="s">
        <v>42</v>
      </c>
      <c r="H35" s="55" t="s">
        <v>162</v>
      </c>
      <c r="I35" s="55" t="s">
        <v>155</v>
      </c>
      <c r="J35" s="55" t="s">
        <v>38</v>
      </c>
      <c r="K35" s="55" t="s">
        <v>156</v>
      </c>
      <c r="L35" s="178">
        <v>1</v>
      </c>
      <c r="N35" s="55">
        <v>7</v>
      </c>
      <c r="O35" s="55">
        <v>0.75</v>
      </c>
      <c r="P35" s="55">
        <v>0.65</v>
      </c>
      <c r="Q35" s="57">
        <f t="shared" si="0"/>
        <v>0.7</v>
      </c>
      <c r="R35" s="178">
        <v>16.100000000000001</v>
      </c>
      <c r="S35" s="55">
        <v>161</v>
      </c>
      <c r="T35" s="57">
        <f t="shared" si="1"/>
        <v>22</v>
      </c>
      <c r="U35" s="55">
        <v>950</v>
      </c>
      <c r="V35" s="58">
        <f t="shared" si="2"/>
        <v>2985.7142857142858</v>
      </c>
      <c r="W35" s="178">
        <v>1</v>
      </c>
      <c r="X35" s="55" t="s">
        <v>46</v>
      </c>
      <c r="Y35" s="55" t="s">
        <v>69</v>
      </c>
      <c r="Z35" s="55" t="s">
        <v>55</v>
      </c>
      <c r="AA35" s="55" t="s">
        <v>86</v>
      </c>
      <c r="AB35" s="39" t="s">
        <v>316</v>
      </c>
      <c r="AE35" s="194"/>
      <c r="AF35" s="194"/>
      <c r="AG35" s="194"/>
      <c r="AH35" s="194"/>
      <c r="AI35" s="194"/>
      <c r="AJ35" s="194"/>
      <c r="AK35" s="194"/>
      <c r="AL35" s="194"/>
      <c r="AM35" s="194"/>
      <c r="AN35" s="194"/>
      <c r="AO35" s="194"/>
      <c r="AP35" s="194"/>
      <c r="AQ35" s="194"/>
      <c r="AR35" s="194"/>
      <c r="AS35" s="194"/>
      <c r="AT35" s="194"/>
      <c r="AU35" s="194"/>
      <c r="AV35" s="194"/>
      <c r="AW35" s="194"/>
    </row>
    <row r="36" spans="1:49" x14ac:dyDescent="0.15">
      <c r="A36" s="55" t="s">
        <v>41</v>
      </c>
      <c r="B36" s="178" t="s">
        <v>313</v>
      </c>
      <c r="C36" s="133">
        <v>2018</v>
      </c>
      <c r="D36" s="56" t="s">
        <v>317</v>
      </c>
      <c r="E36" s="178" t="s">
        <v>260</v>
      </c>
      <c r="F36" s="55" t="s">
        <v>265</v>
      </c>
      <c r="G36" s="55" t="s">
        <v>42</v>
      </c>
      <c r="H36" s="55" t="s">
        <v>162</v>
      </c>
      <c r="I36" s="55" t="s">
        <v>155</v>
      </c>
      <c r="J36" s="55" t="s">
        <v>38</v>
      </c>
      <c r="K36" s="55" t="s">
        <v>156</v>
      </c>
      <c r="L36" s="178">
        <v>2</v>
      </c>
      <c r="N36" s="55">
        <v>7</v>
      </c>
      <c r="O36" s="55">
        <v>0.65</v>
      </c>
      <c r="P36" s="55">
        <v>0.7</v>
      </c>
      <c r="Q36" s="57">
        <f t="shared" si="0"/>
        <v>0.67500000000000004</v>
      </c>
      <c r="R36" s="178">
        <v>16.3</v>
      </c>
      <c r="S36" s="55">
        <v>154</v>
      </c>
      <c r="T36" s="57">
        <f t="shared" si="1"/>
        <v>22</v>
      </c>
      <c r="U36" s="55">
        <v>950</v>
      </c>
      <c r="V36" s="58">
        <f t="shared" si="2"/>
        <v>2985.7142857142858</v>
      </c>
      <c r="W36" s="178">
        <v>1</v>
      </c>
      <c r="X36" s="55" t="s">
        <v>46</v>
      </c>
      <c r="Y36" s="55" t="s">
        <v>69</v>
      </c>
      <c r="Z36" s="55" t="s">
        <v>55</v>
      </c>
      <c r="AA36" s="55" t="s">
        <v>86</v>
      </c>
      <c r="AB36" s="39" t="s">
        <v>316</v>
      </c>
      <c r="AE36" s="194"/>
      <c r="AF36" s="194"/>
      <c r="AG36" s="194"/>
      <c r="AH36" s="194"/>
      <c r="AI36" s="194"/>
      <c r="AJ36" s="194"/>
      <c r="AK36" s="194"/>
      <c r="AL36" s="194"/>
      <c r="AM36" s="194"/>
      <c r="AN36" s="194"/>
      <c r="AO36" s="194"/>
      <c r="AP36" s="194"/>
      <c r="AQ36" s="194"/>
      <c r="AR36" s="194"/>
      <c r="AS36" s="194"/>
      <c r="AT36" s="194"/>
      <c r="AU36" s="194"/>
      <c r="AV36" s="194"/>
      <c r="AW36" s="194"/>
    </row>
    <row r="37" spans="1:49" x14ac:dyDescent="0.15">
      <c r="A37" s="55" t="s">
        <v>41</v>
      </c>
      <c r="B37" s="178" t="s">
        <v>313</v>
      </c>
      <c r="C37" s="133">
        <v>2018</v>
      </c>
      <c r="D37" s="56" t="s">
        <v>317</v>
      </c>
      <c r="E37" s="178" t="s">
        <v>260</v>
      </c>
      <c r="F37" s="55" t="s">
        <v>265</v>
      </c>
      <c r="G37" s="55" t="s">
        <v>42</v>
      </c>
      <c r="H37" s="55" t="s">
        <v>162</v>
      </c>
      <c r="I37" s="55" t="s">
        <v>155</v>
      </c>
      <c r="J37" s="55" t="s">
        <v>38</v>
      </c>
      <c r="K37" s="55" t="s">
        <v>156</v>
      </c>
      <c r="L37" s="178">
        <v>3</v>
      </c>
      <c r="N37" s="55">
        <v>7</v>
      </c>
      <c r="O37" s="55">
        <v>0.5</v>
      </c>
      <c r="P37" s="55">
        <v>0.55000000000000004</v>
      </c>
      <c r="Q37" s="57">
        <f t="shared" si="0"/>
        <v>0.52500000000000002</v>
      </c>
      <c r="R37" s="178">
        <v>15.7</v>
      </c>
      <c r="S37" s="55">
        <v>150</v>
      </c>
      <c r="T37" s="57">
        <f t="shared" si="1"/>
        <v>22</v>
      </c>
      <c r="U37" s="55">
        <v>950</v>
      </c>
      <c r="V37" s="58">
        <f t="shared" si="2"/>
        <v>2985.7142857142858</v>
      </c>
      <c r="W37" s="178">
        <v>1</v>
      </c>
      <c r="X37" s="55" t="s">
        <v>46</v>
      </c>
      <c r="Y37" s="55" t="s">
        <v>69</v>
      </c>
      <c r="Z37" s="55" t="s">
        <v>55</v>
      </c>
      <c r="AA37" s="55" t="s">
        <v>86</v>
      </c>
      <c r="AB37" s="39" t="s">
        <v>316</v>
      </c>
      <c r="AE37" s="194"/>
      <c r="AF37" s="194"/>
      <c r="AG37" s="194"/>
      <c r="AH37" s="194"/>
      <c r="AI37" s="194"/>
      <c r="AJ37" s="194"/>
      <c r="AK37" s="194"/>
      <c r="AL37" s="194"/>
      <c r="AM37" s="194"/>
      <c r="AN37" s="194"/>
      <c r="AO37" s="194"/>
      <c r="AP37" s="194"/>
      <c r="AQ37" s="194"/>
      <c r="AR37" s="194"/>
      <c r="AS37" s="194"/>
      <c r="AT37" s="194"/>
      <c r="AU37" s="194"/>
      <c r="AV37" s="194"/>
      <c r="AW37" s="194"/>
    </row>
    <row r="38" spans="1:49" x14ac:dyDescent="0.15">
      <c r="A38" s="55" t="s">
        <v>41</v>
      </c>
      <c r="B38" s="178" t="s">
        <v>313</v>
      </c>
      <c r="C38" s="133">
        <v>2018</v>
      </c>
      <c r="D38" s="56" t="s">
        <v>317</v>
      </c>
      <c r="E38" s="178" t="s">
        <v>260</v>
      </c>
      <c r="F38" s="178" t="s">
        <v>266</v>
      </c>
      <c r="G38" s="55" t="s">
        <v>42</v>
      </c>
      <c r="H38" s="55" t="s">
        <v>157</v>
      </c>
      <c r="I38" s="55" t="s">
        <v>155</v>
      </c>
      <c r="J38" s="55" t="s">
        <v>38</v>
      </c>
      <c r="K38" s="55" t="s">
        <v>156</v>
      </c>
      <c r="L38" s="178">
        <v>1</v>
      </c>
      <c r="M38" s="55"/>
      <c r="N38" s="55">
        <v>1</v>
      </c>
      <c r="O38" s="55">
        <v>1</v>
      </c>
      <c r="P38" s="197">
        <v>1</v>
      </c>
      <c r="Q38" s="198">
        <f t="shared" si="0"/>
        <v>1</v>
      </c>
      <c r="R38" s="55">
        <v>15.9</v>
      </c>
      <c r="S38" s="55">
        <v>131</v>
      </c>
      <c r="T38" s="77">
        <f t="shared" si="1"/>
        <v>25</v>
      </c>
      <c r="U38" s="55">
        <v>149</v>
      </c>
      <c r="V38" s="78">
        <f t="shared" si="2"/>
        <v>3725</v>
      </c>
      <c r="W38" s="55">
        <v>2</v>
      </c>
      <c r="X38" s="55" t="s">
        <v>46</v>
      </c>
      <c r="Y38" s="55" t="s">
        <v>69</v>
      </c>
      <c r="Z38" s="55" t="s">
        <v>86</v>
      </c>
      <c r="AA38" s="55" t="s">
        <v>55</v>
      </c>
      <c r="AB38" s="39" t="s">
        <v>316</v>
      </c>
      <c r="AE38" s="199"/>
      <c r="AF38" s="194"/>
      <c r="AG38" s="200"/>
      <c r="AH38" s="200"/>
      <c r="AI38" s="194"/>
      <c r="AJ38" s="194"/>
      <c r="AK38" s="194"/>
      <c r="AL38" s="194"/>
      <c r="AM38" s="194"/>
      <c r="AN38" s="194"/>
      <c r="AO38" s="194"/>
      <c r="AP38" s="194"/>
      <c r="AQ38" s="194"/>
      <c r="AR38" s="200"/>
      <c r="AS38" s="194"/>
      <c r="AT38" s="194"/>
      <c r="AU38" s="194"/>
      <c r="AV38" s="194"/>
      <c r="AW38" s="194"/>
    </row>
    <row r="39" spans="1:49" x14ac:dyDescent="0.15">
      <c r="A39" s="55" t="s">
        <v>41</v>
      </c>
      <c r="B39" s="178" t="s">
        <v>313</v>
      </c>
      <c r="C39" s="133">
        <v>2018</v>
      </c>
      <c r="D39" s="56" t="s">
        <v>317</v>
      </c>
      <c r="E39" s="178" t="s">
        <v>260</v>
      </c>
      <c r="F39" s="178" t="s">
        <v>266</v>
      </c>
      <c r="G39" s="55" t="s">
        <v>42</v>
      </c>
      <c r="H39" s="55" t="s">
        <v>157</v>
      </c>
      <c r="I39" s="55" t="s">
        <v>155</v>
      </c>
      <c r="J39" s="55" t="s">
        <v>38</v>
      </c>
      <c r="K39" s="55" t="s">
        <v>156</v>
      </c>
      <c r="L39" s="178">
        <v>2</v>
      </c>
      <c r="N39" s="55">
        <v>1</v>
      </c>
      <c r="O39" s="55">
        <v>1</v>
      </c>
      <c r="P39" s="55">
        <v>1</v>
      </c>
      <c r="Q39" s="198">
        <f t="shared" si="0"/>
        <v>1</v>
      </c>
      <c r="R39" s="55">
        <v>13.5</v>
      </c>
      <c r="S39" s="55">
        <v>124</v>
      </c>
      <c r="T39" s="77">
        <f t="shared" si="1"/>
        <v>27</v>
      </c>
      <c r="U39" s="55">
        <v>149</v>
      </c>
      <c r="V39" s="58">
        <f t="shared" si="2"/>
        <v>4023</v>
      </c>
      <c r="W39" s="178">
        <v>2</v>
      </c>
      <c r="X39" s="55" t="s">
        <v>46</v>
      </c>
      <c r="Y39" s="55" t="s">
        <v>69</v>
      </c>
      <c r="Z39" s="55" t="s">
        <v>86</v>
      </c>
      <c r="AA39" s="55" t="s">
        <v>55</v>
      </c>
      <c r="AB39" s="39" t="s">
        <v>316</v>
      </c>
      <c r="AE39" s="199"/>
      <c r="AF39" s="194"/>
      <c r="AG39" s="200"/>
      <c r="AH39" s="200"/>
      <c r="AI39" s="194"/>
      <c r="AJ39" s="194"/>
      <c r="AK39" s="194"/>
      <c r="AL39" s="194"/>
      <c r="AM39" s="194"/>
      <c r="AN39" s="194"/>
      <c r="AO39" s="194"/>
      <c r="AP39" s="194"/>
      <c r="AQ39" s="194"/>
      <c r="AR39" s="200"/>
      <c r="AS39" s="194"/>
      <c r="AT39" s="194"/>
      <c r="AU39" s="194"/>
      <c r="AV39" s="194"/>
      <c r="AW39" s="194"/>
    </row>
    <row r="40" spans="1:49" x14ac:dyDescent="0.15">
      <c r="A40" s="55" t="s">
        <v>41</v>
      </c>
      <c r="B40" s="178" t="s">
        <v>313</v>
      </c>
      <c r="C40" s="133">
        <v>2018</v>
      </c>
      <c r="D40" s="56" t="s">
        <v>317</v>
      </c>
      <c r="E40" s="178" t="s">
        <v>260</v>
      </c>
      <c r="F40" s="178" t="s">
        <v>266</v>
      </c>
      <c r="G40" s="55" t="s">
        <v>42</v>
      </c>
      <c r="H40" s="55" t="s">
        <v>157</v>
      </c>
      <c r="I40" s="55" t="s">
        <v>155</v>
      </c>
      <c r="J40" s="55" t="s">
        <v>38</v>
      </c>
      <c r="K40" s="55" t="s">
        <v>156</v>
      </c>
      <c r="L40" s="178">
        <v>3</v>
      </c>
      <c r="N40" s="55">
        <v>1</v>
      </c>
      <c r="O40" s="55">
        <v>1</v>
      </c>
      <c r="P40" s="55">
        <v>1</v>
      </c>
      <c r="Q40" s="198">
        <f t="shared" si="0"/>
        <v>1</v>
      </c>
      <c r="R40" s="55">
        <v>17.399999999999999</v>
      </c>
      <c r="S40" s="55">
        <v>128</v>
      </c>
      <c r="T40" s="77">
        <f t="shared" si="1"/>
        <v>27</v>
      </c>
      <c r="U40" s="55">
        <v>149</v>
      </c>
      <c r="V40" s="58">
        <f t="shared" si="2"/>
        <v>4023</v>
      </c>
      <c r="W40" s="178">
        <v>2</v>
      </c>
      <c r="X40" s="55" t="s">
        <v>46</v>
      </c>
      <c r="Y40" s="55" t="s">
        <v>69</v>
      </c>
      <c r="Z40" s="55" t="s">
        <v>86</v>
      </c>
      <c r="AA40" s="55" t="s">
        <v>55</v>
      </c>
      <c r="AB40" s="39" t="s">
        <v>316</v>
      </c>
      <c r="AE40" s="199"/>
      <c r="AF40" s="194"/>
      <c r="AG40" s="200"/>
      <c r="AH40" s="200"/>
      <c r="AI40" s="194"/>
      <c r="AJ40" s="194"/>
      <c r="AK40" s="194"/>
      <c r="AL40" s="194"/>
      <c r="AM40" s="194"/>
      <c r="AN40" s="194"/>
      <c r="AO40" s="194"/>
      <c r="AP40" s="194"/>
      <c r="AQ40" s="194"/>
      <c r="AR40" s="200"/>
      <c r="AS40" s="194"/>
      <c r="AT40" s="194"/>
      <c r="AU40" s="194"/>
      <c r="AV40" s="194"/>
      <c r="AW40" s="194"/>
    </row>
    <row r="41" spans="1:49" x14ac:dyDescent="0.15">
      <c r="A41" s="55" t="s">
        <v>41</v>
      </c>
      <c r="B41" s="178" t="s">
        <v>313</v>
      </c>
      <c r="C41" s="133">
        <v>2018</v>
      </c>
      <c r="D41" s="56" t="s">
        <v>317</v>
      </c>
      <c r="E41" s="178" t="s">
        <v>260</v>
      </c>
      <c r="F41" s="178" t="s">
        <v>266</v>
      </c>
      <c r="G41" s="55" t="s">
        <v>42</v>
      </c>
      <c r="H41" s="55" t="s">
        <v>157</v>
      </c>
      <c r="I41" s="55" t="s">
        <v>155</v>
      </c>
      <c r="J41" s="55" t="s">
        <v>38</v>
      </c>
      <c r="K41" s="55" t="s">
        <v>156</v>
      </c>
      <c r="L41" s="178">
        <v>1</v>
      </c>
      <c r="M41" s="55"/>
      <c r="N41" s="55">
        <v>3</v>
      </c>
      <c r="O41" s="55">
        <v>0.25</v>
      </c>
      <c r="P41" s="55">
        <v>0.3</v>
      </c>
      <c r="Q41" s="82">
        <f t="shared" si="0"/>
        <v>0.27500000000000002</v>
      </c>
      <c r="R41" s="55">
        <v>14</v>
      </c>
      <c r="S41" s="55">
        <v>141</v>
      </c>
      <c r="T41" s="77">
        <f t="shared" si="1"/>
        <v>22</v>
      </c>
      <c r="U41" s="55">
        <v>429</v>
      </c>
      <c r="V41" s="78">
        <f t="shared" si="2"/>
        <v>3146</v>
      </c>
      <c r="W41" s="55">
        <v>1</v>
      </c>
      <c r="X41" s="55" t="s">
        <v>46</v>
      </c>
      <c r="Y41" s="55" t="s">
        <v>69</v>
      </c>
      <c r="Z41" s="55" t="s">
        <v>86</v>
      </c>
      <c r="AA41" s="55" t="s">
        <v>55</v>
      </c>
      <c r="AB41" s="39" t="s">
        <v>316</v>
      </c>
      <c r="AE41" s="199"/>
      <c r="AF41" s="194"/>
      <c r="AG41" s="194"/>
      <c r="AH41" s="194"/>
      <c r="AI41" s="194"/>
      <c r="AJ41" s="194"/>
      <c r="AK41" s="194"/>
      <c r="AL41" s="194"/>
      <c r="AM41" s="194"/>
      <c r="AN41" s="194"/>
      <c r="AO41" s="194"/>
      <c r="AP41" s="200"/>
      <c r="AQ41" s="194"/>
      <c r="AR41" s="200"/>
      <c r="AS41" s="194"/>
      <c r="AT41" s="194"/>
      <c r="AU41" s="194"/>
      <c r="AV41" s="194"/>
      <c r="AW41" s="194"/>
    </row>
    <row r="42" spans="1:49" x14ac:dyDescent="0.15">
      <c r="A42" s="55" t="s">
        <v>41</v>
      </c>
      <c r="B42" s="178" t="s">
        <v>313</v>
      </c>
      <c r="C42" s="133">
        <v>2018</v>
      </c>
      <c r="D42" s="56" t="s">
        <v>317</v>
      </c>
      <c r="E42" s="178" t="s">
        <v>260</v>
      </c>
      <c r="F42" s="178" t="s">
        <v>266</v>
      </c>
      <c r="G42" s="55" t="s">
        <v>42</v>
      </c>
      <c r="H42" s="55" t="s">
        <v>157</v>
      </c>
      <c r="I42" s="55" t="s">
        <v>155</v>
      </c>
      <c r="J42" s="55" t="s">
        <v>38</v>
      </c>
      <c r="K42" s="55" t="s">
        <v>156</v>
      </c>
      <c r="L42" s="178">
        <v>2</v>
      </c>
      <c r="N42" s="55">
        <v>3</v>
      </c>
      <c r="O42" s="55">
        <v>0.3</v>
      </c>
      <c r="P42" s="55">
        <v>0.3</v>
      </c>
      <c r="Q42" s="82">
        <f t="shared" si="0"/>
        <v>0.3</v>
      </c>
      <c r="R42" s="55">
        <v>14</v>
      </c>
      <c r="S42" s="55">
        <v>135</v>
      </c>
      <c r="T42" s="77">
        <f t="shared" si="1"/>
        <v>25</v>
      </c>
      <c r="U42" s="55">
        <v>429</v>
      </c>
      <c r="V42" s="78">
        <f t="shared" si="2"/>
        <v>3575</v>
      </c>
      <c r="W42" s="55">
        <v>1</v>
      </c>
      <c r="X42" s="55" t="s">
        <v>46</v>
      </c>
      <c r="Y42" s="55" t="s">
        <v>69</v>
      </c>
      <c r="Z42" s="55" t="s">
        <v>86</v>
      </c>
      <c r="AA42" s="55" t="s">
        <v>55</v>
      </c>
      <c r="AB42" s="39" t="s">
        <v>316</v>
      </c>
      <c r="AE42" s="199"/>
      <c r="AF42" s="194"/>
      <c r="AG42" s="194"/>
      <c r="AH42" s="194"/>
      <c r="AI42" s="194"/>
      <c r="AJ42" s="194"/>
      <c r="AK42" s="194"/>
      <c r="AL42" s="194"/>
      <c r="AM42" s="194"/>
      <c r="AN42" s="194"/>
      <c r="AO42" s="194"/>
      <c r="AP42" s="200"/>
      <c r="AQ42" s="194"/>
      <c r="AR42" s="200"/>
      <c r="AS42" s="194"/>
      <c r="AT42" s="194"/>
      <c r="AU42" s="194"/>
      <c r="AV42" s="194"/>
      <c r="AW42" s="194"/>
    </row>
    <row r="43" spans="1:49" x14ac:dyDescent="0.15">
      <c r="A43" s="55" t="s">
        <v>41</v>
      </c>
      <c r="B43" s="178" t="s">
        <v>313</v>
      </c>
      <c r="C43" s="133">
        <v>2018</v>
      </c>
      <c r="D43" s="56" t="s">
        <v>317</v>
      </c>
      <c r="E43" s="178" t="s">
        <v>260</v>
      </c>
      <c r="F43" s="178" t="s">
        <v>266</v>
      </c>
      <c r="G43" s="55" t="s">
        <v>42</v>
      </c>
      <c r="H43" s="55" t="s">
        <v>157</v>
      </c>
      <c r="I43" s="55" t="s">
        <v>155</v>
      </c>
      <c r="J43" s="55" t="s">
        <v>38</v>
      </c>
      <c r="K43" s="55" t="s">
        <v>156</v>
      </c>
      <c r="L43" s="178">
        <v>3</v>
      </c>
      <c r="N43" s="55">
        <v>3</v>
      </c>
      <c r="O43" s="55">
        <v>0.35</v>
      </c>
      <c r="P43" s="55">
        <v>0.3</v>
      </c>
      <c r="Q43" s="82">
        <f t="shared" si="0"/>
        <v>0.32499999999999996</v>
      </c>
      <c r="R43" s="55">
        <v>15.8</v>
      </c>
      <c r="S43" s="55">
        <v>131</v>
      </c>
      <c r="T43" s="77">
        <f t="shared" si="1"/>
        <v>25</v>
      </c>
      <c r="U43" s="55">
        <v>429</v>
      </c>
      <c r="V43" s="78">
        <f t="shared" si="2"/>
        <v>3575</v>
      </c>
      <c r="W43" s="178">
        <v>1</v>
      </c>
      <c r="X43" s="55" t="s">
        <v>46</v>
      </c>
      <c r="Y43" s="55" t="s">
        <v>69</v>
      </c>
      <c r="Z43" s="55" t="s">
        <v>86</v>
      </c>
      <c r="AA43" s="55" t="s">
        <v>55</v>
      </c>
      <c r="AB43" s="39" t="s">
        <v>316</v>
      </c>
      <c r="AE43" s="199"/>
      <c r="AF43" s="194"/>
      <c r="AG43" s="194"/>
      <c r="AH43" s="194"/>
      <c r="AI43" s="194"/>
      <c r="AJ43" s="194"/>
      <c r="AK43" s="194"/>
      <c r="AL43" s="194"/>
      <c r="AM43" s="194"/>
      <c r="AN43" s="194"/>
      <c r="AO43" s="194"/>
      <c r="AP43" s="200"/>
      <c r="AQ43" s="194"/>
      <c r="AR43" s="200"/>
      <c r="AS43" s="194"/>
      <c r="AT43" s="194"/>
      <c r="AU43" s="194"/>
      <c r="AV43" s="194"/>
      <c r="AW43" s="194"/>
    </row>
    <row r="44" spans="1:49" x14ac:dyDescent="0.15">
      <c r="A44" s="55" t="s">
        <v>41</v>
      </c>
      <c r="B44" s="178" t="s">
        <v>313</v>
      </c>
      <c r="C44" s="133">
        <v>2018</v>
      </c>
      <c r="D44" s="56" t="s">
        <v>317</v>
      </c>
      <c r="E44" s="178" t="s">
        <v>260</v>
      </c>
      <c r="F44" s="178" t="s">
        <v>266</v>
      </c>
      <c r="G44" s="55" t="s">
        <v>42</v>
      </c>
      <c r="H44" s="55" t="s">
        <v>162</v>
      </c>
      <c r="I44" s="55" t="s">
        <v>155</v>
      </c>
      <c r="J44" s="55" t="s">
        <v>38</v>
      </c>
      <c r="K44" s="55" t="s">
        <v>156</v>
      </c>
      <c r="L44" s="178">
        <v>1</v>
      </c>
      <c r="M44" s="55"/>
      <c r="N44" s="55">
        <v>1</v>
      </c>
      <c r="O44" s="55">
        <v>0.65</v>
      </c>
      <c r="P44" s="55">
        <v>0.7</v>
      </c>
      <c r="Q44" s="82">
        <f t="shared" si="0"/>
        <v>0.67500000000000004</v>
      </c>
      <c r="R44" s="55">
        <v>16.2</v>
      </c>
      <c r="S44" s="55">
        <v>145</v>
      </c>
      <c r="T44" s="77">
        <f t="shared" si="1"/>
        <v>22</v>
      </c>
      <c r="U44" s="55">
        <v>149</v>
      </c>
      <c r="V44" s="78">
        <f t="shared" si="2"/>
        <v>3278</v>
      </c>
      <c r="W44" s="55">
        <v>2</v>
      </c>
      <c r="X44" s="55" t="s">
        <v>46</v>
      </c>
      <c r="Y44" s="55" t="s">
        <v>69</v>
      </c>
      <c r="Z44" s="55" t="s">
        <v>86</v>
      </c>
      <c r="AA44" s="55" t="s">
        <v>55</v>
      </c>
      <c r="AB44" s="39" t="s">
        <v>316</v>
      </c>
      <c r="AE44" s="194"/>
      <c r="AF44" s="194"/>
      <c r="AG44" s="194"/>
      <c r="AH44" s="194"/>
      <c r="AI44" s="194"/>
      <c r="AJ44" s="194"/>
      <c r="AK44" s="194"/>
      <c r="AL44" s="194"/>
      <c r="AM44" s="194"/>
      <c r="AN44" s="194"/>
      <c r="AO44" s="194"/>
      <c r="AP44" s="194"/>
      <c r="AQ44" s="194"/>
      <c r="AR44" s="194"/>
      <c r="AS44" s="194"/>
      <c r="AT44" s="194"/>
      <c r="AU44" s="194"/>
      <c r="AV44" s="194"/>
      <c r="AW44" s="194"/>
    </row>
    <row r="45" spans="1:49" x14ac:dyDescent="0.15">
      <c r="A45" s="55" t="s">
        <v>41</v>
      </c>
      <c r="B45" s="178" t="s">
        <v>313</v>
      </c>
      <c r="C45" s="133">
        <v>2018</v>
      </c>
      <c r="D45" s="56" t="s">
        <v>317</v>
      </c>
      <c r="E45" s="178" t="s">
        <v>260</v>
      </c>
      <c r="F45" s="178" t="s">
        <v>266</v>
      </c>
      <c r="G45" s="55" t="s">
        <v>42</v>
      </c>
      <c r="H45" s="55" t="s">
        <v>162</v>
      </c>
      <c r="I45" s="55" t="s">
        <v>155</v>
      </c>
      <c r="J45" s="55" t="s">
        <v>38</v>
      </c>
      <c r="K45" s="55" t="s">
        <v>156</v>
      </c>
      <c r="L45" s="178">
        <v>2</v>
      </c>
      <c r="N45" s="55">
        <v>1</v>
      </c>
      <c r="O45" s="55">
        <v>0.4</v>
      </c>
      <c r="P45" s="55">
        <v>0.65</v>
      </c>
      <c r="Q45" s="82">
        <f t="shared" si="0"/>
        <v>0.52500000000000002</v>
      </c>
      <c r="R45" s="55">
        <v>15.9</v>
      </c>
      <c r="S45" s="55">
        <v>130</v>
      </c>
      <c r="T45" s="77">
        <f t="shared" si="1"/>
        <v>25</v>
      </c>
      <c r="U45" s="55">
        <v>149</v>
      </c>
      <c r="V45" s="58">
        <f t="shared" si="2"/>
        <v>3725</v>
      </c>
      <c r="W45" s="178">
        <v>2</v>
      </c>
      <c r="X45" s="55" t="s">
        <v>46</v>
      </c>
      <c r="Y45" s="55" t="s">
        <v>69</v>
      </c>
      <c r="Z45" s="55" t="s">
        <v>86</v>
      </c>
      <c r="AA45" s="55" t="s">
        <v>55</v>
      </c>
      <c r="AB45" s="39" t="s">
        <v>316</v>
      </c>
      <c r="AE45" s="194"/>
      <c r="AF45" s="194"/>
      <c r="AG45" s="194"/>
      <c r="AH45" s="194"/>
      <c r="AI45" s="194"/>
      <c r="AJ45" s="194"/>
      <c r="AK45" s="194"/>
      <c r="AL45" s="194"/>
      <c r="AM45" s="194"/>
      <c r="AN45" s="194"/>
      <c r="AO45" s="194"/>
      <c r="AP45" s="194"/>
      <c r="AQ45" s="194"/>
      <c r="AR45" s="194"/>
      <c r="AS45" s="194"/>
      <c r="AT45" s="194"/>
      <c r="AU45" s="194"/>
      <c r="AV45" s="194"/>
      <c r="AW45" s="194"/>
    </row>
    <row r="46" spans="1:49" x14ac:dyDescent="0.15">
      <c r="A46" s="55" t="s">
        <v>41</v>
      </c>
      <c r="B46" s="178" t="s">
        <v>313</v>
      </c>
      <c r="C46" s="133">
        <v>2018</v>
      </c>
      <c r="D46" s="56" t="s">
        <v>317</v>
      </c>
      <c r="E46" s="178" t="s">
        <v>260</v>
      </c>
      <c r="F46" s="178" t="s">
        <v>266</v>
      </c>
      <c r="G46" s="55" t="s">
        <v>42</v>
      </c>
      <c r="H46" s="55" t="s">
        <v>162</v>
      </c>
      <c r="I46" s="55" t="s">
        <v>155</v>
      </c>
      <c r="J46" s="55" t="s">
        <v>38</v>
      </c>
      <c r="K46" s="55" t="s">
        <v>156</v>
      </c>
      <c r="L46" s="178">
        <v>3</v>
      </c>
      <c r="N46" s="55">
        <v>1</v>
      </c>
      <c r="O46" s="55">
        <v>0.75</v>
      </c>
      <c r="P46" s="55">
        <v>0.7</v>
      </c>
      <c r="Q46" s="82">
        <f t="shared" si="0"/>
        <v>0.72499999999999998</v>
      </c>
      <c r="R46" s="55">
        <v>14.2</v>
      </c>
      <c r="S46" s="55">
        <v>135</v>
      </c>
      <c r="T46" s="77">
        <f t="shared" si="1"/>
        <v>25</v>
      </c>
      <c r="U46" s="55">
        <v>149</v>
      </c>
      <c r="V46" s="58">
        <f t="shared" si="2"/>
        <v>3725</v>
      </c>
      <c r="W46" s="178">
        <v>2</v>
      </c>
      <c r="X46" s="55" t="s">
        <v>46</v>
      </c>
      <c r="Y46" s="55" t="s">
        <v>69</v>
      </c>
      <c r="Z46" s="55" t="s">
        <v>86</v>
      </c>
      <c r="AA46" s="55" t="s">
        <v>55</v>
      </c>
      <c r="AB46" s="39" t="s">
        <v>316</v>
      </c>
      <c r="AE46" s="194"/>
      <c r="AF46" s="194"/>
      <c r="AG46" s="194"/>
      <c r="AH46" s="194"/>
      <c r="AI46" s="194"/>
      <c r="AJ46" s="194"/>
      <c r="AK46" s="194"/>
      <c r="AL46" s="194"/>
      <c r="AM46" s="194"/>
      <c r="AN46" s="194"/>
      <c r="AO46" s="194"/>
      <c r="AP46" s="194"/>
      <c r="AQ46" s="194"/>
      <c r="AR46" s="194"/>
      <c r="AS46" s="194"/>
      <c r="AT46" s="194"/>
      <c r="AU46" s="194"/>
      <c r="AV46" s="194"/>
      <c r="AW46" s="194"/>
    </row>
    <row r="47" spans="1:49" x14ac:dyDescent="0.15">
      <c r="A47" s="55" t="s">
        <v>41</v>
      </c>
      <c r="B47" s="178" t="s">
        <v>313</v>
      </c>
      <c r="C47" s="133">
        <v>2018</v>
      </c>
      <c r="D47" s="56" t="s">
        <v>317</v>
      </c>
      <c r="E47" s="178" t="s">
        <v>260</v>
      </c>
      <c r="F47" s="178" t="s">
        <v>266</v>
      </c>
      <c r="G47" s="55" t="s">
        <v>42</v>
      </c>
      <c r="H47" s="55" t="s">
        <v>162</v>
      </c>
      <c r="I47" s="55" t="s">
        <v>155</v>
      </c>
      <c r="J47" s="55" t="s">
        <v>38</v>
      </c>
      <c r="K47" s="55" t="s">
        <v>156</v>
      </c>
      <c r="L47" s="178">
        <v>1</v>
      </c>
      <c r="N47" s="55">
        <v>3</v>
      </c>
      <c r="O47" s="55">
        <v>0.65</v>
      </c>
      <c r="P47" s="55">
        <v>0.7</v>
      </c>
      <c r="Q47" s="82">
        <f t="shared" si="0"/>
        <v>0.67500000000000004</v>
      </c>
      <c r="R47" s="55">
        <v>13.5</v>
      </c>
      <c r="S47" s="55">
        <v>141</v>
      </c>
      <c r="T47" s="57">
        <f t="shared" si="1"/>
        <v>22</v>
      </c>
      <c r="U47" s="55">
        <v>537</v>
      </c>
      <c r="V47" s="58">
        <f t="shared" si="2"/>
        <v>3938</v>
      </c>
      <c r="W47" s="178">
        <v>1</v>
      </c>
      <c r="X47" s="55" t="s">
        <v>46</v>
      </c>
      <c r="Y47" s="55" t="s">
        <v>69</v>
      </c>
      <c r="Z47" s="55" t="s">
        <v>86</v>
      </c>
      <c r="AA47" s="55" t="s">
        <v>55</v>
      </c>
      <c r="AB47" s="39" t="s">
        <v>316</v>
      </c>
      <c r="AE47" s="194"/>
      <c r="AF47" s="194"/>
      <c r="AG47" s="194"/>
      <c r="AH47" s="194"/>
      <c r="AI47" s="194"/>
      <c r="AJ47" s="194"/>
      <c r="AK47" s="194"/>
      <c r="AL47" s="194"/>
      <c r="AM47" s="194"/>
      <c r="AN47" s="194"/>
      <c r="AO47" s="194"/>
      <c r="AP47" s="194"/>
      <c r="AQ47" s="194"/>
      <c r="AR47" s="194"/>
      <c r="AS47" s="194"/>
      <c r="AT47" s="194"/>
      <c r="AU47" s="194"/>
      <c r="AV47" s="194"/>
      <c r="AW47" s="194"/>
    </row>
    <row r="48" spans="1:49" x14ac:dyDescent="0.15">
      <c r="A48" s="55" t="s">
        <v>41</v>
      </c>
      <c r="B48" s="178" t="s">
        <v>313</v>
      </c>
      <c r="C48" s="133">
        <v>2018</v>
      </c>
      <c r="D48" s="56" t="s">
        <v>317</v>
      </c>
      <c r="E48" s="178" t="s">
        <v>260</v>
      </c>
      <c r="F48" s="178" t="s">
        <v>266</v>
      </c>
      <c r="G48" s="55" t="s">
        <v>42</v>
      </c>
      <c r="H48" s="55" t="s">
        <v>162</v>
      </c>
      <c r="I48" s="55" t="s">
        <v>155</v>
      </c>
      <c r="J48" s="55" t="s">
        <v>38</v>
      </c>
      <c r="K48" s="55" t="s">
        <v>156</v>
      </c>
      <c r="L48" s="178">
        <v>2</v>
      </c>
      <c r="N48" s="55">
        <v>3</v>
      </c>
      <c r="O48" s="55">
        <v>0.75</v>
      </c>
      <c r="P48" s="55">
        <v>0.9</v>
      </c>
      <c r="Q48" s="82">
        <f t="shared" si="0"/>
        <v>0.82499999999999996</v>
      </c>
      <c r="R48" s="55">
        <v>12.9</v>
      </c>
      <c r="S48" s="55">
        <v>134</v>
      </c>
      <c r="T48" s="57">
        <f t="shared" si="1"/>
        <v>25</v>
      </c>
      <c r="U48" s="55">
        <v>537</v>
      </c>
      <c r="V48" s="58">
        <f t="shared" si="2"/>
        <v>4475</v>
      </c>
      <c r="W48" s="178">
        <v>1</v>
      </c>
      <c r="X48" s="55" t="s">
        <v>46</v>
      </c>
      <c r="Y48" s="55" t="s">
        <v>69</v>
      </c>
      <c r="Z48" s="55" t="s">
        <v>86</v>
      </c>
      <c r="AA48" s="55" t="s">
        <v>55</v>
      </c>
      <c r="AB48" s="39" t="s">
        <v>316</v>
      </c>
    </row>
    <row r="49" spans="1:49" x14ac:dyDescent="0.15">
      <c r="A49" s="55" t="s">
        <v>41</v>
      </c>
      <c r="B49" s="178" t="s">
        <v>313</v>
      </c>
      <c r="C49" s="133">
        <v>2018</v>
      </c>
      <c r="D49" s="56" t="s">
        <v>317</v>
      </c>
      <c r="E49" s="178" t="s">
        <v>260</v>
      </c>
      <c r="F49" s="178" t="s">
        <v>266</v>
      </c>
      <c r="G49" s="55" t="s">
        <v>42</v>
      </c>
      <c r="H49" s="55" t="s">
        <v>162</v>
      </c>
      <c r="I49" s="55" t="s">
        <v>155</v>
      </c>
      <c r="J49" s="55" t="s">
        <v>38</v>
      </c>
      <c r="K49" s="55" t="s">
        <v>156</v>
      </c>
      <c r="L49" s="178">
        <v>3</v>
      </c>
      <c r="N49" s="55">
        <v>3</v>
      </c>
      <c r="O49" s="55">
        <v>0.9</v>
      </c>
      <c r="P49" s="55">
        <v>1</v>
      </c>
      <c r="Q49" s="82">
        <f t="shared" si="0"/>
        <v>0.95</v>
      </c>
      <c r="R49" s="55">
        <v>17.399999999999999</v>
      </c>
      <c r="S49" s="55">
        <v>139</v>
      </c>
      <c r="T49" s="57">
        <f t="shared" si="1"/>
        <v>22</v>
      </c>
      <c r="U49" s="55">
        <v>429</v>
      </c>
      <c r="V49" s="58">
        <f t="shared" si="2"/>
        <v>3146</v>
      </c>
      <c r="W49" s="178">
        <v>1</v>
      </c>
      <c r="X49" s="55" t="s">
        <v>46</v>
      </c>
      <c r="Y49" s="55" t="s">
        <v>69</v>
      </c>
      <c r="Z49" s="55" t="s">
        <v>86</v>
      </c>
      <c r="AA49" s="55" t="s">
        <v>55</v>
      </c>
      <c r="AB49" s="39" t="s">
        <v>316</v>
      </c>
    </row>
    <row r="50" spans="1:49" x14ac:dyDescent="0.15">
      <c r="A50" s="55" t="s">
        <v>41</v>
      </c>
      <c r="B50" s="178" t="s">
        <v>313</v>
      </c>
      <c r="C50" s="133">
        <v>2018</v>
      </c>
      <c r="D50" s="56" t="s">
        <v>317</v>
      </c>
      <c r="E50" s="178" t="s">
        <v>260</v>
      </c>
      <c r="F50" s="178" t="s">
        <v>266</v>
      </c>
      <c r="G50" s="55" t="s">
        <v>42</v>
      </c>
      <c r="H50" s="55" t="s">
        <v>157</v>
      </c>
      <c r="I50" s="55" t="s">
        <v>155</v>
      </c>
      <c r="J50" s="55" t="s">
        <v>38</v>
      </c>
      <c r="K50" s="55" t="s">
        <v>156</v>
      </c>
      <c r="L50" s="178">
        <v>1</v>
      </c>
      <c r="M50" s="55"/>
      <c r="N50" s="55">
        <v>5</v>
      </c>
      <c r="O50" s="55">
        <v>0.45</v>
      </c>
      <c r="P50" s="55">
        <v>0.5</v>
      </c>
      <c r="Q50" s="82">
        <f t="shared" si="0"/>
        <v>0.47499999999999998</v>
      </c>
      <c r="R50" s="55">
        <v>18.100000000000001</v>
      </c>
      <c r="S50" s="55">
        <v>121</v>
      </c>
      <c r="T50" s="77">
        <f t="shared" si="1"/>
        <v>27</v>
      </c>
      <c r="U50" s="55">
        <v>626</v>
      </c>
      <c r="V50" s="78">
        <f t="shared" si="2"/>
        <v>3380.4</v>
      </c>
      <c r="W50" s="55">
        <v>1</v>
      </c>
      <c r="X50" s="55" t="s">
        <v>46</v>
      </c>
      <c r="Y50" s="55" t="s">
        <v>69</v>
      </c>
      <c r="Z50" s="55" t="s">
        <v>86</v>
      </c>
      <c r="AA50" s="55" t="s">
        <v>55</v>
      </c>
      <c r="AB50" s="39" t="s">
        <v>316</v>
      </c>
      <c r="AE50" s="199"/>
      <c r="AF50" s="194"/>
      <c r="AG50" s="200"/>
      <c r="AH50" s="200"/>
      <c r="AI50" s="194"/>
      <c r="AJ50" s="194"/>
      <c r="AK50" s="194"/>
      <c r="AL50" s="194"/>
      <c r="AM50" s="194"/>
      <c r="AN50" s="194"/>
      <c r="AO50" s="194"/>
      <c r="AP50" s="194"/>
      <c r="AQ50" s="194"/>
      <c r="AR50" s="200"/>
      <c r="AS50" s="194"/>
      <c r="AT50" s="194"/>
      <c r="AU50" s="194"/>
      <c r="AV50" s="194"/>
      <c r="AW50" s="194"/>
    </row>
    <row r="51" spans="1:49" x14ac:dyDescent="0.15">
      <c r="A51" s="55" t="s">
        <v>41</v>
      </c>
      <c r="B51" s="178" t="s">
        <v>313</v>
      </c>
      <c r="C51" s="133">
        <v>2018</v>
      </c>
      <c r="D51" s="56" t="s">
        <v>317</v>
      </c>
      <c r="E51" s="178" t="s">
        <v>260</v>
      </c>
      <c r="F51" s="178" t="s">
        <v>266</v>
      </c>
      <c r="G51" s="55" t="s">
        <v>42</v>
      </c>
      <c r="H51" s="55" t="s">
        <v>157</v>
      </c>
      <c r="I51" s="55" t="s">
        <v>155</v>
      </c>
      <c r="J51" s="55" t="s">
        <v>38</v>
      </c>
      <c r="K51" s="55" t="s">
        <v>156</v>
      </c>
      <c r="L51" s="178">
        <v>2</v>
      </c>
      <c r="N51" s="55">
        <v>5</v>
      </c>
      <c r="O51" s="55">
        <v>0.45</v>
      </c>
      <c r="P51" s="55">
        <v>0.6</v>
      </c>
      <c r="Q51" s="82">
        <f t="shared" si="0"/>
        <v>0.52500000000000002</v>
      </c>
      <c r="R51" s="55">
        <v>15.1</v>
      </c>
      <c r="S51" s="55">
        <v>124</v>
      </c>
      <c r="T51" s="77">
        <f t="shared" si="1"/>
        <v>27</v>
      </c>
      <c r="U51" s="55">
        <v>626</v>
      </c>
      <c r="V51" s="58">
        <f t="shared" si="2"/>
        <v>3380.4</v>
      </c>
      <c r="W51" s="178">
        <v>1</v>
      </c>
      <c r="X51" s="55" t="s">
        <v>46</v>
      </c>
      <c r="Y51" s="55" t="s">
        <v>69</v>
      </c>
      <c r="Z51" s="55" t="s">
        <v>86</v>
      </c>
      <c r="AA51" s="55" t="s">
        <v>55</v>
      </c>
      <c r="AB51" s="39" t="s">
        <v>316</v>
      </c>
      <c r="AE51" s="199"/>
      <c r="AF51" s="194"/>
      <c r="AG51" s="200"/>
      <c r="AH51" s="200"/>
      <c r="AI51" s="194"/>
      <c r="AJ51" s="194"/>
      <c r="AK51" s="194"/>
      <c r="AL51" s="194"/>
      <c r="AM51" s="194"/>
      <c r="AN51" s="194"/>
      <c r="AO51" s="194"/>
      <c r="AP51" s="194"/>
      <c r="AQ51" s="194"/>
      <c r="AR51" s="200"/>
      <c r="AS51" s="194"/>
      <c r="AT51" s="194"/>
      <c r="AU51" s="194"/>
      <c r="AV51" s="194"/>
      <c r="AW51" s="194"/>
    </row>
    <row r="52" spans="1:49" x14ac:dyDescent="0.15">
      <c r="A52" s="55" t="s">
        <v>41</v>
      </c>
      <c r="B52" s="178" t="s">
        <v>313</v>
      </c>
      <c r="C52" s="133">
        <v>2018</v>
      </c>
      <c r="D52" s="56" t="s">
        <v>317</v>
      </c>
      <c r="E52" s="178" t="s">
        <v>260</v>
      </c>
      <c r="F52" s="178" t="s">
        <v>266</v>
      </c>
      <c r="G52" s="55" t="s">
        <v>42</v>
      </c>
      <c r="H52" s="55" t="s">
        <v>157</v>
      </c>
      <c r="I52" s="55" t="s">
        <v>155</v>
      </c>
      <c r="J52" s="55" t="s">
        <v>38</v>
      </c>
      <c r="K52" s="55" t="s">
        <v>156</v>
      </c>
      <c r="L52" s="178">
        <v>3</v>
      </c>
      <c r="N52" s="55">
        <v>5</v>
      </c>
      <c r="O52" s="55">
        <v>0.6</v>
      </c>
      <c r="P52" s="55">
        <v>0.75</v>
      </c>
      <c r="Q52" s="82">
        <f t="shared" si="0"/>
        <v>0.67500000000000004</v>
      </c>
      <c r="R52" s="55">
        <v>13.9</v>
      </c>
      <c r="S52" s="55">
        <v>118</v>
      </c>
      <c r="T52" s="77">
        <f t="shared" si="1"/>
        <v>30</v>
      </c>
      <c r="U52" s="55">
        <v>626</v>
      </c>
      <c r="V52" s="58">
        <f t="shared" si="2"/>
        <v>3756</v>
      </c>
      <c r="W52" s="178">
        <v>1</v>
      </c>
      <c r="X52" s="55" t="s">
        <v>46</v>
      </c>
      <c r="Y52" s="55" t="s">
        <v>69</v>
      </c>
      <c r="Z52" s="55" t="s">
        <v>86</v>
      </c>
      <c r="AA52" s="55" t="s">
        <v>55</v>
      </c>
      <c r="AB52" s="39" t="s">
        <v>316</v>
      </c>
      <c r="AE52" s="199"/>
      <c r="AF52" s="194"/>
      <c r="AG52" s="200"/>
      <c r="AH52" s="200"/>
      <c r="AI52" s="194"/>
      <c r="AJ52" s="194"/>
      <c r="AK52" s="194"/>
      <c r="AL52" s="194"/>
      <c r="AM52" s="194"/>
      <c r="AN52" s="194"/>
      <c r="AO52" s="194"/>
      <c r="AP52" s="194"/>
      <c r="AQ52" s="194"/>
      <c r="AR52" s="200"/>
      <c r="AS52" s="194"/>
      <c r="AT52" s="194"/>
      <c r="AU52" s="194"/>
      <c r="AV52" s="194"/>
      <c r="AW52" s="194"/>
    </row>
    <row r="53" spans="1:49" x14ac:dyDescent="0.15">
      <c r="A53" s="55" t="s">
        <v>41</v>
      </c>
      <c r="B53" s="178" t="s">
        <v>313</v>
      </c>
      <c r="C53" s="133">
        <v>2018</v>
      </c>
      <c r="D53" s="56" t="s">
        <v>317</v>
      </c>
      <c r="E53" s="178" t="s">
        <v>260</v>
      </c>
      <c r="F53" s="178" t="s">
        <v>266</v>
      </c>
      <c r="G53" s="55" t="s">
        <v>42</v>
      </c>
      <c r="H53" s="55" t="s">
        <v>162</v>
      </c>
      <c r="I53" s="55" t="s">
        <v>155</v>
      </c>
      <c r="J53" s="55" t="s">
        <v>38</v>
      </c>
      <c r="K53" s="55" t="s">
        <v>156</v>
      </c>
      <c r="L53" s="178">
        <v>1</v>
      </c>
      <c r="M53" s="55"/>
      <c r="N53" s="55">
        <v>5</v>
      </c>
      <c r="O53" s="55">
        <v>0.25</v>
      </c>
      <c r="P53" s="55">
        <v>0.2</v>
      </c>
      <c r="Q53" s="82">
        <f t="shared" si="0"/>
        <v>0.22500000000000001</v>
      </c>
      <c r="R53" s="55">
        <v>15.8</v>
      </c>
      <c r="S53" s="55">
        <v>127</v>
      </c>
      <c r="T53" s="77">
        <f t="shared" si="1"/>
        <v>27</v>
      </c>
      <c r="U53" s="55">
        <v>626</v>
      </c>
      <c r="V53" s="78">
        <f t="shared" si="2"/>
        <v>3380.4</v>
      </c>
      <c r="W53" s="55">
        <v>1</v>
      </c>
      <c r="X53" s="55" t="s">
        <v>46</v>
      </c>
      <c r="Y53" s="55" t="s">
        <v>69</v>
      </c>
      <c r="Z53" s="55" t="s">
        <v>86</v>
      </c>
      <c r="AA53" s="55" t="s">
        <v>55</v>
      </c>
      <c r="AB53" s="39" t="s">
        <v>316</v>
      </c>
      <c r="AE53" s="199"/>
      <c r="AF53" s="194"/>
      <c r="AG53" s="194"/>
      <c r="AH53" s="194"/>
      <c r="AI53" s="194"/>
      <c r="AJ53" s="194"/>
      <c r="AK53" s="194"/>
      <c r="AL53" s="194"/>
      <c r="AM53" s="194"/>
      <c r="AN53" s="194"/>
      <c r="AO53" s="194"/>
      <c r="AP53" s="200"/>
      <c r="AQ53" s="194"/>
      <c r="AR53" s="200"/>
      <c r="AS53" s="194"/>
      <c r="AT53" s="194"/>
      <c r="AU53" s="194"/>
      <c r="AV53" s="194"/>
      <c r="AW53" s="194"/>
    </row>
    <row r="54" spans="1:49" x14ac:dyDescent="0.15">
      <c r="A54" s="55" t="s">
        <v>41</v>
      </c>
      <c r="B54" s="178" t="s">
        <v>313</v>
      </c>
      <c r="C54" s="133">
        <v>2018</v>
      </c>
      <c r="D54" s="56" t="s">
        <v>317</v>
      </c>
      <c r="E54" s="178" t="s">
        <v>260</v>
      </c>
      <c r="F54" s="178" t="s">
        <v>266</v>
      </c>
      <c r="G54" s="55" t="s">
        <v>42</v>
      </c>
      <c r="H54" s="55" t="s">
        <v>162</v>
      </c>
      <c r="I54" s="55" t="s">
        <v>155</v>
      </c>
      <c r="J54" s="55" t="s">
        <v>38</v>
      </c>
      <c r="K54" s="55" t="s">
        <v>156</v>
      </c>
      <c r="L54" s="178">
        <v>2</v>
      </c>
      <c r="N54" s="55">
        <v>5</v>
      </c>
      <c r="O54" s="55">
        <v>0.6</v>
      </c>
      <c r="P54" s="55">
        <v>0.3</v>
      </c>
      <c r="Q54" s="82">
        <f t="shared" si="0"/>
        <v>0.44999999999999996</v>
      </c>
      <c r="R54" s="55">
        <v>14.1</v>
      </c>
      <c r="S54" s="55">
        <v>124</v>
      </c>
      <c r="T54" s="77">
        <f t="shared" si="1"/>
        <v>27</v>
      </c>
      <c r="U54" s="55">
        <v>626</v>
      </c>
      <c r="V54" s="78">
        <f t="shared" si="2"/>
        <v>3380.4</v>
      </c>
      <c r="W54" s="55">
        <v>1</v>
      </c>
      <c r="X54" s="55" t="s">
        <v>46</v>
      </c>
      <c r="Y54" s="55" t="s">
        <v>69</v>
      </c>
      <c r="Z54" s="55" t="s">
        <v>86</v>
      </c>
      <c r="AA54" s="55" t="s">
        <v>55</v>
      </c>
      <c r="AB54" s="39" t="s">
        <v>316</v>
      </c>
      <c r="AE54" s="199"/>
      <c r="AF54" s="194"/>
      <c r="AG54" s="194"/>
      <c r="AH54" s="194"/>
      <c r="AI54" s="194"/>
      <c r="AJ54" s="194"/>
      <c r="AK54" s="194"/>
      <c r="AL54" s="194"/>
      <c r="AM54" s="194"/>
      <c r="AN54" s="194"/>
      <c r="AO54" s="194"/>
      <c r="AP54" s="200"/>
      <c r="AQ54" s="194"/>
      <c r="AR54" s="200"/>
      <c r="AS54" s="194"/>
      <c r="AT54" s="194"/>
      <c r="AU54" s="194"/>
      <c r="AV54" s="194"/>
      <c r="AW54" s="194"/>
    </row>
    <row r="55" spans="1:49" x14ac:dyDescent="0.15">
      <c r="A55" s="55" t="s">
        <v>41</v>
      </c>
      <c r="B55" s="178" t="s">
        <v>313</v>
      </c>
      <c r="C55" s="133">
        <v>2018</v>
      </c>
      <c r="D55" s="56" t="s">
        <v>317</v>
      </c>
      <c r="E55" s="178" t="s">
        <v>260</v>
      </c>
      <c r="F55" s="178" t="s">
        <v>266</v>
      </c>
      <c r="G55" s="55" t="s">
        <v>42</v>
      </c>
      <c r="H55" s="55" t="s">
        <v>162</v>
      </c>
      <c r="I55" s="55" t="s">
        <v>155</v>
      </c>
      <c r="J55" s="55" t="s">
        <v>38</v>
      </c>
      <c r="K55" s="55" t="s">
        <v>156</v>
      </c>
      <c r="L55" s="178">
        <v>3</v>
      </c>
      <c r="N55" s="55">
        <v>5</v>
      </c>
      <c r="O55" s="55">
        <v>0.45</v>
      </c>
      <c r="P55" s="55">
        <v>0.3</v>
      </c>
      <c r="Q55" s="82">
        <f t="shared" si="0"/>
        <v>0.375</v>
      </c>
      <c r="R55" s="55">
        <v>14.4</v>
      </c>
      <c r="S55" s="55">
        <v>131</v>
      </c>
      <c r="T55" s="77">
        <f t="shared" si="1"/>
        <v>25</v>
      </c>
      <c r="U55" s="55">
        <v>626</v>
      </c>
      <c r="V55" s="78">
        <f t="shared" si="2"/>
        <v>3130</v>
      </c>
      <c r="W55" s="178">
        <v>1</v>
      </c>
      <c r="X55" s="55" t="s">
        <v>46</v>
      </c>
      <c r="Y55" s="55" t="s">
        <v>69</v>
      </c>
      <c r="Z55" s="55" t="s">
        <v>86</v>
      </c>
      <c r="AA55" s="55" t="s">
        <v>55</v>
      </c>
      <c r="AB55" s="39" t="s">
        <v>316</v>
      </c>
      <c r="AE55" s="199"/>
      <c r="AF55" s="194"/>
      <c r="AG55" s="194"/>
      <c r="AH55" s="194"/>
      <c r="AI55" s="194"/>
      <c r="AJ55" s="194"/>
      <c r="AK55" s="194"/>
      <c r="AL55" s="194"/>
      <c r="AM55" s="194"/>
      <c r="AN55" s="194"/>
      <c r="AO55" s="194"/>
      <c r="AP55" s="200"/>
      <c r="AQ55" s="194"/>
      <c r="AR55" s="200"/>
      <c r="AS55" s="194"/>
      <c r="AT55" s="194"/>
      <c r="AU55" s="194"/>
      <c r="AV55" s="194"/>
      <c r="AW55" s="194"/>
    </row>
    <row r="56" spans="1:49" x14ac:dyDescent="0.15">
      <c r="A56" s="55" t="s">
        <v>41</v>
      </c>
      <c r="B56" s="178" t="s">
        <v>313</v>
      </c>
      <c r="C56" s="133">
        <v>2018</v>
      </c>
      <c r="D56" s="56" t="s">
        <v>317</v>
      </c>
      <c r="E56" s="178" t="s">
        <v>261</v>
      </c>
      <c r="F56" s="178" t="s">
        <v>265</v>
      </c>
      <c r="G56" s="55" t="s">
        <v>42</v>
      </c>
      <c r="H56" s="55" t="s">
        <v>162</v>
      </c>
      <c r="I56" s="55" t="s">
        <v>155</v>
      </c>
      <c r="J56" s="55" t="s">
        <v>38</v>
      </c>
      <c r="K56" s="55" t="s">
        <v>156</v>
      </c>
      <c r="L56" s="178">
        <v>1</v>
      </c>
      <c r="N56" s="178">
        <v>4</v>
      </c>
      <c r="O56" s="55">
        <v>0.35</v>
      </c>
      <c r="P56" s="55">
        <v>0.3</v>
      </c>
      <c r="Q56" s="82">
        <f t="shared" si="0"/>
        <v>0.32499999999999996</v>
      </c>
      <c r="R56" s="55">
        <v>15.8</v>
      </c>
      <c r="S56" s="178">
        <v>145</v>
      </c>
      <c r="T56" s="57">
        <f t="shared" si="1"/>
        <v>22</v>
      </c>
      <c r="U56" s="178">
        <v>645</v>
      </c>
      <c r="V56" s="58">
        <f t="shared" si="2"/>
        <v>3547.5</v>
      </c>
      <c r="W56" s="178">
        <v>2</v>
      </c>
      <c r="X56" s="55" t="s">
        <v>46</v>
      </c>
      <c r="Y56" s="55" t="s">
        <v>55</v>
      </c>
      <c r="Z56" s="55" t="s">
        <v>47</v>
      </c>
      <c r="AA56" s="55" t="s">
        <v>69</v>
      </c>
      <c r="AB56" s="39" t="s">
        <v>316</v>
      </c>
    </row>
    <row r="57" spans="1:49" x14ac:dyDescent="0.15">
      <c r="A57" s="55" t="s">
        <v>41</v>
      </c>
      <c r="B57" s="178" t="s">
        <v>313</v>
      </c>
      <c r="C57" s="133">
        <v>2018</v>
      </c>
      <c r="D57" s="56" t="s">
        <v>317</v>
      </c>
      <c r="E57" s="178" t="s">
        <v>261</v>
      </c>
      <c r="F57" s="178" t="s">
        <v>265</v>
      </c>
      <c r="G57" s="55" t="s">
        <v>42</v>
      </c>
      <c r="H57" s="55" t="s">
        <v>162</v>
      </c>
      <c r="I57" s="55" t="s">
        <v>155</v>
      </c>
      <c r="J57" s="55" t="s">
        <v>38</v>
      </c>
      <c r="K57" s="55" t="s">
        <v>156</v>
      </c>
      <c r="L57" s="178">
        <v>2</v>
      </c>
      <c r="N57" s="178">
        <v>4</v>
      </c>
      <c r="O57" s="55">
        <v>0.45</v>
      </c>
      <c r="P57" s="55">
        <v>0.25</v>
      </c>
      <c r="Q57" s="82">
        <f t="shared" si="0"/>
        <v>0.35</v>
      </c>
      <c r="R57" s="55">
        <v>14.7</v>
      </c>
      <c r="S57" s="178">
        <v>135</v>
      </c>
      <c r="T57" s="57">
        <f t="shared" si="1"/>
        <v>25</v>
      </c>
      <c r="U57" s="178">
        <v>645</v>
      </c>
      <c r="V57" s="58">
        <f t="shared" si="2"/>
        <v>4031.25</v>
      </c>
      <c r="W57" s="178">
        <v>2</v>
      </c>
      <c r="X57" s="55" t="s">
        <v>46</v>
      </c>
      <c r="Y57" s="55" t="s">
        <v>55</v>
      </c>
      <c r="Z57" s="55" t="s">
        <v>47</v>
      </c>
      <c r="AA57" s="55" t="s">
        <v>69</v>
      </c>
      <c r="AB57" s="39" t="s">
        <v>316</v>
      </c>
    </row>
    <row r="58" spans="1:49" x14ac:dyDescent="0.15">
      <c r="A58" s="55" t="s">
        <v>41</v>
      </c>
      <c r="B58" s="178" t="s">
        <v>313</v>
      </c>
      <c r="C58" s="133">
        <v>2018</v>
      </c>
      <c r="D58" s="56" t="s">
        <v>317</v>
      </c>
      <c r="E58" s="178" t="s">
        <v>261</v>
      </c>
      <c r="F58" s="178" t="s">
        <v>265</v>
      </c>
      <c r="G58" s="55" t="s">
        <v>42</v>
      </c>
      <c r="H58" s="55" t="s">
        <v>162</v>
      </c>
      <c r="I58" s="55" t="s">
        <v>155</v>
      </c>
      <c r="J58" s="55" t="s">
        <v>38</v>
      </c>
      <c r="K58" s="55" t="s">
        <v>156</v>
      </c>
      <c r="L58" s="178">
        <v>3</v>
      </c>
      <c r="N58" s="178">
        <v>4</v>
      </c>
      <c r="O58" s="55">
        <v>0.45</v>
      </c>
      <c r="P58" s="55">
        <v>0.35</v>
      </c>
      <c r="Q58" s="82">
        <f t="shared" si="0"/>
        <v>0.4</v>
      </c>
      <c r="R58" s="55">
        <v>16.5</v>
      </c>
      <c r="S58" s="178">
        <v>141</v>
      </c>
      <c r="T58" s="57">
        <f t="shared" si="1"/>
        <v>22</v>
      </c>
      <c r="U58" s="178">
        <v>645</v>
      </c>
      <c r="V58" s="58">
        <f t="shared" si="2"/>
        <v>3547.5</v>
      </c>
      <c r="W58" s="178">
        <v>2</v>
      </c>
      <c r="X58" s="55" t="s">
        <v>46</v>
      </c>
      <c r="Y58" s="55" t="s">
        <v>55</v>
      </c>
      <c r="Z58" s="55" t="s">
        <v>47</v>
      </c>
      <c r="AA58" s="55" t="s">
        <v>69</v>
      </c>
      <c r="AB58" s="39" t="s">
        <v>316</v>
      </c>
    </row>
    <row r="59" spans="1:49" x14ac:dyDescent="0.15">
      <c r="A59" s="55" t="s">
        <v>41</v>
      </c>
      <c r="B59" s="178" t="s">
        <v>313</v>
      </c>
      <c r="C59" s="133">
        <v>2018</v>
      </c>
      <c r="D59" s="56" t="s">
        <v>317</v>
      </c>
      <c r="E59" s="178" t="s">
        <v>261</v>
      </c>
      <c r="F59" s="178" t="s">
        <v>265</v>
      </c>
      <c r="G59" s="55" t="s">
        <v>42</v>
      </c>
      <c r="H59" s="55" t="s">
        <v>162</v>
      </c>
      <c r="I59" s="55" t="s">
        <v>155</v>
      </c>
      <c r="J59" s="55" t="s">
        <v>38</v>
      </c>
      <c r="K59" s="55" t="s">
        <v>156</v>
      </c>
      <c r="L59" s="178">
        <v>1</v>
      </c>
      <c r="N59" s="55">
        <v>1</v>
      </c>
      <c r="O59" s="55">
        <v>0.5</v>
      </c>
      <c r="P59" s="55">
        <v>0.7</v>
      </c>
      <c r="Q59" s="82">
        <f t="shared" si="0"/>
        <v>0.6</v>
      </c>
      <c r="R59" s="55">
        <v>15</v>
      </c>
      <c r="S59" s="55">
        <v>133</v>
      </c>
      <c r="T59" s="57">
        <f t="shared" si="1"/>
        <v>25</v>
      </c>
      <c r="U59" s="178">
        <v>170</v>
      </c>
      <c r="V59" s="58">
        <f t="shared" si="2"/>
        <v>4250</v>
      </c>
      <c r="W59" s="178">
        <v>1</v>
      </c>
      <c r="X59" s="55" t="s">
        <v>46</v>
      </c>
      <c r="Y59" s="55" t="s">
        <v>55</v>
      </c>
      <c r="Z59" s="55" t="s">
        <v>47</v>
      </c>
      <c r="AA59" s="55" t="s">
        <v>69</v>
      </c>
      <c r="AB59" s="39" t="s">
        <v>316</v>
      </c>
      <c r="AC59" s="55"/>
      <c r="AD59" s="55"/>
    </row>
    <row r="60" spans="1:49" x14ac:dyDescent="0.15">
      <c r="A60" s="55" t="s">
        <v>41</v>
      </c>
      <c r="B60" s="178" t="s">
        <v>313</v>
      </c>
      <c r="C60" s="133">
        <v>2018</v>
      </c>
      <c r="D60" s="56" t="s">
        <v>317</v>
      </c>
      <c r="E60" s="178" t="s">
        <v>261</v>
      </c>
      <c r="F60" s="178" t="s">
        <v>265</v>
      </c>
      <c r="G60" s="55" t="s">
        <v>42</v>
      </c>
      <c r="H60" s="55" t="s">
        <v>162</v>
      </c>
      <c r="I60" s="55" t="s">
        <v>155</v>
      </c>
      <c r="J60" s="55" t="s">
        <v>38</v>
      </c>
      <c r="K60" s="55" t="s">
        <v>156</v>
      </c>
      <c r="L60" s="178">
        <v>2</v>
      </c>
      <c r="N60" s="55">
        <v>1</v>
      </c>
      <c r="O60" s="55">
        <v>0.6</v>
      </c>
      <c r="P60" s="55">
        <v>0.65</v>
      </c>
      <c r="Q60" s="82">
        <f t="shared" si="0"/>
        <v>0.625</v>
      </c>
      <c r="R60" s="55">
        <v>14.1</v>
      </c>
      <c r="S60" s="55">
        <v>147</v>
      </c>
      <c r="T60" s="57">
        <f t="shared" si="1"/>
        <v>22</v>
      </c>
      <c r="U60" s="178">
        <v>170</v>
      </c>
      <c r="V60" s="58">
        <f t="shared" si="2"/>
        <v>3740</v>
      </c>
      <c r="W60" s="178">
        <v>1</v>
      </c>
      <c r="X60" s="55" t="s">
        <v>46</v>
      </c>
      <c r="Y60" s="55" t="s">
        <v>55</v>
      </c>
      <c r="Z60" s="55" t="s">
        <v>47</v>
      </c>
      <c r="AA60" s="55" t="s">
        <v>69</v>
      </c>
      <c r="AB60" s="39" t="s">
        <v>316</v>
      </c>
    </row>
    <row r="61" spans="1:49" x14ac:dyDescent="0.15">
      <c r="A61" s="55" t="s">
        <v>41</v>
      </c>
      <c r="B61" s="178" t="s">
        <v>313</v>
      </c>
      <c r="C61" s="133">
        <v>2018</v>
      </c>
      <c r="D61" s="56" t="s">
        <v>317</v>
      </c>
      <c r="E61" s="178" t="s">
        <v>261</v>
      </c>
      <c r="F61" s="178" t="s">
        <v>265</v>
      </c>
      <c r="G61" s="55" t="s">
        <v>42</v>
      </c>
      <c r="H61" s="55" t="s">
        <v>162</v>
      </c>
      <c r="I61" s="55" t="s">
        <v>155</v>
      </c>
      <c r="J61" s="55" t="s">
        <v>38</v>
      </c>
      <c r="K61" s="55" t="s">
        <v>156</v>
      </c>
      <c r="L61" s="178">
        <v>3</v>
      </c>
      <c r="N61" s="55">
        <v>1</v>
      </c>
      <c r="O61" s="55">
        <v>0.7</v>
      </c>
      <c r="P61" s="55">
        <v>0.65</v>
      </c>
      <c r="Q61" s="82">
        <f t="shared" si="0"/>
        <v>0.67500000000000004</v>
      </c>
      <c r="R61" s="55">
        <v>13.5</v>
      </c>
      <c r="S61" s="55">
        <v>138</v>
      </c>
      <c r="T61" s="57">
        <f t="shared" si="1"/>
        <v>22</v>
      </c>
      <c r="U61" s="178">
        <v>170</v>
      </c>
      <c r="V61" s="58">
        <f t="shared" si="2"/>
        <v>3740</v>
      </c>
      <c r="W61" s="178">
        <v>1</v>
      </c>
      <c r="X61" s="55" t="s">
        <v>46</v>
      </c>
      <c r="Y61" s="55" t="s">
        <v>55</v>
      </c>
      <c r="Z61" s="55" t="s">
        <v>47</v>
      </c>
      <c r="AA61" s="55" t="s">
        <v>69</v>
      </c>
      <c r="AB61" s="39" t="s">
        <v>316</v>
      </c>
    </row>
    <row r="62" spans="1:49" x14ac:dyDescent="0.15">
      <c r="A62" s="55" t="s">
        <v>41</v>
      </c>
      <c r="B62" s="178" t="s">
        <v>313</v>
      </c>
      <c r="C62" s="133">
        <v>2018</v>
      </c>
      <c r="D62" s="56" t="s">
        <v>317</v>
      </c>
      <c r="E62" s="178" t="s">
        <v>261</v>
      </c>
      <c r="F62" s="178" t="s">
        <v>265</v>
      </c>
      <c r="G62" s="55" t="s">
        <v>42</v>
      </c>
      <c r="H62" s="55" t="s">
        <v>157</v>
      </c>
      <c r="I62" s="55" t="s">
        <v>155</v>
      </c>
      <c r="J62" s="55" t="s">
        <v>38</v>
      </c>
      <c r="K62" s="55" t="s">
        <v>156</v>
      </c>
      <c r="L62" s="178">
        <v>1</v>
      </c>
      <c r="N62" s="178">
        <v>1</v>
      </c>
      <c r="O62" s="55">
        <v>0.45</v>
      </c>
      <c r="P62" s="55">
        <v>0.35</v>
      </c>
      <c r="Q62" s="82">
        <f t="shared" si="0"/>
        <v>0.4</v>
      </c>
      <c r="R62" s="55">
        <v>14.7</v>
      </c>
      <c r="S62" s="55">
        <v>124</v>
      </c>
      <c r="T62" s="57">
        <f t="shared" si="1"/>
        <v>27</v>
      </c>
      <c r="U62" s="178">
        <v>37</v>
      </c>
      <c r="V62" s="58">
        <f t="shared" si="2"/>
        <v>999</v>
      </c>
      <c r="W62" s="178">
        <v>5</v>
      </c>
      <c r="X62" s="55" t="s">
        <v>46</v>
      </c>
      <c r="Y62" s="55" t="s">
        <v>55</v>
      </c>
      <c r="Z62" s="55" t="s">
        <v>47</v>
      </c>
      <c r="AA62" s="55" t="s">
        <v>69</v>
      </c>
      <c r="AB62" s="39" t="s">
        <v>316</v>
      </c>
      <c r="AC62" s="55"/>
      <c r="AD62" s="55"/>
    </row>
    <row r="63" spans="1:49" x14ac:dyDescent="0.15">
      <c r="A63" s="55" t="s">
        <v>41</v>
      </c>
      <c r="B63" s="178" t="s">
        <v>313</v>
      </c>
      <c r="C63" s="133">
        <v>2018</v>
      </c>
      <c r="D63" s="56" t="s">
        <v>317</v>
      </c>
      <c r="E63" s="178" t="s">
        <v>261</v>
      </c>
      <c r="F63" s="178" t="s">
        <v>265</v>
      </c>
      <c r="G63" s="55" t="s">
        <v>42</v>
      </c>
      <c r="H63" s="55" t="s">
        <v>157</v>
      </c>
      <c r="I63" s="55" t="s">
        <v>155</v>
      </c>
      <c r="J63" s="55" t="s">
        <v>38</v>
      </c>
      <c r="K63" s="55" t="s">
        <v>156</v>
      </c>
      <c r="L63" s="178">
        <v>2</v>
      </c>
      <c r="N63" s="178">
        <v>1</v>
      </c>
      <c r="O63" s="55">
        <v>0.5</v>
      </c>
      <c r="P63" s="55">
        <v>0.4</v>
      </c>
      <c r="Q63" s="82">
        <f t="shared" si="0"/>
        <v>0.45</v>
      </c>
      <c r="R63" s="55">
        <v>14.4</v>
      </c>
      <c r="S63" s="55">
        <v>120</v>
      </c>
      <c r="T63" s="57">
        <f t="shared" si="1"/>
        <v>30</v>
      </c>
      <c r="U63" s="178">
        <v>37</v>
      </c>
      <c r="V63" s="58">
        <f t="shared" si="2"/>
        <v>1110</v>
      </c>
      <c r="W63" s="178">
        <v>5</v>
      </c>
      <c r="X63" s="55" t="s">
        <v>46</v>
      </c>
      <c r="Y63" s="55" t="s">
        <v>55</v>
      </c>
      <c r="Z63" s="55" t="s">
        <v>47</v>
      </c>
      <c r="AA63" s="55" t="s">
        <v>69</v>
      </c>
      <c r="AB63" s="39" t="s">
        <v>316</v>
      </c>
    </row>
    <row r="64" spans="1:49" x14ac:dyDescent="0.15">
      <c r="A64" s="55" t="s">
        <v>41</v>
      </c>
      <c r="B64" s="178" t="s">
        <v>313</v>
      </c>
      <c r="C64" s="133">
        <v>2018</v>
      </c>
      <c r="D64" s="56" t="s">
        <v>317</v>
      </c>
      <c r="E64" s="178" t="s">
        <v>261</v>
      </c>
      <c r="F64" s="178" t="s">
        <v>265</v>
      </c>
      <c r="G64" s="55" t="s">
        <v>42</v>
      </c>
      <c r="H64" s="55" t="s">
        <v>157</v>
      </c>
      <c r="I64" s="55" t="s">
        <v>155</v>
      </c>
      <c r="J64" s="55" t="s">
        <v>38</v>
      </c>
      <c r="K64" s="55" t="s">
        <v>156</v>
      </c>
      <c r="L64" s="178">
        <v>3</v>
      </c>
      <c r="N64" s="178">
        <v>1</v>
      </c>
      <c r="O64" s="55">
        <v>0.35</v>
      </c>
      <c r="P64" s="55">
        <v>0.35</v>
      </c>
      <c r="Q64" s="82">
        <f t="shared" si="0"/>
        <v>0.35</v>
      </c>
      <c r="R64" s="55">
        <v>12.8</v>
      </c>
      <c r="S64" s="55">
        <v>131</v>
      </c>
      <c r="T64" s="57">
        <f t="shared" si="1"/>
        <v>25</v>
      </c>
      <c r="U64" s="178">
        <v>37</v>
      </c>
      <c r="V64" s="58">
        <f t="shared" si="2"/>
        <v>925</v>
      </c>
      <c r="W64" s="178">
        <v>5</v>
      </c>
      <c r="X64" s="55" t="s">
        <v>46</v>
      </c>
      <c r="Y64" s="55" t="s">
        <v>55</v>
      </c>
      <c r="Z64" s="55" t="s">
        <v>47</v>
      </c>
      <c r="AA64" s="55" t="s">
        <v>69</v>
      </c>
      <c r="AB64" s="39" t="s">
        <v>316</v>
      </c>
    </row>
    <row r="65" spans="1:30" x14ac:dyDescent="0.15">
      <c r="A65" s="55" t="s">
        <v>41</v>
      </c>
      <c r="B65" s="178" t="s">
        <v>313</v>
      </c>
      <c r="C65" s="133">
        <v>2018</v>
      </c>
      <c r="D65" s="56" t="s">
        <v>317</v>
      </c>
      <c r="E65" s="178" t="s">
        <v>261</v>
      </c>
      <c r="F65" s="178" t="s">
        <v>265</v>
      </c>
      <c r="G65" s="55" t="s">
        <v>42</v>
      </c>
      <c r="H65" s="55" t="s">
        <v>157</v>
      </c>
      <c r="I65" s="55" t="s">
        <v>155</v>
      </c>
      <c r="J65" s="55" t="s">
        <v>38</v>
      </c>
      <c r="K65" s="55" t="s">
        <v>156</v>
      </c>
      <c r="L65" s="178">
        <v>1</v>
      </c>
      <c r="N65" s="178">
        <v>4</v>
      </c>
      <c r="O65" s="55">
        <v>0.2</v>
      </c>
      <c r="P65" s="55">
        <v>0.25</v>
      </c>
      <c r="Q65" s="82">
        <f t="shared" si="0"/>
        <v>0.22500000000000001</v>
      </c>
      <c r="R65" s="55">
        <v>16.100000000000001</v>
      </c>
      <c r="S65" s="55">
        <v>108</v>
      </c>
      <c r="T65" s="57">
        <f t="shared" si="1"/>
        <v>33</v>
      </c>
      <c r="U65" s="178">
        <v>429</v>
      </c>
      <c r="V65" s="58">
        <f t="shared" si="2"/>
        <v>3539.25</v>
      </c>
      <c r="W65" s="178">
        <v>1</v>
      </c>
      <c r="X65" s="55" t="s">
        <v>46</v>
      </c>
      <c r="Y65" s="55" t="s">
        <v>55</v>
      </c>
      <c r="Z65" s="55" t="s">
        <v>47</v>
      </c>
      <c r="AA65" s="55" t="s">
        <v>69</v>
      </c>
      <c r="AB65" s="39" t="s">
        <v>316</v>
      </c>
    </row>
    <row r="66" spans="1:30" x14ac:dyDescent="0.15">
      <c r="A66" s="55" t="s">
        <v>41</v>
      </c>
      <c r="B66" s="178" t="s">
        <v>313</v>
      </c>
      <c r="C66" s="133">
        <v>2018</v>
      </c>
      <c r="D66" s="56" t="s">
        <v>317</v>
      </c>
      <c r="E66" s="178" t="s">
        <v>261</v>
      </c>
      <c r="F66" s="178" t="s">
        <v>265</v>
      </c>
      <c r="G66" s="55" t="s">
        <v>42</v>
      </c>
      <c r="H66" s="55" t="s">
        <v>157</v>
      </c>
      <c r="I66" s="55" t="s">
        <v>155</v>
      </c>
      <c r="J66" s="55" t="s">
        <v>38</v>
      </c>
      <c r="K66" s="55" t="s">
        <v>156</v>
      </c>
      <c r="L66" s="178">
        <v>2</v>
      </c>
      <c r="N66" s="178">
        <v>4</v>
      </c>
      <c r="O66" s="55">
        <v>0.35</v>
      </c>
      <c r="P66" s="55">
        <v>0.3</v>
      </c>
      <c r="Q66" s="82">
        <f t="shared" ref="Q66:Q129" si="3">IF(OR(O66="",P66=""),"",AVERAGE(O66,P66))</f>
        <v>0.32499999999999996</v>
      </c>
      <c r="R66" s="55">
        <v>15.1</v>
      </c>
      <c r="S66" s="55">
        <v>110</v>
      </c>
      <c r="T66" s="57">
        <f t="shared" ref="T66:T141" si="4">IF(H66="","",IF(OR(H66="GREEN",H66="GK"),IF(S66&gt;=$AX$2,VLOOKUP(S66,$AX$2:$AY$10,2,1),""),IF(S66&gt;=$AZ$2,VLOOKUP(S66,$AZ$2:$BA$10,2,1),"")))</f>
        <v>33</v>
      </c>
      <c r="U66" s="178">
        <v>429</v>
      </c>
      <c r="V66" s="58">
        <f t="shared" ref="V66:V141" si="5">IF(OR(N66="",U66="",T66=""),"",U66/N66*T66)</f>
        <v>3539.25</v>
      </c>
      <c r="W66" s="178">
        <v>1</v>
      </c>
      <c r="X66" s="55" t="s">
        <v>46</v>
      </c>
      <c r="Y66" s="55" t="s">
        <v>55</v>
      </c>
      <c r="Z66" s="55" t="s">
        <v>47</v>
      </c>
      <c r="AA66" s="55" t="s">
        <v>69</v>
      </c>
      <c r="AB66" s="39" t="s">
        <v>316</v>
      </c>
    </row>
    <row r="67" spans="1:30" x14ac:dyDescent="0.15">
      <c r="A67" s="55" t="s">
        <v>41</v>
      </c>
      <c r="B67" s="178" t="s">
        <v>313</v>
      </c>
      <c r="C67" s="133">
        <v>2018</v>
      </c>
      <c r="D67" s="56" t="s">
        <v>317</v>
      </c>
      <c r="E67" s="178" t="s">
        <v>261</v>
      </c>
      <c r="F67" s="178" t="s">
        <v>265</v>
      </c>
      <c r="G67" s="55" t="s">
        <v>42</v>
      </c>
      <c r="H67" s="55" t="s">
        <v>157</v>
      </c>
      <c r="I67" s="55" t="s">
        <v>155</v>
      </c>
      <c r="J67" s="55" t="s">
        <v>38</v>
      </c>
      <c r="K67" s="55" t="s">
        <v>156</v>
      </c>
      <c r="L67" s="178">
        <v>3</v>
      </c>
      <c r="N67" s="178">
        <v>4</v>
      </c>
      <c r="O67" s="55">
        <v>0.3</v>
      </c>
      <c r="P67" s="55">
        <v>0.25</v>
      </c>
      <c r="Q67" s="82">
        <f t="shared" si="3"/>
        <v>0.27500000000000002</v>
      </c>
      <c r="R67" s="55">
        <v>15.5</v>
      </c>
      <c r="S67" s="55">
        <v>107</v>
      </c>
      <c r="T67" s="57">
        <f t="shared" si="4"/>
        <v>33</v>
      </c>
      <c r="U67" s="178">
        <v>429</v>
      </c>
      <c r="V67" s="58">
        <f t="shared" si="5"/>
        <v>3539.25</v>
      </c>
      <c r="W67" s="178">
        <v>1</v>
      </c>
      <c r="X67" s="55" t="s">
        <v>46</v>
      </c>
      <c r="Y67" s="55" t="s">
        <v>55</v>
      </c>
      <c r="Z67" s="55" t="s">
        <v>47</v>
      </c>
      <c r="AA67" s="55" t="s">
        <v>69</v>
      </c>
      <c r="AB67" s="39" t="s">
        <v>316</v>
      </c>
    </row>
    <row r="68" spans="1:30" x14ac:dyDescent="0.15">
      <c r="A68" s="55" t="s">
        <v>41</v>
      </c>
      <c r="B68" s="178" t="s">
        <v>313</v>
      </c>
      <c r="C68" s="133">
        <v>2018</v>
      </c>
      <c r="D68" s="56" t="s">
        <v>317</v>
      </c>
      <c r="E68" s="178" t="s">
        <v>261</v>
      </c>
      <c r="F68" s="178" t="s">
        <v>265</v>
      </c>
      <c r="G68" s="55" t="s">
        <v>42</v>
      </c>
      <c r="H68" s="55" t="s">
        <v>157</v>
      </c>
      <c r="I68" s="55" t="s">
        <v>155</v>
      </c>
      <c r="J68" s="55" t="s">
        <v>38</v>
      </c>
      <c r="K68" s="55" t="s">
        <v>156</v>
      </c>
      <c r="L68" s="178">
        <v>1</v>
      </c>
      <c r="N68" s="178">
        <v>10</v>
      </c>
      <c r="O68" s="55">
        <v>0.2</v>
      </c>
      <c r="P68" s="55">
        <v>0.3</v>
      </c>
      <c r="Q68" s="57">
        <f t="shared" si="3"/>
        <v>0.25</v>
      </c>
      <c r="R68" s="55">
        <v>14</v>
      </c>
      <c r="S68" s="178">
        <v>100</v>
      </c>
      <c r="T68" s="57">
        <f t="shared" si="4"/>
        <v>33</v>
      </c>
      <c r="U68" s="178">
        <v>1058</v>
      </c>
      <c r="V68" s="58">
        <f t="shared" si="5"/>
        <v>3491.4</v>
      </c>
      <c r="W68" s="178">
        <v>1</v>
      </c>
      <c r="X68" s="55" t="s">
        <v>46</v>
      </c>
      <c r="Y68" s="55" t="s">
        <v>55</v>
      </c>
      <c r="Z68" s="55" t="s">
        <v>47</v>
      </c>
      <c r="AA68" s="55" t="s">
        <v>69</v>
      </c>
      <c r="AB68" s="39" t="s">
        <v>316</v>
      </c>
    </row>
    <row r="69" spans="1:30" x14ac:dyDescent="0.15">
      <c r="A69" s="55" t="s">
        <v>41</v>
      </c>
      <c r="B69" s="178" t="s">
        <v>313</v>
      </c>
      <c r="C69" s="133">
        <v>2018</v>
      </c>
      <c r="D69" s="56" t="s">
        <v>317</v>
      </c>
      <c r="E69" s="178" t="s">
        <v>261</v>
      </c>
      <c r="F69" s="178" t="s">
        <v>265</v>
      </c>
      <c r="G69" s="55" t="s">
        <v>42</v>
      </c>
      <c r="H69" s="55" t="s">
        <v>157</v>
      </c>
      <c r="I69" s="55" t="s">
        <v>155</v>
      </c>
      <c r="J69" s="55" t="s">
        <v>38</v>
      </c>
      <c r="K69" s="55" t="s">
        <v>156</v>
      </c>
      <c r="L69" s="178">
        <v>2</v>
      </c>
      <c r="N69" s="178">
        <v>10</v>
      </c>
      <c r="O69" s="55">
        <v>0.35</v>
      </c>
      <c r="P69" s="55">
        <v>0.3</v>
      </c>
      <c r="Q69" s="57">
        <f t="shared" si="3"/>
        <v>0.32499999999999996</v>
      </c>
      <c r="R69" s="55">
        <v>13.7</v>
      </c>
      <c r="S69" s="178">
        <v>98</v>
      </c>
      <c r="T69" s="57">
        <f t="shared" si="4"/>
        <v>36</v>
      </c>
      <c r="U69" s="178">
        <v>1058</v>
      </c>
      <c r="V69" s="58">
        <f t="shared" si="5"/>
        <v>3808.7999999999997</v>
      </c>
      <c r="W69" s="178">
        <v>1</v>
      </c>
      <c r="X69" s="55" t="s">
        <v>46</v>
      </c>
      <c r="Y69" s="55" t="s">
        <v>55</v>
      </c>
      <c r="Z69" s="55" t="s">
        <v>47</v>
      </c>
      <c r="AA69" s="55" t="s">
        <v>69</v>
      </c>
      <c r="AB69" s="39" t="s">
        <v>316</v>
      </c>
    </row>
    <row r="70" spans="1:30" x14ac:dyDescent="0.15">
      <c r="A70" s="55" t="s">
        <v>41</v>
      </c>
      <c r="B70" s="178" t="s">
        <v>313</v>
      </c>
      <c r="C70" s="133">
        <v>2018</v>
      </c>
      <c r="D70" s="56" t="s">
        <v>317</v>
      </c>
      <c r="E70" s="178" t="s">
        <v>261</v>
      </c>
      <c r="F70" s="178" t="s">
        <v>265</v>
      </c>
      <c r="G70" s="55" t="s">
        <v>42</v>
      </c>
      <c r="H70" s="55" t="s">
        <v>157</v>
      </c>
      <c r="I70" s="55" t="s">
        <v>155</v>
      </c>
      <c r="J70" s="55" t="s">
        <v>38</v>
      </c>
      <c r="K70" s="55" t="s">
        <v>156</v>
      </c>
      <c r="L70" s="178">
        <v>3</v>
      </c>
      <c r="N70" s="178">
        <v>10</v>
      </c>
      <c r="O70" s="55">
        <v>0.3</v>
      </c>
      <c r="P70" s="55">
        <v>0.25</v>
      </c>
      <c r="Q70" s="57">
        <f t="shared" si="3"/>
        <v>0.27500000000000002</v>
      </c>
      <c r="R70" s="55">
        <v>15.9</v>
      </c>
      <c r="S70" s="178">
        <v>95</v>
      </c>
      <c r="T70" s="57">
        <f t="shared" si="4"/>
        <v>36</v>
      </c>
      <c r="U70" s="178">
        <v>1058</v>
      </c>
      <c r="V70" s="58">
        <f t="shared" si="5"/>
        <v>3808.7999999999997</v>
      </c>
      <c r="W70" s="178">
        <v>1</v>
      </c>
      <c r="X70" s="55" t="s">
        <v>46</v>
      </c>
      <c r="Y70" s="55" t="s">
        <v>55</v>
      </c>
      <c r="Z70" s="55" t="s">
        <v>47</v>
      </c>
      <c r="AA70" s="55" t="s">
        <v>69</v>
      </c>
      <c r="AB70" s="39" t="s">
        <v>316</v>
      </c>
    </row>
    <row r="71" spans="1:30" x14ac:dyDescent="0.15">
      <c r="A71" s="55" t="s">
        <v>41</v>
      </c>
      <c r="B71" s="178" t="s">
        <v>313</v>
      </c>
      <c r="C71" s="133">
        <v>2018</v>
      </c>
      <c r="D71" s="56" t="s">
        <v>317</v>
      </c>
      <c r="E71" s="178" t="s">
        <v>261</v>
      </c>
      <c r="F71" s="178" t="s">
        <v>267</v>
      </c>
      <c r="G71" s="55" t="s">
        <v>42</v>
      </c>
      <c r="H71" s="55" t="s">
        <v>157</v>
      </c>
      <c r="I71" s="55" t="s">
        <v>155</v>
      </c>
      <c r="J71" s="55" t="s">
        <v>38</v>
      </c>
      <c r="K71" s="55" t="s">
        <v>156</v>
      </c>
      <c r="L71" s="178">
        <v>1</v>
      </c>
      <c r="N71" s="55">
        <v>1</v>
      </c>
      <c r="O71" s="55">
        <v>0.35</v>
      </c>
      <c r="P71" s="55">
        <v>0.3</v>
      </c>
      <c r="Q71" s="57">
        <f t="shared" si="3"/>
        <v>0.32499999999999996</v>
      </c>
      <c r="R71" s="178">
        <v>16.8</v>
      </c>
      <c r="S71" s="55">
        <v>128</v>
      </c>
      <c r="T71" s="57">
        <f t="shared" si="4"/>
        <v>27</v>
      </c>
      <c r="U71" s="178">
        <v>108</v>
      </c>
      <c r="V71" s="58">
        <f t="shared" si="5"/>
        <v>2916</v>
      </c>
      <c r="W71" s="178">
        <v>1</v>
      </c>
      <c r="X71" s="55" t="s">
        <v>46</v>
      </c>
      <c r="Y71" s="55" t="s">
        <v>55</v>
      </c>
      <c r="Z71" s="55" t="s">
        <v>69</v>
      </c>
      <c r="AA71" s="55" t="s">
        <v>86</v>
      </c>
      <c r="AB71" s="39" t="s">
        <v>316</v>
      </c>
    </row>
    <row r="72" spans="1:30" x14ac:dyDescent="0.15">
      <c r="A72" s="55" t="s">
        <v>41</v>
      </c>
      <c r="B72" s="178" t="s">
        <v>313</v>
      </c>
      <c r="C72" s="133">
        <v>2018</v>
      </c>
      <c r="D72" s="56" t="s">
        <v>317</v>
      </c>
      <c r="E72" s="178" t="s">
        <v>261</v>
      </c>
      <c r="F72" s="178" t="s">
        <v>267</v>
      </c>
      <c r="G72" s="55" t="s">
        <v>42</v>
      </c>
      <c r="H72" s="55" t="s">
        <v>157</v>
      </c>
      <c r="I72" s="55" t="s">
        <v>155</v>
      </c>
      <c r="J72" s="55" t="s">
        <v>38</v>
      </c>
      <c r="K72" s="55" t="s">
        <v>156</v>
      </c>
      <c r="L72" s="178">
        <v>2</v>
      </c>
      <c r="N72" s="55">
        <v>1</v>
      </c>
      <c r="O72" s="55">
        <v>0.6</v>
      </c>
      <c r="P72" s="55">
        <v>0.4</v>
      </c>
      <c r="Q72" s="57">
        <f t="shared" si="3"/>
        <v>0.5</v>
      </c>
      <c r="R72" s="178">
        <v>14</v>
      </c>
      <c r="S72" s="55">
        <v>134</v>
      </c>
      <c r="T72" s="57">
        <f t="shared" si="4"/>
        <v>25</v>
      </c>
      <c r="U72" s="178">
        <v>108</v>
      </c>
      <c r="V72" s="58">
        <f t="shared" si="5"/>
        <v>2700</v>
      </c>
      <c r="W72" s="178">
        <v>1</v>
      </c>
      <c r="X72" s="55" t="s">
        <v>46</v>
      </c>
      <c r="Y72" s="55" t="s">
        <v>55</v>
      </c>
      <c r="Z72" s="55" t="s">
        <v>69</v>
      </c>
      <c r="AA72" s="55" t="s">
        <v>86</v>
      </c>
      <c r="AB72" s="39" t="s">
        <v>316</v>
      </c>
    </row>
    <row r="73" spans="1:30" x14ac:dyDescent="0.15">
      <c r="A73" s="55" t="s">
        <v>41</v>
      </c>
      <c r="B73" s="178" t="s">
        <v>313</v>
      </c>
      <c r="C73" s="133">
        <v>2018</v>
      </c>
      <c r="D73" s="56" t="s">
        <v>317</v>
      </c>
      <c r="E73" s="178" t="s">
        <v>261</v>
      </c>
      <c r="F73" s="178" t="s">
        <v>267</v>
      </c>
      <c r="G73" s="55" t="s">
        <v>42</v>
      </c>
      <c r="H73" s="55" t="s">
        <v>157</v>
      </c>
      <c r="I73" s="55" t="s">
        <v>155</v>
      </c>
      <c r="J73" s="55" t="s">
        <v>38</v>
      </c>
      <c r="K73" s="55" t="s">
        <v>156</v>
      </c>
      <c r="L73" s="178">
        <v>3</v>
      </c>
      <c r="N73" s="55">
        <v>1</v>
      </c>
      <c r="O73" s="55">
        <v>0.25</v>
      </c>
      <c r="P73" s="55">
        <v>0.25</v>
      </c>
      <c r="Q73" s="57">
        <f t="shared" si="3"/>
        <v>0.25</v>
      </c>
      <c r="R73" s="178">
        <v>15.9</v>
      </c>
      <c r="S73" s="55">
        <v>137</v>
      </c>
      <c r="T73" s="57">
        <f t="shared" si="4"/>
        <v>25</v>
      </c>
      <c r="U73" s="55">
        <v>108</v>
      </c>
      <c r="V73" s="58">
        <f t="shared" si="5"/>
        <v>2700</v>
      </c>
      <c r="W73" s="178">
        <v>1</v>
      </c>
      <c r="X73" s="55" t="s">
        <v>46</v>
      </c>
      <c r="Y73" s="55" t="s">
        <v>55</v>
      </c>
      <c r="Z73" s="55" t="s">
        <v>69</v>
      </c>
      <c r="AA73" s="55" t="s">
        <v>86</v>
      </c>
      <c r="AB73" s="39" t="s">
        <v>316</v>
      </c>
    </row>
    <row r="74" spans="1:30" x14ac:dyDescent="0.15">
      <c r="A74" s="55" t="s">
        <v>41</v>
      </c>
      <c r="B74" s="178" t="s">
        <v>313</v>
      </c>
      <c r="C74" s="133">
        <v>2018</v>
      </c>
      <c r="D74" s="56" t="s">
        <v>317</v>
      </c>
      <c r="E74" s="178" t="s">
        <v>261</v>
      </c>
      <c r="F74" s="178" t="s">
        <v>267</v>
      </c>
      <c r="G74" s="55" t="s">
        <v>42</v>
      </c>
      <c r="H74" s="55" t="s">
        <v>162</v>
      </c>
      <c r="I74" s="55" t="s">
        <v>155</v>
      </c>
      <c r="J74" s="55" t="s">
        <v>38</v>
      </c>
      <c r="K74" s="55" t="s">
        <v>156</v>
      </c>
      <c r="L74" s="178">
        <v>1</v>
      </c>
      <c r="N74" s="55">
        <v>1</v>
      </c>
      <c r="O74" s="55">
        <v>0.75</v>
      </c>
      <c r="P74" s="55">
        <v>0.7</v>
      </c>
      <c r="Q74" s="57">
        <f t="shared" si="3"/>
        <v>0.72499999999999998</v>
      </c>
      <c r="R74" s="178">
        <v>17.8</v>
      </c>
      <c r="S74" s="55">
        <v>141</v>
      </c>
      <c r="T74" s="57">
        <f t="shared" si="4"/>
        <v>22</v>
      </c>
      <c r="U74" s="178">
        <v>159</v>
      </c>
      <c r="V74" s="58">
        <f t="shared" si="5"/>
        <v>3498</v>
      </c>
      <c r="W74" s="178">
        <v>1</v>
      </c>
      <c r="X74" s="55" t="s">
        <v>46</v>
      </c>
      <c r="Y74" s="55" t="s">
        <v>55</v>
      </c>
      <c r="Z74" s="55" t="s">
        <v>69</v>
      </c>
      <c r="AA74" s="55" t="s">
        <v>86</v>
      </c>
      <c r="AB74" s="39" t="s">
        <v>316</v>
      </c>
    </row>
    <row r="75" spans="1:30" x14ac:dyDescent="0.15">
      <c r="A75" s="55" t="s">
        <v>41</v>
      </c>
      <c r="B75" s="178" t="s">
        <v>313</v>
      </c>
      <c r="C75" s="133">
        <v>2018</v>
      </c>
      <c r="D75" s="56" t="s">
        <v>317</v>
      </c>
      <c r="E75" s="178" t="s">
        <v>261</v>
      </c>
      <c r="F75" s="178" t="s">
        <v>267</v>
      </c>
      <c r="G75" s="55" t="s">
        <v>42</v>
      </c>
      <c r="H75" s="55" t="s">
        <v>162</v>
      </c>
      <c r="I75" s="55" t="s">
        <v>155</v>
      </c>
      <c r="J75" s="55" t="s">
        <v>38</v>
      </c>
      <c r="K75" s="55" t="s">
        <v>156</v>
      </c>
      <c r="L75" s="178">
        <v>2</v>
      </c>
      <c r="N75" s="55">
        <v>1</v>
      </c>
      <c r="O75" s="55">
        <v>0.65</v>
      </c>
      <c r="P75" s="55">
        <v>0.5</v>
      </c>
      <c r="Q75" s="57">
        <f t="shared" si="3"/>
        <v>0.57499999999999996</v>
      </c>
      <c r="R75" s="178">
        <v>13.9</v>
      </c>
      <c r="S75" s="55">
        <v>132</v>
      </c>
      <c r="T75" s="57">
        <f t="shared" si="4"/>
        <v>25</v>
      </c>
      <c r="U75" s="178">
        <v>159</v>
      </c>
      <c r="V75" s="58">
        <f t="shared" si="5"/>
        <v>3975</v>
      </c>
      <c r="W75" s="178">
        <v>1</v>
      </c>
      <c r="X75" s="55" t="s">
        <v>46</v>
      </c>
      <c r="Y75" s="55" t="s">
        <v>55</v>
      </c>
      <c r="Z75" s="55" t="s">
        <v>69</v>
      </c>
      <c r="AA75" s="55" t="s">
        <v>86</v>
      </c>
      <c r="AB75" s="39" t="s">
        <v>316</v>
      </c>
    </row>
    <row r="76" spans="1:30" x14ac:dyDescent="0.15">
      <c r="A76" s="55" t="s">
        <v>41</v>
      </c>
      <c r="B76" s="178" t="s">
        <v>313</v>
      </c>
      <c r="C76" s="133">
        <v>2018</v>
      </c>
      <c r="D76" s="56" t="s">
        <v>317</v>
      </c>
      <c r="E76" s="178" t="s">
        <v>261</v>
      </c>
      <c r="F76" s="178" t="s">
        <v>267</v>
      </c>
      <c r="G76" s="55" t="s">
        <v>42</v>
      </c>
      <c r="H76" s="55" t="s">
        <v>162</v>
      </c>
      <c r="I76" s="55" t="s">
        <v>155</v>
      </c>
      <c r="J76" s="55" t="s">
        <v>38</v>
      </c>
      <c r="K76" s="55" t="s">
        <v>156</v>
      </c>
      <c r="L76" s="178">
        <v>3</v>
      </c>
      <c r="N76" s="55">
        <v>1</v>
      </c>
      <c r="O76" s="55">
        <v>0.6</v>
      </c>
      <c r="P76" s="55">
        <v>0.55000000000000004</v>
      </c>
      <c r="Q76" s="57">
        <f t="shared" si="3"/>
        <v>0.57499999999999996</v>
      </c>
      <c r="R76" s="178">
        <v>15.9</v>
      </c>
      <c r="S76" s="55">
        <v>137</v>
      </c>
      <c r="T76" s="57">
        <f t="shared" si="4"/>
        <v>25</v>
      </c>
      <c r="U76" s="55">
        <v>159</v>
      </c>
      <c r="V76" s="58">
        <f t="shared" si="5"/>
        <v>3975</v>
      </c>
      <c r="W76" s="178">
        <v>1</v>
      </c>
      <c r="X76" s="55" t="s">
        <v>46</v>
      </c>
      <c r="Y76" s="55" t="s">
        <v>55</v>
      </c>
      <c r="Z76" s="55" t="s">
        <v>69</v>
      </c>
      <c r="AA76" s="55" t="s">
        <v>86</v>
      </c>
      <c r="AB76" s="39" t="s">
        <v>316</v>
      </c>
    </row>
    <row r="77" spans="1:30" x14ac:dyDescent="0.15">
      <c r="A77" s="55" t="s">
        <v>41</v>
      </c>
      <c r="B77" s="178" t="s">
        <v>313</v>
      </c>
      <c r="C77" s="133">
        <v>2018</v>
      </c>
      <c r="D77" s="56" t="s">
        <v>317</v>
      </c>
      <c r="E77" s="178" t="s">
        <v>261</v>
      </c>
      <c r="F77" s="178" t="s">
        <v>267</v>
      </c>
      <c r="G77" s="55" t="s">
        <v>42</v>
      </c>
      <c r="H77" s="55" t="s">
        <v>162</v>
      </c>
      <c r="I77" s="55" t="s">
        <v>155</v>
      </c>
      <c r="J77" s="55" t="s">
        <v>38</v>
      </c>
      <c r="K77" s="55" t="s">
        <v>156</v>
      </c>
      <c r="L77" s="178">
        <v>1</v>
      </c>
      <c r="N77" s="178">
        <v>8</v>
      </c>
      <c r="O77" s="55">
        <v>0.1</v>
      </c>
      <c r="P77" s="55">
        <v>0.15</v>
      </c>
      <c r="Q77" s="57">
        <f t="shared" si="3"/>
        <v>0.125</v>
      </c>
      <c r="R77" s="178">
        <v>19</v>
      </c>
      <c r="S77" s="55">
        <v>129</v>
      </c>
      <c r="T77" s="57">
        <f t="shared" si="4"/>
        <v>25</v>
      </c>
      <c r="U77" s="178">
        <v>1069</v>
      </c>
      <c r="V77" s="58">
        <f t="shared" si="5"/>
        <v>3340.625</v>
      </c>
      <c r="W77" s="178">
        <v>3</v>
      </c>
      <c r="X77" s="55" t="s">
        <v>46</v>
      </c>
      <c r="Y77" s="55" t="s">
        <v>55</v>
      </c>
      <c r="Z77" s="55" t="s">
        <v>69</v>
      </c>
      <c r="AA77" s="55" t="s">
        <v>86</v>
      </c>
      <c r="AB77" s="39" t="s">
        <v>316</v>
      </c>
      <c r="AC77" s="55"/>
      <c r="AD77" s="55"/>
    </row>
    <row r="78" spans="1:30" x14ac:dyDescent="0.15">
      <c r="A78" s="55" t="s">
        <v>41</v>
      </c>
      <c r="B78" s="178" t="s">
        <v>313</v>
      </c>
      <c r="C78" s="133">
        <v>2018</v>
      </c>
      <c r="D78" s="56" t="s">
        <v>317</v>
      </c>
      <c r="E78" s="178" t="s">
        <v>261</v>
      </c>
      <c r="F78" s="178" t="s">
        <v>267</v>
      </c>
      <c r="G78" s="55" t="s">
        <v>42</v>
      </c>
      <c r="H78" s="55" t="s">
        <v>162</v>
      </c>
      <c r="I78" s="55" t="s">
        <v>155</v>
      </c>
      <c r="J78" s="55" t="s">
        <v>38</v>
      </c>
      <c r="K78" s="55" t="s">
        <v>156</v>
      </c>
      <c r="L78" s="178">
        <v>2</v>
      </c>
      <c r="N78" s="178">
        <v>8</v>
      </c>
      <c r="O78" s="55">
        <v>0.25</v>
      </c>
      <c r="P78" s="55">
        <v>0.2</v>
      </c>
      <c r="Q78" s="57">
        <f t="shared" si="3"/>
        <v>0.22500000000000001</v>
      </c>
      <c r="R78" s="178">
        <v>14.7</v>
      </c>
      <c r="S78" s="55">
        <v>130</v>
      </c>
      <c r="T78" s="57">
        <f t="shared" si="4"/>
        <v>25</v>
      </c>
      <c r="U78" s="178">
        <v>1069</v>
      </c>
      <c r="V78" s="58">
        <f t="shared" si="5"/>
        <v>3340.625</v>
      </c>
      <c r="W78" s="178">
        <v>3</v>
      </c>
      <c r="X78" s="55" t="s">
        <v>46</v>
      </c>
      <c r="Y78" s="55" t="s">
        <v>55</v>
      </c>
      <c r="Z78" s="55" t="s">
        <v>69</v>
      </c>
      <c r="AA78" s="55" t="s">
        <v>86</v>
      </c>
      <c r="AB78" s="39" t="s">
        <v>316</v>
      </c>
      <c r="AC78" s="55"/>
      <c r="AD78" s="55"/>
    </row>
    <row r="79" spans="1:30" x14ac:dyDescent="0.15">
      <c r="A79" s="55" t="s">
        <v>41</v>
      </c>
      <c r="B79" s="178" t="s">
        <v>313</v>
      </c>
      <c r="C79" s="133">
        <v>2018</v>
      </c>
      <c r="D79" s="56" t="s">
        <v>317</v>
      </c>
      <c r="E79" s="178" t="s">
        <v>261</v>
      </c>
      <c r="F79" s="178" t="s">
        <v>267</v>
      </c>
      <c r="G79" s="55" t="s">
        <v>42</v>
      </c>
      <c r="H79" s="55" t="s">
        <v>162</v>
      </c>
      <c r="I79" s="55" t="s">
        <v>155</v>
      </c>
      <c r="J79" s="55" t="s">
        <v>38</v>
      </c>
      <c r="K79" s="55" t="s">
        <v>156</v>
      </c>
      <c r="L79" s="178">
        <v>3</v>
      </c>
      <c r="N79" s="178">
        <v>8</v>
      </c>
      <c r="O79" s="55">
        <v>0.3</v>
      </c>
      <c r="P79" s="55">
        <v>0.4</v>
      </c>
      <c r="Q79" s="57">
        <f t="shared" si="3"/>
        <v>0.35</v>
      </c>
      <c r="R79" s="178">
        <v>13.5</v>
      </c>
      <c r="S79" s="55">
        <v>134</v>
      </c>
      <c r="T79" s="57">
        <f t="shared" si="4"/>
        <v>25</v>
      </c>
      <c r="U79" s="178">
        <v>1069</v>
      </c>
      <c r="V79" s="58">
        <f t="shared" si="5"/>
        <v>3340.625</v>
      </c>
      <c r="W79" s="178">
        <v>3</v>
      </c>
      <c r="X79" s="55" t="s">
        <v>46</v>
      </c>
      <c r="Y79" s="55" t="s">
        <v>55</v>
      </c>
      <c r="Z79" s="55" t="s">
        <v>69</v>
      </c>
      <c r="AA79" s="55" t="s">
        <v>86</v>
      </c>
      <c r="AB79" s="39" t="s">
        <v>316</v>
      </c>
      <c r="AC79" s="55"/>
      <c r="AD79" s="55"/>
    </row>
    <row r="80" spans="1:30" x14ac:dyDescent="0.15">
      <c r="A80" s="55" t="s">
        <v>41</v>
      </c>
      <c r="B80" s="178" t="s">
        <v>313</v>
      </c>
      <c r="C80" s="133">
        <v>2018</v>
      </c>
      <c r="D80" s="56" t="s">
        <v>317</v>
      </c>
      <c r="E80" s="178" t="s">
        <v>261</v>
      </c>
      <c r="F80" s="178" t="s">
        <v>267</v>
      </c>
      <c r="G80" s="55" t="s">
        <v>42</v>
      </c>
      <c r="H80" s="55" t="s">
        <v>157</v>
      </c>
      <c r="I80" s="55" t="s">
        <v>155</v>
      </c>
      <c r="J80" s="55" t="s">
        <v>38</v>
      </c>
      <c r="K80" s="55" t="s">
        <v>156</v>
      </c>
      <c r="L80" s="178">
        <v>1</v>
      </c>
      <c r="N80" s="55">
        <v>4</v>
      </c>
      <c r="O80" s="55">
        <v>0.2</v>
      </c>
      <c r="P80" s="55">
        <v>0.25</v>
      </c>
      <c r="Q80" s="57">
        <f t="shared" si="3"/>
        <v>0.22500000000000001</v>
      </c>
      <c r="R80" s="178">
        <v>15.1</v>
      </c>
      <c r="S80" s="55">
        <v>124</v>
      </c>
      <c r="T80" s="57">
        <f t="shared" si="4"/>
        <v>27</v>
      </c>
      <c r="U80" s="178">
        <v>429</v>
      </c>
      <c r="V80" s="58">
        <f t="shared" si="5"/>
        <v>2895.75</v>
      </c>
      <c r="W80" s="178">
        <v>2</v>
      </c>
      <c r="X80" s="55" t="s">
        <v>46</v>
      </c>
      <c r="Y80" s="55" t="s">
        <v>55</v>
      </c>
      <c r="Z80" s="55" t="s">
        <v>69</v>
      </c>
      <c r="AA80" s="55" t="s">
        <v>86</v>
      </c>
      <c r="AB80" s="39" t="s">
        <v>316</v>
      </c>
    </row>
    <row r="81" spans="1:30" x14ac:dyDescent="0.15">
      <c r="A81" s="55" t="s">
        <v>41</v>
      </c>
      <c r="B81" s="178" t="s">
        <v>313</v>
      </c>
      <c r="C81" s="133">
        <v>2018</v>
      </c>
      <c r="D81" s="56" t="s">
        <v>317</v>
      </c>
      <c r="E81" s="178" t="s">
        <v>261</v>
      </c>
      <c r="F81" s="178" t="s">
        <v>267</v>
      </c>
      <c r="G81" s="55" t="s">
        <v>42</v>
      </c>
      <c r="H81" s="55" t="s">
        <v>157</v>
      </c>
      <c r="I81" s="55" t="s">
        <v>155</v>
      </c>
      <c r="J81" s="55" t="s">
        <v>38</v>
      </c>
      <c r="K81" s="55" t="s">
        <v>156</v>
      </c>
      <c r="L81" s="178">
        <v>2</v>
      </c>
      <c r="N81" s="55">
        <v>4</v>
      </c>
      <c r="O81" s="55">
        <v>0.3</v>
      </c>
      <c r="P81" s="55">
        <v>0.35</v>
      </c>
      <c r="Q81" s="57">
        <f t="shared" si="3"/>
        <v>0.32499999999999996</v>
      </c>
      <c r="R81" s="178">
        <v>15</v>
      </c>
      <c r="S81" s="55">
        <v>138</v>
      </c>
      <c r="T81" s="57">
        <f t="shared" si="4"/>
        <v>22</v>
      </c>
      <c r="U81" s="178">
        <v>429</v>
      </c>
      <c r="V81" s="58">
        <f t="shared" si="5"/>
        <v>2359.5</v>
      </c>
      <c r="W81" s="178">
        <v>2</v>
      </c>
      <c r="X81" s="55" t="s">
        <v>46</v>
      </c>
      <c r="Y81" s="55" t="s">
        <v>55</v>
      </c>
      <c r="Z81" s="55" t="s">
        <v>69</v>
      </c>
      <c r="AA81" s="55" t="s">
        <v>86</v>
      </c>
      <c r="AB81" s="39" t="s">
        <v>316</v>
      </c>
    </row>
    <row r="82" spans="1:30" x14ac:dyDescent="0.15">
      <c r="A82" s="55" t="s">
        <v>41</v>
      </c>
      <c r="B82" s="178" t="s">
        <v>313</v>
      </c>
      <c r="C82" s="133">
        <v>2018</v>
      </c>
      <c r="D82" s="56" t="s">
        <v>317</v>
      </c>
      <c r="E82" s="178" t="s">
        <v>261</v>
      </c>
      <c r="F82" s="178" t="s">
        <v>267</v>
      </c>
      <c r="G82" s="55" t="s">
        <v>42</v>
      </c>
      <c r="H82" s="55" t="s">
        <v>157</v>
      </c>
      <c r="I82" s="55" t="s">
        <v>155</v>
      </c>
      <c r="J82" s="55" t="s">
        <v>38</v>
      </c>
      <c r="K82" s="55" t="s">
        <v>156</v>
      </c>
      <c r="L82" s="178">
        <v>3</v>
      </c>
      <c r="N82" s="55">
        <v>4</v>
      </c>
      <c r="O82" s="55">
        <v>0.4</v>
      </c>
      <c r="P82" s="55">
        <v>0.45</v>
      </c>
      <c r="Q82" s="57">
        <f t="shared" si="3"/>
        <v>0.42500000000000004</v>
      </c>
      <c r="R82" s="178">
        <v>13.4</v>
      </c>
      <c r="S82" s="55">
        <v>147</v>
      </c>
      <c r="T82" s="57">
        <f t="shared" si="4"/>
        <v>22</v>
      </c>
      <c r="U82" s="55">
        <v>429</v>
      </c>
      <c r="V82" s="58">
        <f t="shared" si="5"/>
        <v>2359.5</v>
      </c>
      <c r="W82" s="178">
        <v>2</v>
      </c>
      <c r="X82" s="55" t="s">
        <v>46</v>
      </c>
      <c r="Y82" s="55" t="s">
        <v>55</v>
      </c>
      <c r="Z82" s="55" t="s">
        <v>69</v>
      </c>
      <c r="AA82" s="55" t="s">
        <v>86</v>
      </c>
      <c r="AB82" s="39" t="s">
        <v>316</v>
      </c>
    </row>
    <row r="83" spans="1:30" x14ac:dyDescent="0.15">
      <c r="A83" s="55" t="s">
        <v>41</v>
      </c>
      <c r="B83" s="178" t="s">
        <v>313</v>
      </c>
      <c r="C83" s="133">
        <v>2018</v>
      </c>
      <c r="D83" s="56" t="s">
        <v>317</v>
      </c>
      <c r="E83" s="178" t="s">
        <v>261</v>
      </c>
      <c r="F83" s="178" t="s">
        <v>267</v>
      </c>
      <c r="G83" s="55" t="s">
        <v>42</v>
      </c>
      <c r="H83" s="55" t="s">
        <v>162</v>
      </c>
      <c r="I83" s="55" t="s">
        <v>155</v>
      </c>
      <c r="J83" s="55" t="s">
        <v>38</v>
      </c>
      <c r="K83" s="55" t="s">
        <v>156</v>
      </c>
      <c r="L83" s="178">
        <v>1</v>
      </c>
      <c r="N83" s="178">
        <v>4</v>
      </c>
      <c r="O83" s="55">
        <v>0.7</v>
      </c>
      <c r="P83" s="55">
        <v>0.65</v>
      </c>
      <c r="Q83" s="57">
        <f t="shared" si="3"/>
        <v>0.67500000000000004</v>
      </c>
      <c r="R83" s="178">
        <v>12.8</v>
      </c>
      <c r="S83" s="55">
        <v>129</v>
      </c>
      <c r="T83" s="57">
        <f t="shared" si="4"/>
        <v>25</v>
      </c>
      <c r="U83" s="178">
        <v>626</v>
      </c>
      <c r="V83" s="58">
        <f t="shared" si="5"/>
        <v>3912.5</v>
      </c>
      <c r="W83" s="178">
        <v>2</v>
      </c>
      <c r="X83" s="55" t="s">
        <v>46</v>
      </c>
      <c r="Y83" s="55" t="s">
        <v>55</v>
      </c>
      <c r="Z83" s="55" t="s">
        <v>69</v>
      </c>
      <c r="AA83" s="55" t="s">
        <v>86</v>
      </c>
      <c r="AB83" s="39" t="s">
        <v>316</v>
      </c>
      <c r="AC83" s="55"/>
      <c r="AD83" s="55"/>
    </row>
    <row r="84" spans="1:30" x14ac:dyDescent="0.15">
      <c r="A84" s="55" t="s">
        <v>41</v>
      </c>
      <c r="B84" s="178" t="s">
        <v>313</v>
      </c>
      <c r="C84" s="133">
        <v>2018</v>
      </c>
      <c r="D84" s="56" t="s">
        <v>317</v>
      </c>
      <c r="E84" s="178" t="s">
        <v>261</v>
      </c>
      <c r="F84" s="178" t="s">
        <v>267</v>
      </c>
      <c r="G84" s="55" t="s">
        <v>42</v>
      </c>
      <c r="H84" s="55" t="s">
        <v>162</v>
      </c>
      <c r="I84" s="55" t="s">
        <v>155</v>
      </c>
      <c r="J84" s="55" t="s">
        <v>38</v>
      </c>
      <c r="K84" s="55" t="s">
        <v>156</v>
      </c>
      <c r="L84" s="178">
        <v>2</v>
      </c>
      <c r="N84" s="178">
        <v>4</v>
      </c>
      <c r="O84" s="55">
        <v>0.65</v>
      </c>
      <c r="P84" s="55">
        <v>0.6</v>
      </c>
      <c r="Q84" s="57">
        <f t="shared" si="3"/>
        <v>0.625</v>
      </c>
      <c r="R84" s="178">
        <v>16.399999999999999</v>
      </c>
      <c r="S84" s="55">
        <v>137</v>
      </c>
      <c r="T84" s="57">
        <f t="shared" si="4"/>
        <v>25</v>
      </c>
      <c r="U84" s="178">
        <v>626</v>
      </c>
      <c r="V84" s="58">
        <f t="shared" si="5"/>
        <v>3912.5</v>
      </c>
      <c r="W84" s="178">
        <v>2</v>
      </c>
      <c r="X84" s="55" t="s">
        <v>46</v>
      </c>
      <c r="Y84" s="55" t="s">
        <v>55</v>
      </c>
      <c r="Z84" s="55" t="s">
        <v>69</v>
      </c>
      <c r="AA84" s="55" t="s">
        <v>86</v>
      </c>
      <c r="AB84" s="39" t="s">
        <v>316</v>
      </c>
      <c r="AC84" s="55"/>
      <c r="AD84" s="55"/>
    </row>
    <row r="85" spans="1:30" x14ac:dyDescent="0.15">
      <c r="A85" s="55" t="s">
        <v>41</v>
      </c>
      <c r="B85" s="178" t="s">
        <v>313</v>
      </c>
      <c r="C85" s="133">
        <v>2018</v>
      </c>
      <c r="D85" s="56" t="s">
        <v>317</v>
      </c>
      <c r="E85" s="178" t="s">
        <v>261</v>
      </c>
      <c r="F85" s="178" t="s">
        <v>267</v>
      </c>
      <c r="G85" s="55" t="s">
        <v>42</v>
      </c>
      <c r="H85" s="55" t="s">
        <v>162</v>
      </c>
      <c r="I85" s="55" t="s">
        <v>155</v>
      </c>
      <c r="J85" s="55" t="s">
        <v>38</v>
      </c>
      <c r="K85" s="55" t="s">
        <v>156</v>
      </c>
      <c r="L85" s="178">
        <v>3</v>
      </c>
      <c r="N85" s="178">
        <v>4</v>
      </c>
      <c r="O85" s="55">
        <v>0.8</v>
      </c>
      <c r="P85" s="55">
        <v>0.6</v>
      </c>
      <c r="Q85" s="57">
        <f t="shared" si="3"/>
        <v>0.7</v>
      </c>
      <c r="R85" s="178">
        <v>15.2</v>
      </c>
      <c r="S85" s="55">
        <v>135</v>
      </c>
      <c r="T85" s="57">
        <f t="shared" si="4"/>
        <v>25</v>
      </c>
      <c r="U85" s="178">
        <v>626</v>
      </c>
      <c r="V85" s="58">
        <f t="shared" si="5"/>
        <v>3912.5</v>
      </c>
      <c r="W85" s="178">
        <v>2</v>
      </c>
      <c r="X85" s="55" t="s">
        <v>46</v>
      </c>
      <c r="Y85" s="55" t="s">
        <v>55</v>
      </c>
      <c r="Z85" s="55" t="s">
        <v>69</v>
      </c>
      <c r="AA85" s="55" t="s">
        <v>86</v>
      </c>
      <c r="AB85" s="39" t="s">
        <v>316</v>
      </c>
      <c r="AC85" s="55"/>
      <c r="AD85" s="55"/>
    </row>
    <row r="86" spans="1:30" x14ac:dyDescent="0.15">
      <c r="A86" s="55" t="s">
        <v>41</v>
      </c>
      <c r="B86" s="178" t="s">
        <v>313</v>
      </c>
      <c r="C86" s="133">
        <v>2018</v>
      </c>
      <c r="D86" s="56" t="s">
        <v>317</v>
      </c>
      <c r="E86" s="55" t="s">
        <v>263</v>
      </c>
      <c r="F86" s="178" t="s">
        <v>268</v>
      </c>
      <c r="G86" s="55" t="s">
        <v>42</v>
      </c>
      <c r="H86" s="55" t="s">
        <v>157</v>
      </c>
      <c r="I86" s="55" t="s">
        <v>155</v>
      </c>
      <c r="J86" s="55" t="s">
        <v>38</v>
      </c>
      <c r="K86" s="55" t="s">
        <v>156</v>
      </c>
      <c r="L86" s="178">
        <v>1</v>
      </c>
      <c r="N86" s="178">
        <v>1</v>
      </c>
      <c r="O86" s="55">
        <v>0.25</v>
      </c>
      <c r="P86" s="55">
        <v>0.3</v>
      </c>
      <c r="Q86" s="57">
        <f t="shared" si="3"/>
        <v>0.27500000000000002</v>
      </c>
      <c r="R86" s="178">
        <v>13.8</v>
      </c>
      <c r="S86" s="55">
        <v>111</v>
      </c>
      <c r="T86" s="57">
        <f t="shared" si="4"/>
        <v>33</v>
      </c>
      <c r="U86" s="178">
        <v>138</v>
      </c>
      <c r="V86" s="58">
        <f t="shared" si="5"/>
        <v>4554</v>
      </c>
      <c r="W86" s="178">
        <v>3</v>
      </c>
      <c r="X86" s="55" t="s">
        <v>46</v>
      </c>
      <c r="Y86" s="55" t="s">
        <v>69</v>
      </c>
      <c r="Z86" s="55" t="s">
        <v>86</v>
      </c>
      <c r="AA86" s="55" t="s">
        <v>60</v>
      </c>
      <c r="AB86" s="39" t="s">
        <v>316</v>
      </c>
      <c r="AC86" s="55"/>
      <c r="AD86" s="55"/>
    </row>
    <row r="87" spans="1:30" x14ac:dyDescent="0.15">
      <c r="A87" s="55" t="s">
        <v>41</v>
      </c>
      <c r="B87" s="178" t="s">
        <v>313</v>
      </c>
      <c r="C87" s="133">
        <v>2018</v>
      </c>
      <c r="D87" s="56" t="s">
        <v>317</v>
      </c>
      <c r="E87" s="55" t="s">
        <v>263</v>
      </c>
      <c r="F87" s="178" t="s">
        <v>268</v>
      </c>
      <c r="G87" s="55" t="s">
        <v>42</v>
      </c>
      <c r="H87" s="55" t="s">
        <v>157</v>
      </c>
      <c r="I87" s="55" t="s">
        <v>155</v>
      </c>
      <c r="J87" s="55" t="s">
        <v>38</v>
      </c>
      <c r="K87" s="55" t="s">
        <v>156</v>
      </c>
      <c r="L87" s="178">
        <v>2</v>
      </c>
      <c r="N87" s="178">
        <v>1</v>
      </c>
      <c r="O87" s="55">
        <v>0.2</v>
      </c>
      <c r="P87" s="55">
        <v>0.2</v>
      </c>
      <c r="Q87" s="57">
        <f t="shared" si="3"/>
        <v>0.2</v>
      </c>
      <c r="R87" s="178">
        <v>16.8</v>
      </c>
      <c r="S87" s="55">
        <v>121</v>
      </c>
      <c r="T87" s="57">
        <f t="shared" si="4"/>
        <v>27</v>
      </c>
      <c r="U87" s="178">
        <v>138</v>
      </c>
      <c r="V87" s="58">
        <f t="shared" si="5"/>
        <v>3726</v>
      </c>
      <c r="W87" s="178">
        <v>3</v>
      </c>
      <c r="X87" s="55" t="s">
        <v>46</v>
      </c>
      <c r="Y87" s="55" t="s">
        <v>69</v>
      </c>
      <c r="Z87" s="55" t="s">
        <v>86</v>
      </c>
      <c r="AA87" s="55" t="s">
        <v>60</v>
      </c>
      <c r="AB87" s="39" t="s">
        <v>316</v>
      </c>
      <c r="AC87" s="55"/>
      <c r="AD87" s="55"/>
    </row>
    <row r="88" spans="1:30" x14ac:dyDescent="0.15">
      <c r="A88" s="55" t="s">
        <v>41</v>
      </c>
      <c r="B88" s="178" t="s">
        <v>313</v>
      </c>
      <c r="C88" s="133">
        <v>2018</v>
      </c>
      <c r="D88" s="56" t="s">
        <v>317</v>
      </c>
      <c r="E88" s="55" t="s">
        <v>263</v>
      </c>
      <c r="F88" s="178" t="s">
        <v>268</v>
      </c>
      <c r="G88" s="55" t="s">
        <v>42</v>
      </c>
      <c r="H88" s="55" t="s">
        <v>157</v>
      </c>
      <c r="I88" s="55" t="s">
        <v>155</v>
      </c>
      <c r="J88" s="55" t="s">
        <v>38</v>
      </c>
      <c r="K88" s="55" t="s">
        <v>156</v>
      </c>
      <c r="L88" s="178">
        <v>3</v>
      </c>
      <c r="N88" s="178">
        <v>1</v>
      </c>
      <c r="O88" s="55">
        <v>0.2</v>
      </c>
      <c r="P88" s="55">
        <v>0.15</v>
      </c>
      <c r="Q88" s="57">
        <f t="shared" si="3"/>
        <v>0.17499999999999999</v>
      </c>
      <c r="R88" s="178">
        <v>14.2</v>
      </c>
      <c r="S88" s="55">
        <v>118</v>
      </c>
      <c r="T88" s="57">
        <f t="shared" si="4"/>
        <v>30</v>
      </c>
      <c r="U88" s="178">
        <v>138</v>
      </c>
      <c r="V88" s="58">
        <f t="shared" si="5"/>
        <v>4140</v>
      </c>
      <c r="W88" s="178">
        <v>3</v>
      </c>
      <c r="X88" s="55" t="s">
        <v>46</v>
      </c>
      <c r="Y88" s="55" t="s">
        <v>69</v>
      </c>
      <c r="Z88" s="55" t="s">
        <v>86</v>
      </c>
      <c r="AA88" s="55" t="s">
        <v>60</v>
      </c>
      <c r="AB88" s="39" t="s">
        <v>316</v>
      </c>
      <c r="AC88" s="55"/>
      <c r="AD88" s="55"/>
    </row>
    <row r="89" spans="1:30" x14ac:dyDescent="0.15">
      <c r="A89" s="55" t="s">
        <v>41</v>
      </c>
      <c r="B89" s="178" t="s">
        <v>313</v>
      </c>
      <c r="C89" s="133">
        <v>2018</v>
      </c>
      <c r="D89" s="56" t="s">
        <v>317</v>
      </c>
      <c r="E89" s="55" t="s">
        <v>263</v>
      </c>
      <c r="F89" s="178" t="s">
        <v>268</v>
      </c>
      <c r="G89" s="55" t="s">
        <v>42</v>
      </c>
      <c r="H89" s="55" t="s">
        <v>162</v>
      </c>
      <c r="I89" s="55" t="s">
        <v>155</v>
      </c>
      <c r="J89" s="55" t="s">
        <v>38</v>
      </c>
      <c r="K89" s="55" t="s">
        <v>156</v>
      </c>
      <c r="L89" s="178">
        <v>1</v>
      </c>
      <c r="N89" s="178">
        <v>1</v>
      </c>
      <c r="O89" s="55">
        <v>0.3</v>
      </c>
      <c r="P89" s="55">
        <v>0.2</v>
      </c>
      <c r="Q89" s="57">
        <f t="shared" si="3"/>
        <v>0.25</v>
      </c>
      <c r="R89" s="178">
        <v>16.8</v>
      </c>
      <c r="S89" s="55">
        <v>134</v>
      </c>
      <c r="T89" s="57">
        <f t="shared" si="4"/>
        <v>25</v>
      </c>
      <c r="U89" s="178">
        <v>170</v>
      </c>
      <c r="V89" s="58">
        <f t="shared" si="5"/>
        <v>4250</v>
      </c>
      <c r="W89" s="178">
        <v>6</v>
      </c>
      <c r="X89" s="55" t="s">
        <v>46</v>
      </c>
      <c r="Y89" s="55" t="s">
        <v>69</v>
      </c>
      <c r="Z89" s="55" t="s">
        <v>86</v>
      </c>
      <c r="AA89" s="55" t="s">
        <v>60</v>
      </c>
      <c r="AB89" s="39" t="s">
        <v>316</v>
      </c>
      <c r="AC89" s="55"/>
      <c r="AD89" s="55"/>
    </row>
    <row r="90" spans="1:30" x14ac:dyDescent="0.15">
      <c r="A90" s="55" t="s">
        <v>41</v>
      </c>
      <c r="B90" s="178" t="s">
        <v>313</v>
      </c>
      <c r="C90" s="133">
        <v>2018</v>
      </c>
      <c r="D90" s="56" t="s">
        <v>317</v>
      </c>
      <c r="E90" s="55" t="s">
        <v>263</v>
      </c>
      <c r="F90" s="178" t="s">
        <v>268</v>
      </c>
      <c r="G90" s="55" t="s">
        <v>42</v>
      </c>
      <c r="H90" s="55" t="s">
        <v>162</v>
      </c>
      <c r="I90" s="55" t="s">
        <v>155</v>
      </c>
      <c r="J90" s="55" t="s">
        <v>38</v>
      </c>
      <c r="K90" s="55" t="s">
        <v>156</v>
      </c>
      <c r="L90" s="178">
        <v>2</v>
      </c>
      <c r="N90" s="178">
        <v>1</v>
      </c>
      <c r="O90" s="178">
        <v>0.25</v>
      </c>
      <c r="P90" s="178">
        <v>0.3</v>
      </c>
      <c r="Q90" s="57">
        <f t="shared" si="3"/>
        <v>0.27500000000000002</v>
      </c>
      <c r="R90" s="178">
        <v>17</v>
      </c>
      <c r="S90" s="178">
        <v>139</v>
      </c>
      <c r="T90" s="57">
        <f t="shared" si="4"/>
        <v>22</v>
      </c>
      <c r="U90" s="178">
        <v>170</v>
      </c>
      <c r="V90" s="58">
        <f t="shared" si="5"/>
        <v>3740</v>
      </c>
      <c r="W90" s="178">
        <v>6</v>
      </c>
      <c r="X90" s="55" t="s">
        <v>46</v>
      </c>
      <c r="Y90" s="55" t="s">
        <v>69</v>
      </c>
      <c r="Z90" s="55" t="s">
        <v>86</v>
      </c>
      <c r="AA90" s="55" t="s">
        <v>60</v>
      </c>
      <c r="AB90" s="39" t="s">
        <v>316</v>
      </c>
      <c r="AC90" s="55"/>
      <c r="AD90" s="55"/>
    </row>
    <row r="91" spans="1:30" x14ac:dyDescent="0.15">
      <c r="A91" s="55" t="s">
        <v>41</v>
      </c>
      <c r="B91" s="178" t="s">
        <v>313</v>
      </c>
      <c r="C91" s="133">
        <v>2018</v>
      </c>
      <c r="D91" s="56" t="s">
        <v>317</v>
      </c>
      <c r="E91" s="55" t="s">
        <v>263</v>
      </c>
      <c r="F91" s="178" t="s">
        <v>268</v>
      </c>
      <c r="G91" s="55" t="s">
        <v>42</v>
      </c>
      <c r="H91" s="55" t="s">
        <v>162</v>
      </c>
      <c r="I91" s="55" t="s">
        <v>155</v>
      </c>
      <c r="J91" s="55" t="s">
        <v>38</v>
      </c>
      <c r="K91" s="55" t="s">
        <v>156</v>
      </c>
      <c r="L91" s="178">
        <v>3</v>
      </c>
      <c r="N91" s="178">
        <v>1</v>
      </c>
      <c r="O91" s="178">
        <v>0.3</v>
      </c>
      <c r="P91" s="178">
        <v>0.2</v>
      </c>
      <c r="Q91" s="57">
        <f t="shared" si="3"/>
        <v>0.25</v>
      </c>
      <c r="R91" s="178">
        <v>15.1</v>
      </c>
      <c r="S91" s="178">
        <v>140</v>
      </c>
      <c r="T91" s="57">
        <f t="shared" si="4"/>
        <v>22</v>
      </c>
      <c r="U91" s="178">
        <v>170</v>
      </c>
      <c r="V91" s="58">
        <f t="shared" si="5"/>
        <v>3740</v>
      </c>
      <c r="W91" s="178">
        <v>6</v>
      </c>
      <c r="X91" s="55" t="s">
        <v>46</v>
      </c>
      <c r="Y91" s="55" t="s">
        <v>69</v>
      </c>
      <c r="Z91" s="55" t="s">
        <v>86</v>
      </c>
      <c r="AA91" s="55" t="s">
        <v>60</v>
      </c>
      <c r="AB91" s="39" t="s">
        <v>316</v>
      </c>
      <c r="AC91" s="55"/>
      <c r="AD91" s="55"/>
    </row>
    <row r="92" spans="1:30" x14ac:dyDescent="0.15">
      <c r="A92" s="55" t="s">
        <v>41</v>
      </c>
      <c r="B92" s="178" t="s">
        <v>313</v>
      </c>
      <c r="C92" s="133">
        <v>2018</v>
      </c>
      <c r="D92" s="56" t="s">
        <v>317</v>
      </c>
      <c r="E92" s="55" t="s">
        <v>263</v>
      </c>
      <c r="F92" s="178" t="s">
        <v>268</v>
      </c>
      <c r="G92" s="55" t="s">
        <v>42</v>
      </c>
      <c r="H92" s="55" t="s">
        <v>162</v>
      </c>
      <c r="I92" s="55" t="s">
        <v>155</v>
      </c>
      <c r="J92" s="55" t="s">
        <v>38</v>
      </c>
      <c r="K92" s="55" t="s">
        <v>156</v>
      </c>
      <c r="L92" s="178">
        <v>1</v>
      </c>
      <c r="N92" s="178">
        <v>3</v>
      </c>
      <c r="O92" s="178">
        <v>0.35</v>
      </c>
      <c r="P92" s="178">
        <v>0.2</v>
      </c>
      <c r="Q92" s="57">
        <f t="shared" si="3"/>
        <v>0.27500000000000002</v>
      </c>
      <c r="R92" s="178">
        <v>14.7</v>
      </c>
      <c r="S92" s="178">
        <v>148</v>
      </c>
      <c r="T92" s="57">
        <f t="shared" si="4"/>
        <v>22</v>
      </c>
      <c r="U92" s="178">
        <v>537</v>
      </c>
      <c r="V92" s="58">
        <f t="shared" si="5"/>
        <v>3938</v>
      </c>
      <c r="W92" s="178">
        <v>2</v>
      </c>
      <c r="X92" s="55" t="s">
        <v>46</v>
      </c>
      <c r="Y92" s="55" t="s">
        <v>69</v>
      </c>
      <c r="Z92" s="55" t="s">
        <v>86</v>
      </c>
      <c r="AA92" s="55" t="s">
        <v>60</v>
      </c>
      <c r="AB92" s="39" t="s">
        <v>316</v>
      </c>
      <c r="AC92" s="55"/>
      <c r="AD92" s="55"/>
    </row>
    <row r="93" spans="1:30" x14ac:dyDescent="0.15">
      <c r="A93" s="55" t="s">
        <v>41</v>
      </c>
      <c r="B93" s="178" t="s">
        <v>313</v>
      </c>
      <c r="C93" s="133">
        <v>2018</v>
      </c>
      <c r="D93" s="56" t="s">
        <v>317</v>
      </c>
      <c r="E93" s="55" t="s">
        <v>263</v>
      </c>
      <c r="F93" s="178" t="s">
        <v>268</v>
      </c>
      <c r="G93" s="55" t="s">
        <v>42</v>
      </c>
      <c r="H93" s="55" t="s">
        <v>162</v>
      </c>
      <c r="I93" s="55" t="s">
        <v>155</v>
      </c>
      <c r="J93" s="55" t="s">
        <v>38</v>
      </c>
      <c r="K93" s="55" t="s">
        <v>156</v>
      </c>
      <c r="L93" s="178">
        <v>2</v>
      </c>
      <c r="N93" s="178">
        <v>3</v>
      </c>
      <c r="O93" s="178">
        <v>0.3</v>
      </c>
      <c r="P93" s="178">
        <v>0.45</v>
      </c>
      <c r="Q93" s="57">
        <f t="shared" si="3"/>
        <v>0.375</v>
      </c>
      <c r="R93" s="178">
        <v>14.5</v>
      </c>
      <c r="S93" s="178">
        <v>150</v>
      </c>
      <c r="T93" s="57">
        <f t="shared" si="4"/>
        <v>22</v>
      </c>
      <c r="U93" s="178">
        <v>537</v>
      </c>
      <c r="V93" s="58">
        <f t="shared" si="5"/>
        <v>3938</v>
      </c>
      <c r="W93" s="178">
        <v>2</v>
      </c>
      <c r="X93" s="55" t="s">
        <v>46</v>
      </c>
      <c r="Y93" s="55" t="s">
        <v>69</v>
      </c>
      <c r="Z93" s="55" t="s">
        <v>86</v>
      </c>
      <c r="AA93" s="55" t="s">
        <v>60</v>
      </c>
      <c r="AB93" s="39" t="s">
        <v>316</v>
      </c>
      <c r="AC93" s="55"/>
      <c r="AD93" s="55"/>
    </row>
    <row r="94" spans="1:30" x14ac:dyDescent="0.15">
      <c r="A94" s="55" t="s">
        <v>41</v>
      </c>
      <c r="B94" s="178" t="s">
        <v>313</v>
      </c>
      <c r="C94" s="133">
        <v>2018</v>
      </c>
      <c r="D94" s="56" t="s">
        <v>317</v>
      </c>
      <c r="E94" s="55" t="s">
        <v>263</v>
      </c>
      <c r="F94" s="178" t="s">
        <v>268</v>
      </c>
      <c r="G94" s="55" t="s">
        <v>42</v>
      </c>
      <c r="H94" s="55" t="s">
        <v>162</v>
      </c>
      <c r="I94" s="55" t="s">
        <v>155</v>
      </c>
      <c r="J94" s="55" t="s">
        <v>38</v>
      </c>
      <c r="K94" s="55" t="s">
        <v>156</v>
      </c>
      <c r="L94" s="178">
        <v>3</v>
      </c>
      <c r="N94" s="178">
        <v>3</v>
      </c>
      <c r="O94" s="178">
        <v>0.25</v>
      </c>
      <c r="P94" s="178">
        <v>0.4</v>
      </c>
      <c r="Q94" s="57">
        <f t="shared" si="3"/>
        <v>0.32500000000000001</v>
      </c>
      <c r="R94" s="178">
        <v>16.7</v>
      </c>
      <c r="S94" s="178">
        <v>151</v>
      </c>
      <c r="T94" s="57">
        <f t="shared" si="4"/>
        <v>22</v>
      </c>
      <c r="U94" s="178">
        <v>537</v>
      </c>
      <c r="V94" s="58">
        <f t="shared" si="5"/>
        <v>3938</v>
      </c>
      <c r="W94" s="178">
        <v>2</v>
      </c>
      <c r="X94" s="55" t="s">
        <v>46</v>
      </c>
      <c r="Y94" s="55" t="s">
        <v>69</v>
      </c>
      <c r="Z94" s="55" t="s">
        <v>86</v>
      </c>
      <c r="AA94" s="55" t="s">
        <v>60</v>
      </c>
      <c r="AB94" s="39" t="s">
        <v>316</v>
      </c>
      <c r="AC94" s="55"/>
      <c r="AD94" s="55"/>
    </row>
    <row r="95" spans="1:30" x14ac:dyDescent="0.15">
      <c r="A95" s="55" t="s">
        <v>41</v>
      </c>
      <c r="B95" s="178" t="s">
        <v>313</v>
      </c>
      <c r="C95" s="133">
        <v>2018</v>
      </c>
      <c r="D95" s="56" t="s">
        <v>317</v>
      </c>
      <c r="E95" s="55" t="s">
        <v>263</v>
      </c>
      <c r="F95" s="178" t="s">
        <v>269</v>
      </c>
      <c r="G95" s="55" t="s">
        <v>42</v>
      </c>
      <c r="H95" s="55" t="s">
        <v>157</v>
      </c>
      <c r="I95" s="55" t="s">
        <v>155</v>
      </c>
      <c r="J95" s="55" t="s">
        <v>38</v>
      </c>
      <c r="K95" s="55" t="s">
        <v>156</v>
      </c>
      <c r="L95" s="178">
        <v>1</v>
      </c>
      <c r="N95" s="178">
        <v>3</v>
      </c>
      <c r="O95" s="55">
        <v>0.35</v>
      </c>
      <c r="P95" s="55">
        <v>0.4</v>
      </c>
      <c r="Q95" s="57">
        <f t="shared" si="3"/>
        <v>0.375</v>
      </c>
      <c r="R95" s="178">
        <v>12.8</v>
      </c>
      <c r="S95" s="55">
        <v>138</v>
      </c>
      <c r="T95" s="57">
        <f t="shared" si="4"/>
        <v>22</v>
      </c>
      <c r="U95" s="178">
        <v>537</v>
      </c>
      <c r="V95" s="58">
        <f t="shared" si="5"/>
        <v>3938</v>
      </c>
      <c r="W95" s="178">
        <v>2</v>
      </c>
      <c r="X95" s="55" t="s">
        <v>46</v>
      </c>
      <c r="Y95" s="55" t="s">
        <v>69</v>
      </c>
      <c r="Z95" s="55" t="s">
        <v>55</v>
      </c>
      <c r="AA95" s="55" t="s">
        <v>60</v>
      </c>
      <c r="AB95" s="39" t="s">
        <v>316</v>
      </c>
      <c r="AC95" s="55"/>
      <c r="AD95" s="55"/>
    </row>
    <row r="96" spans="1:30" x14ac:dyDescent="0.15">
      <c r="A96" s="55" t="s">
        <v>41</v>
      </c>
      <c r="B96" s="178" t="s">
        <v>313</v>
      </c>
      <c r="C96" s="133">
        <v>2018</v>
      </c>
      <c r="D96" s="56" t="s">
        <v>317</v>
      </c>
      <c r="E96" s="55" t="s">
        <v>263</v>
      </c>
      <c r="F96" s="178" t="s">
        <v>269</v>
      </c>
      <c r="G96" s="55" t="s">
        <v>42</v>
      </c>
      <c r="H96" s="55" t="s">
        <v>157</v>
      </c>
      <c r="I96" s="55" t="s">
        <v>155</v>
      </c>
      <c r="J96" s="55" t="s">
        <v>38</v>
      </c>
      <c r="K96" s="55" t="s">
        <v>156</v>
      </c>
      <c r="L96" s="178">
        <v>2</v>
      </c>
      <c r="N96" s="178">
        <v>3</v>
      </c>
      <c r="O96" s="55">
        <v>0.45</v>
      </c>
      <c r="P96" s="55">
        <v>0.5</v>
      </c>
      <c r="Q96" s="57">
        <f t="shared" si="3"/>
        <v>0.47499999999999998</v>
      </c>
      <c r="R96" s="178">
        <v>13.7</v>
      </c>
      <c r="S96" s="55">
        <v>140</v>
      </c>
      <c r="T96" s="57">
        <f t="shared" si="4"/>
        <v>22</v>
      </c>
      <c r="U96" s="178">
        <v>537</v>
      </c>
      <c r="V96" s="58">
        <f t="shared" si="5"/>
        <v>3938</v>
      </c>
      <c r="W96" s="178">
        <v>2</v>
      </c>
      <c r="X96" s="55" t="s">
        <v>46</v>
      </c>
      <c r="Y96" s="55" t="s">
        <v>69</v>
      </c>
      <c r="Z96" s="55" t="s">
        <v>55</v>
      </c>
      <c r="AA96" s="55" t="s">
        <v>60</v>
      </c>
      <c r="AB96" s="39" t="s">
        <v>316</v>
      </c>
      <c r="AC96" s="55"/>
      <c r="AD96" s="55"/>
    </row>
    <row r="97" spans="1:30" x14ac:dyDescent="0.15">
      <c r="A97" s="55" t="s">
        <v>41</v>
      </c>
      <c r="B97" s="178" t="s">
        <v>313</v>
      </c>
      <c r="C97" s="133">
        <v>2018</v>
      </c>
      <c r="D97" s="56" t="s">
        <v>317</v>
      </c>
      <c r="E97" s="55" t="s">
        <v>263</v>
      </c>
      <c r="F97" s="178" t="s">
        <v>269</v>
      </c>
      <c r="G97" s="55" t="s">
        <v>42</v>
      </c>
      <c r="H97" s="55" t="s">
        <v>157</v>
      </c>
      <c r="I97" s="55" t="s">
        <v>155</v>
      </c>
      <c r="J97" s="55" t="s">
        <v>38</v>
      </c>
      <c r="K97" s="55" t="s">
        <v>156</v>
      </c>
      <c r="L97" s="178">
        <v>3</v>
      </c>
      <c r="N97" s="178">
        <v>3</v>
      </c>
      <c r="O97" s="55">
        <v>0.5</v>
      </c>
      <c r="P97" s="55">
        <v>0.6</v>
      </c>
      <c r="Q97" s="57">
        <f t="shared" si="3"/>
        <v>0.55000000000000004</v>
      </c>
      <c r="R97" s="178">
        <v>15.3</v>
      </c>
      <c r="S97" s="55">
        <v>139</v>
      </c>
      <c r="T97" s="57">
        <f t="shared" si="4"/>
        <v>22</v>
      </c>
      <c r="U97" s="178">
        <v>537</v>
      </c>
      <c r="V97" s="58">
        <f t="shared" si="5"/>
        <v>3938</v>
      </c>
      <c r="W97" s="178">
        <v>2</v>
      </c>
      <c r="X97" s="55" t="s">
        <v>46</v>
      </c>
      <c r="Y97" s="55" t="s">
        <v>69</v>
      </c>
      <c r="Z97" s="55" t="s">
        <v>55</v>
      </c>
      <c r="AA97" s="55" t="s">
        <v>60</v>
      </c>
      <c r="AB97" s="39" t="s">
        <v>316</v>
      </c>
      <c r="AC97" s="55"/>
      <c r="AD97" s="55"/>
    </row>
    <row r="98" spans="1:30" x14ac:dyDescent="0.15">
      <c r="A98" s="55" t="s">
        <v>41</v>
      </c>
      <c r="B98" s="178" t="s">
        <v>313</v>
      </c>
      <c r="C98" s="133">
        <v>2018</v>
      </c>
      <c r="D98" s="56" t="s">
        <v>317</v>
      </c>
      <c r="E98" s="55" t="s">
        <v>263</v>
      </c>
      <c r="F98" s="178" t="s">
        <v>269</v>
      </c>
      <c r="G98" s="55" t="s">
        <v>42</v>
      </c>
      <c r="H98" s="55" t="s">
        <v>162</v>
      </c>
      <c r="I98" s="55" t="s">
        <v>155</v>
      </c>
      <c r="J98" s="55" t="s">
        <v>38</v>
      </c>
      <c r="K98" s="55" t="s">
        <v>156</v>
      </c>
      <c r="L98" s="178">
        <v>1</v>
      </c>
      <c r="N98" s="55">
        <v>1</v>
      </c>
      <c r="O98" s="55">
        <v>0.45</v>
      </c>
      <c r="P98" s="55">
        <v>0.5</v>
      </c>
      <c r="Q98" s="57">
        <f t="shared" si="3"/>
        <v>0.47499999999999998</v>
      </c>
      <c r="R98" s="178">
        <v>15.8</v>
      </c>
      <c r="S98" s="55">
        <v>131</v>
      </c>
      <c r="T98" s="57">
        <f t="shared" si="4"/>
        <v>25</v>
      </c>
      <c r="U98" s="178">
        <v>159</v>
      </c>
      <c r="V98" s="58">
        <f t="shared" si="5"/>
        <v>3975</v>
      </c>
      <c r="W98" s="178">
        <v>3</v>
      </c>
      <c r="X98" s="55" t="s">
        <v>46</v>
      </c>
      <c r="Y98" s="55" t="s">
        <v>69</v>
      </c>
      <c r="Z98" s="55" t="s">
        <v>55</v>
      </c>
      <c r="AA98" s="55" t="s">
        <v>60</v>
      </c>
      <c r="AB98" s="39" t="s">
        <v>316</v>
      </c>
    </row>
    <row r="99" spans="1:30" x14ac:dyDescent="0.15">
      <c r="A99" s="55" t="s">
        <v>41</v>
      </c>
      <c r="B99" s="178" t="s">
        <v>313</v>
      </c>
      <c r="C99" s="133">
        <v>2018</v>
      </c>
      <c r="D99" s="56" t="s">
        <v>317</v>
      </c>
      <c r="E99" s="55" t="s">
        <v>263</v>
      </c>
      <c r="F99" s="178" t="s">
        <v>269</v>
      </c>
      <c r="G99" s="55" t="s">
        <v>42</v>
      </c>
      <c r="H99" s="55" t="s">
        <v>162</v>
      </c>
      <c r="I99" s="55" t="s">
        <v>155</v>
      </c>
      <c r="J99" s="55" t="s">
        <v>38</v>
      </c>
      <c r="K99" s="55" t="s">
        <v>156</v>
      </c>
      <c r="L99" s="178">
        <v>2</v>
      </c>
      <c r="N99" s="55">
        <v>1</v>
      </c>
      <c r="O99" s="55">
        <v>0.25</v>
      </c>
      <c r="P99" s="55">
        <v>0.3</v>
      </c>
      <c r="Q99" s="57">
        <f t="shared" si="3"/>
        <v>0.27500000000000002</v>
      </c>
      <c r="R99" s="178">
        <v>14.2</v>
      </c>
      <c r="S99" s="55">
        <v>126</v>
      </c>
      <c r="T99" s="57">
        <f t="shared" si="4"/>
        <v>27</v>
      </c>
      <c r="U99" s="178">
        <v>159</v>
      </c>
      <c r="V99" s="58">
        <f t="shared" si="5"/>
        <v>4293</v>
      </c>
      <c r="W99" s="178">
        <v>3</v>
      </c>
      <c r="X99" s="55" t="s">
        <v>46</v>
      </c>
      <c r="Y99" s="55" t="s">
        <v>69</v>
      </c>
      <c r="Z99" s="55" t="s">
        <v>55</v>
      </c>
      <c r="AA99" s="55" t="s">
        <v>60</v>
      </c>
      <c r="AB99" s="39" t="s">
        <v>316</v>
      </c>
    </row>
    <row r="100" spans="1:30" x14ac:dyDescent="0.15">
      <c r="A100" s="55" t="s">
        <v>41</v>
      </c>
      <c r="B100" s="178" t="s">
        <v>313</v>
      </c>
      <c r="C100" s="133">
        <v>2018</v>
      </c>
      <c r="D100" s="56" t="s">
        <v>317</v>
      </c>
      <c r="E100" s="55" t="s">
        <v>263</v>
      </c>
      <c r="F100" s="178" t="s">
        <v>269</v>
      </c>
      <c r="G100" s="55" t="s">
        <v>42</v>
      </c>
      <c r="H100" s="55" t="s">
        <v>162</v>
      </c>
      <c r="I100" s="55" t="s">
        <v>155</v>
      </c>
      <c r="J100" s="55" t="s">
        <v>38</v>
      </c>
      <c r="K100" s="55" t="s">
        <v>156</v>
      </c>
      <c r="L100" s="178">
        <v>3</v>
      </c>
      <c r="N100" s="178">
        <v>1</v>
      </c>
      <c r="O100" s="55">
        <v>0.3</v>
      </c>
      <c r="P100" s="55">
        <v>0.3</v>
      </c>
      <c r="Q100" s="57">
        <f t="shared" si="3"/>
        <v>0.3</v>
      </c>
      <c r="R100" s="178">
        <v>15.7</v>
      </c>
      <c r="S100" s="55">
        <v>129</v>
      </c>
      <c r="T100" s="57">
        <f t="shared" si="4"/>
        <v>25</v>
      </c>
      <c r="U100" s="178">
        <v>159</v>
      </c>
      <c r="V100" s="58">
        <f t="shared" si="5"/>
        <v>3975</v>
      </c>
      <c r="W100" s="178">
        <v>3</v>
      </c>
      <c r="X100" s="55" t="s">
        <v>46</v>
      </c>
      <c r="Y100" s="55" t="s">
        <v>69</v>
      </c>
      <c r="Z100" s="55" t="s">
        <v>55</v>
      </c>
      <c r="AA100" s="55" t="s">
        <v>60</v>
      </c>
      <c r="AB100" s="39" t="s">
        <v>316</v>
      </c>
    </row>
    <row r="101" spans="1:30" x14ac:dyDescent="0.15">
      <c r="A101" s="55" t="s">
        <v>41</v>
      </c>
      <c r="B101" s="178" t="s">
        <v>313</v>
      </c>
      <c r="C101" s="133">
        <v>2018</v>
      </c>
      <c r="D101" s="56" t="s">
        <v>317</v>
      </c>
      <c r="E101" s="55" t="s">
        <v>263</v>
      </c>
      <c r="F101" s="178" t="s">
        <v>269</v>
      </c>
      <c r="G101" s="55" t="s">
        <v>42</v>
      </c>
      <c r="H101" s="55" t="s">
        <v>162</v>
      </c>
      <c r="I101" s="55" t="s">
        <v>155</v>
      </c>
      <c r="J101" s="55" t="s">
        <v>38</v>
      </c>
      <c r="K101" s="55" t="s">
        <v>156</v>
      </c>
      <c r="L101" s="178">
        <v>1</v>
      </c>
      <c r="N101" s="55">
        <v>1</v>
      </c>
      <c r="O101" s="55">
        <v>0.15</v>
      </c>
      <c r="P101" s="55">
        <v>0.2</v>
      </c>
      <c r="Q101" s="57">
        <f t="shared" si="3"/>
        <v>0.17499999999999999</v>
      </c>
      <c r="R101" s="178">
        <v>16</v>
      </c>
      <c r="S101" s="55">
        <v>126</v>
      </c>
      <c r="T101" s="57">
        <f t="shared" si="4"/>
        <v>27</v>
      </c>
      <c r="U101" s="178">
        <v>213</v>
      </c>
      <c r="V101" s="58">
        <f t="shared" si="5"/>
        <v>5751</v>
      </c>
      <c r="W101" s="178">
        <v>3</v>
      </c>
      <c r="X101" s="55" t="s">
        <v>46</v>
      </c>
      <c r="Y101" s="55" t="s">
        <v>69</v>
      </c>
      <c r="Z101" s="55" t="s">
        <v>55</v>
      </c>
      <c r="AA101" s="55" t="s">
        <v>60</v>
      </c>
      <c r="AB101" s="39" t="s">
        <v>316</v>
      </c>
    </row>
    <row r="102" spans="1:30" x14ac:dyDescent="0.15">
      <c r="A102" s="55" t="s">
        <v>41</v>
      </c>
      <c r="B102" s="178" t="s">
        <v>313</v>
      </c>
      <c r="C102" s="133">
        <v>2018</v>
      </c>
      <c r="D102" s="56" t="s">
        <v>317</v>
      </c>
      <c r="E102" s="55" t="s">
        <v>263</v>
      </c>
      <c r="F102" s="178" t="s">
        <v>269</v>
      </c>
      <c r="G102" s="55" t="s">
        <v>42</v>
      </c>
      <c r="H102" s="55" t="s">
        <v>162</v>
      </c>
      <c r="I102" s="55" t="s">
        <v>155</v>
      </c>
      <c r="J102" s="55" t="s">
        <v>38</v>
      </c>
      <c r="K102" s="55" t="s">
        <v>156</v>
      </c>
      <c r="L102" s="178">
        <v>2</v>
      </c>
      <c r="N102" s="55">
        <v>1</v>
      </c>
      <c r="O102" s="55">
        <v>0.2</v>
      </c>
      <c r="P102" s="55">
        <v>0.15</v>
      </c>
      <c r="Q102" s="57">
        <f t="shared" si="3"/>
        <v>0.17499999999999999</v>
      </c>
      <c r="R102" s="178">
        <v>17.5</v>
      </c>
      <c r="S102" s="55">
        <v>127</v>
      </c>
      <c r="T102" s="57">
        <f t="shared" si="4"/>
        <v>27</v>
      </c>
      <c r="U102" s="178">
        <v>213</v>
      </c>
      <c r="V102" s="58">
        <f t="shared" si="5"/>
        <v>5751</v>
      </c>
      <c r="W102" s="178">
        <v>3</v>
      </c>
      <c r="X102" s="55" t="s">
        <v>46</v>
      </c>
      <c r="Y102" s="55" t="s">
        <v>69</v>
      </c>
      <c r="Z102" s="55" t="s">
        <v>55</v>
      </c>
      <c r="AA102" s="55" t="s">
        <v>60</v>
      </c>
      <c r="AB102" s="39" t="s">
        <v>316</v>
      </c>
    </row>
    <row r="103" spans="1:30" x14ac:dyDescent="0.15">
      <c r="A103" s="55" t="s">
        <v>41</v>
      </c>
      <c r="B103" s="178" t="s">
        <v>313</v>
      </c>
      <c r="C103" s="133">
        <v>2018</v>
      </c>
      <c r="D103" s="56" t="s">
        <v>317</v>
      </c>
      <c r="E103" s="55" t="s">
        <v>263</v>
      </c>
      <c r="F103" s="178" t="s">
        <v>269</v>
      </c>
      <c r="G103" s="55" t="s">
        <v>42</v>
      </c>
      <c r="H103" s="55" t="s">
        <v>162</v>
      </c>
      <c r="I103" s="55" t="s">
        <v>155</v>
      </c>
      <c r="J103" s="55" t="s">
        <v>38</v>
      </c>
      <c r="K103" s="55" t="s">
        <v>156</v>
      </c>
      <c r="L103" s="178">
        <v>3</v>
      </c>
      <c r="N103" s="178">
        <v>1</v>
      </c>
      <c r="O103" s="55">
        <v>0.2</v>
      </c>
      <c r="P103" s="55">
        <v>0.25</v>
      </c>
      <c r="Q103" s="57">
        <f t="shared" si="3"/>
        <v>0.22500000000000001</v>
      </c>
      <c r="R103" s="178">
        <v>16.399999999999999</v>
      </c>
      <c r="S103" s="55">
        <v>131</v>
      </c>
      <c r="T103" s="57">
        <f t="shared" si="4"/>
        <v>25</v>
      </c>
      <c r="U103" s="178">
        <v>213</v>
      </c>
      <c r="V103" s="58">
        <f t="shared" si="5"/>
        <v>5325</v>
      </c>
      <c r="W103" s="178">
        <v>3</v>
      </c>
      <c r="X103" s="55" t="s">
        <v>46</v>
      </c>
      <c r="Y103" s="55" t="s">
        <v>69</v>
      </c>
      <c r="Z103" s="55" t="s">
        <v>55</v>
      </c>
      <c r="AA103" s="55" t="s">
        <v>60</v>
      </c>
      <c r="AB103" s="39" t="s">
        <v>316</v>
      </c>
    </row>
    <row r="104" spans="1:30" x14ac:dyDescent="0.15">
      <c r="A104" s="55" t="s">
        <v>41</v>
      </c>
      <c r="B104" s="178" t="s">
        <v>313</v>
      </c>
      <c r="C104" s="133">
        <v>2018</v>
      </c>
      <c r="D104" s="56" t="s">
        <v>317</v>
      </c>
      <c r="E104" s="55" t="s">
        <v>263</v>
      </c>
      <c r="F104" s="178" t="s">
        <v>269</v>
      </c>
      <c r="G104" s="55" t="s">
        <v>42</v>
      </c>
      <c r="H104" s="55" t="s">
        <v>162</v>
      </c>
      <c r="I104" s="55" t="s">
        <v>155</v>
      </c>
      <c r="J104" s="55" t="s">
        <v>38</v>
      </c>
      <c r="K104" s="55" t="s">
        <v>156</v>
      </c>
      <c r="L104" s="178">
        <v>1</v>
      </c>
      <c r="N104" s="55">
        <v>3</v>
      </c>
      <c r="O104" s="55">
        <v>0.7</v>
      </c>
      <c r="P104" s="55">
        <v>0.65</v>
      </c>
      <c r="Q104" s="57">
        <f t="shared" si="3"/>
        <v>0.67500000000000004</v>
      </c>
      <c r="R104" s="178">
        <v>14.5</v>
      </c>
      <c r="S104" s="55">
        <v>138</v>
      </c>
      <c r="T104" s="57">
        <f t="shared" si="4"/>
        <v>22</v>
      </c>
      <c r="U104" s="178">
        <v>537</v>
      </c>
      <c r="V104" s="58">
        <f t="shared" si="5"/>
        <v>3938</v>
      </c>
      <c r="W104" s="178">
        <v>3</v>
      </c>
      <c r="X104" s="55" t="s">
        <v>46</v>
      </c>
      <c r="Y104" s="55" t="s">
        <v>69</v>
      </c>
      <c r="Z104" s="55" t="s">
        <v>55</v>
      </c>
      <c r="AA104" s="55" t="s">
        <v>60</v>
      </c>
      <c r="AB104" s="39" t="s">
        <v>316</v>
      </c>
    </row>
    <row r="105" spans="1:30" x14ac:dyDescent="0.15">
      <c r="A105" s="55" t="s">
        <v>41</v>
      </c>
      <c r="B105" s="178" t="s">
        <v>313</v>
      </c>
      <c r="C105" s="133">
        <v>2018</v>
      </c>
      <c r="D105" s="56" t="s">
        <v>317</v>
      </c>
      <c r="E105" s="55" t="s">
        <v>263</v>
      </c>
      <c r="F105" s="178" t="s">
        <v>269</v>
      </c>
      <c r="G105" s="55" t="s">
        <v>42</v>
      </c>
      <c r="H105" s="55" t="s">
        <v>162</v>
      </c>
      <c r="I105" s="55" t="s">
        <v>155</v>
      </c>
      <c r="J105" s="55" t="s">
        <v>38</v>
      </c>
      <c r="K105" s="55" t="s">
        <v>156</v>
      </c>
      <c r="L105" s="178">
        <v>2</v>
      </c>
      <c r="N105" s="55">
        <v>3</v>
      </c>
      <c r="O105" s="55">
        <v>0.65</v>
      </c>
      <c r="P105" s="55">
        <v>0.6</v>
      </c>
      <c r="Q105" s="57">
        <f t="shared" si="3"/>
        <v>0.625</v>
      </c>
      <c r="R105" s="178">
        <v>15.9</v>
      </c>
      <c r="S105" s="55">
        <v>142</v>
      </c>
      <c r="T105" s="57">
        <f t="shared" si="4"/>
        <v>22</v>
      </c>
      <c r="U105" s="178">
        <v>537</v>
      </c>
      <c r="V105" s="58">
        <f t="shared" si="5"/>
        <v>3938</v>
      </c>
      <c r="W105" s="178">
        <v>3</v>
      </c>
      <c r="X105" s="55" t="s">
        <v>46</v>
      </c>
      <c r="Y105" s="55" t="s">
        <v>69</v>
      </c>
      <c r="Z105" s="55" t="s">
        <v>55</v>
      </c>
      <c r="AA105" s="55" t="s">
        <v>60</v>
      </c>
      <c r="AB105" s="39" t="s">
        <v>316</v>
      </c>
    </row>
    <row r="106" spans="1:30" x14ac:dyDescent="0.15">
      <c r="A106" s="55" t="s">
        <v>41</v>
      </c>
      <c r="B106" s="178" t="s">
        <v>313</v>
      </c>
      <c r="C106" s="133">
        <v>2018</v>
      </c>
      <c r="D106" s="56" t="s">
        <v>317</v>
      </c>
      <c r="E106" s="55" t="s">
        <v>263</v>
      </c>
      <c r="F106" s="178" t="s">
        <v>269</v>
      </c>
      <c r="G106" s="55" t="s">
        <v>42</v>
      </c>
      <c r="H106" s="55" t="s">
        <v>162</v>
      </c>
      <c r="I106" s="55" t="s">
        <v>155</v>
      </c>
      <c r="J106" s="55" t="s">
        <v>38</v>
      </c>
      <c r="K106" s="55" t="s">
        <v>156</v>
      </c>
      <c r="L106" s="178">
        <v>3</v>
      </c>
      <c r="N106" s="178">
        <v>3</v>
      </c>
      <c r="O106" s="55">
        <v>0.85</v>
      </c>
      <c r="P106" s="55">
        <v>0.7</v>
      </c>
      <c r="Q106" s="57">
        <f t="shared" si="3"/>
        <v>0.77499999999999991</v>
      </c>
      <c r="R106" s="178">
        <v>16</v>
      </c>
      <c r="S106" s="55">
        <v>136</v>
      </c>
      <c r="T106" s="57">
        <f t="shared" si="4"/>
        <v>25</v>
      </c>
      <c r="U106" s="178">
        <v>537</v>
      </c>
      <c r="V106" s="58">
        <f t="shared" si="5"/>
        <v>4475</v>
      </c>
      <c r="W106" s="178">
        <v>3</v>
      </c>
      <c r="X106" s="55" t="s">
        <v>46</v>
      </c>
      <c r="Y106" s="55" t="s">
        <v>69</v>
      </c>
      <c r="Z106" s="55" t="s">
        <v>55</v>
      </c>
      <c r="AA106" s="55" t="s">
        <v>60</v>
      </c>
      <c r="AB106" s="39" t="s">
        <v>316</v>
      </c>
    </row>
    <row r="107" spans="1:30" x14ac:dyDescent="0.15">
      <c r="A107" s="55" t="s">
        <v>41</v>
      </c>
      <c r="B107" s="178" t="s">
        <v>313</v>
      </c>
      <c r="C107" s="133">
        <v>2018</v>
      </c>
      <c r="D107" s="56" t="s">
        <v>317</v>
      </c>
      <c r="E107" s="178" t="s">
        <v>264</v>
      </c>
      <c r="F107" s="178" t="s">
        <v>270</v>
      </c>
      <c r="G107" s="55" t="s">
        <v>42</v>
      </c>
      <c r="H107" s="55" t="s">
        <v>157</v>
      </c>
      <c r="I107" s="55" t="s">
        <v>155</v>
      </c>
      <c r="J107" s="55" t="s">
        <v>38</v>
      </c>
      <c r="K107" s="55" t="s">
        <v>156</v>
      </c>
      <c r="L107" s="178">
        <v>1</v>
      </c>
      <c r="N107" s="178">
        <v>1</v>
      </c>
      <c r="O107" s="178">
        <v>0.95</v>
      </c>
      <c r="P107" s="178">
        <v>0.85</v>
      </c>
      <c r="Q107" s="57">
        <f t="shared" si="3"/>
        <v>0.89999999999999991</v>
      </c>
      <c r="R107" s="178">
        <v>14</v>
      </c>
      <c r="S107" s="178">
        <v>120</v>
      </c>
      <c r="T107" s="57">
        <f t="shared" si="4"/>
        <v>30</v>
      </c>
      <c r="U107" s="178">
        <v>105</v>
      </c>
      <c r="V107" s="58">
        <f t="shared" si="5"/>
        <v>3150</v>
      </c>
      <c r="W107" s="178">
        <v>3</v>
      </c>
      <c r="X107" s="55" t="s">
        <v>46</v>
      </c>
      <c r="Y107" s="55" t="s">
        <v>55</v>
      </c>
      <c r="Z107" s="55" t="s">
        <v>69</v>
      </c>
      <c r="AA107" s="55" t="s">
        <v>86</v>
      </c>
      <c r="AB107" s="39" t="s">
        <v>316</v>
      </c>
    </row>
    <row r="108" spans="1:30" x14ac:dyDescent="0.15">
      <c r="A108" s="55" t="s">
        <v>41</v>
      </c>
      <c r="B108" s="178" t="s">
        <v>313</v>
      </c>
      <c r="C108" s="133">
        <v>2018</v>
      </c>
      <c r="D108" s="56" t="s">
        <v>317</v>
      </c>
      <c r="E108" s="178" t="s">
        <v>264</v>
      </c>
      <c r="F108" s="178" t="s">
        <v>270</v>
      </c>
      <c r="G108" s="55" t="s">
        <v>42</v>
      </c>
      <c r="H108" s="55" t="s">
        <v>157</v>
      </c>
      <c r="I108" s="55" t="s">
        <v>155</v>
      </c>
      <c r="J108" s="55" t="s">
        <v>38</v>
      </c>
      <c r="K108" s="55" t="s">
        <v>156</v>
      </c>
      <c r="L108" s="178">
        <v>2</v>
      </c>
      <c r="N108" s="178">
        <v>1</v>
      </c>
      <c r="O108" s="178">
        <v>0.85</v>
      </c>
      <c r="P108" s="178">
        <v>0.9</v>
      </c>
      <c r="Q108" s="57">
        <f t="shared" si="3"/>
        <v>0.875</v>
      </c>
      <c r="R108" s="178">
        <v>15.2</v>
      </c>
      <c r="S108" s="178">
        <v>121</v>
      </c>
      <c r="T108" s="57">
        <f t="shared" si="4"/>
        <v>27</v>
      </c>
      <c r="U108" s="178">
        <v>105</v>
      </c>
      <c r="V108" s="58">
        <f t="shared" si="5"/>
        <v>2835</v>
      </c>
      <c r="W108" s="178">
        <v>3</v>
      </c>
      <c r="X108" s="55" t="s">
        <v>46</v>
      </c>
      <c r="Y108" s="55" t="s">
        <v>55</v>
      </c>
      <c r="Z108" s="55" t="s">
        <v>69</v>
      </c>
      <c r="AA108" s="55" t="s">
        <v>86</v>
      </c>
      <c r="AB108" s="39" t="s">
        <v>316</v>
      </c>
    </row>
    <row r="109" spans="1:30" x14ac:dyDescent="0.15">
      <c r="A109" s="55" t="s">
        <v>41</v>
      </c>
      <c r="B109" s="178" t="s">
        <v>313</v>
      </c>
      <c r="C109" s="133">
        <v>2018</v>
      </c>
      <c r="D109" s="56" t="s">
        <v>317</v>
      </c>
      <c r="E109" s="178" t="s">
        <v>264</v>
      </c>
      <c r="F109" s="178" t="s">
        <v>270</v>
      </c>
      <c r="G109" s="55" t="s">
        <v>42</v>
      </c>
      <c r="H109" s="55" t="s">
        <v>157</v>
      </c>
      <c r="I109" s="55" t="s">
        <v>155</v>
      </c>
      <c r="J109" s="55" t="s">
        <v>38</v>
      </c>
      <c r="K109" s="55" t="s">
        <v>156</v>
      </c>
      <c r="L109" s="178">
        <v>3</v>
      </c>
      <c r="N109" s="178">
        <v>1</v>
      </c>
      <c r="O109" s="178">
        <v>0.7</v>
      </c>
      <c r="P109" s="178">
        <v>0.8</v>
      </c>
      <c r="Q109" s="57">
        <f t="shared" si="3"/>
        <v>0.75</v>
      </c>
      <c r="R109" s="178">
        <v>13.1</v>
      </c>
      <c r="S109" s="178">
        <v>124</v>
      </c>
      <c r="T109" s="57">
        <f t="shared" si="4"/>
        <v>27</v>
      </c>
      <c r="U109" s="178">
        <v>105</v>
      </c>
      <c r="V109" s="58">
        <f t="shared" si="5"/>
        <v>2835</v>
      </c>
      <c r="W109" s="178">
        <v>3</v>
      </c>
      <c r="X109" s="55" t="s">
        <v>46</v>
      </c>
      <c r="Y109" s="55" t="s">
        <v>55</v>
      </c>
      <c r="Z109" s="55" t="s">
        <v>69</v>
      </c>
      <c r="AA109" s="55" t="s">
        <v>86</v>
      </c>
      <c r="AB109" s="39" t="s">
        <v>316</v>
      </c>
    </row>
    <row r="110" spans="1:30" x14ac:dyDescent="0.15">
      <c r="A110" s="55" t="s">
        <v>41</v>
      </c>
      <c r="B110" s="178" t="s">
        <v>313</v>
      </c>
      <c r="C110" s="133">
        <v>2018</v>
      </c>
      <c r="D110" s="56" t="s">
        <v>317</v>
      </c>
      <c r="E110" s="178" t="s">
        <v>264</v>
      </c>
      <c r="F110" s="178" t="s">
        <v>270</v>
      </c>
      <c r="G110" s="55" t="s">
        <v>42</v>
      </c>
      <c r="H110" s="55" t="s">
        <v>157</v>
      </c>
      <c r="I110" s="55" t="s">
        <v>155</v>
      </c>
      <c r="J110" s="55" t="s">
        <v>38</v>
      </c>
      <c r="K110" s="55" t="s">
        <v>156</v>
      </c>
      <c r="L110" s="178">
        <v>1</v>
      </c>
      <c r="N110" s="178">
        <v>4</v>
      </c>
      <c r="O110" s="178">
        <v>0.75</v>
      </c>
      <c r="P110" s="178">
        <v>0.8</v>
      </c>
      <c r="Q110" s="57">
        <f t="shared" si="3"/>
        <v>0.77500000000000002</v>
      </c>
      <c r="R110" s="178">
        <v>14.2</v>
      </c>
      <c r="S110" s="178">
        <v>109</v>
      </c>
      <c r="T110" s="57">
        <f t="shared" si="4"/>
        <v>33</v>
      </c>
      <c r="U110" s="178">
        <v>429</v>
      </c>
      <c r="V110" s="58">
        <f t="shared" si="5"/>
        <v>3539.25</v>
      </c>
      <c r="W110" s="178">
        <v>4</v>
      </c>
      <c r="X110" s="55" t="s">
        <v>46</v>
      </c>
      <c r="Y110" s="55" t="s">
        <v>55</v>
      </c>
      <c r="Z110" s="55" t="s">
        <v>69</v>
      </c>
      <c r="AA110" s="55" t="s">
        <v>86</v>
      </c>
      <c r="AB110" s="39" t="s">
        <v>316</v>
      </c>
    </row>
    <row r="111" spans="1:30" x14ac:dyDescent="0.15">
      <c r="A111" s="55" t="s">
        <v>41</v>
      </c>
      <c r="B111" s="178" t="s">
        <v>313</v>
      </c>
      <c r="C111" s="133">
        <v>2018</v>
      </c>
      <c r="D111" s="56" t="s">
        <v>317</v>
      </c>
      <c r="E111" s="178" t="s">
        <v>264</v>
      </c>
      <c r="F111" s="178" t="s">
        <v>270</v>
      </c>
      <c r="G111" s="55" t="s">
        <v>42</v>
      </c>
      <c r="H111" s="55" t="s">
        <v>157</v>
      </c>
      <c r="I111" s="55" t="s">
        <v>155</v>
      </c>
      <c r="J111" s="55" t="s">
        <v>38</v>
      </c>
      <c r="K111" s="55" t="s">
        <v>156</v>
      </c>
      <c r="L111" s="178">
        <v>2</v>
      </c>
      <c r="N111" s="178">
        <v>4</v>
      </c>
      <c r="O111" s="178">
        <v>0.65</v>
      </c>
      <c r="P111" s="178">
        <v>0.7</v>
      </c>
      <c r="Q111" s="57">
        <f t="shared" si="3"/>
        <v>0.67500000000000004</v>
      </c>
      <c r="R111" s="178">
        <v>15.9</v>
      </c>
      <c r="S111" s="178">
        <v>108</v>
      </c>
      <c r="T111" s="57">
        <f t="shared" si="4"/>
        <v>33</v>
      </c>
      <c r="U111" s="178">
        <v>429</v>
      </c>
      <c r="V111" s="58">
        <f t="shared" si="5"/>
        <v>3539.25</v>
      </c>
      <c r="W111" s="178">
        <v>4</v>
      </c>
      <c r="X111" s="55" t="s">
        <v>46</v>
      </c>
      <c r="Y111" s="55" t="s">
        <v>55</v>
      </c>
      <c r="Z111" s="55" t="s">
        <v>69</v>
      </c>
      <c r="AA111" s="55" t="s">
        <v>86</v>
      </c>
      <c r="AB111" s="39" t="s">
        <v>316</v>
      </c>
    </row>
    <row r="112" spans="1:30" x14ac:dyDescent="0.15">
      <c r="A112" s="55" t="s">
        <v>41</v>
      </c>
      <c r="B112" s="178" t="s">
        <v>313</v>
      </c>
      <c r="C112" s="133">
        <v>2018</v>
      </c>
      <c r="D112" s="56" t="s">
        <v>317</v>
      </c>
      <c r="E112" s="178" t="s">
        <v>264</v>
      </c>
      <c r="F112" s="178" t="s">
        <v>270</v>
      </c>
      <c r="G112" s="55" t="s">
        <v>42</v>
      </c>
      <c r="H112" s="55" t="s">
        <v>157</v>
      </c>
      <c r="I112" s="55" t="s">
        <v>155</v>
      </c>
      <c r="J112" s="55" t="s">
        <v>38</v>
      </c>
      <c r="K112" s="55" t="s">
        <v>156</v>
      </c>
      <c r="L112" s="178">
        <v>3</v>
      </c>
      <c r="N112" s="178">
        <v>4</v>
      </c>
      <c r="O112" s="178">
        <v>0.5</v>
      </c>
      <c r="P112" s="178">
        <v>0.7</v>
      </c>
      <c r="Q112" s="57">
        <f t="shared" si="3"/>
        <v>0.6</v>
      </c>
      <c r="R112" s="178">
        <v>15.9</v>
      </c>
      <c r="S112" s="178">
        <v>109</v>
      </c>
      <c r="T112" s="57">
        <f t="shared" si="4"/>
        <v>33</v>
      </c>
      <c r="U112" s="178">
        <v>429</v>
      </c>
      <c r="V112" s="58">
        <f t="shared" si="5"/>
        <v>3539.25</v>
      </c>
      <c r="W112" s="178">
        <v>4</v>
      </c>
      <c r="X112" s="55" t="s">
        <v>46</v>
      </c>
      <c r="Y112" s="55" t="s">
        <v>55</v>
      </c>
      <c r="Z112" s="55" t="s">
        <v>69</v>
      </c>
      <c r="AA112" s="55" t="s">
        <v>86</v>
      </c>
      <c r="AB112" s="39" t="s">
        <v>316</v>
      </c>
    </row>
    <row r="113" spans="1:28" x14ac:dyDescent="0.15">
      <c r="A113" s="55" t="s">
        <v>41</v>
      </c>
      <c r="B113" s="178" t="s">
        <v>313</v>
      </c>
      <c r="C113" s="133">
        <v>2018</v>
      </c>
      <c r="D113" s="56" t="s">
        <v>317</v>
      </c>
      <c r="E113" s="178" t="s">
        <v>264</v>
      </c>
      <c r="F113" s="178" t="s">
        <v>270</v>
      </c>
      <c r="G113" s="55" t="s">
        <v>42</v>
      </c>
      <c r="H113" s="55" t="s">
        <v>162</v>
      </c>
      <c r="I113" s="55" t="s">
        <v>155</v>
      </c>
      <c r="J113" s="55" t="s">
        <v>38</v>
      </c>
      <c r="K113" s="55" t="s">
        <v>156</v>
      </c>
      <c r="L113" s="178">
        <v>1</v>
      </c>
      <c r="N113" s="178">
        <v>1</v>
      </c>
      <c r="O113" s="178">
        <v>0.65</v>
      </c>
      <c r="P113" s="178">
        <v>0.5</v>
      </c>
      <c r="Q113" s="57">
        <f t="shared" si="3"/>
        <v>0.57499999999999996</v>
      </c>
      <c r="R113" s="178">
        <v>13.3</v>
      </c>
      <c r="S113" s="178">
        <v>124</v>
      </c>
      <c r="T113" s="57">
        <f t="shared" si="4"/>
        <v>27</v>
      </c>
      <c r="U113" s="178">
        <v>105</v>
      </c>
      <c r="V113" s="58">
        <f t="shared" si="5"/>
        <v>2835</v>
      </c>
      <c r="W113" s="178">
        <v>6</v>
      </c>
      <c r="X113" s="55" t="s">
        <v>46</v>
      </c>
      <c r="Y113" s="55" t="s">
        <v>55</v>
      </c>
      <c r="Z113" s="55" t="s">
        <v>69</v>
      </c>
      <c r="AA113" s="55" t="s">
        <v>86</v>
      </c>
      <c r="AB113" s="39" t="s">
        <v>316</v>
      </c>
    </row>
    <row r="114" spans="1:28" x14ac:dyDescent="0.15">
      <c r="A114" s="55" t="s">
        <v>41</v>
      </c>
      <c r="B114" s="178" t="s">
        <v>313</v>
      </c>
      <c r="C114" s="133">
        <v>2018</v>
      </c>
      <c r="D114" s="56" t="s">
        <v>317</v>
      </c>
      <c r="E114" s="178" t="s">
        <v>264</v>
      </c>
      <c r="F114" s="178" t="s">
        <v>270</v>
      </c>
      <c r="G114" s="55" t="s">
        <v>42</v>
      </c>
      <c r="H114" s="55" t="s">
        <v>162</v>
      </c>
      <c r="I114" s="55" t="s">
        <v>155</v>
      </c>
      <c r="J114" s="55" t="s">
        <v>38</v>
      </c>
      <c r="K114" s="55" t="s">
        <v>156</v>
      </c>
      <c r="L114" s="178">
        <v>2</v>
      </c>
      <c r="N114" s="178">
        <v>1</v>
      </c>
      <c r="O114" s="178">
        <v>0.35</v>
      </c>
      <c r="P114" s="178">
        <v>0.3</v>
      </c>
      <c r="Q114" s="57">
        <f t="shared" si="3"/>
        <v>0.32499999999999996</v>
      </c>
      <c r="R114" s="178">
        <v>14.8</v>
      </c>
      <c r="S114" s="178">
        <v>121</v>
      </c>
      <c r="T114" s="57">
        <f t="shared" si="4"/>
        <v>27</v>
      </c>
      <c r="U114" s="178">
        <v>105</v>
      </c>
      <c r="V114" s="58">
        <f t="shared" si="5"/>
        <v>2835</v>
      </c>
      <c r="W114" s="178">
        <v>6</v>
      </c>
      <c r="X114" s="55" t="s">
        <v>46</v>
      </c>
      <c r="Y114" s="55" t="s">
        <v>55</v>
      </c>
      <c r="Z114" s="55" t="s">
        <v>69</v>
      </c>
      <c r="AA114" s="55" t="s">
        <v>86</v>
      </c>
      <c r="AB114" s="39" t="s">
        <v>316</v>
      </c>
    </row>
    <row r="115" spans="1:28" x14ac:dyDescent="0.15">
      <c r="A115" s="55" t="s">
        <v>41</v>
      </c>
      <c r="B115" s="178" t="s">
        <v>313</v>
      </c>
      <c r="C115" s="133">
        <v>2018</v>
      </c>
      <c r="D115" s="56" t="s">
        <v>317</v>
      </c>
      <c r="E115" s="178" t="s">
        <v>264</v>
      </c>
      <c r="F115" s="178" t="s">
        <v>270</v>
      </c>
      <c r="G115" s="55" t="s">
        <v>42</v>
      </c>
      <c r="H115" s="55" t="s">
        <v>162</v>
      </c>
      <c r="I115" s="55" t="s">
        <v>155</v>
      </c>
      <c r="J115" s="55" t="s">
        <v>38</v>
      </c>
      <c r="K115" s="55" t="s">
        <v>156</v>
      </c>
      <c r="L115" s="178">
        <v>3</v>
      </c>
      <c r="N115" s="178">
        <v>1</v>
      </c>
      <c r="O115" s="178">
        <v>0.4</v>
      </c>
      <c r="P115" s="178">
        <v>0.4</v>
      </c>
      <c r="Q115" s="57">
        <f t="shared" si="3"/>
        <v>0.4</v>
      </c>
      <c r="R115" s="178">
        <v>14.2</v>
      </c>
      <c r="S115" s="178">
        <v>118</v>
      </c>
      <c r="T115" s="57">
        <f t="shared" si="4"/>
        <v>30</v>
      </c>
      <c r="U115" s="178">
        <v>105</v>
      </c>
      <c r="V115" s="58">
        <f t="shared" si="5"/>
        <v>3150</v>
      </c>
      <c r="W115" s="178">
        <v>6</v>
      </c>
      <c r="X115" s="55" t="s">
        <v>46</v>
      </c>
      <c r="Y115" s="55" t="s">
        <v>55</v>
      </c>
      <c r="Z115" s="55" t="s">
        <v>69</v>
      </c>
      <c r="AA115" s="55" t="s">
        <v>86</v>
      </c>
      <c r="AB115" s="39" t="s">
        <v>316</v>
      </c>
    </row>
    <row r="116" spans="1:28" x14ac:dyDescent="0.15">
      <c r="A116" s="55" t="s">
        <v>41</v>
      </c>
      <c r="B116" s="178" t="s">
        <v>313</v>
      </c>
      <c r="C116" s="133">
        <v>2018</v>
      </c>
      <c r="D116" s="56" t="s">
        <v>317</v>
      </c>
      <c r="E116" s="178" t="s">
        <v>264</v>
      </c>
      <c r="F116" s="178" t="s">
        <v>270</v>
      </c>
      <c r="G116" s="55" t="s">
        <v>42</v>
      </c>
      <c r="H116" s="55" t="s">
        <v>162</v>
      </c>
      <c r="I116" s="55" t="s">
        <v>155</v>
      </c>
      <c r="J116" s="55" t="s">
        <v>38</v>
      </c>
      <c r="K116" s="55" t="s">
        <v>156</v>
      </c>
      <c r="L116" s="178">
        <v>1</v>
      </c>
      <c r="N116" s="178">
        <v>4</v>
      </c>
      <c r="O116" s="55">
        <v>0.6</v>
      </c>
      <c r="P116" s="55">
        <v>0.7</v>
      </c>
      <c r="Q116" s="82">
        <f t="shared" si="3"/>
        <v>0.64999999999999991</v>
      </c>
      <c r="R116" s="55">
        <v>13.8</v>
      </c>
      <c r="S116" s="178">
        <v>114</v>
      </c>
      <c r="T116" s="57">
        <f t="shared" si="4"/>
        <v>30</v>
      </c>
      <c r="U116" s="178">
        <v>429</v>
      </c>
      <c r="V116" s="58">
        <f t="shared" si="5"/>
        <v>3217.5</v>
      </c>
      <c r="W116" s="178">
        <v>4</v>
      </c>
      <c r="X116" s="55" t="s">
        <v>46</v>
      </c>
      <c r="Y116" s="55" t="s">
        <v>55</v>
      </c>
      <c r="Z116" s="55" t="s">
        <v>69</v>
      </c>
      <c r="AA116" s="55" t="s">
        <v>86</v>
      </c>
      <c r="AB116" s="39" t="s">
        <v>316</v>
      </c>
    </row>
    <row r="117" spans="1:28" x14ac:dyDescent="0.15">
      <c r="A117" s="55" t="s">
        <v>41</v>
      </c>
      <c r="B117" s="178" t="s">
        <v>313</v>
      </c>
      <c r="C117" s="133">
        <v>2018</v>
      </c>
      <c r="D117" s="56" t="s">
        <v>317</v>
      </c>
      <c r="E117" s="178" t="s">
        <v>264</v>
      </c>
      <c r="F117" s="178" t="s">
        <v>270</v>
      </c>
      <c r="G117" s="55" t="s">
        <v>42</v>
      </c>
      <c r="H117" s="55" t="s">
        <v>162</v>
      </c>
      <c r="I117" s="55" t="s">
        <v>155</v>
      </c>
      <c r="J117" s="55" t="s">
        <v>38</v>
      </c>
      <c r="K117" s="55" t="s">
        <v>156</v>
      </c>
      <c r="L117" s="178">
        <v>2</v>
      </c>
      <c r="N117" s="178">
        <v>4</v>
      </c>
      <c r="O117" s="55">
        <v>0.4</v>
      </c>
      <c r="P117" s="55">
        <v>0.55000000000000004</v>
      </c>
      <c r="Q117" s="82">
        <f t="shared" si="3"/>
        <v>0.47500000000000003</v>
      </c>
      <c r="R117" s="55">
        <v>14.9</v>
      </c>
      <c r="S117" s="178">
        <v>118</v>
      </c>
      <c r="T117" s="57">
        <f t="shared" si="4"/>
        <v>30</v>
      </c>
      <c r="U117" s="178">
        <v>429</v>
      </c>
      <c r="V117" s="58">
        <f t="shared" si="5"/>
        <v>3217.5</v>
      </c>
      <c r="W117" s="178">
        <v>4</v>
      </c>
      <c r="X117" s="55" t="s">
        <v>46</v>
      </c>
      <c r="Y117" s="55" t="s">
        <v>55</v>
      </c>
      <c r="Z117" s="55" t="s">
        <v>69</v>
      </c>
      <c r="AA117" s="55" t="s">
        <v>86</v>
      </c>
      <c r="AB117" s="39" t="s">
        <v>316</v>
      </c>
    </row>
    <row r="118" spans="1:28" x14ac:dyDescent="0.15">
      <c r="A118" s="55" t="s">
        <v>41</v>
      </c>
      <c r="B118" s="178" t="s">
        <v>313</v>
      </c>
      <c r="C118" s="133">
        <v>2018</v>
      </c>
      <c r="D118" s="56" t="s">
        <v>317</v>
      </c>
      <c r="E118" s="178" t="s">
        <v>264</v>
      </c>
      <c r="F118" s="178" t="s">
        <v>270</v>
      </c>
      <c r="G118" s="55" t="s">
        <v>42</v>
      </c>
      <c r="H118" s="55" t="s">
        <v>162</v>
      </c>
      <c r="I118" s="55" t="s">
        <v>155</v>
      </c>
      <c r="J118" s="55" t="s">
        <v>38</v>
      </c>
      <c r="K118" s="55" t="s">
        <v>156</v>
      </c>
      <c r="L118" s="178">
        <v>3</v>
      </c>
      <c r="N118" s="178">
        <v>4</v>
      </c>
      <c r="O118" s="55">
        <v>0.35</v>
      </c>
      <c r="P118" s="55">
        <v>0.3</v>
      </c>
      <c r="Q118" s="82">
        <f t="shared" si="3"/>
        <v>0.32499999999999996</v>
      </c>
      <c r="R118" s="55">
        <v>18.100000000000001</v>
      </c>
      <c r="S118" s="178">
        <v>108</v>
      </c>
      <c r="T118" s="57">
        <f t="shared" si="4"/>
        <v>33</v>
      </c>
      <c r="U118" s="178">
        <v>429</v>
      </c>
      <c r="V118" s="58">
        <f t="shared" si="5"/>
        <v>3539.25</v>
      </c>
      <c r="W118" s="178">
        <v>4</v>
      </c>
      <c r="X118" s="55" t="s">
        <v>46</v>
      </c>
      <c r="Y118" s="55" t="s">
        <v>55</v>
      </c>
      <c r="Z118" s="55" t="s">
        <v>69</v>
      </c>
      <c r="AA118" s="55" t="s">
        <v>86</v>
      </c>
      <c r="AB118" s="39" t="s">
        <v>316</v>
      </c>
    </row>
    <row r="119" spans="1:28" x14ac:dyDescent="0.15">
      <c r="A119" s="55" t="s">
        <v>41</v>
      </c>
      <c r="B119" s="178" t="s">
        <v>313</v>
      </c>
      <c r="C119" s="133">
        <v>2018</v>
      </c>
      <c r="D119" s="56" t="s">
        <v>317</v>
      </c>
      <c r="E119" s="178" t="s">
        <v>165</v>
      </c>
      <c r="F119" s="178" t="s">
        <v>271</v>
      </c>
      <c r="G119" s="55" t="s">
        <v>42</v>
      </c>
      <c r="H119" s="55" t="s">
        <v>162</v>
      </c>
      <c r="I119" s="55" t="s">
        <v>155</v>
      </c>
      <c r="J119" s="55" t="s">
        <v>38</v>
      </c>
      <c r="K119" s="55" t="s">
        <v>156</v>
      </c>
      <c r="L119" s="178">
        <v>1</v>
      </c>
      <c r="N119" s="178">
        <v>1</v>
      </c>
      <c r="O119" s="55">
        <v>0.3</v>
      </c>
      <c r="P119" s="55">
        <v>0.3</v>
      </c>
      <c r="Q119" s="57">
        <f t="shared" si="3"/>
        <v>0.3</v>
      </c>
      <c r="R119" s="178">
        <v>15.7</v>
      </c>
      <c r="S119" s="55">
        <v>129</v>
      </c>
      <c r="T119" s="57">
        <f t="shared" si="4"/>
        <v>25</v>
      </c>
      <c r="U119" s="178">
        <v>137</v>
      </c>
      <c r="V119" s="58">
        <f t="shared" si="5"/>
        <v>3425</v>
      </c>
      <c r="W119" s="178">
        <v>4</v>
      </c>
      <c r="X119" s="55" t="s">
        <v>46</v>
      </c>
      <c r="Y119" s="55" t="s">
        <v>69</v>
      </c>
      <c r="Z119" s="55" t="s">
        <v>55</v>
      </c>
      <c r="AA119" s="55" t="s">
        <v>47</v>
      </c>
      <c r="AB119" s="39" t="s">
        <v>316</v>
      </c>
    </row>
    <row r="120" spans="1:28" x14ac:dyDescent="0.15">
      <c r="A120" s="55" t="s">
        <v>41</v>
      </c>
      <c r="B120" s="178" t="s">
        <v>313</v>
      </c>
      <c r="C120" s="133">
        <v>2018</v>
      </c>
      <c r="D120" s="56" t="s">
        <v>317</v>
      </c>
      <c r="E120" s="178" t="s">
        <v>165</v>
      </c>
      <c r="F120" s="178" t="s">
        <v>271</v>
      </c>
      <c r="G120" s="55" t="s">
        <v>42</v>
      </c>
      <c r="H120" s="55" t="s">
        <v>162</v>
      </c>
      <c r="I120" s="55" t="s">
        <v>155</v>
      </c>
      <c r="J120" s="55" t="s">
        <v>38</v>
      </c>
      <c r="K120" s="55" t="s">
        <v>156</v>
      </c>
      <c r="L120" s="178">
        <v>2</v>
      </c>
      <c r="N120" s="178">
        <v>1</v>
      </c>
      <c r="O120" s="55">
        <v>0.15</v>
      </c>
      <c r="P120" s="55">
        <v>0.2</v>
      </c>
      <c r="Q120" s="57">
        <f t="shared" si="3"/>
        <v>0.17499999999999999</v>
      </c>
      <c r="R120" s="178">
        <v>16</v>
      </c>
      <c r="S120" s="55">
        <v>126</v>
      </c>
      <c r="T120" s="57">
        <f t="shared" si="4"/>
        <v>27</v>
      </c>
      <c r="U120" s="178">
        <v>137</v>
      </c>
      <c r="V120" s="58">
        <f t="shared" si="5"/>
        <v>3699</v>
      </c>
      <c r="W120" s="178">
        <v>4</v>
      </c>
      <c r="X120" s="55" t="s">
        <v>46</v>
      </c>
      <c r="Y120" s="55" t="s">
        <v>69</v>
      </c>
      <c r="Z120" s="55" t="s">
        <v>55</v>
      </c>
      <c r="AA120" s="55" t="s">
        <v>47</v>
      </c>
      <c r="AB120" s="39" t="s">
        <v>316</v>
      </c>
    </row>
    <row r="121" spans="1:28" x14ac:dyDescent="0.15">
      <c r="A121" s="55" t="s">
        <v>41</v>
      </c>
      <c r="B121" s="178" t="s">
        <v>313</v>
      </c>
      <c r="C121" s="133">
        <v>2018</v>
      </c>
      <c r="D121" s="56" t="s">
        <v>317</v>
      </c>
      <c r="E121" s="178" t="s">
        <v>165</v>
      </c>
      <c r="F121" s="178" t="s">
        <v>271</v>
      </c>
      <c r="G121" s="55" t="s">
        <v>42</v>
      </c>
      <c r="H121" s="55" t="s">
        <v>162</v>
      </c>
      <c r="I121" s="55" t="s">
        <v>155</v>
      </c>
      <c r="J121" s="55" t="s">
        <v>38</v>
      </c>
      <c r="K121" s="55" t="s">
        <v>156</v>
      </c>
      <c r="L121" s="178">
        <v>3</v>
      </c>
      <c r="N121" s="178">
        <v>1</v>
      </c>
      <c r="O121" s="55">
        <v>0.2</v>
      </c>
      <c r="P121" s="55">
        <v>0.15</v>
      </c>
      <c r="Q121" s="57">
        <f t="shared" si="3"/>
        <v>0.17499999999999999</v>
      </c>
      <c r="R121" s="178">
        <v>17.5</v>
      </c>
      <c r="S121" s="55">
        <v>127</v>
      </c>
      <c r="T121" s="57">
        <f t="shared" si="4"/>
        <v>27</v>
      </c>
      <c r="U121" s="178">
        <v>137</v>
      </c>
      <c r="V121" s="58">
        <f t="shared" si="5"/>
        <v>3699</v>
      </c>
      <c r="W121" s="178">
        <v>4</v>
      </c>
      <c r="X121" s="55" t="s">
        <v>46</v>
      </c>
      <c r="Y121" s="55" t="s">
        <v>69</v>
      </c>
      <c r="Z121" s="55" t="s">
        <v>55</v>
      </c>
      <c r="AA121" s="55" t="s">
        <v>47</v>
      </c>
      <c r="AB121" s="39" t="s">
        <v>316</v>
      </c>
    </row>
    <row r="122" spans="1:28" x14ac:dyDescent="0.15">
      <c r="A122" s="55" t="s">
        <v>41</v>
      </c>
      <c r="B122" s="178" t="s">
        <v>313</v>
      </c>
      <c r="C122" s="133">
        <v>2018</v>
      </c>
      <c r="D122" s="56" t="s">
        <v>317</v>
      </c>
      <c r="E122" s="178" t="s">
        <v>165</v>
      </c>
      <c r="F122" s="178" t="s">
        <v>271</v>
      </c>
      <c r="G122" s="55" t="s">
        <v>42</v>
      </c>
      <c r="H122" s="55" t="s">
        <v>162</v>
      </c>
      <c r="I122" s="55" t="s">
        <v>155</v>
      </c>
      <c r="J122" s="55" t="s">
        <v>38</v>
      </c>
      <c r="K122" s="55" t="s">
        <v>156</v>
      </c>
      <c r="L122" s="178">
        <v>1</v>
      </c>
      <c r="N122" s="178">
        <v>4</v>
      </c>
      <c r="O122" s="55">
        <v>0.2</v>
      </c>
      <c r="P122" s="55">
        <v>0.25</v>
      </c>
      <c r="Q122" s="57">
        <f t="shared" si="3"/>
        <v>0.22500000000000001</v>
      </c>
      <c r="R122" s="178">
        <v>16.399999999999999</v>
      </c>
      <c r="S122" s="55">
        <v>123</v>
      </c>
      <c r="T122" s="57">
        <f t="shared" si="4"/>
        <v>27</v>
      </c>
      <c r="U122" s="178">
        <v>471</v>
      </c>
      <c r="V122" s="58">
        <f t="shared" si="5"/>
        <v>3179.25</v>
      </c>
      <c r="W122" s="178">
        <v>2</v>
      </c>
      <c r="X122" s="55" t="s">
        <v>46</v>
      </c>
      <c r="Y122" s="55" t="s">
        <v>69</v>
      </c>
      <c r="Z122" s="55" t="s">
        <v>55</v>
      </c>
      <c r="AA122" s="55" t="s">
        <v>47</v>
      </c>
      <c r="AB122" s="39" t="s">
        <v>316</v>
      </c>
    </row>
    <row r="123" spans="1:28" x14ac:dyDescent="0.15">
      <c r="A123" s="55" t="s">
        <v>41</v>
      </c>
      <c r="B123" s="178" t="s">
        <v>313</v>
      </c>
      <c r="C123" s="133">
        <v>2018</v>
      </c>
      <c r="D123" s="56" t="s">
        <v>317</v>
      </c>
      <c r="E123" s="178" t="s">
        <v>165</v>
      </c>
      <c r="F123" s="178" t="s">
        <v>271</v>
      </c>
      <c r="G123" s="55" t="s">
        <v>42</v>
      </c>
      <c r="H123" s="55" t="s">
        <v>162</v>
      </c>
      <c r="I123" s="55" t="s">
        <v>155</v>
      </c>
      <c r="J123" s="55" t="s">
        <v>38</v>
      </c>
      <c r="K123" s="55" t="s">
        <v>156</v>
      </c>
      <c r="L123" s="178">
        <v>2</v>
      </c>
      <c r="N123" s="178">
        <v>4</v>
      </c>
      <c r="O123" s="55">
        <v>0.7</v>
      </c>
      <c r="P123" s="55">
        <v>0.65</v>
      </c>
      <c r="Q123" s="57">
        <f t="shared" si="3"/>
        <v>0.67500000000000004</v>
      </c>
      <c r="R123" s="178">
        <v>14.5</v>
      </c>
      <c r="S123" s="55">
        <v>138</v>
      </c>
      <c r="T123" s="57">
        <f t="shared" si="4"/>
        <v>22</v>
      </c>
      <c r="U123" s="178">
        <v>471</v>
      </c>
      <c r="V123" s="58">
        <f t="shared" si="5"/>
        <v>2590.5</v>
      </c>
      <c r="W123" s="178">
        <v>2</v>
      </c>
      <c r="X123" s="55" t="s">
        <v>46</v>
      </c>
      <c r="Y123" s="55" t="s">
        <v>69</v>
      </c>
      <c r="Z123" s="55" t="s">
        <v>55</v>
      </c>
      <c r="AA123" s="55" t="s">
        <v>47</v>
      </c>
      <c r="AB123" s="39" t="s">
        <v>316</v>
      </c>
    </row>
    <row r="124" spans="1:28" x14ac:dyDescent="0.15">
      <c r="A124" s="55" t="s">
        <v>41</v>
      </c>
      <c r="B124" s="178" t="s">
        <v>313</v>
      </c>
      <c r="C124" s="133">
        <v>2018</v>
      </c>
      <c r="D124" s="56" t="s">
        <v>317</v>
      </c>
      <c r="E124" s="178" t="s">
        <v>165</v>
      </c>
      <c r="F124" s="178" t="s">
        <v>271</v>
      </c>
      <c r="G124" s="55" t="s">
        <v>42</v>
      </c>
      <c r="H124" s="55" t="s">
        <v>162</v>
      </c>
      <c r="I124" s="55" t="s">
        <v>155</v>
      </c>
      <c r="J124" s="55" t="s">
        <v>38</v>
      </c>
      <c r="K124" s="55" t="s">
        <v>156</v>
      </c>
      <c r="L124" s="178">
        <v>3</v>
      </c>
      <c r="N124" s="178">
        <v>4</v>
      </c>
      <c r="O124" s="55">
        <v>0.65</v>
      </c>
      <c r="P124" s="55">
        <v>0.6</v>
      </c>
      <c r="Q124" s="57">
        <f t="shared" si="3"/>
        <v>0.625</v>
      </c>
      <c r="R124" s="178">
        <v>15.9</v>
      </c>
      <c r="S124" s="55">
        <v>142</v>
      </c>
      <c r="T124" s="57">
        <f t="shared" si="4"/>
        <v>22</v>
      </c>
      <c r="U124" s="178">
        <v>471</v>
      </c>
      <c r="V124" s="58">
        <f t="shared" si="5"/>
        <v>2590.5</v>
      </c>
      <c r="W124" s="178">
        <v>2</v>
      </c>
      <c r="X124" s="55" t="s">
        <v>46</v>
      </c>
      <c r="Y124" s="55" t="s">
        <v>69</v>
      </c>
      <c r="Z124" s="55" t="s">
        <v>55</v>
      </c>
      <c r="AA124" s="55" t="s">
        <v>47</v>
      </c>
      <c r="AB124" s="39" t="s">
        <v>316</v>
      </c>
    </row>
    <row r="125" spans="1:28" x14ac:dyDescent="0.15">
      <c r="A125" s="55" t="s">
        <v>41</v>
      </c>
      <c r="B125" s="178" t="s">
        <v>313</v>
      </c>
      <c r="C125" s="133">
        <v>2018</v>
      </c>
      <c r="D125" s="56" t="s">
        <v>317</v>
      </c>
      <c r="E125" s="178" t="s">
        <v>165</v>
      </c>
      <c r="F125" s="178" t="s">
        <v>271</v>
      </c>
      <c r="G125" s="55" t="s">
        <v>42</v>
      </c>
      <c r="H125" s="55" t="s">
        <v>157</v>
      </c>
      <c r="I125" s="55" t="s">
        <v>155</v>
      </c>
      <c r="J125" s="55" t="s">
        <v>38</v>
      </c>
      <c r="K125" s="55" t="s">
        <v>156</v>
      </c>
      <c r="L125" s="178">
        <v>1</v>
      </c>
      <c r="N125" s="178">
        <v>1</v>
      </c>
      <c r="O125" s="55">
        <v>0.85</v>
      </c>
      <c r="P125" s="55">
        <v>0.7</v>
      </c>
      <c r="Q125" s="57">
        <f t="shared" si="3"/>
        <v>0.77499999999999991</v>
      </c>
      <c r="R125" s="178">
        <v>16</v>
      </c>
      <c r="S125" s="55">
        <v>136</v>
      </c>
      <c r="T125" s="57">
        <f t="shared" si="4"/>
        <v>25</v>
      </c>
      <c r="U125" s="178">
        <v>137</v>
      </c>
      <c r="V125" s="58">
        <f t="shared" si="5"/>
        <v>3425</v>
      </c>
      <c r="W125" s="178">
        <v>3</v>
      </c>
      <c r="X125" s="55" t="s">
        <v>46</v>
      </c>
      <c r="Y125" s="55" t="s">
        <v>69</v>
      </c>
      <c r="Z125" s="55" t="s">
        <v>55</v>
      </c>
      <c r="AA125" s="55" t="s">
        <v>47</v>
      </c>
      <c r="AB125" s="39" t="s">
        <v>316</v>
      </c>
    </row>
    <row r="126" spans="1:28" x14ac:dyDescent="0.15">
      <c r="A126" s="55" t="s">
        <v>41</v>
      </c>
      <c r="B126" s="178" t="s">
        <v>313</v>
      </c>
      <c r="C126" s="133">
        <v>2018</v>
      </c>
      <c r="D126" s="56" t="s">
        <v>317</v>
      </c>
      <c r="E126" s="178" t="s">
        <v>165</v>
      </c>
      <c r="F126" s="178" t="s">
        <v>271</v>
      </c>
      <c r="G126" s="55" t="s">
        <v>42</v>
      </c>
      <c r="H126" s="55" t="s">
        <v>157</v>
      </c>
      <c r="I126" s="55" t="s">
        <v>155</v>
      </c>
      <c r="J126" s="55" t="s">
        <v>38</v>
      </c>
      <c r="K126" s="55" t="s">
        <v>156</v>
      </c>
      <c r="L126" s="178">
        <v>2</v>
      </c>
      <c r="N126" s="178">
        <v>1</v>
      </c>
      <c r="O126" s="55">
        <v>0.75</v>
      </c>
      <c r="P126" s="55">
        <v>0.8</v>
      </c>
      <c r="Q126" s="57">
        <f t="shared" si="3"/>
        <v>0.77500000000000002</v>
      </c>
      <c r="R126" s="178">
        <v>16.399999999999999</v>
      </c>
      <c r="S126" s="55">
        <v>125</v>
      </c>
      <c r="T126" s="57">
        <f t="shared" si="4"/>
        <v>27</v>
      </c>
      <c r="U126" s="178">
        <v>137</v>
      </c>
      <c r="V126" s="58">
        <f t="shared" si="5"/>
        <v>3699</v>
      </c>
      <c r="W126" s="178">
        <v>3</v>
      </c>
      <c r="X126" s="55" t="s">
        <v>46</v>
      </c>
      <c r="Y126" s="55" t="s">
        <v>69</v>
      </c>
      <c r="Z126" s="55" t="s">
        <v>55</v>
      </c>
      <c r="AA126" s="55" t="s">
        <v>47</v>
      </c>
      <c r="AB126" s="39" t="s">
        <v>316</v>
      </c>
    </row>
    <row r="127" spans="1:28" x14ac:dyDescent="0.15">
      <c r="A127" s="55" t="s">
        <v>41</v>
      </c>
      <c r="B127" s="178" t="s">
        <v>313</v>
      </c>
      <c r="C127" s="133">
        <v>2018</v>
      </c>
      <c r="D127" s="56" t="s">
        <v>317</v>
      </c>
      <c r="E127" s="178" t="s">
        <v>165</v>
      </c>
      <c r="F127" s="178" t="s">
        <v>271</v>
      </c>
      <c r="G127" s="55" t="s">
        <v>42</v>
      </c>
      <c r="H127" s="55" t="s">
        <v>157</v>
      </c>
      <c r="I127" s="55" t="s">
        <v>155</v>
      </c>
      <c r="J127" s="55" t="s">
        <v>38</v>
      </c>
      <c r="K127" s="55" t="s">
        <v>156</v>
      </c>
      <c r="L127" s="178">
        <v>3</v>
      </c>
      <c r="N127" s="178">
        <v>1</v>
      </c>
      <c r="O127" s="55">
        <v>0.8</v>
      </c>
      <c r="P127" s="55">
        <v>0.65</v>
      </c>
      <c r="Q127" s="57">
        <f t="shared" si="3"/>
        <v>0.72500000000000009</v>
      </c>
      <c r="R127" s="178">
        <v>15.9</v>
      </c>
      <c r="S127" s="55">
        <v>130</v>
      </c>
      <c r="T127" s="57">
        <f t="shared" si="4"/>
        <v>25</v>
      </c>
      <c r="U127" s="178">
        <v>137</v>
      </c>
      <c r="V127" s="58">
        <f t="shared" si="5"/>
        <v>3425</v>
      </c>
      <c r="W127" s="178">
        <v>3</v>
      </c>
      <c r="X127" s="55" t="s">
        <v>46</v>
      </c>
      <c r="Y127" s="55" t="s">
        <v>69</v>
      </c>
      <c r="Z127" s="55" t="s">
        <v>55</v>
      </c>
      <c r="AA127" s="55" t="s">
        <v>47</v>
      </c>
      <c r="AB127" s="39" t="s">
        <v>316</v>
      </c>
    </row>
    <row r="128" spans="1:28" x14ac:dyDescent="0.15">
      <c r="A128" s="55" t="s">
        <v>41</v>
      </c>
      <c r="B128" s="178" t="s">
        <v>313</v>
      </c>
      <c r="C128" s="133">
        <v>2018</v>
      </c>
      <c r="D128" s="56" t="s">
        <v>317</v>
      </c>
      <c r="E128" s="178" t="s">
        <v>165</v>
      </c>
      <c r="F128" s="178" t="s">
        <v>271</v>
      </c>
      <c r="G128" s="55" t="s">
        <v>42</v>
      </c>
      <c r="H128" s="55" t="s">
        <v>157</v>
      </c>
      <c r="I128" s="55" t="s">
        <v>155</v>
      </c>
      <c r="J128" s="55" t="s">
        <v>38</v>
      </c>
      <c r="K128" s="55" t="s">
        <v>156</v>
      </c>
      <c r="L128" s="178">
        <v>1</v>
      </c>
      <c r="N128" s="178">
        <v>4</v>
      </c>
      <c r="O128" s="55">
        <v>0.8</v>
      </c>
      <c r="P128" s="55">
        <v>0.65</v>
      </c>
      <c r="Q128" s="57">
        <f t="shared" si="3"/>
        <v>0.72500000000000009</v>
      </c>
      <c r="R128" s="178">
        <v>16.7</v>
      </c>
      <c r="S128" s="55">
        <v>108</v>
      </c>
      <c r="T128" s="57">
        <f t="shared" si="4"/>
        <v>33</v>
      </c>
      <c r="U128" s="178">
        <v>471</v>
      </c>
      <c r="V128" s="58">
        <f t="shared" si="5"/>
        <v>3885.75</v>
      </c>
      <c r="W128" s="178">
        <v>2</v>
      </c>
      <c r="X128" s="55" t="s">
        <v>46</v>
      </c>
      <c r="Y128" s="55" t="s">
        <v>69</v>
      </c>
      <c r="Z128" s="55" t="s">
        <v>55</v>
      </c>
      <c r="AA128" s="55" t="s">
        <v>47</v>
      </c>
      <c r="AB128" s="39" t="s">
        <v>316</v>
      </c>
    </row>
    <row r="129" spans="1:28" x14ac:dyDescent="0.15">
      <c r="A129" s="55" t="s">
        <v>41</v>
      </c>
      <c r="B129" s="178" t="s">
        <v>313</v>
      </c>
      <c r="C129" s="133">
        <v>2018</v>
      </c>
      <c r="D129" s="56" t="s">
        <v>317</v>
      </c>
      <c r="E129" s="178" t="s">
        <v>165</v>
      </c>
      <c r="F129" s="178" t="s">
        <v>271</v>
      </c>
      <c r="G129" s="55" t="s">
        <v>42</v>
      </c>
      <c r="H129" s="55" t="s">
        <v>157</v>
      </c>
      <c r="I129" s="55" t="s">
        <v>155</v>
      </c>
      <c r="J129" s="55" t="s">
        <v>38</v>
      </c>
      <c r="K129" s="55" t="s">
        <v>156</v>
      </c>
      <c r="L129" s="178">
        <v>2</v>
      </c>
      <c r="N129" s="178">
        <v>4</v>
      </c>
      <c r="O129" s="55">
        <v>0.4</v>
      </c>
      <c r="P129" s="55">
        <v>0.3</v>
      </c>
      <c r="Q129" s="57">
        <f t="shared" si="3"/>
        <v>0.35</v>
      </c>
      <c r="R129" s="178">
        <v>13.2</v>
      </c>
      <c r="S129" s="55">
        <v>111</v>
      </c>
      <c r="T129" s="57">
        <f t="shared" si="4"/>
        <v>33</v>
      </c>
      <c r="U129" s="178">
        <v>471</v>
      </c>
      <c r="V129" s="58">
        <f t="shared" si="5"/>
        <v>3885.75</v>
      </c>
      <c r="W129" s="178">
        <v>2</v>
      </c>
      <c r="X129" s="55" t="s">
        <v>46</v>
      </c>
      <c r="Y129" s="55" t="s">
        <v>69</v>
      </c>
      <c r="Z129" s="55" t="s">
        <v>55</v>
      </c>
      <c r="AA129" s="55" t="s">
        <v>47</v>
      </c>
      <c r="AB129" s="39" t="s">
        <v>316</v>
      </c>
    </row>
    <row r="130" spans="1:28" x14ac:dyDescent="0.15">
      <c r="A130" s="55" t="s">
        <v>41</v>
      </c>
      <c r="B130" s="178" t="s">
        <v>313</v>
      </c>
      <c r="C130" s="133">
        <v>2018</v>
      </c>
      <c r="D130" s="56" t="s">
        <v>317</v>
      </c>
      <c r="E130" s="178" t="s">
        <v>165</v>
      </c>
      <c r="F130" s="178" t="s">
        <v>271</v>
      </c>
      <c r="G130" s="55" t="s">
        <v>42</v>
      </c>
      <c r="H130" s="55" t="s">
        <v>157</v>
      </c>
      <c r="I130" s="55" t="s">
        <v>155</v>
      </c>
      <c r="J130" s="55" t="s">
        <v>38</v>
      </c>
      <c r="K130" s="55" t="s">
        <v>156</v>
      </c>
      <c r="L130" s="178">
        <v>3</v>
      </c>
      <c r="N130" s="178">
        <v>4</v>
      </c>
      <c r="O130" s="55">
        <v>0.3</v>
      </c>
      <c r="P130" s="55">
        <v>0.3</v>
      </c>
      <c r="Q130" s="57">
        <f t="shared" ref="Q130:Q142" si="6">IF(OR(O130="",P130=""),"",AVERAGE(O130,P130))</f>
        <v>0.3</v>
      </c>
      <c r="R130" s="178">
        <v>12.4</v>
      </c>
      <c r="S130" s="55">
        <v>104</v>
      </c>
      <c r="T130" s="57">
        <f t="shared" si="4"/>
        <v>33</v>
      </c>
      <c r="U130" s="178">
        <v>471</v>
      </c>
      <c r="V130" s="58">
        <f t="shared" si="5"/>
        <v>3885.75</v>
      </c>
      <c r="W130" s="178">
        <v>2</v>
      </c>
      <c r="X130" s="55" t="s">
        <v>46</v>
      </c>
      <c r="Y130" s="55" t="s">
        <v>69</v>
      </c>
      <c r="Z130" s="55" t="s">
        <v>55</v>
      </c>
      <c r="AA130" s="55" t="s">
        <v>47</v>
      </c>
      <c r="AB130" s="39" t="s">
        <v>316</v>
      </c>
    </row>
    <row r="131" spans="1:28" x14ac:dyDescent="0.15">
      <c r="A131" s="55" t="s">
        <v>41</v>
      </c>
      <c r="B131" s="178" t="s">
        <v>313</v>
      </c>
      <c r="C131" s="133">
        <v>2018</v>
      </c>
      <c r="D131" s="56" t="s">
        <v>317</v>
      </c>
      <c r="E131" s="178" t="s">
        <v>165</v>
      </c>
      <c r="F131" s="178" t="s">
        <v>271</v>
      </c>
      <c r="G131" s="55" t="s">
        <v>42</v>
      </c>
      <c r="H131" s="55" t="s">
        <v>211</v>
      </c>
      <c r="I131" s="55" t="s">
        <v>155</v>
      </c>
      <c r="J131" s="55" t="s">
        <v>38</v>
      </c>
      <c r="K131" s="55" t="s">
        <v>156</v>
      </c>
      <c r="L131" s="178">
        <v>1</v>
      </c>
      <c r="N131" s="178">
        <v>5</v>
      </c>
      <c r="O131" s="55">
        <v>0.5</v>
      </c>
      <c r="P131" s="55">
        <v>0.65</v>
      </c>
      <c r="Q131" s="82">
        <f t="shared" si="6"/>
        <v>0.57499999999999996</v>
      </c>
      <c r="R131" s="55">
        <v>16.899999999999999</v>
      </c>
      <c r="S131" s="55">
        <v>98</v>
      </c>
      <c r="T131" s="57">
        <f t="shared" si="4"/>
        <v>36</v>
      </c>
      <c r="U131" s="178">
        <v>428</v>
      </c>
      <c r="V131" s="58">
        <f t="shared" si="5"/>
        <v>3081.6</v>
      </c>
      <c r="W131" s="178">
        <v>2</v>
      </c>
      <c r="X131" s="55" t="s">
        <v>46</v>
      </c>
      <c r="Y131" s="55" t="s">
        <v>69</v>
      </c>
      <c r="Z131" s="55" t="s">
        <v>55</v>
      </c>
      <c r="AA131" s="55" t="s">
        <v>47</v>
      </c>
      <c r="AB131" s="39" t="s">
        <v>316</v>
      </c>
    </row>
    <row r="132" spans="1:28" x14ac:dyDescent="0.15">
      <c r="A132" s="55" t="s">
        <v>41</v>
      </c>
      <c r="B132" s="178" t="s">
        <v>313</v>
      </c>
      <c r="C132" s="133">
        <v>2018</v>
      </c>
      <c r="D132" s="56" t="s">
        <v>317</v>
      </c>
      <c r="E132" s="178" t="s">
        <v>165</v>
      </c>
      <c r="F132" s="178" t="s">
        <v>271</v>
      </c>
      <c r="G132" s="55" t="s">
        <v>42</v>
      </c>
      <c r="H132" s="55" t="s">
        <v>211</v>
      </c>
      <c r="I132" s="55" t="s">
        <v>155</v>
      </c>
      <c r="J132" s="55" t="s">
        <v>38</v>
      </c>
      <c r="K132" s="55" t="s">
        <v>156</v>
      </c>
      <c r="L132" s="178">
        <v>2</v>
      </c>
      <c r="N132" s="178">
        <v>5</v>
      </c>
      <c r="O132" s="55">
        <v>0.65</v>
      </c>
      <c r="P132" s="55">
        <v>0.5</v>
      </c>
      <c r="Q132" s="82">
        <f t="shared" si="6"/>
        <v>0.57499999999999996</v>
      </c>
      <c r="R132" s="55">
        <v>13.5</v>
      </c>
      <c r="S132" s="55">
        <v>100</v>
      </c>
      <c r="T132" s="57">
        <f t="shared" si="4"/>
        <v>33</v>
      </c>
      <c r="U132" s="178">
        <v>428</v>
      </c>
      <c r="V132" s="58">
        <f t="shared" si="5"/>
        <v>2824.7999999999997</v>
      </c>
      <c r="W132" s="178">
        <v>2</v>
      </c>
      <c r="X132" s="55" t="s">
        <v>46</v>
      </c>
      <c r="Y132" s="55" t="s">
        <v>69</v>
      </c>
      <c r="Z132" s="55" t="s">
        <v>55</v>
      </c>
      <c r="AA132" s="55" t="s">
        <v>47</v>
      </c>
      <c r="AB132" s="39" t="s">
        <v>316</v>
      </c>
    </row>
    <row r="133" spans="1:28" x14ac:dyDescent="0.15">
      <c r="A133" s="55" t="s">
        <v>41</v>
      </c>
      <c r="B133" s="178" t="s">
        <v>313</v>
      </c>
      <c r="C133" s="133">
        <v>2018</v>
      </c>
      <c r="D133" s="56" t="s">
        <v>317</v>
      </c>
      <c r="E133" s="178" t="s">
        <v>165</v>
      </c>
      <c r="F133" s="178" t="s">
        <v>271</v>
      </c>
      <c r="G133" s="55" t="s">
        <v>42</v>
      </c>
      <c r="H133" s="55" t="s">
        <v>211</v>
      </c>
      <c r="I133" s="55" t="s">
        <v>155</v>
      </c>
      <c r="J133" s="55" t="s">
        <v>38</v>
      </c>
      <c r="K133" s="55" t="s">
        <v>156</v>
      </c>
      <c r="L133" s="178">
        <v>3</v>
      </c>
      <c r="N133" s="178">
        <v>5</v>
      </c>
      <c r="O133" s="55">
        <v>0.45</v>
      </c>
      <c r="P133" s="55">
        <v>0.65</v>
      </c>
      <c r="Q133" s="82">
        <f t="shared" si="6"/>
        <v>0.55000000000000004</v>
      </c>
      <c r="R133" s="55">
        <v>13.4</v>
      </c>
      <c r="S133" s="55">
        <v>100</v>
      </c>
      <c r="T133" s="57">
        <f t="shared" si="4"/>
        <v>33</v>
      </c>
      <c r="U133" s="178">
        <v>428</v>
      </c>
      <c r="V133" s="58">
        <f t="shared" si="5"/>
        <v>2824.7999999999997</v>
      </c>
      <c r="W133" s="178">
        <v>2</v>
      </c>
      <c r="X133" s="55" t="s">
        <v>46</v>
      </c>
      <c r="Y133" s="55" t="s">
        <v>69</v>
      </c>
      <c r="Z133" s="55" t="s">
        <v>55</v>
      </c>
      <c r="AA133" s="55" t="s">
        <v>47</v>
      </c>
      <c r="AB133" s="39" t="s">
        <v>316</v>
      </c>
    </row>
    <row r="134" spans="1:28" x14ac:dyDescent="0.15">
      <c r="A134" s="55" t="s">
        <v>41</v>
      </c>
      <c r="B134" s="178" t="s">
        <v>313</v>
      </c>
      <c r="C134" s="133">
        <v>2018</v>
      </c>
      <c r="D134" s="56" t="s">
        <v>317</v>
      </c>
      <c r="E134" s="178" t="s">
        <v>262</v>
      </c>
      <c r="F134" s="178" t="s">
        <v>267</v>
      </c>
      <c r="G134" s="55" t="s">
        <v>42</v>
      </c>
      <c r="H134" s="55" t="s">
        <v>162</v>
      </c>
      <c r="I134" s="55" t="s">
        <v>155</v>
      </c>
      <c r="J134" s="55" t="s">
        <v>38</v>
      </c>
      <c r="K134" s="55" t="s">
        <v>156</v>
      </c>
      <c r="L134" s="178">
        <v>1</v>
      </c>
      <c r="N134" s="178">
        <v>1</v>
      </c>
      <c r="O134" s="55">
        <v>0.2</v>
      </c>
      <c r="P134" s="55">
        <v>0.15</v>
      </c>
      <c r="Q134" s="82">
        <f t="shared" si="6"/>
        <v>0.17499999999999999</v>
      </c>
      <c r="R134" s="55">
        <v>17.399999999999999</v>
      </c>
      <c r="S134" s="178">
        <v>120</v>
      </c>
      <c r="T134" s="57">
        <f t="shared" si="4"/>
        <v>30</v>
      </c>
      <c r="U134" s="178">
        <v>82</v>
      </c>
      <c r="V134" s="58">
        <f t="shared" si="5"/>
        <v>2460</v>
      </c>
      <c r="W134" s="178">
        <v>5</v>
      </c>
      <c r="X134" s="55" t="s">
        <v>46</v>
      </c>
      <c r="Y134" s="55" t="s">
        <v>55</v>
      </c>
      <c r="Z134" s="55" t="s">
        <v>69</v>
      </c>
      <c r="AA134" s="55" t="s">
        <v>97</v>
      </c>
      <c r="AB134" s="39" t="s">
        <v>316</v>
      </c>
    </row>
    <row r="135" spans="1:28" x14ac:dyDescent="0.15">
      <c r="A135" s="55" t="s">
        <v>41</v>
      </c>
      <c r="B135" s="178" t="s">
        <v>313</v>
      </c>
      <c r="C135" s="133">
        <v>2018</v>
      </c>
      <c r="D135" s="56" t="s">
        <v>317</v>
      </c>
      <c r="E135" s="178" t="s">
        <v>262</v>
      </c>
      <c r="F135" s="178" t="s">
        <v>267</v>
      </c>
      <c r="G135" s="55" t="s">
        <v>42</v>
      </c>
      <c r="H135" s="55" t="s">
        <v>162</v>
      </c>
      <c r="I135" s="55" t="s">
        <v>155</v>
      </c>
      <c r="J135" s="55" t="s">
        <v>38</v>
      </c>
      <c r="K135" s="55" t="s">
        <v>156</v>
      </c>
      <c r="L135" s="178">
        <v>2</v>
      </c>
      <c r="N135" s="178">
        <v>1</v>
      </c>
      <c r="O135" s="55">
        <v>0.15</v>
      </c>
      <c r="P135" s="55">
        <v>0.2</v>
      </c>
      <c r="Q135" s="82">
        <f t="shared" si="6"/>
        <v>0.17499999999999999</v>
      </c>
      <c r="R135" s="55">
        <v>15.8</v>
      </c>
      <c r="S135" s="178">
        <v>124</v>
      </c>
      <c r="T135" s="57">
        <f t="shared" si="4"/>
        <v>27</v>
      </c>
      <c r="U135" s="178">
        <v>82</v>
      </c>
      <c r="V135" s="58">
        <f t="shared" si="5"/>
        <v>2214</v>
      </c>
      <c r="W135" s="178">
        <v>5</v>
      </c>
      <c r="X135" s="55" t="s">
        <v>46</v>
      </c>
      <c r="Y135" s="55" t="s">
        <v>55</v>
      </c>
      <c r="Z135" s="55" t="s">
        <v>69</v>
      </c>
      <c r="AA135" s="55" t="s">
        <v>97</v>
      </c>
      <c r="AB135" s="39" t="s">
        <v>316</v>
      </c>
    </row>
    <row r="136" spans="1:28" x14ac:dyDescent="0.15">
      <c r="A136" s="55" t="s">
        <v>41</v>
      </c>
      <c r="B136" s="178" t="s">
        <v>313</v>
      </c>
      <c r="C136" s="133">
        <v>2018</v>
      </c>
      <c r="D136" s="56" t="s">
        <v>317</v>
      </c>
      <c r="E136" s="178" t="s">
        <v>262</v>
      </c>
      <c r="F136" s="178" t="s">
        <v>267</v>
      </c>
      <c r="G136" s="55" t="s">
        <v>42</v>
      </c>
      <c r="H136" s="55" t="s">
        <v>162</v>
      </c>
      <c r="I136" s="55" t="s">
        <v>155</v>
      </c>
      <c r="J136" s="55" t="s">
        <v>38</v>
      </c>
      <c r="K136" s="55" t="s">
        <v>156</v>
      </c>
      <c r="L136" s="178">
        <v>3</v>
      </c>
      <c r="N136" s="178">
        <v>1</v>
      </c>
      <c r="O136" s="55">
        <v>0.2</v>
      </c>
      <c r="P136" s="55">
        <v>0.2</v>
      </c>
      <c r="Q136" s="82">
        <f t="shared" si="6"/>
        <v>0.2</v>
      </c>
      <c r="R136" s="55">
        <v>14.2</v>
      </c>
      <c r="S136" s="178">
        <v>123</v>
      </c>
      <c r="T136" s="57">
        <f t="shared" si="4"/>
        <v>27</v>
      </c>
      <c r="U136" s="178">
        <v>82</v>
      </c>
      <c r="V136" s="58">
        <f t="shared" si="5"/>
        <v>2214</v>
      </c>
      <c r="W136" s="178">
        <v>5</v>
      </c>
      <c r="X136" s="55" t="s">
        <v>46</v>
      </c>
      <c r="Y136" s="55" t="s">
        <v>55</v>
      </c>
      <c r="Z136" s="55" t="s">
        <v>69</v>
      </c>
      <c r="AA136" s="55" t="s">
        <v>97</v>
      </c>
      <c r="AB136" s="39" t="s">
        <v>316</v>
      </c>
    </row>
    <row r="137" spans="1:28" x14ac:dyDescent="0.15">
      <c r="A137" s="55" t="s">
        <v>41</v>
      </c>
      <c r="B137" s="178" t="s">
        <v>313</v>
      </c>
      <c r="C137" s="133">
        <v>2018</v>
      </c>
      <c r="D137" s="56" t="s">
        <v>317</v>
      </c>
      <c r="E137" s="178" t="s">
        <v>262</v>
      </c>
      <c r="F137" s="178" t="s">
        <v>267</v>
      </c>
      <c r="G137" s="55" t="s">
        <v>42</v>
      </c>
      <c r="H137" s="55" t="s">
        <v>157</v>
      </c>
      <c r="I137" s="55" t="s">
        <v>155</v>
      </c>
      <c r="J137" s="55" t="s">
        <v>38</v>
      </c>
      <c r="K137" s="55" t="s">
        <v>156</v>
      </c>
      <c r="L137" s="178">
        <v>1</v>
      </c>
      <c r="N137" s="178">
        <v>1</v>
      </c>
      <c r="O137" s="55">
        <v>0.35</v>
      </c>
      <c r="P137" s="55">
        <v>0.3</v>
      </c>
      <c r="Q137" s="82">
        <f t="shared" si="6"/>
        <v>0.32499999999999996</v>
      </c>
      <c r="R137" s="55">
        <v>14.9</v>
      </c>
      <c r="S137" s="178">
        <v>118</v>
      </c>
      <c r="T137" s="57">
        <f t="shared" si="4"/>
        <v>30</v>
      </c>
      <c r="U137" s="178">
        <v>82</v>
      </c>
      <c r="V137" s="58">
        <f t="shared" si="5"/>
        <v>2460</v>
      </c>
      <c r="W137" s="178">
        <v>3</v>
      </c>
      <c r="X137" s="55" t="s">
        <v>46</v>
      </c>
      <c r="Y137" s="55" t="s">
        <v>55</v>
      </c>
      <c r="Z137" s="55" t="s">
        <v>69</v>
      </c>
      <c r="AA137" s="55" t="s">
        <v>97</v>
      </c>
      <c r="AB137" s="39" t="s">
        <v>316</v>
      </c>
    </row>
    <row r="138" spans="1:28" x14ac:dyDescent="0.15">
      <c r="A138" s="55" t="s">
        <v>41</v>
      </c>
      <c r="B138" s="178" t="s">
        <v>313</v>
      </c>
      <c r="C138" s="133">
        <v>2018</v>
      </c>
      <c r="D138" s="56" t="s">
        <v>317</v>
      </c>
      <c r="E138" s="178" t="s">
        <v>262</v>
      </c>
      <c r="F138" s="178" t="s">
        <v>267</v>
      </c>
      <c r="G138" s="55" t="s">
        <v>42</v>
      </c>
      <c r="H138" s="55" t="s">
        <v>157</v>
      </c>
      <c r="I138" s="55" t="s">
        <v>155</v>
      </c>
      <c r="J138" s="55" t="s">
        <v>38</v>
      </c>
      <c r="K138" s="55" t="s">
        <v>156</v>
      </c>
      <c r="L138" s="178">
        <v>2</v>
      </c>
      <c r="N138" s="178">
        <v>1</v>
      </c>
      <c r="O138" s="55">
        <v>0.2</v>
      </c>
      <c r="P138" s="55">
        <v>0.25</v>
      </c>
      <c r="Q138" s="82">
        <f t="shared" si="6"/>
        <v>0.22500000000000001</v>
      </c>
      <c r="R138" s="55">
        <v>15.9</v>
      </c>
      <c r="S138" s="178">
        <v>115</v>
      </c>
      <c r="T138" s="57">
        <f t="shared" si="4"/>
        <v>30</v>
      </c>
      <c r="U138" s="178">
        <v>82</v>
      </c>
      <c r="V138" s="58">
        <f t="shared" si="5"/>
        <v>2460</v>
      </c>
      <c r="W138" s="178">
        <v>3</v>
      </c>
      <c r="X138" s="55" t="s">
        <v>46</v>
      </c>
      <c r="Y138" s="55" t="s">
        <v>55</v>
      </c>
      <c r="Z138" s="55" t="s">
        <v>69</v>
      </c>
      <c r="AA138" s="55" t="s">
        <v>97</v>
      </c>
      <c r="AB138" s="39" t="s">
        <v>316</v>
      </c>
    </row>
    <row r="139" spans="1:28" x14ac:dyDescent="0.15">
      <c r="A139" s="55" t="s">
        <v>41</v>
      </c>
      <c r="B139" s="178" t="s">
        <v>313</v>
      </c>
      <c r="C139" s="133">
        <v>2018</v>
      </c>
      <c r="D139" s="56" t="s">
        <v>317</v>
      </c>
      <c r="E139" s="178" t="s">
        <v>262</v>
      </c>
      <c r="F139" s="178" t="s">
        <v>267</v>
      </c>
      <c r="G139" s="55" t="s">
        <v>42</v>
      </c>
      <c r="H139" s="55" t="s">
        <v>157</v>
      </c>
      <c r="I139" s="55" t="s">
        <v>155</v>
      </c>
      <c r="J139" s="55" t="s">
        <v>38</v>
      </c>
      <c r="K139" s="55" t="s">
        <v>156</v>
      </c>
      <c r="L139" s="178">
        <v>3</v>
      </c>
      <c r="N139" s="178">
        <v>1</v>
      </c>
      <c r="O139" s="55">
        <v>0.25</v>
      </c>
      <c r="P139" s="55">
        <v>0.15</v>
      </c>
      <c r="Q139" s="82">
        <f t="shared" si="6"/>
        <v>0.2</v>
      </c>
      <c r="R139" s="55">
        <v>15.4</v>
      </c>
      <c r="S139" s="178">
        <v>121</v>
      </c>
      <c r="T139" s="57">
        <f t="shared" si="4"/>
        <v>27</v>
      </c>
      <c r="U139" s="178">
        <v>82</v>
      </c>
      <c r="V139" s="58">
        <f t="shared" si="5"/>
        <v>2214</v>
      </c>
      <c r="W139" s="178">
        <v>3</v>
      </c>
      <c r="X139" s="55" t="s">
        <v>46</v>
      </c>
      <c r="Y139" s="55" t="s">
        <v>55</v>
      </c>
      <c r="Z139" s="55" t="s">
        <v>69</v>
      </c>
      <c r="AA139" s="55" t="s">
        <v>97</v>
      </c>
      <c r="AB139" s="39" t="s">
        <v>316</v>
      </c>
    </row>
    <row r="140" spans="1:28" x14ac:dyDescent="0.15">
      <c r="A140" s="55" t="s">
        <v>41</v>
      </c>
      <c r="B140" s="178" t="s">
        <v>313</v>
      </c>
      <c r="C140" s="133">
        <v>2018</v>
      </c>
      <c r="D140" s="56" t="s">
        <v>317</v>
      </c>
      <c r="E140" s="178" t="s">
        <v>262</v>
      </c>
      <c r="F140" s="178" t="s">
        <v>267</v>
      </c>
      <c r="G140" s="55" t="s">
        <v>42</v>
      </c>
      <c r="H140" s="55" t="s">
        <v>128</v>
      </c>
      <c r="I140" s="55" t="s">
        <v>155</v>
      </c>
      <c r="J140" s="55" t="s">
        <v>80</v>
      </c>
      <c r="K140" s="55" t="s">
        <v>45</v>
      </c>
      <c r="L140" s="178">
        <v>1</v>
      </c>
      <c r="N140" s="178">
        <v>1</v>
      </c>
      <c r="O140" s="178">
        <v>0.75</v>
      </c>
      <c r="P140" s="178">
        <v>0.75</v>
      </c>
      <c r="Q140" s="57">
        <f t="shared" si="6"/>
        <v>0.75</v>
      </c>
      <c r="R140" s="178">
        <v>12.8</v>
      </c>
      <c r="S140" s="178">
        <v>108</v>
      </c>
      <c r="T140" s="57">
        <f t="shared" si="4"/>
        <v>33</v>
      </c>
      <c r="U140" s="178">
        <v>385</v>
      </c>
      <c r="V140" s="58">
        <f t="shared" si="5"/>
        <v>12705</v>
      </c>
      <c r="W140" s="178">
        <v>2</v>
      </c>
      <c r="X140" s="55" t="s">
        <v>46</v>
      </c>
      <c r="Y140" s="55" t="s">
        <v>55</v>
      </c>
      <c r="Z140" s="55" t="s">
        <v>69</v>
      </c>
      <c r="AA140" s="55" t="s">
        <v>97</v>
      </c>
      <c r="AB140" s="39" t="s">
        <v>316</v>
      </c>
    </row>
    <row r="141" spans="1:28" x14ac:dyDescent="0.15">
      <c r="A141" s="55" t="s">
        <v>41</v>
      </c>
      <c r="B141" s="178" t="s">
        <v>313</v>
      </c>
      <c r="C141" s="133">
        <v>2018</v>
      </c>
      <c r="D141" s="56" t="s">
        <v>317</v>
      </c>
      <c r="E141" s="178" t="s">
        <v>262</v>
      </c>
      <c r="F141" s="178" t="s">
        <v>267</v>
      </c>
      <c r="G141" s="55" t="s">
        <v>42</v>
      </c>
      <c r="H141" s="55" t="s">
        <v>128</v>
      </c>
      <c r="I141" s="55" t="s">
        <v>155</v>
      </c>
      <c r="J141" s="55" t="s">
        <v>80</v>
      </c>
      <c r="K141" s="55" t="s">
        <v>45</v>
      </c>
      <c r="L141" s="178">
        <v>2</v>
      </c>
      <c r="N141" s="178">
        <v>1</v>
      </c>
      <c r="O141" s="178">
        <v>0.9</v>
      </c>
      <c r="P141" s="178">
        <v>0.75</v>
      </c>
      <c r="Q141" s="57">
        <f t="shared" si="6"/>
        <v>0.82499999999999996</v>
      </c>
      <c r="R141" s="178">
        <v>13.4</v>
      </c>
      <c r="S141" s="178">
        <v>105</v>
      </c>
      <c r="T141" s="57">
        <f t="shared" si="4"/>
        <v>33</v>
      </c>
      <c r="U141" s="178">
        <v>385</v>
      </c>
      <c r="V141" s="58">
        <f t="shared" si="5"/>
        <v>12705</v>
      </c>
      <c r="W141" s="178">
        <v>2</v>
      </c>
      <c r="X141" s="55" t="s">
        <v>46</v>
      </c>
      <c r="Y141" s="55" t="s">
        <v>55</v>
      </c>
      <c r="Z141" s="55" t="s">
        <v>69</v>
      </c>
      <c r="AA141" s="55" t="s">
        <v>97</v>
      </c>
      <c r="AB141" s="39" t="s">
        <v>316</v>
      </c>
    </row>
    <row r="142" spans="1:28" x14ac:dyDescent="0.15">
      <c r="A142" s="55" t="s">
        <v>41</v>
      </c>
      <c r="B142" s="178" t="s">
        <v>313</v>
      </c>
      <c r="C142" s="133">
        <v>2018</v>
      </c>
      <c r="D142" s="56" t="s">
        <v>317</v>
      </c>
      <c r="E142" s="178" t="s">
        <v>262</v>
      </c>
      <c r="F142" s="178" t="s">
        <v>267</v>
      </c>
      <c r="G142" s="55" t="s">
        <v>42</v>
      </c>
      <c r="H142" s="55" t="s">
        <v>128</v>
      </c>
      <c r="I142" s="55" t="s">
        <v>155</v>
      </c>
      <c r="J142" s="55" t="s">
        <v>80</v>
      </c>
      <c r="K142" s="55" t="s">
        <v>45</v>
      </c>
      <c r="L142" s="178">
        <v>3</v>
      </c>
      <c r="N142" s="178">
        <v>1</v>
      </c>
      <c r="O142" s="178">
        <v>0.85</v>
      </c>
      <c r="P142" s="178">
        <v>0.8</v>
      </c>
      <c r="Q142" s="57">
        <f t="shared" si="6"/>
        <v>0.82499999999999996</v>
      </c>
      <c r="R142" s="178">
        <v>12.4</v>
      </c>
      <c r="S142" s="178">
        <v>111</v>
      </c>
      <c r="T142" s="57">
        <f t="shared" ref="T142" si="7">IF(H142="","",IF(OR(H142="GREEN",H142="GK"),IF(S142&gt;=$AX$2,VLOOKUP(S142,$AX$2:$AY$10,2,1),""),IF(S142&gt;=$AZ$2,VLOOKUP(S142,$AZ$2:$BA$10,2,1),"")))</f>
        <v>33</v>
      </c>
      <c r="U142" s="178">
        <v>385</v>
      </c>
      <c r="V142" s="58">
        <f t="shared" ref="V142" si="8">IF(OR(N142="",U142="",T142=""),"",U142/N142*T142)</f>
        <v>12705</v>
      </c>
      <c r="W142" s="178">
        <v>2</v>
      </c>
      <c r="X142" s="55" t="s">
        <v>46</v>
      </c>
      <c r="Y142" s="55" t="s">
        <v>55</v>
      </c>
      <c r="Z142" s="55" t="s">
        <v>69</v>
      </c>
      <c r="AA142" s="55" t="s">
        <v>97</v>
      </c>
      <c r="AB142" s="39" t="s">
        <v>316</v>
      </c>
    </row>
    <row r="143" spans="1:28" x14ac:dyDescent="0.15">
      <c r="K143" s="55"/>
      <c r="Y143" s="55"/>
    </row>
    <row r="144" spans="1:28" x14ac:dyDescent="0.15">
      <c r="K144" s="55"/>
      <c r="Y144" s="55"/>
    </row>
    <row r="145" spans="11:25" x14ac:dyDescent="0.15">
      <c r="K145" s="55"/>
      <c r="Y145" s="55"/>
    </row>
    <row r="146" spans="11:25" x14ac:dyDescent="0.15">
      <c r="K146" s="55"/>
      <c r="Y146" s="55"/>
    </row>
    <row r="147" spans="11:25" x14ac:dyDescent="0.15">
      <c r="K147" s="55"/>
      <c r="Y147" s="55"/>
    </row>
    <row r="148" spans="11:25" x14ac:dyDescent="0.15">
      <c r="K148" s="55"/>
      <c r="Y148" s="55"/>
    </row>
    <row r="149" spans="11:25" x14ac:dyDescent="0.15">
      <c r="K149" s="55"/>
      <c r="Y149" s="55"/>
    </row>
    <row r="150" spans="11:25" x14ac:dyDescent="0.15">
      <c r="K150" s="55"/>
      <c r="Y150" s="55"/>
    </row>
    <row r="151" spans="11:25" x14ac:dyDescent="0.15">
      <c r="K151" s="55"/>
      <c r="Y151" s="55"/>
    </row>
    <row r="152" spans="11:25" x14ac:dyDescent="0.15">
      <c r="K152" s="55"/>
      <c r="Y152" s="55"/>
    </row>
    <row r="153" spans="11:25" x14ac:dyDescent="0.15">
      <c r="K153" s="55"/>
      <c r="Y153" s="55"/>
    </row>
    <row r="154" spans="11:25" x14ac:dyDescent="0.15">
      <c r="K154" s="55"/>
      <c r="Y154" s="55"/>
    </row>
    <row r="155" spans="11:25" x14ac:dyDescent="0.15">
      <c r="K155" s="55"/>
      <c r="Y155" s="55"/>
    </row>
    <row r="156" spans="11:25" x14ac:dyDescent="0.15">
      <c r="K156" s="55"/>
      <c r="Y156" s="55"/>
    </row>
    <row r="157" spans="11:25" x14ac:dyDescent="0.15">
      <c r="K157" s="55"/>
      <c r="Y157" s="55"/>
    </row>
    <row r="158" spans="11:25" x14ac:dyDescent="0.15">
      <c r="K158" s="55"/>
      <c r="Y158" s="55"/>
    </row>
    <row r="159" spans="11:25" x14ac:dyDescent="0.15">
      <c r="K159" s="55"/>
      <c r="Y159" s="55"/>
    </row>
    <row r="160" spans="11:25" x14ac:dyDescent="0.15">
      <c r="K160" s="55"/>
      <c r="Y160" s="55"/>
    </row>
    <row r="161" spans="11:25" x14ac:dyDescent="0.15">
      <c r="K161" s="55"/>
      <c r="Y161" s="55"/>
    </row>
    <row r="162" spans="11:25" x14ac:dyDescent="0.15">
      <c r="K162" s="55"/>
      <c r="Y162" s="55"/>
    </row>
    <row r="163" spans="11:25" x14ac:dyDescent="0.15">
      <c r="K163" s="55"/>
      <c r="Y163" s="55"/>
    </row>
    <row r="164" spans="11:25" x14ac:dyDescent="0.15">
      <c r="K164" s="55"/>
      <c r="Y164" s="55"/>
    </row>
    <row r="165" spans="11:25" x14ac:dyDescent="0.15">
      <c r="K165" s="55"/>
      <c r="Y165" s="55"/>
    </row>
    <row r="166" spans="11:25" x14ac:dyDescent="0.15">
      <c r="K166" s="55"/>
      <c r="Y166" s="55"/>
    </row>
    <row r="167" spans="11:25" x14ac:dyDescent="0.15">
      <c r="K167" s="55"/>
      <c r="Y167" s="55"/>
    </row>
    <row r="168" spans="11:25" x14ac:dyDescent="0.15">
      <c r="K168" s="55"/>
      <c r="Y168" s="55"/>
    </row>
    <row r="169" spans="11:25" x14ac:dyDescent="0.15">
      <c r="Y169" s="55"/>
    </row>
  </sheetData>
  <autoFilter ref="A1:BA142"/>
  <dataConsolidate/>
  <phoneticPr fontId="3"/>
  <dataValidations count="13">
    <dataValidation type="list" allowBlank="1" showInputMessage="1" showErrorMessage="1" sqref="Y1:AA1048576">
      <formula1>$AV$2:$AV$21</formula1>
    </dataValidation>
    <dataValidation type="list" allowBlank="1" showInputMessage="1" showErrorMessage="1" sqref="F1:F1048576">
      <formula1>$AH$2:$AH$11</formula1>
    </dataValidation>
    <dataValidation type="list" allowBlank="1" showInputMessage="1" showErrorMessage="1" sqref="E1:E1048576">
      <formula1>$AG$2:$AG$11</formula1>
    </dataValidation>
    <dataValidation type="list" allowBlank="1" showInputMessage="1" showErrorMessage="1" sqref="K2:K168">
      <formula1>$AR$2:$AR$23</formula1>
    </dataValidation>
    <dataValidation type="list" allowBlank="1" showInputMessage="1" showErrorMessage="1" sqref="J2:J352">
      <formula1>$AP$2:$AP$19</formula1>
    </dataValidation>
    <dataValidation type="list" allowBlank="1" showInputMessage="1" showErrorMessage="1" sqref="A2:A352">
      <formula1>$AE$2:$AE$16</formula1>
    </dataValidation>
    <dataValidation type="list" allowBlank="1" showInputMessage="1" showErrorMessage="1" sqref="X2:X352">
      <formula1>$AT$2:$AT$3</formula1>
    </dataValidation>
    <dataValidation type="list" allowBlank="1" showInputMessage="1" showErrorMessage="1" sqref="I2:I352">
      <formula1>$AN$5:$AN$6</formula1>
    </dataValidation>
    <dataValidation operator="equal" allowBlank="1" showInputMessage="1" showErrorMessage="1" sqref="B2:B142"/>
    <dataValidation type="list" allowBlank="1" showInputMessage="1" showErrorMessage="1" sqref="G2:G352">
      <formula1>$AJ$2:$AJ$4</formula1>
    </dataValidation>
    <dataValidation type="list" allowBlank="1" showInputMessage="1" showErrorMessage="1" sqref="H2:H352">
      <formula1>$AL$2:$AL$8</formula1>
    </dataValidation>
    <dataValidation type="decimal" allowBlank="1" showInputMessage="1" showErrorMessage="1" error="硬度を正しく入力して下さい。" sqref="O2:P352">
      <formula1>0</formula1>
      <formula2>7</formula2>
    </dataValidation>
    <dataValidation type="list" allowBlank="1" showInputMessage="1" showErrorMessage="1" sqref="K169:K352">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topLeftCell="A10" zoomScale="70" zoomScaleNormal="70" workbookViewId="0">
      <selection activeCell="AF32" sqref="AF32"/>
    </sheetView>
  </sheetViews>
  <sheetFormatPr defaultRowHeight="13.5" x14ac:dyDescent="0.15"/>
  <cols>
    <col min="1" max="1" width="9" style="149"/>
    <col min="2" max="2" width="9" style="157"/>
    <col min="3" max="3" width="9" style="149"/>
    <col min="4" max="4" width="10.5" style="149" bestFit="1" customWidth="1"/>
    <col min="5" max="13" width="9" style="149"/>
    <col min="14" max="14" width="9.5" style="149" bestFit="1" customWidth="1"/>
    <col min="15" max="16" width="9" style="149"/>
    <col min="17" max="17" width="9" style="158"/>
    <col min="18" max="19" width="9" style="149"/>
    <col min="20" max="20" width="9" style="158"/>
    <col min="21" max="21" width="9" style="149"/>
    <col min="22" max="22" width="9" style="158"/>
    <col min="23" max="27" width="9" style="149"/>
    <col min="28" max="28" width="9" style="157"/>
    <col min="29" max="32" width="9" style="149"/>
    <col min="33" max="33" width="15.875" style="149" bestFit="1" customWidth="1"/>
    <col min="34" max="34" width="11.375" style="149" bestFit="1" customWidth="1"/>
    <col min="35" max="259" width="9" style="149"/>
    <col min="260" max="260" width="10.5" style="149" bestFit="1" customWidth="1"/>
    <col min="261" max="269" width="9" style="149"/>
    <col min="270" max="270" width="9.5" style="149" bestFit="1" customWidth="1"/>
    <col min="271" max="288" width="9" style="149"/>
    <col min="289" max="289" width="15.875" style="149" bestFit="1" customWidth="1"/>
    <col min="290" max="290" width="11.375" style="149" bestFit="1" customWidth="1"/>
    <col min="291" max="515" width="9" style="149"/>
    <col min="516" max="516" width="10.5" style="149" bestFit="1" customWidth="1"/>
    <col min="517" max="525" width="9" style="149"/>
    <col min="526" max="526" width="9.5" style="149" bestFit="1" customWidth="1"/>
    <col min="527" max="544" width="9" style="149"/>
    <col min="545" max="545" width="15.875" style="149" bestFit="1" customWidth="1"/>
    <col min="546" max="546" width="11.375" style="149" bestFit="1" customWidth="1"/>
    <col min="547" max="771" width="9" style="149"/>
    <col min="772" max="772" width="10.5" style="149" bestFit="1" customWidth="1"/>
    <col min="773" max="781" width="9" style="149"/>
    <col min="782" max="782" width="9.5" style="149" bestFit="1" customWidth="1"/>
    <col min="783" max="800" width="9" style="149"/>
    <col min="801" max="801" width="15.875" style="149" bestFit="1" customWidth="1"/>
    <col min="802" max="802" width="11.375" style="149" bestFit="1" customWidth="1"/>
    <col min="803" max="1027" width="9" style="149"/>
    <col min="1028" max="1028" width="10.5" style="149" bestFit="1" customWidth="1"/>
    <col min="1029" max="1037" width="9" style="149"/>
    <col min="1038" max="1038" width="9.5" style="149" bestFit="1" customWidth="1"/>
    <col min="1039" max="1056" width="9" style="149"/>
    <col min="1057" max="1057" width="15.875" style="149" bestFit="1" customWidth="1"/>
    <col min="1058" max="1058" width="11.375" style="149" bestFit="1" customWidth="1"/>
    <col min="1059" max="1283" width="9" style="149"/>
    <col min="1284" max="1284" width="10.5" style="149" bestFit="1" customWidth="1"/>
    <col min="1285" max="1293" width="9" style="149"/>
    <col min="1294" max="1294" width="9.5" style="149" bestFit="1" customWidth="1"/>
    <col min="1295" max="1312" width="9" style="149"/>
    <col min="1313" max="1313" width="15.875" style="149" bestFit="1" customWidth="1"/>
    <col min="1314" max="1314" width="11.375" style="149" bestFit="1" customWidth="1"/>
    <col min="1315" max="1539" width="9" style="149"/>
    <col min="1540" max="1540" width="10.5" style="149" bestFit="1" customWidth="1"/>
    <col min="1541" max="1549" width="9" style="149"/>
    <col min="1550" max="1550" width="9.5" style="149" bestFit="1" customWidth="1"/>
    <col min="1551" max="1568" width="9" style="149"/>
    <col min="1569" max="1569" width="15.875" style="149" bestFit="1" customWidth="1"/>
    <col min="1570" max="1570" width="11.375" style="149" bestFit="1" customWidth="1"/>
    <col min="1571" max="1795" width="9" style="149"/>
    <col min="1796" max="1796" width="10.5" style="149" bestFit="1" customWidth="1"/>
    <col min="1797" max="1805" width="9" style="149"/>
    <col min="1806" max="1806" width="9.5" style="149" bestFit="1" customWidth="1"/>
    <col min="1807" max="1824" width="9" style="149"/>
    <col min="1825" max="1825" width="15.875" style="149" bestFit="1" customWidth="1"/>
    <col min="1826" max="1826" width="11.375" style="149" bestFit="1" customWidth="1"/>
    <col min="1827" max="2051" width="9" style="149"/>
    <col min="2052" max="2052" width="10.5" style="149" bestFit="1" customWidth="1"/>
    <col min="2053" max="2061" width="9" style="149"/>
    <col min="2062" max="2062" width="9.5" style="149" bestFit="1" customWidth="1"/>
    <col min="2063" max="2080" width="9" style="149"/>
    <col min="2081" max="2081" width="15.875" style="149" bestFit="1" customWidth="1"/>
    <col min="2082" max="2082" width="11.375" style="149" bestFit="1" customWidth="1"/>
    <col min="2083" max="2307" width="9" style="149"/>
    <col min="2308" max="2308" width="10.5" style="149" bestFit="1" customWidth="1"/>
    <col min="2309" max="2317" width="9" style="149"/>
    <col min="2318" max="2318" width="9.5" style="149" bestFit="1" customWidth="1"/>
    <col min="2319" max="2336" width="9" style="149"/>
    <col min="2337" max="2337" width="15.875" style="149" bestFit="1" customWidth="1"/>
    <col min="2338" max="2338" width="11.375" style="149" bestFit="1" customWidth="1"/>
    <col min="2339" max="2563" width="9" style="149"/>
    <col min="2564" max="2564" width="10.5" style="149" bestFit="1" customWidth="1"/>
    <col min="2565" max="2573" width="9" style="149"/>
    <col min="2574" max="2574" width="9.5" style="149" bestFit="1" customWidth="1"/>
    <col min="2575" max="2592" width="9" style="149"/>
    <col min="2593" max="2593" width="15.875" style="149" bestFit="1" customWidth="1"/>
    <col min="2594" max="2594" width="11.375" style="149" bestFit="1" customWidth="1"/>
    <col min="2595" max="2819" width="9" style="149"/>
    <col min="2820" max="2820" width="10.5" style="149" bestFit="1" customWidth="1"/>
    <col min="2821" max="2829" width="9" style="149"/>
    <col min="2830" max="2830" width="9.5" style="149" bestFit="1" customWidth="1"/>
    <col min="2831" max="2848" width="9" style="149"/>
    <col min="2849" max="2849" width="15.875" style="149" bestFit="1" customWidth="1"/>
    <col min="2850" max="2850" width="11.375" style="149" bestFit="1" customWidth="1"/>
    <col min="2851" max="3075" width="9" style="149"/>
    <col min="3076" max="3076" width="10.5" style="149" bestFit="1" customWidth="1"/>
    <col min="3077" max="3085" width="9" style="149"/>
    <col min="3086" max="3086" width="9.5" style="149" bestFit="1" customWidth="1"/>
    <col min="3087" max="3104" width="9" style="149"/>
    <col min="3105" max="3105" width="15.875" style="149" bestFit="1" customWidth="1"/>
    <col min="3106" max="3106" width="11.375" style="149" bestFit="1" customWidth="1"/>
    <col min="3107" max="3331" width="9" style="149"/>
    <col min="3332" max="3332" width="10.5" style="149" bestFit="1" customWidth="1"/>
    <col min="3333" max="3341" width="9" style="149"/>
    <col min="3342" max="3342" width="9.5" style="149" bestFit="1" customWidth="1"/>
    <col min="3343" max="3360" width="9" style="149"/>
    <col min="3361" max="3361" width="15.875" style="149" bestFit="1" customWidth="1"/>
    <col min="3362" max="3362" width="11.375" style="149" bestFit="1" customWidth="1"/>
    <col min="3363" max="3587" width="9" style="149"/>
    <col min="3588" max="3588" width="10.5" style="149" bestFit="1" customWidth="1"/>
    <col min="3589" max="3597" width="9" style="149"/>
    <col min="3598" max="3598" width="9.5" style="149" bestFit="1" customWidth="1"/>
    <col min="3599" max="3616" width="9" style="149"/>
    <col min="3617" max="3617" width="15.875" style="149" bestFit="1" customWidth="1"/>
    <col min="3618" max="3618" width="11.375" style="149" bestFit="1" customWidth="1"/>
    <col min="3619" max="3843" width="9" style="149"/>
    <col min="3844" max="3844" width="10.5" style="149" bestFit="1" customWidth="1"/>
    <col min="3845" max="3853" width="9" style="149"/>
    <col min="3854" max="3854" width="9.5" style="149" bestFit="1" customWidth="1"/>
    <col min="3855" max="3872" width="9" style="149"/>
    <col min="3873" max="3873" width="15.875" style="149" bestFit="1" customWidth="1"/>
    <col min="3874" max="3874" width="11.375" style="149" bestFit="1" customWidth="1"/>
    <col min="3875" max="4099" width="9" style="149"/>
    <col min="4100" max="4100" width="10.5" style="149" bestFit="1" customWidth="1"/>
    <col min="4101" max="4109" width="9" style="149"/>
    <col min="4110" max="4110" width="9.5" style="149" bestFit="1" customWidth="1"/>
    <col min="4111" max="4128" width="9" style="149"/>
    <col min="4129" max="4129" width="15.875" style="149" bestFit="1" customWidth="1"/>
    <col min="4130" max="4130" width="11.375" style="149" bestFit="1" customWidth="1"/>
    <col min="4131" max="4355" width="9" style="149"/>
    <col min="4356" max="4356" width="10.5" style="149" bestFit="1" customWidth="1"/>
    <col min="4357" max="4365" width="9" style="149"/>
    <col min="4366" max="4366" width="9.5" style="149" bestFit="1" customWidth="1"/>
    <col min="4367" max="4384" width="9" style="149"/>
    <col min="4385" max="4385" width="15.875" style="149" bestFit="1" customWidth="1"/>
    <col min="4386" max="4386" width="11.375" style="149" bestFit="1" customWidth="1"/>
    <col min="4387" max="4611" width="9" style="149"/>
    <col min="4612" max="4612" width="10.5" style="149" bestFit="1" customWidth="1"/>
    <col min="4613" max="4621" width="9" style="149"/>
    <col min="4622" max="4622" width="9.5" style="149" bestFit="1" customWidth="1"/>
    <col min="4623" max="4640" width="9" style="149"/>
    <col min="4641" max="4641" width="15.875" style="149" bestFit="1" customWidth="1"/>
    <col min="4642" max="4642" width="11.375" style="149" bestFit="1" customWidth="1"/>
    <col min="4643" max="4867" width="9" style="149"/>
    <col min="4868" max="4868" width="10.5" style="149" bestFit="1" customWidth="1"/>
    <col min="4869" max="4877" width="9" style="149"/>
    <col min="4878" max="4878" width="9.5" style="149" bestFit="1" customWidth="1"/>
    <col min="4879" max="4896" width="9" style="149"/>
    <col min="4897" max="4897" width="15.875" style="149" bestFit="1" customWidth="1"/>
    <col min="4898" max="4898" width="11.375" style="149" bestFit="1" customWidth="1"/>
    <col min="4899" max="5123" width="9" style="149"/>
    <col min="5124" max="5124" width="10.5" style="149" bestFit="1" customWidth="1"/>
    <col min="5125" max="5133" width="9" style="149"/>
    <col min="5134" max="5134" width="9.5" style="149" bestFit="1" customWidth="1"/>
    <col min="5135" max="5152" width="9" style="149"/>
    <col min="5153" max="5153" width="15.875" style="149" bestFit="1" customWidth="1"/>
    <col min="5154" max="5154" width="11.375" style="149" bestFit="1" customWidth="1"/>
    <col min="5155" max="5379" width="9" style="149"/>
    <col min="5380" max="5380" width="10.5" style="149" bestFit="1" customWidth="1"/>
    <col min="5381" max="5389" width="9" style="149"/>
    <col min="5390" max="5390" width="9.5" style="149" bestFit="1" customWidth="1"/>
    <col min="5391" max="5408" width="9" style="149"/>
    <col min="5409" max="5409" width="15.875" style="149" bestFit="1" customWidth="1"/>
    <col min="5410" max="5410" width="11.375" style="149" bestFit="1" customWidth="1"/>
    <col min="5411" max="5635" width="9" style="149"/>
    <col min="5636" max="5636" width="10.5" style="149" bestFit="1" customWidth="1"/>
    <col min="5637" max="5645" width="9" style="149"/>
    <col min="5646" max="5646" width="9.5" style="149" bestFit="1" customWidth="1"/>
    <col min="5647" max="5664" width="9" style="149"/>
    <col min="5665" max="5665" width="15.875" style="149" bestFit="1" customWidth="1"/>
    <col min="5666" max="5666" width="11.375" style="149" bestFit="1" customWidth="1"/>
    <col min="5667" max="5891" width="9" style="149"/>
    <col min="5892" max="5892" width="10.5" style="149" bestFit="1" customWidth="1"/>
    <col min="5893" max="5901" width="9" style="149"/>
    <col min="5902" max="5902" width="9.5" style="149" bestFit="1" customWidth="1"/>
    <col min="5903" max="5920" width="9" style="149"/>
    <col min="5921" max="5921" width="15.875" style="149" bestFit="1" customWidth="1"/>
    <col min="5922" max="5922" width="11.375" style="149" bestFit="1" customWidth="1"/>
    <col min="5923" max="6147" width="9" style="149"/>
    <col min="6148" max="6148" width="10.5" style="149" bestFit="1" customWidth="1"/>
    <col min="6149" max="6157" width="9" style="149"/>
    <col min="6158" max="6158" width="9.5" style="149" bestFit="1" customWidth="1"/>
    <col min="6159" max="6176" width="9" style="149"/>
    <col min="6177" max="6177" width="15.875" style="149" bestFit="1" customWidth="1"/>
    <col min="6178" max="6178" width="11.375" style="149" bestFit="1" customWidth="1"/>
    <col min="6179" max="6403" width="9" style="149"/>
    <col min="6404" max="6404" width="10.5" style="149" bestFit="1" customWidth="1"/>
    <col min="6405" max="6413" width="9" style="149"/>
    <col min="6414" max="6414" width="9.5" style="149" bestFit="1" customWidth="1"/>
    <col min="6415" max="6432" width="9" style="149"/>
    <col min="6433" max="6433" width="15.875" style="149" bestFit="1" customWidth="1"/>
    <col min="6434" max="6434" width="11.375" style="149" bestFit="1" customWidth="1"/>
    <col min="6435" max="6659" width="9" style="149"/>
    <col min="6660" max="6660" width="10.5" style="149" bestFit="1" customWidth="1"/>
    <col min="6661" max="6669" width="9" style="149"/>
    <col min="6670" max="6670" width="9.5" style="149" bestFit="1" customWidth="1"/>
    <col min="6671" max="6688" width="9" style="149"/>
    <col min="6689" max="6689" width="15.875" style="149" bestFit="1" customWidth="1"/>
    <col min="6690" max="6690" width="11.375" style="149" bestFit="1" customWidth="1"/>
    <col min="6691" max="6915" width="9" style="149"/>
    <col min="6916" max="6916" width="10.5" style="149" bestFit="1" customWidth="1"/>
    <col min="6917" max="6925" width="9" style="149"/>
    <col min="6926" max="6926" width="9.5" style="149" bestFit="1" customWidth="1"/>
    <col min="6927" max="6944" width="9" style="149"/>
    <col min="6945" max="6945" width="15.875" style="149" bestFit="1" customWidth="1"/>
    <col min="6946" max="6946" width="11.375" style="149" bestFit="1" customWidth="1"/>
    <col min="6947" max="7171" width="9" style="149"/>
    <col min="7172" max="7172" width="10.5" style="149" bestFit="1" customWidth="1"/>
    <col min="7173" max="7181" width="9" style="149"/>
    <col min="7182" max="7182" width="9.5" style="149" bestFit="1" customWidth="1"/>
    <col min="7183" max="7200" width="9" style="149"/>
    <col min="7201" max="7201" width="15.875" style="149" bestFit="1" customWidth="1"/>
    <col min="7202" max="7202" width="11.375" style="149" bestFit="1" customWidth="1"/>
    <col min="7203" max="7427" width="9" style="149"/>
    <col min="7428" max="7428" width="10.5" style="149" bestFit="1" customWidth="1"/>
    <col min="7429" max="7437" width="9" style="149"/>
    <col min="7438" max="7438" width="9.5" style="149" bestFit="1" customWidth="1"/>
    <col min="7439" max="7456" width="9" style="149"/>
    <col min="7457" max="7457" width="15.875" style="149" bestFit="1" customWidth="1"/>
    <col min="7458" max="7458" width="11.375" style="149" bestFit="1" customWidth="1"/>
    <col min="7459" max="7683" width="9" style="149"/>
    <col min="7684" max="7684" width="10.5" style="149" bestFit="1" customWidth="1"/>
    <col min="7685" max="7693" width="9" style="149"/>
    <col min="7694" max="7694" width="9.5" style="149" bestFit="1" customWidth="1"/>
    <col min="7695" max="7712" width="9" style="149"/>
    <col min="7713" max="7713" width="15.875" style="149" bestFit="1" customWidth="1"/>
    <col min="7714" max="7714" width="11.375" style="149" bestFit="1" customWidth="1"/>
    <col min="7715" max="7939" width="9" style="149"/>
    <col min="7940" max="7940" width="10.5" style="149" bestFit="1" customWidth="1"/>
    <col min="7941" max="7949" width="9" style="149"/>
    <col min="7950" max="7950" width="9.5" style="149" bestFit="1" customWidth="1"/>
    <col min="7951" max="7968" width="9" style="149"/>
    <col min="7969" max="7969" width="15.875" style="149" bestFit="1" customWidth="1"/>
    <col min="7970" max="7970" width="11.375" style="149" bestFit="1" customWidth="1"/>
    <col min="7971" max="8195" width="9" style="149"/>
    <col min="8196" max="8196" width="10.5" style="149" bestFit="1" customWidth="1"/>
    <col min="8197" max="8205" width="9" style="149"/>
    <col min="8206" max="8206" width="9.5" style="149" bestFit="1" customWidth="1"/>
    <col min="8207" max="8224" width="9" style="149"/>
    <col min="8225" max="8225" width="15.875" style="149" bestFit="1" customWidth="1"/>
    <col min="8226" max="8226" width="11.375" style="149" bestFit="1" customWidth="1"/>
    <col min="8227" max="8451" width="9" style="149"/>
    <col min="8452" max="8452" width="10.5" style="149" bestFit="1" customWidth="1"/>
    <col min="8453" max="8461" width="9" style="149"/>
    <col min="8462" max="8462" width="9.5" style="149" bestFit="1" customWidth="1"/>
    <col min="8463" max="8480" width="9" style="149"/>
    <col min="8481" max="8481" width="15.875" style="149" bestFit="1" customWidth="1"/>
    <col min="8482" max="8482" width="11.375" style="149" bestFit="1" customWidth="1"/>
    <col min="8483" max="8707" width="9" style="149"/>
    <col min="8708" max="8708" width="10.5" style="149" bestFit="1" customWidth="1"/>
    <col min="8709" max="8717" width="9" style="149"/>
    <col min="8718" max="8718" width="9.5" style="149" bestFit="1" customWidth="1"/>
    <col min="8719" max="8736" width="9" style="149"/>
    <col min="8737" max="8737" width="15.875" style="149" bestFit="1" customWidth="1"/>
    <col min="8738" max="8738" width="11.375" style="149" bestFit="1" customWidth="1"/>
    <col min="8739" max="8963" width="9" style="149"/>
    <col min="8964" max="8964" width="10.5" style="149" bestFit="1" customWidth="1"/>
    <col min="8965" max="8973" width="9" style="149"/>
    <col min="8974" max="8974" width="9.5" style="149" bestFit="1" customWidth="1"/>
    <col min="8975" max="8992" width="9" style="149"/>
    <col min="8993" max="8993" width="15.875" style="149" bestFit="1" customWidth="1"/>
    <col min="8994" max="8994" width="11.375" style="149" bestFit="1" customWidth="1"/>
    <col min="8995" max="9219" width="9" style="149"/>
    <col min="9220" max="9220" width="10.5" style="149" bestFit="1" customWidth="1"/>
    <col min="9221" max="9229" width="9" style="149"/>
    <col min="9230" max="9230" width="9.5" style="149" bestFit="1" customWidth="1"/>
    <col min="9231" max="9248" width="9" style="149"/>
    <col min="9249" max="9249" width="15.875" style="149" bestFit="1" customWidth="1"/>
    <col min="9250" max="9250" width="11.375" style="149" bestFit="1" customWidth="1"/>
    <col min="9251" max="9475" width="9" style="149"/>
    <col min="9476" max="9476" width="10.5" style="149" bestFit="1" customWidth="1"/>
    <col min="9477" max="9485" width="9" style="149"/>
    <col min="9486" max="9486" width="9.5" style="149" bestFit="1" customWidth="1"/>
    <col min="9487" max="9504" width="9" style="149"/>
    <col min="9505" max="9505" width="15.875" style="149" bestFit="1" customWidth="1"/>
    <col min="9506" max="9506" width="11.375" style="149" bestFit="1" customWidth="1"/>
    <col min="9507" max="9731" width="9" style="149"/>
    <col min="9732" max="9732" width="10.5" style="149" bestFit="1" customWidth="1"/>
    <col min="9733" max="9741" width="9" style="149"/>
    <col min="9742" max="9742" width="9.5" style="149" bestFit="1" customWidth="1"/>
    <col min="9743" max="9760" width="9" style="149"/>
    <col min="9761" max="9761" width="15.875" style="149" bestFit="1" customWidth="1"/>
    <col min="9762" max="9762" width="11.375" style="149" bestFit="1" customWidth="1"/>
    <col min="9763" max="9987" width="9" style="149"/>
    <col min="9988" max="9988" width="10.5" style="149" bestFit="1" customWidth="1"/>
    <col min="9989" max="9997" width="9" style="149"/>
    <col min="9998" max="9998" width="9.5" style="149" bestFit="1" customWidth="1"/>
    <col min="9999" max="10016" width="9" style="149"/>
    <col min="10017" max="10017" width="15.875" style="149" bestFit="1" customWidth="1"/>
    <col min="10018" max="10018" width="11.375" style="149" bestFit="1" customWidth="1"/>
    <col min="10019" max="10243" width="9" style="149"/>
    <col min="10244" max="10244" width="10.5" style="149" bestFit="1" customWidth="1"/>
    <col min="10245" max="10253" width="9" style="149"/>
    <col min="10254" max="10254" width="9.5" style="149" bestFit="1" customWidth="1"/>
    <col min="10255" max="10272" width="9" style="149"/>
    <col min="10273" max="10273" width="15.875" style="149" bestFit="1" customWidth="1"/>
    <col min="10274" max="10274" width="11.375" style="149" bestFit="1" customWidth="1"/>
    <col min="10275" max="10499" width="9" style="149"/>
    <col min="10500" max="10500" width="10.5" style="149" bestFit="1" customWidth="1"/>
    <col min="10501" max="10509" width="9" style="149"/>
    <col min="10510" max="10510" width="9.5" style="149" bestFit="1" customWidth="1"/>
    <col min="10511" max="10528" width="9" style="149"/>
    <col min="10529" max="10529" width="15.875" style="149" bestFit="1" customWidth="1"/>
    <col min="10530" max="10530" width="11.375" style="149" bestFit="1" customWidth="1"/>
    <col min="10531" max="10755" width="9" style="149"/>
    <col min="10756" max="10756" width="10.5" style="149" bestFit="1" customWidth="1"/>
    <col min="10757" max="10765" width="9" style="149"/>
    <col min="10766" max="10766" width="9.5" style="149" bestFit="1" customWidth="1"/>
    <col min="10767" max="10784" width="9" style="149"/>
    <col min="10785" max="10785" width="15.875" style="149" bestFit="1" customWidth="1"/>
    <col min="10786" max="10786" width="11.375" style="149" bestFit="1" customWidth="1"/>
    <col min="10787" max="11011" width="9" style="149"/>
    <col min="11012" max="11012" width="10.5" style="149" bestFit="1" customWidth="1"/>
    <col min="11013" max="11021" width="9" style="149"/>
    <col min="11022" max="11022" width="9.5" style="149" bestFit="1" customWidth="1"/>
    <col min="11023" max="11040" width="9" style="149"/>
    <col min="11041" max="11041" width="15.875" style="149" bestFit="1" customWidth="1"/>
    <col min="11042" max="11042" width="11.375" style="149" bestFit="1" customWidth="1"/>
    <col min="11043" max="11267" width="9" style="149"/>
    <col min="11268" max="11268" width="10.5" style="149" bestFit="1" customWidth="1"/>
    <col min="11269" max="11277" width="9" style="149"/>
    <col min="11278" max="11278" width="9.5" style="149" bestFit="1" customWidth="1"/>
    <col min="11279" max="11296" width="9" style="149"/>
    <col min="11297" max="11297" width="15.875" style="149" bestFit="1" customWidth="1"/>
    <col min="11298" max="11298" width="11.375" style="149" bestFit="1" customWidth="1"/>
    <col min="11299" max="11523" width="9" style="149"/>
    <col min="11524" max="11524" width="10.5" style="149" bestFit="1" customWidth="1"/>
    <col min="11525" max="11533" width="9" style="149"/>
    <col min="11534" max="11534" width="9.5" style="149" bestFit="1" customWidth="1"/>
    <col min="11535" max="11552" width="9" style="149"/>
    <col min="11553" max="11553" width="15.875" style="149" bestFit="1" customWidth="1"/>
    <col min="11554" max="11554" width="11.375" style="149" bestFit="1" customWidth="1"/>
    <col min="11555" max="11779" width="9" style="149"/>
    <col min="11780" max="11780" width="10.5" style="149" bestFit="1" customWidth="1"/>
    <col min="11781" max="11789" width="9" style="149"/>
    <col min="11790" max="11790" width="9.5" style="149" bestFit="1" customWidth="1"/>
    <col min="11791" max="11808" width="9" style="149"/>
    <col min="11809" max="11809" width="15.875" style="149" bestFit="1" customWidth="1"/>
    <col min="11810" max="11810" width="11.375" style="149" bestFit="1" customWidth="1"/>
    <col min="11811" max="12035" width="9" style="149"/>
    <col min="12036" max="12036" width="10.5" style="149" bestFit="1" customWidth="1"/>
    <col min="12037" max="12045" width="9" style="149"/>
    <col min="12046" max="12046" width="9.5" style="149" bestFit="1" customWidth="1"/>
    <col min="12047" max="12064" width="9" style="149"/>
    <col min="12065" max="12065" width="15.875" style="149" bestFit="1" customWidth="1"/>
    <col min="12066" max="12066" width="11.375" style="149" bestFit="1" customWidth="1"/>
    <col min="12067" max="12291" width="9" style="149"/>
    <col min="12292" max="12292" width="10.5" style="149" bestFit="1" customWidth="1"/>
    <col min="12293" max="12301" width="9" style="149"/>
    <col min="12302" max="12302" width="9.5" style="149" bestFit="1" customWidth="1"/>
    <col min="12303" max="12320" width="9" style="149"/>
    <col min="12321" max="12321" width="15.875" style="149" bestFit="1" customWidth="1"/>
    <col min="12322" max="12322" width="11.375" style="149" bestFit="1" customWidth="1"/>
    <col min="12323" max="12547" width="9" style="149"/>
    <col min="12548" max="12548" width="10.5" style="149" bestFit="1" customWidth="1"/>
    <col min="12549" max="12557" width="9" style="149"/>
    <col min="12558" max="12558" width="9.5" style="149" bestFit="1" customWidth="1"/>
    <col min="12559" max="12576" width="9" style="149"/>
    <col min="12577" max="12577" width="15.875" style="149" bestFit="1" customWidth="1"/>
    <col min="12578" max="12578" width="11.375" style="149" bestFit="1" customWidth="1"/>
    <col min="12579" max="12803" width="9" style="149"/>
    <col min="12804" max="12804" width="10.5" style="149" bestFit="1" customWidth="1"/>
    <col min="12805" max="12813" width="9" style="149"/>
    <col min="12814" max="12814" width="9.5" style="149" bestFit="1" customWidth="1"/>
    <col min="12815" max="12832" width="9" style="149"/>
    <col min="12833" max="12833" width="15.875" style="149" bestFit="1" customWidth="1"/>
    <col min="12834" max="12834" width="11.375" style="149" bestFit="1" customWidth="1"/>
    <col min="12835" max="13059" width="9" style="149"/>
    <col min="13060" max="13060" width="10.5" style="149" bestFit="1" customWidth="1"/>
    <col min="13061" max="13069" width="9" style="149"/>
    <col min="13070" max="13070" width="9.5" style="149" bestFit="1" customWidth="1"/>
    <col min="13071" max="13088" width="9" style="149"/>
    <col min="13089" max="13089" width="15.875" style="149" bestFit="1" customWidth="1"/>
    <col min="13090" max="13090" width="11.375" style="149" bestFit="1" customWidth="1"/>
    <col min="13091" max="13315" width="9" style="149"/>
    <col min="13316" max="13316" width="10.5" style="149" bestFit="1" customWidth="1"/>
    <col min="13317" max="13325" width="9" style="149"/>
    <col min="13326" max="13326" width="9.5" style="149" bestFit="1" customWidth="1"/>
    <col min="13327" max="13344" width="9" style="149"/>
    <col min="13345" max="13345" width="15.875" style="149" bestFit="1" customWidth="1"/>
    <col min="13346" max="13346" width="11.375" style="149" bestFit="1" customWidth="1"/>
    <col min="13347" max="13571" width="9" style="149"/>
    <col min="13572" max="13572" width="10.5" style="149" bestFit="1" customWidth="1"/>
    <col min="13573" max="13581" width="9" style="149"/>
    <col min="13582" max="13582" width="9.5" style="149" bestFit="1" customWidth="1"/>
    <col min="13583" max="13600" width="9" style="149"/>
    <col min="13601" max="13601" width="15.875" style="149" bestFit="1" customWidth="1"/>
    <col min="13602" max="13602" width="11.375" style="149" bestFit="1" customWidth="1"/>
    <col min="13603" max="13827" width="9" style="149"/>
    <col min="13828" max="13828" width="10.5" style="149" bestFit="1" customWidth="1"/>
    <col min="13829" max="13837" width="9" style="149"/>
    <col min="13838" max="13838" width="9.5" style="149" bestFit="1" customWidth="1"/>
    <col min="13839" max="13856" width="9" style="149"/>
    <col min="13857" max="13857" width="15.875" style="149" bestFit="1" customWidth="1"/>
    <col min="13858" max="13858" width="11.375" style="149" bestFit="1" customWidth="1"/>
    <col min="13859" max="14083" width="9" style="149"/>
    <col min="14084" max="14084" width="10.5" style="149" bestFit="1" customWidth="1"/>
    <col min="14085" max="14093" width="9" style="149"/>
    <col min="14094" max="14094" width="9.5" style="149" bestFit="1" customWidth="1"/>
    <col min="14095" max="14112" width="9" style="149"/>
    <col min="14113" max="14113" width="15.875" style="149" bestFit="1" customWidth="1"/>
    <col min="14114" max="14114" width="11.375" style="149" bestFit="1" customWidth="1"/>
    <col min="14115" max="14339" width="9" style="149"/>
    <col min="14340" max="14340" width="10.5" style="149" bestFit="1" customWidth="1"/>
    <col min="14341" max="14349" width="9" style="149"/>
    <col min="14350" max="14350" width="9.5" style="149" bestFit="1" customWidth="1"/>
    <col min="14351" max="14368" width="9" style="149"/>
    <col min="14369" max="14369" width="15.875" style="149" bestFit="1" customWidth="1"/>
    <col min="14370" max="14370" width="11.375" style="149" bestFit="1" customWidth="1"/>
    <col min="14371" max="14595" width="9" style="149"/>
    <col min="14596" max="14596" width="10.5" style="149" bestFit="1" customWidth="1"/>
    <col min="14597" max="14605" width="9" style="149"/>
    <col min="14606" max="14606" width="9.5" style="149" bestFit="1" customWidth="1"/>
    <col min="14607" max="14624" width="9" style="149"/>
    <col min="14625" max="14625" width="15.875" style="149" bestFit="1" customWidth="1"/>
    <col min="14626" max="14626" width="11.375" style="149" bestFit="1" customWidth="1"/>
    <col min="14627" max="14851" width="9" style="149"/>
    <col min="14852" max="14852" width="10.5" style="149" bestFit="1" customWidth="1"/>
    <col min="14853" max="14861" width="9" style="149"/>
    <col min="14862" max="14862" width="9.5" style="149" bestFit="1" customWidth="1"/>
    <col min="14863" max="14880" width="9" style="149"/>
    <col min="14881" max="14881" width="15.875" style="149" bestFit="1" customWidth="1"/>
    <col min="14882" max="14882" width="11.375" style="149" bestFit="1" customWidth="1"/>
    <col min="14883" max="15107" width="9" style="149"/>
    <col min="15108" max="15108" width="10.5" style="149" bestFit="1" customWidth="1"/>
    <col min="15109" max="15117" width="9" style="149"/>
    <col min="15118" max="15118" width="9.5" style="149" bestFit="1" customWidth="1"/>
    <col min="15119" max="15136" width="9" style="149"/>
    <col min="15137" max="15137" width="15.875" style="149" bestFit="1" customWidth="1"/>
    <col min="15138" max="15138" width="11.375" style="149" bestFit="1" customWidth="1"/>
    <col min="15139" max="15363" width="9" style="149"/>
    <col min="15364" max="15364" width="10.5" style="149" bestFit="1" customWidth="1"/>
    <col min="15365" max="15373" width="9" style="149"/>
    <col min="15374" max="15374" width="9.5" style="149" bestFit="1" customWidth="1"/>
    <col min="15375" max="15392" width="9" style="149"/>
    <col min="15393" max="15393" width="15.875" style="149" bestFit="1" customWidth="1"/>
    <col min="15394" max="15394" width="11.375" style="149" bestFit="1" customWidth="1"/>
    <col min="15395" max="15619" width="9" style="149"/>
    <col min="15620" max="15620" width="10.5" style="149" bestFit="1" customWidth="1"/>
    <col min="15621" max="15629" width="9" style="149"/>
    <col min="15630" max="15630" width="9.5" style="149" bestFit="1" customWidth="1"/>
    <col min="15631" max="15648" width="9" style="149"/>
    <col min="15649" max="15649" width="15.875" style="149" bestFit="1" customWidth="1"/>
    <col min="15650" max="15650" width="11.375" style="149" bestFit="1" customWidth="1"/>
    <col min="15651" max="15875" width="9" style="149"/>
    <col min="15876" max="15876" width="10.5" style="149" bestFit="1" customWidth="1"/>
    <col min="15877" max="15885" width="9" style="149"/>
    <col min="15886" max="15886" width="9.5" style="149" bestFit="1" customWidth="1"/>
    <col min="15887" max="15904" width="9" style="149"/>
    <col min="15905" max="15905" width="15.875" style="149" bestFit="1" customWidth="1"/>
    <col min="15906" max="15906" width="11.375" style="149" bestFit="1" customWidth="1"/>
    <col min="15907" max="16131" width="9" style="149"/>
    <col min="16132" max="16132" width="10.5" style="149" bestFit="1" customWidth="1"/>
    <col min="16133" max="16141" width="9" style="149"/>
    <col min="16142" max="16142" width="9.5" style="149" bestFit="1" customWidth="1"/>
    <col min="16143" max="16160" width="9" style="149"/>
    <col min="16161" max="16161" width="15.875" style="149" bestFit="1" customWidth="1"/>
    <col min="16162" max="16162" width="11.375" style="149" bestFit="1" customWidth="1"/>
    <col min="16163" max="16384" width="9" style="149"/>
  </cols>
  <sheetData>
    <row r="1" spans="1:53" ht="45" x14ac:dyDescent="0.15">
      <c r="A1" s="83" t="s">
        <v>0</v>
      </c>
      <c r="B1" s="143" t="s">
        <v>1</v>
      </c>
      <c r="C1" s="143" t="s">
        <v>289</v>
      </c>
      <c r="D1" s="144" t="s">
        <v>3</v>
      </c>
      <c r="E1" s="84" t="s">
        <v>4</v>
      </c>
      <c r="F1" s="84" t="s">
        <v>5</v>
      </c>
      <c r="G1" s="84" t="s">
        <v>6</v>
      </c>
      <c r="H1" s="84" t="s">
        <v>7</v>
      </c>
      <c r="I1" s="84" t="s">
        <v>8</v>
      </c>
      <c r="J1" s="84" t="s">
        <v>9</v>
      </c>
      <c r="K1" s="84" t="s">
        <v>10</v>
      </c>
      <c r="L1" s="144" t="s">
        <v>159</v>
      </c>
      <c r="M1" s="144" t="s">
        <v>12</v>
      </c>
      <c r="N1" s="144" t="s">
        <v>13</v>
      </c>
      <c r="O1" s="144" t="s">
        <v>290</v>
      </c>
      <c r="P1" s="144" t="s">
        <v>15</v>
      </c>
      <c r="Q1" s="145" t="s">
        <v>16</v>
      </c>
      <c r="R1" s="144" t="s">
        <v>291</v>
      </c>
      <c r="S1" s="144" t="s">
        <v>160</v>
      </c>
      <c r="T1" s="145" t="s">
        <v>19</v>
      </c>
      <c r="U1" s="146" t="s">
        <v>108</v>
      </c>
      <c r="V1" s="147" t="s">
        <v>20</v>
      </c>
      <c r="W1" s="144" t="s">
        <v>21</v>
      </c>
      <c r="X1" s="84" t="s">
        <v>22</v>
      </c>
      <c r="Y1" s="84" t="s">
        <v>23</v>
      </c>
      <c r="Z1" s="84" t="s">
        <v>24</v>
      </c>
      <c r="AA1" s="85" t="s">
        <v>25</v>
      </c>
      <c r="AB1" s="148" t="s">
        <v>26</v>
      </c>
      <c r="AE1" s="150" t="s">
        <v>0</v>
      </c>
      <c r="AF1" s="151"/>
      <c r="AG1" s="150" t="s">
        <v>4</v>
      </c>
      <c r="AH1" s="150" t="s">
        <v>5</v>
      </c>
      <c r="AI1" s="151"/>
      <c r="AJ1" s="150" t="s">
        <v>6</v>
      </c>
      <c r="AK1" s="151"/>
      <c r="AL1" s="152" t="s">
        <v>7</v>
      </c>
      <c r="AM1" s="151"/>
      <c r="AN1" s="152" t="s">
        <v>8</v>
      </c>
      <c r="AO1" s="151"/>
      <c r="AP1" s="152" t="s">
        <v>27</v>
      </c>
      <c r="AQ1" s="151"/>
      <c r="AR1" s="152" t="s">
        <v>10</v>
      </c>
      <c r="AS1" s="151"/>
      <c r="AT1" s="153" t="s">
        <v>28</v>
      </c>
      <c r="AU1" s="151"/>
      <c r="AV1" s="152" t="s">
        <v>29</v>
      </c>
      <c r="AX1" s="154" t="s">
        <v>30</v>
      </c>
      <c r="AY1" s="155" t="s">
        <v>31</v>
      </c>
      <c r="AZ1" s="155" t="s">
        <v>32</v>
      </c>
      <c r="BA1" s="156" t="s">
        <v>161</v>
      </c>
    </row>
    <row r="2" spans="1:53" s="157" customFormat="1" x14ac:dyDescent="0.15">
      <c r="A2" s="55" t="s">
        <v>56</v>
      </c>
      <c r="B2" s="55" t="s">
        <v>314</v>
      </c>
      <c r="C2" s="157">
        <v>2018</v>
      </c>
      <c r="D2" s="86" t="s">
        <v>344</v>
      </c>
      <c r="E2" s="157" t="s">
        <v>345</v>
      </c>
      <c r="F2" s="157" t="s">
        <v>166</v>
      </c>
      <c r="G2" s="55" t="s">
        <v>42</v>
      </c>
      <c r="H2" s="157" t="s">
        <v>157</v>
      </c>
      <c r="I2" s="55" t="s">
        <v>155</v>
      </c>
      <c r="J2" s="157" t="s">
        <v>38</v>
      </c>
      <c r="K2" s="157" t="s">
        <v>156</v>
      </c>
      <c r="L2" s="157">
        <v>1</v>
      </c>
      <c r="N2" s="149">
        <v>1</v>
      </c>
      <c r="O2" s="157">
        <v>0.7</v>
      </c>
      <c r="P2" s="149">
        <v>0.75</v>
      </c>
      <c r="Q2" s="186">
        <f>IF(OR(O2="",P2=""),"",AVERAGE(O2,P2))</f>
        <v>0.72499999999999998</v>
      </c>
      <c r="R2" s="157">
        <v>14.5</v>
      </c>
      <c r="S2" s="157">
        <v>138</v>
      </c>
      <c r="T2" s="158">
        <f>IF(H2="","",IF(OR(H2="GREEN",H2="GK"),IF(S2&gt;=$AX$2,VLOOKUP(S2,$AX$2:$AY$10,2,1),""),IF(S2&gt;=$AZ$2,VLOOKUP(S2,$AZ$2:$BA$10,2,1),"")))</f>
        <v>22</v>
      </c>
      <c r="U2" s="157">
        <v>138</v>
      </c>
      <c r="V2" s="158">
        <f>IF(OR(N2="",U2="",T2=""),"",U2/N2*T2)</f>
        <v>3036</v>
      </c>
      <c r="W2" s="157">
        <v>4</v>
      </c>
      <c r="X2" s="55" t="s">
        <v>46</v>
      </c>
      <c r="Y2" s="55" t="s">
        <v>55</v>
      </c>
      <c r="Z2" s="157" t="s">
        <v>90</v>
      </c>
      <c r="AA2" s="55" t="s">
        <v>47</v>
      </c>
      <c r="AB2" s="39" t="s">
        <v>316</v>
      </c>
      <c r="AE2" s="159" t="s">
        <v>35</v>
      </c>
      <c r="AG2" s="172" t="s">
        <v>167</v>
      </c>
      <c r="AH2" s="87" t="s">
        <v>166</v>
      </c>
      <c r="AJ2" s="160" t="s">
        <v>36</v>
      </c>
      <c r="AL2" s="160" t="s">
        <v>127</v>
      </c>
      <c r="AN2" s="160" t="s">
        <v>37</v>
      </c>
      <c r="AP2" s="160" t="s">
        <v>38</v>
      </c>
      <c r="AR2" s="160" t="s">
        <v>120</v>
      </c>
      <c r="AT2" s="160" t="s">
        <v>39</v>
      </c>
      <c r="AV2" s="160" t="s">
        <v>40</v>
      </c>
      <c r="AX2" s="161">
        <v>1</v>
      </c>
      <c r="AY2" s="162">
        <v>50</v>
      </c>
      <c r="AZ2" s="162">
        <v>1</v>
      </c>
      <c r="BA2" s="163">
        <v>50</v>
      </c>
    </row>
    <row r="3" spans="1:53" x14ac:dyDescent="0.15">
      <c r="A3" s="55" t="s">
        <v>56</v>
      </c>
      <c r="B3" s="55" t="s">
        <v>314</v>
      </c>
      <c r="C3" s="157">
        <v>2018</v>
      </c>
      <c r="D3" s="86" t="s">
        <v>344</v>
      </c>
      <c r="E3" s="157" t="s">
        <v>345</v>
      </c>
      <c r="F3" s="157" t="s">
        <v>166</v>
      </c>
      <c r="G3" s="55" t="s">
        <v>42</v>
      </c>
      <c r="H3" s="157" t="s">
        <v>157</v>
      </c>
      <c r="I3" s="55" t="s">
        <v>155</v>
      </c>
      <c r="J3" s="157" t="s">
        <v>38</v>
      </c>
      <c r="K3" s="157" t="s">
        <v>156</v>
      </c>
      <c r="L3" s="149">
        <v>2</v>
      </c>
      <c r="N3" s="149">
        <v>1</v>
      </c>
      <c r="O3" s="149">
        <v>0.8</v>
      </c>
      <c r="P3" s="149">
        <v>0.8</v>
      </c>
      <c r="Q3" s="186">
        <f>IF(OR(O3="",P3=""),"",AVERAGE(O3,P3))</f>
        <v>0.8</v>
      </c>
      <c r="R3" s="149">
        <v>15.1</v>
      </c>
      <c r="S3" s="149">
        <v>136</v>
      </c>
      <c r="T3" s="158">
        <f>IF(H3="","",IF(OR(H3="GREEN",H3="GK"),IF(S3&gt;=$AX$2,VLOOKUP(S3,$AX$2:$AY$10,2,1),""),IF(S3&gt;=$AZ$2,VLOOKUP(S3,$AZ$2:$BA$10,2,1),"")))</f>
        <v>25</v>
      </c>
      <c r="U3" s="149">
        <v>138</v>
      </c>
      <c r="V3" s="158">
        <f>IF(OR(N3="",U3="",T3=""),"",U3/N3*T3)</f>
        <v>3450</v>
      </c>
      <c r="W3" s="149">
        <v>4</v>
      </c>
      <c r="X3" s="55" t="s">
        <v>46</v>
      </c>
      <c r="Y3" s="55" t="s">
        <v>55</v>
      </c>
      <c r="Z3" s="157" t="s">
        <v>90</v>
      </c>
      <c r="AA3" s="55" t="s">
        <v>47</v>
      </c>
      <c r="AB3" s="39" t="s">
        <v>316</v>
      </c>
      <c r="AE3" s="164" t="s">
        <v>41</v>
      </c>
      <c r="AG3" s="172" t="s">
        <v>167</v>
      </c>
      <c r="AH3" s="87" t="s">
        <v>168</v>
      </c>
      <c r="AJ3" s="165" t="s">
        <v>42</v>
      </c>
      <c r="AL3" s="165" t="s">
        <v>128</v>
      </c>
      <c r="AN3" s="165" t="s">
        <v>43</v>
      </c>
      <c r="AP3" s="165" t="s">
        <v>44</v>
      </c>
      <c r="AR3" s="179" t="s">
        <v>45</v>
      </c>
      <c r="AT3" s="165" t="s">
        <v>46</v>
      </c>
      <c r="AV3" s="165" t="s">
        <v>47</v>
      </c>
      <c r="AX3" s="166">
        <v>72</v>
      </c>
      <c r="AY3" s="167">
        <v>46</v>
      </c>
      <c r="AZ3" s="167">
        <v>71</v>
      </c>
      <c r="BA3" s="168">
        <v>42</v>
      </c>
    </row>
    <row r="4" spans="1:53" x14ac:dyDescent="0.15">
      <c r="A4" s="55" t="s">
        <v>56</v>
      </c>
      <c r="B4" s="55" t="s">
        <v>314</v>
      </c>
      <c r="C4" s="157">
        <v>2018</v>
      </c>
      <c r="D4" s="86" t="s">
        <v>344</v>
      </c>
      <c r="E4" s="157" t="s">
        <v>345</v>
      </c>
      <c r="F4" s="157" t="s">
        <v>166</v>
      </c>
      <c r="G4" s="55" t="s">
        <v>42</v>
      </c>
      <c r="H4" s="157" t="s">
        <v>157</v>
      </c>
      <c r="I4" s="55" t="s">
        <v>155</v>
      </c>
      <c r="J4" s="157" t="s">
        <v>38</v>
      </c>
      <c r="K4" s="157" t="s">
        <v>156</v>
      </c>
      <c r="L4" s="149">
        <v>3</v>
      </c>
      <c r="N4" s="149">
        <v>1</v>
      </c>
      <c r="O4" s="149">
        <v>0.75</v>
      </c>
      <c r="P4" s="149">
        <v>0.7</v>
      </c>
      <c r="Q4" s="186">
        <f>IF(OR(O4="",P4=""),"",AVERAGE(O4,P4))</f>
        <v>0.72499999999999998</v>
      </c>
      <c r="R4" s="149">
        <v>14.5</v>
      </c>
      <c r="S4" s="149">
        <v>142</v>
      </c>
      <c r="T4" s="158">
        <f>IF(H4="","",IF(OR(H4="GREEN",H4="GK"),IF(S4&gt;=$AX$2,VLOOKUP(S4,$AX$2:$AY$10,2,1),""),IF(S4&gt;=$AZ$2,VLOOKUP(S4,$AZ$2:$BA$10,2,1),"")))</f>
        <v>22</v>
      </c>
      <c r="U4" s="149">
        <v>138</v>
      </c>
      <c r="V4" s="158">
        <f>IF(OR(N4="",U4="",T4=""),"",U4/N4*T4)</f>
        <v>3036</v>
      </c>
      <c r="W4" s="149">
        <v>4</v>
      </c>
      <c r="X4" s="55" t="s">
        <v>46</v>
      </c>
      <c r="Y4" s="55" t="s">
        <v>55</v>
      </c>
      <c r="Z4" s="157" t="s">
        <v>90</v>
      </c>
      <c r="AA4" s="55" t="s">
        <v>47</v>
      </c>
      <c r="AB4" s="39" t="s">
        <v>316</v>
      </c>
      <c r="AE4" s="164" t="s">
        <v>34</v>
      </c>
      <c r="AG4" s="172" t="s">
        <v>346</v>
      </c>
      <c r="AH4" s="87" t="s">
        <v>169</v>
      </c>
      <c r="AJ4" s="169" t="s">
        <v>48</v>
      </c>
      <c r="AL4" s="169" t="s">
        <v>170</v>
      </c>
      <c r="AN4" s="170" t="s">
        <v>49</v>
      </c>
      <c r="AP4" s="165" t="s">
        <v>93</v>
      </c>
      <c r="AR4" s="179" t="s">
        <v>299</v>
      </c>
      <c r="AT4" s="170"/>
      <c r="AV4" s="165" t="s">
        <v>50</v>
      </c>
      <c r="AX4" s="166">
        <v>75</v>
      </c>
      <c r="AY4" s="167">
        <v>42</v>
      </c>
      <c r="AZ4" s="167">
        <v>76</v>
      </c>
      <c r="BA4" s="168">
        <v>39</v>
      </c>
    </row>
    <row r="5" spans="1:53" x14ac:dyDescent="0.15">
      <c r="A5" s="55" t="s">
        <v>56</v>
      </c>
      <c r="B5" s="55" t="s">
        <v>314</v>
      </c>
      <c r="C5" s="157">
        <v>2018</v>
      </c>
      <c r="D5" s="86" t="s">
        <v>344</v>
      </c>
      <c r="E5" s="157" t="s">
        <v>345</v>
      </c>
      <c r="F5" s="157" t="s">
        <v>166</v>
      </c>
      <c r="G5" s="55" t="s">
        <v>42</v>
      </c>
      <c r="H5" s="157" t="s">
        <v>211</v>
      </c>
      <c r="I5" s="55" t="s">
        <v>155</v>
      </c>
      <c r="J5" s="157" t="s">
        <v>38</v>
      </c>
      <c r="K5" s="157" t="s">
        <v>156</v>
      </c>
      <c r="L5" s="149">
        <v>1</v>
      </c>
      <c r="N5" s="149">
        <v>6</v>
      </c>
      <c r="O5" s="149">
        <v>0.5</v>
      </c>
      <c r="P5" s="149">
        <v>0.5</v>
      </c>
      <c r="Q5" s="186">
        <f t="shared" ref="Q5:Q68" si="0">IF(OR(O5="",P5=""),"",AVERAGE(O5,P5))</f>
        <v>0.5</v>
      </c>
      <c r="R5" s="149">
        <v>15.9</v>
      </c>
      <c r="S5" s="149">
        <v>88</v>
      </c>
      <c r="T5" s="158">
        <f t="shared" ref="T5:T68" si="1">IF(H5="","",IF(OR(H5="GREEN",H5="GK"),IF(S5&gt;=$AX$2,VLOOKUP(S5,$AX$2:$AY$10,2,1),""),IF(S5&gt;=$AZ$2,VLOOKUP(S5,$AZ$2:$BA$10,2,1),"")))</f>
        <v>36</v>
      </c>
      <c r="U5" s="149">
        <v>430</v>
      </c>
      <c r="V5" s="158">
        <f t="shared" ref="V5:V68" si="2">IF(OR(N5="",U5="",T5=""),"",U5/N5*T5)</f>
        <v>2580</v>
      </c>
      <c r="W5" s="149">
        <v>2</v>
      </c>
      <c r="X5" s="55" t="s">
        <v>46</v>
      </c>
      <c r="Y5" s="55" t="s">
        <v>55</v>
      </c>
      <c r="Z5" s="157" t="s">
        <v>90</v>
      </c>
      <c r="AA5" s="55" t="s">
        <v>47</v>
      </c>
      <c r="AB5" s="39" t="s">
        <v>316</v>
      </c>
      <c r="AE5" s="164" t="s">
        <v>51</v>
      </c>
      <c r="AG5" s="172" t="s">
        <v>347</v>
      </c>
      <c r="AH5" s="87" t="s">
        <v>172</v>
      </c>
      <c r="AJ5" s="170"/>
      <c r="AL5" s="171" t="s">
        <v>171</v>
      </c>
      <c r="AN5" s="171" t="s">
        <v>52</v>
      </c>
      <c r="AP5" s="165" t="s">
        <v>244</v>
      </c>
      <c r="AR5" s="179" t="s">
        <v>54</v>
      </c>
      <c r="AV5" s="165" t="s">
        <v>55</v>
      </c>
      <c r="AX5" s="166">
        <v>84</v>
      </c>
      <c r="AY5" s="167">
        <v>39</v>
      </c>
      <c r="AZ5" s="167">
        <v>84</v>
      </c>
      <c r="BA5" s="168">
        <v>36</v>
      </c>
    </row>
    <row r="6" spans="1:53" x14ac:dyDescent="0.15">
      <c r="A6" s="55" t="s">
        <v>56</v>
      </c>
      <c r="B6" s="55" t="s">
        <v>314</v>
      </c>
      <c r="C6" s="157">
        <v>2018</v>
      </c>
      <c r="D6" s="86" t="s">
        <v>344</v>
      </c>
      <c r="E6" s="157" t="s">
        <v>345</v>
      </c>
      <c r="F6" s="157" t="s">
        <v>166</v>
      </c>
      <c r="G6" s="55" t="s">
        <v>42</v>
      </c>
      <c r="H6" s="157" t="s">
        <v>211</v>
      </c>
      <c r="I6" s="55" t="s">
        <v>155</v>
      </c>
      <c r="J6" s="157" t="s">
        <v>38</v>
      </c>
      <c r="K6" s="157" t="s">
        <v>156</v>
      </c>
      <c r="L6" s="149">
        <v>2</v>
      </c>
      <c r="N6" s="149">
        <v>6</v>
      </c>
      <c r="O6" s="149">
        <v>0.8</v>
      </c>
      <c r="P6" s="149">
        <v>0.7</v>
      </c>
      <c r="Q6" s="186">
        <f t="shared" si="0"/>
        <v>0.75</v>
      </c>
      <c r="R6" s="149">
        <v>11.6</v>
      </c>
      <c r="S6" s="149">
        <v>87</v>
      </c>
      <c r="T6" s="158">
        <f t="shared" si="1"/>
        <v>36</v>
      </c>
      <c r="U6" s="149">
        <v>430</v>
      </c>
      <c r="V6" s="158">
        <f t="shared" si="2"/>
        <v>2580</v>
      </c>
      <c r="W6" s="149">
        <v>2</v>
      </c>
      <c r="X6" s="55" t="s">
        <v>46</v>
      </c>
      <c r="Y6" s="55" t="s">
        <v>55</v>
      </c>
      <c r="Z6" s="157" t="s">
        <v>90</v>
      </c>
      <c r="AA6" s="55" t="s">
        <v>47</v>
      </c>
      <c r="AB6" s="39" t="s">
        <v>316</v>
      </c>
      <c r="AE6" s="164" t="s">
        <v>56</v>
      </c>
      <c r="AG6" s="172" t="s">
        <v>348</v>
      </c>
      <c r="AH6" s="87" t="s">
        <v>172</v>
      </c>
      <c r="AL6" s="171" t="s">
        <v>304</v>
      </c>
      <c r="AN6" s="171" t="s">
        <v>57</v>
      </c>
      <c r="AP6" s="165" t="s">
        <v>53</v>
      </c>
      <c r="AR6" s="179" t="s">
        <v>59</v>
      </c>
      <c r="AV6" s="165" t="s">
        <v>60</v>
      </c>
      <c r="AX6" s="166">
        <v>97</v>
      </c>
      <c r="AY6" s="167">
        <v>36</v>
      </c>
      <c r="AZ6" s="167">
        <v>99</v>
      </c>
      <c r="BA6" s="168">
        <v>33</v>
      </c>
    </row>
    <row r="7" spans="1:53" x14ac:dyDescent="0.15">
      <c r="A7" s="55" t="s">
        <v>56</v>
      </c>
      <c r="B7" s="55" t="s">
        <v>314</v>
      </c>
      <c r="C7" s="157">
        <v>2018</v>
      </c>
      <c r="D7" s="86" t="s">
        <v>344</v>
      </c>
      <c r="E7" s="157" t="s">
        <v>345</v>
      </c>
      <c r="F7" s="157" t="s">
        <v>166</v>
      </c>
      <c r="G7" s="55" t="s">
        <v>42</v>
      </c>
      <c r="H7" s="157" t="s">
        <v>211</v>
      </c>
      <c r="I7" s="55" t="s">
        <v>155</v>
      </c>
      <c r="J7" s="157" t="s">
        <v>38</v>
      </c>
      <c r="K7" s="157" t="s">
        <v>156</v>
      </c>
      <c r="L7" s="149">
        <v>3</v>
      </c>
      <c r="N7" s="149">
        <v>6</v>
      </c>
      <c r="O7" s="149">
        <v>0.8</v>
      </c>
      <c r="P7" s="149">
        <v>0.8</v>
      </c>
      <c r="Q7" s="186">
        <f t="shared" si="0"/>
        <v>0.8</v>
      </c>
      <c r="R7" s="149">
        <v>16.399999999999999</v>
      </c>
      <c r="S7" s="149">
        <v>91</v>
      </c>
      <c r="T7" s="158">
        <f t="shared" si="1"/>
        <v>36</v>
      </c>
      <c r="U7" s="149">
        <v>430</v>
      </c>
      <c r="V7" s="158">
        <f t="shared" si="2"/>
        <v>2580</v>
      </c>
      <c r="W7" s="149">
        <v>2</v>
      </c>
      <c r="X7" s="55" t="s">
        <v>46</v>
      </c>
      <c r="Y7" s="55" t="s">
        <v>55</v>
      </c>
      <c r="Z7" s="157" t="s">
        <v>90</v>
      </c>
      <c r="AA7" s="55" t="s">
        <v>47</v>
      </c>
      <c r="AB7" s="39" t="s">
        <v>316</v>
      </c>
      <c r="AE7" s="164" t="s">
        <v>61</v>
      </c>
      <c r="AG7" s="172" t="s">
        <v>173</v>
      </c>
      <c r="AH7" s="87" t="s">
        <v>174</v>
      </c>
      <c r="AL7" s="88" t="s">
        <v>241</v>
      </c>
      <c r="AP7" s="165" t="s">
        <v>58</v>
      </c>
      <c r="AR7" s="172" t="s">
        <v>122</v>
      </c>
      <c r="AV7" s="165" t="s">
        <v>64</v>
      </c>
      <c r="AX7" s="166">
        <v>109</v>
      </c>
      <c r="AY7" s="167">
        <v>33</v>
      </c>
      <c r="AZ7" s="167">
        <v>113</v>
      </c>
      <c r="BA7" s="168">
        <v>30</v>
      </c>
    </row>
    <row r="8" spans="1:53" x14ac:dyDescent="0.15">
      <c r="A8" s="55" t="s">
        <v>56</v>
      </c>
      <c r="B8" s="55" t="s">
        <v>349</v>
      </c>
      <c r="C8" s="157">
        <v>2018</v>
      </c>
      <c r="D8" s="86" t="s">
        <v>350</v>
      </c>
      <c r="E8" s="157" t="s">
        <v>345</v>
      </c>
      <c r="F8" s="157" t="s">
        <v>166</v>
      </c>
      <c r="G8" s="55" t="s">
        <v>42</v>
      </c>
      <c r="H8" s="157" t="s">
        <v>162</v>
      </c>
      <c r="I8" s="55" t="s">
        <v>155</v>
      </c>
      <c r="J8" s="157" t="s">
        <v>38</v>
      </c>
      <c r="K8" s="157" t="s">
        <v>156</v>
      </c>
      <c r="L8" s="149">
        <v>1</v>
      </c>
      <c r="N8" s="149">
        <v>1</v>
      </c>
      <c r="O8" s="149">
        <v>1.05</v>
      </c>
      <c r="P8" s="149">
        <v>1.05</v>
      </c>
      <c r="Q8" s="186">
        <f t="shared" si="0"/>
        <v>1.05</v>
      </c>
      <c r="R8" s="149">
        <v>14.3</v>
      </c>
      <c r="S8" s="149">
        <v>147</v>
      </c>
      <c r="T8" s="158">
        <f t="shared" si="1"/>
        <v>22</v>
      </c>
      <c r="U8" s="149">
        <v>138</v>
      </c>
      <c r="V8" s="158">
        <f t="shared" si="2"/>
        <v>3036</v>
      </c>
      <c r="W8" s="149">
        <v>6</v>
      </c>
      <c r="X8" s="55" t="s">
        <v>46</v>
      </c>
      <c r="Y8" s="55" t="s">
        <v>55</v>
      </c>
      <c r="Z8" s="157" t="s">
        <v>90</v>
      </c>
      <c r="AA8" s="55" t="s">
        <v>47</v>
      </c>
      <c r="AB8" s="39" t="s">
        <v>316</v>
      </c>
      <c r="AE8" s="164" t="s">
        <v>59</v>
      </c>
      <c r="AG8" s="172" t="s">
        <v>351</v>
      </c>
      <c r="AH8" s="87" t="s">
        <v>174</v>
      </c>
      <c r="AL8" s="88" t="s">
        <v>341</v>
      </c>
      <c r="AP8" s="165" t="s">
        <v>62</v>
      </c>
      <c r="AR8" s="179" t="s">
        <v>81</v>
      </c>
      <c r="AV8" s="165" t="s">
        <v>97</v>
      </c>
      <c r="AX8" s="166">
        <v>119</v>
      </c>
      <c r="AY8" s="167">
        <v>30</v>
      </c>
      <c r="AZ8" s="167">
        <v>121</v>
      </c>
      <c r="BA8" s="168">
        <v>27</v>
      </c>
    </row>
    <row r="9" spans="1:53" x14ac:dyDescent="0.15">
      <c r="A9" s="55" t="s">
        <v>56</v>
      </c>
      <c r="B9" s="55" t="s">
        <v>349</v>
      </c>
      <c r="C9" s="157">
        <v>2018</v>
      </c>
      <c r="D9" s="86" t="s">
        <v>350</v>
      </c>
      <c r="E9" s="157" t="s">
        <v>345</v>
      </c>
      <c r="F9" s="157" t="s">
        <v>166</v>
      </c>
      <c r="G9" s="55" t="s">
        <v>42</v>
      </c>
      <c r="H9" s="157" t="s">
        <v>162</v>
      </c>
      <c r="I9" s="55" t="s">
        <v>155</v>
      </c>
      <c r="J9" s="157" t="s">
        <v>38</v>
      </c>
      <c r="K9" s="157" t="s">
        <v>156</v>
      </c>
      <c r="L9" s="149">
        <v>2</v>
      </c>
      <c r="N9" s="149">
        <v>1</v>
      </c>
      <c r="O9" s="149">
        <v>0.8</v>
      </c>
      <c r="P9" s="149">
        <v>0.8</v>
      </c>
      <c r="Q9" s="186">
        <f t="shared" si="0"/>
        <v>0.8</v>
      </c>
      <c r="R9" s="149">
        <v>12.9</v>
      </c>
      <c r="S9" s="149">
        <v>145</v>
      </c>
      <c r="T9" s="158">
        <f t="shared" si="1"/>
        <v>22</v>
      </c>
      <c r="U9" s="149">
        <v>138</v>
      </c>
      <c r="V9" s="158">
        <f t="shared" si="2"/>
        <v>3036</v>
      </c>
      <c r="W9" s="149">
        <v>6</v>
      </c>
      <c r="X9" s="55" t="s">
        <v>46</v>
      </c>
      <c r="Y9" s="55" t="s">
        <v>55</v>
      </c>
      <c r="Z9" s="157" t="s">
        <v>90</v>
      </c>
      <c r="AA9" s="55" t="s">
        <v>47</v>
      </c>
      <c r="AB9" s="39" t="s">
        <v>316</v>
      </c>
      <c r="AE9" s="164" t="s">
        <v>98</v>
      </c>
      <c r="AG9" s="172" t="s">
        <v>175</v>
      </c>
      <c r="AH9" s="172" t="s">
        <v>168</v>
      </c>
      <c r="AL9" s="171"/>
      <c r="AP9" s="165" t="s">
        <v>95</v>
      </c>
      <c r="AR9" s="172" t="s">
        <v>89</v>
      </c>
      <c r="AV9" s="165" t="s">
        <v>102</v>
      </c>
      <c r="AX9" s="166">
        <v>128</v>
      </c>
      <c r="AY9" s="167">
        <v>27</v>
      </c>
      <c r="AZ9" s="167">
        <v>129</v>
      </c>
      <c r="BA9" s="168">
        <v>25</v>
      </c>
    </row>
    <row r="10" spans="1:53" x14ac:dyDescent="0.15">
      <c r="A10" s="55" t="s">
        <v>56</v>
      </c>
      <c r="B10" s="55" t="s">
        <v>352</v>
      </c>
      <c r="C10" s="157">
        <v>2018</v>
      </c>
      <c r="D10" s="86" t="s">
        <v>353</v>
      </c>
      <c r="E10" s="157" t="s">
        <v>345</v>
      </c>
      <c r="F10" s="157" t="s">
        <v>166</v>
      </c>
      <c r="G10" s="55" t="s">
        <v>42</v>
      </c>
      <c r="H10" s="157" t="s">
        <v>162</v>
      </c>
      <c r="I10" s="55" t="s">
        <v>155</v>
      </c>
      <c r="J10" s="157" t="s">
        <v>38</v>
      </c>
      <c r="K10" s="157" t="s">
        <v>156</v>
      </c>
      <c r="L10" s="149">
        <v>3</v>
      </c>
      <c r="N10" s="149">
        <v>1</v>
      </c>
      <c r="O10" s="149">
        <v>0.75</v>
      </c>
      <c r="P10" s="149">
        <v>0.75</v>
      </c>
      <c r="Q10" s="186">
        <f t="shared" si="0"/>
        <v>0.75</v>
      </c>
      <c r="R10" s="149">
        <v>14.1</v>
      </c>
      <c r="S10" s="149">
        <v>148</v>
      </c>
      <c r="T10" s="158">
        <f t="shared" si="1"/>
        <v>22</v>
      </c>
      <c r="U10" s="149">
        <v>138</v>
      </c>
      <c r="V10" s="158">
        <f t="shared" si="2"/>
        <v>3036</v>
      </c>
      <c r="W10" s="149">
        <v>6</v>
      </c>
      <c r="X10" s="55" t="s">
        <v>46</v>
      </c>
      <c r="Y10" s="55" t="s">
        <v>55</v>
      </c>
      <c r="Z10" s="157" t="s">
        <v>90</v>
      </c>
      <c r="AA10" s="55" t="s">
        <v>47</v>
      </c>
      <c r="AB10" s="39" t="s">
        <v>316</v>
      </c>
      <c r="AE10" s="164" t="s">
        <v>103</v>
      </c>
      <c r="AG10" s="172" t="s">
        <v>354</v>
      </c>
      <c r="AH10" s="87" t="s">
        <v>355</v>
      </c>
      <c r="AL10" s="88"/>
      <c r="AP10" s="165" t="s">
        <v>100</v>
      </c>
      <c r="AR10" s="172" t="s">
        <v>123</v>
      </c>
      <c r="AV10" s="165" t="s">
        <v>106</v>
      </c>
      <c r="AX10" s="166">
        <v>138</v>
      </c>
      <c r="AY10" s="167">
        <v>25</v>
      </c>
      <c r="AZ10" s="167">
        <v>138</v>
      </c>
      <c r="BA10" s="168">
        <v>22</v>
      </c>
    </row>
    <row r="11" spans="1:53" x14ac:dyDescent="0.15">
      <c r="A11" s="55" t="s">
        <v>56</v>
      </c>
      <c r="B11" s="55" t="s">
        <v>352</v>
      </c>
      <c r="C11" s="157">
        <v>2018</v>
      </c>
      <c r="D11" s="86" t="s">
        <v>353</v>
      </c>
      <c r="E11" s="157" t="s">
        <v>345</v>
      </c>
      <c r="F11" s="157" t="s">
        <v>168</v>
      </c>
      <c r="G11" s="55" t="s">
        <v>42</v>
      </c>
      <c r="H11" s="157" t="s">
        <v>157</v>
      </c>
      <c r="I11" s="55" t="s">
        <v>155</v>
      </c>
      <c r="J11" s="157" t="s">
        <v>38</v>
      </c>
      <c r="K11" s="157" t="s">
        <v>156</v>
      </c>
      <c r="L11" s="149">
        <v>1</v>
      </c>
      <c r="N11" s="149">
        <v>1</v>
      </c>
      <c r="O11" s="149">
        <v>0.55000000000000004</v>
      </c>
      <c r="P11" s="149">
        <v>0.55000000000000004</v>
      </c>
      <c r="Q11" s="186">
        <f t="shared" si="0"/>
        <v>0.55000000000000004</v>
      </c>
      <c r="R11" s="149">
        <v>14.8</v>
      </c>
      <c r="S11" s="149">
        <v>143</v>
      </c>
      <c r="T11" s="158">
        <f t="shared" si="1"/>
        <v>22</v>
      </c>
      <c r="U11" s="149">
        <v>149</v>
      </c>
      <c r="V11" s="158">
        <f t="shared" si="2"/>
        <v>3278</v>
      </c>
      <c r="W11" s="149">
        <v>6</v>
      </c>
      <c r="X11" s="55" t="s">
        <v>46</v>
      </c>
      <c r="Y11" s="55" t="s">
        <v>55</v>
      </c>
      <c r="Z11" s="157" t="s">
        <v>47</v>
      </c>
      <c r="AA11" s="55" t="s">
        <v>90</v>
      </c>
      <c r="AB11" s="39" t="s">
        <v>316</v>
      </c>
      <c r="AE11" s="164" t="s">
        <v>65</v>
      </c>
      <c r="AG11" s="172" t="s">
        <v>356</v>
      </c>
      <c r="AH11" s="87" t="s">
        <v>355</v>
      </c>
      <c r="AJ11" s="88"/>
      <c r="AP11" s="165" t="s">
        <v>104</v>
      </c>
      <c r="AR11" s="172" t="s">
        <v>87</v>
      </c>
      <c r="AV11" s="165" t="s">
        <v>69</v>
      </c>
    </row>
    <row r="12" spans="1:53" x14ac:dyDescent="0.15">
      <c r="A12" s="55" t="s">
        <v>56</v>
      </c>
      <c r="B12" s="55" t="s">
        <v>357</v>
      </c>
      <c r="C12" s="157">
        <v>2018</v>
      </c>
      <c r="D12" s="86" t="s">
        <v>358</v>
      </c>
      <c r="E12" s="157" t="s">
        <v>345</v>
      </c>
      <c r="F12" s="157" t="s">
        <v>168</v>
      </c>
      <c r="G12" s="55" t="s">
        <v>42</v>
      </c>
      <c r="H12" s="157" t="s">
        <v>157</v>
      </c>
      <c r="I12" s="55" t="s">
        <v>155</v>
      </c>
      <c r="J12" s="157" t="s">
        <v>38</v>
      </c>
      <c r="K12" s="157" t="s">
        <v>156</v>
      </c>
      <c r="L12" s="149">
        <v>2</v>
      </c>
      <c r="N12" s="149">
        <v>1</v>
      </c>
      <c r="O12" s="149">
        <v>0.7</v>
      </c>
      <c r="P12" s="149">
        <v>0.7</v>
      </c>
      <c r="Q12" s="186">
        <f t="shared" si="0"/>
        <v>0.7</v>
      </c>
      <c r="R12" s="149">
        <v>15.3</v>
      </c>
      <c r="S12" s="149">
        <v>139</v>
      </c>
      <c r="T12" s="158">
        <f t="shared" si="1"/>
        <v>22</v>
      </c>
      <c r="U12" s="149">
        <v>149</v>
      </c>
      <c r="V12" s="158">
        <f t="shared" si="2"/>
        <v>3278</v>
      </c>
      <c r="W12" s="149">
        <v>6</v>
      </c>
      <c r="X12" s="55" t="s">
        <v>46</v>
      </c>
      <c r="Y12" s="55" t="s">
        <v>55</v>
      </c>
      <c r="Z12" s="157" t="s">
        <v>47</v>
      </c>
      <c r="AA12" s="55" t="s">
        <v>90</v>
      </c>
      <c r="AB12" s="39" t="s">
        <v>316</v>
      </c>
      <c r="AE12" s="164" t="s">
        <v>70</v>
      </c>
      <c r="AG12" s="172" t="s">
        <v>359</v>
      </c>
      <c r="AH12" s="87" t="s">
        <v>360</v>
      </c>
      <c r="AJ12" s="88"/>
      <c r="AP12" s="165" t="s">
        <v>67</v>
      </c>
      <c r="AR12" s="172" t="s">
        <v>124</v>
      </c>
      <c r="AV12" s="165" t="s">
        <v>72</v>
      </c>
    </row>
    <row r="13" spans="1:53" x14ac:dyDescent="0.15">
      <c r="A13" s="55" t="s">
        <v>56</v>
      </c>
      <c r="B13" s="55" t="s">
        <v>361</v>
      </c>
      <c r="C13" s="157">
        <v>2018</v>
      </c>
      <c r="D13" s="86" t="s">
        <v>362</v>
      </c>
      <c r="E13" s="157" t="s">
        <v>345</v>
      </c>
      <c r="F13" s="157" t="s">
        <v>168</v>
      </c>
      <c r="G13" s="55" t="s">
        <v>42</v>
      </c>
      <c r="H13" s="157" t="s">
        <v>157</v>
      </c>
      <c r="I13" s="55" t="s">
        <v>155</v>
      </c>
      <c r="J13" s="157" t="s">
        <v>38</v>
      </c>
      <c r="K13" s="157" t="s">
        <v>156</v>
      </c>
      <c r="L13" s="149">
        <v>3</v>
      </c>
      <c r="N13" s="149">
        <v>1</v>
      </c>
      <c r="O13" s="149">
        <v>0.5</v>
      </c>
      <c r="P13" s="149">
        <v>0.55000000000000004</v>
      </c>
      <c r="Q13" s="186">
        <f t="shared" si="0"/>
        <v>0.52500000000000002</v>
      </c>
      <c r="R13" s="149">
        <v>12.8</v>
      </c>
      <c r="S13" s="149">
        <v>138</v>
      </c>
      <c r="T13" s="158">
        <f t="shared" si="1"/>
        <v>22</v>
      </c>
      <c r="U13" s="149">
        <v>149</v>
      </c>
      <c r="V13" s="158">
        <f t="shared" si="2"/>
        <v>3278</v>
      </c>
      <c r="W13" s="149">
        <v>6</v>
      </c>
      <c r="X13" s="55" t="s">
        <v>46</v>
      </c>
      <c r="Y13" s="55" t="s">
        <v>55</v>
      </c>
      <c r="Z13" s="157" t="s">
        <v>47</v>
      </c>
      <c r="AA13" s="55" t="s">
        <v>90</v>
      </c>
      <c r="AB13" s="39" t="s">
        <v>316</v>
      </c>
      <c r="AE13" s="164" t="s">
        <v>73</v>
      </c>
      <c r="AP13" s="165" t="s">
        <v>71</v>
      </c>
      <c r="AR13" s="172" t="s">
        <v>103</v>
      </c>
      <c r="AV13" s="165" t="s">
        <v>75</v>
      </c>
    </row>
    <row r="14" spans="1:53" x14ac:dyDescent="0.15">
      <c r="A14" s="55" t="s">
        <v>56</v>
      </c>
      <c r="B14" s="55" t="s">
        <v>363</v>
      </c>
      <c r="C14" s="157">
        <v>2018</v>
      </c>
      <c r="D14" s="86" t="s">
        <v>364</v>
      </c>
      <c r="E14" s="157" t="s">
        <v>345</v>
      </c>
      <c r="F14" s="157" t="s">
        <v>168</v>
      </c>
      <c r="G14" s="55" t="s">
        <v>42</v>
      </c>
      <c r="H14" s="157" t="s">
        <v>211</v>
      </c>
      <c r="I14" s="55" t="s">
        <v>155</v>
      </c>
      <c r="J14" s="157" t="s">
        <v>38</v>
      </c>
      <c r="K14" s="157" t="s">
        <v>156</v>
      </c>
      <c r="L14" s="149">
        <v>1</v>
      </c>
      <c r="N14" s="149">
        <v>6</v>
      </c>
      <c r="O14" s="149">
        <v>0.5</v>
      </c>
      <c r="P14" s="149">
        <v>0.5</v>
      </c>
      <c r="Q14" s="186">
        <f t="shared" si="0"/>
        <v>0.5</v>
      </c>
      <c r="R14" s="149">
        <v>18.399999999999999</v>
      </c>
      <c r="S14" s="149">
        <v>81</v>
      </c>
      <c r="T14" s="158">
        <f t="shared" si="1"/>
        <v>39</v>
      </c>
      <c r="U14" s="149">
        <v>410</v>
      </c>
      <c r="V14" s="158">
        <f t="shared" si="2"/>
        <v>2665</v>
      </c>
      <c r="W14" s="149">
        <v>2</v>
      </c>
      <c r="X14" s="55" t="s">
        <v>46</v>
      </c>
      <c r="Y14" s="55" t="s">
        <v>55</v>
      </c>
      <c r="Z14" s="157" t="s">
        <v>47</v>
      </c>
      <c r="AA14" s="55" t="s">
        <v>90</v>
      </c>
      <c r="AB14" s="39" t="s">
        <v>316</v>
      </c>
      <c r="AE14" s="164" t="s">
        <v>76</v>
      </c>
      <c r="AP14" s="165" t="s">
        <v>74</v>
      </c>
      <c r="AR14" s="172" t="s">
        <v>125</v>
      </c>
      <c r="AV14" s="165" t="s">
        <v>78</v>
      </c>
    </row>
    <row r="15" spans="1:53" x14ac:dyDescent="0.15">
      <c r="A15" s="55" t="s">
        <v>56</v>
      </c>
      <c r="B15" s="55" t="s">
        <v>363</v>
      </c>
      <c r="C15" s="157">
        <v>2018</v>
      </c>
      <c r="D15" s="86" t="s">
        <v>364</v>
      </c>
      <c r="E15" s="157" t="s">
        <v>345</v>
      </c>
      <c r="F15" s="157" t="s">
        <v>168</v>
      </c>
      <c r="G15" s="55" t="s">
        <v>42</v>
      </c>
      <c r="H15" s="157" t="s">
        <v>211</v>
      </c>
      <c r="I15" s="55" t="s">
        <v>155</v>
      </c>
      <c r="J15" s="157" t="s">
        <v>38</v>
      </c>
      <c r="K15" s="157" t="s">
        <v>156</v>
      </c>
      <c r="L15" s="149">
        <v>2</v>
      </c>
      <c r="N15" s="149">
        <v>6</v>
      </c>
      <c r="O15" s="149">
        <v>0.55000000000000004</v>
      </c>
      <c r="P15" s="149">
        <v>0.5</v>
      </c>
      <c r="Q15" s="186">
        <f t="shared" si="0"/>
        <v>0.52500000000000002</v>
      </c>
      <c r="R15" s="149">
        <v>17.7</v>
      </c>
      <c r="S15" s="149">
        <v>87</v>
      </c>
      <c r="T15" s="158">
        <f t="shared" si="1"/>
        <v>36</v>
      </c>
      <c r="U15" s="149">
        <v>410</v>
      </c>
      <c r="V15" s="158">
        <f t="shared" si="2"/>
        <v>2460</v>
      </c>
      <c r="W15" s="149">
        <v>2</v>
      </c>
      <c r="X15" s="55" t="s">
        <v>46</v>
      </c>
      <c r="Y15" s="55" t="s">
        <v>55</v>
      </c>
      <c r="Z15" s="157" t="s">
        <v>47</v>
      </c>
      <c r="AA15" s="55" t="s">
        <v>90</v>
      </c>
      <c r="AB15" s="39" t="s">
        <v>316</v>
      </c>
      <c r="AE15" s="164" t="s">
        <v>79</v>
      </c>
      <c r="AP15" s="165" t="s">
        <v>77</v>
      </c>
      <c r="AR15" s="172" t="s">
        <v>94</v>
      </c>
      <c r="AV15" s="165" t="s">
        <v>107</v>
      </c>
    </row>
    <row r="16" spans="1:53" x14ac:dyDescent="0.15">
      <c r="A16" s="55" t="s">
        <v>56</v>
      </c>
      <c r="B16" s="55" t="s">
        <v>365</v>
      </c>
      <c r="C16" s="157">
        <v>2018</v>
      </c>
      <c r="D16" s="86" t="s">
        <v>366</v>
      </c>
      <c r="E16" s="157" t="s">
        <v>345</v>
      </c>
      <c r="F16" s="157" t="s">
        <v>168</v>
      </c>
      <c r="G16" s="55" t="s">
        <v>42</v>
      </c>
      <c r="H16" s="157" t="s">
        <v>211</v>
      </c>
      <c r="I16" s="55" t="s">
        <v>155</v>
      </c>
      <c r="J16" s="157" t="s">
        <v>38</v>
      </c>
      <c r="K16" s="157" t="s">
        <v>156</v>
      </c>
      <c r="L16" s="149">
        <v>3</v>
      </c>
      <c r="N16" s="149">
        <v>6</v>
      </c>
      <c r="O16" s="149">
        <v>0.5</v>
      </c>
      <c r="P16" s="149">
        <v>0.5</v>
      </c>
      <c r="Q16" s="186">
        <f t="shared" si="0"/>
        <v>0.5</v>
      </c>
      <c r="R16" s="149">
        <v>17.5</v>
      </c>
      <c r="S16" s="149">
        <v>86</v>
      </c>
      <c r="T16" s="158">
        <f t="shared" si="1"/>
        <v>36</v>
      </c>
      <c r="U16" s="149">
        <v>410</v>
      </c>
      <c r="V16" s="158">
        <f t="shared" si="2"/>
        <v>2460</v>
      </c>
      <c r="W16" s="149">
        <v>2</v>
      </c>
      <c r="X16" s="55" t="s">
        <v>46</v>
      </c>
      <c r="Y16" s="55" t="s">
        <v>55</v>
      </c>
      <c r="Z16" s="157" t="s">
        <v>47</v>
      </c>
      <c r="AA16" s="55" t="s">
        <v>90</v>
      </c>
      <c r="AB16" s="39" t="s">
        <v>316</v>
      </c>
      <c r="AE16" s="164" t="s">
        <v>82</v>
      </c>
      <c r="AP16" s="165" t="s">
        <v>80</v>
      </c>
      <c r="AR16" s="179" t="s">
        <v>63</v>
      </c>
      <c r="AV16" s="165" t="s">
        <v>84</v>
      </c>
    </row>
    <row r="17" spans="1:48" x14ac:dyDescent="0.15">
      <c r="A17" s="55" t="s">
        <v>56</v>
      </c>
      <c r="B17" s="55" t="s">
        <v>365</v>
      </c>
      <c r="C17" s="157">
        <v>2018</v>
      </c>
      <c r="D17" s="86" t="s">
        <v>366</v>
      </c>
      <c r="E17" s="157" t="s">
        <v>345</v>
      </c>
      <c r="F17" s="157" t="s">
        <v>168</v>
      </c>
      <c r="G17" s="55" t="s">
        <v>42</v>
      </c>
      <c r="H17" s="157" t="s">
        <v>162</v>
      </c>
      <c r="I17" s="55" t="s">
        <v>155</v>
      </c>
      <c r="J17" s="157" t="s">
        <v>38</v>
      </c>
      <c r="K17" s="157" t="s">
        <v>156</v>
      </c>
      <c r="L17" s="149">
        <v>1</v>
      </c>
      <c r="N17" s="149">
        <v>1</v>
      </c>
      <c r="O17" s="149">
        <v>0.75</v>
      </c>
      <c r="P17" s="149">
        <v>0.75</v>
      </c>
      <c r="Q17" s="186">
        <f t="shared" si="0"/>
        <v>0.75</v>
      </c>
      <c r="R17" s="149">
        <v>15.4</v>
      </c>
      <c r="S17" s="149">
        <v>143</v>
      </c>
      <c r="T17" s="158">
        <f t="shared" si="1"/>
        <v>22</v>
      </c>
      <c r="U17" s="149">
        <v>149</v>
      </c>
      <c r="V17" s="158">
        <f t="shared" si="2"/>
        <v>3278</v>
      </c>
      <c r="W17" s="149">
        <v>8</v>
      </c>
      <c r="X17" s="55" t="s">
        <v>46</v>
      </c>
      <c r="Y17" s="55" t="s">
        <v>55</v>
      </c>
      <c r="Z17" s="157" t="s">
        <v>47</v>
      </c>
      <c r="AA17" s="55" t="s">
        <v>90</v>
      </c>
      <c r="AB17" s="39" t="s">
        <v>316</v>
      </c>
      <c r="AE17" s="164" t="s">
        <v>85</v>
      </c>
      <c r="AP17" s="180" t="s">
        <v>110</v>
      </c>
      <c r="AR17" s="179" t="s">
        <v>96</v>
      </c>
      <c r="AV17" s="165" t="s">
        <v>86</v>
      </c>
    </row>
    <row r="18" spans="1:48" x14ac:dyDescent="0.15">
      <c r="A18" s="55" t="s">
        <v>56</v>
      </c>
      <c r="B18" s="55" t="s">
        <v>365</v>
      </c>
      <c r="C18" s="157">
        <v>2018</v>
      </c>
      <c r="D18" s="86" t="s">
        <v>366</v>
      </c>
      <c r="E18" s="157" t="s">
        <v>345</v>
      </c>
      <c r="F18" s="157" t="s">
        <v>168</v>
      </c>
      <c r="G18" s="55" t="s">
        <v>42</v>
      </c>
      <c r="H18" s="157" t="s">
        <v>162</v>
      </c>
      <c r="I18" s="55" t="s">
        <v>155</v>
      </c>
      <c r="J18" s="157" t="s">
        <v>38</v>
      </c>
      <c r="K18" s="157" t="s">
        <v>156</v>
      </c>
      <c r="L18" s="149">
        <v>2</v>
      </c>
      <c r="N18" s="149">
        <v>1</v>
      </c>
      <c r="O18" s="149">
        <v>0.8</v>
      </c>
      <c r="P18" s="149">
        <v>0.75</v>
      </c>
      <c r="Q18" s="186">
        <f t="shared" si="0"/>
        <v>0.77500000000000002</v>
      </c>
      <c r="R18" s="149">
        <v>14.7</v>
      </c>
      <c r="S18" s="149">
        <v>136</v>
      </c>
      <c r="T18" s="158">
        <f t="shared" si="1"/>
        <v>25</v>
      </c>
      <c r="U18" s="149">
        <v>149</v>
      </c>
      <c r="V18" s="158">
        <f t="shared" si="2"/>
        <v>3725</v>
      </c>
      <c r="W18" s="149">
        <v>8</v>
      </c>
      <c r="X18" s="55" t="s">
        <v>46</v>
      </c>
      <c r="Y18" s="55" t="s">
        <v>55</v>
      </c>
      <c r="Z18" s="157" t="s">
        <v>47</v>
      </c>
      <c r="AA18" s="55" t="s">
        <v>90</v>
      </c>
      <c r="AB18" s="39" t="s">
        <v>316</v>
      </c>
      <c r="AE18" s="164" t="s">
        <v>87</v>
      </c>
      <c r="AP18" s="180" t="s">
        <v>111</v>
      </c>
      <c r="AR18" s="179" t="s">
        <v>101</v>
      </c>
      <c r="AV18" s="165" t="s">
        <v>88</v>
      </c>
    </row>
    <row r="19" spans="1:48" x14ac:dyDescent="0.15">
      <c r="A19" s="55" t="s">
        <v>56</v>
      </c>
      <c r="B19" s="55" t="s">
        <v>357</v>
      </c>
      <c r="C19" s="157">
        <v>2018</v>
      </c>
      <c r="D19" s="86" t="s">
        <v>358</v>
      </c>
      <c r="E19" s="157" t="s">
        <v>345</v>
      </c>
      <c r="F19" s="157" t="s">
        <v>168</v>
      </c>
      <c r="G19" s="55" t="s">
        <v>42</v>
      </c>
      <c r="H19" s="157" t="s">
        <v>162</v>
      </c>
      <c r="I19" s="55" t="s">
        <v>155</v>
      </c>
      <c r="J19" s="157" t="s">
        <v>38</v>
      </c>
      <c r="K19" s="157" t="s">
        <v>156</v>
      </c>
      <c r="L19" s="149">
        <v>3</v>
      </c>
      <c r="N19" s="149">
        <v>1</v>
      </c>
      <c r="O19" s="149">
        <v>0.8</v>
      </c>
      <c r="P19" s="149">
        <v>0.75</v>
      </c>
      <c r="Q19" s="186">
        <f t="shared" si="0"/>
        <v>0.77500000000000002</v>
      </c>
      <c r="R19" s="178">
        <v>16.8</v>
      </c>
      <c r="S19" s="149">
        <v>143</v>
      </c>
      <c r="T19" s="158">
        <f t="shared" si="1"/>
        <v>22</v>
      </c>
      <c r="U19" s="149">
        <v>149</v>
      </c>
      <c r="V19" s="158">
        <f t="shared" si="2"/>
        <v>3278</v>
      </c>
      <c r="W19" s="149">
        <v>8</v>
      </c>
      <c r="X19" s="55" t="s">
        <v>46</v>
      </c>
      <c r="Y19" s="55" t="s">
        <v>55</v>
      </c>
      <c r="Z19" s="157" t="s">
        <v>47</v>
      </c>
      <c r="AA19" s="55" t="s">
        <v>90</v>
      </c>
      <c r="AB19" s="39" t="s">
        <v>316</v>
      </c>
      <c r="AE19" s="177" t="s">
        <v>89</v>
      </c>
      <c r="AP19" s="180" t="s">
        <v>112</v>
      </c>
      <c r="AR19" s="172" t="s">
        <v>126</v>
      </c>
      <c r="AV19" s="165" t="s">
        <v>90</v>
      </c>
    </row>
    <row r="20" spans="1:48" x14ac:dyDescent="0.15">
      <c r="A20" s="55" t="s">
        <v>56</v>
      </c>
      <c r="B20" s="55" t="s">
        <v>357</v>
      </c>
      <c r="C20" s="157">
        <v>2018</v>
      </c>
      <c r="D20" s="86" t="s">
        <v>358</v>
      </c>
      <c r="E20" s="157" t="s">
        <v>367</v>
      </c>
      <c r="F20" s="157" t="s">
        <v>368</v>
      </c>
      <c r="G20" s="55" t="s">
        <v>42</v>
      </c>
      <c r="H20" s="157" t="s">
        <v>211</v>
      </c>
      <c r="I20" s="55" t="s">
        <v>155</v>
      </c>
      <c r="J20" s="157" t="s">
        <v>38</v>
      </c>
      <c r="K20" s="157" t="s">
        <v>156</v>
      </c>
      <c r="L20" s="149">
        <v>1</v>
      </c>
      <c r="N20" s="149">
        <v>5</v>
      </c>
      <c r="O20" s="149">
        <v>0.65</v>
      </c>
      <c r="P20" s="149">
        <v>0.65</v>
      </c>
      <c r="Q20" s="186">
        <f t="shared" si="0"/>
        <v>0.65</v>
      </c>
      <c r="R20" s="149">
        <v>17.7</v>
      </c>
      <c r="S20" s="149">
        <v>97</v>
      </c>
      <c r="T20" s="158">
        <f t="shared" si="1"/>
        <v>36</v>
      </c>
      <c r="U20" s="149">
        <v>646</v>
      </c>
      <c r="V20" s="158">
        <f t="shared" si="2"/>
        <v>4651.2</v>
      </c>
      <c r="W20" s="149">
        <v>2</v>
      </c>
      <c r="X20" s="55" t="s">
        <v>46</v>
      </c>
      <c r="Y20" s="55" t="s">
        <v>55</v>
      </c>
      <c r="Z20" s="157" t="s">
        <v>47</v>
      </c>
      <c r="AA20" s="55" t="s">
        <v>69</v>
      </c>
      <c r="AB20" s="39" t="s">
        <v>316</v>
      </c>
      <c r="AP20" s="180" t="s">
        <v>113</v>
      </c>
      <c r="AR20" s="179" t="s">
        <v>105</v>
      </c>
      <c r="AV20" s="169" t="s">
        <v>342</v>
      </c>
    </row>
    <row r="21" spans="1:48" x14ac:dyDescent="0.15">
      <c r="A21" s="55" t="s">
        <v>56</v>
      </c>
      <c r="B21" s="55" t="s">
        <v>357</v>
      </c>
      <c r="C21" s="157">
        <v>2018</v>
      </c>
      <c r="D21" s="86" t="s">
        <v>358</v>
      </c>
      <c r="E21" s="157" t="s">
        <v>367</v>
      </c>
      <c r="F21" s="157" t="s">
        <v>368</v>
      </c>
      <c r="G21" s="55" t="s">
        <v>42</v>
      </c>
      <c r="H21" s="157" t="s">
        <v>211</v>
      </c>
      <c r="I21" s="55" t="s">
        <v>155</v>
      </c>
      <c r="J21" s="157" t="s">
        <v>38</v>
      </c>
      <c r="K21" s="157" t="s">
        <v>156</v>
      </c>
      <c r="L21" s="149">
        <v>2</v>
      </c>
      <c r="N21" s="149">
        <v>5</v>
      </c>
      <c r="O21" s="149">
        <v>0.55000000000000004</v>
      </c>
      <c r="P21" s="149">
        <v>0.65</v>
      </c>
      <c r="Q21" s="186">
        <f t="shared" si="0"/>
        <v>0.60000000000000009</v>
      </c>
      <c r="R21" s="149">
        <v>17.8</v>
      </c>
      <c r="S21" s="149">
        <v>99</v>
      </c>
      <c r="T21" s="158">
        <f t="shared" si="1"/>
        <v>33</v>
      </c>
      <c r="U21" s="149">
        <v>646</v>
      </c>
      <c r="V21" s="158">
        <f t="shared" si="2"/>
        <v>4263.5999999999995</v>
      </c>
      <c r="W21" s="149">
        <v>2</v>
      </c>
      <c r="X21" s="55" t="s">
        <v>46</v>
      </c>
      <c r="Y21" s="55" t="s">
        <v>55</v>
      </c>
      <c r="Z21" s="157" t="s">
        <v>47</v>
      </c>
      <c r="AA21" s="55" t="s">
        <v>69</v>
      </c>
      <c r="AB21" s="39" t="s">
        <v>316</v>
      </c>
      <c r="AP21" s="180" t="s">
        <v>114</v>
      </c>
      <c r="AR21" s="179" t="s">
        <v>68</v>
      </c>
      <c r="AV21" s="170" t="s">
        <v>369</v>
      </c>
    </row>
    <row r="22" spans="1:48" x14ac:dyDescent="0.15">
      <c r="A22" s="55" t="s">
        <v>56</v>
      </c>
      <c r="B22" s="55" t="s">
        <v>357</v>
      </c>
      <c r="C22" s="157">
        <v>2018</v>
      </c>
      <c r="D22" s="86" t="s">
        <v>358</v>
      </c>
      <c r="E22" s="157" t="s">
        <v>367</v>
      </c>
      <c r="F22" s="157" t="s">
        <v>368</v>
      </c>
      <c r="G22" s="55" t="s">
        <v>42</v>
      </c>
      <c r="H22" s="157" t="s">
        <v>211</v>
      </c>
      <c r="I22" s="55" t="s">
        <v>155</v>
      </c>
      <c r="J22" s="157" t="s">
        <v>38</v>
      </c>
      <c r="K22" s="157" t="s">
        <v>156</v>
      </c>
      <c r="L22" s="149">
        <v>3</v>
      </c>
      <c r="N22" s="149">
        <v>5</v>
      </c>
      <c r="O22" s="149">
        <v>0.8</v>
      </c>
      <c r="P22" s="149">
        <v>0.85</v>
      </c>
      <c r="Q22" s="186">
        <f t="shared" si="0"/>
        <v>0.82499999999999996</v>
      </c>
      <c r="R22" s="178">
        <v>17.600000000000001</v>
      </c>
      <c r="S22" s="149">
        <v>96</v>
      </c>
      <c r="T22" s="158">
        <f t="shared" si="1"/>
        <v>36</v>
      </c>
      <c r="U22" s="149">
        <v>646</v>
      </c>
      <c r="V22" s="158">
        <f t="shared" si="2"/>
        <v>4651.2</v>
      </c>
      <c r="W22" s="149">
        <v>2</v>
      </c>
      <c r="X22" s="55" t="s">
        <v>46</v>
      </c>
      <c r="Y22" s="55" t="s">
        <v>55</v>
      </c>
      <c r="Z22" s="157" t="s">
        <v>47</v>
      </c>
      <c r="AA22" s="55" t="s">
        <v>69</v>
      </c>
      <c r="AB22" s="39" t="s">
        <v>316</v>
      </c>
      <c r="AP22" s="180" t="s">
        <v>115</v>
      </c>
      <c r="AR22" s="179" t="s">
        <v>83</v>
      </c>
    </row>
    <row r="23" spans="1:48" x14ac:dyDescent="0.15">
      <c r="A23" s="55" t="s">
        <v>56</v>
      </c>
      <c r="B23" s="55" t="s">
        <v>357</v>
      </c>
      <c r="C23" s="157">
        <v>2018</v>
      </c>
      <c r="D23" s="86" t="s">
        <v>358</v>
      </c>
      <c r="E23" s="157" t="s">
        <v>367</v>
      </c>
      <c r="F23" s="157" t="s">
        <v>368</v>
      </c>
      <c r="G23" s="55" t="s">
        <v>42</v>
      </c>
      <c r="H23" s="157" t="s">
        <v>162</v>
      </c>
      <c r="I23" s="55" t="s">
        <v>155</v>
      </c>
      <c r="J23" s="157" t="s">
        <v>38</v>
      </c>
      <c r="K23" s="157" t="s">
        <v>156</v>
      </c>
      <c r="L23" s="149">
        <v>1</v>
      </c>
      <c r="N23" s="149">
        <v>1</v>
      </c>
      <c r="O23" s="149">
        <v>0.7</v>
      </c>
      <c r="P23" s="149">
        <v>0.75</v>
      </c>
      <c r="Q23" s="186">
        <f t="shared" si="0"/>
        <v>0.72499999999999998</v>
      </c>
      <c r="R23" s="149">
        <v>17.7</v>
      </c>
      <c r="S23" s="149">
        <v>143</v>
      </c>
      <c r="T23" s="158">
        <f t="shared" si="1"/>
        <v>22</v>
      </c>
      <c r="U23" s="149">
        <v>138</v>
      </c>
      <c r="V23" s="158">
        <f t="shared" si="2"/>
        <v>3036</v>
      </c>
      <c r="W23" s="149">
        <v>2</v>
      </c>
      <c r="X23" s="55" t="s">
        <v>46</v>
      </c>
      <c r="Y23" s="55" t="s">
        <v>55</v>
      </c>
      <c r="Z23" s="157" t="s">
        <v>47</v>
      </c>
      <c r="AA23" s="55" t="s">
        <v>69</v>
      </c>
      <c r="AB23" s="39" t="s">
        <v>316</v>
      </c>
      <c r="AP23" s="180" t="s">
        <v>370</v>
      </c>
      <c r="AR23" s="179" t="s">
        <v>61</v>
      </c>
    </row>
    <row r="24" spans="1:48" x14ac:dyDescent="0.15">
      <c r="A24" s="55" t="s">
        <v>56</v>
      </c>
      <c r="B24" s="55" t="s">
        <v>357</v>
      </c>
      <c r="C24" s="157">
        <v>2018</v>
      </c>
      <c r="D24" s="86" t="s">
        <v>358</v>
      </c>
      <c r="E24" s="157" t="s">
        <v>367</v>
      </c>
      <c r="F24" s="157" t="s">
        <v>368</v>
      </c>
      <c r="G24" s="55" t="s">
        <v>42</v>
      </c>
      <c r="H24" s="157" t="s">
        <v>162</v>
      </c>
      <c r="I24" s="55" t="s">
        <v>155</v>
      </c>
      <c r="J24" s="157" t="s">
        <v>38</v>
      </c>
      <c r="K24" s="157" t="s">
        <v>156</v>
      </c>
      <c r="L24" s="149">
        <v>2</v>
      </c>
      <c r="N24" s="149">
        <v>1</v>
      </c>
      <c r="O24" s="149">
        <v>0.65</v>
      </c>
      <c r="P24" s="149">
        <v>0.7</v>
      </c>
      <c r="Q24" s="186">
        <f t="shared" si="0"/>
        <v>0.67500000000000004</v>
      </c>
      <c r="R24" s="149">
        <v>17.3</v>
      </c>
      <c r="S24" s="149">
        <v>140</v>
      </c>
      <c r="T24" s="158">
        <f t="shared" si="1"/>
        <v>22</v>
      </c>
      <c r="U24" s="149">
        <v>138</v>
      </c>
      <c r="V24" s="158">
        <f t="shared" si="2"/>
        <v>3036</v>
      </c>
      <c r="W24" s="149">
        <v>2</v>
      </c>
      <c r="X24" s="55" t="s">
        <v>46</v>
      </c>
      <c r="Y24" s="55" t="s">
        <v>55</v>
      </c>
      <c r="Z24" s="157" t="s">
        <v>47</v>
      </c>
      <c r="AA24" s="55" t="s">
        <v>69</v>
      </c>
      <c r="AB24" s="39" t="s">
        <v>316</v>
      </c>
      <c r="AP24" s="180" t="s">
        <v>371</v>
      </c>
      <c r="AR24" s="179" t="s">
        <v>91</v>
      </c>
    </row>
    <row r="25" spans="1:48" x14ac:dyDescent="0.15">
      <c r="A25" s="55" t="s">
        <v>56</v>
      </c>
      <c r="B25" s="55" t="s">
        <v>357</v>
      </c>
      <c r="C25" s="157">
        <v>2018</v>
      </c>
      <c r="D25" s="86" t="s">
        <v>358</v>
      </c>
      <c r="E25" s="157" t="s">
        <v>367</v>
      </c>
      <c r="F25" s="157" t="s">
        <v>368</v>
      </c>
      <c r="G25" s="55" t="s">
        <v>42</v>
      </c>
      <c r="H25" s="157" t="s">
        <v>162</v>
      </c>
      <c r="I25" s="55" t="s">
        <v>155</v>
      </c>
      <c r="J25" s="157" t="s">
        <v>38</v>
      </c>
      <c r="K25" s="157" t="s">
        <v>156</v>
      </c>
      <c r="L25" s="149">
        <v>3</v>
      </c>
      <c r="N25" s="149">
        <v>1</v>
      </c>
      <c r="O25" s="149">
        <v>0.75</v>
      </c>
      <c r="P25" s="149">
        <v>0.8</v>
      </c>
      <c r="Q25" s="186">
        <f t="shared" si="0"/>
        <v>0.77500000000000002</v>
      </c>
      <c r="R25" s="178">
        <v>14.4</v>
      </c>
      <c r="S25" s="149">
        <v>142</v>
      </c>
      <c r="T25" s="158">
        <f t="shared" si="1"/>
        <v>22</v>
      </c>
      <c r="U25" s="149">
        <v>138</v>
      </c>
      <c r="V25" s="158">
        <f t="shared" si="2"/>
        <v>3036</v>
      </c>
      <c r="W25" s="149">
        <v>2</v>
      </c>
      <c r="X25" s="55" t="s">
        <v>46</v>
      </c>
      <c r="Y25" s="55" t="s">
        <v>55</v>
      </c>
      <c r="Z25" s="157" t="s">
        <v>47</v>
      </c>
      <c r="AA25" s="55" t="s">
        <v>69</v>
      </c>
      <c r="AB25" s="39" t="s">
        <v>316</v>
      </c>
      <c r="AP25" s="180" t="s">
        <v>116</v>
      </c>
      <c r="AR25" s="42" t="s">
        <v>92</v>
      </c>
    </row>
    <row r="26" spans="1:48" x14ac:dyDescent="0.15">
      <c r="A26" s="55" t="s">
        <v>56</v>
      </c>
      <c r="B26" s="55" t="s">
        <v>357</v>
      </c>
      <c r="C26" s="157">
        <v>2018</v>
      </c>
      <c r="D26" s="86" t="s">
        <v>358</v>
      </c>
      <c r="E26" s="157" t="s">
        <v>372</v>
      </c>
      <c r="F26" s="157" t="s">
        <v>373</v>
      </c>
      <c r="G26" s="55" t="s">
        <v>42</v>
      </c>
      <c r="H26" s="157" t="s">
        <v>157</v>
      </c>
      <c r="I26" s="55" t="s">
        <v>155</v>
      </c>
      <c r="J26" s="157" t="s">
        <v>38</v>
      </c>
      <c r="K26" s="157" t="s">
        <v>156</v>
      </c>
      <c r="L26" s="149">
        <v>1</v>
      </c>
      <c r="N26" s="149">
        <v>1</v>
      </c>
      <c r="O26" s="149">
        <v>0.55000000000000004</v>
      </c>
      <c r="P26" s="149">
        <v>0.5</v>
      </c>
      <c r="Q26" s="186">
        <f t="shared" si="0"/>
        <v>0.52500000000000002</v>
      </c>
      <c r="R26" s="149">
        <v>15.4</v>
      </c>
      <c r="S26" s="149">
        <v>174</v>
      </c>
      <c r="T26" s="158">
        <f t="shared" si="1"/>
        <v>22</v>
      </c>
      <c r="U26" s="149">
        <v>137</v>
      </c>
      <c r="V26" s="158">
        <f t="shared" si="2"/>
        <v>3014</v>
      </c>
      <c r="W26" s="149">
        <v>2</v>
      </c>
      <c r="X26" s="55" t="s">
        <v>46</v>
      </c>
      <c r="Y26" s="55" t="s">
        <v>47</v>
      </c>
      <c r="Z26" s="149" t="s">
        <v>86</v>
      </c>
      <c r="AA26" s="55" t="s">
        <v>55</v>
      </c>
      <c r="AB26" s="39" t="s">
        <v>316</v>
      </c>
      <c r="AP26" s="180" t="s">
        <v>117</v>
      </c>
      <c r="AR26" s="149" t="s">
        <v>259</v>
      </c>
    </row>
    <row r="27" spans="1:48" x14ac:dyDescent="0.15">
      <c r="A27" s="55" t="s">
        <v>56</v>
      </c>
      <c r="B27" s="55" t="s">
        <v>357</v>
      </c>
      <c r="C27" s="157">
        <v>2018</v>
      </c>
      <c r="D27" s="86" t="s">
        <v>358</v>
      </c>
      <c r="E27" s="157" t="s">
        <v>372</v>
      </c>
      <c r="F27" s="157" t="s">
        <v>373</v>
      </c>
      <c r="G27" s="55" t="s">
        <v>42</v>
      </c>
      <c r="H27" s="157" t="s">
        <v>157</v>
      </c>
      <c r="I27" s="55" t="s">
        <v>155</v>
      </c>
      <c r="J27" s="157" t="s">
        <v>38</v>
      </c>
      <c r="K27" s="157" t="s">
        <v>156</v>
      </c>
      <c r="L27" s="149">
        <v>2</v>
      </c>
      <c r="N27" s="149">
        <v>1</v>
      </c>
      <c r="O27" s="149">
        <v>0.6</v>
      </c>
      <c r="P27" s="149">
        <v>0.6</v>
      </c>
      <c r="Q27" s="186">
        <f t="shared" si="0"/>
        <v>0.6</v>
      </c>
      <c r="R27" s="149">
        <v>13.9</v>
      </c>
      <c r="S27" s="149">
        <v>165</v>
      </c>
      <c r="T27" s="158">
        <f t="shared" si="1"/>
        <v>22</v>
      </c>
      <c r="U27" s="149">
        <v>137</v>
      </c>
      <c r="V27" s="158">
        <f t="shared" si="2"/>
        <v>3014</v>
      </c>
      <c r="W27" s="149">
        <v>2</v>
      </c>
      <c r="X27" s="55" t="s">
        <v>46</v>
      </c>
      <c r="Y27" s="55" t="s">
        <v>47</v>
      </c>
      <c r="Z27" s="149" t="s">
        <v>86</v>
      </c>
      <c r="AA27" s="55" t="s">
        <v>55</v>
      </c>
      <c r="AB27" s="39" t="s">
        <v>316</v>
      </c>
      <c r="AP27" s="180" t="s">
        <v>118</v>
      </c>
    </row>
    <row r="28" spans="1:48" x14ac:dyDescent="0.15">
      <c r="A28" s="55" t="s">
        <v>56</v>
      </c>
      <c r="B28" s="55" t="s">
        <v>357</v>
      </c>
      <c r="C28" s="157">
        <v>2018</v>
      </c>
      <c r="D28" s="86" t="s">
        <v>358</v>
      </c>
      <c r="E28" s="157" t="s">
        <v>372</v>
      </c>
      <c r="F28" s="157" t="s">
        <v>373</v>
      </c>
      <c r="G28" s="55" t="s">
        <v>42</v>
      </c>
      <c r="H28" s="157" t="s">
        <v>157</v>
      </c>
      <c r="I28" s="55" t="s">
        <v>155</v>
      </c>
      <c r="J28" s="157" t="s">
        <v>38</v>
      </c>
      <c r="K28" s="157" t="s">
        <v>156</v>
      </c>
      <c r="L28" s="149">
        <v>3</v>
      </c>
      <c r="N28" s="149">
        <v>1</v>
      </c>
      <c r="O28" s="149">
        <v>0.55000000000000004</v>
      </c>
      <c r="P28" s="149">
        <v>0.55000000000000004</v>
      </c>
      <c r="Q28" s="186">
        <f t="shared" si="0"/>
        <v>0.55000000000000004</v>
      </c>
      <c r="R28" s="178">
        <v>15</v>
      </c>
      <c r="S28" s="149">
        <v>161</v>
      </c>
      <c r="T28" s="158">
        <f t="shared" si="1"/>
        <v>22</v>
      </c>
      <c r="U28" s="149">
        <v>137</v>
      </c>
      <c r="V28" s="158">
        <f t="shared" si="2"/>
        <v>3014</v>
      </c>
      <c r="W28" s="149">
        <v>2</v>
      </c>
      <c r="X28" s="55" t="s">
        <v>46</v>
      </c>
      <c r="Y28" s="55" t="s">
        <v>47</v>
      </c>
      <c r="Z28" s="149" t="s">
        <v>86</v>
      </c>
      <c r="AA28" s="55" t="s">
        <v>55</v>
      </c>
      <c r="AB28" s="39" t="s">
        <v>316</v>
      </c>
    </row>
    <row r="29" spans="1:48" x14ac:dyDescent="0.15">
      <c r="A29" s="55" t="s">
        <v>56</v>
      </c>
      <c r="B29" s="55" t="s">
        <v>357</v>
      </c>
      <c r="C29" s="157">
        <v>2018</v>
      </c>
      <c r="D29" s="86" t="s">
        <v>358</v>
      </c>
      <c r="E29" s="157" t="s">
        <v>372</v>
      </c>
      <c r="F29" s="157" t="s">
        <v>373</v>
      </c>
      <c r="G29" s="55" t="s">
        <v>42</v>
      </c>
      <c r="H29" s="157" t="s">
        <v>211</v>
      </c>
      <c r="I29" s="55" t="s">
        <v>155</v>
      </c>
      <c r="J29" s="157" t="s">
        <v>38</v>
      </c>
      <c r="K29" s="157" t="s">
        <v>156</v>
      </c>
      <c r="L29" s="149">
        <v>1</v>
      </c>
      <c r="N29" s="149">
        <v>6</v>
      </c>
      <c r="O29" s="149">
        <v>0.5</v>
      </c>
      <c r="P29" s="149">
        <v>0.5</v>
      </c>
      <c r="Q29" s="186">
        <f t="shared" si="0"/>
        <v>0.5</v>
      </c>
      <c r="R29" s="149">
        <v>14.4</v>
      </c>
      <c r="S29" s="149">
        <v>82</v>
      </c>
      <c r="T29" s="158">
        <f t="shared" si="1"/>
        <v>39</v>
      </c>
      <c r="U29" s="149">
        <v>431</v>
      </c>
      <c r="V29" s="158">
        <f t="shared" si="2"/>
        <v>2801.5</v>
      </c>
      <c r="W29" s="149">
        <v>2</v>
      </c>
      <c r="X29" s="55" t="s">
        <v>46</v>
      </c>
      <c r="Y29" s="55" t="s">
        <v>47</v>
      </c>
      <c r="Z29" s="149" t="s">
        <v>86</v>
      </c>
      <c r="AA29" s="55" t="s">
        <v>55</v>
      </c>
      <c r="AB29" s="39" t="s">
        <v>316</v>
      </c>
    </row>
    <row r="30" spans="1:48" x14ac:dyDescent="0.15">
      <c r="A30" s="55" t="s">
        <v>56</v>
      </c>
      <c r="B30" s="55" t="s">
        <v>357</v>
      </c>
      <c r="C30" s="157">
        <v>2018</v>
      </c>
      <c r="D30" s="86" t="s">
        <v>358</v>
      </c>
      <c r="E30" s="157" t="s">
        <v>372</v>
      </c>
      <c r="F30" s="157" t="s">
        <v>373</v>
      </c>
      <c r="G30" s="55" t="s">
        <v>42</v>
      </c>
      <c r="H30" s="157" t="s">
        <v>211</v>
      </c>
      <c r="I30" s="55" t="s">
        <v>155</v>
      </c>
      <c r="J30" s="157" t="s">
        <v>38</v>
      </c>
      <c r="K30" s="157" t="s">
        <v>156</v>
      </c>
      <c r="L30" s="149">
        <v>2</v>
      </c>
      <c r="N30" s="149">
        <v>6</v>
      </c>
      <c r="O30" s="149">
        <v>0.55000000000000004</v>
      </c>
      <c r="P30" s="149">
        <v>0.5</v>
      </c>
      <c r="Q30" s="186">
        <f t="shared" si="0"/>
        <v>0.52500000000000002</v>
      </c>
      <c r="R30" s="149">
        <v>17.899999999999999</v>
      </c>
      <c r="S30" s="149">
        <v>79</v>
      </c>
      <c r="T30" s="158">
        <f t="shared" si="1"/>
        <v>39</v>
      </c>
      <c r="U30" s="149">
        <v>431</v>
      </c>
      <c r="V30" s="158">
        <f t="shared" si="2"/>
        <v>2801.5</v>
      </c>
      <c r="W30" s="149">
        <v>2</v>
      </c>
      <c r="X30" s="55" t="s">
        <v>46</v>
      </c>
      <c r="Y30" s="55" t="s">
        <v>47</v>
      </c>
      <c r="Z30" s="149" t="s">
        <v>86</v>
      </c>
      <c r="AA30" s="55" t="s">
        <v>55</v>
      </c>
      <c r="AB30" s="39" t="s">
        <v>316</v>
      </c>
    </row>
    <row r="31" spans="1:48" x14ac:dyDescent="0.15">
      <c r="A31" s="55" t="s">
        <v>56</v>
      </c>
      <c r="B31" s="55" t="s">
        <v>357</v>
      </c>
      <c r="C31" s="157">
        <v>2018</v>
      </c>
      <c r="D31" s="86" t="s">
        <v>358</v>
      </c>
      <c r="E31" s="157" t="s">
        <v>372</v>
      </c>
      <c r="F31" s="157" t="s">
        <v>373</v>
      </c>
      <c r="G31" s="55" t="s">
        <v>42</v>
      </c>
      <c r="H31" s="157" t="s">
        <v>211</v>
      </c>
      <c r="I31" s="55" t="s">
        <v>155</v>
      </c>
      <c r="J31" s="157" t="s">
        <v>38</v>
      </c>
      <c r="K31" s="157" t="s">
        <v>156</v>
      </c>
      <c r="L31" s="149">
        <v>3</v>
      </c>
      <c r="N31" s="149">
        <v>6</v>
      </c>
      <c r="O31" s="149">
        <v>0.6</v>
      </c>
      <c r="P31" s="149">
        <v>0.65</v>
      </c>
      <c r="Q31" s="186">
        <f t="shared" si="0"/>
        <v>0.625</v>
      </c>
      <c r="R31" s="178">
        <v>14</v>
      </c>
      <c r="S31" s="149">
        <v>80</v>
      </c>
      <c r="T31" s="158">
        <f t="shared" si="1"/>
        <v>39</v>
      </c>
      <c r="U31" s="149">
        <v>431</v>
      </c>
      <c r="V31" s="158">
        <f t="shared" si="2"/>
        <v>2801.5</v>
      </c>
      <c r="W31" s="149">
        <v>2</v>
      </c>
      <c r="X31" s="55" t="s">
        <v>46</v>
      </c>
      <c r="Y31" s="55" t="s">
        <v>47</v>
      </c>
      <c r="Z31" s="149" t="s">
        <v>86</v>
      </c>
      <c r="AA31" s="55" t="s">
        <v>55</v>
      </c>
      <c r="AB31" s="39" t="s">
        <v>316</v>
      </c>
    </row>
    <row r="32" spans="1:48" x14ac:dyDescent="0.15">
      <c r="A32" s="55" t="s">
        <v>56</v>
      </c>
      <c r="B32" s="55" t="s">
        <v>357</v>
      </c>
      <c r="C32" s="157">
        <v>2018</v>
      </c>
      <c r="D32" s="86" t="s">
        <v>358</v>
      </c>
      <c r="E32" s="157" t="s">
        <v>372</v>
      </c>
      <c r="F32" s="157" t="s">
        <v>373</v>
      </c>
      <c r="G32" s="55" t="s">
        <v>42</v>
      </c>
      <c r="H32" s="157" t="s">
        <v>162</v>
      </c>
      <c r="I32" s="55" t="s">
        <v>155</v>
      </c>
      <c r="J32" s="157" t="s">
        <v>38</v>
      </c>
      <c r="K32" s="157" t="s">
        <v>156</v>
      </c>
      <c r="L32" s="149">
        <v>1</v>
      </c>
      <c r="N32" s="149">
        <v>1</v>
      </c>
      <c r="O32" s="149">
        <v>0.5</v>
      </c>
      <c r="P32" s="149">
        <v>0.5</v>
      </c>
      <c r="Q32" s="186">
        <f t="shared" si="0"/>
        <v>0.5</v>
      </c>
      <c r="R32" s="149">
        <v>16.3</v>
      </c>
      <c r="S32" s="149">
        <v>161</v>
      </c>
      <c r="T32" s="158">
        <f t="shared" si="1"/>
        <v>22</v>
      </c>
      <c r="U32" s="149">
        <v>148</v>
      </c>
      <c r="V32" s="158">
        <f t="shared" si="2"/>
        <v>3256</v>
      </c>
      <c r="W32" s="149">
        <v>4</v>
      </c>
      <c r="X32" s="55" t="s">
        <v>46</v>
      </c>
      <c r="Y32" s="55" t="s">
        <v>47</v>
      </c>
      <c r="Z32" s="149" t="s">
        <v>86</v>
      </c>
      <c r="AA32" s="55" t="s">
        <v>55</v>
      </c>
      <c r="AB32" s="39" t="s">
        <v>316</v>
      </c>
    </row>
    <row r="33" spans="1:28" x14ac:dyDescent="0.15">
      <c r="A33" s="55" t="s">
        <v>56</v>
      </c>
      <c r="B33" s="55" t="s">
        <v>357</v>
      </c>
      <c r="C33" s="157">
        <v>2018</v>
      </c>
      <c r="D33" s="86" t="s">
        <v>358</v>
      </c>
      <c r="E33" s="157" t="s">
        <v>372</v>
      </c>
      <c r="F33" s="157" t="s">
        <v>373</v>
      </c>
      <c r="G33" s="55" t="s">
        <v>42</v>
      </c>
      <c r="H33" s="157" t="s">
        <v>162</v>
      </c>
      <c r="I33" s="55" t="s">
        <v>155</v>
      </c>
      <c r="J33" s="157" t="s">
        <v>38</v>
      </c>
      <c r="K33" s="157" t="s">
        <v>156</v>
      </c>
      <c r="L33" s="149">
        <v>2</v>
      </c>
      <c r="N33" s="149">
        <v>1</v>
      </c>
      <c r="O33" s="149">
        <v>0.5</v>
      </c>
      <c r="P33" s="149">
        <v>0.5</v>
      </c>
      <c r="Q33" s="186">
        <f t="shared" si="0"/>
        <v>0.5</v>
      </c>
      <c r="R33" s="149">
        <v>17.100000000000001</v>
      </c>
      <c r="S33" s="149">
        <v>173</v>
      </c>
      <c r="T33" s="158">
        <f t="shared" si="1"/>
        <v>22</v>
      </c>
      <c r="U33" s="149">
        <v>148</v>
      </c>
      <c r="V33" s="158">
        <f t="shared" si="2"/>
        <v>3256</v>
      </c>
      <c r="W33" s="149">
        <v>4</v>
      </c>
      <c r="X33" s="55" t="s">
        <v>46</v>
      </c>
      <c r="Y33" s="55" t="s">
        <v>47</v>
      </c>
      <c r="Z33" s="149" t="s">
        <v>86</v>
      </c>
      <c r="AA33" s="55" t="s">
        <v>55</v>
      </c>
      <c r="AB33" s="39" t="s">
        <v>316</v>
      </c>
    </row>
    <row r="34" spans="1:28" x14ac:dyDescent="0.15">
      <c r="A34" s="55" t="s">
        <v>56</v>
      </c>
      <c r="B34" s="55" t="s">
        <v>357</v>
      </c>
      <c r="C34" s="157">
        <v>2018</v>
      </c>
      <c r="D34" s="86" t="s">
        <v>358</v>
      </c>
      <c r="E34" s="157" t="s">
        <v>372</v>
      </c>
      <c r="F34" s="157" t="s">
        <v>373</v>
      </c>
      <c r="G34" s="55" t="s">
        <v>42</v>
      </c>
      <c r="H34" s="157" t="s">
        <v>162</v>
      </c>
      <c r="I34" s="55" t="s">
        <v>155</v>
      </c>
      <c r="J34" s="157" t="s">
        <v>38</v>
      </c>
      <c r="K34" s="157" t="s">
        <v>156</v>
      </c>
      <c r="L34" s="149">
        <v>3</v>
      </c>
      <c r="N34" s="149">
        <v>1</v>
      </c>
      <c r="O34" s="149">
        <v>0.5</v>
      </c>
      <c r="P34" s="149">
        <v>0.5</v>
      </c>
      <c r="Q34" s="186">
        <f t="shared" si="0"/>
        <v>0.5</v>
      </c>
      <c r="R34" s="178">
        <v>16.899999999999999</v>
      </c>
      <c r="S34" s="149">
        <v>168</v>
      </c>
      <c r="T34" s="158">
        <f t="shared" si="1"/>
        <v>22</v>
      </c>
      <c r="U34" s="149">
        <v>148</v>
      </c>
      <c r="V34" s="158">
        <f t="shared" si="2"/>
        <v>3256</v>
      </c>
      <c r="W34" s="149">
        <v>4</v>
      </c>
      <c r="X34" s="55" t="s">
        <v>46</v>
      </c>
      <c r="Y34" s="55" t="s">
        <v>47</v>
      </c>
      <c r="Z34" s="149" t="s">
        <v>86</v>
      </c>
      <c r="AA34" s="55" t="s">
        <v>55</v>
      </c>
      <c r="AB34" s="39" t="s">
        <v>316</v>
      </c>
    </row>
    <row r="35" spans="1:28" x14ac:dyDescent="0.15">
      <c r="A35" s="55" t="s">
        <v>56</v>
      </c>
      <c r="B35" s="55" t="s">
        <v>357</v>
      </c>
      <c r="C35" s="157">
        <v>2018</v>
      </c>
      <c r="D35" s="86" t="s">
        <v>358</v>
      </c>
      <c r="E35" s="157" t="s">
        <v>285</v>
      </c>
      <c r="F35" s="157" t="s">
        <v>174</v>
      </c>
      <c r="G35" s="55" t="s">
        <v>42</v>
      </c>
      <c r="H35" s="157" t="s">
        <v>157</v>
      </c>
      <c r="I35" s="55" t="s">
        <v>155</v>
      </c>
      <c r="J35" s="157" t="s">
        <v>38</v>
      </c>
      <c r="K35" s="157" t="s">
        <v>156</v>
      </c>
      <c r="L35" s="149">
        <v>1</v>
      </c>
      <c r="N35" s="149">
        <v>1</v>
      </c>
      <c r="O35" s="149">
        <v>0.55000000000000004</v>
      </c>
      <c r="P35" s="149">
        <v>0.55000000000000004</v>
      </c>
      <c r="Q35" s="186">
        <f t="shared" si="0"/>
        <v>0.55000000000000004</v>
      </c>
      <c r="R35" s="149">
        <v>15.3</v>
      </c>
      <c r="S35" s="149">
        <v>117</v>
      </c>
      <c r="T35" s="158">
        <f t="shared" si="1"/>
        <v>30</v>
      </c>
      <c r="U35" s="149">
        <v>105</v>
      </c>
      <c r="V35" s="158">
        <f t="shared" si="2"/>
        <v>3150</v>
      </c>
      <c r="W35" s="149">
        <v>2</v>
      </c>
      <c r="X35" s="55" t="s">
        <v>46</v>
      </c>
      <c r="Y35" s="55" t="s">
        <v>55</v>
      </c>
      <c r="Z35" s="149" t="s">
        <v>47</v>
      </c>
      <c r="AA35" s="55" t="s">
        <v>86</v>
      </c>
      <c r="AB35" s="39" t="s">
        <v>316</v>
      </c>
    </row>
    <row r="36" spans="1:28" x14ac:dyDescent="0.15">
      <c r="A36" s="55" t="s">
        <v>56</v>
      </c>
      <c r="B36" s="55" t="s">
        <v>357</v>
      </c>
      <c r="C36" s="157">
        <v>2018</v>
      </c>
      <c r="D36" s="86" t="s">
        <v>358</v>
      </c>
      <c r="E36" s="157" t="s">
        <v>285</v>
      </c>
      <c r="F36" s="157" t="s">
        <v>174</v>
      </c>
      <c r="G36" s="55" t="s">
        <v>42</v>
      </c>
      <c r="H36" s="157" t="s">
        <v>157</v>
      </c>
      <c r="I36" s="55" t="s">
        <v>155</v>
      </c>
      <c r="J36" s="157" t="s">
        <v>38</v>
      </c>
      <c r="K36" s="157" t="s">
        <v>156</v>
      </c>
      <c r="L36" s="149">
        <v>2</v>
      </c>
      <c r="N36" s="149">
        <v>1</v>
      </c>
      <c r="O36" s="149">
        <v>0.55000000000000004</v>
      </c>
      <c r="P36" s="149">
        <v>0.5</v>
      </c>
      <c r="Q36" s="186">
        <f t="shared" si="0"/>
        <v>0.52500000000000002</v>
      </c>
      <c r="R36" s="149">
        <v>15.3</v>
      </c>
      <c r="S36" s="149">
        <v>111</v>
      </c>
      <c r="T36" s="158">
        <f t="shared" si="1"/>
        <v>33</v>
      </c>
      <c r="U36" s="149">
        <v>105</v>
      </c>
      <c r="V36" s="158">
        <f t="shared" si="2"/>
        <v>3465</v>
      </c>
      <c r="W36" s="149">
        <v>2</v>
      </c>
      <c r="X36" s="55" t="s">
        <v>46</v>
      </c>
      <c r="Y36" s="55" t="s">
        <v>55</v>
      </c>
      <c r="Z36" s="149" t="s">
        <v>47</v>
      </c>
      <c r="AA36" s="55" t="s">
        <v>86</v>
      </c>
      <c r="AB36" s="39" t="s">
        <v>316</v>
      </c>
    </row>
    <row r="37" spans="1:28" x14ac:dyDescent="0.15">
      <c r="A37" s="55" t="s">
        <v>56</v>
      </c>
      <c r="B37" s="55" t="s">
        <v>357</v>
      </c>
      <c r="C37" s="157">
        <v>2018</v>
      </c>
      <c r="D37" s="86" t="s">
        <v>358</v>
      </c>
      <c r="E37" s="157" t="s">
        <v>285</v>
      </c>
      <c r="F37" s="157" t="s">
        <v>174</v>
      </c>
      <c r="G37" s="55" t="s">
        <v>42</v>
      </c>
      <c r="H37" s="157" t="s">
        <v>157</v>
      </c>
      <c r="I37" s="55" t="s">
        <v>155</v>
      </c>
      <c r="J37" s="157" t="s">
        <v>38</v>
      </c>
      <c r="K37" s="157" t="s">
        <v>156</v>
      </c>
      <c r="L37" s="149">
        <v>3</v>
      </c>
      <c r="N37" s="149">
        <v>1</v>
      </c>
      <c r="O37" s="149">
        <v>0.6</v>
      </c>
      <c r="P37" s="149">
        <v>0.55000000000000004</v>
      </c>
      <c r="Q37" s="186">
        <f t="shared" si="0"/>
        <v>0.57499999999999996</v>
      </c>
      <c r="R37" s="178">
        <v>13.6</v>
      </c>
      <c r="S37" s="149">
        <v>118</v>
      </c>
      <c r="T37" s="158">
        <f t="shared" si="1"/>
        <v>30</v>
      </c>
      <c r="U37" s="149">
        <v>105</v>
      </c>
      <c r="V37" s="158">
        <f t="shared" si="2"/>
        <v>3150</v>
      </c>
      <c r="W37" s="149">
        <v>2</v>
      </c>
      <c r="X37" s="55" t="s">
        <v>46</v>
      </c>
      <c r="Y37" s="55" t="s">
        <v>55</v>
      </c>
      <c r="Z37" s="149" t="s">
        <v>47</v>
      </c>
      <c r="AA37" s="55" t="s">
        <v>86</v>
      </c>
      <c r="AB37" s="39" t="s">
        <v>316</v>
      </c>
    </row>
    <row r="38" spans="1:28" x14ac:dyDescent="0.15">
      <c r="A38" s="55" t="s">
        <v>56</v>
      </c>
      <c r="B38" s="55" t="s">
        <v>357</v>
      </c>
      <c r="C38" s="157">
        <v>2018</v>
      </c>
      <c r="D38" s="86" t="s">
        <v>358</v>
      </c>
      <c r="E38" s="157" t="s">
        <v>285</v>
      </c>
      <c r="F38" s="157" t="s">
        <v>174</v>
      </c>
      <c r="G38" s="55" t="s">
        <v>42</v>
      </c>
      <c r="H38" s="157" t="s">
        <v>211</v>
      </c>
      <c r="I38" s="55" t="s">
        <v>155</v>
      </c>
      <c r="J38" s="157" t="s">
        <v>38</v>
      </c>
      <c r="K38" s="157" t="s">
        <v>156</v>
      </c>
      <c r="L38" s="149">
        <v>1</v>
      </c>
      <c r="N38" s="149">
        <v>1</v>
      </c>
      <c r="O38" s="149">
        <v>0.55000000000000004</v>
      </c>
      <c r="P38" s="149">
        <v>0.55000000000000004</v>
      </c>
      <c r="Q38" s="186">
        <f t="shared" si="0"/>
        <v>0.55000000000000004</v>
      </c>
      <c r="R38" s="149">
        <v>16.2</v>
      </c>
      <c r="S38" s="149">
        <v>126</v>
      </c>
      <c r="T38" s="158">
        <f t="shared" si="1"/>
        <v>27</v>
      </c>
      <c r="U38" s="149">
        <v>105</v>
      </c>
      <c r="V38" s="158">
        <f t="shared" si="2"/>
        <v>2835</v>
      </c>
      <c r="W38" s="149">
        <v>2</v>
      </c>
      <c r="X38" s="55" t="s">
        <v>46</v>
      </c>
      <c r="Y38" s="55" t="s">
        <v>55</v>
      </c>
      <c r="Z38" s="149" t="s">
        <v>47</v>
      </c>
      <c r="AA38" s="55" t="s">
        <v>86</v>
      </c>
      <c r="AB38" s="39" t="s">
        <v>316</v>
      </c>
    </row>
    <row r="39" spans="1:28" x14ac:dyDescent="0.15">
      <c r="A39" s="55" t="s">
        <v>56</v>
      </c>
      <c r="B39" s="55" t="s">
        <v>357</v>
      </c>
      <c r="C39" s="157">
        <v>2018</v>
      </c>
      <c r="D39" s="86" t="s">
        <v>358</v>
      </c>
      <c r="E39" s="157" t="s">
        <v>285</v>
      </c>
      <c r="F39" s="157" t="s">
        <v>174</v>
      </c>
      <c r="G39" s="55" t="s">
        <v>42</v>
      </c>
      <c r="H39" s="157" t="s">
        <v>211</v>
      </c>
      <c r="I39" s="55" t="s">
        <v>155</v>
      </c>
      <c r="J39" s="157" t="s">
        <v>38</v>
      </c>
      <c r="K39" s="157" t="s">
        <v>156</v>
      </c>
      <c r="L39" s="149">
        <v>2</v>
      </c>
      <c r="N39" s="149">
        <v>1</v>
      </c>
      <c r="O39" s="149">
        <v>0.5</v>
      </c>
      <c r="P39" s="149">
        <v>0.55000000000000004</v>
      </c>
      <c r="Q39" s="186">
        <f t="shared" si="0"/>
        <v>0.52500000000000002</v>
      </c>
      <c r="R39" s="149">
        <v>17.399999999999999</v>
      </c>
      <c r="S39" s="149">
        <v>124</v>
      </c>
      <c r="T39" s="158">
        <f t="shared" si="1"/>
        <v>27</v>
      </c>
      <c r="U39" s="149">
        <v>105</v>
      </c>
      <c r="V39" s="158">
        <f t="shared" si="2"/>
        <v>2835</v>
      </c>
      <c r="W39" s="149">
        <v>2</v>
      </c>
      <c r="X39" s="55" t="s">
        <v>46</v>
      </c>
      <c r="Y39" s="55" t="s">
        <v>55</v>
      </c>
      <c r="Z39" s="149" t="s">
        <v>47</v>
      </c>
      <c r="AA39" s="55" t="s">
        <v>86</v>
      </c>
      <c r="AB39" s="39" t="s">
        <v>316</v>
      </c>
    </row>
    <row r="40" spans="1:28" x14ac:dyDescent="0.15">
      <c r="A40" s="55" t="s">
        <v>56</v>
      </c>
      <c r="B40" s="55" t="s">
        <v>357</v>
      </c>
      <c r="C40" s="157">
        <v>2018</v>
      </c>
      <c r="D40" s="86" t="s">
        <v>358</v>
      </c>
      <c r="E40" s="157" t="s">
        <v>285</v>
      </c>
      <c r="F40" s="157" t="s">
        <v>174</v>
      </c>
      <c r="G40" s="55" t="s">
        <v>42</v>
      </c>
      <c r="H40" s="157" t="s">
        <v>211</v>
      </c>
      <c r="I40" s="55" t="s">
        <v>155</v>
      </c>
      <c r="J40" s="157" t="s">
        <v>38</v>
      </c>
      <c r="K40" s="157" t="s">
        <v>156</v>
      </c>
      <c r="L40" s="149">
        <v>3</v>
      </c>
      <c r="N40" s="149">
        <v>1</v>
      </c>
      <c r="O40" s="149">
        <v>0.55000000000000004</v>
      </c>
      <c r="P40" s="149">
        <v>0.55000000000000004</v>
      </c>
      <c r="Q40" s="186">
        <f t="shared" si="0"/>
        <v>0.55000000000000004</v>
      </c>
      <c r="R40" s="149">
        <v>19.100000000000001</v>
      </c>
      <c r="S40" s="149">
        <v>125</v>
      </c>
      <c r="T40" s="158">
        <f t="shared" si="1"/>
        <v>27</v>
      </c>
      <c r="U40" s="149">
        <v>105</v>
      </c>
      <c r="V40" s="158">
        <f t="shared" si="2"/>
        <v>2835</v>
      </c>
      <c r="W40" s="149">
        <v>2</v>
      </c>
      <c r="X40" s="55" t="s">
        <v>46</v>
      </c>
      <c r="Y40" s="55" t="s">
        <v>55</v>
      </c>
      <c r="Z40" s="149" t="s">
        <v>47</v>
      </c>
      <c r="AA40" s="55" t="s">
        <v>86</v>
      </c>
      <c r="AB40" s="39" t="s">
        <v>316</v>
      </c>
    </row>
    <row r="41" spans="1:28" x14ac:dyDescent="0.15">
      <c r="A41" s="55" t="s">
        <v>56</v>
      </c>
      <c r="B41" s="55" t="s">
        <v>357</v>
      </c>
      <c r="C41" s="157">
        <v>2018</v>
      </c>
      <c r="D41" s="86" t="s">
        <v>358</v>
      </c>
      <c r="E41" s="157" t="s">
        <v>285</v>
      </c>
      <c r="F41" s="157" t="s">
        <v>174</v>
      </c>
      <c r="G41" s="55" t="s">
        <v>42</v>
      </c>
      <c r="H41" s="157" t="s">
        <v>162</v>
      </c>
      <c r="I41" s="55" t="s">
        <v>155</v>
      </c>
      <c r="J41" s="157" t="s">
        <v>38</v>
      </c>
      <c r="K41" s="157" t="s">
        <v>156</v>
      </c>
      <c r="L41" s="149">
        <v>1</v>
      </c>
      <c r="N41" s="149">
        <v>1</v>
      </c>
      <c r="O41" s="149">
        <v>0.65</v>
      </c>
      <c r="P41" s="149">
        <v>0.65</v>
      </c>
      <c r="Q41" s="186">
        <f t="shared" si="0"/>
        <v>0.65</v>
      </c>
      <c r="R41" s="149">
        <v>16.7</v>
      </c>
      <c r="S41" s="149">
        <v>144</v>
      </c>
      <c r="T41" s="158">
        <f t="shared" si="1"/>
        <v>22</v>
      </c>
      <c r="U41" s="149">
        <v>159</v>
      </c>
      <c r="V41" s="158">
        <f t="shared" si="2"/>
        <v>3498</v>
      </c>
      <c r="W41" s="149">
        <v>2</v>
      </c>
      <c r="X41" s="55" t="s">
        <v>46</v>
      </c>
      <c r="Y41" s="55" t="s">
        <v>55</v>
      </c>
      <c r="Z41" s="149" t="s">
        <v>47</v>
      </c>
      <c r="AA41" s="55" t="s">
        <v>86</v>
      </c>
      <c r="AB41" s="39" t="s">
        <v>316</v>
      </c>
    </row>
    <row r="42" spans="1:28" x14ac:dyDescent="0.15">
      <c r="A42" s="55" t="s">
        <v>56</v>
      </c>
      <c r="B42" s="55" t="s">
        <v>357</v>
      </c>
      <c r="C42" s="157">
        <v>2018</v>
      </c>
      <c r="D42" s="86" t="s">
        <v>358</v>
      </c>
      <c r="E42" s="157" t="s">
        <v>285</v>
      </c>
      <c r="F42" s="157" t="s">
        <v>174</v>
      </c>
      <c r="G42" s="55" t="s">
        <v>42</v>
      </c>
      <c r="H42" s="157" t="s">
        <v>162</v>
      </c>
      <c r="I42" s="55" t="s">
        <v>155</v>
      </c>
      <c r="J42" s="157" t="s">
        <v>38</v>
      </c>
      <c r="K42" s="157" t="s">
        <v>156</v>
      </c>
      <c r="L42" s="149">
        <v>2</v>
      </c>
      <c r="N42" s="149">
        <v>1</v>
      </c>
      <c r="O42" s="149">
        <v>0.6</v>
      </c>
      <c r="P42" s="149">
        <v>0.6</v>
      </c>
      <c r="Q42" s="186">
        <f t="shared" si="0"/>
        <v>0.6</v>
      </c>
      <c r="R42" s="149">
        <v>17.100000000000001</v>
      </c>
      <c r="S42" s="149">
        <v>148</v>
      </c>
      <c r="T42" s="158">
        <f t="shared" si="1"/>
        <v>22</v>
      </c>
      <c r="U42" s="149">
        <v>159</v>
      </c>
      <c r="V42" s="158">
        <f t="shared" si="2"/>
        <v>3498</v>
      </c>
      <c r="W42" s="149">
        <v>2</v>
      </c>
      <c r="X42" s="55" t="s">
        <v>46</v>
      </c>
      <c r="Y42" s="55" t="s">
        <v>55</v>
      </c>
      <c r="Z42" s="149" t="s">
        <v>47</v>
      </c>
      <c r="AA42" s="55" t="s">
        <v>86</v>
      </c>
      <c r="AB42" s="39" t="s">
        <v>316</v>
      </c>
    </row>
    <row r="43" spans="1:28" x14ac:dyDescent="0.15">
      <c r="A43" s="55" t="s">
        <v>56</v>
      </c>
      <c r="B43" s="55" t="s">
        <v>357</v>
      </c>
      <c r="C43" s="157">
        <v>2018</v>
      </c>
      <c r="D43" s="86" t="s">
        <v>358</v>
      </c>
      <c r="E43" s="157" t="s">
        <v>285</v>
      </c>
      <c r="F43" s="157" t="s">
        <v>174</v>
      </c>
      <c r="G43" s="55" t="s">
        <v>42</v>
      </c>
      <c r="H43" s="157" t="s">
        <v>162</v>
      </c>
      <c r="I43" s="55" t="s">
        <v>155</v>
      </c>
      <c r="J43" s="157" t="s">
        <v>38</v>
      </c>
      <c r="K43" s="157" t="s">
        <v>156</v>
      </c>
      <c r="L43" s="149">
        <v>3</v>
      </c>
      <c r="N43" s="149">
        <v>1</v>
      </c>
      <c r="O43" s="149">
        <v>0.7</v>
      </c>
      <c r="P43" s="149">
        <v>0.75</v>
      </c>
      <c r="Q43" s="186">
        <f t="shared" si="0"/>
        <v>0.72499999999999998</v>
      </c>
      <c r="R43" s="149">
        <v>16.399999999999999</v>
      </c>
      <c r="S43" s="149">
        <v>148</v>
      </c>
      <c r="T43" s="158">
        <f t="shared" si="1"/>
        <v>22</v>
      </c>
      <c r="U43" s="149">
        <v>159</v>
      </c>
      <c r="V43" s="158">
        <f t="shared" si="2"/>
        <v>3498</v>
      </c>
      <c r="W43" s="149">
        <v>2</v>
      </c>
      <c r="X43" s="55" t="s">
        <v>46</v>
      </c>
      <c r="Y43" s="55" t="s">
        <v>55</v>
      </c>
      <c r="Z43" s="149" t="s">
        <v>47</v>
      </c>
      <c r="AA43" s="55" t="s">
        <v>86</v>
      </c>
      <c r="AB43" s="39" t="s">
        <v>316</v>
      </c>
    </row>
    <row r="44" spans="1:28" x14ac:dyDescent="0.15">
      <c r="A44" s="55" t="s">
        <v>56</v>
      </c>
      <c r="B44" s="55" t="s">
        <v>357</v>
      </c>
      <c r="C44" s="157">
        <v>2018</v>
      </c>
      <c r="D44" s="86" t="s">
        <v>358</v>
      </c>
      <c r="E44" s="157" t="s">
        <v>374</v>
      </c>
      <c r="F44" s="157" t="s">
        <v>174</v>
      </c>
      <c r="G44" s="55" t="s">
        <v>42</v>
      </c>
      <c r="H44" s="157" t="s">
        <v>157</v>
      </c>
      <c r="I44" s="55" t="s">
        <v>155</v>
      </c>
      <c r="J44" s="157" t="s">
        <v>38</v>
      </c>
      <c r="K44" s="157" t="s">
        <v>156</v>
      </c>
      <c r="L44" s="149">
        <v>1</v>
      </c>
      <c r="N44" s="149">
        <v>1</v>
      </c>
      <c r="O44" s="149">
        <v>0.65</v>
      </c>
      <c r="P44" s="149">
        <v>0.75</v>
      </c>
      <c r="Q44" s="158">
        <f t="shared" si="0"/>
        <v>0.7</v>
      </c>
      <c r="R44" s="149">
        <v>12.2</v>
      </c>
      <c r="S44" s="149">
        <v>134</v>
      </c>
      <c r="T44" s="158">
        <f t="shared" si="1"/>
        <v>25</v>
      </c>
      <c r="U44" s="149">
        <v>138</v>
      </c>
      <c r="V44" s="158">
        <f t="shared" si="2"/>
        <v>3450</v>
      </c>
      <c r="W44" s="149">
        <v>1</v>
      </c>
      <c r="X44" s="55" t="s">
        <v>39</v>
      </c>
      <c r="Y44" s="55" t="s">
        <v>40</v>
      </c>
      <c r="Z44" s="149" t="s">
        <v>47</v>
      </c>
      <c r="AA44" s="55" t="s">
        <v>90</v>
      </c>
      <c r="AB44" s="39" t="s">
        <v>316</v>
      </c>
    </row>
    <row r="45" spans="1:28" x14ac:dyDescent="0.15">
      <c r="A45" s="55" t="s">
        <v>56</v>
      </c>
      <c r="B45" s="55" t="s">
        <v>357</v>
      </c>
      <c r="C45" s="157">
        <v>2018</v>
      </c>
      <c r="D45" s="86" t="s">
        <v>358</v>
      </c>
      <c r="E45" s="157" t="s">
        <v>374</v>
      </c>
      <c r="F45" s="157" t="s">
        <v>174</v>
      </c>
      <c r="G45" s="55" t="s">
        <v>42</v>
      </c>
      <c r="H45" s="157" t="s">
        <v>157</v>
      </c>
      <c r="I45" s="55" t="s">
        <v>155</v>
      </c>
      <c r="J45" s="157" t="s">
        <v>38</v>
      </c>
      <c r="K45" s="157" t="s">
        <v>156</v>
      </c>
      <c r="L45" s="149">
        <v>2</v>
      </c>
      <c r="N45" s="149">
        <v>1</v>
      </c>
      <c r="O45" s="149">
        <v>0.65</v>
      </c>
      <c r="P45" s="149">
        <v>0.65</v>
      </c>
      <c r="Q45" s="158">
        <f t="shared" si="0"/>
        <v>0.65</v>
      </c>
      <c r="R45" s="149">
        <v>11.9</v>
      </c>
      <c r="S45" s="149">
        <v>130</v>
      </c>
      <c r="T45" s="158">
        <f t="shared" si="1"/>
        <v>25</v>
      </c>
      <c r="U45" s="149">
        <v>138</v>
      </c>
      <c r="V45" s="158">
        <f t="shared" si="2"/>
        <v>3450</v>
      </c>
      <c r="W45" s="149">
        <v>1</v>
      </c>
      <c r="X45" s="55" t="s">
        <v>39</v>
      </c>
      <c r="Y45" s="55" t="s">
        <v>40</v>
      </c>
      <c r="Z45" s="149" t="s">
        <v>47</v>
      </c>
      <c r="AA45" s="55" t="s">
        <v>90</v>
      </c>
      <c r="AB45" s="39" t="s">
        <v>316</v>
      </c>
    </row>
    <row r="46" spans="1:28" x14ac:dyDescent="0.15">
      <c r="A46" s="55" t="s">
        <v>56</v>
      </c>
      <c r="B46" s="55" t="s">
        <v>357</v>
      </c>
      <c r="C46" s="157">
        <v>2018</v>
      </c>
      <c r="D46" s="86" t="s">
        <v>358</v>
      </c>
      <c r="E46" s="157" t="s">
        <v>374</v>
      </c>
      <c r="F46" s="157" t="s">
        <v>174</v>
      </c>
      <c r="G46" s="55" t="s">
        <v>42</v>
      </c>
      <c r="H46" s="157" t="s">
        <v>157</v>
      </c>
      <c r="I46" s="55" t="s">
        <v>155</v>
      </c>
      <c r="J46" s="157" t="s">
        <v>38</v>
      </c>
      <c r="K46" s="157" t="s">
        <v>156</v>
      </c>
      <c r="L46" s="149">
        <v>3</v>
      </c>
      <c r="N46" s="149">
        <v>1</v>
      </c>
      <c r="O46" s="149">
        <v>0.65</v>
      </c>
      <c r="P46" s="149">
        <v>0.75</v>
      </c>
      <c r="Q46" s="158">
        <f t="shared" si="0"/>
        <v>0.7</v>
      </c>
      <c r="R46" s="149">
        <v>12.3</v>
      </c>
      <c r="S46" s="149">
        <v>132</v>
      </c>
      <c r="T46" s="158">
        <f t="shared" si="1"/>
        <v>25</v>
      </c>
      <c r="U46" s="149">
        <v>138</v>
      </c>
      <c r="V46" s="158">
        <f t="shared" si="2"/>
        <v>3450</v>
      </c>
      <c r="W46" s="149">
        <v>1</v>
      </c>
      <c r="X46" s="55" t="s">
        <v>39</v>
      </c>
      <c r="Y46" s="55" t="s">
        <v>40</v>
      </c>
      <c r="Z46" s="149" t="s">
        <v>47</v>
      </c>
      <c r="AA46" s="55" t="s">
        <v>90</v>
      </c>
      <c r="AB46" s="39" t="s">
        <v>316</v>
      </c>
    </row>
    <row r="47" spans="1:28" x14ac:dyDescent="0.15">
      <c r="A47" s="55" t="s">
        <v>56</v>
      </c>
      <c r="B47" s="55" t="s">
        <v>357</v>
      </c>
      <c r="C47" s="157">
        <v>2018</v>
      </c>
      <c r="D47" s="86" t="s">
        <v>358</v>
      </c>
      <c r="E47" s="157" t="s">
        <v>374</v>
      </c>
      <c r="F47" s="157" t="s">
        <v>174</v>
      </c>
      <c r="G47" s="55" t="s">
        <v>42</v>
      </c>
      <c r="H47" s="157" t="s">
        <v>162</v>
      </c>
      <c r="I47" s="55" t="s">
        <v>155</v>
      </c>
      <c r="J47" s="157" t="s">
        <v>38</v>
      </c>
      <c r="K47" s="157" t="s">
        <v>156</v>
      </c>
      <c r="L47" s="149">
        <v>1</v>
      </c>
      <c r="N47" s="149">
        <v>1</v>
      </c>
      <c r="O47" s="149">
        <v>0.75</v>
      </c>
      <c r="P47" s="149">
        <v>0.75</v>
      </c>
      <c r="Q47" s="158">
        <f t="shared" si="0"/>
        <v>0.75</v>
      </c>
      <c r="R47" s="149">
        <v>17.100000000000001</v>
      </c>
      <c r="S47" s="149">
        <v>128</v>
      </c>
      <c r="T47" s="158">
        <f t="shared" si="1"/>
        <v>27</v>
      </c>
      <c r="U47" s="149">
        <v>178</v>
      </c>
      <c r="V47" s="158">
        <f t="shared" si="2"/>
        <v>4806</v>
      </c>
      <c r="W47" s="149">
        <v>1</v>
      </c>
      <c r="X47" s="55" t="s">
        <v>39</v>
      </c>
      <c r="Y47" s="55" t="s">
        <v>40</v>
      </c>
      <c r="Z47" s="149" t="s">
        <v>47</v>
      </c>
      <c r="AA47" s="55" t="s">
        <v>90</v>
      </c>
      <c r="AB47" s="39" t="s">
        <v>316</v>
      </c>
    </row>
    <row r="48" spans="1:28" x14ac:dyDescent="0.15">
      <c r="A48" s="55" t="s">
        <v>56</v>
      </c>
      <c r="B48" s="55" t="s">
        <v>357</v>
      </c>
      <c r="C48" s="157">
        <v>2018</v>
      </c>
      <c r="D48" s="86" t="s">
        <v>358</v>
      </c>
      <c r="E48" s="157" t="s">
        <v>374</v>
      </c>
      <c r="F48" s="157" t="s">
        <v>174</v>
      </c>
      <c r="G48" s="55" t="s">
        <v>42</v>
      </c>
      <c r="H48" s="157" t="s">
        <v>162</v>
      </c>
      <c r="I48" s="55" t="s">
        <v>155</v>
      </c>
      <c r="J48" s="157" t="s">
        <v>38</v>
      </c>
      <c r="K48" s="157" t="s">
        <v>156</v>
      </c>
      <c r="L48" s="149">
        <v>2</v>
      </c>
      <c r="N48" s="149">
        <v>1</v>
      </c>
      <c r="O48" s="149">
        <v>0.65</v>
      </c>
      <c r="P48" s="149">
        <v>0.6</v>
      </c>
      <c r="Q48" s="158">
        <f t="shared" si="0"/>
        <v>0.625</v>
      </c>
      <c r="R48" s="149">
        <v>16.8</v>
      </c>
      <c r="S48" s="149">
        <v>133</v>
      </c>
      <c r="T48" s="158">
        <f t="shared" si="1"/>
        <v>25</v>
      </c>
      <c r="U48" s="149">
        <v>178</v>
      </c>
      <c r="V48" s="158">
        <f t="shared" si="2"/>
        <v>4450</v>
      </c>
      <c r="W48" s="149">
        <v>1</v>
      </c>
      <c r="X48" s="55" t="s">
        <v>39</v>
      </c>
      <c r="Y48" s="55" t="s">
        <v>40</v>
      </c>
      <c r="Z48" s="149" t="s">
        <v>47</v>
      </c>
      <c r="AA48" s="55" t="s">
        <v>90</v>
      </c>
      <c r="AB48" s="39" t="s">
        <v>316</v>
      </c>
    </row>
    <row r="49" spans="1:28" x14ac:dyDescent="0.15">
      <c r="A49" s="55" t="s">
        <v>56</v>
      </c>
      <c r="B49" s="55" t="s">
        <v>357</v>
      </c>
      <c r="C49" s="157">
        <v>2018</v>
      </c>
      <c r="D49" s="86" t="s">
        <v>358</v>
      </c>
      <c r="E49" s="157" t="s">
        <v>374</v>
      </c>
      <c r="F49" s="157" t="s">
        <v>174</v>
      </c>
      <c r="G49" s="55" t="s">
        <v>42</v>
      </c>
      <c r="H49" s="157" t="s">
        <v>162</v>
      </c>
      <c r="I49" s="55" t="s">
        <v>155</v>
      </c>
      <c r="J49" s="157" t="s">
        <v>38</v>
      </c>
      <c r="K49" s="157" t="s">
        <v>156</v>
      </c>
      <c r="L49" s="149">
        <v>3</v>
      </c>
      <c r="N49" s="149">
        <v>1</v>
      </c>
      <c r="O49" s="149">
        <v>0.65</v>
      </c>
      <c r="P49" s="149">
        <v>0.65</v>
      </c>
      <c r="Q49" s="158">
        <f t="shared" si="0"/>
        <v>0.65</v>
      </c>
      <c r="R49" s="149">
        <v>15.6</v>
      </c>
      <c r="S49" s="149">
        <v>127</v>
      </c>
      <c r="T49" s="158">
        <f t="shared" si="1"/>
        <v>27</v>
      </c>
      <c r="U49" s="149">
        <v>178</v>
      </c>
      <c r="V49" s="158">
        <f t="shared" si="2"/>
        <v>4806</v>
      </c>
      <c r="W49" s="149">
        <v>1</v>
      </c>
      <c r="X49" s="55" t="s">
        <v>39</v>
      </c>
      <c r="Y49" s="55" t="s">
        <v>40</v>
      </c>
      <c r="Z49" s="149" t="s">
        <v>47</v>
      </c>
      <c r="AA49" s="55" t="s">
        <v>90</v>
      </c>
      <c r="AB49" s="39" t="s">
        <v>316</v>
      </c>
    </row>
    <row r="50" spans="1:28" x14ac:dyDescent="0.15">
      <c r="A50" s="55" t="s">
        <v>56</v>
      </c>
      <c r="B50" s="55" t="s">
        <v>357</v>
      </c>
      <c r="C50" s="157">
        <v>2018</v>
      </c>
      <c r="D50" s="86" t="s">
        <v>358</v>
      </c>
      <c r="E50" s="157" t="s">
        <v>175</v>
      </c>
      <c r="F50" s="157" t="s">
        <v>373</v>
      </c>
      <c r="G50" s="55" t="s">
        <v>42</v>
      </c>
      <c r="H50" s="157" t="s">
        <v>157</v>
      </c>
      <c r="I50" s="55" t="s">
        <v>158</v>
      </c>
      <c r="J50" s="157" t="s">
        <v>38</v>
      </c>
      <c r="K50" s="157" t="s">
        <v>156</v>
      </c>
      <c r="L50" s="149">
        <v>1</v>
      </c>
      <c r="N50" s="149">
        <v>1</v>
      </c>
      <c r="O50" s="149">
        <v>0.8</v>
      </c>
      <c r="P50" s="149">
        <v>0.85</v>
      </c>
      <c r="Q50" s="158">
        <f t="shared" si="0"/>
        <v>0.82499999999999996</v>
      </c>
      <c r="R50" s="149">
        <v>12.4</v>
      </c>
      <c r="S50" s="149">
        <v>120</v>
      </c>
      <c r="T50" s="158">
        <f t="shared" si="1"/>
        <v>30</v>
      </c>
      <c r="U50" s="149">
        <v>172</v>
      </c>
      <c r="V50" s="158">
        <f t="shared" si="2"/>
        <v>5160</v>
      </c>
      <c r="W50" s="149">
        <v>2</v>
      </c>
      <c r="X50" s="55" t="s">
        <v>39</v>
      </c>
      <c r="Y50" s="55" t="s">
        <v>55</v>
      </c>
      <c r="Z50" s="149" t="s">
        <v>47</v>
      </c>
      <c r="AA50" s="55" t="s">
        <v>90</v>
      </c>
      <c r="AB50" s="39" t="s">
        <v>316</v>
      </c>
    </row>
    <row r="51" spans="1:28" x14ac:dyDescent="0.15">
      <c r="A51" s="55" t="s">
        <v>56</v>
      </c>
      <c r="B51" s="55" t="s">
        <v>357</v>
      </c>
      <c r="C51" s="157">
        <v>2018</v>
      </c>
      <c r="D51" s="86" t="s">
        <v>358</v>
      </c>
      <c r="E51" s="157" t="s">
        <v>175</v>
      </c>
      <c r="F51" s="157" t="s">
        <v>373</v>
      </c>
      <c r="G51" s="55" t="s">
        <v>42</v>
      </c>
      <c r="H51" s="157" t="s">
        <v>157</v>
      </c>
      <c r="I51" s="55" t="s">
        <v>158</v>
      </c>
      <c r="J51" s="157" t="s">
        <v>38</v>
      </c>
      <c r="K51" s="157" t="s">
        <v>156</v>
      </c>
      <c r="L51" s="149">
        <v>2</v>
      </c>
      <c r="N51" s="149">
        <v>1</v>
      </c>
      <c r="O51" s="149">
        <v>0.9</v>
      </c>
      <c r="P51" s="149">
        <v>1</v>
      </c>
      <c r="Q51" s="158">
        <f t="shared" si="0"/>
        <v>0.95</v>
      </c>
      <c r="R51" s="149">
        <v>14.1</v>
      </c>
      <c r="S51" s="149">
        <v>116</v>
      </c>
      <c r="T51" s="158">
        <f t="shared" si="1"/>
        <v>30</v>
      </c>
      <c r="U51" s="149">
        <v>172</v>
      </c>
      <c r="V51" s="158">
        <f t="shared" si="2"/>
        <v>5160</v>
      </c>
      <c r="W51" s="149">
        <v>2</v>
      </c>
      <c r="X51" s="55" t="s">
        <v>39</v>
      </c>
      <c r="Y51" s="55" t="s">
        <v>55</v>
      </c>
      <c r="Z51" s="149" t="s">
        <v>47</v>
      </c>
      <c r="AA51" s="55" t="s">
        <v>90</v>
      </c>
      <c r="AB51" s="39" t="s">
        <v>316</v>
      </c>
    </row>
    <row r="52" spans="1:28" x14ac:dyDescent="0.15">
      <c r="A52" s="55" t="s">
        <v>56</v>
      </c>
      <c r="B52" s="55" t="s">
        <v>357</v>
      </c>
      <c r="C52" s="157">
        <v>2018</v>
      </c>
      <c r="D52" s="86" t="s">
        <v>358</v>
      </c>
      <c r="E52" s="157" t="s">
        <v>175</v>
      </c>
      <c r="F52" s="157" t="s">
        <v>373</v>
      </c>
      <c r="G52" s="55" t="s">
        <v>42</v>
      </c>
      <c r="H52" s="157" t="s">
        <v>157</v>
      </c>
      <c r="I52" s="55" t="s">
        <v>158</v>
      </c>
      <c r="J52" s="157" t="s">
        <v>38</v>
      </c>
      <c r="K52" s="157" t="s">
        <v>156</v>
      </c>
      <c r="L52" s="149">
        <v>3</v>
      </c>
      <c r="N52" s="149">
        <v>1</v>
      </c>
      <c r="O52" s="149">
        <v>1.1000000000000001</v>
      </c>
      <c r="P52" s="149">
        <v>0.95</v>
      </c>
      <c r="Q52" s="158">
        <f t="shared" si="0"/>
        <v>1.0249999999999999</v>
      </c>
      <c r="R52" s="149">
        <v>11.3</v>
      </c>
      <c r="S52" s="149">
        <v>114</v>
      </c>
      <c r="T52" s="158">
        <f t="shared" si="1"/>
        <v>30</v>
      </c>
      <c r="U52" s="149">
        <v>172</v>
      </c>
      <c r="V52" s="158">
        <f t="shared" si="2"/>
        <v>5160</v>
      </c>
      <c r="W52" s="149">
        <v>2</v>
      </c>
      <c r="X52" s="55" t="s">
        <v>39</v>
      </c>
      <c r="Y52" s="55" t="s">
        <v>55</v>
      </c>
      <c r="Z52" s="149" t="s">
        <v>47</v>
      </c>
      <c r="AA52" s="55" t="s">
        <v>90</v>
      </c>
      <c r="AB52" s="39" t="s">
        <v>316</v>
      </c>
    </row>
    <row r="53" spans="1:28" x14ac:dyDescent="0.15">
      <c r="A53" s="55" t="s">
        <v>56</v>
      </c>
      <c r="B53" s="55" t="s">
        <v>357</v>
      </c>
      <c r="C53" s="157">
        <v>2018</v>
      </c>
      <c r="D53" s="86" t="s">
        <v>358</v>
      </c>
      <c r="E53" s="157" t="s">
        <v>175</v>
      </c>
      <c r="F53" s="157" t="s">
        <v>373</v>
      </c>
      <c r="G53" s="55" t="s">
        <v>42</v>
      </c>
      <c r="H53" s="157" t="s">
        <v>162</v>
      </c>
      <c r="I53" s="55" t="s">
        <v>158</v>
      </c>
      <c r="J53" s="157" t="s">
        <v>38</v>
      </c>
      <c r="K53" s="157" t="s">
        <v>156</v>
      </c>
      <c r="L53" s="149">
        <v>1</v>
      </c>
      <c r="N53" s="149">
        <v>1</v>
      </c>
      <c r="O53" s="149">
        <v>0.8</v>
      </c>
      <c r="P53" s="149">
        <v>0.8</v>
      </c>
      <c r="Q53" s="158">
        <f t="shared" si="0"/>
        <v>0.8</v>
      </c>
      <c r="R53" s="149">
        <v>17.100000000000001</v>
      </c>
      <c r="S53" s="149">
        <v>134</v>
      </c>
      <c r="T53" s="158">
        <f t="shared" si="1"/>
        <v>25</v>
      </c>
      <c r="U53" s="149">
        <v>172</v>
      </c>
      <c r="V53" s="158">
        <f t="shared" si="2"/>
        <v>4300</v>
      </c>
      <c r="W53" s="149">
        <v>4</v>
      </c>
      <c r="X53" s="55" t="s">
        <v>39</v>
      </c>
      <c r="Y53" s="55" t="s">
        <v>55</v>
      </c>
      <c r="Z53" s="149" t="s">
        <v>47</v>
      </c>
      <c r="AA53" s="55" t="s">
        <v>90</v>
      </c>
      <c r="AB53" s="39" t="s">
        <v>316</v>
      </c>
    </row>
    <row r="54" spans="1:28" x14ac:dyDescent="0.15">
      <c r="A54" s="55" t="s">
        <v>56</v>
      </c>
      <c r="B54" s="55" t="s">
        <v>357</v>
      </c>
      <c r="C54" s="157">
        <v>2018</v>
      </c>
      <c r="D54" s="86" t="s">
        <v>358</v>
      </c>
      <c r="E54" s="157" t="s">
        <v>175</v>
      </c>
      <c r="F54" s="157" t="s">
        <v>373</v>
      </c>
      <c r="G54" s="55" t="s">
        <v>42</v>
      </c>
      <c r="H54" s="157" t="s">
        <v>162</v>
      </c>
      <c r="I54" s="55" t="s">
        <v>158</v>
      </c>
      <c r="J54" s="157" t="s">
        <v>38</v>
      </c>
      <c r="K54" s="157" t="s">
        <v>156</v>
      </c>
      <c r="L54" s="149">
        <v>2</v>
      </c>
      <c r="N54" s="149">
        <v>1</v>
      </c>
      <c r="O54" s="149">
        <v>0.8</v>
      </c>
      <c r="P54" s="149">
        <v>0.75</v>
      </c>
      <c r="Q54" s="158">
        <f t="shared" si="0"/>
        <v>0.77500000000000002</v>
      </c>
      <c r="R54" s="149">
        <v>17.5</v>
      </c>
      <c r="S54" s="149">
        <v>135</v>
      </c>
      <c r="T54" s="158">
        <f t="shared" si="1"/>
        <v>25</v>
      </c>
      <c r="U54" s="149">
        <v>172</v>
      </c>
      <c r="V54" s="158">
        <f t="shared" si="2"/>
        <v>4300</v>
      </c>
      <c r="W54" s="149">
        <v>4</v>
      </c>
      <c r="X54" s="55" t="s">
        <v>39</v>
      </c>
      <c r="Y54" s="55" t="s">
        <v>55</v>
      </c>
      <c r="Z54" s="149" t="s">
        <v>47</v>
      </c>
      <c r="AA54" s="55" t="s">
        <v>90</v>
      </c>
      <c r="AB54" s="39" t="s">
        <v>316</v>
      </c>
    </row>
    <row r="55" spans="1:28" x14ac:dyDescent="0.15">
      <c r="A55" s="55" t="s">
        <v>56</v>
      </c>
      <c r="B55" s="55" t="s">
        <v>357</v>
      </c>
      <c r="C55" s="157">
        <v>2018</v>
      </c>
      <c r="D55" s="86" t="s">
        <v>358</v>
      </c>
      <c r="E55" s="157" t="s">
        <v>175</v>
      </c>
      <c r="F55" s="157" t="s">
        <v>373</v>
      </c>
      <c r="G55" s="55" t="s">
        <v>42</v>
      </c>
      <c r="H55" s="157" t="s">
        <v>162</v>
      </c>
      <c r="I55" s="55" t="s">
        <v>158</v>
      </c>
      <c r="J55" s="157" t="s">
        <v>38</v>
      </c>
      <c r="K55" s="157" t="s">
        <v>156</v>
      </c>
      <c r="L55" s="149">
        <v>3</v>
      </c>
      <c r="N55" s="149">
        <v>1</v>
      </c>
      <c r="O55" s="149">
        <v>0.75</v>
      </c>
      <c r="P55" s="149">
        <v>0.75</v>
      </c>
      <c r="Q55" s="158">
        <f t="shared" si="0"/>
        <v>0.75</v>
      </c>
      <c r="R55" s="149">
        <v>17.5</v>
      </c>
      <c r="S55" s="149">
        <v>134</v>
      </c>
      <c r="T55" s="158">
        <f t="shared" si="1"/>
        <v>25</v>
      </c>
      <c r="U55" s="149">
        <v>172</v>
      </c>
      <c r="V55" s="158">
        <f t="shared" si="2"/>
        <v>4300</v>
      </c>
      <c r="W55" s="149">
        <v>4</v>
      </c>
      <c r="X55" s="55" t="s">
        <v>39</v>
      </c>
      <c r="Y55" s="55" t="s">
        <v>55</v>
      </c>
      <c r="Z55" s="149" t="s">
        <v>47</v>
      </c>
      <c r="AA55" s="55" t="s">
        <v>90</v>
      </c>
      <c r="AB55" s="39" t="s">
        <v>316</v>
      </c>
    </row>
    <row r="56" spans="1:28" x14ac:dyDescent="0.15">
      <c r="A56" s="55" t="s">
        <v>56</v>
      </c>
      <c r="B56" s="55" t="s">
        <v>357</v>
      </c>
      <c r="C56" s="157">
        <v>2018</v>
      </c>
      <c r="D56" s="86" t="s">
        <v>358</v>
      </c>
      <c r="E56" s="157" t="s">
        <v>285</v>
      </c>
      <c r="F56" s="157" t="s">
        <v>373</v>
      </c>
      <c r="G56" s="55" t="s">
        <v>42</v>
      </c>
      <c r="H56" s="157" t="s">
        <v>157</v>
      </c>
      <c r="I56" s="55" t="s">
        <v>155</v>
      </c>
      <c r="J56" s="157" t="s">
        <v>38</v>
      </c>
      <c r="K56" s="157" t="s">
        <v>156</v>
      </c>
      <c r="L56" s="149">
        <v>1</v>
      </c>
      <c r="N56" s="149">
        <v>1</v>
      </c>
      <c r="O56" s="149">
        <v>0.75</v>
      </c>
      <c r="P56" s="149">
        <v>0.75</v>
      </c>
      <c r="Q56" s="158">
        <f t="shared" si="0"/>
        <v>0.75</v>
      </c>
      <c r="R56" s="149">
        <v>12.9</v>
      </c>
      <c r="S56" s="149">
        <v>113</v>
      </c>
      <c r="T56" s="158">
        <f t="shared" si="1"/>
        <v>30</v>
      </c>
      <c r="U56" s="149">
        <v>105</v>
      </c>
      <c r="V56" s="158">
        <f t="shared" si="2"/>
        <v>3150</v>
      </c>
      <c r="W56" s="149">
        <v>1</v>
      </c>
      <c r="X56" s="55" t="s">
        <v>46</v>
      </c>
      <c r="Y56" s="55" t="s">
        <v>55</v>
      </c>
      <c r="Z56" s="149" t="s">
        <v>47</v>
      </c>
      <c r="AA56" s="55" t="s">
        <v>86</v>
      </c>
      <c r="AB56" s="39" t="s">
        <v>316</v>
      </c>
    </row>
    <row r="57" spans="1:28" x14ac:dyDescent="0.15">
      <c r="A57" s="55" t="s">
        <v>56</v>
      </c>
      <c r="B57" s="55" t="s">
        <v>357</v>
      </c>
      <c r="C57" s="157">
        <v>2018</v>
      </c>
      <c r="D57" s="86" t="s">
        <v>358</v>
      </c>
      <c r="E57" s="157" t="s">
        <v>285</v>
      </c>
      <c r="F57" s="157" t="s">
        <v>373</v>
      </c>
      <c r="G57" s="55" t="s">
        <v>42</v>
      </c>
      <c r="H57" s="157" t="s">
        <v>157</v>
      </c>
      <c r="I57" s="55" t="s">
        <v>155</v>
      </c>
      <c r="J57" s="157" t="s">
        <v>38</v>
      </c>
      <c r="K57" s="157" t="s">
        <v>156</v>
      </c>
      <c r="L57" s="149">
        <v>2</v>
      </c>
      <c r="N57" s="149">
        <v>1</v>
      </c>
      <c r="O57" s="149">
        <v>0.7</v>
      </c>
      <c r="P57" s="149">
        <v>0.75</v>
      </c>
      <c r="Q57" s="158">
        <f t="shared" si="0"/>
        <v>0.72499999999999998</v>
      </c>
      <c r="R57" s="149">
        <v>13.3</v>
      </c>
      <c r="S57" s="149">
        <v>119</v>
      </c>
      <c r="T57" s="158">
        <f t="shared" si="1"/>
        <v>30</v>
      </c>
      <c r="U57" s="149">
        <v>105</v>
      </c>
      <c r="V57" s="158">
        <f t="shared" si="2"/>
        <v>3150</v>
      </c>
      <c r="W57" s="149">
        <v>1</v>
      </c>
      <c r="X57" s="55" t="s">
        <v>46</v>
      </c>
      <c r="Y57" s="55" t="s">
        <v>55</v>
      </c>
      <c r="Z57" s="149" t="s">
        <v>47</v>
      </c>
      <c r="AA57" s="55" t="s">
        <v>86</v>
      </c>
      <c r="AB57" s="39" t="s">
        <v>316</v>
      </c>
    </row>
    <row r="58" spans="1:28" x14ac:dyDescent="0.15">
      <c r="A58" s="55" t="s">
        <v>56</v>
      </c>
      <c r="B58" s="55" t="s">
        <v>357</v>
      </c>
      <c r="C58" s="157">
        <v>2018</v>
      </c>
      <c r="D58" s="86" t="s">
        <v>358</v>
      </c>
      <c r="E58" s="157" t="s">
        <v>285</v>
      </c>
      <c r="F58" s="157" t="s">
        <v>373</v>
      </c>
      <c r="G58" s="55" t="s">
        <v>42</v>
      </c>
      <c r="H58" s="157" t="s">
        <v>157</v>
      </c>
      <c r="I58" s="55" t="s">
        <v>155</v>
      </c>
      <c r="J58" s="157" t="s">
        <v>38</v>
      </c>
      <c r="K58" s="157" t="s">
        <v>156</v>
      </c>
      <c r="L58" s="149">
        <v>3</v>
      </c>
      <c r="N58" s="149">
        <v>1</v>
      </c>
      <c r="O58" s="149">
        <v>0.7</v>
      </c>
      <c r="P58" s="149">
        <v>0.7</v>
      </c>
      <c r="Q58" s="158">
        <f t="shared" si="0"/>
        <v>0.7</v>
      </c>
      <c r="R58" s="149">
        <v>15.4</v>
      </c>
      <c r="S58" s="149">
        <v>122</v>
      </c>
      <c r="T58" s="158">
        <f t="shared" si="1"/>
        <v>27</v>
      </c>
      <c r="U58" s="149">
        <v>105</v>
      </c>
      <c r="V58" s="158">
        <f t="shared" si="2"/>
        <v>2835</v>
      </c>
      <c r="W58" s="149">
        <v>1</v>
      </c>
      <c r="X58" s="55" t="s">
        <v>46</v>
      </c>
      <c r="Y58" s="55" t="s">
        <v>55</v>
      </c>
      <c r="Z58" s="149" t="s">
        <v>47</v>
      </c>
      <c r="AA58" s="55" t="s">
        <v>86</v>
      </c>
      <c r="AB58" s="39" t="s">
        <v>316</v>
      </c>
    </row>
    <row r="59" spans="1:28" x14ac:dyDescent="0.15">
      <c r="A59" s="55" t="s">
        <v>56</v>
      </c>
      <c r="B59" s="55" t="s">
        <v>357</v>
      </c>
      <c r="C59" s="157">
        <v>2018</v>
      </c>
      <c r="D59" s="86" t="s">
        <v>358</v>
      </c>
      <c r="E59" s="157" t="s">
        <v>285</v>
      </c>
      <c r="F59" s="157" t="s">
        <v>373</v>
      </c>
      <c r="G59" s="55" t="s">
        <v>42</v>
      </c>
      <c r="H59" s="157" t="s">
        <v>211</v>
      </c>
      <c r="I59" s="55" t="s">
        <v>155</v>
      </c>
      <c r="J59" s="157" t="s">
        <v>38</v>
      </c>
      <c r="K59" s="157" t="s">
        <v>156</v>
      </c>
      <c r="L59" s="149">
        <v>1</v>
      </c>
      <c r="N59" s="149">
        <v>5</v>
      </c>
      <c r="O59" s="149">
        <v>0.75</v>
      </c>
      <c r="P59" s="149">
        <v>0.75</v>
      </c>
      <c r="Q59" s="158">
        <f t="shared" si="0"/>
        <v>0.75</v>
      </c>
      <c r="R59" s="149">
        <v>17.5</v>
      </c>
      <c r="S59" s="149">
        <v>89</v>
      </c>
      <c r="T59" s="158">
        <f t="shared" si="1"/>
        <v>36</v>
      </c>
      <c r="U59" s="149">
        <v>429</v>
      </c>
      <c r="V59" s="158">
        <f t="shared" si="2"/>
        <v>3088.7999999999997</v>
      </c>
      <c r="W59" s="149">
        <v>2</v>
      </c>
      <c r="X59" s="55" t="s">
        <v>46</v>
      </c>
      <c r="Y59" s="55" t="s">
        <v>55</v>
      </c>
      <c r="Z59" s="149" t="s">
        <v>47</v>
      </c>
      <c r="AA59" s="55" t="s">
        <v>86</v>
      </c>
      <c r="AB59" s="39" t="s">
        <v>316</v>
      </c>
    </row>
    <row r="60" spans="1:28" x14ac:dyDescent="0.15">
      <c r="A60" s="55" t="s">
        <v>56</v>
      </c>
      <c r="B60" s="55" t="s">
        <v>357</v>
      </c>
      <c r="C60" s="157">
        <v>2018</v>
      </c>
      <c r="D60" s="86" t="s">
        <v>358</v>
      </c>
      <c r="E60" s="157" t="s">
        <v>285</v>
      </c>
      <c r="F60" s="157" t="s">
        <v>373</v>
      </c>
      <c r="G60" s="55" t="s">
        <v>42</v>
      </c>
      <c r="H60" s="157" t="s">
        <v>211</v>
      </c>
      <c r="I60" s="55" t="s">
        <v>155</v>
      </c>
      <c r="J60" s="157" t="s">
        <v>38</v>
      </c>
      <c r="K60" s="157" t="s">
        <v>156</v>
      </c>
      <c r="L60" s="149">
        <v>2</v>
      </c>
      <c r="N60" s="149">
        <v>5</v>
      </c>
      <c r="O60" s="149">
        <v>0.7</v>
      </c>
      <c r="P60" s="149">
        <v>0.7</v>
      </c>
      <c r="Q60" s="158">
        <f t="shared" si="0"/>
        <v>0.7</v>
      </c>
      <c r="R60" s="149">
        <v>12.7</v>
      </c>
      <c r="S60" s="149">
        <v>84</v>
      </c>
      <c r="T60" s="158">
        <f t="shared" si="1"/>
        <v>36</v>
      </c>
      <c r="U60" s="149">
        <v>429</v>
      </c>
      <c r="V60" s="158">
        <f t="shared" si="2"/>
        <v>3088.7999999999997</v>
      </c>
      <c r="W60" s="149">
        <v>2</v>
      </c>
      <c r="X60" s="55" t="s">
        <v>46</v>
      </c>
      <c r="Y60" s="55" t="s">
        <v>55</v>
      </c>
      <c r="Z60" s="149" t="s">
        <v>47</v>
      </c>
      <c r="AA60" s="55" t="s">
        <v>86</v>
      </c>
      <c r="AB60" s="39" t="s">
        <v>316</v>
      </c>
    </row>
    <row r="61" spans="1:28" x14ac:dyDescent="0.15">
      <c r="A61" s="55" t="s">
        <v>56</v>
      </c>
      <c r="B61" s="55" t="s">
        <v>357</v>
      </c>
      <c r="C61" s="157">
        <v>2018</v>
      </c>
      <c r="D61" s="86" t="s">
        <v>358</v>
      </c>
      <c r="E61" s="157" t="s">
        <v>285</v>
      </c>
      <c r="F61" s="157" t="s">
        <v>373</v>
      </c>
      <c r="G61" s="55" t="s">
        <v>42</v>
      </c>
      <c r="H61" s="157" t="s">
        <v>211</v>
      </c>
      <c r="I61" s="55" t="s">
        <v>155</v>
      </c>
      <c r="J61" s="157" t="s">
        <v>38</v>
      </c>
      <c r="K61" s="157" t="s">
        <v>156</v>
      </c>
      <c r="L61" s="149">
        <v>3</v>
      </c>
      <c r="N61" s="149">
        <v>5</v>
      </c>
      <c r="O61" s="149">
        <v>0.75</v>
      </c>
      <c r="P61" s="149">
        <v>0.75</v>
      </c>
      <c r="Q61" s="158">
        <f t="shared" si="0"/>
        <v>0.75</v>
      </c>
      <c r="R61" s="149">
        <v>12.1</v>
      </c>
      <c r="S61" s="149">
        <v>82</v>
      </c>
      <c r="T61" s="158">
        <f t="shared" si="1"/>
        <v>39</v>
      </c>
      <c r="U61" s="149">
        <v>429</v>
      </c>
      <c r="V61" s="158">
        <f t="shared" si="2"/>
        <v>3346.2</v>
      </c>
      <c r="W61" s="149">
        <v>2</v>
      </c>
      <c r="X61" s="55" t="s">
        <v>46</v>
      </c>
      <c r="Y61" s="55" t="s">
        <v>55</v>
      </c>
      <c r="Z61" s="149" t="s">
        <v>47</v>
      </c>
      <c r="AA61" s="55" t="s">
        <v>86</v>
      </c>
      <c r="AB61" s="39" t="s">
        <v>316</v>
      </c>
    </row>
    <row r="62" spans="1:28" x14ac:dyDescent="0.15">
      <c r="A62" s="55" t="s">
        <v>56</v>
      </c>
      <c r="B62" s="55" t="s">
        <v>357</v>
      </c>
      <c r="C62" s="157">
        <v>2018</v>
      </c>
      <c r="D62" s="86" t="s">
        <v>358</v>
      </c>
      <c r="E62" s="157" t="s">
        <v>285</v>
      </c>
      <c r="F62" s="157" t="s">
        <v>373</v>
      </c>
      <c r="G62" s="55" t="s">
        <v>42</v>
      </c>
      <c r="H62" s="157" t="s">
        <v>162</v>
      </c>
      <c r="I62" s="55" t="s">
        <v>155</v>
      </c>
      <c r="J62" s="157" t="s">
        <v>38</v>
      </c>
      <c r="K62" s="157" t="s">
        <v>156</v>
      </c>
      <c r="L62" s="149">
        <v>1</v>
      </c>
      <c r="N62" s="149">
        <v>4</v>
      </c>
      <c r="O62" s="149">
        <v>0.55000000000000004</v>
      </c>
      <c r="P62" s="149">
        <v>0.5</v>
      </c>
      <c r="Q62" s="158">
        <f t="shared" si="0"/>
        <v>0.52500000000000002</v>
      </c>
      <c r="R62" s="149">
        <v>16.8</v>
      </c>
      <c r="S62" s="149">
        <v>125</v>
      </c>
      <c r="T62" s="158">
        <f t="shared" si="1"/>
        <v>27</v>
      </c>
      <c r="U62" s="149">
        <v>626</v>
      </c>
      <c r="V62" s="158">
        <f t="shared" si="2"/>
        <v>4225.5</v>
      </c>
      <c r="W62" s="149">
        <v>2</v>
      </c>
      <c r="X62" s="55" t="s">
        <v>46</v>
      </c>
      <c r="Y62" s="55" t="s">
        <v>55</v>
      </c>
      <c r="Z62" s="149" t="s">
        <v>47</v>
      </c>
      <c r="AA62" s="55" t="s">
        <v>86</v>
      </c>
      <c r="AB62" s="39" t="s">
        <v>316</v>
      </c>
    </row>
    <row r="63" spans="1:28" x14ac:dyDescent="0.15">
      <c r="A63" s="55" t="s">
        <v>56</v>
      </c>
      <c r="B63" s="55" t="s">
        <v>357</v>
      </c>
      <c r="C63" s="157">
        <v>2018</v>
      </c>
      <c r="D63" s="86" t="s">
        <v>358</v>
      </c>
      <c r="E63" s="157" t="s">
        <v>285</v>
      </c>
      <c r="F63" s="157" t="s">
        <v>373</v>
      </c>
      <c r="G63" s="55" t="s">
        <v>42</v>
      </c>
      <c r="H63" s="157" t="s">
        <v>162</v>
      </c>
      <c r="I63" s="55" t="s">
        <v>155</v>
      </c>
      <c r="J63" s="157" t="s">
        <v>38</v>
      </c>
      <c r="K63" s="157" t="s">
        <v>156</v>
      </c>
      <c r="L63" s="149">
        <v>2</v>
      </c>
      <c r="N63" s="149">
        <v>4</v>
      </c>
      <c r="O63" s="149">
        <v>0.6</v>
      </c>
      <c r="P63" s="149">
        <v>0.6</v>
      </c>
      <c r="Q63" s="158">
        <f t="shared" si="0"/>
        <v>0.6</v>
      </c>
      <c r="R63" s="149">
        <v>14.7</v>
      </c>
      <c r="S63" s="149">
        <v>129</v>
      </c>
      <c r="T63" s="158">
        <f t="shared" si="1"/>
        <v>25</v>
      </c>
      <c r="U63" s="149">
        <v>626</v>
      </c>
      <c r="V63" s="158">
        <f t="shared" si="2"/>
        <v>3912.5</v>
      </c>
      <c r="W63" s="149">
        <v>2</v>
      </c>
      <c r="X63" s="55" t="s">
        <v>46</v>
      </c>
      <c r="Y63" s="55" t="s">
        <v>55</v>
      </c>
      <c r="Z63" s="149" t="s">
        <v>47</v>
      </c>
      <c r="AA63" s="55" t="s">
        <v>86</v>
      </c>
      <c r="AB63" s="39" t="s">
        <v>316</v>
      </c>
    </row>
    <row r="64" spans="1:28" x14ac:dyDescent="0.15">
      <c r="A64" s="55" t="s">
        <v>56</v>
      </c>
      <c r="B64" s="55" t="s">
        <v>357</v>
      </c>
      <c r="C64" s="157">
        <v>2018</v>
      </c>
      <c r="D64" s="86" t="s">
        <v>358</v>
      </c>
      <c r="E64" s="157" t="s">
        <v>285</v>
      </c>
      <c r="F64" s="157" t="s">
        <v>373</v>
      </c>
      <c r="G64" s="55" t="s">
        <v>42</v>
      </c>
      <c r="H64" s="157" t="s">
        <v>162</v>
      </c>
      <c r="I64" s="55" t="s">
        <v>155</v>
      </c>
      <c r="J64" s="157" t="s">
        <v>38</v>
      </c>
      <c r="K64" s="157" t="s">
        <v>156</v>
      </c>
      <c r="L64" s="149">
        <v>3</v>
      </c>
      <c r="N64" s="149">
        <v>4</v>
      </c>
      <c r="O64" s="149">
        <v>0.6</v>
      </c>
      <c r="P64" s="149">
        <v>0.65</v>
      </c>
      <c r="Q64" s="158">
        <f t="shared" si="0"/>
        <v>0.625</v>
      </c>
      <c r="R64" s="149">
        <v>13</v>
      </c>
      <c r="S64" s="149">
        <v>135</v>
      </c>
      <c r="T64" s="158">
        <f t="shared" si="1"/>
        <v>25</v>
      </c>
      <c r="U64" s="149">
        <v>626</v>
      </c>
      <c r="V64" s="158">
        <f t="shared" si="2"/>
        <v>3912.5</v>
      </c>
      <c r="W64" s="149">
        <v>2</v>
      </c>
      <c r="X64" s="55" t="s">
        <v>46</v>
      </c>
      <c r="Y64" s="55" t="s">
        <v>55</v>
      </c>
      <c r="Z64" s="149" t="s">
        <v>47</v>
      </c>
      <c r="AA64" s="55" t="s">
        <v>86</v>
      </c>
      <c r="AB64" s="39" t="s">
        <v>316</v>
      </c>
    </row>
    <row r="65" spans="1:28" x14ac:dyDescent="0.15">
      <c r="A65" s="55" t="s">
        <v>56</v>
      </c>
      <c r="B65" s="55" t="s">
        <v>357</v>
      </c>
      <c r="C65" s="157">
        <v>2018</v>
      </c>
      <c r="D65" s="86" t="s">
        <v>358</v>
      </c>
      <c r="E65" s="157" t="s">
        <v>285</v>
      </c>
      <c r="F65" s="157" t="s">
        <v>373</v>
      </c>
      <c r="G65" s="55" t="s">
        <v>42</v>
      </c>
      <c r="H65" s="157" t="s">
        <v>127</v>
      </c>
      <c r="I65" s="55" t="s">
        <v>155</v>
      </c>
      <c r="J65" s="157" t="s">
        <v>53</v>
      </c>
      <c r="K65" s="157" t="s">
        <v>54</v>
      </c>
      <c r="L65" s="149">
        <v>1</v>
      </c>
      <c r="N65" s="149">
        <v>5</v>
      </c>
      <c r="O65" s="149">
        <v>0.9</v>
      </c>
      <c r="P65" s="149">
        <v>0.9</v>
      </c>
      <c r="Q65" s="158">
        <f t="shared" si="0"/>
        <v>0.9</v>
      </c>
      <c r="R65" s="149">
        <v>12.5</v>
      </c>
      <c r="S65" s="149">
        <v>91</v>
      </c>
      <c r="T65" s="158">
        <f t="shared" si="1"/>
        <v>36</v>
      </c>
      <c r="U65" s="149">
        <v>429</v>
      </c>
      <c r="V65" s="158">
        <f t="shared" si="2"/>
        <v>3088.7999999999997</v>
      </c>
      <c r="W65" s="149">
        <v>1</v>
      </c>
      <c r="X65" s="55" t="s">
        <v>46</v>
      </c>
      <c r="Y65" s="55" t="s">
        <v>55</v>
      </c>
      <c r="Z65" s="149" t="s">
        <v>47</v>
      </c>
      <c r="AA65" s="55" t="s">
        <v>86</v>
      </c>
      <c r="AB65" s="39" t="s">
        <v>316</v>
      </c>
    </row>
    <row r="66" spans="1:28" x14ac:dyDescent="0.15">
      <c r="A66" s="55" t="s">
        <v>56</v>
      </c>
      <c r="B66" s="55" t="s">
        <v>357</v>
      </c>
      <c r="C66" s="157">
        <v>2018</v>
      </c>
      <c r="D66" s="86" t="s">
        <v>358</v>
      </c>
      <c r="E66" s="157" t="s">
        <v>285</v>
      </c>
      <c r="F66" s="157" t="s">
        <v>373</v>
      </c>
      <c r="G66" s="55" t="s">
        <v>42</v>
      </c>
      <c r="H66" s="157" t="s">
        <v>127</v>
      </c>
      <c r="I66" s="55" t="s">
        <v>155</v>
      </c>
      <c r="J66" s="157" t="s">
        <v>53</v>
      </c>
      <c r="K66" s="157" t="s">
        <v>54</v>
      </c>
      <c r="L66" s="149">
        <v>2</v>
      </c>
      <c r="N66" s="149">
        <v>5</v>
      </c>
      <c r="O66" s="149">
        <v>1.2</v>
      </c>
      <c r="P66" s="149">
        <v>1.05</v>
      </c>
      <c r="Q66" s="158">
        <f t="shared" si="0"/>
        <v>1.125</v>
      </c>
      <c r="R66" s="149">
        <v>12.1</v>
      </c>
      <c r="S66" s="149">
        <v>96</v>
      </c>
      <c r="T66" s="158">
        <f t="shared" si="1"/>
        <v>36</v>
      </c>
      <c r="U66" s="149">
        <v>429</v>
      </c>
      <c r="V66" s="158">
        <f t="shared" si="2"/>
        <v>3088.7999999999997</v>
      </c>
      <c r="W66" s="149">
        <v>1</v>
      </c>
      <c r="X66" s="55" t="s">
        <v>46</v>
      </c>
      <c r="Y66" s="55" t="s">
        <v>55</v>
      </c>
      <c r="Z66" s="149" t="s">
        <v>47</v>
      </c>
      <c r="AA66" s="55" t="s">
        <v>86</v>
      </c>
      <c r="AB66" s="39" t="s">
        <v>316</v>
      </c>
    </row>
    <row r="67" spans="1:28" x14ac:dyDescent="0.15">
      <c r="A67" s="55" t="s">
        <v>56</v>
      </c>
      <c r="B67" s="55" t="s">
        <v>357</v>
      </c>
      <c r="C67" s="157">
        <v>2018</v>
      </c>
      <c r="D67" s="86" t="s">
        <v>358</v>
      </c>
      <c r="E67" s="157" t="s">
        <v>285</v>
      </c>
      <c r="F67" s="157" t="s">
        <v>373</v>
      </c>
      <c r="G67" s="55" t="s">
        <v>42</v>
      </c>
      <c r="H67" s="157" t="s">
        <v>127</v>
      </c>
      <c r="I67" s="55" t="s">
        <v>155</v>
      </c>
      <c r="J67" s="157" t="s">
        <v>53</v>
      </c>
      <c r="K67" s="157" t="s">
        <v>54</v>
      </c>
      <c r="L67" s="149">
        <v>3</v>
      </c>
      <c r="N67" s="149">
        <v>5</v>
      </c>
      <c r="O67" s="149">
        <v>0.5</v>
      </c>
      <c r="P67" s="149">
        <v>0.6</v>
      </c>
      <c r="Q67" s="158">
        <f t="shared" si="0"/>
        <v>0.55000000000000004</v>
      </c>
      <c r="R67" s="149">
        <v>12.5</v>
      </c>
      <c r="S67" s="149">
        <v>91</v>
      </c>
      <c r="T67" s="158">
        <f t="shared" si="1"/>
        <v>36</v>
      </c>
      <c r="U67" s="149">
        <v>429</v>
      </c>
      <c r="V67" s="158">
        <f t="shared" si="2"/>
        <v>3088.7999999999997</v>
      </c>
      <c r="W67" s="149">
        <v>1</v>
      </c>
      <c r="X67" s="55" t="s">
        <v>46</v>
      </c>
      <c r="Y67" s="55" t="s">
        <v>55</v>
      </c>
      <c r="Z67" s="149" t="s">
        <v>47</v>
      </c>
      <c r="AA67" s="55" t="s">
        <v>86</v>
      </c>
      <c r="AB67" s="39" t="s">
        <v>316</v>
      </c>
    </row>
    <row r="68" spans="1:28" x14ac:dyDescent="0.15">
      <c r="A68" s="55" t="s">
        <v>56</v>
      </c>
      <c r="B68" s="55" t="s">
        <v>357</v>
      </c>
      <c r="C68" s="157">
        <v>2018</v>
      </c>
      <c r="D68" s="86" t="s">
        <v>358</v>
      </c>
      <c r="E68" s="157" t="s">
        <v>345</v>
      </c>
      <c r="F68" s="157" t="s">
        <v>373</v>
      </c>
      <c r="G68" s="55" t="s">
        <v>42</v>
      </c>
      <c r="H68" s="157" t="s">
        <v>157</v>
      </c>
      <c r="I68" s="55" t="s">
        <v>155</v>
      </c>
      <c r="J68" s="157" t="s">
        <v>38</v>
      </c>
      <c r="K68" s="157" t="s">
        <v>156</v>
      </c>
      <c r="L68" s="149">
        <v>1</v>
      </c>
      <c r="N68" s="149">
        <v>1</v>
      </c>
      <c r="O68" s="149">
        <v>0.5</v>
      </c>
      <c r="P68" s="149">
        <v>0.55000000000000004</v>
      </c>
      <c r="Q68" s="158">
        <f t="shared" si="0"/>
        <v>0.52500000000000002</v>
      </c>
      <c r="R68" s="149">
        <v>13.4</v>
      </c>
      <c r="S68" s="149">
        <v>142</v>
      </c>
      <c r="T68" s="158">
        <f t="shared" si="1"/>
        <v>22</v>
      </c>
      <c r="U68" s="149">
        <v>117</v>
      </c>
      <c r="V68" s="158">
        <f t="shared" si="2"/>
        <v>2574</v>
      </c>
      <c r="W68" s="149">
        <v>4</v>
      </c>
      <c r="X68" s="55" t="s">
        <v>46</v>
      </c>
      <c r="Y68" s="55" t="s">
        <v>55</v>
      </c>
      <c r="Z68" s="149" t="s">
        <v>47</v>
      </c>
      <c r="AA68" s="55" t="s">
        <v>69</v>
      </c>
      <c r="AB68" s="39" t="s">
        <v>316</v>
      </c>
    </row>
    <row r="69" spans="1:28" x14ac:dyDescent="0.15">
      <c r="A69" s="55" t="s">
        <v>56</v>
      </c>
      <c r="B69" s="55" t="s">
        <v>357</v>
      </c>
      <c r="C69" s="157">
        <v>2018</v>
      </c>
      <c r="D69" s="86" t="s">
        <v>358</v>
      </c>
      <c r="E69" s="157" t="s">
        <v>345</v>
      </c>
      <c r="F69" s="157" t="s">
        <v>373</v>
      </c>
      <c r="G69" s="55" t="s">
        <v>42</v>
      </c>
      <c r="H69" s="157" t="s">
        <v>157</v>
      </c>
      <c r="I69" s="55" t="s">
        <v>155</v>
      </c>
      <c r="J69" s="157" t="s">
        <v>38</v>
      </c>
      <c r="K69" s="157" t="s">
        <v>156</v>
      </c>
      <c r="L69" s="149">
        <v>2</v>
      </c>
      <c r="N69" s="149">
        <v>1</v>
      </c>
      <c r="O69" s="149">
        <v>0.55000000000000004</v>
      </c>
      <c r="P69" s="149">
        <v>0.55000000000000004</v>
      </c>
      <c r="Q69" s="158">
        <f t="shared" ref="Q69:Q82" si="3">IF(OR(O69="",P69=""),"",AVERAGE(O69,P69))</f>
        <v>0.55000000000000004</v>
      </c>
      <c r="R69" s="149">
        <v>12.4</v>
      </c>
      <c r="S69" s="149">
        <v>135</v>
      </c>
      <c r="T69" s="158">
        <f t="shared" ref="T69:T82" si="4">IF(H69="","",IF(OR(H69="GREEN",H69="GK"),IF(S69&gt;=$AX$2,VLOOKUP(S69,$AX$2:$AY$10,2,1),""),IF(S69&gt;=$AZ$2,VLOOKUP(S69,$AZ$2:$BA$10,2,1),"")))</f>
        <v>25</v>
      </c>
      <c r="U69" s="149">
        <v>117</v>
      </c>
      <c r="V69" s="158">
        <f t="shared" ref="V69:V82" si="5">IF(OR(N69="",U69="",T69=""),"",U69/N69*T69)</f>
        <v>2925</v>
      </c>
      <c r="W69" s="149">
        <v>4</v>
      </c>
      <c r="X69" s="55" t="s">
        <v>46</v>
      </c>
      <c r="Y69" s="55" t="s">
        <v>55</v>
      </c>
      <c r="Z69" s="149" t="s">
        <v>47</v>
      </c>
      <c r="AA69" s="55" t="s">
        <v>69</v>
      </c>
      <c r="AB69" s="39" t="s">
        <v>316</v>
      </c>
    </row>
    <row r="70" spans="1:28" x14ac:dyDescent="0.15">
      <c r="A70" s="55" t="s">
        <v>56</v>
      </c>
      <c r="B70" s="55" t="s">
        <v>357</v>
      </c>
      <c r="C70" s="157">
        <v>2018</v>
      </c>
      <c r="D70" s="86" t="s">
        <v>358</v>
      </c>
      <c r="E70" s="157" t="s">
        <v>345</v>
      </c>
      <c r="F70" s="157" t="s">
        <v>373</v>
      </c>
      <c r="G70" s="55" t="s">
        <v>42</v>
      </c>
      <c r="H70" s="157" t="s">
        <v>157</v>
      </c>
      <c r="I70" s="55" t="s">
        <v>155</v>
      </c>
      <c r="J70" s="157" t="s">
        <v>38</v>
      </c>
      <c r="K70" s="157" t="s">
        <v>156</v>
      </c>
      <c r="L70" s="149">
        <v>3</v>
      </c>
      <c r="N70" s="149">
        <v>1</v>
      </c>
      <c r="O70" s="149">
        <v>0.5</v>
      </c>
      <c r="P70" s="149">
        <v>0.55000000000000004</v>
      </c>
      <c r="Q70" s="158">
        <f t="shared" si="3"/>
        <v>0.52500000000000002</v>
      </c>
      <c r="R70" s="149">
        <v>14.5</v>
      </c>
      <c r="S70" s="149">
        <v>133</v>
      </c>
      <c r="T70" s="158">
        <f t="shared" si="4"/>
        <v>25</v>
      </c>
      <c r="U70" s="149">
        <v>117</v>
      </c>
      <c r="V70" s="158">
        <f t="shared" si="5"/>
        <v>2925</v>
      </c>
      <c r="W70" s="149">
        <v>4</v>
      </c>
      <c r="X70" s="55" t="s">
        <v>46</v>
      </c>
      <c r="Y70" s="55" t="s">
        <v>55</v>
      </c>
      <c r="Z70" s="149" t="s">
        <v>47</v>
      </c>
      <c r="AA70" s="55" t="s">
        <v>69</v>
      </c>
      <c r="AB70" s="39" t="s">
        <v>316</v>
      </c>
    </row>
    <row r="71" spans="1:28" x14ac:dyDescent="0.15">
      <c r="A71" s="55" t="s">
        <v>56</v>
      </c>
      <c r="B71" s="55" t="s">
        <v>357</v>
      </c>
      <c r="C71" s="157">
        <v>2018</v>
      </c>
      <c r="D71" s="86" t="s">
        <v>358</v>
      </c>
      <c r="E71" s="157" t="s">
        <v>345</v>
      </c>
      <c r="F71" s="157" t="s">
        <v>373</v>
      </c>
      <c r="G71" s="55" t="s">
        <v>42</v>
      </c>
      <c r="H71" s="157" t="s">
        <v>211</v>
      </c>
      <c r="I71" s="55" t="s">
        <v>155</v>
      </c>
      <c r="J71" s="157" t="s">
        <v>38</v>
      </c>
      <c r="K71" s="157" t="s">
        <v>156</v>
      </c>
      <c r="L71" s="149">
        <v>1</v>
      </c>
      <c r="N71" s="149">
        <v>7</v>
      </c>
      <c r="O71" s="149">
        <v>0.65</v>
      </c>
      <c r="P71" s="149">
        <v>0.6</v>
      </c>
      <c r="Q71" s="158">
        <f t="shared" si="3"/>
        <v>0.625</v>
      </c>
      <c r="R71" s="149">
        <v>17.399999999999999</v>
      </c>
      <c r="S71" s="149">
        <v>101</v>
      </c>
      <c r="T71" s="158">
        <f t="shared" si="4"/>
        <v>33</v>
      </c>
      <c r="U71" s="149">
        <v>486</v>
      </c>
      <c r="V71" s="158">
        <f t="shared" si="5"/>
        <v>2291.1428571428573</v>
      </c>
      <c r="W71" s="149">
        <v>4</v>
      </c>
      <c r="X71" s="55" t="s">
        <v>46</v>
      </c>
      <c r="Y71" s="55" t="s">
        <v>55</v>
      </c>
      <c r="Z71" s="149" t="s">
        <v>47</v>
      </c>
      <c r="AA71" s="55" t="s">
        <v>69</v>
      </c>
      <c r="AB71" s="39" t="s">
        <v>316</v>
      </c>
    </row>
    <row r="72" spans="1:28" x14ac:dyDescent="0.15">
      <c r="A72" s="55" t="s">
        <v>56</v>
      </c>
      <c r="B72" s="55" t="s">
        <v>357</v>
      </c>
      <c r="C72" s="157">
        <v>2018</v>
      </c>
      <c r="D72" s="86" t="s">
        <v>358</v>
      </c>
      <c r="E72" s="157" t="s">
        <v>345</v>
      </c>
      <c r="F72" s="157" t="s">
        <v>373</v>
      </c>
      <c r="G72" s="55" t="s">
        <v>42</v>
      </c>
      <c r="H72" s="157" t="s">
        <v>211</v>
      </c>
      <c r="I72" s="55" t="s">
        <v>155</v>
      </c>
      <c r="J72" s="157" t="s">
        <v>38</v>
      </c>
      <c r="K72" s="157" t="s">
        <v>156</v>
      </c>
      <c r="L72" s="149">
        <v>2</v>
      </c>
      <c r="N72" s="149">
        <v>7</v>
      </c>
      <c r="O72" s="149">
        <v>0.65</v>
      </c>
      <c r="P72" s="149">
        <v>0.7</v>
      </c>
      <c r="Q72" s="158">
        <f t="shared" si="3"/>
        <v>0.67500000000000004</v>
      </c>
      <c r="R72" s="149">
        <v>17.3</v>
      </c>
      <c r="S72" s="149">
        <v>103</v>
      </c>
      <c r="T72" s="158">
        <f t="shared" si="4"/>
        <v>33</v>
      </c>
      <c r="U72" s="149">
        <v>486</v>
      </c>
      <c r="V72" s="158">
        <f t="shared" si="5"/>
        <v>2291.1428571428573</v>
      </c>
      <c r="W72" s="149">
        <v>4</v>
      </c>
      <c r="X72" s="55" t="s">
        <v>46</v>
      </c>
      <c r="Y72" s="55" t="s">
        <v>55</v>
      </c>
      <c r="Z72" s="149" t="s">
        <v>47</v>
      </c>
      <c r="AA72" s="55" t="s">
        <v>69</v>
      </c>
      <c r="AB72" s="39" t="s">
        <v>316</v>
      </c>
    </row>
    <row r="73" spans="1:28" x14ac:dyDescent="0.15">
      <c r="A73" s="55" t="s">
        <v>56</v>
      </c>
      <c r="B73" s="55" t="s">
        <v>357</v>
      </c>
      <c r="C73" s="157">
        <v>2018</v>
      </c>
      <c r="D73" s="86" t="s">
        <v>358</v>
      </c>
      <c r="E73" s="157" t="s">
        <v>345</v>
      </c>
      <c r="F73" s="157" t="s">
        <v>373</v>
      </c>
      <c r="G73" s="55" t="s">
        <v>42</v>
      </c>
      <c r="H73" s="157" t="s">
        <v>211</v>
      </c>
      <c r="I73" s="55" t="s">
        <v>155</v>
      </c>
      <c r="J73" s="157" t="s">
        <v>38</v>
      </c>
      <c r="K73" s="157" t="s">
        <v>156</v>
      </c>
      <c r="L73" s="149">
        <v>3</v>
      </c>
      <c r="N73" s="149">
        <v>7</v>
      </c>
      <c r="O73" s="149">
        <v>0.65</v>
      </c>
      <c r="P73" s="149">
        <v>0.55000000000000004</v>
      </c>
      <c r="Q73" s="158">
        <f t="shared" si="3"/>
        <v>0.60000000000000009</v>
      </c>
      <c r="R73" s="149">
        <v>16.100000000000001</v>
      </c>
      <c r="S73" s="149">
        <v>103</v>
      </c>
      <c r="T73" s="158">
        <f t="shared" si="4"/>
        <v>33</v>
      </c>
      <c r="U73" s="149">
        <v>486</v>
      </c>
      <c r="V73" s="158">
        <f t="shared" si="5"/>
        <v>2291.1428571428573</v>
      </c>
      <c r="W73" s="149">
        <v>4</v>
      </c>
      <c r="X73" s="55" t="s">
        <v>46</v>
      </c>
      <c r="Y73" s="55" t="s">
        <v>55</v>
      </c>
      <c r="Z73" s="149" t="s">
        <v>47</v>
      </c>
      <c r="AA73" s="55" t="s">
        <v>69</v>
      </c>
      <c r="AB73" s="39" t="s">
        <v>316</v>
      </c>
    </row>
    <row r="74" spans="1:28" x14ac:dyDescent="0.15">
      <c r="A74" s="55" t="s">
        <v>56</v>
      </c>
      <c r="B74" s="55" t="s">
        <v>357</v>
      </c>
      <c r="C74" s="157">
        <v>2018</v>
      </c>
      <c r="D74" s="86" t="s">
        <v>358</v>
      </c>
      <c r="E74" s="157" t="s">
        <v>345</v>
      </c>
      <c r="F74" s="157" t="s">
        <v>373</v>
      </c>
      <c r="G74" s="55" t="s">
        <v>42</v>
      </c>
      <c r="H74" s="157" t="s">
        <v>162</v>
      </c>
      <c r="I74" s="55" t="s">
        <v>155</v>
      </c>
      <c r="J74" s="157" t="s">
        <v>38</v>
      </c>
      <c r="K74" s="157" t="s">
        <v>156</v>
      </c>
      <c r="L74" s="149">
        <v>1</v>
      </c>
      <c r="N74" s="149">
        <v>1</v>
      </c>
      <c r="O74" s="149">
        <v>0.75</v>
      </c>
      <c r="P74" s="149">
        <v>0.75</v>
      </c>
      <c r="Q74" s="158">
        <f t="shared" si="3"/>
        <v>0.75</v>
      </c>
      <c r="R74" s="149">
        <v>15.5</v>
      </c>
      <c r="S74" s="149">
        <v>144</v>
      </c>
      <c r="T74" s="158">
        <f t="shared" si="4"/>
        <v>22</v>
      </c>
      <c r="U74" s="149">
        <v>117</v>
      </c>
      <c r="V74" s="158">
        <f t="shared" si="5"/>
        <v>2574</v>
      </c>
      <c r="W74" s="149">
        <v>6</v>
      </c>
      <c r="X74" s="55" t="s">
        <v>46</v>
      </c>
      <c r="Y74" s="55" t="s">
        <v>55</v>
      </c>
      <c r="Z74" s="149" t="s">
        <v>47</v>
      </c>
      <c r="AA74" s="55" t="s">
        <v>69</v>
      </c>
      <c r="AB74" s="39" t="s">
        <v>316</v>
      </c>
    </row>
    <row r="75" spans="1:28" x14ac:dyDescent="0.15">
      <c r="A75" s="55" t="s">
        <v>56</v>
      </c>
      <c r="B75" s="55" t="s">
        <v>357</v>
      </c>
      <c r="C75" s="157">
        <v>2018</v>
      </c>
      <c r="D75" s="86" t="s">
        <v>358</v>
      </c>
      <c r="E75" s="157" t="s">
        <v>345</v>
      </c>
      <c r="F75" s="157" t="s">
        <v>373</v>
      </c>
      <c r="G75" s="55" t="s">
        <v>42</v>
      </c>
      <c r="H75" s="157" t="s">
        <v>162</v>
      </c>
      <c r="I75" s="55" t="s">
        <v>155</v>
      </c>
      <c r="J75" s="157" t="s">
        <v>38</v>
      </c>
      <c r="K75" s="157" t="s">
        <v>156</v>
      </c>
      <c r="L75" s="149">
        <v>2</v>
      </c>
      <c r="N75" s="149">
        <v>1</v>
      </c>
      <c r="O75" s="149">
        <v>0.7</v>
      </c>
      <c r="P75" s="149">
        <v>0.8</v>
      </c>
      <c r="Q75" s="158">
        <f t="shared" si="3"/>
        <v>0.75</v>
      </c>
      <c r="R75" s="149">
        <v>17.600000000000001</v>
      </c>
      <c r="S75" s="149">
        <v>135</v>
      </c>
      <c r="T75" s="158">
        <f t="shared" si="4"/>
        <v>25</v>
      </c>
      <c r="U75" s="149">
        <v>117</v>
      </c>
      <c r="V75" s="158">
        <f t="shared" si="5"/>
        <v>2925</v>
      </c>
      <c r="W75" s="149">
        <v>6</v>
      </c>
      <c r="X75" s="55" t="s">
        <v>46</v>
      </c>
      <c r="Y75" s="55" t="s">
        <v>55</v>
      </c>
      <c r="Z75" s="149" t="s">
        <v>47</v>
      </c>
      <c r="AA75" s="55" t="s">
        <v>69</v>
      </c>
      <c r="AB75" s="39" t="s">
        <v>316</v>
      </c>
    </row>
    <row r="76" spans="1:28" x14ac:dyDescent="0.15">
      <c r="A76" s="55" t="s">
        <v>56</v>
      </c>
      <c r="B76" s="55" t="s">
        <v>357</v>
      </c>
      <c r="C76" s="157">
        <v>2018</v>
      </c>
      <c r="D76" s="86" t="s">
        <v>358</v>
      </c>
      <c r="E76" s="157" t="s">
        <v>345</v>
      </c>
      <c r="F76" s="157" t="s">
        <v>373</v>
      </c>
      <c r="G76" s="55" t="s">
        <v>42</v>
      </c>
      <c r="H76" s="157" t="s">
        <v>162</v>
      </c>
      <c r="I76" s="55" t="s">
        <v>155</v>
      </c>
      <c r="J76" s="157" t="s">
        <v>38</v>
      </c>
      <c r="K76" s="157" t="s">
        <v>156</v>
      </c>
      <c r="L76" s="149">
        <v>3</v>
      </c>
      <c r="N76" s="149">
        <v>1</v>
      </c>
      <c r="O76" s="149">
        <v>0.65</v>
      </c>
      <c r="P76" s="149">
        <v>0.8</v>
      </c>
      <c r="Q76" s="158">
        <f t="shared" si="3"/>
        <v>0.72500000000000009</v>
      </c>
      <c r="R76" s="149">
        <v>14.7</v>
      </c>
      <c r="S76" s="149">
        <v>146</v>
      </c>
      <c r="T76" s="158">
        <f t="shared" si="4"/>
        <v>22</v>
      </c>
      <c r="U76" s="149">
        <v>117</v>
      </c>
      <c r="V76" s="158">
        <f t="shared" si="5"/>
        <v>2574</v>
      </c>
      <c r="W76" s="149">
        <v>6</v>
      </c>
      <c r="X76" s="55" t="s">
        <v>46</v>
      </c>
      <c r="Y76" s="55" t="s">
        <v>55</v>
      </c>
      <c r="Z76" s="149" t="s">
        <v>47</v>
      </c>
      <c r="AA76" s="55" t="s">
        <v>69</v>
      </c>
      <c r="AB76" s="39" t="s">
        <v>316</v>
      </c>
    </row>
    <row r="77" spans="1:28" x14ac:dyDescent="0.15">
      <c r="A77" s="55" t="s">
        <v>56</v>
      </c>
      <c r="B77" s="55" t="s">
        <v>357</v>
      </c>
      <c r="C77" s="157">
        <v>2018</v>
      </c>
      <c r="D77" s="86" t="s">
        <v>358</v>
      </c>
      <c r="E77" s="157" t="s">
        <v>375</v>
      </c>
      <c r="F77" s="157" t="s">
        <v>373</v>
      </c>
      <c r="G77" s="55" t="s">
        <v>42</v>
      </c>
      <c r="H77" s="157" t="s">
        <v>211</v>
      </c>
      <c r="I77" s="55" t="s">
        <v>155</v>
      </c>
      <c r="J77" s="157" t="s">
        <v>38</v>
      </c>
      <c r="K77" s="157" t="s">
        <v>156</v>
      </c>
      <c r="L77" s="149">
        <v>1</v>
      </c>
      <c r="N77" s="149">
        <v>8</v>
      </c>
      <c r="O77" s="149">
        <v>0.65</v>
      </c>
      <c r="P77" s="149">
        <v>0.6</v>
      </c>
      <c r="Q77" s="158">
        <f t="shared" si="3"/>
        <v>0.625</v>
      </c>
      <c r="R77" s="149">
        <v>17.7</v>
      </c>
      <c r="S77" s="149">
        <v>100</v>
      </c>
      <c r="T77" s="158">
        <f t="shared" si="4"/>
        <v>33</v>
      </c>
      <c r="U77" s="149">
        <v>646</v>
      </c>
      <c r="V77" s="158">
        <f t="shared" si="5"/>
        <v>2664.75</v>
      </c>
      <c r="W77" s="149">
        <v>12</v>
      </c>
      <c r="X77" s="55" t="s">
        <v>46</v>
      </c>
      <c r="Y77" s="55" t="s">
        <v>55</v>
      </c>
      <c r="Z77" s="149" t="s">
        <v>47</v>
      </c>
      <c r="AA77" s="55" t="s">
        <v>86</v>
      </c>
      <c r="AB77" s="39" t="s">
        <v>316</v>
      </c>
    </row>
    <row r="78" spans="1:28" x14ac:dyDescent="0.15">
      <c r="A78" s="55" t="s">
        <v>56</v>
      </c>
      <c r="B78" s="55" t="s">
        <v>357</v>
      </c>
      <c r="C78" s="157">
        <v>2018</v>
      </c>
      <c r="D78" s="86" t="s">
        <v>358</v>
      </c>
      <c r="E78" s="157" t="s">
        <v>375</v>
      </c>
      <c r="F78" s="157" t="s">
        <v>373</v>
      </c>
      <c r="G78" s="55" t="s">
        <v>42</v>
      </c>
      <c r="H78" s="157" t="s">
        <v>211</v>
      </c>
      <c r="I78" s="55" t="s">
        <v>155</v>
      </c>
      <c r="J78" s="157" t="s">
        <v>38</v>
      </c>
      <c r="K78" s="157" t="s">
        <v>156</v>
      </c>
      <c r="L78" s="149">
        <v>2</v>
      </c>
      <c r="N78" s="149">
        <v>8</v>
      </c>
      <c r="O78" s="149">
        <v>0.55000000000000004</v>
      </c>
      <c r="P78" s="149">
        <v>0.5</v>
      </c>
      <c r="Q78" s="158">
        <f t="shared" si="3"/>
        <v>0.52500000000000002</v>
      </c>
      <c r="R78" s="149">
        <v>17.7</v>
      </c>
      <c r="S78" s="149">
        <v>103</v>
      </c>
      <c r="T78" s="158">
        <f t="shared" si="4"/>
        <v>33</v>
      </c>
      <c r="U78" s="149">
        <v>646</v>
      </c>
      <c r="V78" s="158">
        <f t="shared" si="5"/>
        <v>2664.75</v>
      </c>
      <c r="W78" s="149">
        <v>12</v>
      </c>
      <c r="X78" s="55" t="s">
        <v>46</v>
      </c>
      <c r="Y78" s="55" t="s">
        <v>55</v>
      </c>
      <c r="Z78" s="149" t="s">
        <v>47</v>
      </c>
      <c r="AA78" s="55" t="s">
        <v>86</v>
      </c>
      <c r="AB78" s="39" t="s">
        <v>316</v>
      </c>
    </row>
    <row r="79" spans="1:28" x14ac:dyDescent="0.15">
      <c r="A79" s="55" t="s">
        <v>56</v>
      </c>
      <c r="B79" s="55" t="s">
        <v>357</v>
      </c>
      <c r="C79" s="157">
        <v>2018</v>
      </c>
      <c r="D79" s="86" t="s">
        <v>358</v>
      </c>
      <c r="E79" s="157" t="s">
        <v>375</v>
      </c>
      <c r="F79" s="157" t="s">
        <v>373</v>
      </c>
      <c r="G79" s="55" t="s">
        <v>42</v>
      </c>
      <c r="H79" s="157" t="s">
        <v>211</v>
      </c>
      <c r="I79" s="55" t="s">
        <v>155</v>
      </c>
      <c r="J79" s="157" t="s">
        <v>38</v>
      </c>
      <c r="K79" s="157" t="s">
        <v>156</v>
      </c>
      <c r="L79" s="149">
        <v>3</v>
      </c>
      <c r="N79" s="149">
        <v>8</v>
      </c>
      <c r="O79" s="149">
        <v>0.65</v>
      </c>
      <c r="P79" s="149">
        <v>0.6</v>
      </c>
      <c r="Q79" s="158">
        <f t="shared" si="3"/>
        <v>0.625</v>
      </c>
      <c r="R79" s="149">
        <v>17.7</v>
      </c>
      <c r="S79" s="149">
        <v>106</v>
      </c>
      <c r="T79" s="158">
        <f t="shared" si="4"/>
        <v>33</v>
      </c>
      <c r="U79" s="149">
        <v>646</v>
      </c>
      <c r="V79" s="158">
        <f t="shared" si="5"/>
        <v>2664.75</v>
      </c>
      <c r="W79" s="149">
        <v>12</v>
      </c>
      <c r="X79" s="55" t="s">
        <v>46</v>
      </c>
      <c r="Y79" s="55" t="s">
        <v>55</v>
      </c>
      <c r="Z79" s="149" t="s">
        <v>47</v>
      </c>
      <c r="AA79" s="55" t="s">
        <v>86</v>
      </c>
      <c r="AB79" s="39" t="s">
        <v>316</v>
      </c>
    </row>
    <row r="80" spans="1:28" x14ac:dyDescent="0.15">
      <c r="A80" s="55" t="s">
        <v>56</v>
      </c>
      <c r="B80" s="55" t="s">
        <v>357</v>
      </c>
      <c r="C80" s="157">
        <v>2018</v>
      </c>
      <c r="D80" s="86" t="s">
        <v>358</v>
      </c>
      <c r="E80" s="157" t="s">
        <v>375</v>
      </c>
      <c r="F80" s="157" t="s">
        <v>373</v>
      </c>
      <c r="G80" s="55" t="s">
        <v>42</v>
      </c>
      <c r="H80" s="157" t="s">
        <v>162</v>
      </c>
      <c r="I80" s="55" t="s">
        <v>155</v>
      </c>
      <c r="J80" s="157" t="s">
        <v>38</v>
      </c>
      <c r="K80" s="157" t="s">
        <v>156</v>
      </c>
      <c r="L80" s="149">
        <v>1</v>
      </c>
      <c r="N80" s="149">
        <v>8</v>
      </c>
      <c r="O80" s="149">
        <v>0.6</v>
      </c>
      <c r="P80" s="149">
        <v>0.6</v>
      </c>
      <c r="Q80" s="158">
        <f t="shared" si="3"/>
        <v>0.6</v>
      </c>
      <c r="R80" s="149">
        <v>17.5</v>
      </c>
      <c r="S80" s="149">
        <v>130</v>
      </c>
      <c r="T80" s="158">
        <f t="shared" si="4"/>
        <v>25</v>
      </c>
      <c r="U80" s="149">
        <v>862</v>
      </c>
      <c r="V80" s="158">
        <f t="shared" si="5"/>
        <v>2693.75</v>
      </c>
      <c r="W80" s="149">
        <v>12</v>
      </c>
      <c r="X80" s="55" t="s">
        <v>46</v>
      </c>
      <c r="Y80" s="55" t="s">
        <v>55</v>
      </c>
      <c r="Z80" s="149" t="s">
        <v>47</v>
      </c>
      <c r="AA80" s="55" t="s">
        <v>86</v>
      </c>
      <c r="AB80" s="39" t="s">
        <v>316</v>
      </c>
    </row>
    <row r="81" spans="1:28" x14ac:dyDescent="0.15">
      <c r="A81" s="55" t="s">
        <v>56</v>
      </c>
      <c r="B81" s="55" t="s">
        <v>357</v>
      </c>
      <c r="C81" s="157">
        <v>2018</v>
      </c>
      <c r="D81" s="86" t="s">
        <v>358</v>
      </c>
      <c r="E81" s="157" t="s">
        <v>375</v>
      </c>
      <c r="F81" s="157" t="s">
        <v>373</v>
      </c>
      <c r="G81" s="55" t="s">
        <v>42</v>
      </c>
      <c r="H81" s="157" t="s">
        <v>162</v>
      </c>
      <c r="I81" s="55" t="s">
        <v>155</v>
      </c>
      <c r="J81" s="157" t="s">
        <v>38</v>
      </c>
      <c r="K81" s="157" t="s">
        <v>156</v>
      </c>
      <c r="L81" s="149">
        <v>2</v>
      </c>
      <c r="N81" s="149">
        <v>8</v>
      </c>
      <c r="O81" s="149">
        <v>0.7</v>
      </c>
      <c r="P81" s="149">
        <v>0.75</v>
      </c>
      <c r="Q81" s="158">
        <f t="shared" si="3"/>
        <v>0.72499999999999998</v>
      </c>
      <c r="R81" s="149">
        <v>16.7</v>
      </c>
      <c r="S81" s="149">
        <v>130</v>
      </c>
      <c r="T81" s="158">
        <f t="shared" si="4"/>
        <v>25</v>
      </c>
      <c r="U81" s="149">
        <v>862</v>
      </c>
      <c r="V81" s="158">
        <f t="shared" si="5"/>
        <v>2693.75</v>
      </c>
      <c r="W81" s="149">
        <v>12</v>
      </c>
      <c r="X81" s="55" t="s">
        <v>46</v>
      </c>
      <c r="Y81" s="55" t="s">
        <v>55</v>
      </c>
      <c r="Z81" s="149" t="s">
        <v>47</v>
      </c>
      <c r="AA81" s="55" t="s">
        <v>86</v>
      </c>
      <c r="AB81" s="39" t="s">
        <v>316</v>
      </c>
    </row>
    <row r="82" spans="1:28" x14ac:dyDescent="0.15">
      <c r="A82" s="55" t="s">
        <v>56</v>
      </c>
      <c r="B82" s="55" t="s">
        <v>357</v>
      </c>
      <c r="C82" s="157">
        <v>2018</v>
      </c>
      <c r="D82" s="86" t="s">
        <v>358</v>
      </c>
      <c r="E82" s="157" t="s">
        <v>375</v>
      </c>
      <c r="F82" s="157" t="s">
        <v>373</v>
      </c>
      <c r="G82" s="55" t="s">
        <v>42</v>
      </c>
      <c r="H82" s="157" t="s">
        <v>162</v>
      </c>
      <c r="I82" s="55" t="s">
        <v>155</v>
      </c>
      <c r="J82" s="157" t="s">
        <v>38</v>
      </c>
      <c r="K82" s="157" t="s">
        <v>156</v>
      </c>
      <c r="L82" s="149">
        <v>3</v>
      </c>
      <c r="N82" s="149">
        <v>8</v>
      </c>
      <c r="O82" s="149">
        <v>0.55000000000000004</v>
      </c>
      <c r="P82" s="149">
        <v>0.6</v>
      </c>
      <c r="Q82" s="158">
        <f t="shared" si="3"/>
        <v>0.57499999999999996</v>
      </c>
      <c r="R82" s="149">
        <v>16.7</v>
      </c>
      <c r="S82" s="149">
        <v>121</v>
      </c>
      <c r="T82" s="158">
        <f t="shared" si="4"/>
        <v>27</v>
      </c>
      <c r="U82" s="149">
        <v>862</v>
      </c>
      <c r="V82" s="158">
        <f t="shared" si="5"/>
        <v>2909.25</v>
      </c>
      <c r="W82" s="149">
        <v>12</v>
      </c>
      <c r="X82" s="55" t="s">
        <v>46</v>
      </c>
      <c r="Y82" s="55" t="s">
        <v>55</v>
      </c>
      <c r="Z82" s="149" t="s">
        <v>47</v>
      </c>
      <c r="AA82" s="55" t="s">
        <v>86</v>
      </c>
      <c r="AB82" s="39" t="s">
        <v>316</v>
      </c>
    </row>
    <row r="83" spans="1:28" x14ac:dyDescent="0.15">
      <c r="J83" s="157"/>
      <c r="K83" s="157"/>
    </row>
    <row r="84" spans="1:28" x14ac:dyDescent="0.15">
      <c r="J84" s="157"/>
      <c r="K84" s="157"/>
    </row>
    <row r="85" spans="1:28" x14ac:dyDescent="0.15">
      <c r="J85" s="157"/>
      <c r="K85" s="157"/>
    </row>
    <row r="86" spans="1:28" x14ac:dyDescent="0.15">
      <c r="J86" s="157"/>
      <c r="K86" s="157"/>
    </row>
    <row r="87" spans="1:28" x14ac:dyDescent="0.15">
      <c r="J87" s="157"/>
      <c r="K87" s="157"/>
    </row>
    <row r="88" spans="1:28" x14ac:dyDescent="0.15">
      <c r="J88" s="157"/>
      <c r="K88" s="157"/>
    </row>
    <row r="89" spans="1:28" x14ac:dyDescent="0.15">
      <c r="J89" s="157"/>
      <c r="K89" s="157"/>
    </row>
    <row r="90" spans="1:28" x14ac:dyDescent="0.15">
      <c r="J90" s="157"/>
      <c r="K90" s="157"/>
    </row>
    <row r="91" spans="1:28" x14ac:dyDescent="0.15">
      <c r="J91" s="157"/>
      <c r="K91" s="157"/>
    </row>
    <row r="92" spans="1:28" x14ac:dyDescent="0.15">
      <c r="J92" s="157"/>
      <c r="K92" s="157"/>
    </row>
    <row r="93" spans="1:28" x14ac:dyDescent="0.15">
      <c r="J93" s="157"/>
      <c r="K93" s="157"/>
    </row>
    <row r="94" spans="1:28" x14ac:dyDescent="0.15">
      <c r="J94" s="157"/>
      <c r="K94" s="157"/>
    </row>
    <row r="95" spans="1:28" x14ac:dyDescent="0.15">
      <c r="J95" s="157"/>
      <c r="K95" s="157"/>
    </row>
    <row r="96" spans="1:28" x14ac:dyDescent="0.15">
      <c r="J96" s="157"/>
      <c r="K96" s="157"/>
    </row>
    <row r="97" spans="10:11" x14ac:dyDescent="0.15">
      <c r="J97" s="157"/>
      <c r="K97" s="157"/>
    </row>
    <row r="98" spans="10:11" x14ac:dyDescent="0.15">
      <c r="J98" s="157"/>
      <c r="K98" s="157"/>
    </row>
    <row r="99" spans="10:11" x14ac:dyDescent="0.15">
      <c r="J99" s="157"/>
      <c r="K99" s="157"/>
    </row>
    <row r="100" spans="10:11" x14ac:dyDescent="0.15">
      <c r="J100" s="157"/>
      <c r="K100" s="157"/>
    </row>
    <row r="101" spans="10:11" x14ac:dyDescent="0.15">
      <c r="K101" s="157"/>
    </row>
    <row r="102" spans="10:11" x14ac:dyDescent="0.15">
      <c r="K102" s="157"/>
    </row>
    <row r="103" spans="10:11" x14ac:dyDescent="0.15">
      <c r="K103" s="157"/>
    </row>
    <row r="104" spans="10:11" x14ac:dyDescent="0.15">
      <c r="K104" s="157"/>
    </row>
    <row r="105" spans="10:11" x14ac:dyDescent="0.15">
      <c r="K105" s="157"/>
    </row>
    <row r="106" spans="10:11" x14ac:dyDescent="0.15">
      <c r="K106" s="157"/>
    </row>
    <row r="107" spans="10:11" x14ac:dyDescent="0.15">
      <c r="K107" s="157"/>
    </row>
    <row r="108" spans="10:11" x14ac:dyDescent="0.15">
      <c r="K108" s="157"/>
    </row>
    <row r="109" spans="10:11" x14ac:dyDescent="0.15">
      <c r="K109" s="157"/>
    </row>
    <row r="110" spans="10:11" x14ac:dyDescent="0.15">
      <c r="K110" s="157"/>
    </row>
    <row r="111" spans="10:11" x14ac:dyDescent="0.15">
      <c r="K111" s="157"/>
    </row>
    <row r="112" spans="10:11" x14ac:dyDescent="0.15">
      <c r="K112" s="157"/>
    </row>
    <row r="113" spans="11:11" x14ac:dyDescent="0.15">
      <c r="K113" s="157"/>
    </row>
    <row r="114" spans="11:11" x14ac:dyDescent="0.15">
      <c r="K114" s="157"/>
    </row>
    <row r="115" spans="11:11" x14ac:dyDescent="0.15">
      <c r="K115" s="157"/>
    </row>
    <row r="116" spans="11:11" x14ac:dyDescent="0.15">
      <c r="K116" s="157"/>
    </row>
    <row r="117" spans="11:11" x14ac:dyDescent="0.15">
      <c r="K117" s="157"/>
    </row>
    <row r="118" spans="11:11" x14ac:dyDescent="0.15">
      <c r="K118" s="157"/>
    </row>
    <row r="119" spans="11:11" x14ac:dyDescent="0.15">
      <c r="K119" s="157"/>
    </row>
    <row r="120" spans="11:11" x14ac:dyDescent="0.15">
      <c r="K120" s="157"/>
    </row>
    <row r="121" spans="11:11" x14ac:dyDescent="0.15">
      <c r="K121" s="157"/>
    </row>
    <row r="122" spans="11:11" x14ac:dyDescent="0.15">
      <c r="K122" s="157"/>
    </row>
    <row r="123" spans="11:11" x14ac:dyDescent="0.15">
      <c r="K123" s="157"/>
    </row>
    <row r="124" spans="11:11" x14ac:dyDescent="0.15">
      <c r="K124" s="157"/>
    </row>
    <row r="125" spans="11:11" x14ac:dyDescent="0.15">
      <c r="K125" s="157"/>
    </row>
    <row r="126" spans="11:11" x14ac:dyDescent="0.15">
      <c r="K126" s="157"/>
    </row>
    <row r="127" spans="11:11" x14ac:dyDescent="0.15">
      <c r="K127" s="157"/>
    </row>
    <row r="128" spans="11:11" x14ac:dyDescent="0.15">
      <c r="K128" s="157"/>
    </row>
    <row r="129" spans="11:11" x14ac:dyDescent="0.15">
      <c r="K129" s="157"/>
    </row>
    <row r="130" spans="11:11" x14ac:dyDescent="0.15">
      <c r="K130" s="157"/>
    </row>
    <row r="131" spans="11:11" x14ac:dyDescent="0.15">
      <c r="K131" s="157"/>
    </row>
    <row r="132" spans="11:11" x14ac:dyDescent="0.15">
      <c r="K132" s="157"/>
    </row>
    <row r="133" spans="11:11" x14ac:dyDescent="0.15">
      <c r="K133" s="157"/>
    </row>
    <row r="134" spans="11:11" x14ac:dyDescent="0.15">
      <c r="K134" s="157"/>
    </row>
    <row r="135" spans="11:11" x14ac:dyDescent="0.15">
      <c r="K135" s="157"/>
    </row>
    <row r="136" spans="11:11" x14ac:dyDescent="0.15">
      <c r="K136" s="157"/>
    </row>
    <row r="137" spans="11:11" x14ac:dyDescent="0.15">
      <c r="K137" s="157"/>
    </row>
    <row r="138" spans="11:11" x14ac:dyDescent="0.15">
      <c r="K138" s="157"/>
    </row>
    <row r="139" spans="11:11" x14ac:dyDescent="0.15">
      <c r="K139" s="157"/>
    </row>
    <row r="140" spans="11:11" x14ac:dyDescent="0.15">
      <c r="K140" s="157"/>
    </row>
    <row r="141" spans="11:11" x14ac:dyDescent="0.15">
      <c r="K141" s="157"/>
    </row>
    <row r="142" spans="11:11" x14ac:dyDescent="0.15">
      <c r="K142" s="157"/>
    </row>
    <row r="143" spans="11:11" x14ac:dyDescent="0.15">
      <c r="K143" s="157"/>
    </row>
    <row r="144" spans="11:11" x14ac:dyDescent="0.15">
      <c r="K144" s="157"/>
    </row>
    <row r="145" spans="11:11" x14ac:dyDescent="0.15">
      <c r="K145" s="157"/>
    </row>
    <row r="146" spans="11:11" x14ac:dyDescent="0.15">
      <c r="K146" s="157"/>
    </row>
    <row r="147" spans="11:11" x14ac:dyDescent="0.15">
      <c r="K147" s="157"/>
    </row>
    <row r="148" spans="11:11" x14ac:dyDescent="0.15">
      <c r="K148" s="157"/>
    </row>
    <row r="149" spans="11:11" x14ac:dyDescent="0.15">
      <c r="K149" s="157"/>
    </row>
    <row r="150" spans="11:11" x14ac:dyDescent="0.15">
      <c r="K150" s="157"/>
    </row>
    <row r="151" spans="11:11" x14ac:dyDescent="0.15">
      <c r="K151" s="157"/>
    </row>
    <row r="152" spans="11:11" x14ac:dyDescent="0.15">
      <c r="K152" s="157"/>
    </row>
    <row r="153" spans="11:11" x14ac:dyDescent="0.15">
      <c r="K153" s="157"/>
    </row>
    <row r="154" spans="11:11" x14ac:dyDescent="0.15">
      <c r="K154" s="157"/>
    </row>
    <row r="155" spans="11:11" x14ac:dyDescent="0.15">
      <c r="K155" s="157"/>
    </row>
    <row r="156" spans="11:11" x14ac:dyDescent="0.15">
      <c r="K156" s="157"/>
    </row>
    <row r="157" spans="11:11" x14ac:dyDescent="0.15">
      <c r="K157" s="157"/>
    </row>
    <row r="158" spans="11:11" x14ac:dyDescent="0.15">
      <c r="K158" s="157"/>
    </row>
    <row r="159" spans="11:11" x14ac:dyDescent="0.15">
      <c r="K159" s="157"/>
    </row>
    <row r="160" spans="11:11" x14ac:dyDescent="0.15">
      <c r="K160" s="157"/>
    </row>
    <row r="161" spans="11:11" x14ac:dyDescent="0.15">
      <c r="K161" s="157"/>
    </row>
    <row r="162" spans="11:11" x14ac:dyDescent="0.15">
      <c r="K162" s="157"/>
    </row>
    <row r="163" spans="11:11" x14ac:dyDescent="0.15">
      <c r="K163" s="157"/>
    </row>
    <row r="164" spans="11:11" x14ac:dyDescent="0.15">
      <c r="K164" s="157"/>
    </row>
    <row r="165" spans="11:11" x14ac:dyDescent="0.15">
      <c r="K165" s="157"/>
    </row>
    <row r="166" spans="11:11" x14ac:dyDescent="0.15">
      <c r="K166" s="157"/>
    </row>
    <row r="167" spans="11:11" x14ac:dyDescent="0.15">
      <c r="K167" s="157"/>
    </row>
    <row r="168" spans="11:11" x14ac:dyDescent="0.15">
      <c r="K168" s="157"/>
    </row>
    <row r="169" spans="11:11" x14ac:dyDescent="0.15">
      <c r="K169" s="157"/>
    </row>
    <row r="170" spans="11:11" x14ac:dyDescent="0.15">
      <c r="K170" s="157"/>
    </row>
    <row r="171" spans="11:11" x14ac:dyDescent="0.15">
      <c r="K171" s="157"/>
    </row>
    <row r="172" spans="11:11" x14ac:dyDescent="0.15">
      <c r="K172" s="157"/>
    </row>
    <row r="173" spans="11:11" x14ac:dyDescent="0.15">
      <c r="K173" s="157"/>
    </row>
    <row r="174" spans="11:11" x14ac:dyDescent="0.15">
      <c r="K174" s="157"/>
    </row>
    <row r="175" spans="11:11" x14ac:dyDescent="0.15">
      <c r="K175" s="157"/>
    </row>
    <row r="176" spans="11:11" x14ac:dyDescent="0.15">
      <c r="K176" s="157"/>
    </row>
    <row r="177" spans="11:11" x14ac:dyDescent="0.15">
      <c r="K177" s="157"/>
    </row>
    <row r="178" spans="11:11" x14ac:dyDescent="0.15">
      <c r="K178" s="157"/>
    </row>
    <row r="179" spans="11:11" x14ac:dyDescent="0.15">
      <c r="K179" s="157"/>
    </row>
    <row r="180" spans="11:11" x14ac:dyDescent="0.15">
      <c r="K180" s="157"/>
    </row>
    <row r="181" spans="11:11" x14ac:dyDescent="0.15">
      <c r="K181" s="157"/>
    </row>
    <row r="182" spans="11:11" x14ac:dyDescent="0.15">
      <c r="K182" s="157"/>
    </row>
    <row r="183" spans="11:11" x14ac:dyDescent="0.15">
      <c r="K183" s="157"/>
    </row>
    <row r="184" spans="11:11" x14ac:dyDescent="0.15">
      <c r="K184" s="157"/>
    </row>
    <row r="185" spans="11:11" x14ac:dyDescent="0.15">
      <c r="K185" s="157"/>
    </row>
    <row r="186" spans="11:11" x14ac:dyDescent="0.15">
      <c r="K186" s="157"/>
    </row>
    <row r="187" spans="11:11" x14ac:dyDescent="0.15">
      <c r="K187" s="157"/>
    </row>
    <row r="188" spans="11:11" x14ac:dyDescent="0.15">
      <c r="K188" s="157"/>
    </row>
    <row r="189" spans="11:11" x14ac:dyDescent="0.15">
      <c r="K189" s="157"/>
    </row>
    <row r="190" spans="11:11" x14ac:dyDescent="0.15">
      <c r="K190" s="157"/>
    </row>
    <row r="191" spans="11:11" x14ac:dyDescent="0.15">
      <c r="K191" s="157"/>
    </row>
    <row r="192" spans="11:11" x14ac:dyDescent="0.15">
      <c r="K192" s="157"/>
    </row>
    <row r="193" spans="11:11" x14ac:dyDescent="0.15">
      <c r="K193" s="157"/>
    </row>
    <row r="194" spans="11:11" x14ac:dyDescent="0.15">
      <c r="K194" s="157"/>
    </row>
    <row r="195" spans="11:11" x14ac:dyDescent="0.15">
      <c r="K195" s="157"/>
    </row>
    <row r="196" spans="11:11" x14ac:dyDescent="0.15">
      <c r="K196" s="157"/>
    </row>
    <row r="197" spans="11:11" x14ac:dyDescent="0.15">
      <c r="K197" s="157"/>
    </row>
    <row r="198" spans="11:11" x14ac:dyDescent="0.15">
      <c r="K198" s="157"/>
    </row>
    <row r="199" spans="11:11" x14ac:dyDescent="0.15">
      <c r="K199" s="157"/>
    </row>
    <row r="200" spans="11:11" x14ac:dyDescent="0.15">
      <c r="K200" s="157"/>
    </row>
    <row r="201" spans="11:11" x14ac:dyDescent="0.15">
      <c r="K201" s="157"/>
    </row>
    <row r="202" spans="11:11" x14ac:dyDescent="0.15">
      <c r="K202" s="157"/>
    </row>
    <row r="203" spans="11:11" x14ac:dyDescent="0.15">
      <c r="K203" s="157"/>
    </row>
    <row r="204" spans="11:11" x14ac:dyDescent="0.15">
      <c r="K204" s="157"/>
    </row>
    <row r="205" spans="11:11" x14ac:dyDescent="0.15">
      <c r="K205" s="157"/>
    </row>
    <row r="206" spans="11:11" x14ac:dyDescent="0.15">
      <c r="K206" s="157"/>
    </row>
    <row r="207" spans="11:11" x14ac:dyDescent="0.15">
      <c r="K207" s="157"/>
    </row>
    <row r="208" spans="11:11" x14ac:dyDescent="0.15">
      <c r="K208" s="157"/>
    </row>
    <row r="209" spans="11:11" x14ac:dyDescent="0.15">
      <c r="K209" s="157"/>
    </row>
    <row r="210" spans="11:11" x14ac:dyDescent="0.15">
      <c r="K210" s="157"/>
    </row>
    <row r="211" spans="11:11" x14ac:dyDescent="0.15">
      <c r="K211" s="157"/>
    </row>
    <row r="212" spans="11:11" x14ac:dyDescent="0.15">
      <c r="K212" s="157"/>
    </row>
    <row r="213" spans="11:11" x14ac:dyDescent="0.15">
      <c r="K213" s="157"/>
    </row>
    <row r="214" spans="11:11" x14ac:dyDescent="0.15">
      <c r="K214" s="157"/>
    </row>
    <row r="215" spans="11:11" x14ac:dyDescent="0.15">
      <c r="K215" s="157"/>
    </row>
    <row r="216" spans="11:11" x14ac:dyDescent="0.15">
      <c r="K216" s="157"/>
    </row>
    <row r="217" spans="11:11" x14ac:dyDescent="0.15">
      <c r="K217" s="157"/>
    </row>
    <row r="218" spans="11:11" x14ac:dyDescent="0.15">
      <c r="K218" s="157"/>
    </row>
    <row r="219" spans="11:11" x14ac:dyDescent="0.15">
      <c r="K219" s="157"/>
    </row>
    <row r="220" spans="11:11" x14ac:dyDescent="0.15">
      <c r="K220" s="157"/>
    </row>
    <row r="221" spans="11:11" x14ac:dyDescent="0.15">
      <c r="K221" s="157"/>
    </row>
    <row r="222" spans="11:11" x14ac:dyDescent="0.15">
      <c r="K222" s="157"/>
    </row>
    <row r="223" spans="11:11" x14ac:dyDescent="0.15">
      <c r="K223" s="157"/>
    </row>
    <row r="224" spans="11:11" x14ac:dyDescent="0.15">
      <c r="K224" s="157"/>
    </row>
    <row r="225" spans="11:11" x14ac:dyDescent="0.15">
      <c r="K225" s="157"/>
    </row>
    <row r="226" spans="11:11" x14ac:dyDescent="0.15">
      <c r="K226" s="157"/>
    </row>
    <row r="227" spans="11:11" x14ac:dyDescent="0.15">
      <c r="K227" s="157"/>
    </row>
    <row r="228" spans="11:11" x14ac:dyDescent="0.15">
      <c r="K228" s="157"/>
    </row>
    <row r="229" spans="11:11" x14ac:dyDescent="0.15">
      <c r="K229" s="157"/>
    </row>
    <row r="230" spans="11:11" x14ac:dyDescent="0.15">
      <c r="K230" s="157"/>
    </row>
    <row r="231" spans="11:11" x14ac:dyDescent="0.15">
      <c r="K231" s="157"/>
    </row>
    <row r="232" spans="11:11" x14ac:dyDescent="0.15">
      <c r="K232" s="157"/>
    </row>
    <row r="233" spans="11:11" x14ac:dyDescent="0.15">
      <c r="K233" s="157"/>
    </row>
    <row r="234" spans="11:11" x14ac:dyDescent="0.15">
      <c r="K234" s="157"/>
    </row>
    <row r="235" spans="11:11" x14ac:dyDescent="0.15">
      <c r="K235" s="157"/>
    </row>
    <row r="236" spans="11:11" x14ac:dyDescent="0.15">
      <c r="K236" s="157"/>
    </row>
    <row r="237" spans="11:11" x14ac:dyDescent="0.15">
      <c r="K237" s="157"/>
    </row>
    <row r="238" spans="11:11" x14ac:dyDescent="0.15">
      <c r="K238" s="157"/>
    </row>
    <row r="239" spans="11:11" x14ac:dyDescent="0.15">
      <c r="K239" s="157"/>
    </row>
    <row r="240" spans="11:11" x14ac:dyDescent="0.15">
      <c r="K240" s="157"/>
    </row>
    <row r="241" spans="11:11" x14ac:dyDescent="0.15">
      <c r="K241" s="157"/>
    </row>
    <row r="242" spans="11:11" x14ac:dyDescent="0.15">
      <c r="K242" s="157"/>
    </row>
    <row r="243" spans="11:11" x14ac:dyDescent="0.15">
      <c r="K243" s="157"/>
    </row>
    <row r="244" spans="11:11" x14ac:dyDescent="0.15">
      <c r="K244" s="157"/>
    </row>
    <row r="245" spans="11:11" x14ac:dyDescent="0.15">
      <c r="K245" s="157"/>
    </row>
    <row r="246" spans="11:11" x14ac:dyDescent="0.15">
      <c r="K246" s="157"/>
    </row>
    <row r="247" spans="11:11" x14ac:dyDescent="0.15">
      <c r="K247" s="157"/>
    </row>
    <row r="248" spans="11:11" x14ac:dyDescent="0.15">
      <c r="K248" s="157"/>
    </row>
    <row r="249" spans="11:11" x14ac:dyDescent="0.15">
      <c r="K249" s="157"/>
    </row>
    <row r="250" spans="11:11" x14ac:dyDescent="0.15">
      <c r="K250" s="157"/>
    </row>
    <row r="251" spans="11:11" x14ac:dyDescent="0.15">
      <c r="K251" s="157"/>
    </row>
    <row r="252" spans="11:11" x14ac:dyDescent="0.15">
      <c r="K252" s="157"/>
    </row>
    <row r="253" spans="11:11" x14ac:dyDescent="0.15">
      <c r="K253" s="157"/>
    </row>
    <row r="254" spans="11:11" x14ac:dyDescent="0.15">
      <c r="K254" s="157"/>
    </row>
    <row r="255" spans="11:11" x14ac:dyDescent="0.15">
      <c r="K255" s="157"/>
    </row>
    <row r="256" spans="11:11" x14ac:dyDescent="0.15">
      <c r="K256" s="157"/>
    </row>
    <row r="257" spans="11:11" x14ac:dyDescent="0.15">
      <c r="K257" s="157"/>
    </row>
    <row r="258" spans="11:11" x14ac:dyDescent="0.15">
      <c r="K258" s="157"/>
    </row>
    <row r="259" spans="11:11" x14ac:dyDescent="0.15">
      <c r="K259" s="157"/>
    </row>
    <row r="260" spans="11:11" x14ac:dyDescent="0.15">
      <c r="K260" s="157"/>
    </row>
    <row r="261" spans="11:11" x14ac:dyDescent="0.15">
      <c r="K261" s="157"/>
    </row>
    <row r="262" spans="11:11" x14ac:dyDescent="0.15">
      <c r="K262" s="157"/>
    </row>
    <row r="263" spans="11:11" x14ac:dyDescent="0.15">
      <c r="K263" s="157"/>
    </row>
    <row r="264" spans="11:11" x14ac:dyDescent="0.15">
      <c r="K264" s="157"/>
    </row>
    <row r="265" spans="11:11" x14ac:dyDescent="0.15">
      <c r="K265" s="157"/>
    </row>
    <row r="266" spans="11:11" x14ac:dyDescent="0.15">
      <c r="K266" s="157"/>
    </row>
    <row r="267" spans="11:11" x14ac:dyDescent="0.15">
      <c r="K267" s="157"/>
    </row>
    <row r="268" spans="11:11" x14ac:dyDescent="0.15">
      <c r="K268" s="157"/>
    </row>
    <row r="269" spans="11:11" x14ac:dyDescent="0.15">
      <c r="K269" s="157"/>
    </row>
    <row r="270" spans="11:11" x14ac:dyDescent="0.15">
      <c r="K270" s="157"/>
    </row>
    <row r="271" spans="11:11" x14ac:dyDescent="0.15">
      <c r="K271" s="157"/>
    </row>
    <row r="272" spans="11:11" x14ac:dyDescent="0.15">
      <c r="K272" s="157"/>
    </row>
    <row r="273" spans="11:11" x14ac:dyDescent="0.15">
      <c r="K273" s="157"/>
    </row>
    <row r="274" spans="11:11" x14ac:dyDescent="0.15">
      <c r="K274" s="157"/>
    </row>
    <row r="275" spans="11:11" x14ac:dyDescent="0.15">
      <c r="K275" s="157"/>
    </row>
    <row r="276" spans="11:11" x14ac:dyDescent="0.15">
      <c r="K276" s="157"/>
    </row>
    <row r="277" spans="11:11" x14ac:dyDescent="0.15">
      <c r="K277" s="157"/>
    </row>
    <row r="278" spans="11:11" x14ac:dyDescent="0.15">
      <c r="K278" s="157"/>
    </row>
    <row r="279" spans="11:11" x14ac:dyDescent="0.15">
      <c r="K279" s="157"/>
    </row>
    <row r="280" spans="11:11" x14ac:dyDescent="0.15">
      <c r="K280" s="157"/>
    </row>
    <row r="281" spans="11:11" x14ac:dyDescent="0.15">
      <c r="K281" s="157"/>
    </row>
    <row r="282" spans="11:11" x14ac:dyDescent="0.15">
      <c r="K282" s="157"/>
    </row>
    <row r="283" spans="11:11" x14ac:dyDescent="0.15">
      <c r="K283" s="157"/>
    </row>
    <row r="284" spans="11:11" x14ac:dyDescent="0.15">
      <c r="K284" s="157"/>
    </row>
    <row r="285" spans="11:11" x14ac:dyDescent="0.15">
      <c r="K285" s="157"/>
    </row>
    <row r="286" spans="11:11" x14ac:dyDescent="0.15">
      <c r="K286" s="157"/>
    </row>
    <row r="287" spans="11:11" x14ac:dyDescent="0.15">
      <c r="K287" s="157"/>
    </row>
    <row r="288" spans="11:11" x14ac:dyDescent="0.15">
      <c r="K288" s="157"/>
    </row>
    <row r="289" spans="11:11" x14ac:dyDescent="0.15">
      <c r="K289" s="157"/>
    </row>
    <row r="290" spans="11:11" x14ac:dyDescent="0.15">
      <c r="K290" s="157"/>
    </row>
    <row r="291" spans="11:11" x14ac:dyDescent="0.15">
      <c r="K291" s="157"/>
    </row>
    <row r="292" spans="11:11" x14ac:dyDescent="0.15">
      <c r="K292" s="157"/>
    </row>
    <row r="293" spans="11:11" x14ac:dyDescent="0.15">
      <c r="K293" s="157"/>
    </row>
    <row r="294" spans="11:11" x14ac:dyDescent="0.15">
      <c r="K294" s="157"/>
    </row>
    <row r="295" spans="11:11" x14ac:dyDescent="0.15">
      <c r="K295" s="157"/>
    </row>
    <row r="296" spans="11:11" x14ac:dyDescent="0.15">
      <c r="K296" s="157"/>
    </row>
    <row r="297" spans="11:11" x14ac:dyDescent="0.15">
      <c r="K297" s="157"/>
    </row>
    <row r="298" spans="11:11" x14ac:dyDescent="0.15">
      <c r="K298" s="157"/>
    </row>
    <row r="299" spans="11:11" x14ac:dyDescent="0.15">
      <c r="K299" s="157"/>
    </row>
    <row r="300" spans="11:11" x14ac:dyDescent="0.15">
      <c r="K300" s="157"/>
    </row>
    <row r="301" spans="11:11" x14ac:dyDescent="0.15">
      <c r="K301" s="157"/>
    </row>
    <row r="302" spans="11:11" x14ac:dyDescent="0.15">
      <c r="K302" s="157"/>
    </row>
    <row r="303" spans="11:11" x14ac:dyDescent="0.15">
      <c r="K303" s="157"/>
    </row>
    <row r="304" spans="11:11" x14ac:dyDescent="0.15">
      <c r="K304" s="157"/>
    </row>
    <row r="305" spans="11:11" x14ac:dyDescent="0.15">
      <c r="K305" s="157"/>
    </row>
    <row r="306" spans="11:11" x14ac:dyDescent="0.15">
      <c r="K306" s="157"/>
    </row>
    <row r="307" spans="11:11" x14ac:dyDescent="0.15">
      <c r="K307" s="157"/>
    </row>
    <row r="308" spans="11:11" x14ac:dyDescent="0.15">
      <c r="K308" s="157"/>
    </row>
    <row r="309" spans="11:11" x14ac:dyDescent="0.15">
      <c r="K309" s="157"/>
    </row>
    <row r="310" spans="11:11" x14ac:dyDescent="0.15">
      <c r="K310" s="157"/>
    </row>
    <row r="311" spans="11:11" x14ac:dyDescent="0.15">
      <c r="K311" s="157"/>
    </row>
    <row r="312" spans="11:11" x14ac:dyDescent="0.15">
      <c r="K312" s="157"/>
    </row>
    <row r="313" spans="11:11" x14ac:dyDescent="0.15">
      <c r="K313" s="157"/>
    </row>
    <row r="314" spans="11:11" x14ac:dyDescent="0.15">
      <c r="K314" s="157"/>
    </row>
    <row r="315" spans="11:11" x14ac:dyDescent="0.15">
      <c r="K315" s="157"/>
    </row>
    <row r="316" spans="11:11" x14ac:dyDescent="0.15">
      <c r="K316" s="157"/>
    </row>
    <row r="317" spans="11:11" x14ac:dyDescent="0.15">
      <c r="K317" s="157"/>
    </row>
    <row r="318" spans="11:11" x14ac:dyDescent="0.15">
      <c r="K318" s="157"/>
    </row>
    <row r="319" spans="11:11" x14ac:dyDescent="0.15">
      <c r="K319" s="157"/>
    </row>
    <row r="320" spans="11:11" x14ac:dyDescent="0.15">
      <c r="K320" s="157"/>
    </row>
    <row r="321" spans="11:11" x14ac:dyDescent="0.15">
      <c r="K321" s="157"/>
    </row>
    <row r="322" spans="11:11" x14ac:dyDescent="0.15">
      <c r="K322" s="157"/>
    </row>
    <row r="323" spans="11:11" x14ac:dyDescent="0.15">
      <c r="K323" s="157"/>
    </row>
    <row r="324" spans="11:11" x14ac:dyDescent="0.15">
      <c r="K324" s="157"/>
    </row>
    <row r="325" spans="11:11" x14ac:dyDescent="0.15">
      <c r="K325" s="157"/>
    </row>
    <row r="326" spans="11:11" x14ac:dyDescent="0.15">
      <c r="K326" s="157"/>
    </row>
    <row r="327" spans="11:11" x14ac:dyDescent="0.15">
      <c r="K327" s="157"/>
    </row>
    <row r="328" spans="11:11" x14ac:dyDescent="0.15">
      <c r="K328" s="157"/>
    </row>
    <row r="329" spans="11:11" x14ac:dyDescent="0.15">
      <c r="K329" s="157"/>
    </row>
    <row r="330" spans="11:11" x14ac:dyDescent="0.15">
      <c r="K330" s="157"/>
    </row>
    <row r="331" spans="11:11" x14ac:dyDescent="0.15">
      <c r="K331" s="157"/>
    </row>
    <row r="332" spans="11:11" x14ac:dyDescent="0.15">
      <c r="K332" s="157"/>
    </row>
    <row r="333" spans="11:11" x14ac:dyDescent="0.15">
      <c r="K333" s="157"/>
    </row>
    <row r="334" spans="11:11" x14ac:dyDescent="0.15">
      <c r="K334" s="157"/>
    </row>
    <row r="335" spans="11:11" x14ac:dyDescent="0.15">
      <c r="K335" s="157"/>
    </row>
    <row r="336" spans="11:11" x14ac:dyDescent="0.15">
      <c r="K336" s="157"/>
    </row>
    <row r="337" spans="11:11" x14ac:dyDescent="0.15">
      <c r="K337" s="157"/>
    </row>
    <row r="338" spans="11:11" x14ac:dyDescent="0.15">
      <c r="K338" s="157"/>
    </row>
    <row r="339" spans="11:11" x14ac:dyDescent="0.15">
      <c r="K339" s="157"/>
    </row>
    <row r="340" spans="11:11" x14ac:dyDescent="0.15">
      <c r="K340" s="157"/>
    </row>
    <row r="341" spans="11:11" x14ac:dyDescent="0.15">
      <c r="K341" s="157"/>
    </row>
    <row r="342" spans="11:11" x14ac:dyDescent="0.15">
      <c r="K342" s="157"/>
    </row>
    <row r="343" spans="11:11" x14ac:dyDescent="0.15">
      <c r="K343" s="157"/>
    </row>
    <row r="344" spans="11:11" x14ac:dyDescent="0.15">
      <c r="K344" s="157"/>
    </row>
    <row r="345" spans="11:11" x14ac:dyDescent="0.15">
      <c r="K345" s="157"/>
    </row>
    <row r="346" spans="11:11" x14ac:dyDescent="0.15">
      <c r="K346" s="157"/>
    </row>
    <row r="347" spans="11:11" x14ac:dyDescent="0.15">
      <c r="K347" s="157"/>
    </row>
    <row r="348" spans="11:11" x14ac:dyDescent="0.15">
      <c r="K348" s="157"/>
    </row>
    <row r="349" spans="11:11" x14ac:dyDescent="0.15">
      <c r="K349" s="157"/>
    </row>
    <row r="350" spans="11:11" x14ac:dyDescent="0.15">
      <c r="K350" s="157"/>
    </row>
    <row r="351" spans="11:11" x14ac:dyDescent="0.15">
      <c r="K351" s="157"/>
    </row>
    <row r="352" spans="11:11" x14ac:dyDescent="0.15">
      <c r="K352" s="157"/>
    </row>
    <row r="353" spans="11:11" x14ac:dyDescent="0.15">
      <c r="K353" s="157"/>
    </row>
    <row r="354" spans="11:11" x14ac:dyDescent="0.15">
      <c r="K354" s="157"/>
    </row>
    <row r="355" spans="11:11" x14ac:dyDescent="0.15">
      <c r="K355" s="157"/>
    </row>
    <row r="356" spans="11:11" x14ac:dyDescent="0.15">
      <c r="K356" s="157"/>
    </row>
    <row r="357" spans="11:11" x14ac:dyDescent="0.15">
      <c r="K357" s="157"/>
    </row>
    <row r="358" spans="11:11" x14ac:dyDescent="0.15">
      <c r="K358" s="157"/>
    </row>
    <row r="359" spans="11:11" x14ac:dyDescent="0.15">
      <c r="K359" s="157"/>
    </row>
    <row r="360" spans="11:11" x14ac:dyDescent="0.15">
      <c r="K360" s="157"/>
    </row>
    <row r="361" spans="11:11" x14ac:dyDescent="0.15">
      <c r="K361" s="157"/>
    </row>
    <row r="362" spans="11:11" x14ac:dyDescent="0.15">
      <c r="K362" s="157"/>
    </row>
    <row r="363" spans="11:11" x14ac:dyDescent="0.15">
      <c r="K363" s="157"/>
    </row>
    <row r="364" spans="11:11" x14ac:dyDescent="0.15">
      <c r="K364" s="157"/>
    </row>
    <row r="365" spans="11:11" x14ac:dyDescent="0.15">
      <c r="K365" s="157"/>
    </row>
    <row r="366" spans="11:11" x14ac:dyDescent="0.15">
      <c r="K366" s="157"/>
    </row>
    <row r="367" spans="11:11" x14ac:dyDescent="0.15">
      <c r="K367" s="157"/>
    </row>
    <row r="368" spans="11:11" x14ac:dyDescent="0.15">
      <c r="K368" s="157"/>
    </row>
    <row r="369" spans="11:11" x14ac:dyDescent="0.15">
      <c r="K369" s="157"/>
    </row>
    <row r="370" spans="11:11" x14ac:dyDescent="0.15">
      <c r="K370" s="157"/>
    </row>
    <row r="371" spans="11:11" x14ac:dyDescent="0.15">
      <c r="K371" s="157"/>
    </row>
    <row r="372" spans="11:11" x14ac:dyDescent="0.15">
      <c r="K372" s="157"/>
    </row>
    <row r="373" spans="11:11" x14ac:dyDescent="0.15">
      <c r="K373" s="157"/>
    </row>
    <row r="374" spans="11:11" x14ac:dyDescent="0.15">
      <c r="K374" s="157"/>
    </row>
    <row r="375" spans="11:11" x14ac:dyDescent="0.15">
      <c r="K375" s="157"/>
    </row>
    <row r="376" spans="11:11" x14ac:dyDescent="0.15">
      <c r="K376" s="157"/>
    </row>
    <row r="377" spans="11:11" x14ac:dyDescent="0.15">
      <c r="K377" s="157"/>
    </row>
    <row r="378" spans="11:11" x14ac:dyDescent="0.15">
      <c r="K378" s="157"/>
    </row>
    <row r="379" spans="11:11" x14ac:dyDescent="0.15">
      <c r="K379" s="157"/>
    </row>
    <row r="380" spans="11:11" x14ac:dyDescent="0.15">
      <c r="K380" s="157"/>
    </row>
    <row r="381" spans="11:11" x14ac:dyDescent="0.15">
      <c r="K381" s="157"/>
    </row>
    <row r="382" spans="11:11" x14ac:dyDescent="0.15">
      <c r="K382" s="157"/>
    </row>
    <row r="383" spans="11:11" x14ac:dyDescent="0.15">
      <c r="K383" s="157"/>
    </row>
    <row r="384" spans="11:11" x14ac:dyDescent="0.15">
      <c r="K384" s="157"/>
    </row>
    <row r="385" spans="11:11" x14ac:dyDescent="0.15">
      <c r="K385" s="157"/>
    </row>
    <row r="386" spans="11:11" x14ac:dyDescent="0.15">
      <c r="K386" s="157"/>
    </row>
    <row r="387" spans="11:11" x14ac:dyDescent="0.15">
      <c r="K387" s="157"/>
    </row>
    <row r="388" spans="11:11" x14ac:dyDescent="0.15">
      <c r="K388" s="157"/>
    </row>
    <row r="389" spans="11:11" x14ac:dyDescent="0.15">
      <c r="K389" s="157"/>
    </row>
    <row r="390" spans="11:11" x14ac:dyDescent="0.15">
      <c r="K390" s="157"/>
    </row>
    <row r="391" spans="11:11" x14ac:dyDescent="0.15">
      <c r="K391" s="157"/>
    </row>
    <row r="392" spans="11:11" x14ac:dyDescent="0.15">
      <c r="K392" s="157"/>
    </row>
    <row r="393" spans="11:11" x14ac:dyDescent="0.15">
      <c r="K393" s="157"/>
    </row>
    <row r="394" spans="11:11" x14ac:dyDescent="0.15">
      <c r="K394" s="157"/>
    </row>
    <row r="395" spans="11:11" x14ac:dyDescent="0.15">
      <c r="K395" s="157"/>
    </row>
    <row r="396" spans="11:11" x14ac:dyDescent="0.15">
      <c r="K396" s="157"/>
    </row>
    <row r="397" spans="11:11" x14ac:dyDescent="0.15">
      <c r="K397" s="157"/>
    </row>
    <row r="398" spans="11:11" x14ac:dyDescent="0.15">
      <c r="K398" s="157"/>
    </row>
    <row r="399" spans="11:11" x14ac:dyDescent="0.15">
      <c r="K399" s="157"/>
    </row>
    <row r="400" spans="11:11" x14ac:dyDescent="0.15">
      <c r="K400" s="157"/>
    </row>
    <row r="401" spans="11:11" x14ac:dyDescent="0.15">
      <c r="K401" s="157"/>
    </row>
    <row r="402" spans="11:11" x14ac:dyDescent="0.15">
      <c r="K402" s="157"/>
    </row>
    <row r="403" spans="11:11" x14ac:dyDescent="0.15">
      <c r="K403" s="157"/>
    </row>
    <row r="404" spans="11:11" x14ac:dyDescent="0.15">
      <c r="K404" s="157"/>
    </row>
    <row r="405" spans="11:11" x14ac:dyDescent="0.15">
      <c r="K405" s="157"/>
    </row>
    <row r="406" spans="11:11" x14ac:dyDescent="0.15">
      <c r="K406" s="157"/>
    </row>
    <row r="407" spans="11:11" x14ac:dyDescent="0.15">
      <c r="K407" s="157"/>
    </row>
    <row r="408" spans="11:11" x14ac:dyDescent="0.15">
      <c r="K408" s="157"/>
    </row>
    <row r="409" spans="11:11" x14ac:dyDescent="0.15">
      <c r="K409" s="157"/>
    </row>
    <row r="410" spans="11:11" x14ac:dyDescent="0.15">
      <c r="K410" s="157"/>
    </row>
    <row r="411" spans="11:11" x14ac:dyDescent="0.15">
      <c r="K411" s="157"/>
    </row>
    <row r="412" spans="11:11" x14ac:dyDescent="0.15">
      <c r="K412" s="157"/>
    </row>
    <row r="413" spans="11:11" x14ac:dyDescent="0.15">
      <c r="K413" s="157"/>
    </row>
    <row r="414" spans="11:11" x14ac:dyDescent="0.15">
      <c r="K414" s="157"/>
    </row>
    <row r="415" spans="11:11" x14ac:dyDescent="0.15">
      <c r="K415" s="157"/>
    </row>
    <row r="416" spans="11:11" x14ac:dyDescent="0.15">
      <c r="K416" s="157"/>
    </row>
    <row r="417" spans="11:11" x14ac:dyDescent="0.15">
      <c r="K417" s="157"/>
    </row>
    <row r="418" spans="11:11" x14ac:dyDescent="0.15">
      <c r="K418" s="157"/>
    </row>
    <row r="419" spans="11:11" x14ac:dyDescent="0.15">
      <c r="K419" s="157"/>
    </row>
    <row r="420" spans="11:11" x14ac:dyDescent="0.15">
      <c r="K420" s="157"/>
    </row>
    <row r="421" spans="11:11" x14ac:dyDescent="0.15">
      <c r="K421" s="157"/>
    </row>
    <row r="422" spans="11:11" x14ac:dyDescent="0.15">
      <c r="K422" s="157"/>
    </row>
    <row r="423" spans="11:11" x14ac:dyDescent="0.15">
      <c r="K423" s="157"/>
    </row>
    <row r="424" spans="11:11" x14ac:dyDescent="0.15">
      <c r="K424" s="157"/>
    </row>
    <row r="425" spans="11:11" x14ac:dyDescent="0.15">
      <c r="K425" s="157"/>
    </row>
    <row r="426" spans="11:11" x14ac:dyDescent="0.15">
      <c r="K426" s="157"/>
    </row>
    <row r="427" spans="11:11" x14ac:dyDescent="0.15">
      <c r="K427" s="157"/>
    </row>
    <row r="428" spans="11:11" x14ac:dyDescent="0.15">
      <c r="K428" s="157"/>
    </row>
    <row r="429" spans="11:11" x14ac:dyDescent="0.15">
      <c r="K429" s="157"/>
    </row>
    <row r="430" spans="11:11" x14ac:dyDescent="0.15">
      <c r="K430" s="157"/>
    </row>
    <row r="431" spans="11:11" x14ac:dyDescent="0.15">
      <c r="K431" s="157"/>
    </row>
    <row r="432" spans="11:11" x14ac:dyDescent="0.15">
      <c r="K432" s="157"/>
    </row>
    <row r="433" spans="11:11" x14ac:dyDescent="0.15">
      <c r="K433" s="157"/>
    </row>
    <row r="434" spans="11:11" x14ac:dyDescent="0.15">
      <c r="K434" s="157"/>
    </row>
    <row r="435" spans="11:11" x14ac:dyDescent="0.15">
      <c r="K435" s="157"/>
    </row>
    <row r="436" spans="11:11" x14ac:dyDescent="0.15">
      <c r="K436" s="157"/>
    </row>
    <row r="437" spans="11:11" x14ac:dyDescent="0.15">
      <c r="K437" s="157"/>
    </row>
    <row r="438" spans="11:11" x14ac:dyDescent="0.15">
      <c r="K438" s="157"/>
    </row>
    <row r="439" spans="11:11" x14ac:dyDescent="0.15">
      <c r="K439" s="157"/>
    </row>
    <row r="440" spans="11:11" x14ac:dyDescent="0.15">
      <c r="K440" s="157"/>
    </row>
    <row r="441" spans="11:11" x14ac:dyDescent="0.15">
      <c r="K441" s="157"/>
    </row>
    <row r="442" spans="11:11" x14ac:dyDescent="0.15">
      <c r="K442" s="157"/>
    </row>
    <row r="443" spans="11:11" x14ac:dyDescent="0.15">
      <c r="K443" s="157"/>
    </row>
    <row r="444" spans="11:11" x14ac:dyDescent="0.15">
      <c r="K444" s="157"/>
    </row>
    <row r="445" spans="11:11" x14ac:dyDescent="0.15">
      <c r="K445" s="157"/>
    </row>
    <row r="446" spans="11:11" x14ac:dyDescent="0.15">
      <c r="K446" s="157"/>
    </row>
    <row r="447" spans="11:11" x14ac:dyDescent="0.15">
      <c r="K447" s="157"/>
    </row>
    <row r="448" spans="11:11" x14ac:dyDescent="0.15">
      <c r="K448" s="157"/>
    </row>
    <row r="449" spans="11:11" x14ac:dyDescent="0.15">
      <c r="K449" s="157"/>
    </row>
    <row r="450" spans="11:11" x14ac:dyDescent="0.15">
      <c r="K450" s="157"/>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20"/>
  <sheetViews>
    <sheetView zoomScale="85" zoomScaleNormal="85" workbookViewId="0">
      <selection activeCell="AC21" sqref="AC21"/>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176</v>
      </c>
      <c r="C1" s="90" t="s">
        <v>177</v>
      </c>
      <c r="D1" s="91" t="s">
        <v>3</v>
      </c>
      <c r="E1" s="92" t="s">
        <v>4</v>
      </c>
      <c r="F1" s="92" t="s">
        <v>5</v>
      </c>
      <c r="G1" s="92" t="s">
        <v>6</v>
      </c>
      <c r="H1" s="92" t="s">
        <v>7</v>
      </c>
      <c r="I1" s="92" t="s">
        <v>8</v>
      </c>
      <c r="J1" s="92" t="s">
        <v>9</v>
      </c>
      <c r="K1" s="92" t="s">
        <v>10</v>
      </c>
      <c r="L1" s="91" t="s">
        <v>178</v>
      </c>
      <c r="M1" s="91" t="s">
        <v>179</v>
      </c>
      <c r="N1" s="91" t="s">
        <v>13</v>
      </c>
      <c r="O1" s="91" t="s">
        <v>180</v>
      </c>
      <c r="P1" s="91" t="s">
        <v>181</v>
      </c>
      <c r="Q1" s="93" t="s">
        <v>182</v>
      </c>
      <c r="R1" s="91" t="s">
        <v>183</v>
      </c>
      <c r="S1" s="91" t="s">
        <v>184</v>
      </c>
      <c r="T1" s="93" t="s">
        <v>19</v>
      </c>
      <c r="U1" s="94" t="s">
        <v>108</v>
      </c>
      <c r="V1" s="95" t="s">
        <v>20</v>
      </c>
      <c r="W1" s="91" t="s">
        <v>185</v>
      </c>
      <c r="X1" s="92" t="s">
        <v>22</v>
      </c>
      <c r="Y1" s="92" t="s">
        <v>23</v>
      </c>
      <c r="Z1" s="92" t="s">
        <v>24</v>
      </c>
      <c r="AA1" s="96" t="s">
        <v>25</v>
      </c>
      <c r="AB1" s="97" t="s">
        <v>186</v>
      </c>
      <c r="AE1" s="99" t="s">
        <v>0</v>
      </c>
      <c r="AF1" s="100"/>
      <c r="AG1" s="99" t="s">
        <v>4</v>
      </c>
      <c r="AH1" s="99" t="s">
        <v>5</v>
      </c>
      <c r="AI1" s="100"/>
      <c r="AJ1" s="99" t="s">
        <v>6</v>
      </c>
      <c r="AK1" s="100"/>
      <c r="AL1" s="101" t="s">
        <v>7</v>
      </c>
      <c r="AM1" s="100"/>
      <c r="AN1" s="101" t="s">
        <v>8</v>
      </c>
      <c r="AO1" s="100"/>
      <c r="AP1" s="101" t="s">
        <v>27</v>
      </c>
      <c r="AQ1" s="100"/>
      <c r="AR1" s="101" t="s">
        <v>10</v>
      </c>
      <c r="AS1" s="100"/>
      <c r="AT1" s="102" t="s">
        <v>187</v>
      </c>
      <c r="AU1" s="100"/>
      <c r="AV1" s="101" t="s">
        <v>29</v>
      </c>
      <c r="AX1" s="103" t="s">
        <v>188</v>
      </c>
      <c r="AY1" s="104" t="s">
        <v>189</v>
      </c>
      <c r="AZ1" s="104" t="s">
        <v>190</v>
      </c>
      <c r="BA1" s="105" t="s">
        <v>191</v>
      </c>
    </row>
    <row r="2" spans="1:53" s="187" customFormat="1" x14ac:dyDescent="0.15">
      <c r="A2" s="187" t="s">
        <v>51</v>
      </c>
      <c r="B2" s="187" t="s">
        <v>313</v>
      </c>
      <c r="C2" s="187">
        <v>2018</v>
      </c>
      <c r="D2" s="106" t="s">
        <v>376</v>
      </c>
      <c r="E2" s="187" t="s">
        <v>192</v>
      </c>
      <c r="F2" s="187" t="s">
        <v>193</v>
      </c>
      <c r="G2" s="187" t="s">
        <v>42</v>
      </c>
      <c r="H2" s="187" t="s">
        <v>157</v>
      </c>
      <c r="I2" s="187" t="s">
        <v>155</v>
      </c>
      <c r="J2" s="187" t="s">
        <v>38</v>
      </c>
      <c r="K2" s="187" t="s">
        <v>156</v>
      </c>
      <c r="L2" s="187">
        <v>1</v>
      </c>
      <c r="N2" s="187">
        <v>1</v>
      </c>
      <c r="O2" s="187">
        <v>1.05</v>
      </c>
      <c r="P2" s="187">
        <v>1.2</v>
      </c>
      <c r="Q2" s="107">
        <f t="shared" ref="Q2:Q65" si="0">IF(OR(O2="",P2=""),"",AVERAGE(O2,P2))</f>
        <v>1.125</v>
      </c>
      <c r="R2" s="187">
        <v>13.7</v>
      </c>
      <c r="S2" s="187">
        <v>127</v>
      </c>
      <c r="T2" s="108">
        <f t="shared" ref="T2:T65" si="1">IF(H2="","",IF(OR(H2="GREEN",H2="GK"),IF(S2&gt;=$AX$2,VLOOKUP(S2,$AX$2:$AY$12,2,1),""),IF(S2&gt;=$AZ$2,VLOOKUP(S2,$AZ$2:$BA$12,2,1),"")))</f>
        <v>27</v>
      </c>
      <c r="U2" s="187">
        <v>100</v>
      </c>
      <c r="V2" s="109">
        <f t="shared" ref="V2:V65" si="2">IF(OR(N2="",U2="",T2=""),"",U2/N2*T2)</f>
        <v>2700</v>
      </c>
      <c r="W2" s="187">
        <v>6</v>
      </c>
      <c r="X2" s="187" t="s">
        <v>46</v>
      </c>
      <c r="Y2" s="187" t="s">
        <v>69</v>
      </c>
      <c r="Z2" s="187" t="s">
        <v>84</v>
      </c>
      <c r="AA2" s="187" t="s">
        <v>90</v>
      </c>
      <c r="AB2" s="187" t="s">
        <v>315</v>
      </c>
      <c r="AE2" s="110" t="s">
        <v>35</v>
      </c>
      <c r="AG2" s="111" t="s">
        <v>165</v>
      </c>
      <c r="AH2" s="111" t="s">
        <v>194</v>
      </c>
      <c r="AJ2" s="111" t="s">
        <v>36</v>
      </c>
      <c r="AL2" s="111" t="s">
        <v>195</v>
      </c>
      <c r="AN2" s="111" t="s">
        <v>37</v>
      </c>
      <c r="AP2" s="111" t="s">
        <v>38</v>
      </c>
      <c r="AR2" s="111" t="s">
        <v>156</v>
      </c>
      <c r="AT2" s="111" t="s">
        <v>39</v>
      </c>
      <c r="AV2" s="111" t="s">
        <v>40</v>
      </c>
      <c r="AX2" s="112">
        <v>1</v>
      </c>
      <c r="AY2" s="113">
        <v>50</v>
      </c>
      <c r="AZ2" s="113">
        <v>1</v>
      </c>
      <c r="BA2" s="114">
        <v>50</v>
      </c>
    </row>
    <row r="3" spans="1:53" s="115" customFormat="1" x14ac:dyDescent="0.15">
      <c r="A3" s="187" t="s">
        <v>51</v>
      </c>
      <c r="B3" s="187" t="s">
        <v>313</v>
      </c>
      <c r="C3" s="187">
        <v>2018</v>
      </c>
      <c r="D3" s="106" t="s">
        <v>377</v>
      </c>
      <c r="E3" s="187" t="s">
        <v>192</v>
      </c>
      <c r="F3" s="187" t="s">
        <v>193</v>
      </c>
      <c r="G3" s="187" t="s">
        <v>42</v>
      </c>
      <c r="H3" s="187" t="s">
        <v>157</v>
      </c>
      <c r="I3" s="187" t="s">
        <v>155</v>
      </c>
      <c r="J3" s="187" t="s">
        <v>38</v>
      </c>
      <c r="K3" s="187" t="s">
        <v>156</v>
      </c>
      <c r="L3" s="187">
        <v>2</v>
      </c>
      <c r="M3" s="187"/>
      <c r="N3" s="187">
        <v>1</v>
      </c>
      <c r="O3" s="187">
        <v>1.1000000000000001</v>
      </c>
      <c r="P3" s="187">
        <v>1.05</v>
      </c>
      <c r="Q3" s="107">
        <f t="shared" si="0"/>
        <v>1.0750000000000002</v>
      </c>
      <c r="R3" s="187">
        <v>14.1</v>
      </c>
      <c r="S3" s="187">
        <v>130</v>
      </c>
      <c r="T3" s="108">
        <f t="shared" si="1"/>
        <v>25</v>
      </c>
      <c r="U3" s="187">
        <v>100</v>
      </c>
      <c r="V3" s="109">
        <f t="shared" si="2"/>
        <v>2500</v>
      </c>
      <c r="W3" s="187">
        <v>6</v>
      </c>
      <c r="X3" s="187" t="s">
        <v>46</v>
      </c>
      <c r="Y3" s="187" t="s">
        <v>69</v>
      </c>
      <c r="Z3" s="187" t="s">
        <v>84</v>
      </c>
      <c r="AA3" s="187" t="s">
        <v>90</v>
      </c>
      <c r="AB3" s="187" t="s">
        <v>315</v>
      </c>
      <c r="AE3" s="116" t="s">
        <v>41</v>
      </c>
      <c r="AG3" s="111" t="s">
        <v>196</v>
      </c>
      <c r="AH3" s="111" t="s">
        <v>197</v>
      </c>
      <c r="AJ3" s="117" t="s">
        <v>42</v>
      </c>
      <c r="AL3" s="117" t="s">
        <v>198</v>
      </c>
      <c r="AN3" s="117" t="s">
        <v>43</v>
      </c>
      <c r="AP3" s="117" t="s">
        <v>44</v>
      </c>
      <c r="AR3" s="118" t="s">
        <v>45</v>
      </c>
      <c r="AT3" s="117" t="s">
        <v>46</v>
      </c>
      <c r="AV3" s="117" t="s">
        <v>47</v>
      </c>
      <c r="AX3" s="119">
        <v>72</v>
      </c>
      <c r="AY3" s="120">
        <v>46</v>
      </c>
      <c r="AZ3" s="120">
        <v>71</v>
      </c>
      <c r="BA3" s="121">
        <v>42</v>
      </c>
    </row>
    <row r="4" spans="1:53" s="115" customFormat="1" x14ac:dyDescent="0.15">
      <c r="A4" s="187" t="s">
        <v>51</v>
      </c>
      <c r="B4" s="187" t="s">
        <v>313</v>
      </c>
      <c r="C4" s="187">
        <v>2018</v>
      </c>
      <c r="D4" s="106" t="s">
        <v>377</v>
      </c>
      <c r="E4" s="187" t="s">
        <v>192</v>
      </c>
      <c r="F4" s="187" t="s">
        <v>193</v>
      </c>
      <c r="G4" s="187" t="s">
        <v>42</v>
      </c>
      <c r="H4" s="187" t="s">
        <v>157</v>
      </c>
      <c r="I4" s="187" t="s">
        <v>155</v>
      </c>
      <c r="J4" s="187" t="s">
        <v>38</v>
      </c>
      <c r="K4" s="187" t="s">
        <v>156</v>
      </c>
      <c r="L4" s="187">
        <v>3</v>
      </c>
      <c r="M4" s="187"/>
      <c r="N4" s="187">
        <v>1</v>
      </c>
      <c r="O4" s="187">
        <v>0.95</v>
      </c>
      <c r="P4" s="187">
        <v>0.85</v>
      </c>
      <c r="Q4" s="107">
        <f t="shared" si="0"/>
        <v>0.89999999999999991</v>
      </c>
      <c r="R4" s="187">
        <v>14.2</v>
      </c>
      <c r="S4" s="187">
        <v>130</v>
      </c>
      <c r="T4" s="108">
        <f t="shared" si="1"/>
        <v>25</v>
      </c>
      <c r="U4" s="187">
        <v>100</v>
      </c>
      <c r="V4" s="109">
        <f t="shared" si="2"/>
        <v>2500</v>
      </c>
      <c r="W4" s="187">
        <v>6</v>
      </c>
      <c r="X4" s="187" t="s">
        <v>46</v>
      </c>
      <c r="Y4" s="187" t="s">
        <v>69</v>
      </c>
      <c r="Z4" s="187" t="s">
        <v>84</v>
      </c>
      <c r="AA4" s="187" t="s">
        <v>90</v>
      </c>
      <c r="AB4" s="187" t="s">
        <v>315</v>
      </c>
      <c r="AE4" s="116" t="s">
        <v>34</v>
      </c>
      <c r="AG4" s="111" t="s">
        <v>199</v>
      </c>
      <c r="AH4" s="111" t="s">
        <v>200</v>
      </c>
      <c r="AJ4" s="122" t="s">
        <v>48</v>
      </c>
      <c r="AL4" s="122" t="s">
        <v>201</v>
      </c>
      <c r="AN4" s="123" t="s">
        <v>202</v>
      </c>
      <c r="AP4" s="117" t="s">
        <v>203</v>
      </c>
      <c r="AR4" s="118" t="s">
        <v>204</v>
      </c>
      <c r="AT4" s="123"/>
      <c r="AV4" s="117" t="s">
        <v>50</v>
      </c>
      <c r="AX4" s="119">
        <v>75</v>
      </c>
      <c r="AY4" s="120">
        <v>42</v>
      </c>
      <c r="AZ4" s="120">
        <v>76</v>
      </c>
      <c r="BA4" s="121">
        <v>39</v>
      </c>
    </row>
    <row r="5" spans="1:53" s="115" customFormat="1" x14ac:dyDescent="0.15">
      <c r="A5" s="187" t="s">
        <v>51</v>
      </c>
      <c r="B5" s="187" t="s">
        <v>313</v>
      </c>
      <c r="C5" s="187">
        <v>2018</v>
      </c>
      <c r="D5" s="106" t="s">
        <v>377</v>
      </c>
      <c r="E5" s="187" t="s">
        <v>192</v>
      </c>
      <c r="F5" s="187" t="s">
        <v>193</v>
      </c>
      <c r="G5" s="187" t="s">
        <v>42</v>
      </c>
      <c r="H5" s="187" t="s">
        <v>162</v>
      </c>
      <c r="I5" s="187" t="s">
        <v>155</v>
      </c>
      <c r="J5" s="187" t="s">
        <v>38</v>
      </c>
      <c r="K5" s="187" t="s">
        <v>156</v>
      </c>
      <c r="L5" s="187">
        <v>1</v>
      </c>
      <c r="M5" s="187"/>
      <c r="N5" s="187">
        <v>1</v>
      </c>
      <c r="O5" s="187">
        <v>0.9</v>
      </c>
      <c r="P5" s="187">
        <v>0.8</v>
      </c>
      <c r="Q5" s="107">
        <f t="shared" si="0"/>
        <v>0.85000000000000009</v>
      </c>
      <c r="R5" s="187">
        <v>15.7</v>
      </c>
      <c r="S5" s="187">
        <v>150</v>
      </c>
      <c r="T5" s="108">
        <f t="shared" si="1"/>
        <v>22</v>
      </c>
      <c r="U5" s="187">
        <v>98</v>
      </c>
      <c r="V5" s="109">
        <f t="shared" si="2"/>
        <v>2156</v>
      </c>
      <c r="W5" s="187">
        <v>6</v>
      </c>
      <c r="X5" s="187" t="s">
        <v>46</v>
      </c>
      <c r="Y5" s="187" t="s">
        <v>69</v>
      </c>
      <c r="Z5" s="187" t="s">
        <v>84</v>
      </c>
      <c r="AA5" s="187" t="s">
        <v>90</v>
      </c>
      <c r="AB5" s="187" t="s">
        <v>315</v>
      </c>
      <c r="AE5" s="116" t="s">
        <v>51</v>
      </c>
      <c r="AG5" s="111" t="s">
        <v>205</v>
      </c>
      <c r="AH5" s="111" t="s">
        <v>193</v>
      </c>
      <c r="AJ5" s="123"/>
      <c r="AL5" s="124" t="s">
        <v>157</v>
      </c>
      <c r="AN5" s="124" t="s">
        <v>155</v>
      </c>
      <c r="AP5" s="117" t="s">
        <v>206</v>
      </c>
      <c r="AR5" s="118" t="s">
        <v>54</v>
      </c>
      <c r="AV5" s="117" t="s">
        <v>55</v>
      </c>
      <c r="AX5" s="119">
        <v>84</v>
      </c>
      <c r="AY5" s="120">
        <v>39</v>
      </c>
      <c r="AZ5" s="120">
        <v>84</v>
      </c>
      <c r="BA5" s="121">
        <v>36</v>
      </c>
    </row>
    <row r="6" spans="1:53" s="115" customFormat="1" x14ac:dyDescent="0.15">
      <c r="A6" s="187" t="s">
        <v>51</v>
      </c>
      <c r="B6" s="187" t="s">
        <v>313</v>
      </c>
      <c r="C6" s="187">
        <v>2018</v>
      </c>
      <c r="D6" s="106" t="s">
        <v>377</v>
      </c>
      <c r="E6" s="187" t="s">
        <v>192</v>
      </c>
      <c r="F6" s="187" t="s">
        <v>193</v>
      </c>
      <c r="G6" s="187" t="s">
        <v>42</v>
      </c>
      <c r="H6" s="187" t="s">
        <v>162</v>
      </c>
      <c r="I6" s="187" t="s">
        <v>155</v>
      </c>
      <c r="J6" s="187" t="s">
        <v>38</v>
      </c>
      <c r="K6" s="187" t="s">
        <v>156</v>
      </c>
      <c r="L6" s="187">
        <v>2</v>
      </c>
      <c r="M6" s="187"/>
      <c r="N6" s="187">
        <v>1</v>
      </c>
      <c r="O6" s="187">
        <v>0.85</v>
      </c>
      <c r="P6" s="187">
        <v>0.9</v>
      </c>
      <c r="Q6" s="107">
        <f t="shared" si="0"/>
        <v>0.875</v>
      </c>
      <c r="R6" s="187">
        <v>16.399999999999999</v>
      </c>
      <c r="S6" s="187">
        <v>146</v>
      </c>
      <c r="T6" s="108">
        <f t="shared" si="1"/>
        <v>22</v>
      </c>
      <c r="U6" s="187">
        <v>98</v>
      </c>
      <c r="V6" s="109">
        <f t="shared" si="2"/>
        <v>2156</v>
      </c>
      <c r="W6" s="187">
        <v>6</v>
      </c>
      <c r="X6" s="187" t="s">
        <v>46</v>
      </c>
      <c r="Y6" s="187" t="s">
        <v>69</v>
      </c>
      <c r="Z6" s="187" t="s">
        <v>84</v>
      </c>
      <c r="AA6" s="187" t="s">
        <v>90</v>
      </c>
      <c r="AB6" s="187" t="s">
        <v>315</v>
      </c>
      <c r="AE6" s="116" t="s">
        <v>56</v>
      </c>
      <c r="AG6" s="111" t="s">
        <v>207</v>
      </c>
      <c r="AH6" s="111" t="s">
        <v>208</v>
      </c>
      <c r="AL6" s="124" t="s">
        <v>209</v>
      </c>
      <c r="AN6" s="124" t="s">
        <v>158</v>
      </c>
      <c r="AP6" s="117" t="s">
        <v>53</v>
      </c>
      <c r="AR6" s="118" t="s">
        <v>59</v>
      </c>
      <c r="AV6" s="117" t="s">
        <v>60</v>
      </c>
      <c r="AX6" s="119">
        <v>97</v>
      </c>
      <c r="AY6" s="120">
        <v>36</v>
      </c>
      <c r="AZ6" s="120">
        <v>99</v>
      </c>
      <c r="BA6" s="121">
        <v>33</v>
      </c>
    </row>
    <row r="7" spans="1:53" s="115" customFormat="1" x14ac:dyDescent="0.15">
      <c r="A7" s="187" t="s">
        <v>51</v>
      </c>
      <c r="B7" s="187" t="s">
        <v>313</v>
      </c>
      <c r="C7" s="187">
        <v>2018</v>
      </c>
      <c r="D7" s="106" t="s">
        <v>377</v>
      </c>
      <c r="E7" s="187" t="s">
        <v>192</v>
      </c>
      <c r="F7" s="187" t="s">
        <v>193</v>
      </c>
      <c r="G7" s="187" t="s">
        <v>42</v>
      </c>
      <c r="H7" s="187" t="s">
        <v>162</v>
      </c>
      <c r="I7" s="187" t="s">
        <v>155</v>
      </c>
      <c r="J7" s="187" t="s">
        <v>38</v>
      </c>
      <c r="K7" s="187" t="s">
        <v>156</v>
      </c>
      <c r="L7" s="187">
        <v>3</v>
      </c>
      <c r="M7" s="187"/>
      <c r="N7" s="187">
        <v>1</v>
      </c>
      <c r="O7" s="187">
        <v>0.95</v>
      </c>
      <c r="P7" s="187">
        <v>0.85</v>
      </c>
      <c r="Q7" s="107">
        <f t="shared" si="0"/>
        <v>0.89999999999999991</v>
      </c>
      <c r="R7" s="187">
        <v>16.100000000000001</v>
      </c>
      <c r="S7" s="187">
        <v>140</v>
      </c>
      <c r="T7" s="108">
        <f t="shared" si="1"/>
        <v>22</v>
      </c>
      <c r="U7" s="187">
        <v>98</v>
      </c>
      <c r="V7" s="109">
        <f t="shared" si="2"/>
        <v>2156</v>
      </c>
      <c r="W7" s="187">
        <v>6</v>
      </c>
      <c r="X7" s="187" t="s">
        <v>46</v>
      </c>
      <c r="Y7" s="187" t="s">
        <v>69</v>
      </c>
      <c r="Z7" s="187" t="s">
        <v>84</v>
      </c>
      <c r="AA7" s="187" t="s">
        <v>90</v>
      </c>
      <c r="AB7" s="187" t="s">
        <v>315</v>
      </c>
      <c r="AE7" s="116" t="s">
        <v>61</v>
      </c>
      <c r="AG7" s="111" t="s">
        <v>210</v>
      </c>
      <c r="AH7" s="111" t="s">
        <v>194</v>
      </c>
      <c r="AL7" s="115" t="s">
        <v>211</v>
      </c>
      <c r="AP7" s="117" t="s">
        <v>58</v>
      </c>
      <c r="AR7" s="118" t="s">
        <v>212</v>
      </c>
      <c r="AV7" s="117" t="s">
        <v>64</v>
      </c>
      <c r="AX7" s="119">
        <v>109</v>
      </c>
      <c r="AY7" s="120">
        <v>33</v>
      </c>
      <c r="AZ7" s="120">
        <v>113</v>
      </c>
      <c r="BA7" s="121">
        <v>30</v>
      </c>
    </row>
    <row r="8" spans="1:53" s="115" customFormat="1" x14ac:dyDescent="0.15">
      <c r="A8" s="187" t="s">
        <v>51</v>
      </c>
      <c r="B8" s="187" t="s">
        <v>313</v>
      </c>
      <c r="C8" s="187">
        <v>2018</v>
      </c>
      <c r="D8" s="106" t="s">
        <v>377</v>
      </c>
      <c r="E8" s="187" t="s">
        <v>196</v>
      </c>
      <c r="F8" s="187" t="s">
        <v>197</v>
      </c>
      <c r="G8" s="187" t="s">
        <v>36</v>
      </c>
      <c r="H8" s="187" t="s">
        <v>157</v>
      </c>
      <c r="I8" s="187" t="s">
        <v>155</v>
      </c>
      <c r="J8" s="187" t="s">
        <v>38</v>
      </c>
      <c r="K8" s="187" t="s">
        <v>156</v>
      </c>
      <c r="L8" s="187">
        <v>1</v>
      </c>
      <c r="M8" s="187"/>
      <c r="N8" s="187">
        <v>1</v>
      </c>
      <c r="O8" s="187">
        <v>0.8</v>
      </c>
      <c r="P8" s="187">
        <v>0.95</v>
      </c>
      <c r="Q8" s="107">
        <f t="shared" si="0"/>
        <v>0.875</v>
      </c>
      <c r="R8" s="187">
        <v>13.5</v>
      </c>
      <c r="S8" s="187">
        <v>135</v>
      </c>
      <c r="T8" s="108">
        <f t="shared" si="1"/>
        <v>25</v>
      </c>
      <c r="U8" s="187">
        <v>138</v>
      </c>
      <c r="V8" s="109">
        <f t="shared" si="2"/>
        <v>3450</v>
      </c>
      <c r="W8" s="187">
        <v>8</v>
      </c>
      <c r="X8" s="187" t="s">
        <v>46</v>
      </c>
      <c r="Y8" s="187" t="s">
        <v>84</v>
      </c>
      <c r="Z8" s="187" t="s">
        <v>90</v>
      </c>
      <c r="AA8" s="187" t="s">
        <v>69</v>
      </c>
      <c r="AB8" s="187" t="s">
        <v>315</v>
      </c>
      <c r="AE8" s="116" t="s">
        <v>59</v>
      </c>
      <c r="AG8" s="111" t="s">
        <v>213</v>
      </c>
      <c r="AH8" s="111" t="s">
        <v>214</v>
      </c>
      <c r="AL8" s="115" t="s">
        <v>162</v>
      </c>
      <c r="AP8" s="117" t="s">
        <v>62</v>
      </c>
      <c r="AR8" s="118" t="s">
        <v>81</v>
      </c>
      <c r="AV8" s="117" t="s">
        <v>97</v>
      </c>
      <c r="AX8" s="119">
        <v>119</v>
      </c>
      <c r="AY8" s="120">
        <v>30</v>
      </c>
      <c r="AZ8" s="120">
        <v>121</v>
      </c>
      <c r="BA8" s="121">
        <v>27</v>
      </c>
    </row>
    <row r="9" spans="1:53" s="115" customFormat="1" x14ac:dyDescent="0.15">
      <c r="A9" s="187" t="s">
        <v>51</v>
      </c>
      <c r="B9" s="187" t="s">
        <v>313</v>
      </c>
      <c r="C9" s="187">
        <v>2018</v>
      </c>
      <c r="D9" s="106" t="s">
        <v>377</v>
      </c>
      <c r="E9" s="187" t="s">
        <v>196</v>
      </c>
      <c r="F9" s="187" t="s">
        <v>197</v>
      </c>
      <c r="G9" s="187" t="s">
        <v>36</v>
      </c>
      <c r="H9" s="187" t="s">
        <v>157</v>
      </c>
      <c r="I9" s="187" t="s">
        <v>155</v>
      </c>
      <c r="J9" s="187" t="s">
        <v>38</v>
      </c>
      <c r="K9" s="187" t="s">
        <v>156</v>
      </c>
      <c r="L9" s="187">
        <v>2</v>
      </c>
      <c r="M9" s="187"/>
      <c r="N9" s="187">
        <v>1</v>
      </c>
      <c r="O9" s="187">
        <v>0.85</v>
      </c>
      <c r="P9" s="187">
        <v>0.95</v>
      </c>
      <c r="Q9" s="107">
        <f t="shared" si="0"/>
        <v>0.89999999999999991</v>
      </c>
      <c r="R9" s="187">
        <v>14.1</v>
      </c>
      <c r="S9" s="187">
        <v>128</v>
      </c>
      <c r="T9" s="108">
        <f t="shared" si="1"/>
        <v>27</v>
      </c>
      <c r="U9" s="187">
        <v>138</v>
      </c>
      <c r="V9" s="109">
        <f t="shared" si="2"/>
        <v>3726</v>
      </c>
      <c r="W9" s="187">
        <v>8</v>
      </c>
      <c r="X9" s="187" t="s">
        <v>46</v>
      </c>
      <c r="Y9" s="187" t="s">
        <v>84</v>
      </c>
      <c r="Z9" s="187" t="s">
        <v>90</v>
      </c>
      <c r="AA9" s="187" t="s">
        <v>69</v>
      </c>
      <c r="AB9" s="187" t="s">
        <v>315</v>
      </c>
      <c r="AE9" s="116" t="s">
        <v>215</v>
      </c>
      <c r="AG9" s="111" t="s">
        <v>216</v>
      </c>
      <c r="AH9" s="111" t="s">
        <v>193</v>
      </c>
      <c r="AL9" s="124"/>
      <c r="AP9" s="117" t="s">
        <v>95</v>
      </c>
      <c r="AR9" s="118" t="s">
        <v>217</v>
      </c>
      <c r="AV9" s="117" t="s">
        <v>102</v>
      </c>
      <c r="AX9" s="119">
        <v>128</v>
      </c>
      <c r="AY9" s="120">
        <v>27</v>
      </c>
      <c r="AZ9" s="120">
        <v>129</v>
      </c>
      <c r="BA9" s="121">
        <v>25</v>
      </c>
    </row>
    <row r="10" spans="1:53" s="115" customFormat="1" x14ac:dyDescent="0.15">
      <c r="A10" s="187" t="s">
        <v>51</v>
      </c>
      <c r="B10" s="187" t="s">
        <v>313</v>
      </c>
      <c r="C10" s="187">
        <v>2018</v>
      </c>
      <c r="D10" s="106" t="s">
        <v>377</v>
      </c>
      <c r="E10" s="187" t="s">
        <v>196</v>
      </c>
      <c r="F10" s="187" t="s">
        <v>197</v>
      </c>
      <c r="G10" s="187" t="s">
        <v>36</v>
      </c>
      <c r="H10" s="187" t="s">
        <v>157</v>
      </c>
      <c r="I10" s="187" t="s">
        <v>155</v>
      </c>
      <c r="J10" s="187" t="s">
        <v>38</v>
      </c>
      <c r="K10" s="187" t="s">
        <v>156</v>
      </c>
      <c r="L10" s="187">
        <v>3</v>
      </c>
      <c r="M10" s="187"/>
      <c r="N10" s="187">
        <v>1</v>
      </c>
      <c r="O10" s="187">
        <v>0.9</v>
      </c>
      <c r="P10" s="187">
        <v>0.85</v>
      </c>
      <c r="Q10" s="107">
        <f t="shared" si="0"/>
        <v>0.875</v>
      </c>
      <c r="R10" s="187">
        <v>14.2</v>
      </c>
      <c r="S10" s="187">
        <v>137</v>
      </c>
      <c r="T10" s="108">
        <f t="shared" si="1"/>
        <v>25</v>
      </c>
      <c r="U10" s="187">
        <v>138</v>
      </c>
      <c r="V10" s="109">
        <f t="shared" si="2"/>
        <v>3450</v>
      </c>
      <c r="W10" s="187">
        <v>8</v>
      </c>
      <c r="X10" s="187" t="s">
        <v>46</v>
      </c>
      <c r="Y10" s="187" t="s">
        <v>84</v>
      </c>
      <c r="Z10" s="187" t="s">
        <v>90</v>
      </c>
      <c r="AA10" s="187" t="s">
        <v>69</v>
      </c>
      <c r="AB10" s="187" t="s">
        <v>315</v>
      </c>
      <c r="AE10" s="116" t="s">
        <v>218</v>
      </c>
      <c r="AG10" s="111" t="s">
        <v>192</v>
      </c>
      <c r="AH10" s="117" t="s">
        <v>193</v>
      </c>
      <c r="AP10" s="117" t="s">
        <v>100</v>
      </c>
      <c r="AR10" s="118" t="s">
        <v>219</v>
      </c>
      <c r="AV10" s="117" t="s">
        <v>106</v>
      </c>
      <c r="AX10" s="119">
        <v>138</v>
      </c>
      <c r="AY10" s="120">
        <v>25</v>
      </c>
      <c r="AZ10" s="120">
        <v>138</v>
      </c>
      <c r="BA10" s="121">
        <v>22</v>
      </c>
    </row>
    <row r="11" spans="1:53" s="115" customFormat="1" x14ac:dyDescent="0.15">
      <c r="A11" s="187" t="s">
        <v>51</v>
      </c>
      <c r="B11" s="187" t="s">
        <v>313</v>
      </c>
      <c r="C11" s="187">
        <v>2018</v>
      </c>
      <c r="D11" s="106" t="s">
        <v>377</v>
      </c>
      <c r="E11" s="187" t="s">
        <v>196</v>
      </c>
      <c r="F11" s="187" t="s">
        <v>197</v>
      </c>
      <c r="G11" s="187" t="s">
        <v>36</v>
      </c>
      <c r="H11" s="187" t="s">
        <v>162</v>
      </c>
      <c r="I11" s="187" t="s">
        <v>155</v>
      </c>
      <c r="J11" s="187" t="s">
        <v>38</v>
      </c>
      <c r="K11" s="187" t="s">
        <v>156</v>
      </c>
      <c r="L11" s="187">
        <v>1</v>
      </c>
      <c r="M11" s="187"/>
      <c r="N11" s="187">
        <v>1</v>
      </c>
      <c r="O11" s="187">
        <v>0.8</v>
      </c>
      <c r="P11" s="187">
        <v>0.9</v>
      </c>
      <c r="Q11" s="107">
        <f t="shared" si="0"/>
        <v>0.85000000000000009</v>
      </c>
      <c r="R11" s="187">
        <v>16.899999999999999</v>
      </c>
      <c r="S11" s="187">
        <v>142</v>
      </c>
      <c r="T11" s="108">
        <f t="shared" si="1"/>
        <v>22</v>
      </c>
      <c r="U11" s="187">
        <v>138</v>
      </c>
      <c r="V11" s="109">
        <f t="shared" si="2"/>
        <v>3036</v>
      </c>
      <c r="W11" s="187">
        <v>8</v>
      </c>
      <c r="X11" s="187" t="s">
        <v>46</v>
      </c>
      <c r="Y11" s="187" t="s">
        <v>84</v>
      </c>
      <c r="Z11" s="187" t="s">
        <v>90</v>
      </c>
      <c r="AA11" s="187" t="s">
        <v>69</v>
      </c>
      <c r="AB11" s="187" t="s">
        <v>315</v>
      </c>
      <c r="AE11" s="116" t="s">
        <v>68</v>
      </c>
      <c r="AG11" s="111" t="s">
        <v>139</v>
      </c>
      <c r="AH11" s="117" t="s">
        <v>378</v>
      </c>
      <c r="AP11" s="117" t="s">
        <v>104</v>
      </c>
      <c r="AR11" s="118" t="s">
        <v>220</v>
      </c>
      <c r="AV11" s="117" t="s">
        <v>69</v>
      </c>
      <c r="AX11" s="119">
        <v>151</v>
      </c>
      <c r="AY11" s="120">
        <v>22</v>
      </c>
      <c r="AZ11" s="120">
        <v>152</v>
      </c>
      <c r="BA11" s="121">
        <v>18</v>
      </c>
    </row>
    <row r="12" spans="1:53" s="115" customFormat="1" x14ac:dyDescent="0.15">
      <c r="A12" s="187" t="s">
        <v>51</v>
      </c>
      <c r="B12" s="187" t="s">
        <v>313</v>
      </c>
      <c r="C12" s="187">
        <v>2018</v>
      </c>
      <c r="D12" s="106" t="s">
        <v>377</v>
      </c>
      <c r="E12" s="187" t="s">
        <v>196</v>
      </c>
      <c r="F12" s="187" t="s">
        <v>197</v>
      </c>
      <c r="G12" s="187" t="s">
        <v>36</v>
      </c>
      <c r="H12" s="187" t="s">
        <v>162</v>
      </c>
      <c r="I12" s="187" t="s">
        <v>155</v>
      </c>
      <c r="J12" s="187" t="s">
        <v>38</v>
      </c>
      <c r="K12" s="187" t="s">
        <v>156</v>
      </c>
      <c r="L12" s="187">
        <v>2</v>
      </c>
      <c r="M12" s="187"/>
      <c r="N12" s="187">
        <v>1</v>
      </c>
      <c r="O12" s="187">
        <v>0.9</v>
      </c>
      <c r="P12" s="187">
        <v>0.8</v>
      </c>
      <c r="Q12" s="107">
        <f t="shared" si="0"/>
        <v>0.85000000000000009</v>
      </c>
      <c r="R12" s="187">
        <v>17.2</v>
      </c>
      <c r="S12" s="187">
        <v>147</v>
      </c>
      <c r="T12" s="108">
        <f t="shared" si="1"/>
        <v>22</v>
      </c>
      <c r="U12" s="187">
        <v>138</v>
      </c>
      <c r="V12" s="109">
        <f t="shared" si="2"/>
        <v>3036</v>
      </c>
      <c r="W12" s="187">
        <v>8</v>
      </c>
      <c r="X12" s="187" t="s">
        <v>46</v>
      </c>
      <c r="Y12" s="187" t="s">
        <v>84</v>
      </c>
      <c r="Z12" s="187" t="s">
        <v>90</v>
      </c>
      <c r="AA12" s="187" t="s">
        <v>69</v>
      </c>
      <c r="AB12" s="187" t="s">
        <v>315</v>
      </c>
      <c r="AE12" s="116" t="s">
        <v>221</v>
      </c>
      <c r="AG12" s="117"/>
      <c r="AH12" s="117"/>
      <c r="AP12" s="117" t="s">
        <v>67</v>
      </c>
      <c r="AR12" s="118" t="s">
        <v>222</v>
      </c>
      <c r="AV12" s="117" t="s">
        <v>72</v>
      </c>
      <c r="AX12" s="125">
        <v>180</v>
      </c>
      <c r="AY12" s="126">
        <v>18</v>
      </c>
      <c r="AZ12" s="126">
        <v>181</v>
      </c>
      <c r="BA12" s="127">
        <v>16</v>
      </c>
    </row>
    <row r="13" spans="1:53" s="115" customFormat="1" x14ac:dyDescent="0.15">
      <c r="A13" s="187" t="s">
        <v>51</v>
      </c>
      <c r="B13" s="187" t="s">
        <v>313</v>
      </c>
      <c r="C13" s="187">
        <v>2018</v>
      </c>
      <c r="D13" s="106" t="s">
        <v>377</v>
      </c>
      <c r="E13" s="187" t="s">
        <v>196</v>
      </c>
      <c r="F13" s="187" t="s">
        <v>197</v>
      </c>
      <c r="G13" s="187" t="s">
        <v>36</v>
      </c>
      <c r="H13" s="187" t="s">
        <v>162</v>
      </c>
      <c r="I13" s="187" t="s">
        <v>155</v>
      </c>
      <c r="J13" s="187" t="s">
        <v>38</v>
      </c>
      <c r="K13" s="187" t="s">
        <v>156</v>
      </c>
      <c r="L13" s="187">
        <v>3</v>
      </c>
      <c r="M13" s="187"/>
      <c r="N13" s="187">
        <v>1</v>
      </c>
      <c r="O13" s="187">
        <v>0.8</v>
      </c>
      <c r="P13" s="187">
        <v>0.85</v>
      </c>
      <c r="Q13" s="107">
        <f t="shared" si="0"/>
        <v>0.82499999999999996</v>
      </c>
      <c r="R13" s="187">
        <v>16.5</v>
      </c>
      <c r="S13" s="187">
        <v>135</v>
      </c>
      <c r="T13" s="108">
        <f t="shared" si="1"/>
        <v>25</v>
      </c>
      <c r="U13" s="187">
        <v>138</v>
      </c>
      <c r="V13" s="109">
        <f t="shared" si="2"/>
        <v>3450</v>
      </c>
      <c r="W13" s="187">
        <v>8</v>
      </c>
      <c r="X13" s="187" t="s">
        <v>46</v>
      </c>
      <c r="Y13" s="187" t="s">
        <v>84</v>
      </c>
      <c r="Z13" s="187" t="s">
        <v>90</v>
      </c>
      <c r="AA13" s="187" t="s">
        <v>69</v>
      </c>
      <c r="AB13" s="187" t="s">
        <v>315</v>
      </c>
      <c r="AE13" s="116" t="s">
        <v>223</v>
      </c>
      <c r="AG13" s="117"/>
      <c r="AH13" s="117"/>
      <c r="AP13" s="117" t="s">
        <v>71</v>
      </c>
      <c r="AR13" s="118" t="s">
        <v>218</v>
      </c>
      <c r="AV13" s="117" t="s">
        <v>75</v>
      </c>
    </row>
    <row r="14" spans="1:53" s="115" customFormat="1" x14ac:dyDescent="0.15">
      <c r="A14" s="187" t="s">
        <v>51</v>
      </c>
      <c r="B14" s="187" t="s">
        <v>313</v>
      </c>
      <c r="C14" s="187">
        <v>2018</v>
      </c>
      <c r="D14" s="106" t="s">
        <v>377</v>
      </c>
      <c r="E14" s="187" t="s">
        <v>139</v>
      </c>
      <c r="F14" s="187" t="s">
        <v>378</v>
      </c>
      <c r="G14" s="187" t="s">
        <v>42</v>
      </c>
      <c r="H14" s="187" t="s">
        <v>157</v>
      </c>
      <c r="I14" s="187" t="s">
        <v>155</v>
      </c>
      <c r="J14" s="187" t="s">
        <v>38</v>
      </c>
      <c r="K14" s="187" t="s">
        <v>156</v>
      </c>
      <c r="L14" s="187">
        <v>1</v>
      </c>
      <c r="M14" s="187"/>
      <c r="N14" s="187">
        <v>1</v>
      </c>
      <c r="O14" s="187">
        <v>0.7</v>
      </c>
      <c r="P14" s="187">
        <v>0.75</v>
      </c>
      <c r="Q14" s="107">
        <f t="shared" si="0"/>
        <v>0.72499999999999998</v>
      </c>
      <c r="R14" s="187">
        <v>14.9</v>
      </c>
      <c r="S14" s="187">
        <v>111</v>
      </c>
      <c r="T14" s="108">
        <f t="shared" si="1"/>
        <v>33</v>
      </c>
      <c r="U14" s="187">
        <v>100</v>
      </c>
      <c r="V14" s="109">
        <f t="shared" si="2"/>
        <v>3300</v>
      </c>
      <c r="W14" s="187">
        <v>20</v>
      </c>
      <c r="X14" s="187" t="s">
        <v>46</v>
      </c>
      <c r="Y14" s="187" t="s">
        <v>69</v>
      </c>
      <c r="Z14" s="187" t="s">
        <v>55</v>
      </c>
      <c r="AA14" s="187" t="s">
        <v>86</v>
      </c>
      <c r="AB14" s="187" t="s">
        <v>315</v>
      </c>
      <c r="AE14" s="116" t="s">
        <v>96</v>
      </c>
      <c r="AG14" s="117"/>
      <c r="AH14" s="117"/>
      <c r="AP14" s="117" t="s">
        <v>74</v>
      </c>
      <c r="AR14" s="118" t="s">
        <v>224</v>
      </c>
      <c r="AV14" s="117" t="s">
        <v>78</v>
      </c>
    </row>
    <row r="15" spans="1:53" s="115" customFormat="1" x14ac:dyDescent="0.15">
      <c r="A15" s="187" t="s">
        <v>51</v>
      </c>
      <c r="B15" s="187" t="s">
        <v>313</v>
      </c>
      <c r="C15" s="187">
        <v>2018</v>
      </c>
      <c r="D15" s="106" t="s">
        <v>377</v>
      </c>
      <c r="E15" s="187" t="s">
        <v>139</v>
      </c>
      <c r="F15" s="187" t="s">
        <v>378</v>
      </c>
      <c r="G15" s="187" t="s">
        <v>42</v>
      </c>
      <c r="H15" s="187" t="s">
        <v>157</v>
      </c>
      <c r="I15" s="187" t="s">
        <v>155</v>
      </c>
      <c r="J15" s="187" t="s">
        <v>38</v>
      </c>
      <c r="K15" s="187" t="s">
        <v>156</v>
      </c>
      <c r="L15" s="187">
        <v>2</v>
      </c>
      <c r="M15" s="187"/>
      <c r="N15" s="187">
        <v>1</v>
      </c>
      <c r="O15" s="187">
        <v>0.8</v>
      </c>
      <c r="P15" s="187">
        <v>0.7</v>
      </c>
      <c r="Q15" s="107">
        <f t="shared" si="0"/>
        <v>0.75</v>
      </c>
      <c r="R15" s="187">
        <v>15.2</v>
      </c>
      <c r="S15" s="187">
        <v>112</v>
      </c>
      <c r="T15" s="108">
        <f t="shared" si="1"/>
        <v>33</v>
      </c>
      <c r="U15" s="187">
        <v>100</v>
      </c>
      <c r="V15" s="109">
        <f t="shared" si="2"/>
        <v>3300</v>
      </c>
      <c r="W15" s="187">
        <v>20</v>
      </c>
      <c r="X15" s="187" t="s">
        <v>46</v>
      </c>
      <c r="Y15" s="187" t="s">
        <v>69</v>
      </c>
      <c r="Z15" s="187" t="s">
        <v>55</v>
      </c>
      <c r="AA15" s="187" t="s">
        <v>86</v>
      </c>
      <c r="AB15" s="187" t="s">
        <v>315</v>
      </c>
      <c r="AE15" s="116" t="s">
        <v>225</v>
      </c>
      <c r="AG15" s="117"/>
      <c r="AH15" s="117"/>
      <c r="AP15" s="117" t="s">
        <v>77</v>
      </c>
      <c r="AR15" s="118" t="s">
        <v>80</v>
      </c>
      <c r="AV15" s="117" t="s">
        <v>107</v>
      </c>
    </row>
    <row r="16" spans="1:53" s="115" customFormat="1" x14ac:dyDescent="0.15">
      <c r="A16" s="187" t="s">
        <v>51</v>
      </c>
      <c r="B16" s="187" t="s">
        <v>313</v>
      </c>
      <c r="C16" s="187">
        <v>2018</v>
      </c>
      <c r="D16" s="106" t="s">
        <v>377</v>
      </c>
      <c r="E16" s="187" t="s">
        <v>139</v>
      </c>
      <c r="F16" s="187" t="s">
        <v>378</v>
      </c>
      <c r="G16" s="187" t="s">
        <v>42</v>
      </c>
      <c r="H16" s="187" t="s">
        <v>157</v>
      </c>
      <c r="I16" s="187" t="s">
        <v>155</v>
      </c>
      <c r="J16" s="187" t="s">
        <v>38</v>
      </c>
      <c r="K16" s="187" t="s">
        <v>156</v>
      </c>
      <c r="L16" s="187">
        <v>3</v>
      </c>
      <c r="M16" s="187"/>
      <c r="N16" s="187">
        <v>1</v>
      </c>
      <c r="O16" s="187">
        <v>0.9</v>
      </c>
      <c r="P16" s="187">
        <v>0.8</v>
      </c>
      <c r="Q16" s="107">
        <f t="shared" si="0"/>
        <v>0.85000000000000009</v>
      </c>
      <c r="R16" s="187">
        <v>14.6</v>
      </c>
      <c r="S16" s="187">
        <v>110</v>
      </c>
      <c r="T16" s="108">
        <f t="shared" si="1"/>
        <v>33</v>
      </c>
      <c r="U16" s="187">
        <v>100</v>
      </c>
      <c r="V16" s="109">
        <f t="shared" si="2"/>
        <v>3300</v>
      </c>
      <c r="W16" s="187">
        <v>20</v>
      </c>
      <c r="X16" s="187" t="s">
        <v>46</v>
      </c>
      <c r="Y16" s="187" t="s">
        <v>69</v>
      </c>
      <c r="Z16" s="187" t="s">
        <v>55</v>
      </c>
      <c r="AA16" s="187" t="s">
        <v>86</v>
      </c>
      <c r="AB16" s="187" t="s">
        <v>315</v>
      </c>
      <c r="AE16" s="116" t="s">
        <v>226</v>
      </c>
      <c r="AG16" s="123"/>
      <c r="AH16" s="123"/>
      <c r="AP16" s="117" t="s">
        <v>80</v>
      </c>
      <c r="AR16" s="118" t="s">
        <v>63</v>
      </c>
      <c r="AV16" s="117" t="s">
        <v>84</v>
      </c>
    </row>
    <row r="17" spans="1:48" s="115" customFormat="1" x14ac:dyDescent="0.15">
      <c r="A17" s="187" t="s">
        <v>51</v>
      </c>
      <c r="B17" s="187" t="s">
        <v>313</v>
      </c>
      <c r="C17" s="187">
        <v>2018</v>
      </c>
      <c r="D17" s="106" t="s">
        <v>377</v>
      </c>
      <c r="E17" s="187" t="s">
        <v>139</v>
      </c>
      <c r="F17" s="187" t="s">
        <v>378</v>
      </c>
      <c r="G17" s="187" t="s">
        <v>42</v>
      </c>
      <c r="H17" s="187" t="s">
        <v>162</v>
      </c>
      <c r="I17" s="187" t="s">
        <v>155</v>
      </c>
      <c r="J17" s="187" t="s">
        <v>38</v>
      </c>
      <c r="K17" s="187" t="s">
        <v>156</v>
      </c>
      <c r="L17" s="187">
        <v>1</v>
      </c>
      <c r="M17" s="187"/>
      <c r="N17" s="187">
        <v>1</v>
      </c>
      <c r="O17" s="187">
        <v>0.6</v>
      </c>
      <c r="P17" s="187">
        <v>0.65</v>
      </c>
      <c r="Q17" s="107">
        <f t="shared" si="0"/>
        <v>0.625</v>
      </c>
      <c r="R17" s="187">
        <v>18.399999999999999</v>
      </c>
      <c r="S17" s="187">
        <v>151</v>
      </c>
      <c r="T17" s="108">
        <f t="shared" si="1"/>
        <v>22</v>
      </c>
      <c r="U17" s="187">
        <v>100</v>
      </c>
      <c r="V17" s="109">
        <f t="shared" si="2"/>
        <v>2200</v>
      </c>
      <c r="W17" s="187">
        <v>20</v>
      </c>
      <c r="X17" s="187" t="s">
        <v>46</v>
      </c>
      <c r="Y17" s="187" t="s">
        <v>69</v>
      </c>
      <c r="Z17" s="187" t="s">
        <v>55</v>
      </c>
      <c r="AA17" s="187" t="s">
        <v>86</v>
      </c>
      <c r="AB17" s="187" t="s">
        <v>315</v>
      </c>
      <c r="AE17" s="116" t="s">
        <v>227</v>
      </c>
      <c r="AP17" s="128" t="s">
        <v>228</v>
      </c>
      <c r="AR17" s="118" t="s">
        <v>96</v>
      </c>
      <c r="AV17" s="117" t="s">
        <v>86</v>
      </c>
    </row>
    <row r="18" spans="1:48" s="115" customFormat="1" x14ac:dyDescent="0.15">
      <c r="A18" s="187" t="s">
        <v>51</v>
      </c>
      <c r="B18" s="187" t="s">
        <v>313</v>
      </c>
      <c r="C18" s="187">
        <v>2018</v>
      </c>
      <c r="D18" s="106" t="s">
        <v>377</v>
      </c>
      <c r="E18" s="187" t="s">
        <v>139</v>
      </c>
      <c r="F18" s="187" t="s">
        <v>378</v>
      </c>
      <c r="G18" s="187" t="s">
        <v>42</v>
      </c>
      <c r="H18" s="187" t="s">
        <v>162</v>
      </c>
      <c r="I18" s="187" t="s">
        <v>155</v>
      </c>
      <c r="J18" s="187" t="s">
        <v>38</v>
      </c>
      <c r="K18" s="187" t="s">
        <v>156</v>
      </c>
      <c r="L18" s="187">
        <v>2</v>
      </c>
      <c r="M18" s="187"/>
      <c r="N18" s="187">
        <v>1</v>
      </c>
      <c r="O18" s="187">
        <v>0.65</v>
      </c>
      <c r="P18" s="187">
        <v>0.7</v>
      </c>
      <c r="Q18" s="107">
        <f t="shared" si="0"/>
        <v>0.67500000000000004</v>
      </c>
      <c r="R18" s="187">
        <v>16.899999999999999</v>
      </c>
      <c r="S18" s="187">
        <v>152</v>
      </c>
      <c r="T18" s="108">
        <f t="shared" si="1"/>
        <v>18</v>
      </c>
      <c r="U18" s="187">
        <v>100</v>
      </c>
      <c r="V18" s="109">
        <f t="shared" si="2"/>
        <v>1800</v>
      </c>
      <c r="W18" s="187">
        <v>20</v>
      </c>
      <c r="X18" s="187" t="s">
        <v>46</v>
      </c>
      <c r="Y18" s="187" t="s">
        <v>69</v>
      </c>
      <c r="Z18" s="187" t="s">
        <v>55</v>
      </c>
      <c r="AA18" s="187" t="s">
        <v>86</v>
      </c>
      <c r="AB18" s="187" t="s">
        <v>315</v>
      </c>
      <c r="AE18" s="116" t="s">
        <v>220</v>
      </c>
      <c r="AP18" s="128" t="s">
        <v>229</v>
      </c>
      <c r="AR18" s="118" t="s">
        <v>101</v>
      </c>
      <c r="AV18" s="117" t="s">
        <v>88</v>
      </c>
    </row>
    <row r="19" spans="1:48" s="115" customFormat="1" x14ac:dyDescent="0.15">
      <c r="A19" s="187" t="s">
        <v>51</v>
      </c>
      <c r="B19" s="187" t="s">
        <v>313</v>
      </c>
      <c r="C19" s="187">
        <v>2018</v>
      </c>
      <c r="D19" s="106" t="s">
        <v>377</v>
      </c>
      <c r="E19" s="187" t="s">
        <v>139</v>
      </c>
      <c r="F19" s="187" t="s">
        <v>378</v>
      </c>
      <c r="G19" s="187" t="s">
        <v>42</v>
      </c>
      <c r="H19" s="187" t="s">
        <v>162</v>
      </c>
      <c r="I19" s="187" t="s">
        <v>155</v>
      </c>
      <c r="J19" s="187" t="s">
        <v>38</v>
      </c>
      <c r="K19" s="187" t="s">
        <v>156</v>
      </c>
      <c r="L19" s="187">
        <v>3</v>
      </c>
      <c r="M19" s="187"/>
      <c r="N19" s="187">
        <v>1</v>
      </c>
      <c r="O19" s="187">
        <v>0.7</v>
      </c>
      <c r="P19" s="187">
        <v>0.75</v>
      </c>
      <c r="Q19" s="107">
        <f t="shared" si="0"/>
        <v>0.72499999999999998</v>
      </c>
      <c r="R19" s="187">
        <v>17.3</v>
      </c>
      <c r="S19" s="187">
        <v>160</v>
      </c>
      <c r="T19" s="108">
        <f t="shared" si="1"/>
        <v>18</v>
      </c>
      <c r="U19" s="187">
        <v>100</v>
      </c>
      <c r="V19" s="109">
        <f t="shared" si="2"/>
        <v>1800</v>
      </c>
      <c r="W19" s="187">
        <v>20</v>
      </c>
      <c r="X19" s="187" t="s">
        <v>46</v>
      </c>
      <c r="Y19" s="187" t="s">
        <v>69</v>
      </c>
      <c r="Z19" s="187" t="s">
        <v>55</v>
      </c>
      <c r="AA19" s="187" t="s">
        <v>86</v>
      </c>
      <c r="AB19" s="187" t="s">
        <v>315</v>
      </c>
      <c r="AE19" s="129" t="s">
        <v>217</v>
      </c>
      <c r="AP19" s="128" t="s">
        <v>230</v>
      </c>
      <c r="AR19" s="118" t="s">
        <v>231</v>
      </c>
      <c r="AV19" s="117" t="s">
        <v>90</v>
      </c>
    </row>
    <row r="20" spans="1:48" s="115" customFormat="1" x14ac:dyDescent="0.15">
      <c r="A20" s="187" t="s">
        <v>51</v>
      </c>
      <c r="B20" s="187" t="s">
        <v>313</v>
      </c>
      <c r="C20" s="187">
        <v>2018</v>
      </c>
      <c r="D20" s="106" t="s">
        <v>377</v>
      </c>
      <c r="E20" s="187" t="s">
        <v>207</v>
      </c>
      <c r="F20" s="187" t="s">
        <v>208</v>
      </c>
      <c r="G20" s="187" t="s">
        <v>36</v>
      </c>
      <c r="H20" s="187" t="s">
        <v>157</v>
      </c>
      <c r="I20" s="187" t="s">
        <v>155</v>
      </c>
      <c r="J20" s="187" t="s">
        <v>38</v>
      </c>
      <c r="K20" s="187" t="s">
        <v>156</v>
      </c>
      <c r="L20" s="187">
        <v>1</v>
      </c>
      <c r="M20" s="187"/>
      <c r="N20" s="187">
        <v>5</v>
      </c>
      <c r="O20" s="187">
        <v>0.8</v>
      </c>
      <c r="P20" s="187">
        <v>0.75</v>
      </c>
      <c r="Q20" s="107">
        <f t="shared" si="0"/>
        <v>0.77500000000000002</v>
      </c>
      <c r="R20" s="187">
        <v>16.8</v>
      </c>
      <c r="S20" s="187">
        <v>98</v>
      </c>
      <c r="T20" s="108">
        <f t="shared" si="1"/>
        <v>36</v>
      </c>
      <c r="U20" s="187">
        <v>398</v>
      </c>
      <c r="V20" s="109">
        <f t="shared" si="2"/>
        <v>2865.6</v>
      </c>
      <c r="W20" s="187">
        <v>16</v>
      </c>
      <c r="X20" s="187" t="s">
        <v>46</v>
      </c>
      <c r="Y20" s="187" t="s">
        <v>69</v>
      </c>
      <c r="Z20" s="187" t="s">
        <v>55</v>
      </c>
      <c r="AA20" s="187" t="s">
        <v>84</v>
      </c>
      <c r="AB20" s="187" t="s">
        <v>315</v>
      </c>
      <c r="AE20" s="129"/>
      <c r="AP20" s="128" t="s">
        <v>232</v>
      </c>
      <c r="AR20" s="118" t="s">
        <v>105</v>
      </c>
      <c r="AV20" s="122" t="s">
        <v>233</v>
      </c>
    </row>
    <row r="21" spans="1:48" s="115" customFormat="1" x14ac:dyDescent="0.15">
      <c r="A21" s="187" t="s">
        <v>51</v>
      </c>
      <c r="B21" s="187" t="s">
        <v>313</v>
      </c>
      <c r="C21" s="187">
        <v>2018</v>
      </c>
      <c r="D21" s="106" t="s">
        <v>377</v>
      </c>
      <c r="E21" s="187" t="s">
        <v>207</v>
      </c>
      <c r="F21" s="187" t="s">
        <v>208</v>
      </c>
      <c r="G21" s="187" t="s">
        <v>36</v>
      </c>
      <c r="H21" s="187" t="s">
        <v>157</v>
      </c>
      <c r="I21" s="187" t="s">
        <v>155</v>
      </c>
      <c r="J21" s="187" t="s">
        <v>38</v>
      </c>
      <c r="K21" s="187" t="s">
        <v>156</v>
      </c>
      <c r="L21" s="187">
        <v>2</v>
      </c>
      <c r="M21" s="187"/>
      <c r="N21" s="187">
        <v>5</v>
      </c>
      <c r="O21" s="187">
        <v>0.85</v>
      </c>
      <c r="P21" s="187">
        <v>0.8</v>
      </c>
      <c r="Q21" s="107">
        <f t="shared" si="0"/>
        <v>0.82499999999999996</v>
      </c>
      <c r="R21" s="187">
        <v>16.3</v>
      </c>
      <c r="S21" s="187">
        <v>89</v>
      </c>
      <c r="T21" s="108">
        <f t="shared" si="1"/>
        <v>36</v>
      </c>
      <c r="U21" s="187">
        <v>398</v>
      </c>
      <c r="V21" s="109">
        <f t="shared" si="2"/>
        <v>2865.6</v>
      </c>
      <c r="W21" s="187">
        <v>16</v>
      </c>
      <c r="X21" s="187" t="s">
        <v>46</v>
      </c>
      <c r="Y21" s="187" t="s">
        <v>69</v>
      </c>
      <c r="Z21" s="187" t="s">
        <v>55</v>
      </c>
      <c r="AA21" s="187" t="s">
        <v>84</v>
      </c>
      <c r="AB21" s="187" t="s">
        <v>315</v>
      </c>
      <c r="AE21" s="123"/>
      <c r="AP21" s="128" t="s">
        <v>234</v>
      </c>
      <c r="AR21" s="118" t="s">
        <v>68</v>
      </c>
      <c r="AV21" s="122" t="s">
        <v>164</v>
      </c>
    </row>
    <row r="22" spans="1:48" s="115" customFormat="1" x14ac:dyDescent="0.15">
      <c r="A22" s="187" t="s">
        <v>51</v>
      </c>
      <c r="B22" s="187" t="s">
        <v>313</v>
      </c>
      <c r="C22" s="187">
        <v>2018</v>
      </c>
      <c r="D22" s="106" t="s">
        <v>377</v>
      </c>
      <c r="E22" s="187" t="s">
        <v>207</v>
      </c>
      <c r="F22" s="187" t="s">
        <v>208</v>
      </c>
      <c r="G22" s="187" t="s">
        <v>36</v>
      </c>
      <c r="H22" s="187" t="s">
        <v>157</v>
      </c>
      <c r="I22" s="187" t="s">
        <v>155</v>
      </c>
      <c r="J22" s="187" t="s">
        <v>38</v>
      </c>
      <c r="K22" s="187" t="s">
        <v>156</v>
      </c>
      <c r="L22" s="187">
        <v>3</v>
      </c>
      <c r="M22" s="187"/>
      <c r="N22" s="187">
        <v>5</v>
      </c>
      <c r="O22" s="187">
        <v>0.65</v>
      </c>
      <c r="P22" s="187">
        <v>0.75</v>
      </c>
      <c r="Q22" s="107">
        <f t="shared" si="0"/>
        <v>0.7</v>
      </c>
      <c r="R22" s="187">
        <v>17.100000000000001</v>
      </c>
      <c r="S22" s="187">
        <v>104</v>
      </c>
      <c r="T22" s="108">
        <f t="shared" si="1"/>
        <v>33</v>
      </c>
      <c r="U22" s="187">
        <v>398</v>
      </c>
      <c r="V22" s="109">
        <f t="shared" si="2"/>
        <v>2626.7999999999997</v>
      </c>
      <c r="W22" s="187">
        <v>16</v>
      </c>
      <c r="X22" s="187" t="s">
        <v>46</v>
      </c>
      <c r="Y22" s="187" t="s">
        <v>69</v>
      </c>
      <c r="Z22" s="187" t="s">
        <v>55</v>
      </c>
      <c r="AA22" s="187" t="s">
        <v>84</v>
      </c>
      <c r="AB22" s="187" t="s">
        <v>315</v>
      </c>
      <c r="AP22" s="128" t="s">
        <v>235</v>
      </c>
      <c r="AR22" s="118" t="s">
        <v>83</v>
      </c>
      <c r="AV22" s="122"/>
    </row>
    <row r="23" spans="1:48" s="115" customFormat="1" x14ac:dyDescent="0.15">
      <c r="A23" s="187" t="s">
        <v>51</v>
      </c>
      <c r="B23" s="187" t="s">
        <v>313</v>
      </c>
      <c r="C23" s="187">
        <v>2018</v>
      </c>
      <c r="D23" s="106" t="s">
        <v>377</v>
      </c>
      <c r="E23" s="187" t="s">
        <v>207</v>
      </c>
      <c r="F23" s="187" t="s">
        <v>208</v>
      </c>
      <c r="G23" s="187" t="s">
        <v>36</v>
      </c>
      <c r="H23" s="187" t="s">
        <v>195</v>
      </c>
      <c r="I23" s="187" t="s">
        <v>155</v>
      </c>
      <c r="J23" s="187" t="s">
        <v>104</v>
      </c>
      <c r="K23" s="187" t="s">
        <v>219</v>
      </c>
      <c r="L23" s="187">
        <v>1</v>
      </c>
      <c r="M23" s="187"/>
      <c r="N23" s="187">
        <v>6</v>
      </c>
      <c r="O23" s="187">
        <v>0.8</v>
      </c>
      <c r="P23" s="187">
        <v>0.85</v>
      </c>
      <c r="Q23" s="107">
        <f t="shared" si="0"/>
        <v>0.82499999999999996</v>
      </c>
      <c r="R23" s="187">
        <v>14.3</v>
      </c>
      <c r="S23" s="187">
        <v>84</v>
      </c>
      <c r="T23" s="108">
        <f t="shared" si="1"/>
        <v>36</v>
      </c>
      <c r="U23" s="187">
        <v>498</v>
      </c>
      <c r="V23" s="109">
        <f t="shared" si="2"/>
        <v>2988</v>
      </c>
      <c r="W23" s="187">
        <v>16</v>
      </c>
      <c r="X23" s="187" t="s">
        <v>46</v>
      </c>
      <c r="Y23" s="187" t="s">
        <v>69</v>
      </c>
      <c r="Z23" s="187" t="s">
        <v>55</v>
      </c>
      <c r="AA23" s="187" t="s">
        <v>84</v>
      </c>
      <c r="AB23" s="187" t="s">
        <v>315</v>
      </c>
      <c r="AP23" s="128" t="s">
        <v>236</v>
      </c>
      <c r="AR23" s="118" t="s">
        <v>61</v>
      </c>
    </row>
    <row r="24" spans="1:48" s="115" customFormat="1" x14ac:dyDescent="0.15">
      <c r="A24" s="187" t="s">
        <v>51</v>
      </c>
      <c r="B24" s="187" t="s">
        <v>313</v>
      </c>
      <c r="C24" s="187">
        <v>2018</v>
      </c>
      <c r="D24" s="106" t="s">
        <v>377</v>
      </c>
      <c r="E24" s="187" t="s">
        <v>207</v>
      </c>
      <c r="F24" s="187" t="s">
        <v>208</v>
      </c>
      <c r="G24" s="187" t="s">
        <v>36</v>
      </c>
      <c r="H24" s="187" t="s">
        <v>195</v>
      </c>
      <c r="I24" s="187" t="s">
        <v>155</v>
      </c>
      <c r="J24" s="187" t="s">
        <v>104</v>
      </c>
      <c r="K24" s="187" t="s">
        <v>219</v>
      </c>
      <c r="L24" s="187">
        <v>2</v>
      </c>
      <c r="M24" s="187"/>
      <c r="N24" s="187">
        <v>6</v>
      </c>
      <c r="O24" s="187">
        <v>0.85</v>
      </c>
      <c r="P24" s="187">
        <v>0.7</v>
      </c>
      <c r="Q24" s="107">
        <f t="shared" si="0"/>
        <v>0.77499999999999991</v>
      </c>
      <c r="R24" s="187">
        <v>14.1</v>
      </c>
      <c r="S24" s="187">
        <v>84</v>
      </c>
      <c r="T24" s="108">
        <f t="shared" si="1"/>
        <v>36</v>
      </c>
      <c r="U24" s="187">
        <v>498</v>
      </c>
      <c r="V24" s="109">
        <f t="shared" si="2"/>
        <v>2988</v>
      </c>
      <c r="W24" s="187">
        <v>16</v>
      </c>
      <c r="X24" s="187" t="s">
        <v>46</v>
      </c>
      <c r="Y24" s="187" t="s">
        <v>69</v>
      </c>
      <c r="Z24" s="187" t="s">
        <v>55</v>
      </c>
      <c r="AA24" s="187" t="s">
        <v>84</v>
      </c>
      <c r="AB24" s="187" t="s">
        <v>315</v>
      </c>
      <c r="AP24" s="128" t="s">
        <v>237</v>
      </c>
      <c r="AR24" s="118" t="s">
        <v>91</v>
      </c>
    </row>
    <row r="25" spans="1:48" s="115" customFormat="1" x14ac:dyDescent="0.15">
      <c r="A25" s="187" t="s">
        <v>51</v>
      </c>
      <c r="B25" s="187" t="s">
        <v>313</v>
      </c>
      <c r="C25" s="187">
        <v>2018</v>
      </c>
      <c r="D25" s="106" t="s">
        <v>377</v>
      </c>
      <c r="E25" s="187" t="s">
        <v>207</v>
      </c>
      <c r="F25" s="187" t="s">
        <v>208</v>
      </c>
      <c r="G25" s="187" t="s">
        <v>36</v>
      </c>
      <c r="H25" s="187" t="s">
        <v>195</v>
      </c>
      <c r="I25" s="187" t="s">
        <v>155</v>
      </c>
      <c r="J25" s="187" t="s">
        <v>104</v>
      </c>
      <c r="K25" s="187" t="s">
        <v>219</v>
      </c>
      <c r="L25" s="187">
        <v>3</v>
      </c>
      <c r="M25" s="187"/>
      <c r="N25" s="187">
        <v>6</v>
      </c>
      <c r="O25" s="187">
        <v>0.6</v>
      </c>
      <c r="P25" s="187">
        <v>0.5</v>
      </c>
      <c r="Q25" s="107">
        <f t="shared" si="0"/>
        <v>0.55000000000000004</v>
      </c>
      <c r="R25" s="187">
        <v>15.1</v>
      </c>
      <c r="S25" s="187">
        <v>79</v>
      </c>
      <c r="T25" s="108">
        <f t="shared" si="1"/>
        <v>39</v>
      </c>
      <c r="U25" s="187">
        <v>498</v>
      </c>
      <c r="V25" s="109">
        <f t="shared" si="2"/>
        <v>3237</v>
      </c>
      <c r="W25" s="187">
        <v>16</v>
      </c>
      <c r="X25" s="187" t="s">
        <v>46</v>
      </c>
      <c r="Y25" s="187" t="s">
        <v>69</v>
      </c>
      <c r="Z25" s="187" t="s">
        <v>55</v>
      </c>
      <c r="AA25" s="187" t="s">
        <v>84</v>
      </c>
      <c r="AB25" s="187" t="s">
        <v>315</v>
      </c>
      <c r="AP25" s="128" t="s">
        <v>238</v>
      </c>
      <c r="AR25" s="128" t="s">
        <v>51</v>
      </c>
    </row>
    <row r="26" spans="1:48" s="115" customFormat="1" x14ac:dyDescent="0.15">
      <c r="A26" s="187" t="s">
        <v>51</v>
      </c>
      <c r="B26" s="187" t="s">
        <v>313</v>
      </c>
      <c r="C26" s="187">
        <v>2018</v>
      </c>
      <c r="D26" s="106" t="s">
        <v>377</v>
      </c>
      <c r="E26" s="187" t="s">
        <v>207</v>
      </c>
      <c r="F26" s="187" t="s">
        <v>208</v>
      </c>
      <c r="G26" s="187" t="s">
        <v>36</v>
      </c>
      <c r="H26" s="187" t="s">
        <v>162</v>
      </c>
      <c r="I26" s="187" t="s">
        <v>155</v>
      </c>
      <c r="J26" s="187" t="s">
        <v>38</v>
      </c>
      <c r="K26" s="187" t="s">
        <v>156</v>
      </c>
      <c r="L26" s="187">
        <v>1</v>
      </c>
      <c r="M26" s="187"/>
      <c r="N26" s="187">
        <v>1</v>
      </c>
      <c r="O26" s="187">
        <v>0.8</v>
      </c>
      <c r="P26" s="187">
        <v>0.75</v>
      </c>
      <c r="Q26" s="107">
        <f t="shared" si="0"/>
        <v>0.77500000000000002</v>
      </c>
      <c r="R26" s="187">
        <v>16.5</v>
      </c>
      <c r="S26" s="187">
        <v>141</v>
      </c>
      <c r="T26" s="108">
        <f t="shared" si="1"/>
        <v>22</v>
      </c>
      <c r="U26" s="187">
        <v>139</v>
      </c>
      <c r="V26" s="109">
        <f t="shared" si="2"/>
        <v>3058</v>
      </c>
      <c r="W26" s="187">
        <v>16</v>
      </c>
      <c r="X26" s="187" t="s">
        <v>46</v>
      </c>
      <c r="Y26" s="187" t="s">
        <v>69</v>
      </c>
      <c r="Z26" s="187" t="s">
        <v>55</v>
      </c>
      <c r="AA26" s="187" t="s">
        <v>84</v>
      </c>
      <c r="AB26" s="187" t="s">
        <v>315</v>
      </c>
      <c r="AP26" s="128" t="s">
        <v>239</v>
      </c>
      <c r="AR26" s="115" t="s">
        <v>379</v>
      </c>
    </row>
    <row r="27" spans="1:48" s="115" customFormat="1" x14ac:dyDescent="0.15">
      <c r="A27" s="187" t="s">
        <v>51</v>
      </c>
      <c r="B27" s="187" t="s">
        <v>313</v>
      </c>
      <c r="C27" s="187">
        <v>2018</v>
      </c>
      <c r="D27" s="106" t="s">
        <v>377</v>
      </c>
      <c r="E27" s="187" t="s">
        <v>207</v>
      </c>
      <c r="F27" s="187" t="s">
        <v>208</v>
      </c>
      <c r="G27" s="187" t="s">
        <v>36</v>
      </c>
      <c r="H27" s="187" t="s">
        <v>162</v>
      </c>
      <c r="I27" s="187" t="s">
        <v>155</v>
      </c>
      <c r="J27" s="187" t="s">
        <v>38</v>
      </c>
      <c r="K27" s="187" t="s">
        <v>156</v>
      </c>
      <c r="L27" s="187">
        <v>2</v>
      </c>
      <c r="M27" s="187"/>
      <c r="N27" s="187">
        <v>1</v>
      </c>
      <c r="O27" s="187">
        <v>0.85</v>
      </c>
      <c r="P27" s="187">
        <v>0.8</v>
      </c>
      <c r="Q27" s="107">
        <f t="shared" si="0"/>
        <v>0.82499999999999996</v>
      </c>
      <c r="R27" s="187">
        <v>15.9</v>
      </c>
      <c r="S27" s="187">
        <v>144</v>
      </c>
      <c r="T27" s="108">
        <f t="shared" si="1"/>
        <v>22</v>
      </c>
      <c r="U27" s="187">
        <v>139</v>
      </c>
      <c r="V27" s="109">
        <f t="shared" si="2"/>
        <v>3058</v>
      </c>
      <c r="W27" s="187">
        <v>16</v>
      </c>
      <c r="X27" s="187" t="s">
        <v>46</v>
      </c>
      <c r="Y27" s="187" t="s">
        <v>69</v>
      </c>
      <c r="Z27" s="187" t="s">
        <v>55</v>
      </c>
      <c r="AA27" s="187" t="s">
        <v>84</v>
      </c>
      <c r="AB27" s="187" t="s">
        <v>315</v>
      </c>
      <c r="AP27" s="128" t="s">
        <v>240</v>
      </c>
    </row>
    <row r="28" spans="1:48" s="115" customFormat="1" x14ac:dyDescent="0.15">
      <c r="A28" s="187" t="s">
        <v>51</v>
      </c>
      <c r="B28" s="187" t="s">
        <v>313</v>
      </c>
      <c r="C28" s="187">
        <v>2018</v>
      </c>
      <c r="D28" s="106" t="s">
        <v>377</v>
      </c>
      <c r="E28" s="187" t="s">
        <v>207</v>
      </c>
      <c r="F28" s="187" t="s">
        <v>208</v>
      </c>
      <c r="G28" s="187" t="s">
        <v>36</v>
      </c>
      <c r="H28" s="187" t="s">
        <v>162</v>
      </c>
      <c r="I28" s="187" t="s">
        <v>155</v>
      </c>
      <c r="J28" s="187" t="s">
        <v>38</v>
      </c>
      <c r="K28" s="187" t="s">
        <v>156</v>
      </c>
      <c r="L28" s="187">
        <v>3</v>
      </c>
      <c r="M28" s="187"/>
      <c r="N28" s="187">
        <v>1</v>
      </c>
      <c r="O28" s="187">
        <v>0.65</v>
      </c>
      <c r="P28" s="187">
        <v>0.6</v>
      </c>
      <c r="Q28" s="107">
        <f t="shared" si="0"/>
        <v>0.625</v>
      </c>
      <c r="R28" s="187">
        <v>17.600000000000001</v>
      </c>
      <c r="S28" s="187">
        <v>147</v>
      </c>
      <c r="T28" s="108">
        <f t="shared" si="1"/>
        <v>22</v>
      </c>
      <c r="U28" s="187">
        <v>139</v>
      </c>
      <c r="V28" s="109">
        <f t="shared" si="2"/>
        <v>3058</v>
      </c>
      <c r="W28" s="187">
        <v>16</v>
      </c>
      <c r="X28" s="187" t="s">
        <v>46</v>
      </c>
      <c r="Y28" s="187" t="s">
        <v>69</v>
      </c>
      <c r="Z28" s="187" t="s">
        <v>55</v>
      </c>
      <c r="AA28" s="187" t="s">
        <v>84</v>
      </c>
      <c r="AB28" s="187" t="s">
        <v>315</v>
      </c>
    </row>
    <row r="29" spans="1:48" s="115" customFormat="1" x14ac:dyDescent="0.15">
      <c r="A29" s="187" t="s">
        <v>51</v>
      </c>
      <c r="B29" s="187" t="s">
        <v>313</v>
      </c>
      <c r="C29" s="187">
        <v>2018</v>
      </c>
      <c r="D29" s="106" t="s">
        <v>377</v>
      </c>
      <c r="E29" s="187" t="s">
        <v>165</v>
      </c>
      <c r="F29" s="187" t="s">
        <v>194</v>
      </c>
      <c r="G29" s="187" t="s">
        <v>42</v>
      </c>
      <c r="H29" s="187" t="s">
        <v>157</v>
      </c>
      <c r="I29" s="187" t="s">
        <v>155</v>
      </c>
      <c r="J29" s="187" t="s">
        <v>38</v>
      </c>
      <c r="K29" s="187" t="s">
        <v>156</v>
      </c>
      <c r="L29" s="187">
        <v>1</v>
      </c>
      <c r="M29" s="187"/>
      <c r="N29" s="187">
        <v>1</v>
      </c>
      <c r="O29" s="187">
        <v>0.9</v>
      </c>
      <c r="P29" s="187">
        <v>0.85</v>
      </c>
      <c r="Q29" s="107">
        <f t="shared" si="0"/>
        <v>0.875</v>
      </c>
      <c r="R29" s="187">
        <v>15.1</v>
      </c>
      <c r="S29" s="187">
        <v>139</v>
      </c>
      <c r="T29" s="108">
        <f t="shared" si="1"/>
        <v>22</v>
      </c>
      <c r="U29" s="187">
        <v>127</v>
      </c>
      <c r="V29" s="109">
        <f t="shared" si="2"/>
        <v>2794</v>
      </c>
      <c r="W29" s="187">
        <v>18</v>
      </c>
      <c r="X29" s="187" t="s">
        <v>46</v>
      </c>
      <c r="Y29" s="187" t="s">
        <v>69</v>
      </c>
      <c r="Z29" s="187" t="s">
        <v>84</v>
      </c>
      <c r="AA29" s="187" t="s">
        <v>55</v>
      </c>
      <c r="AB29" s="187" t="s">
        <v>315</v>
      </c>
    </row>
    <row r="30" spans="1:48" s="115" customFormat="1" x14ac:dyDescent="0.15">
      <c r="A30" s="187" t="s">
        <v>51</v>
      </c>
      <c r="B30" s="187" t="s">
        <v>313</v>
      </c>
      <c r="C30" s="187">
        <v>2018</v>
      </c>
      <c r="D30" s="106" t="s">
        <v>377</v>
      </c>
      <c r="E30" s="187" t="s">
        <v>165</v>
      </c>
      <c r="F30" s="187" t="s">
        <v>194</v>
      </c>
      <c r="G30" s="187" t="s">
        <v>42</v>
      </c>
      <c r="H30" s="187" t="s">
        <v>157</v>
      </c>
      <c r="I30" s="187" t="s">
        <v>155</v>
      </c>
      <c r="J30" s="187" t="s">
        <v>38</v>
      </c>
      <c r="K30" s="187" t="s">
        <v>156</v>
      </c>
      <c r="L30" s="187">
        <v>2</v>
      </c>
      <c r="M30" s="187"/>
      <c r="N30" s="187">
        <v>1</v>
      </c>
      <c r="O30" s="187">
        <v>0.8</v>
      </c>
      <c r="P30" s="187">
        <v>0.8</v>
      </c>
      <c r="Q30" s="107">
        <f t="shared" si="0"/>
        <v>0.8</v>
      </c>
      <c r="R30" s="187">
        <v>14.9</v>
      </c>
      <c r="S30" s="187">
        <v>149</v>
      </c>
      <c r="T30" s="108">
        <f t="shared" si="1"/>
        <v>22</v>
      </c>
      <c r="U30" s="187">
        <v>127</v>
      </c>
      <c r="V30" s="109">
        <f t="shared" si="2"/>
        <v>2794</v>
      </c>
      <c r="W30" s="187">
        <v>18</v>
      </c>
      <c r="X30" s="187" t="s">
        <v>46</v>
      </c>
      <c r="Y30" s="187" t="s">
        <v>69</v>
      </c>
      <c r="Z30" s="187" t="s">
        <v>84</v>
      </c>
      <c r="AA30" s="187" t="s">
        <v>55</v>
      </c>
      <c r="AB30" s="187" t="s">
        <v>315</v>
      </c>
    </row>
    <row r="31" spans="1:48" s="115" customFormat="1" x14ac:dyDescent="0.15">
      <c r="A31" s="187" t="s">
        <v>51</v>
      </c>
      <c r="B31" s="187" t="s">
        <v>313</v>
      </c>
      <c r="C31" s="187">
        <v>2018</v>
      </c>
      <c r="D31" s="106" t="s">
        <v>377</v>
      </c>
      <c r="E31" s="187" t="s">
        <v>165</v>
      </c>
      <c r="F31" s="187" t="s">
        <v>194</v>
      </c>
      <c r="G31" s="187" t="s">
        <v>42</v>
      </c>
      <c r="H31" s="187" t="s">
        <v>157</v>
      </c>
      <c r="I31" s="187" t="s">
        <v>155</v>
      </c>
      <c r="J31" s="187" t="s">
        <v>38</v>
      </c>
      <c r="K31" s="187" t="s">
        <v>156</v>
      </c>
      <c r="L31" s="187">
        <v>3</v>
      </c>
      <c r="M31" s="187"/>
      <c r="N31" s="187">
        <v>1</v>
      </c>
      <c r="O31" s="187">
        <v>0.95</v>
      </c>
      <c r="P31" s="187">
        <v>0.85</v>
      </c>
      <c r="Q31" s="107">
        <f t="shared" si="0"/>
        <v>0.89999999999999991</v>
      </c>
      <c r="R31" s="187">
        <v>14.4</v>
      </c>
      <c r="S31" s="187">
        <v>146</v>
      </c>
      <c r="T31" s="108">
        <f t="shared" si="1"/>
        <v>22</v>
      </c>
      <c r="U31" s="187">
        <v>127</v>
      </c>
      <c r="V31" s="109">
        <f t="shared" si="2"/>
        <v>2794</v>
      </c>
      <c r="W31" s="187">
        <v>18</v>
      </c>
      <c r="X31" s="187" t="s">
        <v>46</v>
      </c>
      <c r="Y31" s="187" t="s">
        <v>69</v>
      </c>
      <c r="Z31" s="187" t="s">
        <v>84</v>
      </c>
      <c r="AA31" s="187" t="s">
        <v>55</v>
      </c>
      <c r="AB31" s="187" t="s">
        <v>315</v>
      </c>
    </row>
    <row r="32" spans="1:48" s="115" customFormat="1" x14ac:dyDescent="0.15">
      <c r="A32" s="187" t="s">
        <v>51</v>
      </c>
      <c r="B32" s="187" t="s">
        <v>313</v>
      </c>
      <c r="C32" s="187">
        <v>2018</v>
      </c>
      <c r="D32" s="106" t="s">
        <v>377</v>
      </c>
      <c r="E32" s="187" t="s">
        <v>165</v>
      </c>
      <c r="F32" s="187" t="s">
        <v>194</v>
      </c>
      <c r="G32" s="187" t="s">
        <v>42</v>
      </c>
      <c r="H32" s="187" t="s">
        <v>162</v>
      </c>
      <c r="I32" s="187" t="s">
        <v>155</v>
      </c>
      <c r="J32" s="187" t="s">
        <v>38</v>
      </c>
      <c r="K32" s="187" t="s">
        <v>156</v>
      </c>
      <c r="L32" s="187">
        <v>1</v>
      </c>
      <c r="M32" s="187"/>
      <c r="N32" s="187">
        <v>1</v>
      </c>
      <c r="O32" s="187">
        <v>0.75</v>
      </c>
      <c r="P32" s="187">
        <v>0.85</v>
      </c>
      <c r="Q32" s="107">
        <f t="shared" si="0"/>
        <v>0.8</v>
      </c>
      <c r="R32" s="187">
        <v>16.3</v>
      </c>
      <c r="S32" s="187">
        <v>157</v>
      </c>
      <c r="T32" s="108">
        <f t="shared" si="1"/>
        <v>18</v>
      </c>
      <c r="U32" s="187">
        <v>127</v>
      </c>
      <c r="V32" s="109">
        <f t="shared" si="2"/>
        <v>2286</v>
      </c>
      <c r="W32" s="187">
        <v>18</v>
      </c>
      <c r="X32" s="187" t="s">
        <v>46</v>
      </c>
      <c r="Y32" s="187" t="s">
        <v>69</v>
      </c>
      <c r="Z32" s="187" t="s">
        <v>84</v>
      </c>
      <c r="AA32" s="187" t="s">
        <v>55</v>
      </c>
      <c r="AB32" s="187" t="s">
        <v>315</v>
      </c>
    </row>
    <row r="33" spans="1:28" s="115" customFormat="1" x14ac:dyDescent="0.15">
      <c r="A33" s="187" t="s">
        <v>51</v>
      </c>
      <c r="B33" s="187" t="s">
        <v>313</v>
      </c>
      <c r="C33" s="187">
        <v>2018</v>
      </c>
      <c r="D33" s="106" t="s">
        <v>377</v>
      </c>
      <c r="E33" s="187" t="s">
        <v>165</v>
      </c>
      <c r="F33" s="187" t="s">
        <v>194</v>
      </c>
      <c r="G33" s="187" t="s">
        <v>42</v>
      </c>
      <c r="H33" s="187" t="s">
        <v>162</v>
      </c>
      <c r="I33" s="187" t="s">
        <v>155</v>
      </c>
      <c r="J33" s="187" t="s">
        <v>38</v>
      </c>
      <c r="K33" s="187" t="s">
        <v>156</v>
      </c>
      <c r="L33" s="187">
        <v>2</v>
      </c>
      <c r="M33" s="187"/>
      <c r="N33" s="187">
        <v>1</v>
      </c>
      <c r="O33" s="187">
        <v>0.8</v>
      </c>
      <c r="P33" s="187">
        <v>0.85</v>
      </c>
      <c r="Q33" s="107">
        <f t="shared" si="0"/>
        <v>0.82499999999999996</v>
      </c>
      <c r="R33" s="187">
        <v>16.600000000000001</v>
      </c>
      <c r="S33" s="187">
        <v>151</v>
      </c>
      <c r="T33" s="108">
        <f t="shared" si="1"/>
        <v>22</v>
      </c>
      <c r="U33" s="187">
        <v>127</v>
      </c>
      <c r="V33" s="109">
        <f t="shared" si="2"/>
        <v>2794</v>
      </c>
      <c r="W33" s="187">
        <v>18</v>
      </c>
      <c r="X33" s="187" t="s">
        <v>46</v>
      </c>
      <c r="Y33" s="187" t="s">
        <v>69</v>
      </c>
      <c r="Z33" s="187" t="s">
        <v>84</v>
      </c>
      <c r="AA33" s="187" t="s">
        <v>55</v>
      </c>
      <c r="AB33" s="187" t="s">
        <v>315</v>
      </c>
    </row>
    <row r="34" spans="1:28" s="115" customFormat="1" x14ac:dyDescent="0.15">
      <c r="A34" s="187" t="s">
        <v>51</v>
      </c>
      <c r="B34" s="187" t="s">
        <v>313</v>
      </c>
      <c r="C34" s="187">
        <v>2018</v>
      </c>
      <c r="D34" s="106" t="s">
        <v>377</v>
      </c>
      <c r="E34" s="187" t="s">
        <v>165</v>
      </c>
      <c r="F34" s="187" t="s">
        <v>194</v>
      </c>
      <c r="G34" s="187" t="s">
        <v>42</v>
      </c>
      <c r="H34" s="187" t="s">
        <v>162</v>
      </c>
      <c r="I34" s="187" t="s">
        <v>155</v>
      </c>
      <c r="J34" s="187" t="s">
        <v>38</v>
      </c>
      <c r="K34" s="187" t="s">
        <v>156</v>
      </c>
      <c r="L34" s="187">
        <v>3</v>
      </c>
      <c r="M34" s="187"/>
      <c r="N34" s="187">
        <v>1</v>
      </c>
      <c r="O34" s="187">
        <v>0.8</v>
      </c>
      <c r="P34" s="187">
        <v>0.7</v>
      </c>
      <c r="Q34" s="107">
        <f t="shared" si="0"/>
        <v>0.75</v>
      </c>
      <c r="R34" s="187">
        <v>15.9</v>
      </c>
      <c r="S34" s="187">
        <v>163</v>
      </c>
      <c r="T34" s="108">
        <f t="shared" si="1"/>
        <v>18</v>
      </c>
      <c r="U34" s="187">
        <v>127</v>
      </c>
      <c r="V34" s="109">
        <f t="shared" si="2"/>
        <v>2286</v>
      </c>
      <c r="W34" s="187">
        <v>18</v>
      </c>
      <c r="X34" s="187" t="s">
        <v>46</v>
      </c>
      <c r="Y34" s="187" t="s">
        <v>69</v>
      </c>
      <c r="Z34" s="187" t="s">
        <v>84</v>
      </c>
      <c r="AA34" s="187" t="s">
        <v>55</v>
      </c>
      <c r="AB34" s="187" t="s">
        <v>315</v>
      </c>
    </row>
    <row r="35" spans="1:28" s="115" customFormat="1" x14ac:dyDescent="0.15">
      <c r="A35" s="187" t="s">
        <v>51</v>
      </c>
      <c r="B35" s="187" t="s">
        <v>313</v>
      </c>
      <c r="C35" s="187">
        <v>2018</v>
      </c>
      <c r="D35" s="106" t="s">
        <v>377</v>
      </c>
      <c r="E35" s="187" t="s">
        <v>210</v>
      </c>
      <c r="F35" s="187" t="s">
        <v>194</v>
      </c>
      <c r="G35" s="187" t="s">
        <v>42</v>
      </c>
      <c r="H35" s="187" t="s">
        <v>157</v>
      </c>
      <c r="I35" s="187" t="s">
        <v>155</v>
      </c>
      <c r="J35" s="187" t="s">
        <v>38</v>
      </c>
      <c r="K35" s="187" t="s">
        <v>156</v>
      </c>
      <c r="L35" s="187">
        <v>1</v>
      </c>
      <c r="M35" s="187"/>
      <c r="N35" s="187">
        <v>4</v>
      </c>
      <c r="O35" s="187">
        <v>0.65</v>
      </c>
      <c r="P35" s="187">
        <v>0.7</v>
      </c>
      <c r="Q35" s="107">
        <f t="shared" si="0"/>
        <v>0.67500000000000004</v>
      </c>
      <c r="R35" s="187">
        <v>16.3</v>
      </c>
      <c r="S35" s="187">
        <v>115</v>
      </c>
      <c r="T35" s="108">
        <f t="shared" si="1"/>
        <v>30</v>
      </c>
      <c r="U35" s="187">
        <v>398</v>
      </c>
      <c r="V35" s="109">
        <f t="shared" si="2"/>
        <v>2985</v>
      </c>
      <c r="W35" s="187">
        <v>20</v>
      </c>
      <c r="X35" s="187" t="s">
        <v>46</v>
      </c>
      <c r="Y35" s="187" t="s">
        <v>84</v>
      </c>
      <c r="Z35" s="187" t="s">
        <v>69</v>
      </c>
      <c r="AA35" s="187" t="s">
        <v>55</v>
      </c>
      <c r="AB35" s="187" t="s">
        <v>315</v>
      </c>
    </row>
    <row r="36" spans="1:28" s="115" customFormat="1" x14ac:dyDescent="0.15">
      <c r="A36" s="187" t="s">
        <v>51</v>
      </c>
      <c r="B36" s="187" t="s">
        <v>313</v>
      </c>
      <c r="C36" s="187">
        <v>2018</v>
      </c>
      <c r="D36" s="106" t="s">
        <v>377</v>
      </c>
      <c r="E36" s="187" t="s">
        <v>210</v>
      </c>
      <c r="F36" s="187" t="s">
        <v>194</v>
      </c>
      <c r="G36" s="187" t="s">
        <v>42</v>
      </c>
      <c r="H36" s="187" t="s">
        <v>157</v>
      </c>
      <c r="I36" s="187" t="s">
        <v>155</v>
      </c>
      <c r="J36" s="187" t="s">
        <v>38</v>
      </c>
      <c r="K36" s="187" t="s">
        <v>156</v>
      </c>
      <c r="L36" s="187">
        <v>2</v>
      </c>
      <c r="M36" s="187"/>
      <c r="N36" s="187">
        <v>4</v>
      </c>
      <c r="O36" s="187">
        <v>0.7</v>
      </c>
      <c r="P36" s="187">
        <v>0.75</v>
      </c>
      <c r="Q36" s="107">
        <f t="shared" si="0"/>
        <v>0.72499999999999998</v>
      </c>
      <c r="R36" s="187">
        <v>15.9</v>
      </c>
      <c r="S36" s="187">
        <v>112</v>
      </c>
      <c r="T36" s="108">
        <f t="shared" si="1"/>
        <v>33</v>
      </c>
      <c r="U36" s="187">
        <v>398</v>
      </c>
      <c r="V36" s="109">
        <f t="shared" si="2"/>
        <v>3283.5</v>
      </c>
      <c r="W36" s="187">
        <v>20</v>
      </c>
      <c r="X36" s="187" t="s">
        <v>46</v>
      </c>
      <c r="Y36" s="187" t="s">
        <v>84</v>
      </c>
      <c r="Z36" s="187" t="s">
        <v>69</v>
      </c>
      <c r="AA36" s="187" t="s">
        <v>55</v>
      </c>
      <c r="AB36" s="187" t="s">
        <v>315</v>
      </c>
    </row>
    <row r="37" spans="1:28" s="115" customFormat="1" x14ac:dyDescent="0.15">
      <c r="A37" s="187" t="s">
        <v>51</v>
      </c>
      <c r="B37" s="187" t="s">
        <v>313</v>
      </c>
      <c r="C37" s="187">
        <v>2018</v>
      </c>
      <c r="D37" s="106" t="s">
        <v>377</v>
      </c>
      <c r="E37" s="187" t="s">
        <v>210</v>
      </c>
      <c r="F37" s="187" t="s">
        <v>194</v>
      </c>
      <c r="G37" s="187" t="s">
        <v>42</v>
      </c>
      <c r="H37" s="187" t="s">
        <v>157</v>
      </c>
      <c r="I37" s="187" t="s">
        <v>155</v>
      </c>
      <c r="J37" s="187" t="s">
        <v>38</v>
      </c>
      <c r="K37" s="187" t="s">
        <v>156</v>
      </c>
      <c r="L37" s="187">
        <v>3</v>
      </c>
      <c r="M37" s="187"/>
      <c r="N37" s="187">
        <v>4</v>
      </c>
      <c r="O37" s="187">
        <v>0.75</v>
      </c>
      <c r="P37" s="187">
        <v>0.7</v>
      </c>
      <c r="Q37" s="107">
        <f t="shared" si="0"/>
        <v>0.72499999999999998</v>
      </c>
      <c r="R37" s="187">
        <v>15.4</v>
      </c>
      <c r="S37" s="187">
        <v>103</v>
      </c>
      <c r="T37" s="108">
        <f t="shared" si="1"/>
        <v>33</v>
      </c>
      <c r="U37" s="187">
        <v>398</v>
      </c>
      <c r="V37" s="109">
        <f t="shared" si="2"/>
        <v>3283.5</v>
      </c>
      <c r="W37" s="187">
        <v>20</v>
      </c>
      <c r="X37" s="187" t="s">
        <v>46</v>
      </c>
      <c r="Y37" s="187" t="s">
        <v>84</v>
      </c>
      <c r="Z37" s="187" t="s">
        <v>69</v>
      </c>
      <c r="AA37" s="187" t="s">
        <v>55</v>
      </c>
      <c r="AB37" s="187" t="s">
        <v>315</v>
      </c>
    </row>
    <row r="38" spans="1:28" s="115" customFormat="1" x14ac:dyDescent="0.15">
      <c r="A38" s="187" t="s">
        <v>51</v>
      </c>
      <c r="B38" s="187" t="s">
        <v>313</v>
      </c>
      <c r="C38" s="187">
        <v>2018</v>
      </c>
      <c r="D38" s="106" t="s">
        <v>377</v>
      </c>
      <c r="E38" s="187" t="s">
        <v>210</v>
      </c>
      <c r="F38" s="187" t="s">
        <v>194</v>
      </c>
      <c r="G38" s="187" t="s">
        <v>42</v>
      </c>
      <c r="H38" s="187" t="s">
        <v>162</v>
      </c>
      <c r="I38" s="187" t="s">
        <v>155</v>
      </c>
      <c r="J38" s="187" t="s">
        <v>38</v>
      </c>
      <c r="K38" s="187" t="s">
        <v>156</v>
      </c>
      <c r="L38" s="187">
        <v>1</v>
      </c>
      <c r="M38" s="187"/>
      <c r="N38" s="187">
        <v>4</v>
      </c>
      <c r="O38" s="187">
        <v>0.7</v>
      </c>
      <c r="P38" s="187">
        <v>0.65</v>
      </c>
      <c r="Q38" s="107">
        <f t="shared" si="0"/>
        <v>0.67500000000000004</v>
      </c>
      <c r="R38" s="187">
        <v>16.7</v>
      </c>
      <c r="S38" s="187">
        <v>161</v>
      </c>
      <c r="T38" s="108">
        <f t="shared" si="1"/>
        <v>18</v>
      </c>
      <c r="U38" s="187">
        <v>498</v>
      </c>
      <c r="V38" s="109">
        <f t="shared" si="2"/>
        <v>2241</v>
      </c>
      <c r="W38" s="187">
        <v>20</v>
      </c>
      <c r="X38" s="187" t="s">
        <v>46</v>
      </c>
      <c r="Y38" s="187" t="s">
        <v>84</v>
      </c>
      <c r="Z38" s="187" t="s">
        <v>69</v>
      </c>
      <c r="AA38" s="187" t="s">
        <v>55</v>
      </c>
      <c r="AB38" s="187" t="s">
        <v>315</v>
      </c>
    </row>
    <row r="39" spans="1:28" s="115" customFormat="1" x14ac:dyDescent="0.15">
      <c r="A39" s="187" t="s">
        <v>51</v>
      </c>
      <c r="B39" s="187" t="s">
        <v>313</v>
      </c>
      <c r="C39" s="187">
        <v>2018</v>
      </c>
      <c r="D39" s="106" t="s">
        <v>377</v>
      </c>
      <c r="E39" s="187" t="s">
        <v>210</v>
      </c>
      <c r="F39" s="187" t="s">
        <v>194</v>
      </c>
      <c r="G39" s="187" t="s">
        <v>42</v>
      </c>
      <c r="H39" s="187" t="s">
        <v>162</v>
      </c>
      <c r="I39" s="187" t="s">
        <v>155</v>
      </c>
      <c r="J39" s="187" t="s">
        <v>38</v>
      </c>
      <c r="K39" s="187" t="s">
        <v>156</v>
      </c>
      <c r="L39" s="187">
        <v>2</v>
      </c>
      <c r="M39" s="187"/>
      <c r="N39" s="187">
        <v>4</v>
      </c>
      <c r="O39" s="187">
        <v>0.65</v>
      </c>
      <c r="P39" s="187">
        <v>0.7</v>
      </c>
      <c r="Q39" s="107">
        <f t="shared" si="0"/>
        <v>0.67500000000000004</v>
      </c>
      <c r="R39" s="187">
        <v>16.3</v>
      </c>
      <c r="S39" s="187">
        <v>146</v>
      </c>
      <c r="T39" s="108">
        <f t="shared" si="1"/>
        <v>22</v>
      </c>
      <c r="U39" s="187">
        <v>498</v>
      </c>
      <c r="V39" s="109">
        <f t="shared" si="2"/>
        <v>2739</v>
      </c>
      <c r="W39" s="187">
        <v>20</v>
      </c>
      <c r="X39" s="187" t="s">
        <v>46</v>
      </c>
      <c r="Y39" s="187" t="s">
        <v>84</v>
      </c>
      <c r="Z39" s="187" t="s">
        <v>69</v>
      </c>
      <c r="AA39" s="187" t="s">
        <v>55</v>
      </c>
      <c r="AB39" s="187" t="s">
        <v>315</v>
      </c>
    </row>
    <row r="40" spans="1:28" s="115" customFormat="1" x14ac:dyDescent="0.15">
      <c r="A40" s="187" t="s">
        <v>51</v>
      </c>
      <c r="B40" s="187" t="s">
        <v>313</v>
      </c>
      <c r="C40" s="187">
        <v>2018</v>
      </c>
      <c r="D40" s="106" t="s">
        <v>377</v>
      </c>
      <c r="E40" s="187" t="s">
        <v>210</v>
      </c>
      <c r="F40" s="187" t="s">
        <v>194</v>
      </c>
      <c r="G40" s="187" t="s">
        <v>42</v>
      </c>
      <c r="H40" s="187" t="s">
        <v>162</v>
      </c>
      <c r="I40" s="187" t="s">
        <v>155</v>
      </c>
      <c r="J40" s="187" t="s">
        <v>38</v>
      </c>
      <c r="K40" s="187" t="s">
        <v>156</v>
      </c>
      <c r="L40" s="187">
        <v>3</v>
      </c>
      <c r="M40" s="187"/>
      <c r="N40" s="187">
        <v>4</v>
      </c>
      <c r="O40" s="187">
        <v>0.7</v>
      </c>
      <c r="P40" s="187">
        <v>0.75</v>
      </c>
      <c r="Q40" s="107">
        <f t="shared" si="0"/>
        <v>0.72499999999999998</v>
      </c>
      <c r="R40" s="187">
        <v>15.4</v>
      </c>
      <c r="S40" s="187">
        <v>140</v>
      </c>
      <c r="T40" s="108">
        <f t="shared" si="1"/>
        <v>22</v>
      </c>
      <c r="U40" s="187">
        <v>498</v>
      </c>
      <c r="V40" s="109">
        <f t="shared" si="2"/>
        <v>2739</v>
      </c>
      <c r="W40" s="187">
        <v>20</v>
      </c>
      <c r="X40" s="187" t="s">
        <v>46</v>
      </c>
      <c r="Y40" s="187" t="s">
        <v>84</v>
      </c>
      <c r="Z40" s="187" t="s">
        <v>69</v>
      </c>
      <c r="AA40" s="187" t="s">
        <v>55</v>
      </c>
      <c r="AB40" s="187" t="s">
        <v>315</v>
      </c>
    </row>
    <row r="41" spans="1:28" s="115" customFormat="1" x14ac:dyDescent="0.15">
      <c r="A41" s="187" t="s">
        <v>51</v>
      </c>
      <c r="B41" s="187" t="s">
        <v>313</v>
      </c>
      <c r="C41" s="187">
        <v>2018</v>
      </c>
      <c r="D41" s="106" t="s">
        <v>377</v>
      </c>
      <c r="E41" s="187" t="s">
        <v>199</v>
      </c>
      <c r="F41" s="187" t="s">
        <v>200</v>
      </c>
      <c r="G41" s="187" t="s">
        <v>42</v>
      </c>
      <c r="H41" s="187" t="s">
        <v>157</v>
      </c>
      <c r="I41" s="187" t="s">
        <v>155</v>
      </c>
      <c r="J41" s="187" t="s">
        <v>38</v>
      </c>
      <c r="K41" s="187" t="s">
        <v>156</v>
      </c>
      <c r="L41" s="187">
        <v>1</v>
      </c>
      <c r="M41" s="187"/>
      <c r="N41" s="187">
        <v>1</v>
      </c>
      <c r="O41" s="187">
        <v>0.9</v>
      </c>
      <c r="P41" s="187">
        <v>0.95</v>
      </c>
      <c r="Q41" s="107">
        <f t="shared" si="0"/>
        <v>0.92500000000000004</v>
      </c>
      <c r="R41" s="187">
        <v>14.9</v>
      </c>
      <c r="S41" s="187">
        <v>146</v>
      </c>
      <c r="T41" s="108">
        <f t="shared" si="1"/>
        <v>22</v>
      </c>
      <c r="U41" s="187">
        <v>99</v>
      </c>
      <c r="V41" s="109">
        <f t="shared" si="2"/>
        <v>2178</v>
      </c>
      <c r="W41" s="187">
        <v>3</v>
      </c>
      <c r="X41" s="187" t="s">
        <v>46</v>
      </c>
      <c r="Y41" s="187" t="s">
        <v>69</v>
      </c>
      <c r="Z41" s="187" t="s">
        <v>90</v>
      </c>
      <c r="AA41" s="187" t="s">
        <v>84</v>
      </c>
      <c r="AB41" s="187" t="s">
        <v>315</v>
      </c>
    </row>
    <row r="42" spans="1:28" s="115" customFormat="1" x14ac:dyDescent="0.15">
      <c r="A42" s="187" t="s">
        <v>51</v>
      </c>
      <c r="B42" s="187" t="s">
        <v>313</v>
      </c>
      <c r="C42" s="187">
        <v>2018</v>
      </c>
      <c r="D42" s="106" t="s">
        <v>377</v>
      </c>
      <c r="E42" s="187" t="s">
        <v>199</v>
      </c>
      <c r="F42" s="187" t="s">
        <v>200</v>
      </c>
      <c r="G42" s="187" t="s">
        <v>42</v>
      </c>
      <c r="H42" s="187" t="s">
        <v>157</v>
      </c>
      <c r="I42" s="187" t="s">
        <v>155</v>
      </c>
      <c r="J42" s="187" t="s">
        <v>38</v>
      </c>
      <c r="K42" s="187" t="s">
        <v>156</v>
      </c>
      <c r="L42" s="187">
        <v>2</v>
      </c>
      <c r="M42" s="187"/>
      <c r="N42" s="187">
        <v>1</v>
      </c>
      <c r="O42" s="187">
        <v>0.85</v>
      </c>
      <c r="P42" s="187">
        <v>0.85</v>
      </c>
      <c r="Q42" s="107">
        <f t="shared" si="0"/>
        <v>0.85</v>
      </c>
      <c r="R42" s="187">
        <v>15.6</v>
      </c>
      <c r="S42" s="187">
        <v>142</v>
      </c>
      <c r="T42" s="108">
        <f t="shared" si="1"/>
        <v>22</v>
      </c>
      <c r="U42" s="187">
        <v>99</v>
      </c>
      <c r="V42" s="109">
        <f t="shared" si="2"/>
        <v>2178</v>
      </c>
      <c r="W42" s="187">
        <v>3</v>
      </c>
      <c r="X42" s="187" t="s">
        <v>46</v>
      </c>
      <c r="Y42" s="187" t="s">
        <v>69</v>
      </c>
      <c r="Z42" s="187" t="s">
        <v>90</v>
      </c>
      <c r="AA42" s="187" t="s">
        <v>84</v>
      </c>
      <c r="AB42" s="187" t="s">
        <v>315</v>
      </c>
    </row>
    <row r="43" spans="1:28" s="115" customFormat="1" x14ac:dyDescent="0.15">
      <c r="A43" s="187" t="s">
        <v>51</v>
      </c>
      <c r="B43" s="187" t="s">
        <v>313</v>
      </c>
      <c r="C43" s="187">
        <v>2018</v>
      </c>
      <c r="D43" s="106" t="s">
        <v>377</v>
      </c>
      <c r="E43" s="187" t="s">
        <v>199</v>
      </c>
      <c r="F43" s="187" t="s">
        <v>200</v>
      </c>
      <c r="G43" s="187" t="s">
        <v>42</v>
      </c>
      <c r="H43" s="187" t="s">
        <v>157</v>
      </c>
      <c r="I43" s="187" t="s">
        <v>155</v>
      </c>
      <c r="J43" s="187" t="s">
        <v>38</v>
      </c>
      <c r="K43" s="187" t="s">
        <v>156</v>
      </c>
      <c r="L43" s="187">
        <v>3</v>
      </c>
      <c r="M43" s="187"/>
      <c r="N43" s="187">
        <v>1</v>
      </c>
      <c r="O43" s="187">
        <v>0.9</v>
      </c>
      <c r="P43" s="187">
        <v>0.95</v>
      </c>
      <c r="Q43" s="107">
        <f t="shared" si="0"/>
        <v>0.92500000000000004</v>
      </c>
      <c r="R43" s="187">
        <v>15.1</v>
      </c>
      <c r="S43" s="187">
        <v>141</v>
      </c>
      <c r="T43" s="108">
        <f t="shared" si="1"/>
        <v>22</v>
      </c>
      <c r="U43" s="187">
        <v>99</v>
      </c>
      <c r="V43" s="109">
        <f t="shared" si="2"/>
        <v>2178</v>
      </c>
      <c r="W43" s="187">
        <v>3</v>
      </c>
      <c r="X43" s="187" t="s">
        <v>46</v>
      </c>
      <c r="Y43" s="187" t="s">
        <v>69</v>
      </c>
      <c r="Z43" s="187" t="s">
        <v>90</v>
      </c>
      <c r="AA43" s="187" t="s">
        <v>84</v>
      </c>
      <c r="AB43" s="187" t="s">
        <v>315</v>
      </c>
    </row>
    <row r="44" spans="1:28" s="115" customFormat="1" x14ac:dyDescent="0.15">
      <c r="A44" s="187" t="s">
        <v>51</v>
      </c>
      <c r="B44" s="187" t="s">
        <v>313</v>
      </c>
      <c r="C44" s="187">
        <v>2018</v>
      </c>
      <c r="D44" s="106" t="s">
        <v>377</v>
      </c>
      <c r="E44" s="187" t="s">
        <v>205</v>
      </c>
      <c r="F44" s="187" t="s">
        <v>193</v>
      </c>
      <c r="G44" s="187" t="s">
        <v>36</v>
      </c>
      <c r="H44" s="187" t="s">
        <v>157</v>
      </c>
      <c r="I44" s="187" t="s">
        <v>155</v>
      </c>
      <c r="J44" s="187" t="s">
        <v>38</v>
      </c>
      <c r="K44" s="187" t="s">
        <v>156</v>
      </c>
      <c r="L44" s="187">
        <v>1</v>
      </c>
      <c r="M44" s="187"/>
      <c r="N44" s="187">
        <v>3</v>
      </c>
      <c r="O44" s="187">
        <v>0.7</v>
      </c>
      <c r="P44" s="187">
        <v>0.75</v>
      </c>
      <c r="Q44" s="107">
        <f t="shared" si="0"/>
        <v>0.72499999999999998</v>
      </c>
      <c r="R44" s="187">
        <v>16.600000000000001</v>
      </c>
      <c r="S44" s="187">
        <v>142</v>
      </c>
      <c r="T44" s="108">
        <f t="shared" si="1"/>
        <v>22</v>
      </c>
      <c r="U44" s="187">
        <v>398</v>
      </c>
      <c r="V44" s="109">
        <f t="shared" si="2"/>
        <v>2918.6666666666665</v>
      </c>
      <c r="W44" s="187">
        <v>6</v>
      </c>
      <c r="X44" s="187" t="s">
        <v>46</v>
      </c>
      <c r="Y44" s="187" t="s">
        <v>69</v>
      </c>
      <c r="Z44" s="187" t="s">
        <v>84</v>
      </c>
      <c r="AA44" s="187" t="s">
        <v>90</v>
      </c>
      <c r="AB44" s="187" t="s">
        <v>315</v>
      </c>
    </row>
    <row r="45" spans="1:28" s="115" customFormat="1" x14ac:dyDescent="0.15">
      <c r="A45" s="187" t="s">
        <v>51</v>
      </c>
      <c r="B45" s="187" t="s">
        <v>313</v>
      </c>
      <c r="C45" s="187">
        <v>2018</v>
      </c>
      <c r="D45" s="106" t="s">
        <v>377</v>
      </c>
      <c r="E45" s="187" t="s">
        <v>205</v>
      </c>
      <c r="F45" s="187" t="s">
        <v>193</v>
      </c>
      <c r="G45" s="187" t="s">
        <v>36</v>
      </c>
      <c r="H45" s="187" t="s">
        <v>157</v>
      </c>
      <c r="I45" s="187" t="s">
        <v>155</v>
      </c>
      <c r="J45" s="187" t="s">
        <v>38</v>
      </c>
      <c r="K45" s="187" t="s">
        <v>156</v>
      </c>
      <c r="L45" s="187">
        <v>2</v>
      </c>
      <c r="M45" s="187"/>
      <c r="N45" s="187">
        <v>3</v>
      </c>
      <c r="O45" s="187">
        <v>0.8</v>
      </c>
      <c r="P45" s="187">
        <v>0.75</v>
      </c>
      <c r="Q45" s="107">
        <f t="shared" si="0"/>
        <v>0.77500000000000002</v>
      </c>
      <c r="R45" s="187">
        <v>16.8</v>
      </c>
      <c r="S45" s="187">
        <v>148</v>
      </c>
      <c r="T45" s="108">
        <f t="shared" si="1"/>
        <v>22</v>
      </c>
      <c r="U45" s="187">
        <v>398</v>
      </c>
      <c r="V45" s="109">
        <f t="shared" si="2"/>
        <v>2918.6666666666665</v>
      </c>
      <c r="W45" s="187">
        <v>6</v>
      </c>
      <c r="X45" s="187" t="s">
        <v>46</v>
      </c>
      <c r="Y45" s="187" t="s">
        <v>69</v>
      </c>
      <c r="Z45" s="187" t="s">
        <v>84</v>
      </c>
      <c r="AA45" s="187" t="s">
        <v>90</v>
      </c>
      <c r="AB45" s="187" t="s">
        <v>315</v>
      </c>
    </row>
    <row r="46" spans="1:28" s="115" customFormat="1" x14ac:dyDescent="0.15">
      <c r="A46" s="187" t="s">
        <v>51</v>
      </c>
      <c r="B46" s="187" t="s">
        <v>313</v>
      </c>
      <c r="C46" s="187">
        <v>2018</v>
      </c>
      <c r="D46" s="106" t="s">
        <v>377</v>
      </c>
      <c r="E46" s="187" t="s">
        <v>205</v>
      </c>
      <c r="F46" s="187" t="s">
        <v>193</v>
      </c>
      <c r="G46" s="187" t="s">
        <v>36</v>
      </c>
      <c r="H46" s="187" t="s">
        <v>157</v>
      </c>
      <c r="I46" s="187" t="s">
        <v>155</v>
      </c>
      <c r="J46" s="187" t="s">
        <v>38</v>
      </c>
      <c r="K46" s="187" t="s">
        <v>156</v>
      </c>
      <c r="L46" s="187">
        <v>3</v>
      </c>
      <c r="M46" s="187"/>
      <c r="N46" s="187">
        <v>3</v>
      </c>
      <c r="O46" s="187">
        <v>0.7</v>
      </c>
      <c r="P46" s="187">
        <v>0.7</v>
      </c>
      <c r="Q46" s="107">
        <f t="shared" si="0"/>
        <v>0.7</v>
      </c>
      <c r="R46" s="187">
        <v>17.600000000000001</v>
      </c>
      <c r="S46" s="187">
        <v>149</v>
      </c>
      <c r="T46" s="108">
        <f t="shared" si="1"/>
        <v>22</v>
      </c>
      <c r="U46" s="187">
        <v>398</v>
      </c>
      <c r="V46" s="109">
        <f t="shared" si="2"/>
        <v>2918.6666666666665</v>
      </c>
      <c r="W46" s="187">
        <v>6</v>
      </c>
      <c r="X46" s="187" t="s">
        <v>46</v>
      </c>
      <c r="Y46" s="187" t="s">
        <v>69</v>
      </c>
      <c r="Z46" s="187" t="s">
        <v>84</v>
      </c>
      <c r="AA46" s="187" t="s">
        <v>90</v>
      </c>
      <c r="AB46" s="187" t="s">
        <v>315</v>
      </c>
    </row>
    <row r="47" spans="1:28" s="115" customFormat="1" x14ac:dyDescent="0.15">
      <c r="A47" s="187" t="s">
        <v>51</v>
      </c>
      <c r="B47" s="187" t="s">
        <v>313</v>
      </c>
      <c r="C47" s="187">
        <v>2018</v>
      </c>
      <c r="D47" s="106" t="s">
        <v>377</v>
      </c>
      <c r="E47" s="187" t="s">
        <v>205</v>
      </c>
      <c r="F47" s="187" t="s">
        <v>193</v>
      </c>
      <c r="G47" s="187" t="s">
        <v>36</v>
      </c>
      <c r="H47" s="187" t="s">
        <v>162</v>
      </c>
      <c r="I47" s="187" t="s">
        <v>155</v>
      </c>
      <c r="J47" s="187" t="s">
        <v>38</v>
      </c>
      <c r="K47" s="187" t="s">
        <v>156</v>
      </c>
      <c r="L47" s="187">
        <v>1</v>
      </c>
      <c r="M47" s="187"/>
      <c r="N47" s="187">
        <v>3</v>
      </c>
      <c r="O47" s="187">
        <v>0.55000000000000004</v>
      </c>
      <c r="P47" s="187">
        <v>0.65</v>
      </c>
      <c r="Q47" s="107">
        <f t="shared" si="0"/>
        <v>0.60000000000000009</v>
      </c>
      <c r="R47" s="187">
        <v>17.8</v>
      </c>
      <c r="S47" s="187">
        <v>184</v>
      </c>
      <c r="T47" s="108">
        <f t="shared" si="1"/>
        <v>16</v>
      </c>
      <c r="U47" s="187">
        <v>498</v>
      </c>
      <c r="V47" s="109">
        <f t="shared" si="2"/>
        <v>2656</v>
      </c>
      <c r="W47" s="187">
        <v>6</v>
      </c>
      <c r="X47" s="187" t="s">
        <v>46</v>
      </c>
      <c r="Y47" s="187" t="s">
        <v>69</v>
      </c>
      <c r="Z47" s="187" t="s">
        <v>84</v>
      </c>
      <c r="AA47" s="187" t="s">
        <v>90</v>
      </c>
      <c r="AB47" s="187" t="s">
        <v>315</v>
      </c>
    </row>
    <row r="48" spans="1:28" s="115" customFormat="1" x14ac:dyDescent="0.15">
      <c r="A48" s="187" t="s">
        <v>51</v>
      </c>
      <c r="B48" s="187" t="s">
        <v>313</v>
      </c>
      <c r="C48" s="187">
        <v>2018</v>
      </c>
      <c r="D48" s="106" t="s">
        <v>377</v>
      </c>
      <c r="E48" s="187" t="s">
        <v>205</v>
      </c>
      <c r="F48" s="187" t="s">
        <v>193</v>
      </c>
      <c r="G48" s="187" t="s">
        <v>36</v>
      </c>
      <c r="H48" s="187" t="s">
        <v>162</v>
      </c>
      <c r="I48" s="187" t="s">
        <v>155</v>
      </c>
      <c r="J48" s="187" t="s">
        <v>38</v>
      </c>
      <c r="K48" s="187" t="s">
        <v>156</v>
      </c>
      <c r="L48" s="187">
        <v>2</v>
      </c>
      <c r="M48" s="187"/>
      <c r="N48" s="187">
        <v>3</v>
      </c>
      <c r="O48" s="187">
        <v>0.75</v>
      </c>
      <c r="P48" s="187">
        <v>0.7</v>
      </c>
      <c r="Q48" s="107">
        <f t="shared" si="0"/>
        <v>0.72499999999999998</v>
      </c>
      <c r="R48" s="187">
        <v>16.5</v>
      </c>
      <c r="S48" s="187">
        <v>182</v>
      </c>
      <c r="T48" s="108">
        <f t="shared" si="1"/>
        <v>16</v>
      </c>
      <c r="U48" s="187">
        <v>498</v>
      </c>
      <c r="V48" s="109">
        <f t="shared" si="2"/>
        <v>2656</v>
      </c>
      <c r="W48" s="187">
        <v>6</v>
      </c>
      <c r="X48" s="187" t="s">
        <v>46</v>
      </c>
      <c r="Y48" s="187" t="s">
        <v>69</v>
      </c>
      <c r="Z48" s="187" t="s">
        <v>84</v>
      </c>
      <c r="AA48" s="187" t="s">
        <v>90</v>
      </c>
      <c r="AB48" s="187" t="s">
        <v>315</v>
      </c>
    </row>
    <row r="49" spans="1:28" s="115" customFormat="1" x14ac:dyDescent="0.15">
      <c r="A49" s="187" t="s">
        <v>51</v>
      </c>
      <c r="B49" s="187" t="s">
        <v>313</v>
      </c>
      <c r="C49" s="187">
        <v>2018</v>
      </c>
      <c r="D49" s="106" t="s">
        <v>377</v>
      </c>
      <c r="E49" s="187" t="s">
        <v>205</v>
      </c>
      <c r="F49" s="187" t="s">
        <v>193</v>
      </c>
      <c r="G49" s="187" t="s">
        <v>36</v>
      </c>
      <c r="H49" s="187" t="s">
        <v>162</v>
      </c>
      <c r="I49" s="187" t="s">
        <v>155</v>
      </c>
      <c r="J49" s="187" t="s">
        <v>38</v>
      </c>
      <c r="K49" s="187" t="s">
        <v>156</v>
      </c>
      <c r="L49" s="187">
        <v>3</v>
      </c>
      <c r="M49" s="187"/>
      <c r="N49" s="187">
        <v>3</v>
      </c>
      <c r="O49" s="187">
        <v>0.7</v>
      </c>
      <c r="P49" s="187">
        <v>0.75</v>
      </c>
      <c r="Q49" s="107">
        <f t="shared" si="0"/>
        <v>0.72499999999999998</v>
      </c>
      <c r="R49" s="187">
        <v>17.2</v>
      </c>
      <c r="S49" s="187">
        <v>200</v>
      </c>
      <c r="T49" s="108">
        <f t="shared" si="1"/>
        <v>16</v>
      </c>
      <c r="U49" s="187">
        <v>498</v>
      </c>
      <c r="V49" s="109">
        <f t="shared" si="2"/>
        <v>2656</v>
      </c>
      <c r="W49" s="187">
        <v>6</v>
      </c>
      <c r="X49" s="187" t="s">
        <v>46</v>
      </c>
      <c r="Y49" s="187" t="s">
        <v>69</v>
      </c>
      <c r="Z49" s="187" t="s">
        <v>84</v>
      </c>
      <c r="AA49" s="187" t="s">
        <v>90</v>
      </c>
      <c r="AB49" s="187" t="s">
        <v>315</v>
      </c>
    </row>
    <row r="50" spans="1:28" s="115" customFormat="1" x14ac:dyDescent="0.15">
      <c r="A50" s="187" t="s">
        <v>51</v>
      </c>
      <c r="B50" s="187" t="s">
        <v>313</v>
      </c>
      <c r="C50" s="187">
        <v>2018</v>
      </c>
      <c r="D50" s="106" t="s">
        <v>377</v>
      </c>
      <c r="E50" s="187" t="s">
        <v>213</v>
      </c>
      <c r="F50" s="187" t="s">
        <v>214</v>
      </c>
      <c r="G50" s="187" t="s">
        <v>36</v>
      </c>
      <c r="H50" s="187" t="s">
        <v>157</v>
      </c>
      <c r="I50" s="187" t="s">
        <v>155</v>
      </c>
      <c r="J50" s="187" t="s">
        <v>38</v>
      </c>
      <c r="K50" s="187" t="s">
        <v>156</v>
      </c>
      <c r="L50" s="187">
        <v>1</v>
      </c>
      <c r="M50" s="187"/>
      <c r="N50" s="187">
        <v>1</v>
      </c>
      <c r="O50" s="187">
        <v>0.65</v>
      </c>
      <c r="P50" s="187">
        <v>0.7</v>
      </c>
      <c r="Q50" s="107">
        <f t="shared" si="0"/>
        <v>0.67500000000000004</v>
      </c>
      <c r="R50" s="115">
        <v>16.3</v>
      </c>
      <c r="S50" s="115">
        <v>166</v>
      </c>
      <c r="T50" s="108">
        <f t="shared" si="1"/>
        <v>18</v>
      </c>
      <c r="U50" s="187">
        <v>128</v>
      </c>
      <c r="V50" s="109">
        <f t="shared" si="2"/>
        <v>2304</v>
      </c>
      <c r="W50" s="187">
        <v>12</v>
      </c>
      <c r="X50" s="187" t="s">
        <v>46</v>
      </c>
      <c r="Y50" s="187" t="s">
        <v>69</v>
      </c>
      <c r="Z50" s="187" t="s">
        <v>97</v>
      </c>
      <c r="AA50" s="187" t="s">
        <v>55</v>
      </c>
      <c r="AB50" s="187" t="s">
        <v>315</v>
      </c>
    </row>
    <row r="51" spans="1:28" s="115" customFormat="1" x14ac:dyDescent="0.15">
      <c r="A51" s="187" t="s">
        <v>51</v>
      </c>
      <c r="B51" s="187" t="s">
        <v>313</v>
      </c>
      <c r="C51" s="187">
        <v>2018</v>
      </c>
      <c r="D51" s="106" t="s">
        <v>377</v>
      </c>
      <c r="E51" s="187" t="s">
        <v>213</v>
      </c>
      <c r="F51" s="187" t="s">
        <v>214</v>
      </c>
      <c r="G51" s="187" t="s">
        <v>36</v>
      </c>
      <c r="H51" s="187" t="s">
        <v>157</v>
      </c>
      <c r="I51" s="187" t="s">
        <v>155</v>
      </c>
      <c r="J51" s="187" t="s">
        <v>38</v>
      </c>
      <c r="K51" s="187" t="s">
        <v>156</v>
      </c>
      <c r="L51" s="187">
        <v>2</v>
      </c>
      <c r="M51" s="187"/>
      <c r="N51" s="187">
        <v>1</v>
      </c>
      <c r="O51" s="187">
        <v>0.8</v>
      </c>
      <c r="P51" s="187">
        <v>0.75</v>
      </c>
      <c r="Q51" s="107">
        <f t="shared" si="0"/>
        <v>0.77500000000000002</v>
      </c>
      <c r="R51" s="115">
        <v>17.5</v>
      </c>
      <c r="S51" s="115">
        <v>157</v>
      </c>
      <c r="T51" s="108">
        <f t="shared" si="1"/>
        <v>18</v>
      </c>
      <c r="U51" s="187">
        <v>128</v>
      </c>
      <c r="V51" s="109">
        <f t="shared" si="2"/>
        <v>2304</v>
      </c>
      <c r="W51" s="187">
        <v>12</v>
      </c>
      <c r="X51" s="187" t="s">
        <v>46</v>
      </c>
      <c r="Y51" s="187" t="s">
        <v>69</v>
      </c>
      <c r="Z51" s="187" t="s">
        <v>97</v>
      </c>
      <c r="AA51" s="187" t="s">
        <v>55</v>
      </c>
      <c r="AB51" s="187" t="s">
        <v>315</v>
      </c>
    </row>
    <row r="52" spans="1:28" s="115" customFormat="1" x14ac:dyDescent="0.15">
      <c r="A52" s="187" t="s">
        <v>51</v>
      </c>
      <c r="B52" s="187" t="s">
        <v>313</v>
      </c>
      <c r="C52" s="187">
        <v>2018</v>
      </c>
      <c r="D52" s="106" t="s">
        <v>377</v>
      </c>
      <c r="E52" s="187" t="s">
        <v>213</v>
      </c>
      <c r="F52" s="187" t="s">
        <v>214</v>
      </c>
      <c r="G52" s="187" t="s">
        <v>36</v>
      </c>
      <c r="H52" s="187" t="s">
        <v>157</v>
      </c>
      <c r="I52" s="187" t="s">
        <v>155</v>
      </c>
      <c r="J52" s="187" t="s">
        <v>38</v>
      </c>
      <c r="K52" s="187" t="s">
        <v>156</v>
      </c>
      <c r="L52" s="187">
        <v>3</v>
      </c>
      <c r="M52" s="187"/>
      <c r="N52" s="187">
        <v>1</v>
      </c>
      <c r="O52" s="187">
        <v>0.7</v>
      </c>
      <c r="P52" s="187">
        <v>0.75</v>
      </c>
      <c r="Q52" s="107">
        <f t="shared" si="0"/>
        <v>0.72499999999999998</v>
      </c>
      <c r="R52" s="115">
        <v>17.399999999999999</v>
      </c>
      <c r="S52" s="115">
        <v>153</v>
      </c>
      <c r="T52" s="108">
        <f t="shared" si="1"/>
        <v>18</v>
      </c>
      <c r="U52" s="187">
        <v>128</v>
      </c>
      <c r="V52" s="109">
        <f t="shared" si="2"/>
        <v>2304</v>
      </c>
      <c r="W52" s="187">
        <v>12</v>
      </c>
      <c r="X52" s="187" t="s">
        <v>46</v>
      </c>
      <c r="Y52" s="187" t="s">
        <v>69</v>
      </c>
      <c r="Z52" s="187" t="s">
        <v>97</v>
      </c>
      <c r="AA52" s="187" t="s">
        <v>55</v>
      </c>
      <c r="AB52" s="187" t="s">
        <v>315</v>
      </c>
    </row>
    <row r="53" spans="1:28" s="115" customFormat="1" x14ac:dyDescent="0.15">
      <c r="A53" s="187" t="s">
        <v>51</v>
      </c>
      <c r="B53" s="187" t="s">
        <v>313</v>
      </c>
      <c r="C53" s="187">
        <v>2018</v>
      </c>
      <c r="D53" s="106" t="s">
        <v>377</v>
      </c>
      <c r="E53" s="187" t="s">
        <v>213</v>
      </c>
      <c r="F53" s="187" t="s">
        <v>214</v>
      </c>
      <c r="G53" s="187" t="s">
        <v>36</v>
      </c>
      <c r="H53" s="187" t="s">
        <v>162</v>
      </c>
      <c r="I53" s="187" t="s">
        <v>155</v>
      </c>
      <c r="J53" s="187" t="s">
        <v>38</v>
      </c>
      <c r="K53" s="187" t="s">
        <v>156</v>
      </c>
      <c r="L53" s="187">
        <v>1</v>
      </c>
      <c r="M53" s="187"/>
      <c r="N53" s="187">
        <v>1</v>
      </c>
      <c r="O53" s="187">
        <v>0.75</v>
      </c>
      <c r="P53" s="187">
        <v>0.7</v>
      </c>
      <c r="Q53" s="108">
        <f t="shared" si="0"/>
        <v>0.72499999999999998</v>
      </c>
      <c r="R53" s="115">
        <v>17.399999999999999</v>
      </c>
      <c r="S53" s="115">
        <v>173</v>
      </c>
      <c r="T53" s="108">
        <f t="shared" si="1"/>
        <v>18</v>
      </c>
      <c r="U53" s="187">
        <v>128</v>
      </c>
      <c r="V53" s="108">
        <f t="shared" si="2"/>
        <v>2304</v>
      </c>
      <c r="W53" s="187">
        <v>12</v>
      </c>
      <c r="X53" s="187" t="s">
        <v>46</v>
      </c>
      <c r="Y53" s="187" t="s">
        <v>69</v>
      </c>
      <c r="Z53" s="187" t="s">
        <v>97</v>
      </c>
      <c r="AA53" s="187" t="s">
        <v>55</v>
      </c>
      <c r="AB53" s="187" t="s">
        <v>315</v>
      </c>
    </row>
    <row r="54" spans="1:28" x14ac:dyDescent="0.15">
      <c r="A54" s="187" t="s">
        <v>51</v>
      </c>
      <c r="B54" s="187" t="s">
        <v>313</v>
      </c>
      <c r="C54" s="187">
        <v>2018</v>
      </c>
      <c r="D54" s="106" t="s">
        <v>377</v>
      </c>
      <c r="E54" s="187" t="s">
        <v>213</v>
      </c>
      <c r="F54" s="187" t="s">
        <v>214</v>
      </c>
      <c r="G54" s="187" t="s">
        <v>36</v>
      </c>
      <c r="H54" s="187" t="s">
        <v>162</v>
      </c>
      <c r="I54" s="187" t="s">
        <v>155</v>
      </c>
      <c r="J54" s="187" t="s">
        <v>38</v>
      </c>
      <c r="K54" s="187" t="s">
        <v>156</v>
      </c>
      <c r="L54" s="187">
        <v>2</v>
      </c>
      <c r="M54" s="187"/>
      <c r="N54" s="187">
        <v>1</v>
      </c>
      <c r="O54" s="187">
        <v>0.8</v>
      </c>
      <c r="P54" s="187">
        <v>0.75</v>
      </c>
      <c r="Q54" s="108">
        <f t="shared" si="0"/>
        <v>0.77500000000000002</v>
      </c>
      <c r="R54" s="115">
        <v>17.100000000000001</v>
      </c>
      <c r="S54" s="115">
        <v>150</v>
      </c>
      <c r="T54" s="108">
        <f t="shared" si="1"/>
        <v>22</v>
      </c>
      <c r="U54" s="187">
        <v>128</v>
      </c>
      <c r="V54" s="108">
        <f t="shared" si="2"/>
        <v>2816</v>
      </c>
      <c r="W54" s="187">
        <v>12</v>
      </c>
      <c r="X54" s="187" t="s">
        <v>46</v>
      </c>
      <c r="Y54" s="187" t="s">
        <v>69</v>
      </c>
      <c r="Z54" s="187" t="s">
        <v>97</v>
      </c>
      <c r="AA54" s="187" t="s">
        <v>55</v>
      </c>
      <c r="AB54" s="187" t="s">
        <v>315</v>
      </c>
    </row>
    <row r="55" spans="1:28" x14ac:dyDescent="0.15">
      <c r="A55" s="187" t="s">
        <v>51</v>
      </c>
      <c r="B55" s="187" t="s">
        <v>313</v>
      </c>
      <c r="C55" s="187">
        <v>2018</v>
      </c>
      <c r="D55" s="106" t="s">
        <v>377</v>
      </c>
      <c r="E55" s="187" t="s">
        <v>213</v>
      </c>
      <c r="F55" s="187" t="s">
        <v>214</v>
      </c>
      <c r="G55" s="187" t="s">
        <v>36</v>
      </c>
      <c r="H55" s="187" t="s">
        <v>162</v>
      </c>
      <c r="I55" s="187" t="s">
        <v>155</v>
      </c>
      <c r="J55" s="187" t="s">
        <v>38</v>
      </c>
      <c r="K55" s="187" t="s">
        <v>156</v>
      </c>
      <c r="L55" s="187">
        <v>3</v>
      </c>
      <c r="M55" s="187"/>
      <c r="N55" s="187">
        <v>1</v>
      </c>
      <c r="O55" s="187">
        <v>0.65</v>
      </c>
      <c r="P55" s="187">
        <v>0.6</v>
      </c>
      <c r="Q55" s="108">
        <f t="shared" si="0"/>
        <v>0.625</v>
      </c>
      <c r="R55" s="115">
        <v>18.3</v>
      </c>
      <c r="S55" s="115">
        <v>151</v>
      </c>
      <c r="T55" s="108">
        <f t="shared" si="1"/>
        <v>22</v>
      </c>
      <c r="U55" s="187">
        <v>128</v>
      </c>
      <c r="V55" s="108">
        <f t="shared" si="2"/>
        <v>2816</v>
      </c>
      <c r="W55" s="187">
        <v>12</v>
      </c>
      <c r="X55" s="187" t="s">
        <v>46</v>
      </c>
      <c r="Y55" s="187" t="s">
        <v>69</v>
      </c>
      <c r="Z55" s="187" t="s">
        <v>97</v>
      </c>
      <c r="AA55" s="187" t="s">
        <v>55</v>
      </c>
      <c r="AB55" s="187" t="s">
        <v>315</v>
      </c>
    </row>
    <row r="56" spans="1:28" x14ac:dyDescent="0.15">
      <c r="A56" s="187" t="s">
        <v>51</v>
      </c>
      <c r="B56" s="187" t="s">
        <v>313</v>
      </c>
      <c r="C56" s="187">
        <v>2018</v>
      </c>
      <c r="D56" s="106" t="s">
        <v>377</v>
      </c>
      <c r="E56" s="187" t="s">
        <v>216</v>
      </c>
      <c r="F56" s="187" t="s">
        <v>193</v>
      </c>
      <c r="G56" s="187" t="s">
        <v>42</v>
      </c>
      <c r="H56" s="187" t="s">
        <v>157</v>
      </c>
      <c r="I56" s="187" t="s">
        <v>155</v>
      </c>
      <c r="J56" s="187" t="s">
        <v>38</v>
      </c>
      <c r="K56" s="187" t="s">
        <v>156</v>
      </c>
      <c r="L56" s="187">
        <v>1</v>
      </c>
      <c r="M56" s="187"/>
      <c r="N56" s="187">
        <v>1</v>
      </c>
      <c r="O56" s="187">
        <v>0.8</v>
      </c>
      <c r="P56" s="187">
        <v>0.9</v>
      </c>
      <c r="Q56" s="108">
        <f t="shared" si="0"/>
        <v>0.85000000000000009</v>
      </c>
      <c r="R56" s="115">
        <v>14.4</v>
      </c>
      <c r="S56" s="115">
        <v>127</v>
      </c>
      <c r="T56" s="108">
        <f t="shared" si="1"/>
        <v>27</v>
      </c>
      <c r="U56" s="187">
        <v>98</v>
      </c>
      <c r="V56" s="108">
        <f t="shared" si="2"/>
        <v>2646</v>
      </c>
      <c r="W56" s="187">
        <v>8</v>
      </c>
      <c r="X56" s="187" t="s">
        <v>46</v>
      </c>
      <c r="Y56" s="187" t="s">
        <v>84</v>
      </c>
      <c r="Z56" s="187" t="s">
        <v>69</v>
      </c>
      <c r="AA56" s="187" t="s">
        <v>55</v>
      </c>
      <c r="AB56" s="187" t="s">
        <v>315</v>
      </c>
    </row>
    <row r="57" spans="1:28" x14ac:dyDescent="0.15">
      <c r="A57" s="187" t="s">
        <v>51</v>
      </c>
      <c r="B57" s="187" t="s">
        <v>313</v>
      </c>
      <c r="C57" s="187">
        <v>2018</v>
      </c>
      <c r="D57" s="106" t="s">
        <v>377</v>
      </c>
      <c r="E57" s="187" t="s">
        <v>216</v>
      </c>
      <c r="F57" s="187" t="s">
        <v>193</v>
      </c>
      <c r="G57" s="187" t="s">
        <v>42</v>
      </c>
      <c r="H57" s="187" t="s">
        <v>157</v>
      </c>
      <c r="I57" s="187" t="s">
        <v>155</v>
      </c>
      <c r="J57" s="187" t="s">
        <v>38</v>
      </c>
      <c r="K57" s="187" t="s">
        <v>156</v>
      </c>
      <c r="L57" s="187">
        <v>2</v>
      </c>
      <c r="M57" s="187"/>
      <c r="N57" s="187">
        <v>1</v>
      </c>
      <c r="O57" s="187">
        <v>0.75</v>
      </c>
      <c r="P57" s="187">
        <v>0.7</v>
      </c>
      <c r="Q57" s="108">
        <f t="shared" si="0"/>
        <v>0.72499999999999998</v>
      </c>
      <c r="R57" s="115">
        <v>14.6</v>
      </c>
      <c r="S57" s="115">
        <v>130</v>
      </c>
      <c r="T57" s="108">
        <f t="shared" si="1"/>
        <v>25</v>
      </c>
      <c r="U57" s="187">
        <v>98</v>
      </c>
      <c r="V57" s="108">
        <f t="shared" si="2"/>
        <v>2450</v>
      </c>
      <c r="W57" s="187">
        <v>8</v>
      </c>
      <c r="X57" s="187" t="s">
        <v>46</v>
      </c>
      <c r="Y57" s="187" t="s">
        <v>84</v>
      </c>
      <c r="Z57" s="187" t="s">
        <v>69</v>
      </c>
      <c r="AA57" s="187" t="s">
        <v>55</v>
      </c>
      <c r="AB57" s="187" t="s">
        <v>315</v>
      </c>
    </row>
    <row r="58" spans="1:28" x14ac:dyDescent="0.15">
      <c r="A58" s="187" t="s">
        <v>51</v>
      </c>
      <c r="B58" s="187" t="s">
        <v>313</v>
      </c>
      <c r="C58" s="187">
        <v>2018</v>
      </c>
      <c r="D58" s="106" t="s">
        <v>377</v>
      </c>
      <c r="E58" s="187" t="s">
        <v>216</v>
      </c>
      <c r="F58" s="187" t="s">
        <v>193</v>
      </c>
      <c r="G58" s="187" t="s">
        <v>42</v>
      </c>
      <c r="H58" s="187" t="s">
        <v>157</v>
      </c>
      <c r="I58" s="187" t="s">
        <v>155</v>
      </c>
      <c r="J58" s="187" t="s">
        <v>38</v>
      </c>
      <c r="K58" s="187" t="s">
        <v>156</v>
      </c>
      <c r="L58" s="187">
        <v>3</v>
      </c>
      <c r="M58" s="187"/>
      <c r="N58" s="187">
        <v>1</v>
      </c>
      <c r="O58" s="187">
        <v>0.9</v>
      </c>
      <c r="P58" s="187">
        <v>0.85</v>
      </c>
      <c r="Q58" s="108">
        <f t="shared" si="0"/>
        <v>0.875</v>
      </c>
      <c r="R58" s="115">
        <v>13.9</v>
      </c>
      <c r="S58" s="115">
        <v>129</v>
      </c>
      <c r="T58" s="108">
        <f t="shared" si="1"/>
        <v>25</v>
      </c>
      <c r="U58" s="187">
        <v>98</v>
      </c>
      <c r="V58" s="108">
        <f t="shared" si="2"/>
        <v>2450</v>
      </c>
      <c r="W58" s="187">
        <v>8</v>
      </c>
      <c r="X58" s="187" t="s">
        <v>46</v>
      </c>
      <c r="Y58" s="187" t="s">
        <v>84</v>
      </c>
      <c r="Z58" s="187" t="s">
        <v>69</v>
      </c>
      <c r="AA58" s="187" t="s">
        <v>55</v>
      </c>
      <c r="AB58" s="187" t="s">
        <v>315</v>
      </c>
    </row>
    <row r="59" spans="1:28" x14ac:dyDescent="0.15">
      <c r="A59" s="187" t="s">
        <v>51</v>
      </c>
      <c r="B59" s="187" t="s">
        <v>313</v>
      </c>
      <c r="C59" s="187">
        <v>2018</v>
      </c>
      <c r="D59" s="106" t="s">
        <v>377</v>
      </c>
      <c r="E59" s="187" t="s">
        <v>216</v>
      </c>
      <c r="F59" s="187" t="s">
        <v>193</v>
      </c>
      <c r="G59" s="187" t="s">
        <v>42</v>
      </c>
      <c r="H59" s="187" t="s">
        <v>211</v>
      </c>
      <c r="I59" s="187" t="s">
        <v>155</v>
      </c>
      <c r="J59" s="187" t="s">
        <v>38</v>
      </c>
      <c r="K59" s="187" t="s">
        <v>156</v>
      </c>
      <c r="L59" s="187">
        <v>1</v>
      </c>
      <c r="M59" s="187"/>
      <c r="N59" s="187">
        <v>5</v>
      </c>
      <c r="O59" s="187">
        <v>0.65</v>
      </c>
      <c r="P59" s="187">
        <v>0.7</v>
      </c>
      <c r="Q59" s="108">
        <f t="shared" si="0"/>
        <v>0.67500000000000004</v>
      </c>
      <c r="R59" s="115">
        <v>17.8</v>
      </c>
      <c r="S59" s="115">
        <v>101</v>
      </c>
      <c r="T59" s="108">
        <f t="shared" si="1"/>
        <v>33</v>
      </c>
      <c r="U59" s="187">
        <v>398</v>
      </c>
      <c r="V59" s="108">
        <f t="shared" si="2"/>
        <v>2626.7999999999997</v>
      </c>
      <c r="W59" s="187">
        <v>8</v>
      </c>
      <c r="X59" s="187" t="s">
        <v>46</v>
      </c>
      <c r="Y59" s="187" t="s">
        <v>84</v>
      </c>
      <c r="Z59" s="187" t="s">
        <v>69</v>
      </c>
      <c r="AA59" s="187" t="s">
        <v>55</v>
      </c>
      <c r="AB59" s="187" t="s">
        <v>315</v>
      </c>
    </row>
    <row r="60" spans="1:28" x14ac:dyDescent="0.15">
      <c r="A60" s="187" t="s">
        <v>51</v>
      </c>
      <c r="B60" s="187" t="s">
        <v>313</v>
      </c>
      <c r="C60" s="187">
        <v>2018</v>
      </c>
      <c r="D60" s="106" t="s">
        <v>377</v>
      </c>
      <c r="E60" s="187" t="s">
        <v>216</v>
      </c>
      <c r="F60" s="187" t="s">
        <v>193</v>
      </c>
      <c r="G60" s="187" t="s">
        <v>42</v>
      </c>
      <c r="H60" s="187" t="s">
        <v>211</v>
      </c>
      <c r="I60" s="187" t="s">
        <v>155</v>
      </c>
      <c r="J60" s="187" t="s">
        <v>38</v>
      </c>
      <c r="K60" s="187" t="s">
        <v>156</v>
      </c>
      <c r="L60" s="187">
        <v>2</v>
      </c>
      <c r="M60" s="187"/>
      <c r="N60" s="187">
        <v>5</v>
      </c>
      <c r="O60" s="187">
        <v>0.8</v>
      </c>
      <c r="P60" s="187">
        <v>0.7</v>
      </c>
      <c r="Q60" s="108">
        <f t="shared" si="0"/>
        <v>0.75</v>
      </c>
      <c r="R60" s="115">
        <v>16.600000000000001</v>
      </c>
      <c r="S60" s="115">
        <v>103</v>
      </c>
      <c r="T60" s="108">
        <f t="shared" si="1"/>
        <v>33</v>
      </c>
      <c r="U60" s="187">
        <v>398</v>
      </c>
      <c r="V60" s="108">
        <f t="shared" si="2"/>
        <v>2626.7999999999997</v>
      </c>
      <c r="W60" s="187">
        <v>8</v>
      </c>
      <c r="X60" s="187" t="s">
        <v>46</v>
      </c>
      <c r="Y60" s="187" t="s">
        <v>84</v>
      </c>
      <c r="Z60" s="187" t="s">
        <v>69</v>
      </c>
      <c r="AA60" s="187" t="s">
        <v>55</v>
      </c>
      <c r="AB60" s="187" t="s">
        <v>315</v>
      </c>
    </row>
    <row r="61" spans="1:28" x14ac:dyDescent="0.15">
      <c r="A61" s="187" t="s">
        <v>51</v>
      </c>
      <c r="B61" s="187" t="s">
        <v>313</v>
      </c>
      <c r="C61" s="187">
        <v>2018</v>
      </c>
      <c r="D61" s="106" t="s">
        <v>377</v>
      </c>
      <c r="E61" s="187" t="s">
        <v>216</v>
      </c>
      <c r="F61" s="187" t="s">
        <v>193</v>
      </c>
      <c r="G61" s="187" t="s">
        <v>42</v>
      </c>
      <c r="H61" s="187" t="s">
        <v>211</v>
      </c>
      <c r="I61" s="187" t="s">
        <v>155</v>
      </c>
      <c r="J61" s="187" t="s">
        <v>38</v>
      </c>
      <c r="K61" s="187" t="s">
        <v>156</v>
      </c>
      <c r="L61" s="187">
        <v>3</v>
      </c>
      <c r="M61" s="187"/>
      <c r="N61" s="187">
        <v>5</v>
      </c>
      <c r="O61" s="187">
        <v>0.75</v>
      </c>
      <c r="P61" s="187">
        <v>0.75</v>
      </c>
      <c r="Q61" s="108">
        <f t="shared" si="0"/>
        <v>0.75</v>
      </c>
      <c r="R61" s="115">
        <v>17.100000000000001</v>
      </c>
      <c r="S61" s="115">
        <v>104</v>
      </c>
      <c r="T61" s="108">
        <f t="shared" si="1"/>
        <v>33</v>
      </c>
      <c r="U61" s="187">
        <v>398</v>
      </c>
      <c r="V61" s="108">
        <f t="shared" si="2"/>
        <v>2626.7999999999997</v>
      </c>
      <c r="W61" s="187">
        <v>8</v>
      </c>
      <c r="X61" s="187" t="s">
        <v>46</v>
      </c>
      <c r="Y61" s="187" t="s">
        <v>84</v>
      </c>
      <c r="Z61" s="187" t="s">
        <v>69</v>
      </c>
      <c r="AA61" s="187" t="s">
        <v>55</v>
      </c>
      <c r="AB61" s="187" t="s">
        <v>315</v>
      </c>
    </row>
    <row r="62" spans="1:28" x14ac:dyDescent="0.15">
      <c r="A62" s="187" t="s">
        <v>51</v>
      </c>
      <c r="B62" s="187" t="s">
        <v>313</v>
      </c>
      <c r="C62" s="187">
        <v>2018</v>
      </c>
      <c r="D62" s="106" t="s">
        <v>377</v>
      </c>
      <c r="E62" s="187" t="s">
        <v>216</v>
      </c>
      <c r="F62" s="187" t="s">
        <v>193</v>
      </c>
      <c r="G62" s="187" t="s">
        <v>42</v>
      </c>
      <c r="H62" s="187" t="s">
        <v>195</v>
      </c>
      <c r="I62" s="187" t="s">
        <v>155</v>
      </c>
      <c r="J62" s="187" t="s">
        <v>58</v>
      </c>
      <c r="K62" s="187" t="s">
        <v>59</v>
      </c>
      <c r="L62" s="187">
        <v>1</v>
      </c>
      <c r="M62" s="187"/>
      <c r="N62" s="187">
        <v>3</v>
      </c>
      <c r="O62" s="187">
        <v>0.9</v>
      </c>
      <c r="P62" s="187">
        <v>0.8</v>
      </c>
      <c r="Q62" s="108">
        <f t="shared" si="0"/>
        <v>0.85000000000000009</v>
      </c>
      <c r="R62" s="115">
        <v>13.4</v>
      </c>
      <c r="S62" s="115">
        <v>103</v>
      </c>
      <c r="T62" s="108">
        <f t="shared" si="1"/>
        <v>33</v>
      </c>
      <c r="U62" s="187">
        <v>230</v>
      </c>
      <c r="V62" s="108">
        <f t="shared" si="2"/>
        <v>2530</v>
      </c>
      <c r="W62" s="187">
        <v>8</v>
      </c>
      <c r="X62" s="187" t="s">
        <v>46</v>
      </c>
      <c r="Y62" s="187" t="s">
        <v>84</v>
      </c>
      <c r="Z62" s="187" t="s">
        <v>69</v>
      </c>
      <c r="AA62" s="187" t="s">
        <v>55</v>
      </c>
      <c r="AB62" s="187" t="s">
        <v>315</v>
      </c>
    </row>
    <row r="63" spans="1:28" x14ac:dyDescent="0.15">
      <c r="A63" s="187" t="s">
        <v>51</v>
      </c>
      <c r="B63" s="187" t="s">
        <v>313</v>
      </c>
      <c r="C63" s="187">
        <v>2018</v>
      </c>
      <c r="D63" s="106" t="s">
        <v>377</v>
      </c>
      <c r="E63" s="187" t="s">
        <v>216</v>
      </c>
      <c r="F63" s="187" t="s">
        <v>193</v>
      </c>
      <c r="G63" s="187" t="s">
        <v>42</v>
      </c>
      <c r="H63" s="187" t="s">
        <v>195</v>
      </c>
      <c r="I63" s="187" t="s">
        <v>155</v>
      </c>
      <c r="J63" s="187" t="s">
        <v>58</v>
      </c>
      <c r="K63" s="187" t="s">
        <v>59</v>
      </c>
      <c r="L63" s="187">
        <v>2</v>
      </c>
      <c r="M63" s="187"/>
      <c r="N63" s="187">
        <v>3</v>
      </c>
      <c r="O63" s="187">
        <v>0.75</v>
      </c>
      <c r="P63" s="187">
        <v>0.85</v>
      </c>
      <c r="Q63" s="108">
        <f t="shared" si="0"/>
        <v>0.8</v>
      </c>
      <c r="R63" s="115">
        <v>13.1</v>
      </c>
      <c r="S63" s="115">
        <v>105</v>
      </c>
      <c r="T63" s="108">
        <f t="shared" si="1"/>
        <v>33</v>
      </c>
      <c r="U63" s="187">
        <v>230</v>
      </c>
      <c r="V63" s="108">
        <f t="shared" si="2"/>
        <v>2530</v>
      </c>
      <c r="W63" s="187">
        <v>8</v>
      </c>
      <c r="X63" s="187" t="s">
        <v>46</v>
      </c>
      <c r="Y63" s="187" t="s">
        <v>84</v>
      </c>
      <c r="Z63" s="187" t="s">
        <v>69</v>
      </c>
      <c r="AA63" s="187" t="s">
        <v>55</v>
      </c>
      <c r="AB63" s="187" t="s">
        <v>315</v>
      </c>
    </row>
    <row r="64" spans="1:28" x14ac:dyDescent="0.15">
      <c r="A64" s="187" t="s">
        <v>51</v>
      </c>
      <c r="B64" s="187" t="s">
        <v>313</v>
      </c>
      <c r="C64" s="187">
        <v>2018</v>
      </c>
      <c r="D64" s="106" t="s">
        <v>377</v>
      </c>
      <c r="E64" s="187" t="s">
        <v>216</v>
      </c>
      <c r="F64" s="187" t="s">
        <v>193</v>
      </c>
      <c r="G64" s="187" t="s">
        <v>42</v>
      </c>
      <c r="H64" s="187" t="s">
        <v>195</v>
      </c>
      <c r="I64" s="187" t="s">
        <v>155</v>
      </c>
      <c r="J64" s="187" t="s">
        <v>58</v>
      </c>
      <c r="K64" s="187" t="s">
        <v>59</v>
      </c>
      <c r="L64" s="187">
        <v>3</v>
      </c>
      <c r="M64" s="187"/>
      <c r="N64" s="187">
        <v>3</v>
      </c>
      <c r="O64" s="187">
        <v>0.8</v>
      </c>
      <c r="P64" s="187">
        <v>0.7</v>
      </c>
      <c r="Q64" s="108">
        <f t="shared" si="0"/>
        <v>0.75</v>
      </c>
      <c r="R64" s="115">
        <v>14.6</v>
      </c>
      <c r="S64" s="115">
        <v>107</v>
      </c>
      <c r="T64" s="108">
        <f t="shared" si="1"/>
        <v>33</v>
      </c>
      <c r="U64" s="187">
        <v>230</v>
      </c>
      <c r="V64" s="108">
        <f t="shared" si="2"/>
        <v>2530</v>
      </c>
      <c r="W64" s="187">
        <v>8</v>
      </c>
      <c r="X64" s="187" t="s">
        <v>46</v>
      </c>
      <c r="Y64" s="187" t="s">
        <v>84</v>
      </c>
      <c r="Z64" s="187" t="s">
        <v>69</v>
      </c>
      <c r="AA64" s="187" t="s">
        <v>55</v>
      </c>
      <c r="AB64" s="187" t="s">
        <v>315</v>
      </c>
    </row>
    <row r="65" spans="1:28" x14ac:dyDescent="0.15">
      <c r="A65" s="187" t="s">
        <v>51</v>
      </c>
      <c r="B65" s="187" t="s">
        <v>313</v>
      </c>
      <c r="C65" s="187">
        <v>2018</v>
      </c>
      <c r="D65" s="106" t="s">
        <v>377</v>
      </c>
      <c r="E65" s="187" t="s">
        <v>216</v>
      </c>
      <c r="F65" s="187" t="s">
        <v>193</v>
      </c>
      <c r="G65" s="187" t="s">
        <v>42</v>
      </c>
      <c r="H65" s="187" t="s">
        <v>162</v>
      </c>
      <c r="I65" s="187" t="s">
        <v>155</v>
      </c>
      <c r="J65" s="187" t="s">
        <v>38</v>
      </c>
      <c r="K65" s="187" t="s">
        <v>156</v>
      </c>
      <c r="L65" s="187">
        <v>1</v>
      </c>
      <c r="M65" s="187"/>
      <c r="N65" s="187">
        <v>1</v>
      </c>
      <c r="O65" s="187">
        <v>0.85</v>
      </c>
      <c r="P65" s="187">
        <v>0.75</v>
      </c>
      <c r="Q65" s="108">
        <f t="shared" si="0"/>
        <v>0.8</v>
      </c>
      <c r="R65" s="115">
        <v>15.6</v>
      </c>
      <c r="S65" s="115">
        <v>128</v>
      </c>
      <c r="T65" s="108">
        <f t="shared" si="1"/>
        <v>27</v>
      </c>
      <c r="U65" s="187">
        <v>98</v>
      </c>
      <c r="V65" s="108">
        <f t="shared" si="2"/>
        <v>2646</v>
      </c>
      <c r="W65" s="187">
        <v>8</v>
      </c>
      <c r="X65" s="187" t="s">
        <v>46</v>
      </c>
      <c r="Y65" s="187" t="s">
        <v>84</v>
      </c>
      <c r="Z65" s="187" t="s">
        <v>69</v>
      </c>
      <c r="AA65" s="187" t="s">
        <v>55</v>
      </c>
      <c r="AB65" s="187" t="s">
        <v>315</v>
      </c>
    </row>
    <row r="66" spans="1:28" x14ac:dyDescent="0.15">
      <c r="A66" s="187" t="s">
        <v>51</v>
      </c>
      <c r="B66" s="187" t="s">
        <v>313</v>
      </c>
      <c r="C66" s="187">
        <v>2018</v>
      </c>
      <c r="D66" s="106" t="s">
        <v>377</v>
      </c>
      <c r="E66" s="187" t="s">
        <v>216</v>
      </c>
      <c r="F66" s="187" t="s">
        <v>193</v>
      </c>
      <c r="G66" s="187" t="s">
        <v>42</v>
      </c>
      <c r="H66" s="187" t="s">
        <v>162</v>
      </c>
      <c r="I66" s="187" t="s">
        <v>155</v>
      </c>
      <c r="J66" s="187" t="s">
        <v>38</v>
      </c>
      <c r="K66" s="187" t="s">
        <v>156</v>
      </c>
      <c r="L66" s="187">
        <v>2</v>
      </c>
      <c r="M66" s="187"/>
      <c r="N66" s="187">
        <v>1</v>
      </c>
      <c r="O66" s="187">
        <v>0.7</v>
      </c>
      <c r="P66" s="187">
        <v>0.8</v>
      </c>
      <c r="Q66" s="108">
        <f t="shared" ref="Q66:Q73" si="3">IF(OR(O66="",P66=""),"",AVERAGE(O66,P66))</f>
        <v>0.75</v>
      </c>
      <c r="R66" s="115">
        <v>15.8</v>
      </c>
      <c r="S66" s="115">
        <v>130</v>
      </c>
      <c r="T66" s="108">
        <f t="shared" ref="T66:T73" si="4">IF(H66="","",IF(OR(H66="GREEN",H66="GK"),IF(S66&gt;=$AX$2,VLOOKUP(S66,$AX$2:$AY$12,2,1),""),IF(S66&gt;=$AZ$2,VLOOKUP(S66,$AZ$2:$BA$12,2,1),"")))</f>
        <v>25</v>
      </c>
      <c r="U66" s="187">
        <v>98</v>
      </c>
      <c r="V66" s="108">
        <f t="shared" ref="V66:V73" si="5">IF(OR(N66="",U66="",T66=""),"",U66/N66*T66)</f>
        <v>2450</v>
      </c>
      <c r="W66" s="187">
        <v>8</v>
      </c>
      <c r="X66" s="187" t="s">
        <v>46</v>
      </c>
      <c r="Y66" s="187" t="s">
        <v>84</v>
      </c>
      <c r="Z66" s="187" t="s">
        <v>69</v>
      </c>
      <c r="AA66" s="187" t="s">
        <v>55</v>
      </c>
      <c r="AB66" s="187" t="s">
        <v>315</v>
      </c>
    </row>
    <row r="67" spans="1:28" x14ac:dyDescent="0.15">
      <c r="A67" s="187" t="s">
        <v>51</v>
      </c>
      <c r="B67" s="187" t="s">
        <v>313</v>
      </c>
      <c r="C67" s="187">
        <v>2018</v>
      </c>
      <c r="D67" s="106" t="s">
        <v>377</v>
      </c>
      <c r="E67" s="187" t="s">
        <v>216</v>
      </c>
      <c r="F67" s="187" t="s">
        <v>193</v>
      </c>
      <c r="G67" s="187" t="s">
        <v>42</v>
      </c>
      <c r="H67" s="187" t="s">
        <v>162</v>
      </c>
      <c r="I67" s="187" t="s">
        <v>155</v>
      </c>
      <c r="J67" s="187" t="s">
        <v>38</v>
      </c>
      <c r="K67" s="187" t="s">
        <v>156</v>
      </c>
      <c r="L67" s="187">
        <v>3</v>
      </c>
      <c r="M67" s="187"/>
      <c r="N67" s="187">
        <v>1</v>
      </c>
      <c r="O67" s="187">
        <v>0.7</v>
      </c>
      <c r="P67" s="187">
        <v>0.75</v>
      </c>
      <c r="Q67" s="108">
        <f t="shared" si="3"/>
        <v>0.72499999999999998</v>
      </c>
      <c r="R67" s="115">
        <v>15.3</v>
      </c>
      <c r="S67" s="115">
        <v>126</v>
      </c>
      <c r="T67" s="108">
        <f t="shared" si="4"/>
        <v>27</v>
      </c>
      <c r="U67" s="187">
        <v>98</v>
      </c>
      <c r="V67" s="108">
        <f t="shared" si="5"/>
        <v>2646</v>
      </c>
      <c r="W67" s="187">
        <v>8</v>
      </c>
      <c r="X67" s="187" t="s">
        <v>46</v>
      </c>
      <c r="Y67" s="187" t="s">
        <v>84</v>
      </c>
      <c r="Z67" s="187" t="s">
        <v>69</v>
      </c>
      <c r="AA67" s="187" t="s">
        <v>55</v>
      </c>
      <c r="AB67" s="187" t="s">
        <v>315</v>
      </c>
    </row>
    <row r="68" spans="1:28" x14ac:dyDescent="0.15">
      <c r="A68" s="187"/>
      <c r="B68" s="187"/>
      <c r="C68" s="130"/>
      <c r="D68" s="131"/>
      <c r="E68" s="187"/>
      <c r="F68" s="187"/>
      <c r="G68" s="130"/>
      <c r="H68" s="130"/>
      <c r="I68" s="130"/>
      <c r="J68" s="130"/>
      <c r="K68" s="187"/>
      <c r="N68" s="130"/>
      <c r="Q68" s="132" t="str">
        <f t="shared" si="3"/>
        <v/>
      </c>
      <c r="T68" s="132" t="str">
        <f t="shared" si="4"/>
        <v/>
      </c>
      <c r="V68" s="132" t="str">
        <f t="shared" si="5"/>
        <v/>
      </c>
      <c r="W68" s="130"/>
      <c r="X68" s="130"/>
      <c r="Y68" s="130"/>
      <c r="Z68" s="130"/>
      <c r="AA68" s="130"/>
      <c r="AB68" s="187"/>
    </row>
    <row r="69" spans="1:28" x14ac:dyDescent="0.15">
      <c r="A69" s="187"/>
      <c r="B69" s="187"/>
      <c r="C69" s="130"/>
      <c r="D69" s="131"/>
      <c r="E69" s="187"/>
      <c r="F69" s="187"/>
      <c r="G69" s="130"/>
      <c r="H69" s="130"/>
      <c r="I69" s="130"/>
      <c r="J69" s="130"/>
      <c r="K69" s="187"/>
      <c r="N69" s="130"/>
      <c r="Q69" s="132" t="str">
        <f t="shared" si="3"/>
        <v/>
      </c>
      <c r="T69" s="132" t="str">
        <f t="shared" si="4"/>
        <v/>
      </c>
      <c r="V69" s="132" t="str">
        <f t="shared" si="5"/>
        <v/>
      </c>
      <c r="W69" s="130"/>
      <c r="X69" s="130"/>
      <c r="Y69" s="130"/>
      <c r="Z69" s="130"/>
      <c r="AA69" s="130"/>
      <c r="AB69" s="187"/>
    </row>
    <row r="70" spans="1:28" x14ac:dyDescent="0.15">
      <c r="A70" s="187"/>
      <c r="B70" s="187"/>
      <c r="C70" s="130"/>
      <c r="D70" s="131"/>
      <c r="E70" s="187"/>
      <c r="F70" s="187"/>
      <c r="G70" s="130"/>
      <c r="H70" s="130"/>
      <c r="I70" s="130"/>
      <c r="J70" s="130"/>
      <c r="K70" s="187"/>
      <c r="N70" s="130"/>
      <c r="Q70" s="132" t="str">
        <f t="shared" si="3"/>
        <v/>
      </c>
      <c r="T70" s="132" t="str">
        <f t="shared" si="4"/>
        <v/>
      </c>
      <c r="V70" s="132" t="str">
        <f t="shared" si="5"/>
        <v/>
      </c>
      <c r="W70" s="130"/>
      <c r="X70" s="130"/>
      <c r="Y70" s="130"/>
      <c r="Z70" s="130"/>
      <c r="AA70" s="130"/>
      <c r="AB70" s="187"/>
    </row>
    <row r="71" spans="1:28" x14ac:dyDescent="0.15">
      <c r="A71" s="187"/>
      <c r="B71" s="187"/>
      <c r="C71" s="130"/>
      <c r="D71" s="131"/>
      <c r="E71" s="187"/>
      <c r="F71" s="187"/>
      <c r="G71" s="130"/>
      <c r="H71" s="130"/>
      <c r="I71" s="130"/>
      <c r="J71" s="130"/>
      <c r="K71" s="187"/>
      <c r="N71" s="130"/>
      <c r="Q71" s="132" t="str">
        <f t="shared" si="3"/>
        <v/>
      </c>
      <c r="T71" s="132" t="str">
        <f t="shared" si="4"/>
        <v/>
      </c>
      <c r="V71" s="132" t="str">
        <f t="shared" si="5"/>
        <v/>
      </c>
      <c r="W71" s="130"/>
      <c r="X71" s="130"/>
      <c r="Y71" s="130"/>
      <c r="Z71" s="130"/>
      <c r="AA71" s="130"/>
      <c r="AB71" s="187"/>
    </row>
    <row r="72" spans="1:28" x14ac:dyDescent="0.15">
      <c r="A72" s="187"/>
      <c r="B72" s="187"/>
      <c r="C72" s="130"/>
      <c r="D72" s="131"/>
      <c r="E72" s="187"/>
      <c r="F72" s="187"/>
      <c r="G72" s="130"/>
      <c r="H72" s="130"/>
      <c r="I72" s="130"/>
      <c r="J72" s="130"/>
      <c r="K72" s="187"/>
      <c r="N72" s="130"/>
      <c r="Q72" s="132" t="str">
        <f t="shared" si="3"/>
        <v/>
      </c>
      <c r="T72" s="132" t="str">
        <f t="shared" si="4"/>
        <v/>
      </c>
      <c r="V72" s="132" t="str">
        <f t="shared" si="5"/>
        <v/>
      </c>
      <c r="W72" s="130"/>
      <c r="X72" s="130"/>
      <c r="Y72" s="130"/>
      <c r="Z72" s="130"/>
      <c r="AA72" s="130"/>
      <c r="AB72" s="187"/>
    </row>
    <row r="73" spans="1:28" x14ac:dyDescent="0.15">
      <c r="A73" s="187"/>
      <c r="B73" s="187"/>
      <c r="C73" s="130"/>
      <c r="D73" s="131"/>
      <c r="E73" s="187"/>
      <c r="F73" s="187"/>
      <c r="G73" s="130"/>
      <c r="H73" s="130"/>
      <c r="I73" s="130"/>
      <c r="J73" s="130"/>
      <c r="K73" s="187"/>
      <c r="N73" s="130"/>
      <c r="Q73" s="132" t="str">
        <f t="shared" si="3"/>
        <v/>
      </c>
      <c r="T73" s="132" t="str">
        <f t="shared" si="4"/>
        <v/>
      </c>
      <c r="V73" s="132" t="str">
        <f t="shared" si="5"/>
        <v/>
      </c>
      <c r="W73" s="130"/>
      <c r="X73" s="130"/>
      <c r="Y73" s="130"/>
      <c r="Z73" s="130"/>
      <c r="AA73" s="130"/>
      <c r="AB73" s="187"/>
    </row>
    <row r="74" spans="1:28" x14ac:dyDescent="0.15">
      <c r="A74" s="187"/>
      <c r="B74" s="187"/>
      <c r="C74" s="130"/>
      <c r="D74" s="131"/>
      <c r="E74" s="187"/>
      <c r="F74" s="187"/>
      <c r="G74" s="130"/>
      <c r="H74" s="130"/>
      <c r="I74" s="130"/>
      <c r="J74" s="130"/>
      <c r="K74" s="187"/>
      <c r="N74" s="130"/>
      <c r="W74" s="130"/>
      <c r="X74" s="130"/>
      <c r="Y74" s="130"/>
      <c r="Z74" s="130"/>
      <c r="AA74" s="130"/>
      <c r="AB74" s="187"/>
    </row>
    <row r="75" spans="1:28" x14ac:dyDescent="0.15">
      <c r="A75" s="187"/>
      <c r="B75" s="187"/>
      <c r="C75" s="130"/>
      <c r="D75" s="131"/>
      <c r="E75" s="187"/>
      <c r="F75" s="187"/>
      <c r="G75" s="130"/>
      <c r="H75" s="130"/>
      <c r="I75" s="130"/>
      <c r="J75" s="130"/>
      <c r="K75" s="187"/>
      <c r="N75" s="130"/>
      <c r="W75" s="130"/>
      <c r="X75" s="130"/>
      <c r="Y75" s="130"/>
      <c r="Z75" s="130"/>
      <c r="AA75" s="130"/>
      <c r="AB75" s="187"/>
    </row>
    <row r="76" spans="1:28" x14ac:dyDescent="0.15">
      <c r="A76" s="187"/>
      <c r="B76" s="187"/>
      <c r="C76" s="130"/>
      <c r="D76" s="131"/>
      <c r="E76" s="187"/>
      <c r="F76" s="187"/>
      <c r="G76" s="130"/>
      <c r="H76" s="130"/>
      <c r="I76" s="130"/>
      <c r="J76" s="130"/>
      <c r="K76" s="187"/>
      <c r="N76" s="130"/>
      <c r="W76" s="130"/>
      <c r="X76" s="130"/>
      <c r="Y76" s="130"/>
      <c r="Z76" s="130"/>
      <c r="AA76" s="130"/>
      <c r="AB76" s="187"/>
    </row>
    <row r="77" spans="1:28" x14ac:dyDescent="0.15">
      <c r="A77" s="187"/>
      <c r="B77" s="187"/>
      <c r="C77" s="130"/>
      <c r="D77" s="131"/>
      <c r="E77" s="187"/>
      <c r="F77" s="187"/>
      <c r="G77" s="130"/>
      <c r="H77" s="130"/>
      <c r="I77" s="130"/>
      <c r="J77" s="130"/>
      <c r="K77" s="187"/>
      <c r="N77" s="130"/>
      <c r="W77" s="130"/>
      <c r="X77" s="130"/>
      <c r="Y77" s="130"/>
      <c r="Z77" s="130"/>
      <c r="AA77" s="130"/>
      <c r="AB77" s="187"/>
    </row>
    <row r="78" spans="1:28" x14ac:dyDescent="0.15">
      <c r="A78" s="187"/>
      <c r="B78" s="187"/>
      <c r="C78" s="130"/>
      <c r="D78" s="131"/>
      <c r="E78" s="187"/>
      <c r="F78" s="187"/>
      <c r="G78" s="130"/>
      <c r="H78" s="130"/>
      <c r="I78" s="130"/>
      <c r="J78" s="130"/>
      <c r="K78" s="130"/>
      <c r="N78" s="130"/>
      <c r="W78" s="130"/>
      <c r="X78" s="130"/>
      <c r="Y78" s="130"/>
      <c r="Z78" s="130"/>
      <c r="AA78" s="130"/>
      <c r="AB78" s="187"/>
    </row>
    <row r="79" spans="1:28" x14ac:dyDescent="0.15">
      <c r="A79" s="187"/>
      <c r="B79" s="187"/>
      <c r="C79" s="130"/>
      <c r="D79" s="131"/>
      <c r="E79" s="187"/>
      <c r="F79" s="187"/>
      <c r="G79" s="130"/>
      <c r="H79" s="130"/>
      <c r="I79" s="130"/>
      <c r="J79" s="130"/>
      <c r="K79" s="130"/>
      <c r="N79" s="130"/>
      <c r="W79" s="130"/>
      <c r="X79" s="130"/>
      <c r="Y79" s="130"/>
      <c r="Z79" s="130"/>
      <c r="AA79" s="130"/>
      <c r="AB79" s="187"/>
    </row>
    <row r="80" spans="1:28" x14ac:dyDescent="0.15">
      <c r="E80" s="187"/>
      <c r="F80" s="187"/>
    </row>
    <row r="81" spans="5:6" x14ac:dyDescent="0.15">
      <c r="E81" s="187"/>
      <c r="F81" s="187"/>
    </row>
    <row r="82" spans="5:6" x14ac:dyDescent="0.15">
      <c r="E82" s="187"/>
      <c r="F82" s="187"/>
    </row>
    <row r="83" spans="5:6" x14ac:dyDescent="0.15">
      <c r="E83" s="187"/>
      <c r="F83" s="187"/>
    </row>
    <row r="84" spans="5:6" x14ac:dyDescent="0.15">
      <c r="E84" s="187"/>
      <c r="F84" s="187"/>
    </row>
    <row r="85" spans="5:6" x14ac:dyDescent="0.15">
      <c r="E85" s="187"/>
      <c r="F85" s="187"/>
    </row>
    <row r="86" spans="5:6" x14ac:dyDescent="0.15">
      <c r="E86" s="187"/>
      <c r="F86" s="187"/>
    </row>
    <row r="87" spans="5:6" x14ac:dyDescent="0.15">
      <c r="E87" s="187"/>
      <c r="F87" s="187"/>
    </row>
    <row r="88" spans="5:6" x14ac:dyDescent="0.15">
      <c r="E88" s="187"/>
      <c r="F88" s="187"/>
    </row>
    <row r="89" spans="5:6" x14ac:dyDescent="0.15">
      <c r="E89" s="187"/>
      <c r="F89" s="187"/>
    </row>
    <row r="90" spans="5:6" x14ac:dyDescent="0.15">
      <c r="E90" s="187"/>
      <c r="F90" s="187"/>
    </row>
    <row r="91" spans="5:6" x14ac:dyDescent="0.15">
      <c r="E91" s="187"/>
      <c r="F91" s="187"/>
    </row>
    <row r="92" spans="5:6" x14ac:dyDescent="0.15">
      <c r="E92" s="187"/>
      <c r="F92" s="187"/>
    </row>
    <row r="93" spans="5:6" x14ac:dyDescent="0.15">
      <c r="E93" s="187"/>
      <c r="F93" s="187"/>
    </row>
    <row r="94" spans="5:6" x14ac:dyDescent="0.15">
      <c r="E94" s="187"/>
      <c r="F94" s="187"/>
    </row>
    <row r="95" spans="5:6" x14ac:dyDescent="0.15">
      <c r="E95" s="187"/>
      <c r="F95" s="187"/>
    </row>
    <row r="96" spans="5:6" x14ac:dyDescent="0.15">
      <c r="E96" s="187"/>
      <c r="F96" s="187"/>
    </row>
    <row r="97" spans="5:6" x14ac:dyDescent="0.15">
      <c r="E97" s="187"/>
      <c r="F97" s="187"/>
    </row>
    <row r="98" spans="5:6" x14ac:dyDescent="0.15">
      <c r="E98" s="187"/>
      <c r="F98" s="187"/>
    </row>
    <row r="99" spans="5:6" x14ac:dyDescent="0.15">
      <c r="E99" s="187"/>
      <c r="F99" s="187"/>
    </row>
    <row r="100" spans="5:6" x14ac:dyDescent="0.15">
      <c r="E100" s="187"/>
      <c r="F100" s="187"/>
    </row>
    <row r="101" spans="5:6" x14ac:dyDescent="0.15">
      <c r="E101" s="187"/>
      <c r="F101" s="187"/>
    </row>
    <row r="102" spans="5:6" x14ac:dyDescent="0.15">
      <c r="E102" s="187"/>
      <c r="F102" s="187"/>
    </row>
    <row r="103" spans="5:6" x14ac:dyDescent="0.15">
      <c r="E103" s="187"/>
      <c r="F103" s="187"/>
    </row>
    <row r="104" spans="5:6" x14ac:dyDescent="0.15">
      <c r="E104" s="187"/>
      <c r="F104" s="187"/>
    </row>
    <row r="105" spans="5:6" x14ac:dyDescent="0.15">
      <c r="E105" s="187"/>
      <c r="F105" s="187"/>
    </row>
    <row r="106" spans="5:6" x14ac:dyDescent="0.15">
      <c r="E106" s="187"/>
      <c r="F106" s="187"/>
    </row>
    <row r="107" spans="5:6" x14ac:dyDescent="0.15">
      <c r="E107" s="187"/>
      <c r="F107" s="187"/>
    </row>
    <row r="108" spans="5:6" x14ac:dyDescent="0.15">
      <c r="E108" s="187"/>
      <c r="F108" s="187"/>
    </row>
    <row r="109" spans="5:6" x14ac:dyDescent="0.15">
      <c r="E109" s="187"/>
      <c r="F109" s="187"/>
    </row>
    <row r="110" spans="5:6" x14ac:dyDescent="0.15">
      <c r="E110" s="187"/>
      <c r="F110" s="187"/>
    </row>
    <row r="111" spans="5:6" x14ac:dyDescent="0.15">
      <c r="E111" s="187"/>
      <c r="F111" s="187"/>
    </row>
    <row r="112" spans="5:6" x14ac:dyDescent="0.15">
      <c r="E112" s="187"/>
      <c r="F112" s="187"/>
    </row>
    <row r="113" spans="5:6" x14ac:dyDescent="0.15">
      <c r="E113" s="187"/>
      <c r="F113" s="187"/>
    </row>
    <row r="114" spans="5:6" x14ac:dyDescent="0.15">
      <c r="E114" s="187"/>
      <c r="F114" s="187"/>
    </row>
    <row r="115" spans="5:6" x14ac:dyDescent="0.15">
      <c r="E115" s="187"/>
      <c r="F115" s="187"/>
    </row>
    <row r="116" spans="5:6" x14ac:dyDescent="0.15">
      <c r="E116" s="187"/>
      <c r="F116" s="187"/>
    </row>
    <row r="117" spans="5:6" x14ac:dyDescent="0.15">
      <c r="E117" s="187"/>
      <c r="F117" s="187"/>
    </row>
    <row r="118" spans="5:6" x14ac:dyDescent="0.15">
      <c r="E118" s="187"/>
      <c r="F118" s="187"/>
    </row>
    <row r="119" spans="5:6" x14ac:dyDescent="0.15">
      <c r="E119" s="187"/>
      <c r="F119" s="187"/>
    </row>
    <row r="120" spans="5:6" x14ac:dyDescent="0.15">
      <c r="E120" s="187"/>
      <c r="F120" s="187"/>
    </row>
    <row r="121" spans="5:6" x14ac:dyDescent="0.15">
      <c r="E121" s="187"/>
      <c r="F121" s="187"/>
    </row>
    <row r="122" spans="5:6" x14ac:dyDescent="0.15">
      <c r="E122" s="187"/>
      <c r="F122" s="187"/>
    </row>
    <row r="123" spans="5:6" x14ac:dyDescent="0.15">
      <c r="E123" s="187"/>
      <c r="F123" s="187"/>
    </row>
    <row r="124" spans="5:6" x14ac:dyDescent="0.15">
      <c r="E124" s="187"/>
      <c r="F124" s="187"/>
    </row>
    <row r="125" spans="5:6" x14ac:dyDescent="0.15">
      <c r="E125" s="187"/>
      <c r="F125" s="187"/>
    </row>
    <row r="126" spans="5:6" x14ac:dyDescent="0.15">
      <c r="E126" s="187"/>
      <c r="F126" s="187"/>
    </row>
    <row r="127" spans="5:6" x14ac:dyDescent="0.15">
      <c r="E127" s="187"/>
      <c r="F127" s="187"/>
    </row>
    <row r="128" spans="5:6" x14ac:dyDescent="0.15">
      <c r="E128" s="187"/>
      <c r="F128" s="187"/>
    </row>
    <row r="129" spans="5:6" x14ac:dyDescent="0.15">
      <c r="E129" s="187"/>
      <c r="F129" s="187"/>
    </row>
    <row r="130" spans="5:6" x14ac:dyDescent="0.15">
      <c r="E130" s="187"/>
      <c r="F130" s="187"/>
    </row>
    <row r="131" spans="5:6" x14ac:dyDescent="0.15">
      <c r="E131" s="187"/>
      <c r="F131" s="187"/>
    </row>
    <row r="132" spans="5:6" x14ac:dyDescent="0.15">
      <c r="E132" s="187"/>
      <c r="F132" s="187"/>
    </row>
    <row r="133" spans="5:6" x14ac:dyDescent="0.15">
      <c r="E133" s="187"/>
      <c r="F133" s="187"/>
    </row>
    <row r="134" spans="5:6" x14ac:dyDescent="0.15">
      <c r="E134" s="187"/>
      <c r="F134" s="187"/>
    </row>
    <row r="135" spans="5:6" x14ac:dyDescent="0.15">
      <c r="E135" s="187"/>
      <c r="F135" s="187"/>
    </row>
    <row r="136" spans="5:6" x14ac:dyDescent="0.15">
      <c r="E136" s="187"/>
      <c r="F136" s="187"/>
    </row>
    <row r="137" spans="5:6" x14ac:dyDescent="0.15">
      <c r="E137" s="187"/>
      <c r="F137" s="187"/>
    </row>
    <row r="138" spans="5:6" x14ac:dyDescent="0.15">
      <c r="E138" s="187"/>
      <c r="F138" s="187"/>
    </row>
    <row r="139" spans="5:6" x14ac:dyDescent="0.15">
      <c r="E139" s="187"/>
      <c r="F139" s="187"/>
    </row>
    <row r="140" spans="5:6" x14ac:dyDescent="0.15">
      <c r="E140" s="187"/>
      <c r="F140" s="187"/>
    </row>
    <row r="141" spans="5:6" x14ac:dyDescent="0.15">
      <c r="E141" s="187"/>
      <c r="F141" s="187"/>
    </row>
    <row r="142" spans="5:6" x14ac:dyDescent="0.15">
      <c r="E142" s="187"/>
      <c r="F142" s="187"/>
    </row>
    <row r="143" spans="5:6" x14ac:dyDescent="0.15">
      <c r="E143" s="187"/>
      <c r="F143" s="187"/>
    </row>
    <row r="144" spans="5:6" x14ac:dyDescent="0.15">
      <c r="E144" s="187"/>
      <c r="F144" s="187"/>
    </row>
    <row r="145" spans="5:6" x14ac:dyDescent="0.15">
      <c r="E145" s="187"/>
      <c r="F145" s="187"/>
    </row>
    <row r="146" spans="5:6" x14ac:dyDescent="0.15">
      <c r="E146" s="187"/>
      <c r="F146" s="187"/>
    </row>
    <row r="147" spans="5:6" x14ac:dyDescent="0.15">
      <c r="E147" s="187"/>
      <c r="F147" s="187"/>
    </row>
    <row r="148" spans="5:6" x14ac:dyDescent="0.15">
      <c r="E148" s="187"/>
      <c r="F148" s="187"/>
    </row>
    <row r="149" spans="5:6" x14ac:dyDescent="0.15">
      <c r="E149" s="187"/>
      <c r="F149" s="187"/>
    </row>
    <row r="150" spans="5:6" x14ac:dyDescent="0.15">
      <c r="E150" s="187"/>
      <c r="F150" s="187"/>
    </row>
    <row r="151" spans="5:6" x14ac:dyDescent="0.15">
      <c r="E151" s="187"/>
      <c r="F151" s="187"/>
    </row>
    <row r="152" spans="5:6" x14ac:dyDescent="0.15">
      <c r="E152" s="187"/>
      <c r="F152" s="187"/>
    </row>
    <row r="153" spans="5:6" x14ac:dyDescent="0.15">
      <c r="E153" s="187"/>
      <c r="F153" s="187"/>
    </row>
    <row r="154" spans="5:6" x14ac:dyDescent="0.15">
      <c r="E154" s="187"/>
      <c r="F154" s="187"/>
    </row>
    <row r="155" spans="5:6" x14ac:dyDescent="0.15">
      <c r="E155" s="187"/>
      <c r="F155" s="187"/>
    </row>
    <row r="156" spans="5:6" x14ac:dyDescent="0.15">
      <c r="E156" s="187"/>
      <c r="F156" s="187"/>
    </row>
    <row r="157" spans="5:6" x14ac:dyDescent="0.15">
      <c r="E157" s="187"/>
      <c r="F157" s="187"/>
    </row>
    <row r="158" spans="5:6" x14ac:dyDescent="0.15">
      <c r="E158" s="187"/>
      <c r="F158" s="187"/>
    </row>
    <row r="159" spans="5:6" x14ac:dyDescent="0.15">
      <c r="E159" s="187"/>
      <c r="F159" s="187"/>
    </row>
    <row r="160" spans="5:6" x14ac:dyDescent="0.15">
      <c r="E160" s="187"/>
      <c r="F160" s="187"/>
    </row>
    <row r="161" spans="5:6" x14ac:dyDescent="0.15">
      <c r="E161" s="187"/>
      <c r="F161" s="187"/>
    </row>
    <row r="162" spans="5:6" x14ac:dyDescent="0.15">
      <c r="E162" s="187"/>
      <c r="F162" s="187"/>
    </row>
    <row r="163" spans="5:6" x14ac:dyDescent="0.15">
      <c r="E163" s="187"/>
      <c r="F163" s="187"/>
    </row>
    <row r="164" spans="5:6" x14ac:dyDescent="0.15">
      <c r="E164" s="187"/>
      <c r="F164" s="187"/>
    </row>
    <row r="165" spans="5:6" x14ac:dyDescent="0.15">
      <c r="E165" s="187"/>
      <c r="F165" s="187"/>
    </row>
    <row r="166" spans="5:6" x14ac:dyDescent="0.15">
      <c r="E166" s="187"/>
      <c r="F166" s="187"/>
    </row>
    <row r="167" spans="5:6" x14ac:dyDescent="0.15">
      <c r="E167" s="187"/>
      <c r="F167" s="187"/>
    </row>
    <row r="168" spans="5:6" x14ac:dyDescent="0.15">
      <c r="E168" s="187"/>
      <c r="F168" s="187"/>
    </row>
    <row r="169" spans="5:6" x14ac:dyDescent="0.15">
      <c r="E169" s="187"/>
      <c r="F169" s="187"/>
    </row>
    <row r="170" spans="5:6" x14ac:dyDescent="0.15">
      <c r="E170" s="187"/>
      <c r="F170" s="187"/>
    </row>
    <row r="171" spans="5:6" x14ac:dyDescent="0.15">
      <c r="E171" s="187"/>
      <c r="F171" s="187"/>
    </row>
    <row r="172" spans="5:6" x14ac:dyDescent="0.15">
      <c r="E172" s="187"/>
      <c r="F172" s="187"/>
    </row>
    <row r="173" spans="5:6" x14ac:dyDescent="0.15">
      <c r="E173" s="187"/>
      <c r="F173" s="187"/>
    </row>
    <row r="174" spans="5:6" x14ac:dyDescent="0.15">
      <c r="E174" s="187"/>
      <c r="F174" s="187"/>
    </row>
    <row r="175" spans="5:6" x14ac:dyDescent="0.15">
      <c r="E175" s="187"/>
      <c r="F175" s="187"/>
    </row>
    <row r="176" spans="5:6" x14ac:dyDescent="0.15">
      <c r="E176" s="187"/>
      <c r="F176" s="187"/>
    </row>
    <row r="177" spans="5:6" x14ac:dyDescent="0.15">
      <c r="E177" s="187"/>
      <c r="F177" s="187"/>
    </row>
    <row r="178" spans="5:6" x14ac:dyDescent="0.15">
      <c r="E178" s="187"/>
      <c r="F178" s="187"/>
    </row>
    <row r="179" spans="5:6" x14ac:dyDescent="0.15">
      <c r="E179" s="187"/>
      <c r="F179" s="187"/>
    </row>
    <row r="180" spans="5:6" x14ac:dyDescent="0.15">
      <c r="E180" s="187"/>
      <c r="F180" s="187"/>
    </row>
    <row r="181" spans="5:6" x14ac:dyDescent="0.15">
      <c r="E181" s="187"/>
      <c r="F181" s="187"/>
    </row>
    <row r="182" spans="5:6" x14ac:dyDescent="0.15">
      <c r="E182" s="187"/>
      <c r="F182" s="187"/>
    </row>
    <row r="183" spans="5:6" x14ac:dyDescent="0.15">
      <c r="E183" s="187"/>
      <c r="F183" s="187"/>
    </row>
    <row r="184" spans="5:6" x14ac:dyDescent="0.15">
      <c r="E184" s="187"/>
      <c r="F184" s="187"/>
    </row>
    <row r="185" spans="5:6" x14ac:dyDescent="0.15">
      <c r="E185" s="187"/>
      <c r="F185" s="187"/>
    </row>
    <row r="186" spans="5:6" x14ac:dyDescent="0.15">
      <c r="E186" s="187"/>
      <c r="F186" s="187"/>
    </row>
    <row r="187" spans="5:6" x14ac:dyDescent="0.15">
      <c r="E187" s="187"/>
      <c r="F187" s="187"/>
    </row>
    <row r="188" spans="5:6" x14ac:dyDescent="0.15">
      <c r="E188" s="187"/>
      <c r="F188" s="187"/>
    </row>
    <row r="189" spans="5:6" x14ac:dyDescent="0.15">
      <c r="E189" s="187"/>
      <c r="F189" s="187"/>
    </row>
    <row r="190" spans="5:6" x14ac:dyDescent="0.15">
      <c r="E190" s="187"/>
      <c r="F190" s="187"/>
    </row>
    <row r="191" spans="5:6" x14ac:dyDescent="0.15">
      <c r="E191" s="187"/>
      <c r="F191" s="187"/>
    </row>
    <row r="192" spans="5:6" x14ac:dyDescent="0.15">
      <c r="E192" s="187"/>
      <c r="F192" s="187"/>
    </row>
    <row r="193" spans="5:6" x14ac:dyDescent="0.15">
      <c r="E193" s="187"/>
      <c r="F193" s="187"/>
    </row>
    <row r="194" spans="5:6" x14ac:dyDescent="0.15">
      <c r="E194" s="187"/>
      <c r="F194" s="187"/>
    </row>
    <row r="195" spans="5:6" x14ac:dyDescent="0.15">
      <c r="E195" s="187"/>
      <c r="F195" s="187"/>
    </row>
    <row r="196" spans="5:6" x14ac:dyDescent="0.15">
      <c r="E196" s="187"/>
      <c r="F196" s="187"/>
    </row>
    <row r="197" spans="5:6" x14ac:dyDescent="0.15">
      <c r="E197" s="187"/>
      <c r="F197" s="187"/>
    </row>
    <row r="198" spans="5:6" x14ac:dyDescent="0.15">
      <c r="E198" s="187"/>
      <c r="F198" s="187"/>
    </row>
    <row r="199" spans="5:6" x14ac:dyDescent="0.15">
      <c r="E199" s="187"/>
      <c r="F199" s="187"/>
    </row>
    <row r="200" spans="5:6" x14ac:dyDescent="0.15">
      <c r="E200" s="187"/>
      <c r="F200" s="187"/>
    </row>
    <row r="201" spans="5:6" x14ac:dyDescent="0.15">
      <c r="E201" s="187"/>
      <c r="F201" s="187"/>
    </row>
    <row r="202" spans="5:6" x14ac:dyDescent="0.15">
      <c r="E202" s="187"/>
      <c r="F202" s="187"/>
    </row>
    <row r="203" spans="5:6" x14ac:dyDescent="0.15">
      <c r="E203" s="187"/>
      <c r="F203" s="187"/>
    </row>
    <row r="204" spans="5:6" x14ac:dyDescent="0.15">
      <c r="E204" s="187"/>
      <c r="F204" s="187"/>
    </row>
    <row r="205" spans="5:6" x14ac:dyDescent="0.15">
      <c r="E205" s="187"/>
      <c r="F205" s="187"/>
    </row>
    <row r="206" spans="5:6" x14ac:dyDescent="0.15">
      <c r="E206" s="187"/>
      <c r="F206" s="187"/>
    </row>
    <row r="207" spans="5:6" x14ac:dyDescent="0.15">
      <c r="E207" s="187"/>
      <c r="F207" s="187"/>
    </row>
    <row r="208" spans="5:6" x14ac:dyDescent="0.15">
      <c r="E208" s="187"/>
      <c r="F208" s="187"/>
    </row>
    <row r="209" spans="5:6" x14ac:dyDescent="0.15">
      <c r="E209" s="187"/>
      <c r="F209" s="187"/>
    </row>
    <row r="210" spans="5:6" x14ac:dyDescent="0.15">
      <c r="E210" s="187"/>
      <c r="F210" s="187"/>
    </row>
    <row r="211" spans="5:6" x14ac:dyDescent="0.15">
      <c r="E211" s="187"/>
      <c r="F211" s="187"/>
    </row>
    <row r="212" spans="5:6" x14ac:dyDescent="0.15">
      <c r="E212" s="187"/>
      <c r="F212" s="187"/>
    </row>
    <row r="213" spans="5:6" x14ac:dyDescent="0.15">
      <c r="E213" s="187"/>
      <c r="F213" s="187"/>
    </row>
    <row r="214" spans="5:6" x14ac:dyDescent="0.15">
      <c r="E214" s="187"/>
      <c r="F214" s="187"/>
    </row>
    <row r="215" spans="5:6" x14ac:dyDescent="0.15">
      <c r="E215" s="187"/>
      <c r="F215" s="187"/>
    </row>
    <row r="216" spans="5:6" x14ac:dyDescent="0.15">
      <c r="E216" s="187"/>
      <c r="F216" s="187"/>
    </row>
    <row r="217" spans="5:6" x14ac:dyDescent="0.15">
      <c r="E217" s="187"/>
      <c r="F217" s="187"/>
    </row>
    <row r="218" spans="5:6" x14ac:dyDescent="0.15">
      <c r="E218" s="187"/>
      <c r="F218" s="187"/>
    </row>
    <row r="219" spans="5:6" x14ac:dyDescent="0.15">
      <c r="E219" s="187"/>
      <c r="F219" s="187"/>
    </row>
    <row r="220" spans="5:6" x14ac:dyDescent="0.15">
      <c r="E220" s="187"/>
      <c r="F220" s="187"/>
    </row>
    <row r="221" spans="5:6" x14ac:dyDescent="0.15">
      <c r="E221" s="187"/>
      <c r="F221" s="187"/>
    </row>
    <row r="222" spans="5:6" x14ac:dyDescent="0.15">
      <c r="E222" s="187"/>
      <c r="F222" s="187"/>
    </row>
    <row r="223" spans="5:6" x14ac:dyDescent="0.15">
      <c r="E223" s="187"/>
      <c r="F223" s="187"/>
    </row>
    <row r="224" spans="5:6" x14ac:dyDescent="0.15">
      <c r="E224" s="187"/>
      <c r="F224" s="187"/>
    </row>
    <row r="225" spans="5:6" x14ac:dyDescent="0.15">
      <c r="E225" s="187"/>
      <c r="F225" s="187"/>
    </row>
    <row r="226" spans="5:6" x14ac:dyDescent="0.15">
      <c r="E226" s="187"/>
      <c r="F226" s="187"/>
    </row>
    <row r="227" spans="5:6" x14ac:dyDescent="0.15">
      <c r="E227" s="187"/>
      <c r="F227" s="187"/>
    </row>
    <row r="228" spans="5:6" x14ac:dyDescent="0.15">
      <c r="E228" s="187"/>
      <c r="F228" s="187"/>
    </row>
    <row r="229" spans="5:6" x14ac:dyDescent="0.15">
      <c r="E229" s="187"/>
      <c r="F229" s="187"/>
    </row>
    <row r="230" spans="5:6" x14ac:dyDescent="0.15">
      <c r="E230" s="187"/>
      <c r="F230" s="187"/>
    </row>
    <row r="231" spans="5:6" x14ac:dyDescent="0.15">
      <c r="E231" s="187"/>
      <c r="F231" s="187"/>
    </row>
    <row r="232" spans="5:6" x14ac:dyDescent="0.15">
      <c r="E232" s="187"/>
      <c r="F232" s="187"/>
    </row>
    <row r="233" spans="5:6" x14ac:dyDescent="0.15">
      <c r="E233" s="187"/>
      <c r="F233" s="187"/>
    </row>
    <row r="234" spans="5:6" x14ac:dyDescent="0.15">
      <c r="E234" s="187"/>
      <c r="F234" s="187"/>
    </row>
    <row r="235" spans="5:6" x14ac:dyDescent="0.15">
      <c r="E235" s="187"/>
      <c r="F235" s="187"/>
    </row>
    <row r="236" spans="5:6" x14ac:dyDescent="0.15">
      <c r="E236" s="187"/>
      <c r="F236" s="187"/>
    </row>
    <row r="237" spans="5:6" x14ac:dyDescent="0.15">
      <c r="E237" s="187"/>
      <c r="F237" s="187"/>
    </row>
    <row r="238" spans="5:6" x14ac:dyDescent="0.15">
      <c r="E238" s="187"/>
      <c r="F238" s="187"/>
    </row>
    <row r="239" spans="5:6" x14ac:dyDescent="0.15">
      <c r="E239" s="187"/>
      <c r="F239" s="187"/>
    </row>
    <row r="240" spans="5:6" x14ac:dyDescent="0.15">
      <c r="E240" s="187"/>
      <c r="F240" s="187"/>
    </row>
    <row r="241" spans="5:6" x14ac:dyDescent="0.15">
      <c r="E241" s="187"/>
      <c r="F241" s="187"/>
    </row>
    <row r="242" spans="5:6" x14ac:dyDescent="0.15">
      <c r="E242" s="187"/>
      <c r="F242" s="187"/>
    </row>
    <row r="243" spans="5:6" x14ac:dyDescent="0.15">
      <c r="E243" s="187"/>
      <c r="F243" s="187"/>
    </row>
    <row r="244" spans="5:6" x14ac:dyDescent="0.15">
      <c r="E244" s="187"/>
      <c r="F244" s="187"/>
    </row>
    <row r="245" spans="5:6" x14ac:dyDescent="0.15">
      <c r="E245" s="187"/>
      <c r="F245" s="187"/>
    </row>
    <row r="246" spans="5:6" x14ac:dyDescent="0.15">
      <c r="E246" s="187"/>
      <c r="F246" s="187"/>
    </row>
    <row r="247" spans="5:6" x14ac:dyDescent="0.15">
      <c r="E247" s="187"/>
      <c r="F247" s="187"/>
    </row>
    <row r="248" spans="5:6" x14ac:dyDescent="0.15">
      <c r="E248" s="187"/>
      <c r="F248" s="187"/>
    </row>
    <row r="249" spans="5:6" x14ac:dyDescent="0.15">
      <c r="E249" s="187"/>
      <c r="F249" s="187"/>
    </row>
    <row r="250" spans="5:6" x14ac:dyDescent="0.15">
      <c r="E250" s="187"/>
      <c r="F250" s="187"/>
    </row>
    <row r="251" spans="5:6" x14ac:dyDescent="0.15">
      <c r="E251" s="187"/>
      <c r="F251" s="187"/>
    </row>
    <row r="252" spans="5:6" x14ac:dyDescent="0.15">
      <c r="E252" s="187"/>
      <c r="F252" s="187"/>
    </row>
    <row r="253" spans="5:6" x14ac:dyDescent="0.15">
      <c r="E253" s="187"/>
      <c r="F253" s="187"/>
    </row>
    <row r="254" spans="5:6" x14ac:dyDescent="0.15">
      <c r="E254" s="187"/>
      <c r="F254" s="187"/>
    </row>
    <row r="255" spans="5:6" x14ac:dyDescent="0.15">
      <c r="E255" s="187"/>
      <c r="F255" s="187"/>
    </row>
    <row r="256" spans="5:6" x14ac:dyDescent="0.15">
      <c r="E256" s="187"/>
      <c r="F256" s="187"/>
    </row>
    <row r="257" spans="5:6" x14ac:dyDescent="0.15">
      <c r="E257" s="187"/>
      <c r="F257" s="187"/>
    </row>
    <row r="258" spans="5:6" x14ac:dyDescent="0.15">
      <c r="E258" s="187"/>
      <c r="F258" s="187"/>
    </row>
    <row r="259" spans="5:6" x14ac:dyDescent="0.15">
      <c r="E259" s="187"/>
      <c r="F259" s="187"/>
    </row>
    <row r="260" spans="5:6" x14ac:dyDescent="0.15">
      <c r="E260" s="187"/>
      <c r="F260" s="187"/>
    </row>
    <row r="261" spans="5:6" x14ac:dyDescent="0.15">
      <c r="E261" s="187"/>
      <c r="F261" s="187"/>
    </row>
    <row r="262" spans="5:6" x14ac:dyDescent="0.15">
      <c r="E262" s="187"/>
      <c r="F262" s="187"/>
    </row>
    <row r="263" spans="5:6" x14ac:dyDescent="0.15">
      <c r="E263" s="187"/>
      <c r="F263" s="187"/>
    </row>
    <row r="264" spans="5:6" x14ac:dyDescent="0.15">
      <c r="E264" s="187"/>
      <c r="F264" s="187"/>
    </row>
    <row r="265" spans="5:6" x14ac:dyDescent="0.15">
      <c r="E265" s="187"/>
      <c r="F265" s="187"/>
    </row>
    <row r="266" spans="5:6" x14ac:dyDescent="0.15">
      <c r="E266" s="187"/>
      <c r="F266" s="187"/>
    </row>
    <row r="267" spans="5:6" x14ac:dyDescent="0.15">
      <c r="E267" s="187"/>
      <c r="F267" s="187"/>
    </row>
    <row r="268" spans="5:6" x14ac:dyDescent="0.15">
      <c r="E268" s="187"/>
      <c r="F268" s="187"/>
    </row>
    <row r="269" spans="5:6" x14ac:dyDescent="0.15">
      <c r="E269" s="187"/>
      <c r="F269" s="187"/>
    </row>
    <row r="270" spans="5:6" x14ac:dyDescent="0.15">
      <c r="E270" s="187"/>
      <c r="F270" s="187"/>
    </row>
    <row r="271" spans="5:6" x14ac:dyDescent="0.15">
      <c r="E271" s="187"/>
      <c r="F271" s="187"/>
    </row>
    <row r="272" spans="5:6" x14ac:dyDescent="0.15">
      <c r="E272" s="187"/>
      <c r="F272" s="187"/>
    </row>
    <row r="273" spans="5:6" x14ac:dyDescent="0.15">
      <c r="E273" s="187"/>
      <c r="F273" s="187"/>
    </row>
    <row r="274" spans="5:6" x14ac:dyDescent="0.15">
      <c r="E274" s="187"/>
      <c r="F274" s="187"/>
    </row>
    <row r="275" spans="5:6" x14ac:dyDescent="0.15">
      <c r="E275" s="187"/>
      <c r="F275" s="187"/>
    </row>
    <row r="276" spans="5:6" x14ac:dyDescent="0.15">
      <c r="E276" s="187"/>
      <c r="F276" s="187"/>
    </row>
    <row r="277" spans="5:6" x14ac:dyDescent="0.15">
      <c r="E277" s="187"/>
      <c r="F277" s="187"/>
    </row>
    <row r="278" spans="5:6" x14ac:dyDescent="0.15">
      <c r="E278" s="187"/>
      <c r="F278" s="187"/>
    </row>
    <row r="279" spans="5:6" x14ac:dyDescent="0.15">
      <c r="E279" s="187"/>
      <c r="F279" s="187"/>
    </row>
    <row r="280" spans="5:6" x14ac:dyDescent="0.15">
      <c r="E280" s="187"/>
      <c r="F280" s="187"/>
    </row>
    <row r="281" spans="5:6" x14ac:dyDescent="0.15">
      <c r="E281" s="187"/>
      <c r="F281" s="187"/>
    </row>
    <row r="282" spans="5:6" x14ac:dyDescent="0.15">
      <c r="E282" s="187"/>
      <c r="F282" s="187"/>
    </row>
    <row r="283" spans="5:6" x14ac:dyDescent="0.15">
      <c r="E283" s="187"/>
      <c r="F283" s="187"/>
    </row>
    <row r="284" spans="5:6" x14ac:dyDescent="0.15">
      <c r="E284" s="187"/>
      <c r="F284" s="187"/>
    </row>
    <row r="285" spans="5:6" x14ac:dyDescent="0.15">
      <c r="E285" s="187"/>
      <c r="F285" s="187"/>
    </row>
    <row r="286" spans="5:6" x14ac:dyDescent="0.15">
      <c r="E286" s="187"/>
      <c r="F286" s="187"/>
    </row>
    <row r="287" spans="5:6" x14ac:dyDescent="0.15">
      <c r="E287" s="187"/>
      <c r="F287" s="187"/>
    </row>
    <row r="288" spans="5:6" x14ac:dyDescent="0.15">
      <c r="E288" s="187"/>
      <c r="F288" s="187"/>
    </row>
    <row r="289" spans="5:6" x14ac:dyDescent="0.15">
      <c r="E289" s="187"/>
      <c r="F289" s="187"/>
    </row>
    <row r="290" spans="5:6" x14ac:dyDescent="0.15">
      <c r="E290" s="187"/>
      <c r="F290" s="187"/>
    </row>
    <row r="291" spans="5:6" x14ac:dyDescent="0.15">
      <c r="E291" s="187"/>
      <c r="F291" s="187"/>
    </row>
    <row r="292" spans="5:6" x14ac:dyDescent="0.15">
      <c r="E292" s="187"/>
      <c r="F292" s="187"/>
    </row>
    <row r="293" spans="5:6" x14ac:dyDescent="0.15">
      <c r="E293" s="187"/>
      <c r="F293" s="187"/>
    </row>
    <row r="294" spans="5:6" x14ac:dyDescent="0.15">
      <c r="E294" s="187"/>
      <c r="F294" s="187"/>
    </row>
    <row r="295" spans="5:6" x14ac:dyDescent="0.15">
      <c r="E295" s="187"/>
      <c r="F295" s="187"/>
    </row>
    <row r="296" spans="5:6" x14ac:dyDescent="0.15">
      <c r="E296" s="187"/>
      <c r="F296" s="187"/>
    </row>
    <row r="297" spans="5:6" x14ac:dyDescent="0.15">
      <c r="E297" s="187"/>
      <c r="F297" s="187"/>
    </row>
    <row r="298" spans="5:6" x14ac:dyDescent="0.15">
      <c r="E298" s="187"/>
      <c r="F298" s="187"/>
    </row>
    <row r="299" spans="5:6" x14ac:dyDescent="0.15">
      <c r="E299" s="187"/>
      <c r="F299" s="187"/>
    </row>
    <row r="300" spans="5:6" x14ac:dyDescent="0.15">
      <c r="E300" s="187"/>
      <c r="F300" s="187"/>
    </row>
    <row r="301" spans="5:6" x14ac:dyDescent="0.15">
      <c r="E301" s="187"/>
      <c r="F301" s="187"/>
    </row>
    <row r="302" spans="5:6" x14ac:dyDescent="0.15">
      <c r="E302" s="187"/>
      <c r="F302" s="187"/>
    </row>
    <row r="303" spans="5:6" x14ac:dyDescent="0.15">
      <c r="E303" s="187"/>
      <c r="F303" s="187"/>
    </row>
    <row r="304" spans="5:6" x14ac:dyDescent="0.15">
      <c r="E304" s="187"/>
      <c r="F304" s="187"/>
    </row>
    <row r="305" spans="5:6" x14ac:dyDescent="0.15">
      <c r="E305" s="187"/>
      <c r="F305" s="187"/>
    </row>
    <row r="306" spans="5:6" x14ac:dyDescent="0.15">
      <c r="E306" s="187"/>
      <c r="F306" s="187"/>
    </row>
    <row r="307" spans="5:6" x14ac:dyDescent="0.15">
      <c r="E307" s="187"/>
      <c r="F307" s="187"/>
    </row>
    <row r="308" spans="5:6" x14ac:dyDescent="0.15">
      <c r="E308" s="187"/>
      <c r="F308" s="187"/>
    </row>
    <row r="309" spans="5:6" x14ac:dyDescent="0.15">
      <c r="E309" s="187"/>
      <c r="F309" s="187"/>
    </row>
    <row r="310" spans="5:6" x14ac:dyDescent="0.15">
      <c r="E310" s="187"/>
      <c r="F310" s="187"/>
    </row>
    <row r="311" spans="5:6" x14ac:dyDescent="0.15">
      <c r="E311" s="187"/>
      <c r="F311" s="187"/>
    </row>
    <row r="312" spans="5:6" x14ac:dyDescent="0.15">
      <c r="E312" s="187"/>
      <c r="F312" s="187"/>
    </row>
    <row r="313" spans="5:6" x14ac:dyDescent="0.15">
      <c r="E313" s="187"/>
      <c r="F313" s="187"/>
    </row>
    <row r="314" spans="5:6" x14ac:dyDescent="0.15">
      <c r="E314" s="187"/>
      <c r="F314" s="187"/>
    </row>
    <row r="315" spans="5:6" x14ac:dyDescent="0.15">
      <c r="E315" s="187"/>
      <c r="F315" s="187"/>
    </row>
    <row r="316" spans="5:6" x14ac:dyDescent="0.15">
      <c r="E316" s="187"/>
      <c r="F316" s="187"/>
    </row>
    <row r="317" spans="5:6" x14ac:dyDescent="0.15">
      <c r="E317" s="187"/>
      <c r="F317" s="187"/>
    </row>
    <row r="318" spans="5:6" x14ac:dyDescent="0.15">
      <c r="E318" s="187"/>
      <c r="F318" s="187"/>
    </row>
    <row r="319" spans="5:6" x14ac:dyDescent="0.15">
      <c r="E319" s="187"/>
      <c r="F319" s="187"/>
    </row>
    <row r="320" spans="5:6" x14ac:dyDescent="0.15">
      <c r="E320" s="187"/>
      <c r="F320" s="187"/>
    </row>
    <row r="321" spans="5:6" x14ac:dyDescent="0.15">
      <c r="E321" s="187"/>
      <c r="F321" s="187"/>
    </row>
    <row r="322" spans="5:6" x14ac:dyDescent="0.15">
      <c r="E322" s="187"/>
      <c r="F322" s="187"/>
    </row>
    <row r="323" spans="5:6" x14ac:dyDescent="0.15">
      <c r="E323" s="187"/>
      <c r="F323" s="187"/>
    </row>
    <row r="324" spans="5:6" x14ac:dyDescent="0.15">
      <c r="E324" s="187"/>
      <c r="F324" s="187"/>
    </row>
    <row r="325" spans="5:6" x14ac:dyDescent="0.15">
      <c r="E325" s="187"/>
      <c r="F325" s="187"/>
    </row>
    <row r="326" spans="5:6" x14ac:dyDescent="0.15">
      <c r="E326" s="187"/>
      <c r="F326" s="187"/>
    </row>
    <row r="327" spans="5:6" x14ac:dyDescent="0.15">
      <c r="E327" s="187"/>
      <c r="F327" s="187"/>
    </row>
    <row r="328" spans="5:6" x14ac:dyDescent="0.15">
      <c r="E328" s="187"/>
      <c r="F328" s="187"/>
    </row>
    <row r="329" spans="5:6" x14ac:dyDescent="0.15">
      <c r="E329" s="187"/>
      <c r="F329" s="187"/>
    </row>
    <row r="330" spans="5:6" x14ac:dyDescent="0.15">
      <c r="E330" s="187"/>
      <c r="F330" s="187"/>
    </row>
    <row r="331" spans="5:6" x14ac:dyDescent="0.15">
      <c r="E331" s="187"/>
      <c r="F331" s="187"/>
    </row>
    <row r="332" spans="5:6" x14ac:dyDescent="0.15">
      <c r="E332" s="187"/>
      <c r="F332" s="187"/>
    </row>
    <row r="333" spans="5:6" x14ac:dyDescent="0.15">
      <c r="E333" s="187"/>
      <c r="F333" s="187"/>
    </row>
    <row r="334" spans="5:6" x14ac:dyDescent="0.15">
      <c r="E334" s="187"/>
      <c r="F334" s="187"/>
    </row>
    <row r="335" spans="5:6" x14ac:dyDescent="0.15">
      <c r="E335" s="187"/>
      <c r="F335" s="187"/>
    </row>
    <row r="336" spans="5:6" x14ac:dyDescent="0.15">
      <c r="E336" s="187"/>
      <c r="F336" s="187"/>
    </row>
    <row r="337" spans="5:6" x14ac:dyDescent="0.15">
      <c r="E337" s="187"/>
      <c r="F337" s="187"/>
    </row>
    <row r="338" spans="5:6" x14ac:dyDescent="0.15">
      <c r="E338" s="187"/>
      <c r="F338" s="187"/>
    </row>
    <row r="339" spans="5:6" x14ac:dyDescent="0.15">
      <c r="E339" s="187"/>
      <c r="F339" s="187"/>
    </row>
    <row r="340" spans="5:6" x14ac:dyDescent="0.15">
      <c r="E340" s="187"/>
      <c r="F340" s="187"/>
    </row>
    <row r="341" spans="5:6" x14ac:dyDescent="0.15">
      <c r="E341" s="187"/>
      <c r="F341" s="187"/>
    </row>
    <row r="342" spans="5:6" x14ac:dyDescent="0.15">
      <c r="E342" s="187"/>
      <c r="F342" s="187"/>
    </row>
    <row r="343" spans="5:6" x14ac:dyDescent="0.15">
      <c r="E343" s="187"/>
      <c r="F343" s="187"/>
    </row>
    <row r="344" spans="5:6" x14ac:dyDescent="0.15">
      <c r="E344" s="187"/>
      <c r="F344" s="187"/>
    </row>
    <row r="345" spans="5:6" x14ac:dyDescent="0.15">
      <c r="E345" s="187"/>
      <c r="F345" s="187"/>
    </row>
    <row r="346" spans="5:6" x14ac:dyDescent="0.15">
      <c r="E346" s="187"/>
      <c r="F346" s="187"/>
    </row>
    <row r="347" spans="5:6" x14ac:dyDescent="0.15">
      <c r="E347" s="187"/>
      <c r="F347" s="187"/>
    </row>
    <row r="348" spans="5:6" x14ac:dyDescent="0.15">
      <c r="E348" s="187"/>
      <c r="F348" s="187"/>
    </row>
    <row r="349" spans="5:6" x14ac:dyDescent="0.15">
      <c r="E349" s="187"/>
      <c r="F349" s="187"/>
    </row>
    <row r="350" spans="5:6" x14ac:dyDescent="0.15">
      <c r="E350" s="187"/>
      <c r="F350" s="187"/>
    </row>
    <row r="351" spans="5:6" x14ac:dyDescent="0.15">
      <c r="E351" s="187"/>
      <c r="F351" s="187"/>
    </row>
    <row r="352" spans="5:6" x14ac:dyDescent="0.15">
      <c r="E352" s="187"/>
      <c r="F352" s="187"/>
    </row>
    <row r="353" spans="5:6" x14ac:dyDescent="0.15">
      <c r="E353" s="187"/>
      <c r="F353" s="187"/>
    </row>
    <row r="354" spans="5:6" x14ac:dyDescent="0.15">
      <c r="E354" s="187"/>
      <c r="F354" s="187"/>
    </row>
    <row r="355" spans="5:6" x14ac:dyDescent="0.15">
      <c r="E355" s="187"/>
      <c r="F355" s="187"/>
    </row>
    <row r="356" spans="5:6" x14ac:dyDescent="0.15">
      <c r="E356" s="187"/>
      <c r="F356" s="187"/>
    </row>
    <row r="357" spans="5:6" x14ac:dyDescent="0.15">
      <c r="E357" s="187"/>
      <c r="F357" s="187"/>
    </row>
    <row r="358" spans="5:6" x14ac:dyDescent="0.15">
      <c r="E358" s="187"/>
      <c r="F358" s="187"/>
    </row>
    <row r="359" spans="5:6" x14ac:dyDescent="0.15">
      <c r="E359" s="187"/>
      <c r="F359" s="187"/>
    </row>
    <row r="360" spans="5:6" x14ac:dyDescent="0.15">
      <c r="E360" s="187"/>
      <c r="F360" s="187"/>
    </row>
    <row r="361" spans="5:6" x14ac:dyDescent="0.15">
      <c r="E361" s="187"/>
      <c r="F361" s="187"/>
    </row>
    <row r="362" spans="5:6" x14ac:dyDescent="0.15">
      <c r="E362" s="187"/>
      <c r="F362" s="187"/>
    </row>
    <row r="363" spans="5:6" x14ac:dyDescent="0.15">
      <c r="E363" s="187"/>
      <c r="F363" s="187"/>
    </row>
    <row r="364" spans="5:6" x14ac:dyDescent="0.15">
      <c r="E364" s="187"/>
      <c r="F364" s="187"/>
    </row>
    <row r="365" spans="5:6" x14ac:dyDescent="0.15">
      <c r="E365" s="187"/>
      <c r="F365" s="187"/>
    </row>
    <row r="366" spans="5:6" x14ac:dyDescent="0.15">
      <c r="E366" s="187"/>
      <c r="F366" s="187"/>
    </row>
    <row r="367" spans="5:6" x14ac:dyDescent="0.15">
      <c r="E367" s="187"/>
      <c r="F367" s="187"/>
    </row>
    <row r="368" spans="5:6" x14ac:dyDescent="0.15">
      <c r="E368" s="187"/>
      <c r="F368" s="187"/>
    </row>
    <row r="369" spans="5:6" x14ac:dyDescent="0.15">
      <c r="E369" s="187"/>
      <c r="F369" s="187"/>
    </row>
    <row r="370" spans="5:6" x14ac:dyDescent="0.15">
      <c r="E370" s="187"/>
      <c r="F370" s="187"/>
    </row>
    <row r="371" spans="5:6" x14ac:dyDescent="0.15">
      <c r="E371" s="187"/>
      <c r="F371" s="187"/>
    </row>
    <row r="372" spans="5:6" x14ac:dyDescent="0.15">
      <c r="E372" s="187"/>
      <c r="F372" s="187"/>
    </row>
    <row r="373" spans="5:6" x14ac:dyDescent="0.15">
      <c r="E373" s="187"/>
      <c r="F373" s="187"/>
    </row>
    <row r="374" spans="5:6" x14ac:dyDescent="0.15">
      <c r="E374" s="187"/>
      <c r="F374" s="187"/>
    </row>
    <row r="375" spans="5:6" x14ac:dyDescent="0.15">
      <c r="E375" s="187"/>
      <c r="F375" s="187"/>
    </row>
    <row r="376" spans="5:6" x14ac:dyDescent="0.15">
      <c r="E376" s="187"/>
      <c r="F376" s="187"/>
    </row>
    <row r="377" spans="5:6" x14ac:dyDescent="0.15">
      <c r="E377" s="187"/>
      <c r="F377" s="187"/>
    </row>
    <row r="378" spans="5:6" x14ac:dyDescent="0.15">
      <c r="E378" s="187"/>
      <c r="F378" s="187"/>
    </row>
    <row r="379" spans="5:6" x14ac:dyDescent="0.15">
      <c r="E379" s="187"/>
      <c r="F379" s="187"/>
    </row>
    <row r="380" spans="5:6" x14ac:dyDescent="0.15">
      <c r="E380" s="187"/>
      <c r="F380" s="187"/>
    </row>
    <row r="381" spans="5:6" x14ac:dyDescent="0.15">
      <c r="E381" s="187"/>
      <c r="F381" s="187"/>
    </row>
    <row r="382" spans="5:6" x14ac:dyDescent="0.15">
      <c r="E382" s="187"/>
      <c r="F382" s="187"/>
    </row>
    <row r="383" spans="5:6" x14ac:dyDescent="0.15">
      <c r="E383" s="187"/>
      <c r="F383" s="187"/>
    </row>
    <row r="384" spans="5:6" x14ac:dyDescent="0.15">
      <c r="E384" s="187"/>
      <c r="F384" s="187"/>
    </row>
    <row r="385" spans="5:6" x14ac:dyDescent="0.15">
      <c r="E385" s="187"/>
      <c r="F385" s="187"/>
    </row>
    <row r="386" spans="5:6" x14ac:dyDescent="0.15">
      <c r="E386" s="187"/>
      <c r="F386" s="187"/>
    </row>
    <row r="387" spans="5:6" x14ac:dyDescent="0.15">
      <c r="E387" s="187"/>
      <c r="F387" s="187"/>
    </row>
    <row r="388" spans="5:6" x14ac:dyDescent="0.15">
      <c r="E388" s="187"/>
      <c r="F388" s="187"/>
    </row>
    <row r="389" spans="5:6" x14ac:dyDescent="0.15">
      <c r="E389" s="187"/>
      <c r="F389" s="187"/>
    </row>
    <row r="390" spans="5:6" x14ac:dyDescent="0.15">
      <c r="E390" s="187"/>
      <c r="F390" s="187"/>
    </row>
    <row r="391" spans="5:6" x14ac:dyDescent="0.15">
      <c r="E391" s="187"/>
      <c r="F391" s="187"/>
    </row>
    <row r="392" spans="5:6" x14ac:dyDescent="0.15">
      <c r="E392" s="187"/>
      <c r="F392" s="187"/>
    </row>
    <row r="393" spans="5:6" x14ac:dyDescent="0.15">
      <c r="E393" s="187"/>
      <c r="F393" s="187"/>
    </row>
    <row r="394" spans="5:6" x14ac:dyDescent="0.15">
      <c r="E394" s="187"/>
      <c r="F394" s="187"/>
    </row>
    <row r="395" spans="5:6" x14ac:dyDescent="0.15">
      <c r="E395" s="187"/>
      <c r="F395" s="187"/>
    </row>
    <row r="396" spans="5:6" x14ac:dyDescent="0.15">
      <c r="E396" s="187"/>
      <c r="F396" s="187"/>
    </row>
    <row r="397" spans="5:6" x14ac:dyDescent="0.15">
      <c r="E397" s="187"/>
      <c r="F397" s="187"/>
    </row>
    <row r="398" spans="5:6" x14ac:dyDescent="0.15">
      <c r="E398" s="187"/>
      <c r="F398" s="187"/>
    </row>
    <row r="399" spans="5:6" x14ac:dyDescent="0.15">
      <c r="E399" s="187"/>
      <c r="F399" s="187"/>
    </row>
    <row r="400" spans="5:6" x14ac:dyDescent="0.15">
      <c r="E400" s="187"/>
      <c r="F400" s="187"/>
    </row>
    <row r="401" spans="5:6" x14ac:dyDescent="0.15">
      <c r="E401" s="187"/>
      <c r="F401" s="187"/>
    </row>
    <row r="402" spans="5:6" x14ac:dyDescent="0.15">
      <c r="E402" s="187"/>
      <c r="F402" s="187"/>
    </row>
    <row r="403" spans="5:6" x14ac:dyDescent="0.15">
      <c r="E403" s="187"/>
      <c r="F403" s="187"/>
    </row>
    <row r="404" spans="5:6" x14ac:dyDescent="0.15">
      <c r="E404" s="187"/>
      <c r="F404" s="187"/>
    </row>
    <row r="405" spans="5:6" x14ac:dyDescent="0.15">
      <c r="E405" s="187"/>
      <c r="F405" s="187"/>
    </row>
    <row r="406" spans="5:6" x14ac:dyDescent="0.15">
      <c r="E406" s="187"/>
      <c r="F406" s="187"/>
    </row>
    <row r="407" spans="5:6" x14ac:dyDescent="0.15">
      <c r="E407" s="187"/>
      <c r="F407" s="187"/>
    </row>
    <row r="408" spans="5:6" x14ac:dyDescent="0.15">
      <c r="E408" s="187"/>
      <c r="F408" s="187"/>
    </row>
    <row r="409" spans="5:6" x14ac:dyDescent="0.15">
      <c r="E409" s="187"/>
      <c r="F409" s="187"/>
    </row>
    <row r="410" spans="5:6" x14ac:dyDescent="0.15">
      <c r="E410" s="187"/>
      <c r="F410" s="187"/>
    </row>
    <row r="411" spans="5:6" x14ac:dyDescent="0.15">
      <c r="E411" s="187"/>
      <c r="F411" s="187"/>
    </row>
    <row r="412" spans="5:6" x14ac:dyDescent="0.15">
      <c r="E412" s="187"/>
      <c r="F412" s="187"/>
    </row>
    <row r="413" spans="5:6" x14ac:dyDescent="0.15">
      <c r="E413" s="187"/>
      <c r="F413" s="187"/>
    </row>
    <row r="414" spans="5:6" x14ac:dyDescent="0.15">
      <c r="E414" s="187"/>
      <c r="F414" s="187"/>
    </row>
    <row r="415" spans="5:6" x14ac:dyDescent="0.15">
      <c r="E415" s="187"/>
      <c r="F415" s="187"/>
    </row>
    <row r="416" spans="5:6" x14ac:dyDescent="0.15">
      <c r="E416" s="187"/>
      <c r="F416" s="187"/>
    </row>
    <row r="417" spans="5:6" x14ac:dyDescent="0.15">
      <c r="E417" s="187"/>
      <c r="F417" s="187"/>
    </row>
    <row r="418" spans="5:6" x14ac:dyDescent="0.15">
      <c r="E418" s="187"/>
      <c r="F418" s="187"/>
    </row>
    <row r="419" spans="5:6" x14ac:dyDescent="0.15">
      <c r="E419" s="187"/>
      <c r="F419" s="187"/>
    </row>
    <row r="420" spans="5:6" x14ac:dyDescent="0.15">
      <c r="E420" s="187"/>
      <c r="F420" s="187"/>
    </row>
    <row r="421" spans="5:6" x14ac:dyDescent="0.15">
      <c r="E421" s="187"/>
      <c r="F421" s="187"/>
    </row>
    <row r="422" spans="5:6" x14ac:dyDescent="0.15">
      <c r="E422" s="187"/>
      <c r="F422" s="187"/>
    </row>
    <row r="423" spans="5:6" x14ac:dyDescent="0.15">
      <c r="E423" s="187"/>
      <c r="F423" s="187"/>
    </row>
    <row r="424" spans="5:6" x14ac:dyDescent="0.15">
      <c r="E424" s="187"/>
      <c r="F424" s="187"/>
    </row>
    <row r="425" spans="5:6" x14ac:dyDescent="0.15">
      <c r="E425" s="187"/>
      <c r="F425" s="187"/>
    </row>
    <row r="426" spans="5:6" x14ac:dyDescent="0.15">
      <c r="E426" s="187"/>
      <c r="F426" s="187"/>
    </row>
    <row r="427" spans="5:6" x14ac:dyDescent="0.15">
      <c r="E427" s="187"/>
      <c r="F427" s="187"/>
    </row>
    <row r="428" spans="5:6" x14ac:dyDescent="0.15">
      <c r="E428" s="187"/>
      <c r="F428" s="187"/>
    </row>
    <row r="429" spans="5:6" x14ac:dyDescent="0.15">
      <c r="E429" s="187"/>
      <c r="F429" s="187"/>
    </row>
    <row r="430" spans="5:6" x14ac:dyDescent="0.15">
      <c r="E430" s="187"/>
      <c r="F430" s="187"/>
    </row>
    <row r="431" spans="5:6" x14ac:dyDescent="0.15">
      <c r="E431" s="187"/>
      <c r="F431" s="187"/>
    </row>
    <row r="432" spans="5:6" x14ac:dyDescent="0.15">
      <c r="E432" s="187"/>
      <c r="F432" s="187"/>
    </row>
    <row r="433" spans="5:6" x14ac:dyDescent="0.15">
      <c r="E433" s="187"/>
      <c r="F433" s="187"/>
    </row>
    <row r="434" spans="5:6" x14ac:dyDescent="0.15">
      <c r="E434" s="187"/>
      <c r="F434" s="187"/>
    </row>
    <row r="435" spans="5:6" x14ac:dyDescent="0.15">
      <c r="E435" s="187"/>
      <c r="F435" s="187"/>
    </row>
    <row r="436" spans="5:6" x14ac:dyDescent="0.15">
      <c r="E436" s="187"/>
      <c r="F436" s="187"/>
    </row>
    <row r="437" spans="5:6" x14ac:dyDescent="0.15">
      <c r="E437" s="187"/>
      <c r="F437" s="187"/>
    </row>
    <row r="438" spans="5:6" x14ac:dyDescent="0.15">
      <c r="E438" s="187"/>
      <c r="F438" s="187"/>
    </row>
    <row r="439" spans="5:6" x14ac:dyDescent="0.15">
      <c r="E439" s="187"/>
      <c r="F439" s="187"/>
    </row>
    <row r="440" spans="5:6" x14ac:dyDescent="0.15">
      <c r="E440" s="187"/>
      <c r="F440" s="187"/>
    </row>
    <row r="441" spans="5:6" x14ac:dyDescent="0.15">
      <c r="E441" s="187"/>
      <c r="F441" s="187"/>
    </row>
    <row r="442" spans="5:6" x14ac:dyDescent="0.15">
      <c r="E442" s="187"/>
      <c r="F442" s="187"/>
    </row>
    <row r="443" spans="5:6" x14ac:dyDescent="0.15">
      <c r="E443" s="187"/>
      <c r="F443" s="187"/>
    </row>
    <row r="444" spans="5:6" x14ac:dyDescent="0.15">
      <c r="E444" s="187"/>
      <c r="F444" s="187"/>
    </row>
    <row r="445" spans="5:6" x14ac:dyDescent="0.15">
      <c r="E445" s="187"/>
      <c r="F445" s="187"/>
    </row>
    <row r="446" spans="5:6" x14ac:dyDescent="0.15">
      <c r="E446" s="187"/>
      <c r="F446" s="187"/>
    </row>
    <row r="447" spans="5:6" x14ac:dyDescent="0.15">
      <c r="E447" s="187"/>
      <c r="F447" s="187"/>
    </row>
    <row r="448" spans="5:6" x14ac:dyDescent="0.15">
      <c r="E448" s="187"/>
      <c r="F448" s="187"/>
    </row>
    <row r="449" spans="5:6" x14ac:dyDescent="0.15">
      <c r="E449" s="187"/>
      <c r="F449" s="187"/>
    </row>
    <row r="450" spans="5:6" x14ac:dyDescent="0.15">
      <c r="E450" s="187"/>
      <c r="F450" s="187"/>
    </row>
    <row r="451" spans="5:6" x14ac:dyDescent="0.15">
      <c r="E451" s="187"/>
      <c r="F451" s="187"/>
    </row>
    <row r="452" spans="5:6" x14ac:dyDescent="0.15">
      <c r="E452" s="187"/>
      <c r="F452" s="187"/>
    </row>
    <row r="453" spans="5:6" x14ac:dyDescent="0.15">
      <c r="E453" s="187"/>
      <c r="F453" s="187"/>
    </row>
    <row r="454" spans="5:6" x14ac:dyDescent="0.15">
      <c r="E454" s="187"/>
      <c r="F454" s="187"/>
    </row>
    <row r="455" spans="5:6" x14ac:dyDescent="0.15">
      <c r="E455" s="187"/>
      <c r="F455" s="187"/>
    </row>
    <row r="456" spans="5:6" x14ac:dyDescent="0.15">
      <c r="E456" s="187"/>
      <c r="F456" s="187"/>
    </row>
    <row r="457" spans="5:6" x14ac:dyDescent="0.15">
      <c r="E457" s="187"/>
      <c r="F457" s="187"/>
    </row>
    <row r="458" spans="5:6" x14ac:dyDescent="0.15">
      <c r="E458" s="187"/>
      <c r="F458" s="187"/>
    </row>
    <row r="459" spans="5:6" x14ac:dyDescent="0.15">
      <c r="E459" s="187"/>
      <c r="F459" s="187"/>
    </row>
    <row r="460" spans="5:6" x14ac:dyDescent="0.15">
      <c r="E460" s="187"/>
      <c r="F460" s="187"/>
    </row>
    <row r="461" spans="5:6" x14ac:dyDescent="0.15">
      <c r="E461" s="187"/>
      <c r="F461" s="187"/>
    </row>
    <row r="462" spans="5:6" x14ac:dyDescent="0.15">
      <c r="E462" s="187"/>
      <c r="F462" s="187"/>
    </row>
    <row r="463" spans="5:6" x14ac:dyDescent="0.15">
      <c r="E463" s="187"/>
      <c r="F463" s="187"/>
    </row>
    <row r="464" spans="5:6" x14ac:dyDescent="0.15">
      <c r="E464" s="187"/>
      <c r="F464" s="187"/>
    </row>
    <row r="465" spans="5:6" x14ac:dyDescent="0.15">
      <c r="E465" s="187"/>
      <c r="F465" s="187"/>
    </row>
    <row r="466" spans="5:6" x14ac:dyDescent="0.15">
      <c r="E466" s="187"/>
      <c r="F466" s="187"/>
    </row>
    <row r="467" spans="5:6" x14ac:dyDescent="0.15">
      <c r="E467" s="187"/>
      <c r="F467" s="187"/>
    </row>
    <row r="468" spans="5:6" x14ac:dyDescent="0.15">
      <c r="E468" s="187"/>
      <c r="F468" s="187"/>
    </row>
    <row r="469" spans="5:6" x14ac:dyDescent="0.15">
      <c r="E469" s="187"/>
      <c r="F469" s="187"/>
    </row>
    <row r="470" spans="5:6" x14ac:dyDescent="0.15">
      <c r="E470" s="187"/>
      <c r="F470" s="187"/>
    </row>
    <row r="471" spans="5:6" x14ac:dyDescent="0.15">
      <c r="E471" s="187"/>
      <c r="F471" s="187"/>
    </row>
    <row r="472" spans="5:6" x14ac:dyDescent="0.15">
      <c r="E472" s="187"/>
      <c r="F472" s="187"/>
    </row>
    <row r="473" spans="5:6" x14ac:dyDescent="0.15">
      <c r="E473" s="187"/>
      <c r="F473" s="187"/>
    </row>
    <row r="474" spans="5:6" x14ac:dyDescent="0.15">
      <c r="E474" s="187"/>
      <c r="F474" s="187"/>
    </row>
    <row r="475" spans="5:6" x14ac:dyDescent="0.15">
      <c r="E475" s="187"/>
      <c r="F475" s="187"/>
    </row>
    <row r="476" spans="5:6" x14ac:dyDescent="0.15">
      <c r="E476" s="187"/>
      <c r="F476" s="187"/>
    </row>
    <row r="477" spans="5:6" x14ac:dyDescent="0.15">
      <c r="E477" s="187"/>
      <c r="F477" s="187"/>
    </row>
    <row r="478" spans="5:6" x14ac:dyDescent="0.15">
      <c r="E478" s="187"/>
      <c r="F478" s="187"/>
    </row>
    <row r="479" spans="5:6" x14ac:dyDescent="0.15">
      <c r="E479" s="187"/>
      <c r="F479" s="187"/>
    </row>
    <row r="480" spans="5:6" x14ac:dyDescent="0.15">
      <c r="E480" s="187"/>
      <c r="F480" s="187"/>
    </row>
    <row r="481" spans="5:6" x14ac:dyDescent="0.15">
      <c r="E481" s="187"/>
      <c r="F481" s="187"/>
    </row>
    <row r="482" spans="5:6" x14ac:dyDescent="0.15">
      <c r="E482" s="187"/>
      <c r="F482" s="187"/>
    </row>
    <row r="483" spans="5:6" x14ac:dyDescent="0.15">
      <c r="E483" s="187"/>
      <c r="F483" s="187"/>
    </row>
    <row r="484" spans="5:6" x14ac:dyDescent="0.15">
      <c r="E484" s="187"/>
      <c r="F484" s="187"/>
    </row>
    <row r="485" spans="5:6" x14ac:dyDescent="0.15">
      <c r="E485" s="187"/>
      <c r="F485" s="187"/>
    </row>
    <row r="486" spans="5:6" x14ac:dyDescent="0.15">
      <c r="E486" s="187"/>
      <c r="F486" s="187"/>
    </row>
    <row r="487" spans="5:6" x14ac:dyDescent="0.15">
      <c r="E487" s="187"/>
      <c r="F487" s="187"/>
    </row>
    <row r="488" spans="5:6" x14ac:dyDescent="0.15">
      <c r="E488" s="187"/>
      <c r="F488" s="187"/>
    </row>
    <row r="489" spans="5:6" x14ac:dyDescent="0.15">
      <c r="E489" s="187"/>
      <c r="F489" s="187"/>
    </row>
    <row r="490" spans="5:6" x14ac:dyDescent="0.15">
      <c r="E490" s="187"/>
      <c r="F490" s="187"/>
    </row>
    <row r="491" spans="5:6" x14ac:dyDescent="0.15">
      <c r="E491" s="187"/>
      <c r="F491" s="187"/>
    </row>
    <row r="492" spans="5:6" x14ac:dyDescent="0.15">
      <c r="E492" s="187"/>
      <c r="F492" s="187"/>
    </row>
    <row r="493" spans="5:6" x14ac:dyDescent="0.15">
      <c r="E493" s="187"/>
      <c r="F493" s="187"/>
    </row>
    <row r="494" spans="5:6" x14ac:dyDescent="0.15">
      <c r="E494" s="187"/>
      <c r="F494" s="187"/>
    </row>
    <row r="495" spans="5:6" x14ac:dyDescent="0.15">
      <c r="E495" s="187"/>
      <c r="F495" s="187"/>
    </row>
    <row r="496" spans="5:6" x14ac:dyDescent="0.15">
      <c r="E496" s="187"/>
      <c r="F496" s="187"/>
    </row>
    <row r="497" spans="5:6" x14ac:dyDescent="0.15">
      <c r="E497" s="187"/>
      <c r="F497" s="187"/>
    </row>
    <row r="498" spans="5:6" x14ac:dyDescent="0.15">
      <c r="E498" s="187"/>
      <c r="F498" s="187"/>
    </row>
    <row r="499" spans="5:6" x14ac:dyDescent="0.15">
      <c r="E499" s="187"/>
      <c r="F499" s="187"/>
    </row>
    <row r="500" spans="5:6" x14ac:dyDescent="0.15">
      <c r="E500" s="187"/>
      <c r="F500" s="187"/>
    </row>
    <row r="501" spans="5:6" x14ac:dyDescent="0.15">
      <c r="E501" s="187"/>
      <c r="F501" s="187"/>
    </row>
    <row r="502" spans="5:6" x14ac:dyDescent="0.15">
      <c r="E502" s="187"/>
      <c r="F502" s="187"/>
    </row>
    <row r="503" spans="5:6" x14ac:dyDescent="0.15">
      <c r="E503" s="187"/>
      <c r="F503" s="187"/>
    </row>
    <row r="504" spans="5:6" x14ac:dyDescent="0.15">
      <c r="E504" s="187"/>
      <c r="F504" s="187"/>
    </row>
    <row r="505" spans="5:6" x14ac:dyDescent="0.15">
      <c r="E505" s="187"/>
      <c r="F505" s="187"/>
    </row>
    <row r="506" spans="5:6" x14ac:dyDescent="0.15">
      <c r="E506" s="187"/>
      <c r="F506" s="187"/>
    </row>
    <row r="507" spans="5:6" x14ac:dyDescent="0.15">
      <c r="E507" s="187"/>
      <c r="F507" s="187"/>
    </row>
    <row r="508" spans="5:6" x14ac:dyDescent="0.15">
      <c r="E508" s="187"/>
      <c r="F508" s="187"/>
    </row>
    <row r="509" spans="5:6" x14ac:dyDescent="0.15">
      <c r="E509" s="187"/>
      <c r="F509" s="187"/>
    </row>
    <row r="510" spans="5:6" x14ac:dyDescent="0.15">
      <c r="E510" s="187"/>
      <c r="F510" s="187"/>
    </row>
    <row r="511" spans="5:6" x14ac:dyDescent="0.15">
      <c r="E511" s="187"/>
      <c r="F511" s="187"/>
    </row>
    <row r="512" spans="5:6" x14ac:dyDescent="0.15">
      <c r="E512" s="187"/>
      <c r="F512" s="187"/>
    </row>
    <row r="513" spans="5:6" x14ac:dyDescent="0.15">
      <c r="E513" s="187"/>
      <c r="F513" s="187"/>
    </row>
    <row r="514" spans="5:6" x14ac:dyDescent="0.15">
      <c r="E514" s="187"/>
      <c r="F514" s="187"/>
    </row>
    <row r="515" spans="5:6" x14ac:dyDescent="0.15">
      <c r="E515" s="187"/>
      <c r="F515" s="187"/>
    </row>
    <row r="516" spans="5:6" x14ac:dyDescent="0.15">
      <c r="E516" s="187"/>
      <c r="F516" s="187"/>
    </row>
    <row r="517" spans="5:6" x14ac:dyDescent="0.15">
      <c r="E517" s="187"/>
      <c r="F517" s="187"/>
    </row>
    <row r="518" spans="5:6" x14ac:dyDescent="0.15">
      <c r="E518" s="187"/>
      <c r="F518" s="187"/>
    </row>
    <row r="519" spans="5:6" x14ac:dyDescent="0.15">
      <c r="E519" s="187"/>
      <c r="F519" s="187"/>
    </row>
    <row r="520" spans="5:6" x14ac:dyDescent="0.15">
      <c r="E520" s="187"/>
      <c r="F520" s="187"/>
    </row>
    <row r="521" spans="5:6" x14ac:dyDescent="0.15">
      <c r="E521" s="187"/>
      <c r="F521" s="187"/>
    </row>
    <row r="522" spans="5:6" x14ac:dyDescent="0.15">
      <c r="E522" s="187"/>
      <c r="F522" s="187"/>
    </row>
    <row r="523" spans="5:6" x14ac:dyDescent="0.15">
      <c r="E523" s="187"/>
      <c r="F523" s="187"/>
    </row>
    <row r="524" spans="5:6" x14ac:dyDescent="0.15">
      <c r="E524" s="187"/>
      <c r="F524" s="187"/>
    </row>
    <row r="525" spans="5:6" x14ac:dyDescent="0.15">
      <c r="E525" s="187"/>
      <c r="F525" s="187"/>
    </row>
    <row r="526" spans="5:6" x14ac:dyDescent="0.15">
      <c r="E526" s="187"/>
      <c r="F526" s="187"/>
    </row>
    <row r="527" spans="5:6" x14ac:dyDescent="0.15">
      <c r="E527" s="187"/>
      <c r="F527" s="187"/>
    </row>
    <row r="528" spans="5:6" x14ac:dyDescent="0.15">
      <c r="E528" s="187"/>
      <c r="F528" s="187"/>
    </row>
    <row r="529" spans="5:6" x14ac:dyDescent="0.15">
      <c r="E529" s="187"/>
      <c r="F529" s="187"/>
    </row>
    <row r="530" spans="5:6" x14ac:dyDescent="0.15">
      <c r="E530" s="187"/>
      <c r="F530" s="187"/>
    </row>
    <row r="531" spans="5:6" x14ac:dyDescent="0.15">
      <c r="E531" s="187"/>
      <c r="F531" s="187"/>
    </row>
    <row r="532" spans="5:6" x14ac:dyDescent="0.15">
      <c r="E532" s="187"/>
      <c r="F532" s="187"/>
    </row>
    <row r="533" spans="5:6" x14ac:dyDescent="0.15">
      <c r="E533" s="187"/>
      <c r="F533" s="187"/>
    </row>
    <row r="534" spans="5:6" x14ac:dyDescent="0.15">
      <c r="E534" s="187"/>
      <c r="F534" s="187"/>
    </row>
    <row r="535" spans="5:6" x14ac:dyDescent="0.15">
      <c r="E535" s="187"/>
      <c r="F535" s="187"/>
    </row>
    <row r="536" spans="5:6" x14ac:dyDescent="0.15">
      <c r="E536" s="187"/>
      <c r="F536" s="187"/>
    </row>
    <row r="537" spans="5:6" x14ac:dyDescent="0.15">
      <c r="E537" s="187"/>
      <c r="F537" s="187"/>
    </row>
    <row r="538" spans="5:6" x14ac:dyDescent="0.15">
      <c r="E538" s="187"/>
      <c r="F538" s="187"/>
    </row>
    <row r="539" spans="5:6" x14ac:dyDescent="0.15">
      <c r="E539" s="187"/>
      <c r="F539" s="187"/>
    </row>
    <row r="540" spans="5:6" x14ac:dyDescent="0.15">
      <c r="E540" s="187"/>
      <c r="F540" s="187"/>
    </row>
    <row r="541" spans="5:6" x14ac:dyDescent="0.15">
      <c r="E541" s="187"/>
      <c r="F541" s="187"/>
    </row>
    <row r="542" spans="5:6" x14ac:dyDescent="0.15">
      <c r="E542" s="187"/>
      <c r="F542" s="187"/>
    </row>
    <row r="543" spans="5:6" x14ac:dyDescent="0.15">
      <c r="E543" s="187"/>
      <c r="F543" s="187"/>
    </row>
    <row r="544" spans="5:6" x14ac:dyDescent="0.15">
      <c r="E544" s="187"/>
      <c r="F544" s="187"/>
    </row>
    <row r="545" spans="5:6" x14ac:dyDescent="0.15">
      <c r="E545" s="187"/>
      <c r="F545" s="187"/>
    </row>
    <row r="546" spans="5:6" x14ac:dyDescent="0.15">
      <c r="E546" s="187"/>
      <c r="F546" s="187"/>
    </row>
    <row r="547" spans="5:6" x14ac:dyDescent="0.15">
      <c r="E547" s="187"/>
      <c r="F547" s="187"/>
    </row>
    <row r="548" spans="5:6" x14ac:dyDescent="0.15">
      <c r="E548" s="187"/>
      <c r="F548" s="187"/>
    </row>
    <row r="549" spans="5:6" x14ac:dyDescent="0.15">
      <c r="E549" s="187"/>
      <c r="F549" s="187"/>
    </row>
    <row r="550" spans="5:6" x14ac:dyDescent="0.15">
      <c r="E550" s="187"/>
      <c r="F550" s="187"/>
    </row>
    <row r="551" spans="5:6" x14ac:dyDescent="0.15">
      <c r="E551" s="187"/>
      <c r="F551" s="187"/>
    </row>
    <row r="552" spans="5:6" x14ac:dyDescent="0.15">
      <c r="E552" s="187"/>
      <c r="F552" s="187"/>
    </row>
    <row r="553" spans="5:6" x14ac:dyDescent="0.15">
      <c r="E553" s="187"/>
      <c r="F553" s="187"/>
    </row>
    <row r="554" spans="5:6" x14ac:dyDescent="0.15">
      <c r="E554" s="187"/>
      <c r="F554" s="187"/>
    </row>
    <row r="555" spans="5:6" x14ac:dyDescent="0.15">
      <c r="E555" s="187"/>
      <c r="F555" s="187"/>
    </row>
    <row r="556" spans="5:6" x14ac:dyDescent="0.15">
      <c r="E556" s="187"/>
      <c r="F556" s="187"/>
    </row>
    <row r="557" spans="5:6" x14ac:dyDescent="0.15">
      <c r="E557" s="187"/>
      <c r="F557" s="187"/>
    </row>
    <row r="558" spans="5:6" x14ac:dyDescent="0.15">
      <c r="E558" s="187"/>
      <c r="F558" s="187"/>
    </row>
    <row r="559" spans="5:6" x14ac:dyDescent="0.15">
      <c r="E559" s="187"/>
      <c r="F559" s="187"/>
    </row>
    <row r="560" spans="5:6" x14ac:dyDescent="0.15">
      <c r="E560" s="187"/>
      <c r="F560" s="187"/>
    </row>
    <row r="561" spans="5:6" x14ac:dyDescent="0.15">
      <c r="E561" s="187"/>
      <c r="F561" s="187"/>
    </row>
    <row r="562" spans="5:6" x14ac:dyDescent="0.15">
      <c r="E562" s="187"/>
      <c r="F562" s="187"/>
    </row>
    <row r="563" spans="5:6" x14ac:dyDescent="0.15">
      <c r="E563" s="187"/>
      <c r="F563" s="187"/>
    </row>
    <row r="564" spans="5:6" x14ac:dyDescent="0.15">
      <c r="E564" s="187"/>
      <c r="F564" s="187"/>
    </row>
    <row r="565" spans="5:6" x14ac:dyDescent="0.15">
      <c r="E565" s="187"/>
      <c r="F565" s="187"/>
    </row>
    <row r="566" spans="5:6" x14ac:dyDescent="0.15">
      <c r="E566" s="187"/>
      <c r="F566" s="187"/>
    </row>
    <row r="567" spans="5:6" x14ac:dyDescent="0.15">
      <c r="E567" s="187"/>
      <c r="F567" s="187"/>
    </row>
    <row r="568" spans="5:6" x14ac:dyDescent="0.15">
      <c r="E568" s="187"/>
      <c r="F568" s="187"/>
    </row>
    <row r="569" spans="5:6" x14ac:dyDescent="0.15">
      <c r="E569" s="187"/>
      <c r="F569" s="187"/>
    </row>
    <row r="570" spans="5:6" x14ac:dyDescent="0.15">
      <c r="E570" s="187"/>
      <c r="F570" s="187"/>
    </row>
    <row r="571" spans="5:6" x14ac:dyDescent="0.15">
      <c r="E571" s="187"/>
      <c r="F571" s="187"/>
    </row>
    <row r="572" spans="5:6" x14ac:dyDescent="0.15">
      <c r="E572" s="187"/>
      <c r="F572" s="187"/>
    </row>
    <row r="573" spans="5:6" x14ac:dyDescent="0.15">
      <c r="E573" s="187"/>
      <c r="F573" s="187"/>
    </row>
    <row r="574" spans="5:6" x14ac:dyDescent="0.15">
      <c r="E574" s="187"/>
      <c r="F574" s="187"/>
    </row>
    <row r="575" spans="5:6" x14ac:dyDescent="0.15">
      <c r="E575" s="187"/>
      <c r="F575" s="187"/>
    </row>
    <row r="576" spans="5:6" x14ac:dyDescent="0.15">
      <c r="E576" s="187"/>
      <c r="F576" s="187"/>
    </row>
    <row r="577" spans="5:6" x14ac:dyDescent="0.15">
      <c r="E577" s="187"/>
      <c r="F577" s="187"/>
    </row>
    <row r="578" spans="5:6" x14ac:dyDescent="0.15">
      <c r="E578" s="187"/>
      <c r="F578" s="187"/>
    </row>
    <row r="579" spans="5:6" x14ac:dyDescent="0.15">
      <c r="E579" s="187"/>
      <c r="F579" s="187"/>
    </row>
    <row r="580" spans="5:6" x14ac:dyDescent="0.15">
      <c r="E580" s="187"/>
      <c r="F580" s="187"/>
    </row>
    <row r="581" spans="5:6" x14ac:dyDescent="0.15">
      <c r="E581" s="187"/>
      <c r="F581" s="187"/>
    </row>
    <row r="582" spans="5:6" x14ac:dyDescent="0.15">
      <c r="E582" s="187"/>
      <c r="F582" s="187"/>
    </row>
    <row r="583" spans="5:6" x14ac:dyDescent="0.15">
      <c r="E583" s="187"/>
      <c r="F583" s="187"/>
    </row>
    <row r="584" spans="5:6" x14ac:dyDescent="0.15">
      <c r="E584" s="187"/>
      <c r="F584" s="187"/>
    </row>
    <row r="585" spans="5:6" x14ac:dyDescent="0.15">
      <c r="E585" s="187"/>
      <c r="F585" s="187"/>
    </row>
    <row r="586" spans="5:6" x14ac:dyDescent="0.15">
      <c r="E586" s="187"/>
      <c r="F586" s="187"/>
    </row>
    <row r="587" spans="5:6" x14ac:dyDescent="0.15">
      <c r="E587" s="187"/>
      <c r="F587" s="187"/>
    </row>
    <row r="588" spans="5:6" x14ac:dyDescent="0.15">
      <c r="E588" s="187"/>
      <c r="F588" s="187"/>
    </row>
    <row r="589" spans="5:6" x14ac:dyDescent="0.15">
      <c r="E589" s="187"/>
      <c r="F589" s="187"/>
    </row>
    <row r="590" spans="5:6" x14ac:dyDescent="0.15">
      <c r="E590" s="187"/>
      <c r="F590" s="187"/>
    </row>
    <row r="591" spans="5:6" x14ac:dyDescent="0.15">
      <c r="E591" s="187"/>
      <c r="F591" s="187"/>
    </row>
    <row r="592" spans="5:6" x14ac:dyDescent="0.15">
      <c r="E592" s="187"/>
      <c r="F592" s="187"/>
    </row>
    <row r="593" spans="5:6" x14ac:dyDescent="0.15">
      <c r="E593" s="187"/>
      <c r="F593" s="187"/>
    </row>
    <row r="594" spans="5:6" x14ac:dyDescent="0.15">
      <c r="E594" s="187"/>
      <c r="F594" s="187"/>
    </row>
    <row r="595" spans="5:6" x14ac:dyDescent="0.15">
      <c r="E595" s="187"/>
      <c r="F595" s="187"/>
    </row>
    <row r="596" spans="5:6" x14ac:dyDescent="0.15">
      <c r="E596" s="187"/>
      <c r="F596" s="187"/>
    </row>
    <row r="597" spans="5:6" x14ac:dyDescent="0.15">
      <c r="E597" s="187"/>
      <c r="F597" s="187"/>
    </row>
    <row r="598" spans="5:6" x14ac:dyDescent="0.15">
      <c r="E598" s="187"/>
      <c r="F598" s="187"/>
    </row>
    <row r="599" spans="5:6" x14ac:dyDescent="0.15">
      <c r="E599" s="187"/>
      <c r="F599" s="187"/>
    </row>
    <row r="600" spans="5:6" x14ac:dyDescent="0.15">
      <c r="E600" s="187"/>
      <c r="F600" s="187"/>
    </row>
    <row r="601" spans="5:6" x14ac:dyDescent="0.15">
      <c r="E601" s="187"/>
      <c r="F601" s="187"/>
    </row>
    <row r="602" spans="5:6" x14ac:dyDescent="0.15">
      <c r="E602" s="187"/>
      <c r="F602" s="187"/>
    </row>
    <row r="603" spans="5:6" x14ac:dyDescent="0.15">
      <c r="E603" s="187"/>
      <c r="F603" s="187"/>
    </row>
    <row r="604" spans="5:6" x14ac:dyDescent="0.15">
      <c r="E604" s="187"/>
      <c r="F604" s="187"/>
    </row>
    <row r="605" spans="5:6" x14ac:dyDescent="0.15">
      <c r="E605" s="187"/>
      <c r="F605" s="187"/>
    </row>
    <row r="606" spans="5:6" x14ac:dyDescent="0.15">
      <c r="E606" s="187"/>
      <c r="F606" s="187"/>
    </row>
    <row r="607" spans="5:6" x14ac:dyDescent="0.15">
      <c r="E607" s="187"/>
      <c r="F607" s="187"/>
    </row>
    <row r="608" spans="5:6" x14ac:dyDescent="0.15">
      <c r="E608" s="187"/>
      <c r="F608" s="187"/>
    </row>
    <row r="609" spans="5:6" x14ac:dyDescent="0.15">
      <c r="E609" s="187"/>
      <c r="F609" s="187"/>
    </row>
    <row r="610" spans="5:6" x14ac:dyDescent="0.15">
      <c r="E610" s="187"/>
      <c r="F610" s="187"/>
    </row>
    <row r="611" spans="5:6" x14ac:dyDescent="0.15">
      <c r="E611" s="187"/>
      <c r="F611" s="187"/>
    </row>
    <row r="612" spans="5:6" x14ac:dyDescent="0.15">
      <c r="E612" s="187"/>
      <c r="F612" s="187"/>
    </row>
    <row r="613" spans="5:6" x14ac:dyDescent="0.15">
      <c r="E613" s="187"/>
      <c r="F613" s="187"/>
    </row>
    <row r="614" spans="5:6" x14ac:dyDescent="0.15">
      <c r="E614" s="187"/>
      <c r="F614" s="187"/>
    </row>
    <row r="615" spans="5:6" x14ac:dyDescent="0.15">
      <c r="E615" s="187"/>
      <c r="F615" s="187"/>
    </row>
    <row r="616" spans="5:6" x14ac:dyDescent="0.15">
      <c r="E616" s="187"/>
      <c r="F616" s="187"/>
    </row>
    <row r="617" spans="5:6" x14ac:dyDescent="0.15">
      <c r="E617" s="187"/>
      <c r="F617" s="187"/>
    </row>
    <row r="618" spans="5:6" x14ac:dyDescent="0.15">
      <c r="E618" s="187"/>
      <c r="F618" s="187"/>
    </row>
    <row r="619" spans="5:6" x14ac:dyDescent="0.15">
      <c r="E619" s="187"/>
      <c r="F619" s="187"/>
    </row>
    <row r="620" spans="5:6" x14ac:dyDescent="0.15">
      <c r="E620" s="187"/>
      <c r="F620" s="187"/>
    </row>
    <row r="621" spans="5:6" x14ac:dyDescent="0.15">
      <c r="E621" s="187"/>
      <c r="F621" s="187"/>
    </row>
    <row r="622" spans="5:6" x14ac:dyDescent="0.15">
      <c r="E622" s="187"/>
      <c r="F622" s="187"/>
    </row>
    <row r="623" spans="5:6" x14ac:dyDescent="0.15">
      <c r="E623" s="187"/>
      <c r="F623" s="187"/>
    </row>
    <row r="624" spans="5:6" x14ac:dyDescent="0.15">
      <c r="E624" s="187"/>
      <c r="F624" s="187"/>
    </row>
    <row r="625" spans="5:6" x14ac:dyDescent="0.15">
      <c r="E625" s="187"/>
      <c r="F625" s="187"/>
    </row>
    <row r="626" spans="5:6" x14ac:dyDescent="0.15">
      <c r="E626" s="187"/>
      <c r="F626" s="187"/>
    </row>
    <row r="627" spans="5:6" x14ac:dyDescent="0.15">
      <c r="E627" s="187"/>
      <c r="F627" s="187"/>
    </row>
    <row r="628" spans="5:6" x14ac:dyDescent="0.15">
      <c r="E628" s="187"/>
      <c r="F628" s="187"/>
    </row>
    <row r="629" spans="5:6" x14ac:dyDescent="0.15">
      <c r="E629" s="187"/>
      <c r="F629" s="187"/>
    </row>
    <row r="630" spans="5:6" x14ac:dyDescent="0.15">
      <c r="E630" s="187"/>
      <c r="F630" s="187"/>
    </row>
    <row r="631" spans="5:6" x14ac:dyDescent="0.15">
      <c r="E631" s="187"/>
      <c r="F631" s="187"/>
    </row>
    <row r="632" spans="5:6" x14ac:dyDescent="0.15">
      <c r="E632" s="187"/>
      <c r="F632" s="187"/>
    </row>
    <row r="633" spans="5:6" x14ac:dyDescent="0.15">
      <c r="E633" s="187"/>
      <c r="F633" s="187"/>
    </row>
    <row r="634" spans="5:6" x14ac:dyDescent="0.15">
      <c r="E634" s="187"/>
      <c r="F634" s="187"/>
    </row>
    <row r="635" spans="5:6" x14ac:dyDescent="0.15">
      <c r="E635" s="187"/>
      <c r="F635" s="187"/>
    </row>
    <row r="636" spans="5:6" x14ac:dyDescent="0.15">
      <c r="E636" s="187"/>
      <c r="F636" s="187"/>
    </row>
    <row r="637" spans="5:6" x14ac:dyDescent="0.15">
      <c r="E637" s="187"/>
      <c r="F637" s="187"/>
    </row>
    <row r="638" spans="5:6" x14ac:dyDescent="0.15">
      <c r="E638" s="187"/>
      <c r="F638" s="187"/>
    </row>
    <row r="639" spans="5:6" x14ac:dyDescent="0.15">
      <c r="E639" s="187"/>
      <c r="F639" s="187"/>
    </row>
    <row r="640" spans="5:6" x14ac:dyDescent="0.15">
      <c r="E640" s="187"/>
      <c r="F640" s="187"/>
    </row>
    <row r="641" spans="5:6" x14ac:dyDescent="0.15">
      <c r="E641" s="187"/>
      <c r="F641" s="187"/>
    </row>
    <row r="642" spans="5:6" x14ac:dyDescent="0.15">
      <c r="E642" s="187"/>
      <c r="F642" s="187"/>
    </row>
    <row r="643" spans="5:6" x14ac:dyDescent="0.15">
      <c r="E643" s="187"/>
      <c r="F643" s="187"/>
    </row>
    <row r="644" spans="5:6" x14ac:dyDescent="0.15">
      <c r="E644" s="187"/>
      <c r="F644" s="187"/>
    </row>
    <row r="645" spans="5:6" x14ac:dyDescent="0.15">
      <c r="E645" s="187"/>
      <c r="F645" s="187"/>
    </row>
    <row r="646" spans="5:6" x14ac:dyDescent="0.15">
      <c r="E646" s="187"/>
      <c r="F646" s="187"/>
    </row>
    <row r="647" spans="5:6" x14ac:dyDescent="0.15">
      <c r="E647" s="187"/>
      <c r="F647" s="187"/>
    </row>
    <row r="648" spans="5:6" x14ac:dyDescent="0.15">
      <c r="E648" s="187"/>
      <c r="F648" s="187"/>
    </row>
    <row r="649" spans="5:6" x14ac:dyDescent="0.15">
      <c r="E649" s="187"/>
      <c r="F649" s="187"/>
    </row>
    <row r="650" spans="5:6" x14ac:dyDescent="0.15">
      <c r="E650" s="187"/>
      <c r="F650" s="187"/>
    </row>
    <row r="651" spans="5:6" x14ac:dyDescent="0.15">
      <c r="E651" s="187"/>
      <c r="F651" s="187"/>
    </row>
    <row r="652" spans="5:6" x14ac:dyDescent="0.15">
      <c r="E652" s="187"/>
      <c r="F652" s="187"/>
    </row>
    <row r="653" spans="5:6" x14ac:dyDescent="0.15">
      <c r="E653" s="187"/>
      <c r="F653" s="187"/>
    </row>
    <row r="654" spans="5:6" x14ac:dyDescent="0.15">
      <c r="E654" s="187"/>
      <c r="F654" s="187"/>
    </row>
    <row r="655" spans="5:6" x14ac:dyDescent="0.15">
      <c r="E655" s="187"/>
      <c r="F655" s="187"/>
    </row>
    <row r="656" spans="5:6" x14ac:dyDescent="0.15">
      <c r="E656" s="187"/>
      <c r="F656" s="187"/>
    </row>
    <row r="657" spans="5:6" x14ac:dyDescent="0.15">
      <c r="E657" s="187"/>
      <c r="F657" s="187"/>
    </row>
    <row r="658" spans="5:6" x14ac:dyDescent="0.15">
      <c r="E658" s="187"/>
      <c r="F658" s="187"/>
    </row>
    <row r="659" spans="5:6" x14ac:dyDescent="0.15">
      <c r="E659" s="187"/>
      <c r="F659" s="187"/>
    </row>
    <row r="660" spans="5:6" x14ac:dyDescent="0.15">
      <c r="E660" s="187"/>
      <c r="F660" s="187"/>
    </row>
    <row r="661" spans="5:6" x14ac:dyDescent="0.15">
      <c r="E661" s="187"/>
      <c r="F661" s="187"/>
    </row>
    <row r="662" spans="5:6" x14ac:dyDescent="0.15">
      <c r="E662" s="187"/>
      <c r="F662" s="187"/>
    </row>
    <row r="663" spans="5:6" x14ac:dyDescent="0.15">
      <c r="E663" s="187"/>
      <c r="F663" s="187"/>
    </row>
    <row r="664" spans="5:6" x14ac:dyDescent="0.15">
      <c r="E664" s="187"/>
      <c r="F664" s="187"/>
    </row>
    <row r="665" spans="5:6" x14ac:dyDescent="0.15">
      <c r="E665" s="187"/>
      <c r="F665" s="187"/>
    </row>
    <row r="666" spans="5:6" x14ac:dyDescent="0.15">
      <c r="E666" s="187"/>
      <c r="F666" s="187"/>
    </row>
    <row r="667" spans="5:6" x14ac:dyDescent="0.15">
      <c r="E667" s="187"/>
      <c r="F667" s="187"/>
    </row>
    <row r="668" spans="5:6" x14ac:dyDescent="0.15">
      <c r="E668" s="187"/>
      <c r="F668" s="187"/>
    </row>
    <row r="669" spans="5:6" x14ac:dyDescent="0.15">
      <c r="E669" s="187"/>
      <c r="F669" s="187"/>
    </row>
    <row r="670" spans="5:6" x14ac:dyDescent="0.15">
      <c r="E670" s="187"/>
      <c r="F670" s="187"/>
    </row>
    <row r="671" spans="5:6" x14ac:dyDescent="0.15">
      <c r="E671" s="187"/>
      <c r="F671" s="187"/>
    </row>
    <row r="672" spans="5:6" x14ac:dyDescent="0.15">
      <c r="E672" s="187"/>
      <c r="F672" s="187"/>
    </row>
    <row r="673" spans="5:6" x14ac:dyDescent="0.15">
      <c r="E673" s="187"/>
      <c r="F673" s="187"/>
    </row>
    <row r="674" spans="5:6" x14ac:dyDescent="0.15">
      <c r="E674" s="187"/>
      <c r="F674" s="187"/>
    </row>
    <row r="675" spans="5:6" x14ac:dyDescent="0.15">
      <c r="E675" s="187"/>
      <c r="F675" s="187"/>
    </row>
    <row r="676" spans="5:6" x14ac:dyDescent="0.15">
      <c r="E676" s="187"/>
      <c r="F676" s="187"/>
    </row>
    <row r="677" spans="5:6" x14ac:dyDescent="0.15">
      <c r="E677" s="187"/>
      <c r="F677" s="187"/>
    </row>
    <row r="678" spans="5:6" x14ac:dyDescent="0.15">
      <c r="E678" s="187"/>
      <c r="F678" s="187"/>
    </row>
    <row r="679" spans="5:6" x14ac:dyDescent="0.15">
      <c r="E679" s="187"/>
      <c r="F679" s="187"/>
    </row>
    <row r="680" spans="5:6" x14ac:dyDescent="0.15">
      <c r="E680" s="187"/>
      <c r="F680" s="187"/>
    </row>
    <row r="681" spans="5:6" x14ac:dyDescent="0.15">
      <c r="E681" s="187"/>
      <c r="F681" s="187"/>
    </row>
    <row r="682" spans="5:6" x14ac:dyDescent="0.15">
      <c r="E682" s="187"/>
      <c r="F682" s="187"/>
    </row>
    <row r="683" spans="5:6" x14ac:dyDescent="0.15">
      <c r="E683" s="187"/>
      <c r="F683" s="187"/>
    </row>
    <row r="684" spans="5:6" x14ac:dyDescent="0.15">
      <c r="E684" s="187"/>
      <c r="F684" s="187"/>
    </row>
    <row r="685" spans="5:6" x14ac:dyDescent="0.15">
      <c r="E685" s="187"/>
      <c r="F685" s="187"/>
    </row>
    <row r="686" spans="5:6" x14ac:dyDescent="0.15">
      <c r="E686" s="187"/>
      <c r="F686" s="187"/>
    </row>
    <row r="687" spans="5:6" x14ac:dyDescent="0.15">
      <c r="E687" s="187"/>
      <c r="F687" s="187"/>
    </row>
    <row r="688" spans="5:6" x14ac:dyDescent="0.15">
      <c r="E688" s="187"/>
      <c r="F688" s="187"/>
    </row>
    <row r="689" spans="5:6" x14ac:dyDescent="0.15">
      <c r="E689" s="187"/>
      <c r="F689" s="187"/>
    </row>
    <row r="690" spans="5:6" x14ac:dyDescent="0.15">
      <c r="E690" s="187"/>
      <c r="F690" s="187"/>
    </row>
    <row r="691" spans="5:6" x14ac:dyDescent="0.15">
      <c r="E691" s="187"/>
      <c r="F691" s="187"/>
    </row>
    <row r="692" spans="5:6" x14ac:dyDescent="0.15">
      <c r="E692" s="187"/>
      <c r="F692" s="187"/>
    </row>
    <row r="693" spans="5:6" x14ac:dyDescent="0.15">
      <c r="E693" s="187"/>
      <c r="F693" s="187"/>
    </row>
    <row r="694" spans="5:6" x14ac:dyDescent="0.15">
      <c r="E694" s="187"/>
      <c r="F694" s="187"/>
    </row>
    <row r="695" spans="5:6" x14ac:dyDescent="0.15">
      <c r="E695" s="187"/>
      <c r="F695" s="187"/>
    </row>
    <row r="696" spans="5:6" x14ac:dyDescent="0.15">
      <c r="E696" s="187"/>
      <c r="F696" s="187"/>
    </row>
    <row r="697" spans="5:6" x14ac:dyDescent="0.15">
      <c r="E697" s="187"/>
      <c r="F697" s="187"/>
    </row>
    <row r="698" spans="5:6" x14ac:dyDescent="0.15">
      <c r="E698" s="187"/>
      <c r="F698" s="187"/>
    </row>
    <row r="699" spans="5:6" x14ac:dyDescent="0.15">
      <c r="E699" s="187"/>
      <c r="F699" s="187"/>
    </row>
    <row r="700" spans="5:6" x14ac:dyDescent="0.15">
      <c r="E700" s="187"/>
      <c r="F700" s="187"/>
    </row>
    <row r="701" spans="5:6" x14ac:dyDescent="0.15">
      <c r="E701" s="187"/>
      <c r="F701" s="187"/>
    </row>
    <row r="702" spans="5:6" x14ac:dyDescent="0.15">
      <c r="E702" s="187"/>
      <c r="F702" s="187"/>
    </row>
    <row r="703" spans="5:6" x14ac:dyDescent="0.15">
      <c r="E703" s="187"/>
      <c r="F703" s="187"/>
    </row>
    <row r="704" spans="5:6" x14ac:dyDescent="0.15">
      <c r="E704" s="187"/>
      <c r="F704" s="187"/>
    </row>
    <row r="705" spans="5:6" x14ac:dyDescent="0.15">
      <c r="E705" s="187"/>
      <c r="F705" s="187"/>
    </row>
    <row r="706" spans="5:6" x14ac:dyDescent="0.15">
      <c r="E706" s="187"/>
      <c r="F706" s="187"/>
    </row>
    <row r="707" spans="5:6" x14ac:dyDescent="0.15">
      <c r="E707" s="187"/>
      <c r="F707" s="187"/>
    </row>
    <row r="708" spans="5:6" x14ac:dyDescent="0.15">
      <c r="E708" s="187"/>
      <c r="F708" s="187"/>
    </row>
    <row r="709" spans="5:6" x14ac:dyDescent="0.15">
      <c r="E709" s="187"/>
      <c r="F709" s="187"/>
    </row>
    <row r="710" spans="5:6" x14ac:dyDescent="0.15">
      <c r="E710" s="187"/>
      <c r="F710" s="187"/>
    </row>
    <row r="711" spans="5:6" x14ac:dyDescent="0.15">
      <c r="E711" s="187"/>
      <c r="F711" s="187"/>
    </row>
    <row r="712" spans="5:6" x14ac:dyDescent="0.15">
      <c r="E712" s="187"/>
      <c r="F712" s="187"/>
    </row>
    <row r="713" spans="5:6" x14ac:dyDescent="0.15">
      <c r="E713" s="187"/>
      <c r="F713" s="187"/>
    </row>
    <row r="714" spans="5:6" x14ac:dyDescent="0.15">
      <c r="E714" s="187"/>
      <c r="F714" s="187"/>
    </row>
    <row r="715" spans="5:6" x14ac:dyDescent="0.15">
      <c r="E715" s="187"/>
      <c r="F715" s="187"/>
    </row>
    <row r="716" spans="5:6" x14ac:dyDescent="0.15">
      <c r="E716" s="187"/>
      <c r="F716" s="187"/>
    </row>
    <row r="717" spans="5:6" x14ac:dyDescent="0.15">
      <c r="E717" s="187"/>
      <c r="F717" s="187"/>
    </row>
    <row r="718" spans="5:6" x14ac:dyDescent="0.15">
      <c r="E718" s="187"/>
      <c r="F718" s="187"/>
    </row>
    <row r="719" spans="5:6" x14ac:dyDescent="0.15">
      <c r="E719" s="187"/>
      <c r="F719" s="187"/>
    </row>
    <row r="720" spans="5:6" x14ac:dyDescent="0.15">
      <c r="E720" s="187"/>
    </row>
  </sheetData>
  <autoFilter ref="A1:BA73"/>
  <phoneticPr fontId="3"/>
  <dataValidations count="15">
    <dataValidation type="decimal" allowBlank="1" showInputMessage="1" showErrorMessage="1" error="硬度を正しく入力して下さい。" sqref="O2:P488">
      <formula1>0</formula1>
      <formula2>7</formula2>
    </dataValidation>
    <dataValidation type="list" allowBlank="1" showInputMessage="1" showErrorMessage="1" sqref="K2:K77">
      <formula1>$AR$2:$AR$26</formula1>
    </dataValidation>
    <dataValidation type="list" allowBlank="1" showInputMessage="1" showErrorMessage="1" sqref="Y2:AA488">
      <formula1>$AV$2:$AV$21</formula1>
    </dataValidation>
    <dataValidation type="list" allowBlank="1" showInputMessage="1" showErrorMessage="1" sqref="H2:H488">
      <formula1>$AL$2:$AL$8</formula1>
    </dataValidation>
    <dataValidation type="list" allowBlank="1" showInputMessage="1" showErrorMessage="1" sqref="Y983030:AA983107 ADM983030:ADO983107 BHA983030:BHC983107 CKO983030:CKQ983107 DOC983030:DOE983107 ERQ983030:ERS983107 FVE983030:FVG983107 GYS983030:GYU983107 ICG983030:ICI983107 JFU983030:JFW983107 KJI983030:KJK983107 LMW983030:LMY983107 MQK983030:MQM983107 NTY983030:NUA983107 OXM983030:OXO983107 QBA983030:QBC983107 REO983030:REQ983107 SIC983030:SIE983107 TLQ983030:TLS983107 UPE983030:UPG983107 VSS983030:VSU983107 WWG983030:WWI983107 Y65526:AA65603 ADM65526:ADO65603 BHA65526:BHC65603 CKO65526:CKQ65603 DOC65526:DOE65603 ERQ65526:ERS65603 FVE65526:FVG65603 GYS65526:GYU65603 ICG65526:ICI65603 JFU65526:JFW65603 KJI65526:KJK65603 LMW65526:LMY65603 MQK65526:MQM65603 NTY65526:NUA65603 OXM65526:OXO65603 QBA65526:QBC65603 REO65526:REQ65603 SIC65526:SIE65603 TLQ65526:TLS65603 UPE65526:UPG65603 VSS65526:VSU65603 WWG65526:WWI65603 JU65526:JW65603 ANI65526:ANK65603 BQW65526:BQY65603 CUK65526:CUM65603 DXY65526:DYA65603 FBM65526:FBO65603 GFA65526:GFC65603 HIO65526:HIQ65603 IMC65526:IME65603 JPQ65526:JPS65603 KTE65526:KTG65603 LWS65526:LWU65603 NAG65526:NAI65603 ODU65526:ODW65603 PHI65526:PHK65603 QKW65526:QKY65603 ROK65526:ROM65603 SRY65526:SSA65603 TVM65526:TVO65603 UZA65526:UZC65603 WCO65526:WCQ65603 TQ65526:TS65603 AXE65526:AXG65603 CAS65526:CAU65603 DEG65526:DEI65603 EHU65526:EHW65603 FLI65526:FLK65603 GOW65526:GOY65603 HSK65526:HSM65603 IVY65526:IWA65603 JZM65526:JZO65603 LDA65526:LDC65603 MGO65526:MGQ65603 NKC65526:NKE65603 ONQ65526:ONS65603 PRE65526:PRG65603 QUS65526:QUU65603 RYG65526:RYI65603 TBU65526:TBW65603 UFI65526:UFK65603 VIW65526:VIY65603 WMK65526:WMM65603 Y131062:AA131139 ADM131062:ADO131139 BHA131062:BHC131139 CKO131062:CKQ131139 DOC131062:DOE131139 ERQ131062:ERS131139 FVE131062:FVG131139 GYS131062:GYU131139 ICG131062:ICI131139 JFU131062:JFW131139 KJI131062:KJK131139 LMW131062:LMY131139 MQK131062:MQM131139 NTY131062:NUA131139 OXM131062:OXO131139 QBA131062:QBC131139 REO131062:REQ131139 SIC131062:SIE131139 TLQ131062:TLS131139 UPE131062:UPG131139 VSS131062:VSU131139 WWG131062:WWI131139 JU131062:JW131139 ANI131062:ANK131139 BQW131062:BQY131139 CUK131062:CUM131139 DXY131062:DYA131139 FBM131062:FBO131139 GFA131062:GFC131139 HIO131062:HIQ131139 IMC131062:IME131139 JPQ131062:JPS131139 KTE131062:KTG131139 LWS131062:LWU131139 NAG131062:NAI131139 ODU131062:ODW131139 PHI131062:PHK131139 QKW131062:QKY131139 ROK131062:ROM131139 SRY131062:SSA131139 TVM131062:TVO131139 UZA131062:UZC131139 WCO131062:WCQ131139 TQ131062:TS131139 AXE131062:AXG131139 CAS131062:CAU131139 DEG131062:DEI131139 EHU131062:EHW131139 FLI131062:FLK131139 GOW131062:GOY131139 HSK131062:HSM131139 IVY131062:IWA131139 JZM131062:JZO131139 LDA131062:LDC131139 MGO131062:MGQ131139 NKC131062:NKE131139 ONQ131062:ONS131139 PRE131062:PRG131139 QUS131062:QUU131139 RYG131062:RYI131139 TBU131062:TBW131139 UFI131062:UFK131139 VIW131062:VIY131139 WMK131062:WMM131139 Y196598:AA196675 ADM196598:ADO196675 BHA196598:BHC196675 CKO196598:CKQ196675 DOC196598:DOE196675 ERQ196598:ERS196675 FVE196598:FVG196675 GYS196598:GYU196675 ICG196598:ICI196675 JFU196598:JFW196675 KJI196598:KJK196675 LMW196598:LMY196675 MQK196598:MQM196675 NTY196598:NUA196675 OXM196598:OXO196675 QBA196598:QBC196675 REO196598:REQ196675 SIC196598:SIE196675 TLQ196598:TLS196675 UPE196598:UPG196675 VSS196598:VSU196675 WWG196598:WWI196675 JU196598:JW196675 ANI196598:ANK196675 BQW196598:BQY196675 CUK196598:CUM196675 DXY196598:DYA196675 FBM196598:FBO196675 GFA196598:GFC196675 HIO196598:HIQ196675 IMC196598:IME196675 JPQ196598:JPS196675 KTE196598:KTG196675 LWS196598:LWU196675 NAG196598:NAI196675 ODU196598:ODW196675 PHI196598:PHK196675 QKW196598:QKY196675 ROK196598:ROM196675 SRY196598:SSA196675 TVM196598:TVO196675 UZA196598:UZC196675 WCO196598:WCQ196675 TQ196598:TS196675 AXE196598:AXG196675 CAS196598:CAU196675 DEG196598:DEI196675 EHU196598:EHW196675 FLI196598:FLK196675 GOW196598:GOY196675 HSK196598:HSM196675 IVY196598:IWA196675 JZM196598:JZO196675 LDA196598:LDC196675 MGO196598:MGQ196675 NKC196598:NKE196675 ONQ196598:ONS196675 PRE196598:PRG196675 QUS196598:QUU196675 RYG196598:RYI196675 TBU196598:TBW196675 UFI196598:UFK196675 VIW196598:VIY196675 WMK196598:WMM196675 Y262134:AA262211 ADM262134:ADO262211 BHA262134:BHC262211 CKO262134:CKQ262211 DOC262134:DOE262211 ERQ262134:ERS262211 FVE262134:FVG262211 GYS262134:GYU262211 ICG262134:ICI262211 JFU262134:JFW262211 KJI262134:KJK262211 LMW262134:LMY262211 MQK262134:MQM262211 NTY262134:NUA262211 OXM262134:OXO262211 QBA262134:QBC262211 REO262134:REQ262211 SIC262134:SIE262211 TLQ262134:TLS262211 UPE262134:UPG262211 VSS262134:VSU262211 WWG262134:WWI262211 JU262134:JW262211 ANI262134:ANK262211 BQW262134:BQY262211 CUK262134:CUM262211 DXY262134:DYA262211 FBM262134:FBO262211 GFA262134:GFC262211 HIO262134:HIQ262211 IMC262134:IME262211 JPQ262134:JPS262211 KTE262134:KTG262211 LWS262134:LWU262211 NAG262134:NAI262211 ODU262134:ODW262211 PHI262134:PHK262211 QKW262134:QKY262211 ROK262134:ROM262211 SRY262134:SSA262211 TVM262134:TVO262211 UZA262134:UZC262211 WCO262134:WCQ262211 TQ262134:TS262211 AXE262134:AXG262211 CAS262134:CAU262211 DEG262134:DEI262211 EHU262134:EHW262211 FLI262134:FLK262211 GOW262134:GOY262211 HSK262134:HSM262211 IVY262134:IWA262211 JZM262134:JZO262211 LDA262134:LDC262211 MGO262134:MGQ262211 NKC262134:NKE262211 ONQ262134:ONS262211 PRE262134:PRG262211 QUS262134:QUU262211 RYG262134:RYI262211 TBU262134:TBW262211 UFI262134:UFK262211 VIW262134:VIY262211 WMK262134:WMM262211 Y327670:AA327747 ADM327670:ADO327747 BHA327670:BHC327747 CKO327670:CKQ327747 DOC327670:DOE327747 ERQ327670:ERS327747 FVE327670:FVG327747 GYS327670:GYU327747 ICG327670:ICI327747 JFU327670:JFW327747 KJI327670:KJK327747 LMW327670:LMY327747 MQK327670:MQM327747 NTY327670:NUA327747 OXM327670:OXO327747 QBA327670:QBC327747 REO327670:REQ327747 SIC327670:SIE327747 TLQ327670:TLS327747 UPE327670:UPG327747 VSS327670:VSU327747 WWG327670:WWI327747 JU327670:JW327747 ANI327670:ANK327747 BQW327670:BQY327747 CUK327670:CUM327747 DXY327670:DYA327747 FBM327670:FBO327747 GFA327670:GFC327747 HIO327670:HIQ327747 IMC327670:IME327747 JPQ327670:JPS327747 KTE327670:KTG327747 LWS327670:LWU327747 NAG327670:NAI327747 ODU327670:ODW327747 PHI327670:PHK327747 QKW327670:QKY327747 ROK327670:ROM327747 SRY327670:SSA327747 TVM327670:TVO327747 UZA327670:UZC327747 WCO327670:WCQ327747 TQ327670:TS327747 AXE327670:AXG327747 CAS327670:CAU327747 DEG327670:DEI327747 EHU327670:EHW327747 FLI327670:FLK327747 GOW327670:GOY327747 HSK327670:HSM327747 IVY327670:IWA327747 JZM327670:JZO327747 LDA327670:LDC327747 MGO327670:MGQ327747 NKC327670:NKE327747 ONQ327670:ONS327747 PRE327670:PRG327747 QUS327670:QUU327747 RYG327670:RYI327747 TBU327670:TBW327747 UFI327670:UFK327747 VIW327670:VIY327747 WMK327670:WMM327747 Y393206:AA393283 ADM393206:ADO393283 BHA393206:BHC393283 CKO393206:CKQ393283 DOC393206:DOE393283 ERQ393206:ERS393283 FVE393206:FVG393283 GYS393206:GYU393283 ICG393206:ICI393283 JFU393206:JFW393283 KJI393206:KJK393283 LMW393206:LMY393283 MQK393206:MQM393283 NTY393206:NUA393283 OXM393206:OXO393283 QBA393206:QBC393283 REO393206:REQ393283 SIC393206:SIE393283 TLQ393206:TLS393283 UPE393206:UPG393283 VSS393206:VSU393283 WWG393206:WWI393283 JU393206:JW393283 ANI393206:ANK393283 BQW393206:BQY393283 CUK393206:CUM393283 DXY393206:DYA393283 FBM393206:FBO393283 GFA393206:GFC393283 HIO393206:HIQ393283 IMC393206:IME393283 JPQ393206:JPS393283 KTE393206:KTG393283 LWS393206:LWU393283 NAG393206:NAI393283 ODU393206:ODW393283 PHI393206:PHK393283 QKW393206:QKY393283 ROK393206:ROM393283 SRY393206:SSA393283 TVM393206:TVO393283 UZA393206:UZC393283 WCO393206:WCQ393283 TQ393206:TS393283 AXE393206:AXG393283 CAS393206:CAU393283 DEG393206:DEI393283 EHU393206:EHW393283 FLI393206:FLK393283 GOW393206:GOY393283 HSK393206:HSM393283 IVY393206:IWA393283 JZM393206:JZO393283 LDA393206:LDC393283 MGO393206:MGQ393283 NKC393206:NKE393283 ONQ393206:ONS393283 PRE393206:PRG393283 QUS393206:QUU393283 RYG393206:RYI393283 TBU393206:TBW393283 UFI393206:UFK393283 VIW393206:VIY393283 WMK393206:WMM393283 Y458742:AA458819 ADM458742:ADO458819 BHA458742:BHC458819 CKO458742:CKQ458819 DOC458742:DOE458819 ERQ458742:ERS458819 FVE458742:FVG458819 GYS458742:GYU458819 ICG458742:ICI458819 JFU458742:JFW458819 KJI458742:KJK458819 LMW458742:LMY458819 MQK458742:MQM458819 NTY458742:NUA458819 OXM458742:OXO458819 QBA458742:QBC458819 REO458742:REQ458819 SIC458742:SIE458819 TLQ458742:TLS458819 UPE458742:UPG458819 VSS458742:VSU458819 WWG458742:WWI458819 JU458742:JW458819 ANI458742:ANK458819 BQW458742:BQY458819 CUK458742:CUM458819 DXY458742:DYA458819 FBM458742:FBO458819 GFA458742:GFC458819 HIO458742:HIQ458819 IMC458742:IME458819 JPQ458742:JPS458819 KTE458742:KTG458819 LWS458742:LWU458819 NAG458742:NAI458819 ODU458742:ODW458819 PHI458742:PHK458819 QKW458742:QKY458819 ROK458742:ROM458819 SRY458742:SSA458819 TVM458742:TVO458819 UZA458742:UZC458819 WCO458742:WCQ458819 TQ458742:TS458819 AXE458742:AXG458819 CAS458742:CAU458819 DEG458742:DEI458819 EHU458742:EHW458819 FLI458742:FLK458819 GOW458742:GOY458819 HSK458742:HSM458819 IVY458742:IWA458819 JZM458742:JZO458819 LDA458742:LDC458819 MGO458742:MGQ458819 NKC458742:NKE458819 ONQ458742:ONS458819 PRE458742:PRG458819 QUS458742:QUU458819 RYG458742:RYI458819 TBU458742:TBW458819 UFI458742:UFK458819 VIW458742:VIY458819 WMK458742:WMM458819 Y524278:AA524355 ADM524278:ADO524355 BHA524278:BHC524355 CKO524278:CKQ524355 DOC524278:DOE524355 ERQ524278:ERS524355 FVE524278:FVG524355 GYS524278:GYU524355 ICG524278:ICI524355 JFU524278:JFW524355 KJI524278:KJK524355 LMW524278:LMY524355 MQK524278:MQM524355 NTY524278:NUA524355 OXM524278:OXO524355 QBA524278:QBC524355 REO524278:REQ524355 SIC524278:SIE524355 TLQ524278:TLS524355 UPE524278:UPG524355 VSS524278:VSU524355 WWG524278:WWI524355 JU524278:JW524355 ANI524278:ANK524355 BQW524278:BQY524355 CUK524278:CUM524355 DXY524278:DYA524355 FBM524278:FBO524355 GFA524278:GFC524355 HIO524278:HIQ524355 IMC524278:IME524355 JPQ524278:JPS524355 KTE524278:KTG524355 LWS524278:LWU524355 NAG524278:NAI524355 ODU524278:ODW524355 PHI524278:PHK524355 QKW524278:QKY524355 ROK524278:ROM524355 SRY524278:SSA524355 TVM524278:TVO524355 UZA524278:UZC524355 WCO524278:WCQ524355 TQ524278:TS524355 AXE524278:AXG524355 CAS524278:CAU524355 DEG524278:DEI524355 EHU524278:EHW524355 FLI524278:FLK524355 GOW524278:GOY524355 HSK524278:HSM524355 IVY524278:IWA524355 JZM524278:JZO524355 LDA524278:LDC524355 MGO524278:MGQ524355 NKC524278:NKE524355 ONQ524278:ONS524355 PRE524278:PRG524355 QUS524278:QUU524355 RYG524278:RYI524355 TBU524278:TBW524355 UFI524278:UFK524355 VIW524278:VIY524355 WMK524278:WMM524355 Y589814:AA589891 ADM589814:ADO589891 BHA589814:BHC589891 CKO589814:CKQ589891 DOC589814:DOE589891 ERQ589814:ERS589891 FVE589814:FVG589891 GYS589814:GYU589891 ICG589814:ICI589891 JFU589814:JFW589891 KJI589814:KJK589891 LMW589814:LMY589891 MQK589814:MQM589891 NTY589814:NUA589891 OXM589814:OXO589891 QBA589814:QBC589891 REO589814:REQ589891 SIC589814:SIE589891 TLQ589814:TLS589891 UPE589814:UPG589891 VSS589814:VSU589891 WWG589814:WWI589891 JU589814:JW589891 ANI589814:ANK589891 BQW589814:BQY589891 CUK589814:CUM589891 DXY589814:DYA589891 FBM589814:FBO589891 GFA589814:GFC589891 HIO589814:HIQ589891 IMC589814:IME589891 JPQ589814:JPS589891 KTE589814:KTG589891 LWS589814:LWU589891 NAG589814:NAI589891 ODU589814:ODW589891 PHI589814:PHK589891 QKW589814:QKY589891 ROK589814:ROM589891 SRY589814:SSA589891 TVM589814:TVO589891 UZA589814:UZC589891 WCO589814:WCQ589891 TQ589814:TS589891 AXE589814:AXG589891 CAS589814:CAU589891 DEG589814:DEI589891 EHU589814:EHW589891 FLI589814:FLK589891 GOW589814:GOY589891 HSK589814:HSM589891 IVY589814:IWA589891 JZM589814:JZO589891 LDA589814:LDC589891 MGO589814:MGQ589891 NKC589814:NKE589891 ONQ589814:ONS589891 PRE589814:PRG589891 QUS589814:QUU589891 RYG589814:RYI589891 TBU589814:TBW589891 UFI589814:UFK589891 VIW589814:VIY589891 WMK589814:WMM589891 Y655350:AA655427 ADM655350:ADO655427 BHA655350:BHC655427 CKO655350:CKQ655427 DOC655350:DOE655427 ERQ655350:ERS655427 FVE655350:FVG655427 GYS655350:GYU655427 ICG655350:ICI655427 JFU655350:JFW655427 KJI655350:KJK655427 LMW655350:LMY655427 MQK655350:MQM655427 NTY655350:NUA655427 OXM655350:OXO655427 QBA655350:QBC655427 REO655350:REQ655427 SIC655350:SIE655427 TLQ655350:TLS655427 UPE655350:UPG655427 VSS655350:VSU655427 WWG655350:WWI655427 JU655350:JW655427 ANI655350:ANK655427 BQW655350:BQY655427 CUK655350:CUM655427 DXY655350:DYA655427 FBM655350:FBO655427 GFA655350:GFC655427 HIO655350:HIQ655427 IMC655350:IME655427 JPQ655350:JPS655427 KTE655350:KTG655427 LWS655350:LWU655427 NAG655350:NAI655427 ODU655350:ODW655427 PHI655350:PHK655427 QKW655350:QKY655427 ROK655350:ROM655427 SRY655350:SSA655427 TVM655350:TVO655427 UZA655350:UZC655427 WCO655350:WCQ655427 TQ655350:TS655427 AXE655350:AXG655427 CAS655350:CAU655427 DEG655350:DEI655427 EHU655350:EHW655427 FLI655350:FLK655427 GOW655350:GOY655427 HSK655350:HSM655427 IVY655350:IWA655427 JZM655350:JZO655427 LDA655350:LDC655427 MGO655350:MGQ655427 NKC655350:NKE655427 ONQ655350:ONS655427 PRE655350:PRG655427 QUS655350:QUU655427 RYG655350:RYI655427 TBU655350:TBW655427 UFI655350:UFK655427 VIW655350:VIY655427 WMK655350:WMM655427 Y720886:AA720963 ADM720886:ADO720963 BHA720886:BHC720963 CKO720886:CKQ720963 DOC720886:DOE720963 ERQ720886:ERS720963 FVE720886:FVG720963 GYS720886:GYU720963 ICG720886:ICI720963 JFU720886:JFW720963 KJI720886:KJK720963 LMW720886:LMY720963 MQK720886:MQM720963 NTY720886:NUA720963 OXM720886:OXO720963 QBA720886:QBC720963 REO720886:REQ720963 SIC720886:SIE720963 TLQ720886:TLS720963 UPE720886:UPG720963 VSS720886:VSU720963 WWG720886:WWI720963 JU720886:JW720963 ANI720886:ANK720963 BQW720886:BQY720963 CUK720886:CUM720963 DXY720886:DYA720963 FBM720886:FBO720963 GFA720886:GFC720963 HIO720886:HIQ720963 IMC720886:IME720963 JPQ720886:JPS720963 KTE720886:KTG720963 LWS720886:LWU720963 NAG720886:NAI720963 ODU720886:ODW720963 PHI720886:PHK720963 QKW720886:QKY720963 ROK720886:ROM720963 SRY720886:SSA720963 TVM720886:TVO720963 UZA720886:UZC720963 WCO720886:WCQ720963 TQ720886:TS720963 AXE720886:AXG720963 CAS720886:CAU720963 DEG720886:DEI720963 EHU720886:EHW720963 FLI720886:FLK720963 GOW720886:GOY720963 HSK720886:HSM720963 IVY720886:IWA720963 JZM720886:JZO720963 LDA720886:LDC720963 MGO720886:MGQ720963 NKC720886:NKE720963 ONQ720886:ONS720963 PRE720886:PRG720963 QUS720886:QUU720963 RYG720886:RYI720963 TBU720886:TBW720963 UFI720886:UFK720963 VIW720886:VIY720963 WMK720886:WMM720963 Y786422:AA786499 ADM786422:ADO786499 BHA786422:BHC786499 CKO786422:CKQ786499 DOC786422:DOE786499 ERQ786422:ERS786499 FVE786422:FVG786499 GYS786422:GYU786499 ICG786422:ICI786499 JFU786422:JFW786499 KJI786422:KJK786499 LMW786422:LMY786499 MQK786422:MQM786499 NTY786422:NUA786499 OXM786422:OXO786499 QBA786422:QBC786499 REO786422:REQ786499 SIC786422:SIE786499 TLQ786422:TLS786499 UPE786422:UPG786499 VSS786422:VSU786499 WWG786422:WWI786499 JU786422:JW786499 ANI786422:ANK786499 BQW786422:BQY786499 CUK786422:CUM786499 DXY786422:DYA786499 FBM786422:FBO786499 GFA786422:GFC786499 HIO786422:HIQ786499 IMC786422:IME786499 JPQ786422:JPS786499 KTE786422:KTG786499 LWS786422:LWU786499 NAG786422:NAI786499 ODU786422:ODW786499 PHI786422:PHK786499 QKW786422:QKY786499 ROK786422:ROM786499 SRY786422:SSA786499 TVM786422:TVO786499 UZA786422:UZC786499 WCO786422:WCQ786499 TQ786422:TS786499 AXE786422:AXG786499 CAS786422:CAU786499 DEG786422:DEI786499 EHU786422:EHW786499 FLI786422:FLK786499 GOW786422:GOY786499 HSK786422:HSM786499 IVY786422:IWA786499 JZM786422:JZO786499 LDA786422:LDC786499 MGO786422:MGQ786499 NKC786422:NKE786499 ONQ786422:ONS786499 PRE786422:PRG786499 QUS786422:QUU786499 RYG786422:RYI786499 TBU786422:TBW786499 UFI786422:UFK786499 VIW786422:VIY786499 WMK786422:WMM786499 Y851958:AA852035 ADM851958:ADO852035 BHA851958:BHC852035 CKO851958:CKQ852035 DOC851958:DOE852035 ERQ851958:ERS852035 FVE851958:FVG852035 GYS851958:GYU852035 ICG851958:ICI852035 JFU851958:JFW852035 KJI851958:KJK852035 LMW851958:LMY852035 MQK851958:MQM852035 NTY851958:NUA852035 OXM851958:OXO852035 QBA851958:QBC852035 REO851958:REQ852035 SIC851958:SIE852035 TLQ851958:TLS852035 UPE851958:UPG852035 VSS851958:VSU852035 WWG851958:WWI852035 JU851958:JW852035 ANI851958:ANK852035 BQW851958:BQY852035 CUK851958:CUM852035 DXY851958:DYA852035 FBM851958:FBO852035 GFA851958:GFC852035 HIO851958:HIQ852035 IMC851958:IME852035 JPQ851958:JPS852035 KTE851958:KTG852035 LWS851958:LWU852035 NAG851958:NAI852035 ODU851958:ODW852035 PHI851958:PHK852035 QKW851958:QKY852035 ROK851958:ROM852035 SRY851958:SSA852035 TVM851958:TVO852035 UZA851958:UZC852035 WCO851958:WCQ852035 TQ851958:TS852035 AXE851958:AXG852035 CAS851958:CAU852035 DEG851958:DEI852035 EHU851958:EHW852035 FLI851958:FLK852035 GOW851958:GOY852035 HSK851958:HSM852035 IVY851958:IWA852035 JZM851958:JZO852035 LDA851958:LDC852035 MGO851958:MGQ852035 NKC851958:NKE852035 ONQ851958:ONS852035 PRE851958:PRG852035 QUS851958:QUU852035 RYG851958:RYI852035 TBU851958:TBW852035 UFI851958:UFK852035 VIW851958:VIY852035 WMK851958:WMM852035 Y917494:AA917571 ADM917494:ADO917571 BHA917494:BHC917571 CKO917494:CKQ917571 DOC917494:DOE917571 ERQ917494:ERS917571 FVE917494:FVG917571 GYS917494:GYU917571 ICG917494:ICI917571 JFU917494:JFW917571 KJI917494:KJK917571 LMW917494:LMY917571 MQK917494:MQM917571 NTY917494:NUA917571 OXM917494:OXO917571 QBA917494:QBC917571 REO917494:REQ917571 SIC917494:SIE917571 TLQ917494:TLS917571 UPE917494:UPG917571 VSS917494:VSU917571 WWG917494:WWI917571 JU917494:JW917571 ANI917494:ANK917571 BQW917494:BQY917571 CUK917494:CUM917571 DXY917494:DYA917571 FBM917494:FBO917571 GFA917494:GFC917571 HIO917494:HIQ917571 IMC917494:IME917571 JPQ917494:JPS917571 KTE917494:KTG917571 LWS917494:LWU917571 NAG917494:NAI917571 ODU917494:ODW917571 PHI917494:PHK917571 QKW917494:QKY917571 ROK917494:ROM917571 SRY917494:SSA917571 TVM917494:TVO917571 UZA917494:UZC917571 WCO917494:WCQ917571 TQ917494:TS917571 AXE917494:AXG917571 CAS917494:CAU917571 DEG917494:DEI917571 EHU917494:EHW917571 FLI917494:FLK917571 GOW917494:GOY917571 HSK917494:HSM917571 IVY917494:IWA917571 JZM917494:JZO917571 LDA917494:LDC917571 MGO917494:MGQ917571 NKC917494:NKE917571 ONQ917494:ONS917571 PRE917494:PRG917571 QUS917494:QUU917571 RYG917494:RYI917571 TBU917494:TBW917571 UFI917494:UFK917571 VIW917494:VIY917571 WMK917494:WMM917571 JU983030:JW983107 ANI983030:ANK983107 BQW983030:BQY983107 CUK983030:CUM983107 DXY983030:DYA983107 FBM983030:FBO983107 GFA983030:GFC983107 HIO983030:HIQ983107 IMC983030:IME983107 JPQ983030:JPS983107 KTE983030:KTG983107 LWS983030:LWU983107 NAG983030:NAI983107 ODU983030:ODW983107 PHI983030:PHK983107 QKW983030:QKY983107 ROK983030:ROM983107 SRY983030:SSA983107 TVM983030:TVO983107 UZA983030:UZC983107 WCO983030:WCQ983107 TQ983030:TS983107 AXE983030:AXG983107 CAS983030:CAU983107 DEG983030:DEI983107 EHU983030:EHW983107 FLI983030:FLK983107 GOW983030:GOY983107 HSK983030:HSM983107 IVY983030:IWA983107 JZM983030:JZO983107 LDA983030:LDC983107 MGO983030:MGQ983107 NKC983030:NKE983107 ONQ983030:ONS983107 PRE983030:PRG983107 QUS983030:QUU983107 RYG983030:RYI983107 TBU983030:TBW983107 UFI983030:UFK983107 VIW983030:VIY983107 WMK983030:WMM983107 JU2:JW67 ANI2:ANK67 BQW2:BQY67 CUK2:CUM67 DXY2:DYA67 FBM2:FBO67 GFA2:GFC67 HIO2:HIQ67 IMC2:IME67 JPQ2:JPS67 KTE2:KTG67 LWS2:LWU67 NAG2:NAI67 ODU2:ODW67 PHI2:PHK67 QKW2:QKY67 ROK2:ROM67 SRY2:SSA67 TVM2:TVO67 UZA2:UZC67 WCO2:WCQ67 TQ2:TS67 AXE2:AXG67 CAS2:CAU67 DEG2:DEI67 EHU2:EHW67 FLI2:FLK67 GOW2:GOY67 HSK2:HSM67 IVY2:IWA67 JZM2:JZO67 LDA2:LDC67 MGO2:MGQ67 NKC2:NKE67 ONQ2:ONS67 PRE2:PRG67 QUS2:QUU67 RYG2:RYI67 TBU2:TBW67 UFI2:UFK67 VIW2:VIY67 WMK2:WMM67 ADM2:ADO67 BHA2:BHC67 CKO2:CKQ67 DOC2:DOE67 ERQ2:ERS67 FVE2:FVG67 GYS2:GYU67 ICG2:ICI67 JFU2:JFW67 KJI2:KJK67 LMW2:LMY67 MQK2:MQM67 NTY2:NUA67 OXM2:OXO67 QBA2:QBC67 REO2:REQ67 SIC2:SIE67 TLQ2:TLS67 UPE2:UPG67 VSS2:VSU67 WWG2:WWI67">
      <formula1>$AV$2:$AV$20</formula1>
    </dataValidation>
    <dataValidation type="list" allowBlank="1" showInputMessage="1" showErrorMessage="1" sqref="WWF983030:WWF983107 X65526:X65603 X131062:X131139 X196598:X196675 X262134:X262211 X327670:X327747 X393206:X393283 X458742:X458819 X524278:X524355 X589814:X589891 X655350:X655427 X720886:X720963 X786422:X786499 X851958:X852035 X917494:X917571 X983030:X983107 JT65526:JT65603 JT131062:JT131139 JT196598:JT196675 JT262134:JT262211 JT327670:JT327747 JT393206:JT393283 JT458742:JT458819 JT524278:JT524355 JT589814:JT589891 JT655350:JT655427 JT720886:JT720963 JT786422:JT786499 JT851958:JT852035 JT917494:JT917571 JT983030:JT983107 TP65526:TP65603 TP131062:TP131139 TP196598:TP196675 TP262134:TP262211 TP327670:TP327747 TP393206:TP393283 TP458742:TP458819 TP524278:TP524355 TP589814:TP589891 TP655350:TP655427 TP720886:TP720963 TP786422:TP786499 TP851958:TP852035 TP917494:TP917571 TP983030:TP983107 ADL65526:ADL65603 ADL131062:ADL131139 ADL196598:ADL196675 ADL262134:ADL262211 ADL327670:ADL327747 ADL393206:ADL393283 ADL458742:ADL458819 ADL524278:ADL524355 ADL589814:ADL589891 ADL655350:ADL655427 ADL720886:ADL720963 ADL786422:ADL786499 ADL851958:ADL852035 ADL917494:ADL917571 ADL983030:ADL983107 ANH65526:ANH65603 ANH131062:ANH131139 ANH196598:ANH196675 ANH262134:ANH262211 ANH327670:ANH327747 ANH393206:ANH393283 ANH458742:ANH458819 ANH524278:ANH524355 ANH589814:ANH589891 ANH655350:ANH655427 ANH720886:ANH720963 ANH786422:ANH786499 ANH851958:ANH852035 ANH917494:ANH917571 ANH983030:ANH983107 AXD65526:AXD65603 AXD131062:AXD131139 AXD196598:AXD196675 AXD262134:AXD262211 AXD327670:AXD327747 AXD393206:AXD393283 AXD458742:AXD458819 AXD524278:AXD524355 AXD589814:AXD589891 AXD655350:AXD655427 AXD720886:AXD720963 AXD786422:AXD786499 AXD851958:AXD852035 AXD917494:AXD917571 AXD983030:AXD983107 BGZ65526:BGZ65603 BGZ131062:BGZ131139 BGZ196598:BGZ196675 BGZ262134:BGZ262211 BGZ327670:BGZ327747 BGZ393206:BGZ393283 BGZ458742:BGZ458819 BGZ524278:BGZ524355 BGZ589814:BGZ589891 BGZ655350:BGZ655427 BGZ720886:BGZ720963 BGZ786422:BGZ786499 BGZ851958:BGZ852035 BGZ917494:BGZ917571 BGZ983030:BGZ983107 BQV65526:BQV65603 BQV131062:BQV131139 BQV196598:BQV196675 BQV262134:BQV262211 BQV327670:BQV327747 BQV393206:BQV393283 BQV458742:BQV458819 BQV524278:BQV524355 BQV589814:BQV589891 BQV655350:BQV655427 BQV720886:BQV720963 BQV786422:BQV786499 BQV851958:BQV852035 BQV917494:BQV917571 BQV983030:BQV983107 CAR65526:CAR65603 CAR131062:CAR131139 CAR196598:CAR196675 CAR262134:CAR262211 CAR327670:CAR327747 CAR393206:CAR393283 CAR458742:CAR458819 CAR524278:CAR524355 CAR589814:CAR589891 CAR655350:CAR655427 CAR720886:CAR720963 CAR786422:CAR786499 CAR851958:CAR852035 CAR917494:CAR917571 CAR983030:CAR983107 CKN65526:CKN65603 CKN131062:CKN131139 CKN196598:CKN196675 CKN262134:CKN262211 CKN327670:CKN327747 CKN393206:CKN393283 CKN458742:CKN458819 CKN524278:CKN524355 CKN589814:CKN589891 CKN655350:CKN655427 CKN720886:CKN720963 CKN786422:CKN786499 CKN851958:CKN852035 CKN917494:CKN917571 CKN983030:CKN983107 CUJ65526:CUJ65603 CUJ131062:CUJ131139 CUJ196598:CUJ196675 CUJ262134:CUJ262211 CUJ327670:CUJ327747 CUJ393206:CUJ393283 CUJ458742:CUJ458819 CUJ524278:CUJ524355 CUJ589814:CUJ589891 CUJ655350:CUJ655427 CUJ720886:CUJ720963 CUJ786422:CUJ786499 CUJ851958:CUJ852035 CUJ917494:CUJ917571 CUJ983030:CUJ983107 DEF65526:DEF65603 DEF131062:DEF131139 DEF196598:DEF196675 DEF262134:DEF262211 DEF327670:DEF327747 DEF393206:DEF393283 DEF458742:DEF458819 DEF524278:DEF524355 DEF589814:DEF589891 DEF655350:DEF655427 DEF720886:DEF720963 DEF786422:DEF786499 DEF851958:DEF852035 DEF917494:DEF917571 DEF983030:DEF983107 DOB65526:DOB65603 DOB131062:DOB131139 DOB196598:DOB196675 DOB262134:DOB262211 DOB327670:DOB327747 DOB393206:DOB393283 DOB458742:DOB458819 DOB524278:DOB524355 DOB589814:DOB589891 DOB655350:DOB655427 DOB720886:DOB720963 DOB786422:DOB786499 DOB851958:DOB852035 DOB917494:DOB917571 DOB983030:DOB983107 DXX65526:DXX65603 DXX131062:DXX131139 DXX196598:DXX196675 DXX262134:DXX262211 DXX327670:DXX327747 DXX393206:DXX393283 DXX458742:DXX458819 DXX524278:DXX524355 DXX589814:DXX589891 DXX655350:DXX655427 DXX720886:DXX720963 DXX786422:DXX786499 DXX851958:DXX852035 DXX917494:DXX917571 DXX983030:DXX983107 EHT65526:EHT65603 EHT131062:EHT131139 EHT196598:EHT196675 EHT262134:EHT262211 EHT327670:EHT327747 EHT393206:EHT393283 EHT458742:EHT458819 EHT524278:EHT524355 EHT589814:EHT589891 EHT655350:EHT655427 EHT720886:EHT720963 EHT786422:EHT786499 EHT851958:EHT852035 EHT917494:EHT917571 EHT983030:EHT983107 ERP65526:ERP65603 ERP131062:ERP131139 ERP196598:ERP196675 ERP262134:ERP262211 ERP327670:ERP327747 ERP393206:ERP393283 ERP458742:ERP458819 ERP524278:ERP524355 ERP589814:ERP589891 ERP655350:ERP655427 ERP720886:ERP720963 ERP786422:ERP786499 ERP851958:ERP852035 ERP917494:ERP917571 ERP983030:ERP983107 FBL65526:FBL65603 FBL131062:FBL131139 FBL196598:FBL196675 FBL262134:FBL262211 FBL327670:FBL327747 FBL393206:FBL393283 FBL458742:FBL458819 FBL524278:FBL524355 FBL589814:FBL589891 FBL655350:FBL655427 FBL720886:FBL720963 FBL786422:FBL786499 FBL851958:FBL852035 FBL917494:FBL917571 FBL983030:FBL983107 FLH65526:FLH65603 FLH131062:FLH131139 FLH196598:FLH196675 FLH262134:FLH262211 FLH327670:FLH327747 FLH393206:FLH393283 FLH458742:FLH458819 FLH524278:FLH524355 FLH589814:FLH589891 FLH655350:FLH655427 FLH720886:FLH720963 FLH786422:FLH786499 FLH851958:FLH852035 FLH917494:FLH917571 FLH983030:FLH983107 FVD65526:FVD65603 FVD131062:FVD131139 FVD196598:FVD196675 FVD262134:FVD262211 FVD327670:FVD327747 FVD393206:FVD393283 FVD458742:FVD458819 FVD524278:FVD524355 FVD589814:FVD589891 FVD655350:FVD655427 FVD720886:FVD720963 FVD786422:FVD786499 FVD851958:FVD852035 FVD917494:FVD917571 FVD983030:FVD983107 GEZ65526:GEZ65603 GEZ131062:GEZ131139 GEZ196598:GEZ196675 GEZ262134:GEZ262211 GEZ327670:GEZ327747 GEZ393206:GEZ393283 GEZ458742:GEZ458819 GEZ524278:GEZ524355 GEZ589814:GEZ589891 GEZ655350:GEZ655427 GEZ720886:GEZ720963 GEZ786422:GEZ786499 GEZ851958:GEZ852035 GEZ917494:GEZ917571 GEZ983030:GEZ983107 GOV65526:GOV65603 GOV131062:GOV131139 GOV196598:GOV196675 GOV262134:GOV262211 GOV327670:GOV327747 GOV393206:GOV393283 GOV458742:GOV458819 GOV524278:GOV524355 GOV589814:GOV589891 GOV655350:GOV655427 GOV720886:GOV720963 GOV786422:GOV786499 GOV851958:GOV852035 GOV917494:GOV917571 GOV983030:GOV983107 GYR65526:GYR65603 GYR131062:GYR131139 GYR196598:GYR196675 GYR262134:GYR262211 GYR327670:GYR327747 GYR393206:GYR393283 GYR458742:GYR458819 GYR524278:GYR524355 GYR589814:GYR589891 GYR655350:GYR655427 GYR720886:GYR720963 GYR786422:GYR786499 GYR851958:GYR852035 GYR917494:GYR917571 GYR983030:GYR983107 HIN65526:HIN65603 HIN131062:HIN131139 HIN196598:HIN196675 HIN262134:HIN262211 HIN327670:HIN327747 HIN393206:HIN393283 HIN458742:HIN458819 HIN524278:HIN524355 HIN589814:HIN589891 HIN655350:HIN655427 HIN720886:HIN720963 HIN786422:HIN786499 HIN851958:HIN852035 HIN917494:HIN917571 HIN983030:HIN983107 HSJ65526:HSJ65603 HSJ131062:HSJ131139 HSJ196598:HSJ196675 HSJ262134:HSJ262211 HSJ327670:HSJ327747 HSJ393206:HSJ393283 HSJ458742:HSJ458819 HSJ524278:HSJ524355 HSJ589814:HSJ589891 HSJ655350:HSJ655427 HSJ720886:HSJ720963 HSJ786422:HSJ786499 HSJ851958:HSJ852035 HSJ917494:HSJ917571 HSJ983030:HSJ983107 ICF65526:ICF65603 ICF131062:ICF131139 ICF196598:ICF196675 ICF262134:ICF262211 ICF327670:ICF327747 ICF393206:ICF393283 ICF458742:ICF458819 ICF524278:ICF524355 ICF589814:ICF589891 ICF655350:ICF655427 ICF720886:ICF720963 ICF786422:ICF786499 ICF851958:ICF852035 ICF917494:ICF917571 ICF983030:ICF983107 IMB65526:IMB65603 IMB131062:IMB131139 IMB196598:IMB196675 IMB262134:IMB262211 IMB327670:IMB327747 IMB393206:IMB393283 IMB458742:IMB458819 IMB524278:IMB524355 IMB589814:IMB589891 IMB655350:IMB655427 IMB720886:IMB720963 IMB786422:IMB786499 IMB851958:IMB852035 IMB917494:IMB917571 IMB983030:IMB983107 IVX65526:IVX65603 IVX131062:IVX131139 IVX196598:IVX196675 IVX262134:IVX262211 IVX327670:IVX327747 IVX393206:IVX393283 IVX458742:IVX458819 IVX524278:IVX524355 IVX589814:IVX589891 IVX655350:IVX655427 IVX720886:IVX720963 IVX786422:IVX786499 IVX851958:IVX852035 IVX917494:IVX917571 IVX983030:IVX983107 JFT65526:JFT65603 JFT131062:JFT131139 JFT196598:JFT196675 JFT262134:JFT262211 JFT327670:JFT327747 JFT393206:JFT393283 JFT458742:JFT458819 JFT524278:JFT524355 JFT589814:JFT589891 JFT655350:JFT655427 JFT720886:JFT720963 JFT786422:JFT786499 JFT851958:JFT852035 JFT917494:JFT917571 JFT983030:JFT983107 JPP65526:JPP65603 JPP131062:JPP131139 JPP196598:JPP196675 JPP262134:JPP262211 JPP327670:JPP327747 JPP393206:JPP393283 JPP458742:JPP458819 JPP524278:JPP524355 JPP589814:JPP589891 JPP655350:JPP655427 JPP720886:JPP720963 JPP786422:JPP786499 JPP851958:JPP852035 JPP917494:JPP917571 JPP983030:JPP983107 JZL65526:JZL65603 JZL131062:JZL131139 JZL196598:JZL196675 JZL262134:JZL262211 JZL327670:JZL327747 JZL393206:JZL393283 JZL458742:JZL458819 JZL524278:JZL524355 JZL589814:JZL589891 JZL655350:JZL655427 JZL720886:JZL720963 JZL786422:JZL786499 JZL851958:JZL852035 JZL917494:JZL917571 JZL983030:JZL983107 KJH65526:KJH65603 KJH131062:KJH131139 KJH196598:KJH196675 KJH262134:KJH262211 KJH327670:KJH327747 KJH393206:KJH393283 KJH458742:KJH458819 KJH524278:KJH524355 KJH589814:KJH589891 KJH655350:KJH655427 KJH720886:KJH720963 KJH786422:KJH786499 KJH851958:KJH852035 KJH917494:KJH917571 KJH983030:KJH983107 KTD65526:KTD65603 KTD131062:KTD131139 KTD196598:KTD196675 KTD262134:KTD262211 KTD327670:KTD327747 KTD393206:KTD393283 KTD458742:KTD458819 KTD524278:KTD524355 KTD589814:KTD589891 KTD655350:KTD655427 KTD720886:KTD720963 KTD786422:KTD786499 KTD851958:KTD852035 KTD917494:KTD917571 KTD983030:KTD983107 LCZ65526:LCZ65603 LCZ131062:LCZ131139 LCZ196598:LCZ196675 LCZ262134:LCZ262211 LCZ327670:LCZ327747 LCZ393206:LCZ393283 LCZ458742:LCZ458819 LCZ524278:LCZ524355 LCZ589814:LCZ589891 LCZ655350:LCZ655427 LCZ720886:LCZ720963 LCZ786422:LCZ786499 LCZ851958:LCZ852035 LCZ917494:LCZ917571 LCZ983030:LCZ983107 LMV65526:LMV65603 LMV131062:LMV131139 LMV196598:LMV196675 LMV262134:LMV262211 LMV327670:LMV327747 LMV393206:LMV393283 LMV458742:LMV458819 LMV524278:LMV524355 LMV589814:LMV589891 LMV655350:LMV655427 LMV720886:LMV720963 LMV786422:LMV786499 LMV851958:LMV852035 LMV917494:LMV917571 LMV983030:LMV983107 LWR65526:LWR65603 LWR131062:LWR131139 LWR196598:LWR196675 LWR262134:LWR262211 LWR327670:LWR327747 LWR393206:LWR393283 LWR458742:LWR458819 LWR524278:LWR524355 LWR589814:LWR589891 LWR655350:LWR655427 LWR720886:LWR720963 LWR786422:LWR786499 LWR851958:LWR852035 LWR917494:LWR917571 LWR983030:LWR983107 MGN65526:MGN65603 MGN131062:MGN131139 MGN196598:MGN196675 MGN262134:MGN262211 MGN327670:MGN327747 MGN393206:MGN393283 MGN458742:MGN458819 MGN524278:MGN524355 MGN589814:MGN589891 MGN655350:MGN655427 MGN720886:MGN720963 MGN786422:MGN786499 MGN851958:MGN852035 MGN917494:MGN917571 MGN983030:MGN983107 MQJ65526:MQJ65603 MQJ131062:MQJ131139 MQJ196598:MQJ196675 MQJ262134:MQJ262211 MQJ327670:MQJ327747 MQJ393206:MQJ393283 MQJ458742:MQJ458819 MQJ524278:MQJ524355 MQJ589814:MQJ589891 MQJ655350:MQJ655427 MQJ720886:MQJ720963 MQJ786422:MQJ786499 MQJ851958:MQJ852035 MQJ917494:MQJ917571 MQJ983030:MQJ983107 NAF65526:NAF65603 NAF131062:NAF131139 NAF196598:NAF196675 NAF262134:NAF262211 NAF327670:NAF327747 NAF393206:NAF393283 NAF458742:NAF458819 NAF524278:NAF524355 NAF589814:NAF589891 NAF655350:NAF655427 NAF720886:NAF720963 NAF786422:NAF786499 NAF851958:NAF852035 NAF917494:NAF917571 NAF983030:NAF983107 NKB65526:NKB65603 NKB131062:NKB131139 NKB196598:NKB196675 NKB262134:NKB262211 NKB327670:NKB327747 NKB393206:NKB393283 NKB458742:NKB458819 NKB524278:NKB524355 NKB589814:NKB589891 NKB655350:NKB655427 NKB720886:NKB720963 NKB786422:NKB786499 NKB851958:NKB852035 NKB917494:NKB917571 NKB983030:NKB983107 NTX65526:NTX65603 NTX131062:NTX131139 NTX196598:NTX196675 NTX262134:NTX262211 NTX327670:NTX327747 NTX393206:NTX393283 NTX458742:NTX458819 NTX524278:NTX524355 NTX589814:NTX589891 NTX655350:NTX655427 NTX720886:NTX720963 NTX786422:NTX786499 NTX851958:NTX852035 NTX917494:NTX917571 NTX983030:NTX983107 ODT65526:ODT65603 ODT131062:ODT131139 ODT196598:ODT196675 ODT262134:ODT262211 ODT327670:ODT327747 ODT393206:ODT393283 ODT458742:ODT458819 ODT524278:ODT524355 ODT589814:ODT589891 ODT655350:ODT655427 ODT720886:ODT720963 ODT786422:ODT786499 ODT851958:ODT852035 ODT917494:ODT917571 ODT983030:ODT983107 ONP65526:ONP65603 ONP131062:ONP131139 ONP196598:ONP196675 ONP262134:ONP262211 ONP327670:ONP327747 ONP393206:ONP393283 ONP458742:ONP458819 ONP524278:ONP524355 ONP589814:ONP589891 ONP655350:ONP655427 ONP720886:ONP720963 ONP786422:ONP786499 ONP851958:ONP852035 ONP917494:ONP917571 ONP983030:ONP983107 OXL65526:OXL65603 OXL131062:OXL131139 OXL196598:OXL196675 OXL262134:OXL262211 OXL327670:OXL327747 OXL393206:OXL393283 OXL458742:OXL458819 OXL524278:OXL524355 OXL589814:OXL589891 OXL655350:OXL655427 OXL720886:OXL720963 OXL786422:OXL786499 OXL851958:OXL852035 OXL917494:OXL917571 OXL983030:OXL983107 PHH65526:PHH65603 PHH131062:PHH131139 PHH196598:PHH196675 PHH262134:PHH262211 PHH327670:PHH327747 PHH393206:PHH393283 PHH458742:PHH458819 PHH524278:PHH524355 PHH589814:PHH589891 PHH655350:PHH655427 PHH720886:PHH720963 PHH786422:PHH786499 PHH851958:PHH852035 PHH917494:PHH917571 PHH983030:PHH983107 PRD65526:PRD65603 PRD131062:PRD131139 PRD196598:PRD196675 PRD262134:PRD262211 PRD327670:PRD327747 PRD393206:PRD393283 PRD458742:PRD458819 PRD524278:PRD524355 PRD589814:PRD589891 PRD655350:PRD655427 PRD720886:PRD720963 PRD786422:PRD786499 PRD851958:PRD852035 PRD917494:PRD917571 PRD983030:PRD983107 QAZ65526:QAZ65603 QAZ131062:QAZ131139 QAZ196598:QAZ196675 QAZ262134:QAZ262211 QAZ327670:QAZ327747 QAZ393206:QAZ393283 QAZ458742:QAZ458819 QAZ524278:QAZ524355 QAZ589814:QAZ589891 QAZ655350:QAZ655427 QAZ720886:QAZ720963 QAZ786422:QAZ786499 QAZ851958:QAZ852035 QAZ917494:QAZ917571 QAZ983030:QAZ983107 QKV65526:QKV65603 QKV131062:QKV131139 QKV196598:QKV196675 QKV262134:QKV262211 QKV327670:QKV327747 QKV393206:QKV393283 QKV458742:QKV458819 QKV524278:QKV524355 QKV589814:QKV589891 QKV655350:QKV655427 QKV720886:QKV720963 QKV786422:QKV786499 QKV851958:QKV852035 QKV917494:QKV917571 QKV983030:QKV983107 QUR65526:QUR65603 QUR131062:QUR131139 QUR196598:QUR196675 QUR262134:QUR262211 QUR327670:QUR327747 QUR393206:QUR393283 QUR458742:QUR458819 QUR524278:QUR524355 QUR589814:QUR589891 QUR655350:QUR655427 QUR720886:QUR720963 QUR786422:QUR786499 QUR851958:QUR852035 QUR917494:QUR917571 QUR983030:QUR983107 REN65526:REN65603 REN131062:REN131139 REN196598:REN196675 REN262134:REN262211 REN327670:REN327747 REN393206:REN393283 REN458742:REN458819 REN524278:REN524355 REN589814:REN589891 REN655350:REN655427 REN720886:REN720963 REN786422:REN786499 REN851958:REN852035 REN917494:REN917571 REN983030:REN983107 ROJ65526:ROJ65603 ROJ131062:ROJ131139 ROJ196598:ROJ196675 ROJ262134:ROJ262211 ROJ327670:ROJ327747 ROJ393206:ROJ393283 ROJ458742:ROJ458819 ROJ524278:ROJ524355 ROJ589814:ROJ589891 ROJ655350:ROJ655427 ROJ720886:ROJ720963 ROJ786422:ROJ786499 ROJ851958:ROJ852035 ROJ917494:ROJ917571 ROJ983030:ROJ983107 RYF65526:RYF65603 RYF131062:RYF131139 RYF196598:RYF196675 RYF262134:RYF262211 RYF327670:RYF327747 RYF393206:RYF393283 RYF458742:RYF458819 RYF524278:RYF524355 RYF589814:RYF589891 RYF655350:RYF655427 RYF720886:RYF720963 RYF786422:RYF786499 RYF851958:RYF852035 RYF917494:RYF917571 RYF983030:RYF983107 SIB65526:SIB65603 SIB131062:SIB131139 SIB196598:SIB196675 SIB262134:SIB262211 SIB327670:SIB327747 SIB393206:SIB393283 SIB458742:SIB458819 SIB524278:SIB524355 SIB589814:SIB589891 SIB655350:SIB655427 SIB720886:SIB720963 SIB786422:SIB786499 SIB851958:SIB852035 SIB917494:SIB917571 SIB983030:SIB983107 SRX65526:SRX65603 SRX131062:SRX131139 SRX196598:SRX196675 SRX262134:SRX262211 SRX327670:SRX327747 SRX393206:SRX393283 SRX458742:SRX458819 SRX524278:SRX524355 SRX589814:SRX589891 SRX655350:SRX655427 SRX720886:SRX720963 SRX786422:SRX786499 SRX851958:SRX852035 SRX917494:SRX917571 SRX983030:SRX983107 TBT65526:TBT65603 TBT131062:TBT131139 TBT196598:TBT196675 TBT262134:TBT262211 TBT327670:TBT327747 TBT393206:TBT393283 TBT458742:TBT458819 TBT524278:TBT524355 TBT589814:TBT589891 TBT655350:TBT655427 TBT720886:TBT720963 TBT786422:TBT786499 TBT851958:TBT852035 TBT917494:TBT917571 TBT983030:TBT983107 TLP65526:TLP65603 TLP131062:TLP131139 TLP196598:TLP196675 TLP262134:TLP262211 TLP327670:TLP327747 TLP393206:TLP393283 TLP458742:TLP458819 TLP524278:TLP524355 TLP589814:TLP589891 TLP655350:TLP655427 TLP720886:TLP720963 TLP786422:TLP786499 TLP851958:TLP852035 TLP917494:TLP917571 TLP983030:TLP983107 TVL65526:TVL65603 TVL131062:TVL131139 TVL196598:TVL196675 TVL262134:TVL262211 TVL327670:TVL327747 TVL393206:TVL393283 TVL458742:TVL458819 TVL524278:TVL524355 TVL589814:TVL589891 TVL655350:TVL655427 TVL720886:TVL720963 TVL786422:TVL786499 TVL851958:TVL852035 TVL917494:TVL917571 TVL983030:TVL983107 UFH65526:UFH65603 UFH131062:UFH131139 UFH196598:UFH196675 UFH262134:UFH262211 UFH327670:UFH327747 UFH393206:UFH393283 UFH458742:UFH458819 UFH524278:UFH524355 UFH589814:UFH589891 UFH655350:UFH655427 UFH720886:UFH720963 UFH786422:UFH786499 UFH851958:UFH852035 UFH917494:UFH917571 UFH983030:UFH983107 UPD65526:UPD65603 UPD131062:UPD131139 UPD196598:UPD196675 UPD262134:UPD262211 UPD327670:UPD327747 UPD393206:UPD393283 UPD458742:UPD458819 UPD524278:UPD524355 UPD589814:UPD589891 UPD655350:UPD655427 UPD720886:UPD720963 UPD786422:UPD786499 UPD851958:UPD852035 UPD917494:UPD917571 UPD983030:UPD983107 UYZ65526:UYZ65603 UYZ131062:UYZ131139 UYZ196598:UYZ196675 UYZ262134:UYZ262211 UYZ327670:UYZ327747 UYZ393206:UYZ393283 UYZ458742:UYZ458819 UYZ524278:UYZ524355 UYZ589814:UYZ589891 UYZ655350:UYZ655427 UYZ720886:UYZ720963 UYZ786422:UYZ786499 UYZ851958:UYZ852035 UYZ917494:UYZ917571 UYZ983030:UYZ983107 VIV65526:VIV65603 VIV131062:VIV131139 VIV196598:VIV196675 VIV262134:VIV262211 VIV327670:VIV327747 VIV393206:VIV393283 VIV458742:VIV458819 VIV524278:VIV524355 VIV589814:VIV589891 VIV655350:VIV655427 VIV720886:VIV720963 VIV786422:VIV786499 VIV851958:VIV852035 VIV917494:VIV917571 VIV983030:VIV983107 VSR65526:VSR65603 VSR131062:VSR131139 VSR196598:VSR196675 VSR262134:VSR262211 VSR327670:VSR327747 VSR393206:VSR393283 VSR458742:VSR458819 VSR524278:VSR524355 VSR589814:VSR589891 VSR655350:VSR655427 VSR720886:VSR720963 VSR786422:VSR786499 VSR851958:VSR852035 VSR917494:VSR917571 VSR983030:VSR983107 WCN65526:WCN65603 WCN131062:WCN131139 WCN196598:WCN196675 WCN262134:WCN262211 WCN327670:WCN327747 WCN393206:WCN393283 WCN458742:WCN458819 WCN524278:WCN524355 WCN589814:WCN589891 WCN655350:WCN655427 WCN720886:WCN720963 WCN786422:WCN786499 WCN851958:WCN852035 WCN917494:WCN917571 WCN983030:WCN983107 WMJ65526:WMJ65603 WMJ131062:WMJ131139 WMJ196598:WMJ196675 WMJ262134:WMJ262211 WMJ327670:WMJ327747 WMJ393206:WMJ393283 WMJ458742:WMJ458819 WMJ524278:WMJ524355 WMJ589814:WMJ589891 WMJ655350:WMJ655427 WMJ720886:WMJ720963 WMJ786422:WMJ786499 WMJ851958:WMJ852035 WMJ917494:WMJ917571 WMJ983030:WMJ983107 WWF65526:WWF65603 WWF131062:WWF131139 WWF196598:WWF196675 WWF262134:WWF262211 WWF327670:WWF327747 WWF393206:WWF393283 WWF458742:WWF458819 WWF524278:WWF524355 WWF589814:WWF589891 WWF655350:WWF655427 WWF720886:WWF720963 WWF786422:WWF786499 WWF851958:WWF852035 WWF917494:WWF917571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488">
      <formula1>$AT$2:$AT$3</formula1>
    </dataValidation>
    <dataValidation type="list" allowBlank="1" showInputMessage="1" showErrorMessage="1" sqref="H65526:H65603 H131062:H131139 H196598:H196675 H262134:H262211 H327670:H327747 H393206:H393283 H458742:H458819 H524278:H524355 H589814:H589891 H655350:H655427 H720886:H720963 H786422:H786499 H851958:H852035 H917494:H917571 H983030:H983107 JD65526:JD65603 JD131062:JD131139 JD196598:JD196675 JD262134:JD262211 JD327670:JD327747 JD393206:JD393283 JD458742:JD458819 JD524278:JD524355 JD589814:JD589891 JD655350:JD655427 JD720886:JD720963 JD786422:JD786499 JD851958:JD852035 JD917494:JD917571 JD983030:JD983107 SZ65526:SZ65603 SZ131062:SZ131139 SZ196598:SZ196675 SZ262134:SZ262211 SZ327670:SZ327747 SZ393206:SZ393283 SZ458742:SZ458819 SZ524278:SZ524355 SZ589814:SZ589891 SZ655350:SZ655427 SZ720886:SZ720963 SZ786422:SZ786499 SZ851958:SZ852035 SZ917494:SZ917571 SZ983030:SZ983107 ACV65526:ACV65603 ACV131062:ACV131139 ACV196598:ACV196675 ACV262134:ACV262211 ACV327670:ACV327747 ACV393206:ACV393283 ACV458742:ACV458819 ACV524278:ACV524355 ACV589814:ACV589891 ACV655350:ACV655427 ACV720886:ACV720963 ACV786422:ACV786499 ACV851958:ACV852035 ACV917494:ACV917571 ACV983030:ACV983107 AMR65526:AMR65603 AMR131062:AMR131139 AMR196598:AMR196675 AMR262134:AMR262211 AMR327670:AMR327747 AMR393206:AMR393283 AMR458742:AMR458819 AMR524278:AMR524355 AMR589814:AMR589891 AMR655350:AMR655427 AMR720886:AMR720963 AMR786422:AMR786499 AMR851958:AMR852035 AMR917494:AMR917571 AMR983030:AMR983107 AWN65526:AWN65603 AWN131062:AWN131139 AWN196598:AWN196675 AWN262134:AWN262211 AWN327670:AWN327747 AWN393206:AWN393283 AWN458742:AWN458819 AWN524278:AWN524355 AWN589814:AWN589891 AWN655350:AWN655427 AWN720886:AWN720963 AWN786422:AWN786499 AWN851958:AWN852035 AWN917494:AWN917571 AWN983030:AWN983107 BGJ65526:BGJ65603 BGJ131062:BGJ131139 BGJ196598:BGJ196675 BGJ262134:BGJ262211 BGJ327670:BGJ327747 BGJ393206:BGJ393283 BGJ458742:BGJ458819 BGJ524278:BGJ524355 BGJ589814:BGJ589891 BGJ655350:BGJ655427 BGJ720886:BGJ720963 BGJ786422:BGJ786499 BGJ851958:BGJ852035 BGJ917494:BGJ917571 BGJ983030:BGJ983107 BQF65526:BQF65603 BQF131062:BQF131139 BQF196598:BQF196675 BQF262134:BQF262211 BQF327670:BQF327747 BQF393206:BQF393283 BQF458742:BQF458819 BQF524278:BQF524355 BQF589814:BQF589891 BQF655350:BQF655427 BQF720886:BQF720963 BQF786422:BQF786499 BQF851958:BQF852035 BQF917494:BQF917571 BQF983030:BQF983107 CAB65526:CAB65603 CAB131062:CAB131139 CAB196598:CAB196675 CAB262134:CAB262211 CAB327670:CAB327747 CAB393206:CAB393283 CAB458742:CAB458819 CAB524278:CAB524355 CAB589814:CAB589891 CAB655350:CAB655427 CAB720886:CAB720963 CAB786422:CAB786499 CAB851958:CAB852035 CAB917494:CAB917571 CAB983030:CAB983107 CJX65526:CJX65603 CJX131062:CJX131139 CJX196598:CJX196675 CJX262134:CJX262211 CJX327670:CJX327747 CJX393206:CJX393283 CJX458742:CJX458819 CJX524278:CJX524355 CJX589814:CJX589891 CJX655350:CJX655427 CJX720886:CJX720963 CJX786422:CJX786499 CJX851958:CJX852035 CJX917494:CJX917571 CJX983030:CJX983107 CTT65526:CTT65603 CTT131062:CTT131139 CTT196598:CTT196675 CTT262134:CTT262211 CTT327670:CTT327747 CTT393206:CTT393283 CTT458742:CTT458819 CTT524278:CTT524355 CTT589814:CTT589891 CTT655350:CTT655427 CTT720886:CTT720963 CTT786422:CTT786499 CTT851958:CTT852035 CTT917494:CTT917571 CTT983030:CTT983107 DDP65526:DDP65603 DDP131062:DDP131139 DDP196598:DDP196675 DDP262134:DDP262211 DDP327670:DDP327747 DDP393206:DDP393283 DDP458742:DDP458819 DDP524278:DDP524355 DDP589814:DDP589891 DDP655350:DDP655427 DDP720886:DDP720963 DDP786422:DDP786499 DDP851958:DDP852035 DDP917494:DDP917571 DDP983030:DDP983107 DNL65526:DNL65603 DNL131062:DNL131139 DNL196598:DNL196675 DNL262134:DNL262211 DNL327670:DNL327747 DNL393206:DNL393283 DNL458742:DNL458819 DNL524278:DNL524355 DNL589814:DNL589891 DNL655350:DNL655427 DNL720886:DNL720963 DNL786422:DNL786499 DNL851958:DNL852035 DNL917494:DNL917571 DNL983030:DNL983107 DXH65526:DXH65603 DXH131062:DXH131139 DXH196598:DXH196675 DXH262134:DXH262211 DXH327670:DXH327747 DXH393206:DXH393283 DXH458742:DXH458819 DXH524278:DXH524355 DXH589814:DXH589891 DXH655350:DXH655427 DXH720886:DXH720963 DXH786422:DXH786499 DXH851958:DXH852035 DXH917494:DXH917571 DXH983030:DXH983107 EHD65526:EHD65603 EHD131062:EHD131139 EHD196598:EHD196675 EHD262134:EHD262211 EHD327670:EHD327747 EHD393206:EHD393283 EHD458742:EHD458819 EHD524278:EHD524355 EHD589814:EHD589891 EHD655350:EHD655427 EHD720886:EHD720963 EHD786422:EHD786499 EHD851958:EHD852035 EHD917494:EHD917571 EHD983030:EHD983107 EQZ65526:EQZ65603 EQZ131062:EQZ131139 EQZ196598:EQZ196675 EQZ262134:EQZ262211 EQZ327670:EQZ327747 EQZ393206:EQZ393283 EQZ458742:EQZ458819 EQZ524278:EQZ524355 EQZ589814:EQZ589891 EQZ655350:EQZ655427 EQZ720886:EQZ720963 EQZ786422:EQZ786499 EQZ851958:EQZ852035 EQZ917494:EQZ917571 EQZ983030:EQZ983107 FAV65526:FAV65603 FAV131062:FAV131139 FAV196598:FAV196675 FAV262134:FAV262211 FAV327670:FAV327747 FAV393206:FAV393283 FAV458742:FAV458819 FAV524278:FAV524355 FAV589814:FAV589891 FAV655350:FAV655427 FAV720886:FAV720963 FAV786422:FAV786499 FAV851958:FAV852035 FAV917494:FAV917571 FAV983030:FAV983107 FKR65526:FKR65603 FKR131062:FKR131139 FKR196598:FKR196675 FKR262134:FKR262211 FKR327670:FKR327747 FKR393206:FKR393283 FKR458742:FKR458819 FKR524278:FKR524355 FKR589814:FKR589891 FKR655350:FKR655427 FKR720886:FKR720963 FKR786422:FKR786499 FKR851958:FKR852035 FKR917494:FKR917571 FKR983030:FKR983107 FUN65526:FUN65603 FUN131062:FUN131139 FUN196598:FUN196675 FUN262134:FUN262211 FUN327670:FUN327747 FUN393206:FUN393283 FUN458742:FUN458819 FUN524278:FUN524355 FUN589814:FUN589891 FUN655350:FUN655427 FUN720886:FUN720963 FUN786422:FUN786499 FUN851958:FUN852035 FUN917494:FUN917571 FUN983030:FUN983107 GEJ65526:GEJ65603 GEJ131062:GEJ131139 GEJ196598:GEJ196675 GEJ262134:GEJ262211 GEJ327670:GEJ327747 GEJ393206:GEJ393283 GEJ458742:GEJ458819 GEJ524278:GEJ524355 GEJ589814:GEJ589891 GEJ655350:GEJ655427 GEJ720886:GEJ720963 GEJ786422:GEJ786499 GEJ851958:GEJ852035 GEJ917494:GEJ917571 GEJ983030:GEJ983107 GOF65526:GOF65603 GOF131062:GOF131139 GOF196598:GOF196675 GOF262134:GOF262211 GOF327670:GOF327747 GOF393206:GOF393283 GOF458742:GOF458819 GOF524278:GOF524355 GOF589814:GOF589891 GOF655350:GOF655427 GOF720886:GOF720963 GOF786422:GOF786499 GOF851958:GOF852035 GOF917494:GOF917571 GOF983030:GOF983107 GYB65526:GYB65603 GYB131062:GYB131139 GYB196598:GYB196675 GYB262134:GYB262211 GYB327670:GYB327747 GYB393206:GYB393283 GYB458742:GYB458819 GYB524278:GYB524355 GYB589814:GYB589891 GYB655350:GYB655427 GYB720886:GYB720963 GYB786422:GYB786499 GYB851958:GYB852035 GYB917494:GYB917571 GYB983030:GYB983107 HHX65526:HHX65603 HHX131062:HHX131139 HHX196598:HHX196675 HHX262134:HHX262211 HHX327670:HHX327747 HHX393206:HHX393283 HHX458742:HHX458819 HHX524278:HHX524355 HHX589814:HHX589891 HHX655350:HHX655427 HHX720886:HHX720963 HHX786422:HHX786499 HHX851958:HHX852035 HHX917494:HHX917571 HHX983030:HHX983107 HRT65526:HRT65603 HRT131062:HRT131139 HRT196598:HRT196675 HRT262134:HRT262211 HRT327670:HRT327747 HRT393206:HRT393283 HRT458742:HRT458819 HRT524278:HRT524355 HRT589814:HRT589891 HRT655350:HRT655427 HRT720886:HRT720963 HRT786422:HRT786499 HRT851958:HRT852035 HRT917494:HRT917571 HRT983030:HRT983107 IBP65526:IBP65603 IBP131062:IBP131139 IBP196598:IBP196675 IBP262134:IBP262211 IBP327670:IBP327747 IBP393206:IBP393283 IBP458742:IBP458819 IBP524278:IBP524355 IBP589814:IBP589891 IBP655350:IBP655427 IBP720886:IBP720963 IBP786422:IBP786499 IBP851958:IBP852035 IBP917494:IBP917571 IBP983030:IBP983107 ILL65526:ILL65603 ILL131062:ILL131139 ILL196598:ILL196675 ILL262134:ILL262211 ILL327670:ILL327747 ILL393206:ILL393283 ILL458742:ILL458819 ILL524278:ILL524355 ILL589814:ILL589891 ILL655350:ILL655427 ILL720886:ILL720963 ILL786422:ILL786499 ILL851958:ILL852035 ILL917494:ILL917571 ILL983030:ILL983107 IVH65526:IVH65603 IVH131062:IVH131139 IVH196598:IVH196675 IVH262134:IVH262211 IVH327670:IVH327747 IVH393206:IVH393283 IVH458742:IVH458819 IVH524278:IVH524355 IVH589814:IVH589891 IVH655350:IVH655427 IVH720886:IVH720963 IVH786422:IVH786499 IVH851958:IVH852035 IVH917494:IVH917571 IVH983030:IVH983107 JFD65526:JFD65603 JFD131062:JFD131139 JFD196598:JFD196675 JFD262134:JFD262211 JFD327670:JFD327747 JFD393206:JFD393283 JFD458742:JFD458819 JFD524278:JFD524355 JFD589814:JFD589891 JFD655350:JFD655427 JFD720886:JFD720963 JFD786422:JFD786499 JFD851958:JFD852035 JFD917494:JFD917571 JFD983030:JFD983107 JOZ65526:JOZ65603 JOZ131062:JOZ131139 JOZ196598:JOZ196675 JOZ262134:JOZ262211 JOZ327670:JOZ327747 JOZ393206:JOZ393283 JOZ458742:JOZ458819 JOZ524278:JOZ524355 JOZ589814:JOZ589891 JOZ655350:JOZ655427 JOZ720886:JOZ720963 JOZ786422:JOZ786499 JOZ851958:JOZ852035 JOZ917494:JOZ917571 JOZ983030:JOZ983107 JYV65526:JYV65603 JYV131062:JYV131139 JYV196598:JYV196675 JYV262134:JYV262211 JYV327670:JYV327747 JYV393206:JYV393283 JYV458742:JYV458819 JYV524278:JYV524355 JYV589814:JYV589891 JYV655350:JYV655427 JYV720886:JYV720963 JYV786422:JYV786499 JYV851958:JYV852035 JYV917494:JYV917571 JYV983030:JYV983107 KIR65526:KIR65603 KIR131062:KIR131139 KIR196598:KIR196675 KIR262134:KIR262211 KIR327670:KIR327747 KIR393206:KIR393283 KIR458742:KIR458819 KIR524278:KIR524355 KIR589814:KIR589891 KIR655350:KIR655427 KIR720886:KIR720963 KIR786422:KIR786499 KIR851958:KIR852035 KIR917494:KIR917571 KIR983030:KIR983107 KSN65526:KSN65603 KSN131062:KSN131139 KSN196598:KSN196675 KSN262134:KSN262211 KSN327670:KSN327747 KSN393206:KSN393283 KSN458742:KSN458819 KSN524278:KSN524355 KSN589814:KSN589891 KSN655350:KSN655427 KSN720886:KSN720963 KSN786422:KSN786499 KSN851958:KSN852035 KSN917494:KSN917571 KSN983030:KSN983107 LCJ65526:LCJ65603 LCJ131062:LCJ131139 LCJ196598:LCJ196675 LCJ262134:LCJ262211 LCJ327670:LCJ327747 LCJ393206:LCJ393283 LCJ458742:LCJ458819 LCJ524278:LCJ524355 LCJ589814:LCJ589891 LCJ655350:LCJ655427 LCJ720886:LCJ720963 LCJ786422:LCJ786499 LCJ851958:LCJ852035 LCJ917494:LCJ917571 LCJ983030:LCJ983107 LMF65526:LMF65603 LMF131062:LMF131139 LMF196598:LMF196675 LMF262134:LMF262211 LMF327670:LMF327747 LMF393206:LMF393283 LMF458742:LMF458819 LMF524278:LMF524355 LMF589814:LMF589891 LMF655350:LMF655427 LMF720886:LMF720963 LMF786422:LMF786499 LMF851958:LMF852035 LMF917494:LMF917571 LMF983030:LMF983107 LWB65526:LWB65603 LWB131062:LWB131139 LWB196598:LWB196675 LWB262134:LWB262211 LWB327670:LWB327747 LWB393206:LWB393283 LWB458742:LWB458819 LWB524278:LWB524355 LWB589814:LWB589891 LWB655350:LWB655427 LWB720886:LWB720963 LWB786422:LWB786499 LWB851958:LWB852035 LWB917494:LWB917571 LWB983030:LWB983107 MFX65526:MFX65603 MFX131062:MFX131139 MFX196598:MFX196675 MFX262134:MFX262211 MFX327670:MFX327747 MFX393206:MFX393283 MFX458742:MFX458819 MFX524278:MFX524355 MFX589814:MFX589891 MFX655350:MFX655427 MFX720886:MFX720963 MFX786422:MFX786499 MFX851958:MFX852035 MFX917494:MFX917571 MFX983030:MFX983107 MPT65526:MPT65603 MPT131062:MPT131139 MPT196598:MPT196675 MPT262134:MPT262211 MPT327670:MPT327747 MPT393206:MPT393283 MPT458742:MPT458819 MPT524278:MPT524355 MPT589814:MPT589891 MPT655350:MPT655427 MPT720886:MPT720963 MPT786422:MPT786499 MPT851958:MPT852035 MPT917494:MPT917571 MPT983030:MPT983107 MZP65526:MZP65603 MZP131062:MZP131139 MZP196598:MZP196675 MZP262134:MZP262211 MZP327670:MZP327747 MZP393206:MZP393283 MZP458742:MZP458819 MZP524278:MZP524355 MZP589814:MZP589891 MZP655350:MZP655427 MZP720886:MZP720963 MZP786422:MZP786499 MZP851958:MZP852035 MZP917494:MZP917571 MZP983030:MZP983107 NJL65526:NJL65603 NJL131062:NJL131139 NJL196598:NJL196675 NJL262134:NJL262211 NJL327670:NJL327747 NJL393206:NJL393283 NJL458742:NJL458819 NJL524278:NJL524355 NJL589814:NJL589891 NJL655350:NJL655427 NJL720886:NJL720963 NJL786422:NJL786499 NJL851958:NJL852035 NJL917494:NJL917571 NJL983030:NJL983107 NTH65526:NTH65603 NTH131062:NTH131139 NTH196598:NTH196675 NTH262134:NTH262211 NTH327670:NTH327747 NTH393206:NTH393283 NTH458742:NTH458819 NTH524278:NTH524355 NTH589814:NTH589891 NTH655350:NTH655427 NTH720886:NTH720963 NTH786422:NTH786499 NTH851958:NTH852035 NTH917494:NTH917571 NTH983030:NTH983107 ODD65526:ODD65603 ODD131062:ODD131139 ODD196598:ODD196675 ODD262134:ODD262211 ODD327670:ODD327747 ODD393206:ODD393283 ODD458742:ODD458819 ODD524278:ODD524355 ODD589814:ODD589891 ODD655350:ODD655427 ODD720886:ODD720963 ODD786422:ODD786499 ODD851958:ODD852035 ODD917494:ODD917571 ODD983030:ODD983107 OMZ65526:OMZ65603 OMZ131062:OMZ131139 OMZ196598:OMZ196675 OMZ262134:OMZ262211 OMZ327670:OMZ327747 OMZ393206:OMZ393283 OMZ458742:OMZ458819 OMZ524278:OMZ524355 OMZ589814:OMZ589891 OMZ655350:OMZ655427 OMZ720886:OMZ720963 OMZ786422:OMZ786499 OMZ851958:OMZ852035 OMZ917494:OMZ917571 OMZ983030:OMZ983107 OWV65526:OWV65603 OWV131062:OWV131139 OWV196598:OWV196675 OWV262134:OWV262211 OWV327670:OWV327747 OWV393206:OWV393283 OWV458742:OWV458819 OWV524278:OWV524355 OWV589814:OWV589891 OWV655350:OWV655427 OWV720886:OWV720963 OWV786422:OWV786499 OWV851958:OWV852035 OWV917494:OWV917571 OWV983030:OWV983107 PGR65526:PGR65603 PGR131062:PGR131139 PGR196598:PGR196675 PGR262134:PGR262211 PGR327670:PGR327747 PGR393206:PGR393283 PGR458742:PGR458819 PGR524278:PGR524355 PGR589814:PGR589891 PGR655350:PGR655427 PGR720886:PGR720963 PGR786422:PGR786499 PGR851958:PGR852035 PGR917494:PGR917571 PGR983030:PGR983107 PQN65526:PQN65603 PQN131062:PQN131139 PQN196598:PQN196675 PQN262134:PQN262211 PQN327670:PQN327747 PQN393206:PQN393283 PQN458742:PQN458819 PQN524278:PQN524355 PQN589814:PQN589891 PQN655350:PQN655427 PQN720886:PQN720963 PQN786422:PQN786499 PQN851958:PQN852035 PQN917494:PQN917571 PQN983030:PQN983107 QAJ65526:QAJ65603 QAJ131062:QAJ131139 QAJ196598:QAJ196675 QAJ262134:QAJ262211 QAJ327670:QAJ327747 QAJ393206:QAJ393283 QAJ458742:QAJ458819 QAJ524278:QAJ524355 QAJ589814:QAJ589891 QAJ655350:QAJ655427 QAJ720886:QAJ720963 QAJ786422:QAJ786499 QAJ851958:QAJ852035 QAJ917494:QAJ917571 QAJ983030:QAJ983107 QKF65526:QKF65603 QKF131062:QKF131139 QKF196598:QKF196675 QKF262134:QKF262211 QKF327670:QKF327747 QKF393206:QKF393283 QKF458742:QKF458819 QKF524278:QKF524355 QKF589814:QKF589891 QKF655350:QKF655427 QKF720886:QKF720963 QKF786422:QKF786499 QKF851958:QKF852035 QKF917494:QKF917571 QKF983030:QKF983107 QUB65526:QUB65603 QUB131062:QUB131139 QUB196598:QUB196675 QUB262134:QUB262211 QUB327670:QUB327747 QUB393206:QUB393283 QUB458742:QUB458819 QUB524278:QUB524355 QUB589814:QUB589891 QUB655350:QUB655427 QUB720886:QUB720963 QUB786422:QUB786499 QUB851958:QUB852035 QUB917494:QUB917571 QUB983030:QUB983107 RDX65526:RDX65603 RDX131062:RDX131139 RDX196598:RDX196675 RDX262134:RDX262211 RDX327670:RDX327747 RDX393206:RDX393283 RDX458742:RDX458819 RDX524278:RDX524355 RDX589814:RDX589891 RDX655350:RDX655427 RDX720886:RDX720963 RDX786422:RDX786499 RDX851958:RDX852035 RDX917494:RDX917571 RDX983030:RDX983107 RNT65526:RNT65603 RNT131062:RNT131139 RNT196598:RNT196675 RNT262134:RNT262211 RNT327670:RNT327747 RNT393206:RNT393283 RNT458742:RNT458819 RNT524278:RNT524355 RNT589814:RNT589891 RNT655350:RNT655427 RNT720886:RNT720963 RNT786422:RNT786499 RNT851958:RNT852035 RNT917494:RNT917571 RNT983030:RNT983107 RXP65526:RXP65603 RXP131062:RXP131139 RXP196598:RXP196675 RXP262134:RXP262211 RXP327670:RXP327747 RXP393206:RXP393283 RXP458742:RXP458819 RXP524278:RXP524355 RXP589814:RXP589891 RXP655350:RXP655427 RXP720886:RXP720963 RXP786422:RXP786499 RXP851958:RXP852035 RXP917494:RXP917571 RXP983030:RXP983107 SHL65526:SHL65603 SHL131062:SHL131139 SHL196598:SHL196675 SHL262134:SHL262211 SHL327670:SHL327747 SHL393206:SHL393283 SHL458742:SHL458819 SHL524278:SHL524355 SHL589814:SHL589891 SHL655350:SHL655427 SHL720886:SHL720963 SHL786422:SHL786499 SHL851958:SHL852035 SHL917494:SHL917571 SHL983030:SHL983107 SRH65526:SRH65603 SRH131062:SRH131139 SRH196598:SRH196675 SRH262134:SRH262211 SRH327670:SRH327747 SRH393206:SRH393283 SRH458742:SRH458819 SRH524278:SRH524355 SRH589814:SRH589891 SRH655350:SRH655427 SRH720886:SRH720963 SRH786422:SRH786499 SRH851958:SRH852035 SRH917494:SRH917571 SRH983030:SRH983107 TBD65526:TBD65603 TBD131062:TBD131139 TBD196598:TBD196675 TBD262134:TBD262211 TBD327670:TBD327747 TBD393206:TBD393283 TBD458742:TBD458819 TBD524278:TBD524355 TBD589814:TBD589891 TBD655350:TBD655427 TBD720886:TBD720963 TBD786422:TBD786499 TBD851958:TBD852035 TBD917494:TBD917571 TBD983030:TBD983107 TKZ65526:TKZ65603 TKZ131062:TKZ131139 TKZ196598:TKZ196675 TKZ262134:TKZ262211 TKZ327670:TKZ327747 TKZ393206:TKZ393283 TKZ458742:TKZ458819 TKZ524278:TKZ524355 TKZ589814:TKZ589891 TKZ655350:TKZ655427 TKZ720886:TKZ720963 TKZ786422:TKZ786499 TKZ851958:TKZ852035 TKZ917494:TKZ917571 TKZ983030:TKZ983107 TUV65526:TUV65603 TUV131062:TUV131139 TUV196598:TUV196675 TUV262134:TUV262211 TUV327670:TUV327747 TUV393206:TUV393283 TUV458742:TUV458819 TUV524278:TUV524355 TUV589814:TUV589891 TUV655350:TUV655427 TUV720886:TUV720963 TUV786422:TUV786499 TUV851958:TUV852035 TUV917494:TUV917571 TUV983030:TUV983107 UER65526:UER65603 UER131062:UER131139 UER196598:UER196675 UER262134:UER262211 UER327670:UER327747 UER393206:UER393283 UER458742:UER458819 UER524278:UER524355 UER589814:UER589891 UER655350:UER655427 UER720886:UER720963 UER786422:UER786499 UER851958:UER852035 UER917494:UER917571 UER983030:UER983107 UON65526:UON65603 UON131062:UON131139 UON196598:UON196675 UON262134:UON262211 UON327670:UON327747 UON393206:UON393283 UON458742:UON458819 UON524278:UON524355 UON589814:UON589891 UON655350:UON655427 UON720886:UON720963 UON786422:UON786499 UON851958:UON852035 UON917494:UON917571 UON983030:UON983107 UYJ65526:UYJ65603 UYJ131062:UYJ131139 UYJ196598:UYJ196675 UYJ262134:UYJ262211 UYJ327670:UYJ327747 UYJ393206:UYJ393283 UYJ458742:UYJ458819 UYJ524278:UYJ524355 UYJ589814:UYJ589891 UYJ655350:UYJ655427 UYJ720886:UYJ720963 UYJ786422:UYJ786499 UYJ851958:UYJ852035 UYJ917494:UYJ917571 UYJ983030:UYJ983107 VIF65526:VIF65603 VIF131062:VIF131139 VIF196598:VIF196675 VIF262134:VIF262211 VIF327670:VIF327747 VIF393206:VIF393283 VIF458742:VIF458819 VIF524278:VIF524355 VIF589814:VIF589891 VIF655350:VIF655427 VIF720886:VIF720963 VIF786422:VIF786499 VIF851958:VIF852035 VIF917494:VIF917571 VIF983030:VIF983107 VSB65526:VSB65603 VSB131062:VSB131139 VSB196598:VSB196675 VSB262134:VSB262211 VSB327670:VSB327747 VSB393206:VSB393283 VSB458742:VSB458819 VSB524278:VSB524355 VSB589814:VSB589891 VSB655350:VSB655427 VSB720886:VSB720963 VSB786422:VSB786499 VSB851958:VSB852035 VSB917494:VSB917571 VSB983030:VSB983107 WBX65526:WBX65603 WBX131062:WBX131139 WBX196598:WBX196675 WBX262134:WBX262211 WBX327670:WBX327747 WBX393206:WBX393283 WBX458742:WBX458819 WBX524278:WBX524355 WBX589814:WBX589891 WBX655350:WBX655427 WBX720886:WBX720963 WBX786422:WBX786499 WBX851958:WBX852035 WBX917494:WBX917571 WBX983030:WBX983107 WLT65526:WLT65603 WLT131062:WLT131139 WLT196598:WLT196675 WLT262134:WLT262211 WLT327670:WLT327747 WLT393206:WLT393283 WLT458742:WLT458819 WLT524278:WLT524355 WLT589814:WLT589891 WLT655350:WLT655427 WLT720886:WLT720963 WLT786422:WLT786499 WLT851958:WLT852035 WLT917494:WLT917571 WLT983030:WLT983107 WVP65526:WVP65603 WVP131062:WVP131139 WVP196598:WVP196675 WVP262134:WVP262211 WVP327670:WVP327747 WVP393206:WVP393283 WVP458742:WVP458819 WVP524278:WVP524355 WVP589814:WVP589891 WVP655350:WVP655427 WVP720886:WVP720963 WVP786422:WVP786499 WVP851958:WVP852035 WVP917494:WVP917571 WVP983030:WVP983107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formula1>$AL$4:$AL$12</formula1>
    </dataValidation>
    <dataValidation type="list" allowBlank="1" showInputMessage="1" showErrorMessage="1" sqref="K78:K488 K65526:K65603 K131062:K131139 K196598:K196675 K262134:K262211 K327670:K327747 K393206:K393283 K458742:K458819 K524278:K524355 K589814:K589891 K655350:K655427 K720886:K720963 K786422:K786499 K851958:K852035 K917494:K917571 K983030:K983107 JG65526:JG65603 JG131062:JG131139 JG196598:JG196675 JG262134:JG262211 JG327670:JG327747 JG393206:JG393283 JG458742:JG458819 JG524278:JG524355 JG589814:JG589891 JG655350:JG655427 JG720886:JG720963 JG786422:JG786499 JG851958:JG852035 JG917494:JG917571 JG983030:JG983107 TC65526:TC65603 TC131062:TC131139 TC196598:TC196675 TC262134:TC262211 TC327670:TC327747 TC393206:TC393283 TC458742:TC458819 TC524278:TC524355 TC589814:TC589891 TC655350:TC655427 TC720886:TC720963 TC786422:TC786499 TC851958:TC852035 TC917494:TC917571 TC983030:TC983107 ACY65526:ACY65603 ACY131062:ACY131139 ACY196598:ACY196675 ACY262134:ACY262211 ACY327670:ACY327747 ACY393206:ACY393283 ACY458742:ACY458819 ACY524278:ACY524355 ACY589814:ACY589891 ACY655350:ACY655427 ACY720886:ACY720963 ACY786422:ACY786499 ACY851958:ACY852035 ACY917494:ACY917571 ACY983030:ACY983107 AMU65526:AMU65603 AMU131062:AMU131139 AMU196598:AMU196675 AMU262134:AMU262211 AMU327670:AMU327747 AMU393206:AMU393283 AMU458742:AMU458819 AMU524278:AMU524355 AMU589814:AMU589891 AMU655350:AMU655427 AMU720886:AMU720963 AMU786422:AMU786499 AMU851958:AMU852035 AMU917494:AMU917571 AMU983030:AMU983107 AWQ65526:AWQ65603 AWQ131062:AWQ131139 AWQ196598:AWQ196675 AWQ262134:AWQ262211 AWQ327670:AWQ327747 AWQ393206:AWQ393283 AWQ458742:AWQ458819 AWQ524278:AWQ524355 AWQ589814:AWQ589891 AWQ655350:AWQ655427 AWQ720886:AWQ720963 AWQ786422:AWQ786499 AWQ851958:AWQ852035 AWQ917494:AWQ917571 AWQ983030:AWQ983107 BGM65526:BGM65603 BGM131062:BGM131139 BGM196598:BGM196675 BGM262134:BGM262211 BGM327670:BGM327747 BGM393206:BGM393283 BGM458742:BGM458819 BGM524278:BGM524355 BGM589814:BGM589891 BGM655350:BGM655427 BGM720886:BGM720963 BGM786422:BGM786499 BGM851958:BGM852035 BGM917494:BGM917571 BGM983030:BGM983107 BQI65526:BQI65603 BQI131062:BQI131139 BQI196598:BQI196675 BQI262134:BQI262211 BQI327670:BQI327747 BQI393206:BQI393283 BQI458742:BQI458819 BQI524278:BQI524355 BQI589814:BQI589891 BQI655350:BQI655427 BQI720886:BQI720963 BQI786422:BQI786499 BQI851958:BQI852035 BQI917494:BQI917571 BQI983030:BQI983107 CAE65526:CAE65603 CAE131062:CAE131139 CAE196598:CAE196675 CAE262134:CAE262211 CAE327670:CAE327747 CAE393206:CAE393283 CAE458742:CAE458819 CAE524278:CAE524355 CAE589814:CAE589891 CAE655350:CAE655427 CAE720886:CAE720963 CAE786422:CAE786499 CAE851958:CAE852035 CAE917494:CAE917571 CAE983030:CAE983107 CKA65526:CKA65603 CKA131062:CKA131139 CKA196598:CKA196675 CKA262134:CKA262211 CKA327670:CKA327747 CKA393206:CKA393283 CKA458742:CKA458819 CKA524278:CKA524355 CKA589814:CKA589891 CKA655350:CKA655427 CKA720886:CKA720963 CKA786422:CKA786499 CKA851958:CKA852035 CKA917494:CKA917571 CKA983030:CKA983107 CTW65526:CTW65603 CTW131062:CTW131139 CTW196598:CTW196675 CTW262134:CTW262211 CTW327670:CTW327747 CTW393206:CTW393283 CTW458742:CTW458819 CTW524278:CTW524355 CTW589814:CTW589891 CTW655350:CTW655427 CTW720886:CTW720963 CTW786422:CTW786499 CTW851958:CTW852035 CTW917494:CTW917571 CTW983030:CTW983107 DDS65526:DDS65603 DDS131062:DDS131139 DDS196598:DDS196675 DDS262134:DDS262211 DDS327670:DDS327747 DDS393206:DDS393283 DDS458742:DDS458819 DDS524278:DDS524355 DDS589814:DDS589891 DDS655350:DDS655427 DDS720886:DDS720963 DDS786422:DDS786499 DDS851958:DDS852035 DDS917494:DDS917571 DDS983030:DDS983107 DNO65526:DNO65603 DNO131062:DNO131139 DNO196598:DNO196675 DNO262134:DNO262211 DNO327670:DNO327747 DNO393206:DNO393283 DNO458742:DNO458819 DNO524278:DNO524355 DNO589814:DNO589891 DNO655350:DNO655427 DNO720886:DNO720963 DNO786422:DNO786499 DNO851958:DNO852035 DNO917494:DNO917571 DNO983030:DNO983107 DXK65526:DXK65603 DXK131062:DXK131139 DXK196598:DXK196675 DXK262134:DXK262211 DXK327670:DXK327747 DXK393206:DXK393283 DXK458742:DXK458819 DXK524278:DXK524355 DXK589814:DXK589891 DXK655350:DXK655427 DXK720886:DXK720963 DXK786422:DXK786499 DXK851958:DXK852035 DXK917494:DXK917571 DXK983030:DXK983107 EHG65526:EHG65603 EHG131062:EHG131139 EHG196598:EHG196675 EHG262134:EHG262211 EHG327670:EHG327747 EHG393206:EHG393283 EHG458742:EHG458819 EHG524278:EHG524355 EHG589814:EHG589891 EHG655350:EHG655427 EHG720886:EHG720963 EHG786422:EHG786499 EHG851958:EHG852035 EHG917494:EHG917571 EHG983030:EHG983107 ERC65526:ERC65603 ERC131062:ERC131139 ERC196598:ERC196675 ERC262134:ERC262211 ERC327670:ERC327747 ERC393206:ERC393283 ERC458742:ERC458819 ERC524278:ERC524355 ERC589814:ERC589891 ERC655350:ERC655427 ERC720886:ERC720963 ERC786422:ERC786499 ERC851958:ERC852035 ERC917494:ERC917571 ERC983030:ERC983107 FAY65526:FAY65603 FAY131062:FAY131139 FAY196598:FAY196675 FAY262134:FAY262211 FAY327670:FAY327747 FAY393206:FAY393283 FAY458742:FAY458819 FAY524278:FAY524355 FAY589814:FAY589891 FAY655350:FAY655427 FAY720886:FAY720963 FAY786422:FAY786499 FAY851958:FAY852035 FAY917494:FAY917571 FAY983030:FAY983107 FKU65526:FKU65603 FKU131062:FKU131139 FKU196598:FKU196675 FKU262134:FKU262211 FKU327670:FKU327747 FKU393206:FKU393283 FKU458742:FKU458819 FKU524278:FKU524355 FKU589814:FKU589891 FKU655350:FKU655427 FKU720886:FKU720963 FKU786422:FKU786499 FKU851958:FKU852035 FKU917494:FKU917571 FKU983030:FKU983107 FUQ65526:FUQ65603 FUQ131062:FUQ131139 FUQ196598:FUQ196675 FUQ262134:FUQ262211 FUQ327670:FUQ327747 FUQ393206:FUQ393283 FUQ458742:FUQ458819 FUQ524278:FUQ524355 FUQ589814:FUQ589891 FUQ655350:FUQ655427 FUQ720886:FUQ720963 FUQ786422:FUQ786499 FUQ851958:FUQ852035 FUQ917494:FUQ917571 FUQ983030:FUQ983107 GEM65526:GEM65603 GEM131062:GEM131139 GEM196598:GEM196675 GEM262134:GEM262211 GEM327670:GEM327747 GEM393206:GEM393283 GEM458742:GEM458819 GEM524278:GEM524355 GEM589814:GEM589891 GEM655350:GEM655427 GEM720886:GEM720963 GEM786422:GEM786499 GEM851958:GEM852035 GEM917494:GEM917571 GEM983030:GEM983107 GOI65526:GOI65603 GOI131062:GOI131139 GOI196598:GOI196675 GOI262134:GOI262211 GOI327670:GOI327747 GOI393206:GOI393283 GOI458742:GOI458819 GOI524278:GOI524355 GOI589814:GOI589891 GOI655350:GOI655427 GOI720886:GOI720963 GOI786422:GOI786499 GOI851958:GOI852035 GOI917494:GOI917571 GOI983030:GOI983107 GYE65526:GYE65603 GYE131062:GYE131139 GYE196598:GYE196675 GYE262134:GYE262211 GYE327670:GYE327747 GYE393206:GYE393283 GYE458742:GYE458819 GYE524278:GYE524355 GYE589814:GYE589891 GYE655350:GYE655427 GYE720886:GYE720963 GYE786422:GYE786499 GYE851958:GYE852035 GYE917494:GYE917571 GYE983030:GYE983107 HIA65526:HIA65603 HIA131062:HIA131139 HIA196598:HIA196675 HIA262134:HIA262211 HIA327670:HIA327747 HIA393206:HIA393283 HIA458742:HIA458819 HIA524278:HIA524355 HIA589814:HIA589891 HIA655350:HIA655427 HIA720886:HIA720963 HIA786422:HIA786499 HIA851958:HIA852035 HIA917494:HIA917571 HIA983030:HIA983107 HRW65526:HRW65603 HRW131062:HRW131139 HRW196598:HRW196675 HRW262134:HRW262211 HRW327670:HRW327747 HRW393206:HRW393283 HRW458742:HRW458819 HRW524278:HRW524355 HRW589814:HRW589891 HRW655350:HRW655427 HRW720886:HRW720963 HRW786422:HRW786499 HRW851958:HRW852035 HRW917494:HRW917571 HRW983030:HRW983107 IBS65526:IBS65603 IBS131062:IBS131139 IBS196598:IBS196675 IBS262134:IBS262211 IBS327670:IBS327747 IBS393206:IBS393283 IBS458742:IBS458819 IBS524278:IBS524355 IBS589814:IBS589891 IBS655350:IBS655427 IBS720886:IBS720963 IBS786422:IBS786499 IBS851958:IBS852035 IBS917494:IBS917571 IBS983030:IBS983107 ILO65526:ILO65603 ILO131062:ILO131139 ILO196598:ILO196675 ILO262134:ILO262211 ILO327670:ILO327747 ILO393206:ILO393283 ILO458742:ILO458819 ILO524278:ILO524355 ILO589814:ILO589891 ILO655350:ILO655427 ILO720886:ILO720963 ILO786422:ILO786499 ILO851958:ILO852035 ILO917494:ILO917571 ILO983030:ILO983107 IVK65526:IVK65603 IVK131062:IVK131139 IVK196598:IVK196675 IVK262134:IVK262211 IVK327670:IVK327747 IVK393206:IVK393283 IVK458742:IVK458819 IVK524278:IVK524355 IVK589814:IVK589891 IVK655350:IVK655427 IVK720886:IVK720963 IVK786422:IVK786499 IVK851958:IVK852035 IVK917494:IVK917571 IVK983030:IVK983107 JFG65526:JFG65603 JFG131062:JFG131139 JFG196598:JFG196675 JFG262134:JFG262211 JFG327670:JFG327747 JFG393206:JFG393283 JFG458742:JFG458819 JFG524278:JFG524355 JFG589814:JFG589891 JFG655350:JFG655427 JFG720886:JFG720963 JFG786422:JFG786499 JFG851958:JFG852035 JFG917494:JFG917571 JFG983030:JFG983107 JPC65526:JPC65603 JPC131062:JPC131139 JPC196598:JPC196675 JPC262134:JPC262211 JPC327670:JPC327747 JPC393206:JPC393283 JPC458742:JPC458819 JPC524278:JPC524355 JPC589814:JPC589891 JPC655350:JPC655427 JPC720886:JPC720963 JPC786422:JPC786499 JPC851958:JPC852035 JPC917494:JPC917571 JPC983030:JPC983107 JYY65526:JYY65603 JYY131062:JYY131139 JYY196598:JYY196675 JYY262134:JYY262211 JYY327670:JYY327747 JYY393206:JYY393283 JYY458742:JYY458819 JYY524278:JYY524355 JYY589814:JYY589891 JYY655350:JYY655427 JYY720886:JYY720963 JYY786422:JYY786499 JYY851958:JYY852035 JYY917494:JYY917571 JYY983030:JYY983107 KIU65526:KIU65603 KIU131062:KIU131139 KIU196598:KIU196675 KIU262134:KIU262211 KIU327670:KIU327747 KIU393206:KIU393283 KIU458742:KIU458819 KIU524278:KIU524355 KIU589814:KIU589891 KIU655350:KIU655427 KIU720886:KIU720963 KIU786422:KIU786499 KIU851958:KIU852035 KIU917494:KIU917571 KIU983030:KIU983107 KSQ65526:KSQ65603 KSQ131062:KSQ131139 KSQ196598:KSQ196675 KSQ262134:KSQ262211 KSQ327670:KSQ327747 KSQ393206:KSQ393283 KSQ458742:KSQ458819 KSQ524278:KSQ524355 KSQ589814:KSQ589891 KSQ655350:KSQ655427 KSQ720886:KSQ720963 KSQ786422:KSQ786499 KSQ851958:KSQ852035 KSQ917494:KSQ917571 KSQ983030:KSQ983107 LCM65526:LCM65603 LCM131062:LCM131139 LCM196598:LCM196675 LCM262134:LCM262211 LCM327670:LCM327747 LCM393206:LCM393283 LCM458742:LCM458819 LCM524278:LCM524355 LCM589814:LCM589891 LCM655350:LCM655427 LCM720886:LCM720963 LCM786422:LCM786499 LCM851958:LCM852035 LCM917494:LCM917571 LCM983030:LCM983107 LMI65526:LMI65603 LMI131062:LMI131139 LMI196598:LMI196675 LMI262134:LMI262211 LMI327670:LMI327747 LMI393206:LMI393283 LMI458742:LMI458819 LMI524278:LMI524355 LMI589814:LMI589891 LMI655350:LMI655427 LMI720886:LMI720963 LMI786422:LMI786499 LMI851958:LMI852035 LMI917494:LMI917571 LMI983030:LMI983107 LWE65526:LWE65603 LWE131062:LWE131139 LWE196598:LWE196675 LWE262134:LWE262211 LWE327670:LWE327747 LWE393206:LWE393283 LWE458742:LWE458819 LWE524278:LWE524355 LWE589814:LWE589891 LWE655350:LWE655427 LWE720886:LWE720963 LWE786422:LWE786499 LWE851958:LWE852035 LWE917494:LWE917571 LWE983030:LWE983107 MGA65526:MGA65603 MGA131062:MGA131139 MGA196598:MGA196675 MGA262134:MGA262211 MGA327670:MGA327747 MGA393206:MGA393283 MGA458742:MGA458819 MGA524278:MGA524355 MGA589814:MGA589891 MGA655350:MGA655427 MGA720886:MGA720963 MGA786422:MGA786499 MGA851958:MGA852035 MGA917494:MGA917571 MGA983030:MGA983107 MPW65526:MPW65603 MPW131062:MPW131139 MPW196598:MPW196675 MPW262134:MPW262211 MPW327670:MPW327747 MPW393206:MPW393283 MPW458742:MPW458819 MPW524278:MPW524355 MPW589814:MPW589891 MPW655350:MPW655427 MPW720886:MPW720963 MPW786422:MPW786499 MPW851958:MPW852035 MPW917494:MPW917571 MPW983030:MPW983107 MZS65526:MZS65603 MZS131062:MZS131139 MZS196598:MZS196675 MZS262134:MZS262211 MZS327670:MZS327747 MZS393206:MZS393283 MZS458742:MZS458819 MZS524278:MZS524355 MZS589814:MZS589891 MZS655350:MZS655427 MZS720886:MZS720963 MZS786422:MZS786499 MZS851958:MZS852035 MZS917494:MZS917571 MZS983030:MZS983107 NJO65526:NJO65603 NJO131062:NJO131139 NJO196598:NJO196675 NJO262134:NJO262211 NJO327670:NJO327747 NJO393206:NJO393283 NJO458742:NJO458819 NJO524278:NJO524355 NJO589814:NJO589891 NJO655350:NJO655427 NJO720886:NJO720963 NJO786422:NJO786499 NJO851958:NJO852035 NJO917494:NJO917571 NJO983030:NJO983107 NTK65526:NTK65603 NTK131062:NTK131139 NTK196598:NTK196675 NTK262134:NTK262211 NTK327670:NTK327747 NTK393206:NTK393283 NTK458742:NTK458819 NTK524278:NTK524355 NTK589814:NTK589891 NTK655350:NTK655427 NTK720886:NTK720963 NTK786422:NTK786499 NTK851958:NTK852035 NTK917494:NTK917571 NTK983030:NTK983107 ODG65526:ODG65603 ODG131062:ODG131139 ODG196598:ODG196675 ODG262134:ODG262211 ODG327670:ODG327747 ODG393206:ODG393283 ODG458742:ODG458819 ODG524278:ODG524355 ODG589814:ODG589891 ODG655350:ODG655427 ODG720886:ODG720963 ODG786422:ODG786499 ODG851958:ODG852035 ODG917494:ODG917571 ODG983030:ODG983107 ONC65526:ONC65603 ONC131062:ONC131139 ONC196598:ONC196675 ONC262134:ONC262211 ONC327670:ONC327747 ONC393206:ONC393283 ONC458742:ONC458819 ONC524278:ONC524355 ONC589814:ONC589891 ONC655350:ONC655427 ONC720886:ONC720963 ONC786422:ONC786499 ONC851958:ONC852035 ONC917494:ONC917571 ONC983030:ONC983107 OWY65526:OWY65603 OWY131062:OWY131139 OWY196598:OWY196675 OWY262134:OWY262211 OWY327670:OWY327747 OWY393206:OWY393283 OWY458742:OWY458819 OWY524278:OWY524355 OWY589814:OWY589891 OWY655350:OWY655427 OWY720886:OWY720963 OWY786422:OWY786499 OWY851958:OWY852035 OWY917494:OWY917571 OWY983030:OWY983107 PGU65526:PGU65603 PGU131062:PGU131139 PGU196598:PGU196675 PGU262134:PGU262211 PGU327670:PGU327747 PGU393206:PGU393283 PGU458742:PGU458819 PGU524278:PGU524355 PGU589814:PGU589891 PGU655350:PGU655427 PGU720886:PGU720963 PGU786422:PGU786499 PGU851958:PGU852035 PGU917494:PGU917571 PGU983030:PGU983107 PQQ65526:PQQ65603 PQQ131062:PQQ131139 PQQ196598:PQQ196675 PQQ262134:PQQ262211 PQQ327670:PQQ327747 PQQ393206:PQQ393283 PQQ458742:PQQ458819 PQQ524278:PQQ524355 PQQ589814:PQQ589891 PQQ655350:PQQ655427 PQQ720886:PQQ720963 PQQ786422:PQQ786499 PQQ851958:PQQ852035 PQQ917494:PQQ917571 PQQ983030:PQQ983107 QAM65526:QAM65603 QAM131062:QAM131139 QAM196598:QAM196675 QAM262134:QAM262211 QAM327670:QAM327747 QAM393206:QAM393283 QAM458742:QAM458819 QAM524278:QAM524355 QAM589814:QAM589891 QAM655350:QAM655427 QAM720886:QAM720963 QAM786422:QAM786499 QAM851958:QAM852035 QAM917494:QAM917571 QAM983030:QAM983107 QKI65526:QKI65603 QKI131062:QKI131139 QKI196598:QKI196675 QKI262134:QKI262211 QKI327670:QKI327747 QKI393206:QKI393283 QKI458742:QKI458819 QKI524278:QKI524355 QKI589814:QKI589891 QKI655350:QKI655427 QKI720886:QKI720963 QKI786422:QKI786499 QKI851958:QKI852035 QKI917494:QKI917571 QKI983030:QKI983107 QUE65526:QUE65603 QUE131062:QUE131139 QUE196598:QUE196675 QUE262134:QUE262211 QUE327670:QUE327747 QUE393206:QUE393283 QUE458742:QUE458819 QUE524278:QUE524355 QUE589814:QUE589891 QUE655350:QUE655427 QUE720886:QUE720963 QUE786422:QUE786499 QUE851958:QUE852035 QUE917494:QUE917571 QUE983030:QUE983107 REA65526:REA65603 REA131062:REA131139 REA196598:REA196675 REA262134:REA262211 REA327670:REA327747 REA393206:REA393283 REA458742:REA458819 REA524278:REA524355 REA589814:REA589891 REA655350:REA655427 REA720886:REA720963 REA786422:REA786499 REA851958:REA852035 REA917494:REA917571 REA983030:REA983107 RNW65526:RNW65603 RNW131062:RNW131139 RNW196598:RNW196675 RNW262134:RNW262211 RNW327670:RNW327747 RNW393206:RNW393283 RNW458742:RNW458819 RNW524278:RNW524355 RNW589814:RNW589891 RNW655350:RNW655427 RNW720886:RNW720963 RNW786422:RNW786499 RNW851958:RNW852035 RNW917494:RNW917571 RNW983030:RNW983107 RXS65526:RXS65603 RXS131062:RXS131139 RXS196598:RXS196675 RXS262134:RXS262211 RXS327670:RXS327747 RXS393206:RXS393283 RXS458742:RXS458819 RXS524278:RXS524355 RXS589814:RXS589891 RXS655350:RXS655427 RXS720886:RXS720963 RXS786422:RXS786499 RXS851958:RXS852035 RXS917494:RXS917571 RXS983030:RXS983107 SHO65526:SHO65603 SHO131062:SHO131139 SHO196598:SHO196675 SHO262134:SHO262211 SHO327670:SHO327747 SHO393206:SHO393283 SHO458742:SHO458819 SHO524278:SHO524355 SHO589814:SHO589891 SHO655350:SHO655427 SHO720886:SHO720963 SHO786422:SHO786499 SHO851958:SHO852035 SHO917494:SHO917571 SHO983030:SHO983107 SRK65526:SRK65603 SRK131062:SRK131139 SRK196598:SRK196675 SRK262134:SRK262211 SRK327670:SRK327747 SRK393206:SRK393283 SRK458742:SRK458819 SRK524278:SRK524355 SRK589814:SRK589891 SRK655350:SRK655427 SRK720886:SRK720963 SRK786422:SRK786499 SRK851958:SRK852035 SRK917494:SRK917571 SRK983030:SRK983107 TBG65526:TBG65603 TBG131062:TBG131139 TBG196598:TBG196675 TBG262134:TBG262211 TBG327670:TBG327747 TBG393206:TBG393283 TBG458742:TBG458819 TBG524278:TBG524355 TBG589814:TBG589891 TBG655350:TBG655427 TBG720886:TBG720963 TBG786422:TBG786499 TBG851958:TBG852035 TBG917494:TBG917571 TBG983030:TBG983107 TLC65526:TLC65603 TLC131062:TLC131139 TLC196598:TLC196675 TLC262134:TLC262211 TLC327670:TLC327747 TLC393206:TLC393283 TLC458742:TLC458819 TLC524278:TLC524355 TLC589814:TLC589891 TLC655350:TLC655427 TLC720886:TLC720963 TLC786422:TLC786499 TLC851958:TLC852035 TLC917494:TLC917571 TLC983030:TLC983107 TUY65526:TUY65603 TUY131062:TUY131139 TUY196598:TUY196675 TUY262134:TUY262211 TUY327670:TUY327747 TUY393206:TUY393283 TUY458742:TUY458819 TUY524278:TUY524355 TUY589814:TUY589891 TUY655350:TUY655427 TUY720886:TUY720963 TUY786422:TUY786499 TUY851958:TUY852035 TUY917494:TUY917571 TUY983030:TUY983107 UEU65526:UEU65603 UEU131062:UEU131139 UEU196598:UEU196675 UEU262134:UEU262211 UEU327670:UEU327747 UEU393206:UEU393283 UEU458742:UEU458819 UEU524278:UEU524355 UEU589814:UEU589891 UEU655350:UEU655427 UEU720886:UEU720963 UEU786422:UEU786499 UEU851958:UEU852035 UEU917494:UEU917571 UEU983030:UEU983107 UOQ65526:UOQ65603 UOQ131062:UOQ131139 UOQ196598:UOQ196675 UOQ262134:UOQ262211 UOQ327670:UOQ327747 UOQ393206:UOQ393283 UOQ458742:UOQ458819 UOQ524278:UOQ524355 UOQ589814:UOQ589891 UOQ655350:UOQ655427 UOQ720886:UOQ720963 UOQ786422:UOQ786499 UOQ851958:UOQ852035 UOQ917494:UOQ917571 UOQ983030:UOQ983107 UYM65526:UYM65603 UYM131062:UYM131139 UYM196598:UYM196675 UYM262134:UYM262211 UYM327670:UYM327747 UYM393206:UYM393283 UYM458742:UYM458819 UYM524278:UYM524355 UYM589814:UYM589891 UYM655350:UYM655427 UYM720886:UYM720963 UYM786422:UYM786499 UYM851958:UYM852035 UYM917494:UYM917571 UYM983030:UYM983107 VII65526:VII65603 VII131062:VII131139 VII196598:VII196675 VII262134:VII262211 VII327670:VII327747 VII393206:VII393283 VII458742:VII458819 VII524278:VII524355 VII589814:VII589891 VII655350:VII655427 VII720886:VII720963 VII786422:VII786499 VII851958:VII852035 VII917494:VII917571 VII983030:VII983107 VSE65526:VSE65603 VSE131062:VSE131139 VSE196598:VSE196675 VSE262134:VSE262211 VSE327670:VSE327747 VSE393206:VSE393283 VSE458742:VSE458819 VSE524278:VSE524355 VSE589814:VSE589891 VSE655350:VSE655427 VSE720886:VSE720963 VSE786422:VSE786499 VSE851958:VSE852035 VSE917494:VSE917571 VSE983030:VSE983107 WCA65526:WCA65603 WCA131062:WCA131139 WCA196598:WCA196675 WCA262134:WCA262211 WCA327670:WCA327747 WCA393206:WCA393283 WCA458742:WCA458819 WCA524278:WCA524355 WCA589814:WCA589891 WCA655350:WCA655427 WCA720886:WCA720963 WCA786422:WCA786499 WCA851958:WCA852035 WCA917494:WCA917571 WCA983030:WCA983107 WLW65526:WLW65603 WLW131062:WLW131139 WLW196598:WLW196675 WLW262134:WLW262211 WLW327670:WLW327747 WLW393206:WLW393283 WLW458742:WLW458819 WLW524278:WLW524355 WLW589814:WLW589891 WLW655350:WLW655427 WLW720886:WLW720963 WLW786422:WLW786499 WLW851958:WLW852035 WLW917494:WLW917571 WLW983030:WLW983107 WVS65526:WVS65603 WVS131062:WVS131139 WVS196598:WVS196675 WVS262134:WVS262211 WVS327670:WVS327747 WVS393206:WVS393283 WVS458742:WVS458819 WVS524278:WVS524355 WVS589814:WVS589891 WVS655350:WVS655427 WVS720886:WVS720963 WVS786422:WVS786499 WVS851958:WVS852035 WVS917494:WVS917571 WVS983030:WVS983107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formula1>$AR$2:$AR$25</formula1>
    </dataValidation>
    <dataValidation type="list" allowBlank="1" showInputMessage="1" showErrorMessage="1" sqref="WVR983030:WVR983107 J65526:J65603 J131062:J131139 J196598:J196675 J262134:J262211 J327670:J327747 J393206:J393283 J458742:J458819 J524278:J524355 J589814:J589891 J655350:J655427 J720886:J720963 J786422:J786499 J851958:J852035 J917494:J917571 J983030:J983107 JF65526:JF65603 JF131062:JF131139 JF196598:JF196675 JF262134:JF262211 JF327670:JF327747 JF393206:JF393283 JF458742:JF458819 JF524278:JF524355 JF589814:JF589891 JF655350:JF655427 JF720886:JF720963 JF786422:JF786499 JF851958:JF852035 JF917494:JF917571 JF983030:JF983107 TB65526:TB65603 TB131062:TB131139 TB196598:TB196675 TB262134:TB262211 TB327670:TB327747 TB393206:TB393283 TB458742:TB458819 TB524278:TB524355 TB589814:TB589891 TB655350:TB655427 TB720886:TB720963 TB786422:TB786499 TB851958:TB852035 TB917494:TB917571 TB983030:TB983107 ACX65526:ACX65603 ACX131062:ACX131139 ACX196598:ACX196675 ACX262134:ACX262211 ACX327670:ACX327747 ACX393206:ACX393283 ACX458742:ACX458819 ACX524278:ACX524355 ACX589814:ACX589891 ACX655350:ACX655427 ACX720886:ACX720963 ACX786422:ACX786499 ACX851958:ACX852035 ACX917494:ACX917571 ACX983030:ACX983107 AMT65526:AMT65603 AMT131062:AMT131139 AMT196598:AMT196675 AMT262134:AMT262211 AMT327670:AMT327747 AMT393206:AMT393283 AMT458742:AMT458819 AMT524278:AMT524355 AMT589814:AMT589891 AMT655350:AMT655427 AMT720886:AMT720963 AMT786422:AMT786499 AMT851958:AMT852035 AMT917494:AMT917571 AMT983030:AMT983107 AWP65526:AWP65603 AWP131062:AWP131139 AWP196598:AWP196675 AWP262134:AWP262211 AWP327670:AWP327747 AWP393206:AWP393283 AWP458742:AWP458819 AWP524278:AWP524355 AWP589814:AWP589891 AWP655350:AWP655427 AWP720886:AWP720963 AWP786422:AWP786499 AWP851958:AWP852035 AWP917494:AWP917571 AWP983030:AWP983107 BGL65526:BGL65603 BGL131062:BGL131139 BGL196598:BGL196675 BGL262134:BGL262211 BGL327670:BGL327747 BGL393206:BGL393283 BGL458742:BGL458819 BGL524278:BGL524355 BGL589814:BGL589891 BGL655350:BGL655427 BGL720886:BGL720963 BGL786422:BGL786499 BGL851958:BGL852035 BGL917494:BGL917571 BGL983030:BGL983107 BQH65526:BQH65603 BQH131062:BQH131139 BQH196598:BQH196675 BQH262134:BQH262211 BQH327670:BQH327747 BQH393206:BQH393283 BQH458742:BQH458819 BQH524278:BQH524355 BQH589814:BQH589891 BQH655350:BQH655427 BQH720886:BQH720963 BQH786422:BQH786499 BQH851958:BQH852035 BQH917494:BQH917571 BQH983030:BQH983107 CAD65526:CAD65603 CAD131062:CAD131139 CAD196598:CAD196675 CAD262134:CAD262211 CAD327670:CAD327747 CAD393206:CAD393283 CAD458742:CAD458819 CAD524278:CAD524355 CAD589814:CAD589891 CAD655350:CAD655427 CAD720886:CAD720963 CAD786422:CAD786499 CAD851958:CAD852035 CAD917494:CAD917571 CAD983030:CAD983107 CJZ65526:CJZ65603 CJZ131062:CJZ131139 CJZ196598:CJZ196675 CJZ262134:CJZ262211 CJZ327670:CJZ327747 CJZ393206:CJZ393283 CJZ458742:CJZ458819 CJZ524278:CJZ524355 CJZ589814:CJZ589891 CJZ655350:CJZ655427 CJZ720886:CJZ720963 CJZ786422:CJZ786499 CJZ851958:CJZ852035 CJZ917494:CJZ917571 CJZ983030:CJZ983107 CTV65526:CTV65603 CTV131062:CTV131139 CTV196598:CTV196675 CTV262134:CTV262211 CTV327670:CTV327747 CTV393206:CTV393283 CTV458742:CTV458819 CTV524278:CTV524355 CTV589814:CTV589891 CTV655350:CTV655427 CTV720886:CTV720963 CTV786422:CTV786499 CTV851958:CTV852035 CTV917494:CTV917571 CTV983030:CTV983107 DDR65526:DDR65603 DDR131062:DDR131139 DDR196598:DDR196675 DDR262134:DDR262211 DDR327670:DDR327747 DDR393206:DDR393283 DDR458742:DDR458819 DDR524278:DDR524355 DDR589814:DDR589891 DDR655350:DDR655427 DDR720886:DDR720963 DDR786422:DDR786499 DDR851958:DDR852035 DDR917494:DDR917571 DDR983030:DDR983107 DNN65526:DNN65603 DNN131062:DNN131139 DNN196598:DNN196675 DNN262134:DNN262211 DNN327670:DNN327747 DNN393206:DNN393283 DNN458742:DNN458819 DNN524278:DNN524355 DNN589814:DNN589891 DNN655350:DNN655427 DNN720886:DNN720963 DNN786422:DNN786499 DNN851958:DNN852035 DNN917494:DNN917571 DNN983030:DNN983107 DXJ65526:DXJ65603 DXJ131062:DXJ131139 DXJ196598:DXJ196675 DXJ262134:DXJ262211 DXJ327670:DXJ327747 DXJ393206:DXJ393283 DXJ458742:DXJ458819 DXJ524278:DXJ524355 DXJ589814:DXJ589891 DXJ655350:DXJ655427 DXJ720886:DXJ720963 DXJ786422:DXJ786499 DXJ851958:DXJ852035 DXJ917494:DXJ917571 DXJ983030:DXJ983107 EHF65526:EHF65603 EHF131062:EHF131139 EHF196598:EHF196675 EHF262134:EHF262211 EHF327670:EHF327747 EHF393206:EHF393283 EHF458742:EHF458819 EHF524278:EHF524355 EHF589814:EHF589891 EHF655350:EHF655427 EHF720886:EHF720963 EHF786422:EHF786499 EHF851958:EHF852035 EHF917494:EHF917571 EHF983030:EHF983107 ERB65526:ERB65603 ERB131062:ERB131139 ERB196598:ERB196675 ERB262134:ERB262211 ERB327670:ERB327747 ERB393206:ERB393283 ERB458742:ERB458819 ERB524278:ERB524355 ERB589814:ERB589891 ERB655350:ERB655427 ERB720886:ERB720963 ERB786422:ERB786499 ERB851958:ERB852035 ERB917494:ERB917571 ERB983030:ERB983107 FAX65526:FAX65603 FAX131062:FAX131139 FAX196598:FAX196675 FAX262134:FAX262211 FAX327670:FAX327747 FAX393206:FAX393283 FAX458742:FAX458819 FAX524278:FAX524355 FAX589814:FAX589891 FAX655350:FAX655427 FAX720886:FAX720963 FAX786422:FAX786499 FAX851958:FAX852035 FAX917494:FAX917571 FAX983030:FAX983107 FKT65526:FKT65603 FKT131062:FKT131139 FKT196598:FKT196675 FKT262134:FKT262211 FKT327670:FKT327747 FKT393206:FKT393283 FKT458742:FKT458819 FKT524278:FKT524355 FKT589814:FKT589891 FKT655350:FKT655427 FKT720886:FKT720963 FKT786422:FKT786499 FKT851958:FKT852035 FKT917494:FKT917571 FKT983030:FKT983107 FUP65526:FUP65603 FUP131062:FUP131139 FUP196598:FUP196675 FUP262134:FUP262211 FUP327670:FUP327747 FUP393206:FUP393283 FUP458742:FUP458819 FUP524278:FUP524355 FUP589814:FUP589891 FUP655350:FUP655427 FUP720886:FUP720963 FUP786422:FUP786499 FUP851958:FUP852035 FUP917494:FUP917571 FUP983030:FUP983107 GEL65526:GEL65603 GEL131062:GEL131139 GEL196598:GEL196675 GEL262134:GEL262211 GEL327670:GEL327747 GEL393206:GEL393283 GEL458742:GEL458819 GEL524278:GEL524355 GEL589814:GEL589891 GEL655350:GEL655427 GEL720886:GEL720963 GEL786422:GEL786499 GEL851958:GEL852035 GEL917494:GEL917571 GEL983030:GEL983107 GOH65526:GOH65603 GOH131062:GOH131139 GOH196598:GOH196675 GOH262134:GOH262211 GOH327670:GOH327747 GOH393206:GOH393283 GOH458742:GOH458819 GOH524278:GOH524355 GOH589814:GOH589891 GOH655350:GOH655427 GOH720886:GOH720963 GOH786422:GOH786499 GOH851958:GOH852035 GOH917494:GOH917571 GOH983030:GOH983107 GYD65526:GYD65603 GYD131062:GYD131139 GYD196598:GYD196675 GYD262134:GYD262211 GYD327670:GYD327747 GYD393206:GYD393283 GYD458742:GYD458819 GYD524278:GYD524355 GYD589814:GYD589891 GYD655350:GYD655427 GYD720886:GYD720963 GYD786422:GYD786499 GYD851958:GYD852035 GYD917494:GYD917571 GYD983030:GYD983107 HHZ65526:HHZ65603 HHZ131062:HHZ131139 HHZ196598:HHZ196675 HHZ262134:HHZ262211 HHZ327670:HHZ327747 HHZ393206:HHZ393283 HHZ458742:HHZ458819 HHZ524278:HHZ524355 HHZ589814:HHZ589891 HHZ655350:HHZ655427 HHZ720886:HHZ720963 HHZ786422:HHZ786499 HHZ851958:HHZ852035 HHZ917494:HHZ917571 HHZ983030:HHZ983107 HRV65526:HRV65603 HRV131062:HRV131139 HRV196598:HRV196675 HRV262134:HRV262211 HRV327670:HRV327747 HRV393206:HRV393283 HRV458742:HRV458819 HRV524278:HRV524355 HRV589814:HRV589891 HRV655350:HRV655427 HRV720886:HRV720963 HRV786422:HRV786499 HRV851958:HRV852035 HRV917494:HRV917571 HRV983030:HRV983107 IBR65526:IBR65603 IBR131062:IBR131139 IBR196598:IBR196675 IBR262134:IBR262211 IBR327670:IBR327747 IBR393206:IBR393283 IBR458742:IBR458819 IBR524278:IBR524355 IBR589814:IBR589891 IBR655350:IBR655427 IBR720886:IBR720963 IBR786422:IBR786499 IBR851958:IBR852035 IBR917494:IBR917571 IBR983030:IBR983107 ILN65526:ILN65603 ILN131062:ILN131139 ILN196598:ILN196675 ILN262134:ILN262211 ILN327670:ILN327747 ILN393206:ILN393283 ILN458742:ILN458819 ILN524278:ILN524355 ILN589814:ILN589891 ILN655350:ILN655427 ILN720886:ILN720963 ILN786422:ILN786499 ILN851958:ILN852035 ILN917494:ILN917571 ILN983030:ILN983107 IVJ65526:IVJ65603 IVJ131062:IVJ131139 IVJ196598:IVJ196675 IVJ262134:IVJ262211 IVJ327670:IVJ327747 IVJ393206:IVJ393283 IVJ458742:IVJ458819 IVJ524278:IVJ524355 IVJ589814:IVJ589891 IVJ655350:IVJ655427 IVJ720886:IVJ720963 IVJ786422:IVJ786499 IVJ851958:IVJ852035 IVJ917494:IVJ917571 IVJ983030:IVJ983107 JFF65526:JFF65603 JFF131062:JFF131139 JFF196598:JFF196675 JFF262134:JFF262211 JFF327670:JFF327747 JFF393206:JFF393283 JFF458742:JFF458819 JFF524278:JFF524355 JFF589814:JFF589891 JFF655350:JFF655427 JFF720886:JFF720963 JFF786422:JFF786499 JFF851958:JFF852035 JFF917494:JFF917571 JFF983030:JFF983107 JPB65526:JPB65603 JPB131062:JPB131139 JPB196598:JPB196675 JPB262134:JPB262211 JPB327670:JPB327747 JPB393206:JPB393283 JPB458742:JPB458819 JPB524278:JPB524355 JPB589814:JPB589891 JPB655350:JPB655427 JPB720886:JPB720963 JPB786422:JPB786499 JPB851958:JPB852035 JPB917494:JPB917571 JPB983030:JPB983107 JYX65526:JYX65603 JYX131062:JYX131139 JYX196598:JYX196675 JYX262134:JYX262211 JYX327670:JYX327747 JYX393206:JYX393283 JYX458742:JYX458819 JYX524278:JYX524355 JYX589814:JYX589891 JYX655350:JYX655427 JYX720886:JYX720963 JYX786422:JYX786499 JYX851958:JYX852035 JYX917494:JYX917571 JYX983030:JYX983107 KIT65526:KIT65603 KIT131062:KIT131139 KIT196598:KIT196675 KIT262134:KIT262211 KIT327670:KIT327747 KIT393206:KIT393283 KIT458742:KIT458819 KIT524278:KIT524355 KIT589814:KIT589891 KIT655350:KIT655427 KIT720886:KIT720963 KIT786422:KIT786499 KIT851958:KIT852035 KIT917494:KIT917571 KIT983030:KIT983107 KSP65526:KSP65603 KSP131062:KSP131139 KSP196598:KSP196675 KSP262134:KSP262211 KSP327670:KSP327747 KSP393206:KSP393283 KSP458742:KSP458819 KSP524278:KSP524355 KSP589814:KSP589891 KSP655350:KSP655427 KSP720886:KSP720963 KSP786422:KSP786499 KSP851958:KSP852035 KSP917494:KSP917571 KSP983030:KSP983107 LCL65526:LCL65603 LCL131062:LCL131139 LCL196598:LCL196675 LCL262134:LCL262211 LCL327670:LCL327747 LCL393206:LCL393283 LCL458742:LCL458819 LCL524278:LCL524355 LCL589814:LCL589891 LCL655350:LCL655427 LCL720886:LCL720963 LCL786422:LCL786499 LCL851958:LCL852035 LCL917494:LCL917571 LCL983030:LCL983107 LMH65526:LMH65603 LMH131062:LMH131139 LMH196598:LMH196675 LMH262134:LMH262211 LMH327670:LMH327747 LMH393206:LMH393283 LMH458742:LMH458819 LMH524278:LMH524355 LMH589814:LMH589891 LMH655350:LMH655427 LMH720886:LMH720963 LMH786422:LMH786499 LMH851958:LMH852035 LMH917494:LMH917571 LMH983030:LMH983107 LWD65526:LWD65603 LWD131062:LWD131139 LWD196598:LWD196675 LWD262134:LWD262211 LWD327670:LWD327747 LWD393206:LWD393283 LWD458742:LWD458819 LWD524278:LWD524355 LWD589814:LWD589891 LWD655350:LWD655427 LWD720886:LWD720963 LWD786422:LWD786499 LWD851958:LWD852035 LWD917494:LWD917571 LWD983030:LWD983107 MFZ65526:MFZ65603 MFZ131062:MFZ131139 MFZ196598:MFZ196675 MFZ262134:MFZ262211 MFZ327670:MFZ327747 MFZ393206:MFZ393283 MFZ458742:MFZ458819 MFZ524278:MFZ524355 MFZ589814:MFZ589891 MFZ655350:MFZ655427 MFZ720886:MFZ720963 MFZ786422:MFZ786499 MFZ851958:MFZ852035 MFZ917494:MFZ917571 MFZ983030:MFZ983107 MPV65526:MPV65603 MPV131062:MPV131139 MPV196598:MPV196675 MPV262134:MPV262211 MPV327670:MPV327747 MPV393206:MPV393283 MPV458742:MPV458819 MPV524278:MPV524355 MPV589814:MPV589891 MPV655350:MPV655427 MPV720886:MPV720963 MPV786422:MPV786499 MPV851958:MPV852035 MPV917494:MPV917571 MPV983030:MPV983107 MZR65526:MZR65603 MZR131062:MZR131139 MZR196598:MZR196675 MZR262134:MZR262211 MZR327670:MZR327747 MZR393206:MZR393283 MZR458742:MZR458819 MZR524278:MZR524355 MZR589814:MZR589891 MZR655350:MZR655427 MZR720886:MZR720963 MZR786422:MZR786499 MZR851958:MZR852035 MZR917494:MZR917571 MZR983030:MZR983107 NJN65526:NJN65603 NJN131062:NJN131139 NJN196598:NJN196675 NJN262134:NJN262211 NJN327670:NJN327747 NJN393206:NJN393283 NJN458742:NJN458819 NJN524278:NJN524355 NJN589814:NJN589891 NJN655350:NJN655427 NJN720886:NJN720963 NJN786422:NJN786499 NJN851958:NJN852035 NJN917494:NJN917571 NJN983030:NJN983107 NTJ65526:NTJ65603 NTJ131062:NTJ131139 NTJ196598:NTJ196675 NTJ262134:NTJ262211 NTJ327670:NTJ327747 NTJ393206:NTJ393283 NTJ458742:NTJ458819 NTJ524278:NTJ524355 NTJ589814:NTJ589891 NTJ655350:NTJ655427 NTJ720886:NTJ720963 NTJ786422:NTJ786499 NTJ851958:NTJ852035 NTJ917494:NTJ917571 NTJ983030:NTJ983107 ODF65526:ODF65603 ODF131062:ODF131139 ODF196598:ODF196675 ODF262134:ODF262211 ODF327670:ODF327747 ODF393206:ODF393283 ODF458742:ODF458819 ODF524278:ODF524355 ODF589814:ODF589891 ODF655350:ODF655427 ODF720886:ODF720963 ODF786422:ODF786499 ODF851958:ODF852035 ODF917494:ODF917571 ODF983030:ODF983107 ONB65526:ONB65603 ONB131062:ONB131139 ONB196598:ONB196675 ONB262134:ONB262211 ONB327670:ONB327747 ONB393206:ONB393283 ONB458742:ONB458819 ONB524278:ONB524355 ONB589814:ONB589891 ONB655350:ONB655427 ONB720886:ONB720963 ONB786422:ONB786499 ONB851958:ONB852035 ONB917494:ONB917571 ONB983030:ONB983107 OWX65526:OWX65603 OWX131062:OWX131139 OWX196598:OWX196675 OWX262134:OWX262211 OWX327670:OWX327747 OWX393206:OWX393283 OWX458742:OWX458819 OWX524278:OWX524355 OWX589814:OWX589891 OWX655350:OWX655427 OWX720886:OWX720963 OWX786422:OWX786499 OWX851958:OWX852035 OWX917494:OWX917571 OWX983030:OWX983107 PGT65526:PGT65603 PGT131062:PGT131139 PGT196598:PGT196675 PGT262134:PGT262211 PGT327670:PGT327747 PGT393206:PGT393283 PGT458742:PGT458819 PGT524278:PGT524355 PGT589814:PGT589891 PGT655350:PGT655427 PGT720886:PGT720963 PGT786422:PGT786499 PGT851958:PGT852035 PGT917494:PGT917571 PGT983030:PGT983107 PQP65526:PQP65603 PQP131062:PQP131139 PQP196598:PQP196675 PQP262134:PQP262211 PQP327670:PQP327747 PQP393206:PQP393283 PQP458742:PQP458819 PQP524278:PQP524355 PQP589814:PQP589891 PQP655350:PQP655427 PQP720886:PQP720963 PQP786422:PQP786499 PQP851958:PQP852035 PQP917494:PQP917571 PQP983030:PQP983107 QAL65526:QAL65603 QAL131062:QAL131139 QAL196598:QAL196675 QAL262134:QAL262211 QAL327670:QAL327747 QAL393206:QAL393283 QAL458742:QAL458819 QAL524278:QAL524355 QAL589814:QAL589891 QAL655350:QAL655427 QAL720886:QAL720963 QAL786422:QAL786499 QAL851958:QAL852035 QAL917494:QAL917571 QAL983030:QAL983107 QKH65526:QKH65603 QKH131062:QKH131139 QKH196598:QKH196675 QKH262134:QKH262211 QKH327670:QKH327747 QKH393206:QKH393283 QKH458742:QKH458819 QKH524278:QKH524355 QKH589814:QKH589891 QKH655350:QKH655427 QKH720886:QKH720963 QKH786422:QKH786499 QKH851958:QKH852035 QKH917494:QKH917571 QKH983030:QKH983107 QUD65526:QUD65603 QUD131062:QUD131139 QUD196598:QUD196675 QUD262134:QUD262211 QUD327670:QUD327747 QUD393206:QUD393283 QUD458742:QUD458819 QUD524278:QUD524355 QUD589814:QUD589891 QUD655350:QUD655427 QUD720886:QUD720963 QUD786422:QUD786499 QUD851958:QUD852035 QUD917494:QUD917571 QUD983030:QUD983107 RDZ65526:RDZ65603 RDZ131062:RDZ131139 RDZ196598:RDZ196675 RDZ262134:RDZ262211 RDZ327670:RDZ327747 RDZ393206:RDZ393283 RDZ458742:RDZ458819 RDZ524278:RDZ524355 RDZ589814:RDZ589891 RDZ655350:RDZ655427 RDZ720886:RDZ720963 RDZ786422:RDZ786499 RDZ851958:RDZ852035 RDZ917494:RDZ917571 RDZ983030:RDZ983107 RNV65526:RNV65603 RNV131062:RNV131139 RNV196598:RNV196675 RNV262134:RNV262211 RNV327670:RNV327747 RNV393206:RNV393283 RNV458742:RNV458819 RNV524278:RNV524355 RNV589814:RNV589891 RNV655350:RNV655427 RNV720886:RNV720963 RNV786422:RNV786499 RNV851958:RNV852035 RNV917494:RNV917571 RNV983030:RNV983107 RXR65526:RXR65603 RXR131062:RXR131139 RXR196598:RXR196675 RXR262134:RXR262211 RXR327670:RXR327747 RXR393206:RXR393283 RXR458742:RXR458819 RXR524278:RXR524355 RXR589814:RXR589891 RXR655350:RXR655427 RXR720886:RXR720963 RXR786422:RXR786499 RXR851958:RXR852035 RXR917494:RXR917571 RXR983030:RXR983107 SHN65526:SHN65603 SHN131062:SHN131139 SHN196598:SHN196675 SHN262134:SHN262211 SHN327670:SHN327747 SHN393206:SHN393283 SHN458742:SHN458819 SHN524278:SHN524355 SHN589814:SHN589891 SHN655350:SHN655427 SHN720886:SHN720963 SHN786422:SHN786499 SHN851958:SHN852035 SHN917494:SHN917571 SHN983030:SHN983107 SRJ65526:SRJ65603 SRJ131062:SRJ131139 SRJ196598:SRJ196675 SRJ262134:SRJ262211 SRJ327670:SRJ327747 SRJ393206:SRJ393283 SRJ458742:SRJ458819 SRJ524278:SRJ524355 SRJ589814:SRJ589891 SRJ655350:SRJ655427 SRJ720886:SRJ720963 SRJ786422:SRJ786499 SRJ851958:SRJ852035 SRJ917494:SRJ917571 SRJ983030:SRJ983107 TBF65526:TBF65603 TBF131062:TBF131139 TBF196598:TBF196675 TBF262134:TBF262211 TBF327670:TBF327747 TBF393206:TBF393283 TBF458742:TBF458819 TBF524278:TBF524355 TBF589814:TBF589891 TBF655350:TBF655427 TBF720886:TBF720963 TBF786422:TBF786499 TBF851958:TBF852035 TBF917494:TBF917571 TBF983030:TBF983107 TLB65526:TLB65603 TLB131062:TLB131139 TLB196598:TLB196675 TLB262134:TLB262211 TLB327670:TLB327747 TLB393206:TLB393283 TLB458742:TLB458819 TLB524278:TLB524355 TLB589814:TLB589891 TLB655350:TLB655427 TLB720886:TLB720963 TLB786422:TLB786499 TLB851958:TLB852035 TLB917494:TLB917571 TLB983030:TLB983107 TUX65526:TUX65603 TUX131062:TUX131139 TUX196598:TUX196675 TUX262134:TUX262211 TUX327670:TUX327747 TUX393206:TUX393283 TUX458742:TUX458819 TUX524278:TUX524355 TUX589814:TUX589891 TUX655350:TUX655427 TUX720886:TUX720963 TUX786422:TUX786499 TUX851958:TUX852035 TUX917494:TUX917571 TUX983030:TUX983107 UET65526:UET65603 UET131062:UET131139 UET196598:UET196675 UET262134:UET262211 UET327670:UET327747 UET393206:UET393283 UET458742:UET458819 UET524278:UET524355 UET589814:UET589891 UET655350:UET655427 UET720886:UET720963 UET786422:UET786499 UET851958:UET852035 UET917494:UET917571 UET983030:UET983107 UOP65526:UOP65603 UOP131062:UOP131139 UOP196598:UOP196675 UOP262134:UOP262211 UOP327670:UOP327747 UOP393206:UOP393283 UOP458742:UOP458819 UOP524278:UOP524355 UOP589814:UOP589891 UOP655350:UOP655427 UOP720886:UOP720963 UOP786422:UOP786499 UOP851958:UOP852035 UOP917494:UOP917571 UOP983030:UOP983107 UYL65526:UYL65603 UYL131062:UYL131139 UYL196598:UYL196675 UYL262134:UYL262211 UYL327670:UYL327747 UYL393206:UYL393283 UYL458742:UYL458819 UYL524278:UYL524355 UYL589814:UYL589891 UYL655350:UYL655427 UYL720886:UYL720963 UYL786422:UYL786499 UYL851958:UYL852035 UYL917494:UYL917571 UYL983030:UYL983107 VIH65526:VIH65603 VIH131062:VIH131139 VIH196598:VIH196675 VIH262134:VIH262211 VIH327670:VIH327747 VIH393206:VIH393283 VIH458742:VIH458819 VIH524278:VIH524355 VIH589814:VIH589891 VIH655350:VIH655427 VIH720886:VIH720963 VIH786422:VIH786499 VIH851958:VIH852035 VIH917494:VIH917571 VIH983030:VIH983107 VSD65526:VSD65603 VSD131062:VSD131139 VSD196598:VSD196675 VSD262134:VSD262211 VSD327670:VSD327747 VSD393206:VSD393283 VSD458742:VSD458819 VSD524278:VSD524355 VSD589814:VSD589891 VSD655350:VSD655427 VSD720886:VSD720963 VSD786422:VSD786499 VSD851958:VSD852035 VSD917494:VSD917571 VSD983030:VSD983107 WBZ65526:WBZ65603 WBZ131062:WBZ131139 WBZ196598:WBZ196675 WBZ262134:WBZ262211 WBZ327670:WBZ327747 WBZ393206:WBZ393283 WBZ458742:WBZ458819 WBZ524278:WBZ524355 WBZ589814:WBZ589891 WBZ655350:WBZ655427 WBZ720886:WBZ720963 WBZ786422:WBZ786499 WBZ851958:WBZ852035 WBZ917494:WBZ917571 WBZ983030:WBZ983107 WLV65526:WLV65603 WLV131062:WLV131139 WLV196598:WLV196675 WLV262134:WLV262211 WLV327670:WLV327747 WLV393206:WLV393283 WLV458742:WLV458819 WLV524278:WLV524355 WLV589814:WLV589891 WLV655350:WLV655427 WLV720886:WLV720963 WLV786422:WLV786499 WLV851958:WLV852035 WLV917494:WLV917571 WLV983030:WLV983107 WVR65526:WVR65603 WVR131062:WVR131139 WVR196598:WVR196675 WVR262134:WVR262211 WVR327670:WVR327747 WVR393206:WVR393283 WVR458742:WVR458819 WVR524278:WVR524355 WVR589814:WVR589891 WVR655350:WVR655427 WVR720886:WVR720963 WVR786422:WVR786499 WVR851958:WVR852035 WVR917494:WVR917571 JF2:JF67 TB2:TB67 ACX2:ACX67 AMT2:AMT67 AWP2:AWP67 BGL2:BGL67 BQH2:BQH67 CAD2:CAD67 CJZ2:CJZ67 CTV2:CTV67 DDR2:DDR67 DNN2:DNN67 DXJ2:DXJ67 EHF2:EHF67 ERB2:ERB67 FAX2:FAX67 FKT2:FKT67 FUP2:FUP67 GEL2:GEL67 GOH2:GOH67 GYD2:GYD67 HHZ2:HHZ67 HRV2:HRV67 IBR2:IBR67 ILN2:ILN67 IVJ2:IVJ67 JFF2:JFF67 JPB2:JPB67 JYX2:JYX67 KIT2:KIT67 KSP2:KSP67 LCL2:LCL67 LMH2:LMH67 LWD2:LWD67 MFZ2:MFZ67 MPV2:MPV67 MZR2:MZR67 NJN2:NJN67 NTJ2:NTJ67 ODF2:ODF67 ONB2:ONB67 OWX2:OWX67 PGT2:PGT67 PQP2:PQP67 QAL2:QAL67 QKH2:QKH67 QUD2:QUD67 RDZ2:RDZ67 RNV2:RNV67 RXR2:RXR67 SHN2:SHN67 SRJ2:SRJ67 TBF2:TBF67 TLB2:TLB67 TUX2:TUX67 UET2:UET67 UOP2:UOP67 UYL2:UYL67 VIH2:VIH67 VSD2:VSD67 WBZ2:WBZ67 WLV2:WLV67 WVR2:WVR67 J2:J488">
      <formula1>$AP$2:$AP$27</formula1>
    </dataValidation>
    <dataValidation type="list" allowBlank="1" showInputMessage="1" showErrorMessage="1" sqref="WVN983030:WVN983107 F65526:F65603 F131062:F131139 F196598:F196675 F262134:F262211 F327670:F327747 F393206:F393283 F458742:F458819 F524278:F524355 F589814:F589891 F655350:F655427 F720886:F720963 F786422:F786499 F851958:F852035 F917494:F917571 F983030:F983107 JB65526:JB65603 JB131062:JB131139 JB196598:JB196675 JB262134:JB262211 JB327670:JB327747 JB393206:JB393283 JB458742:JB458819 JB524278:JB524355 JB589814:JB589891 JB655350:JB655427 JB720886:JB720963 JB786422:JB786499 JB851958:JB852035 JB917494:JB917571 JB983030:JB983107 SX65526:SX65603 SX131062:SX131139 SX196598:SX196675 SX262134:SX262211 SX327670:SX327747 SX393206:SX393283 SX458742:SX458819 SX524278:SX524355 SX589814:SX589891 SX655350:SX655427 SX720886:SX720963 SX786422:SX786499 SX851958:SX852035 SX917494:SX917571 SX983030:SX983107 ACT65526:ACT65603 ACT131062:ACT131139 ACT196598:ACT196675 ACT262134:ACT262211 ACT327670:ACT327747 ACT393206:ACT393283 ACT458742:ACT458819 ACT524278:ACT524355 ACT589814:ACT589891 ACT655350:ACT655427 ACT720886:ACT720963 ACT786422:ACT786499 ACT851958:ACT852035 ACT917494:ACT917571 ACT983030:ACT983107 AMP65526:AMP65603 AMP131062:AMP131139 AMP196598:AMP196675 AMP262134:AMP262211 AMP327670:AMP327747 AMP393206:AMP393283 AMP458742:AMP458819 AMP524278:AMP524355 AMP589814:AMP589891 AMP655350:AMP655427 AMP720886:AMP720963 AMP786422:AMP786499 AMP851958:AMP852035 AMP917494:AMP917571 AMP983030:AMP983107 AWL65526:AWL65603 AWL131062:AWL131139 AWL196598:AWL196675 AWL262134:AWL262211 AWL327670:AWL327747 AWL393206:AWL393283 AWL458742:AWL458819 AWL524278:AWL524355 AWL589814:AWL589891 AWL655350:AWL655427 AWL720886:AWL720963 AWL786422:AWL786499 AWL851958:AWL852035 AWL917494:AWL917571 AWL983030:AWL983107 BGH65526:BGH65603 BGH131062:BGH131139 BGH196598:BGH196675 BGH262134:BGH262211 BGH327670:BGH327747 BGH393206:BGH393283 BGH458742:BGH458819 BGH524278:BGH524355 BGH589814:BGH589891 BGH655350:BGH655427 BGH720886:BGH720963 BGH786422:BGH786499 BGH851958:BGH852035 BGH917494:BGH917571 BGH983030:BGH983107 BQD65526:BQD65603 BQD131062:BQD131139 BQD196598:BQD196675 BQD262134:BQD262211 BQD327670:BQD327747 BQD393206:BQD393283 BQD458742:BQD458819 BQD524278:BQD524355 BQD589814:BQD589891 BQD655350:BQD655427 BQD720886:BQD720963 BQD786422:BQD786499 BQD851958:BQD852035 BQD917494:BQD917571 BQD983030:BQD983107 BZZ65526:BZZ65603 BZZ131062:BZZ131139 BZZ196598:BZZ196675 BZZ262134:BZZ262211 BZZ327670:BZZ327747 BZZ393206:BZZ393283 BZZ458742:BZZ458819 BZZ524278:BZZ524355 BZZ589814:BZZ589891 BZZ655350:BZZ655427 BZZ720886:BZZ720963 BZZ786422:BZZ786499 BZZ851958:BZZ852035 BZZ917494:BZZ917571 BZZ983030:BZZ983107 CJV65526:CJV65603 CJV131062:CJV131139 CJV196598:CJV196675 CJV262134:CJV262211 CJV327670:CJV327747 CJV393206:CJV393283 CJV458742:CJV458819 CJV524278:CJV524355 CJV589814:CJV589891 CJV655350:CJV655427 CJV720886:CJV720963 CJV786422:CJV786499 CJV851958:CJV852035 CJV917494:CJV917571 CJV983030:CJV983107 CTR65526:CTR65603 CTR131062:CTR131139 CTR196598:CTR196675 CTR262134:CTR262211 CTR327670:CTR327747 CTR393206:CTR393283 CTR458742:CTR458819 CTR524278:CTR524355 CTR589814:CTR589891 CTR655350:CTR655427 CTR720886:CTR720963 CTR786422:CTR786499 CTR851958:CTR852035 CTR917494:CTR917571 CTR983030:CTR983107 DDN65526:DDN65603 DDN131062:DDN131139 DDN196598:DDN196675 DDN262134:DDN262211 DDN327670:DDN327747 DDN393206:DDN393283 DDN458742:DDN458819 DDN524278:DDN524355 DDN589814:DDN589891 DDN655350:DDN655427 DDN720886:DDN720963 DDN786422:DDN786499 DDN851958:DDN852035 DDN917494:DDN917571 DDN983030:DDN983107 DNJ65526:DNJ65603 DNJ131062:DNJ131139 DNJ196598:DNJ196675 DNJ262134:DNJ262211 DNJ327670:DNJ327747 DNJ393206:DNJ393283 DNJ458742:DNJ458819 DNJ524278:DNJ524355 DNJ589814:DNJ589891 DNJ655350:DNJ655427 DNJ720886:DNJ720963 DNJ786422:DNJ786499 DNJ851958:DNJ852035 DNJ917494:DNJ917571 DNJ983030:DNJ983107 DXF65526:DXF65603 DXF131062:DXF131139 DXF196598:DXF196675 DXF262134:DXF262211 DXF327670:DXF327747 DXF393206:DXF393283 DXF458742:DXF458819 DXF524278:DXF524355 DXF589814:DXF589891 DXF655350:DXF655427 DXF720886:DXF720963 DXF786422:DXF786499 DXF851958:DXF852035 DXF917494:DXF917571 DXF983030:DXF983107 EHB65526:EHB65603 EHB131062:EHB131139 EHB196598:EHB196675 EHB262134:EHB262211 EHB327670:EHB327747 EHB393206:EHB393283 EHB458742:EHB458819 EHB524278:EHB524355 EHB589814:EHB589891 EHB655350:EHB655427 EHB720886:EHB720963 EHB786422:EHB786499 EHB851958:EHB852035 EHB917494:EHB917571 EHB983030:EHB983107 EQX65526:EQX65603 EQX131062:EQX131139 EQX196598:EQX196675 EQX262134:EQX262211 EQX327670:EQX327747 EQX393206:EQX393283 EQX458742:EQX458819 EQX524278:EQX524355 EQX589814:EQX589891 EQX655350:EQX655427 EQX720886:EQX720963 EQX786422:EQX786499 EQX851958:EQX852035 EQX917494:EQX917571 EQX983030:EQX983107 FAT65526:FAT65603 FAT131062:FAT131139 FAT196598:FAT196675 FAT262134:FAT262211 FAT327670:FAT327747 FAT393206:FAT393283 FAT458742:FAT458819 FAT524278:FAT524355 FAT589814:FAT589891 FAT655350:FAT655427 FAT720886:FAT720963 FAT786422:FAT786499 FAT851958:FAT852035 FAT917494:FAT917571 FAT983030:FAT983107 FKP65526:FKP65603 FKP131062:FKP131139 FKP196598:FKP196675 FKP262134:FKP262211 FKP327670:FKP327747 FKP393206:FKP393283 FKP458742:FKP458819 FKP524278:FKP524355 FKP589814:FKP589891 FKP655350:FKP655427 FKP720886:FKP720963 FKP786422:FKP786499 FKP851958:FKP852035 FKP917494:FKP917571 FKP983030:FKP983107 FUL65526:FUL65603 FUL131062:FUL131139 FUL196598:FUL196675 FUL262134:FUL262211 FUL327670:FUL327747 FUL393206:FUL393283 FUL458742:FUL458819 FUL524278:FUL524355 FUL589814:FUL589891 FUL655350:FUL655427 FUL720886:FUL720963 FUL786422:FUL786499 FUL851958:FUL852035 FUL917494:FUL917571 FUL983030:FUL983107 GEH65526:GEH65603 GEH131062:GEH131139 GEH196598:GEH196675 GEH262134:GEH262211 GEH327670:GEH327747 GEH393206:GEH393283 GEH458742:GEH458819 GEH524278:GEH524355 GEH589814:GEH589891 GEH655350:GEH655427 GEH720886:GEH720963 GEH786422:GEH786499 GEH851958:GEH852035 GEH917494:GEH917571 GEH983030:GEH983107 GOD65526:GOD65603 GOD131062:GOD131139 GOD196598:GOD196675 GOD262134:GOD262211 GOD327670:GOD327747 GOD393206:GOD393283 GOD458742:GOD458819 GOD524278:GOD524355 GOD589814:GOD589891 GOD655350:GOD655427 GOD720886:GOD720963 GOD786422:GOD786499 GOD851958:GOD852035 GOD917494:GOD917571 GOD983030:GOD983107 GXZ65526:GXZ65603 GXZ131062:GXZ131139 GXZ196598:GXZ196675 GXZ262134:GXZ262211 GXZ327670:GXZ327747 GXZ393206:GXZ393283 GXZ458742:GXZ458819 GXZ524278:GXZ524355 GXZ589814:GXZ589891 GXZ655350:GXZ655427 GXZ720886:GXZ720963 GXZ786422:GXZ786499 GXZ851958:GXZ852035 GXZ917494:GXZ917571 GXZ983030:GXZ983107 HHV65526:HHV65603 HHV131062:HHV131139 HHV196598:HHV196675 HHV262134:HHV262211 HHV327670:HHV327747 HHV393206:HHV393283 HHV458742:HHV458819 HHV524278:HHV524355 HHV589814:HHV589891 HHV655350:HHV655427 HHV720886:HHV720963 HHV786422:HHV786499 HHV851958:HHV852035 HHV917494:HHV917571 HHV983030:HHV983107 HRR65526:HRR65603 HRR131062:HRR131139 HRR196598:HRR196675 HRR262134:HRR262211 HRR327670:HRR327747 HRR393206:HRR393283 HRR458742:HRR458819 HRR524278:HRR524355 HRR589814:HRR589891 HRR655350:HRR655427 HRR720886:HRR720963 HRR786422:HRR786499 HRR851958:HRR852035 HRR917494:HRR917571 HRR983030:HRR983107 IBN65526:IBN65603 IBN131062:IBN131139 IBN196598:IBN196675 IBN262134:IBN262211 IBN327670:IBN327747 IBN393206:IBN393283 IBN458742:IBN458819 IBN524278:IBN524355 IBN589814:IBN589891 IBN655350:IBN655427 IBN720886:IBN720963 IBN786422:IBN786499 IBN851958:IBN852035 IBN917494:IBN917571 IBN983030:IBN983107 ILJ65526:ILJ65603 ILJ131062:ILJ131139 ILJ196598:ILJ196675 ILJ262134:ILJ262211 ILJ327670:ILJ327747 ILJ393206:ILJ393283 ILJ458742:ILJ458819 ILJ524278:ILJ524355 ILJ589814:ILJ589891 ILJ655350:ILJ655427 ILJ720886:ILJ720963 ILJ786422:ILJ786499 ILJ851958:ILJ852035 ILJ917494:ILJ917571 ILJ983030:ILJ983107 IVF65526:IVF65603 IVF131062:IVF131139 IVF196598:IVF196675 IVF262134:IVF262211 IVF327670:IVF327747 IVF393206:IVF393283 IVF458742:IVF458819 IVF524278:IVF524355 IVF589814:IVF589891 IVF655350:IVF655427 IVF720886:IVF720963 IVF786422:IVF786499 IVF851958:IVF852035 IVF917494:IVF917571 IVF983030:IVF983107 JFB65526:JFB65603 JFB131062:JFB131139 JFB196598:JFB196675 JFB262134:JFB262211 JFB327670:JFB327747 JFB393206:JFB393283 JFB458742:JFB458819 JFB524278:JFB524355 JFB589814:JFB589891 JFB655350:JFB655427 JFB720886:JFB720963 JFB786422:JFB786499 JFB851958:JFB852035 JFB917494:JFB917571 JFB983030:JFB983107 JOX65526:JOX65603 JOX131062:JOX131139 JOX196598:JOX196675 JOX262134:JOX262211 JOX327670:JOX327747 JOX393206:JOX393283 JOX458742:JOX458819 JOX524278:JOX524355 JOX589814:JOX589891 JOX655350:JOX655427 JOX720886:JOX720963 JOX786422:JOX786499 JOX851958:JOX852035 JOX917494:JOX917571 JOX983030:JOX983107 JYT65526:JYT65603 JYT131062:JYT131139 JYT196598:JYT196675 JYT262134:JYT262211 JYT327670:JYT327747 JYT393206:JYT393283 JYT458742:JYT458819 JYT524278:JYT524355 JYT589814:JYT589891 JYT655350:JYT655427 JYT720886:JYT720963 JYT786422:JYT786499 JYT851958:JYT852035 JYT917494:JYT917571 JYT983030:JYT983107 KIP65526:KIP65603 KIP131062:KIP131139 KIP196598:KIP196675 KIP262134:KIP262211 KIP327670:KIP327747 KIP393206:KIP393283 KIP458742:KIP458819 KIP524278:KIP524355 KIP589814:KIP589891 KIP655350:KIP655427 KIP720886:KIP720963 KIP786422:KIP786499 KIP851958:KIP852035 KIP917494:KIP917571 KIP983030:KIP983107 KSL65526:KSL65603 KSL131062:KSL131139 KSL196598:KSL196675 KSL262134:KSL262211 KSL327670:KSL327747 KSL393206:KSL393283 KSL458742:KSL458819 KSL524278:KSL524355 KSL589814:KSL589891 KSL655350:KSL655427 KSL720886:KSL720963 KSL786422:KSL786499 KSL851958:KSL852035 KSL917494:KSL917571 KSL983030:KSL983107 LCH65526:LCH65603 LCH131062:LCH131139 LCH196598:LCH196675 LCH262134:LCH262211 LCH327670:LCH327747 LCH393206:LCH393283 LCH458742:LCH458819 LCH524278:LCH524355 LCH589814:LCH589891 LCH655350:LCH655427 LCH720886:LCH720963 LCH786422:LCH786499 LCH851958:LCH852035 LCH917494:LCH917571 LCH983030:LCH983107 LMD65526:LMD65603 LMD131062:LMD131139 LMD196598:LMD196675 LMD262134:LMD262211 LMD327670:LMD327747 LMD393206:LMD393283 LMD458742:LMD458819 LMD524278:LMD524355 LMD589814:LMD589891 LMD655350:LMD655427 LMD720886:LMD720963 LMD786422:LMD786499 LMD851958:LMD852035 LMD917494:LMD917571 LMD983030:LMD983107 LVZ65526:LVZ65603 LVZ131062:LVZ131139 LVZ196598:LVZ196675 LVZ262134:LVZ262211 LVZ327670:LVZ327747 LVZ393206:LVZ393283 LVZ458742:LVZ458819 LVZ524278:LVZ524355 LVZ589814:LVZ589891 LVZ655350:LVZ655427 LVZ720886:LVZ720963 LVZ786422:LVZ786499 LVZ851958:LVZ852035 LVZ917494:LVZ917571 LVZ983030:LVZ983107 MFV65526:MFV65603 MFV131062:MFV131139 MFV196598:MFV196675 MFV262134:MFV262211 MFV327670:MFV327747 MFV393206:MFV393283 MFV458742:MFV458819 MFV524278:MFV524355 MFV589814:MFV589891 MFV655350:MFV655427 MFV720886:MFV720963 MFV786422:MFV786499 MFV851958:MFV852035 MFV917494:MFV917571 MFV983030:MFV983107 MPR65526:MPR65603 MPR131062:MPR131139 MPR196598:MPR196675 MPR262134:MPR262211 MPR327670:MPR327747 MPR393206:MPR393283 MPR458742:MPR458819 MPR524278:MPR524355 MPR589814:MPR589891 MPR655350:MPR655427 MPR720886:MPR720963 MPR786422:MPR786499 MPR851958:MPR852035 MPR917494:MPR917571 MPR983030:MPR983107 MZN65526:MZN65603 MZN131062:MZN131139 MZN196598:MZN196675 MZN262134:MZN262211 MZN327670:MZN327747 MZN393206:MZN393283 MZN458742:MZN458819 MZN524278:MZN524355 MZN589814:MZN589891 MZN655350:MZN655427 MZN720886:MZN720963 MZN786422:MZN786499 MZN851958:MZN852035 MZN917494:MZN917571 MZN983030:MZN983107 NJJ65526:NJJ65603 NJJ131062:NJJ131139 NJJ196598:NJJ196675 NJJ262134:NJJ262211 NJJ327670:NJJ327747 NJJ393206:NJJ393283 NJJ458742:NJJ458819 NJJ524278:NJJ524355 NJJ589814:NJJ589891 NJJ655350:NJJ655427 NJJ720886:NJJ720963 NJJ786422:NJJ786499 NJJ851958:NJJ852035 NJJ917494:NJJ917571 NJJ983030:NJJ983107 NTF65526:NTF65603 NTF131062:NTF131139 NTF196598:NTF196675 NTF262134:NTF262211 NTF327670:NTF327747 NTF393206:NTF393283 NTF458742:NTF458819 NTF524278:NTF524355 NTF589814:NTF589891 NTF655350:NTF655427 NTF720886:NTF720963 NTF786422:NTF786499 NTF851958:NTF852035 NTF917494:NTF917571 NTF983030:NTF983107 ODB65526:ODB65603 ODB131062:ODB131139 ODB196598:ODB196675 ODB262134:ODB262211 ODB327670:ODB327747 ODB393206:ODB393283 ODB458742:ODB458819 ODB524278:ODB524355 ODB589814:ODB589891 ODB655350:ODB655427 ODB720886:ODB720963 ODB786422:ODB786499 ODB851958:ODB852035 ODB917494:ODB917571 ODB983030:ODB983107 OMX65526:OMX65603 OMX131062:OMX131139 OMX196598:OMX196675 OMX262134:OMX262211 OMX327670:OMX327747 OMX393206:OMX393283 OMX458742:OMX458819 OMX524278:OMX524355 OMX589814:OMX589891 OMX655350:OMX655427 OMX720886:OMX720963 OMX786422:OMX786499 OMX851958:OMX852035 OMX917494:OMX917571 OMX983030:OMX983107 OWT65526:OWT65603 OWT131062:OWT131139 OWT196598:OWT196675 OWT262134:OWT262211 OWT327670:OWT327747 OWT393206:OWT393283 OWT458742:OWT458819 OWT524278:OWT524355 OWT589814:OWT589891 OWT655350:OWT655427 OWT720886:OWT720963 OWT786422:OWT786499 OWT851958:OWT852035 OWT917494:OWT917571 OWT983030:OWT983107 PGP65526:PGP65603 PGP131062:PGP131139 PGP196598:PGP196675 PGP262134:PGP262211 PGP327670:PGP327747 PGP393206:PGP393283 PGP458742:PGP458819 PGP524278:PGP524355 PGP589814:PGP589891 PGP655350:PGP655427 PGP720886:PGP720963 PGP786422:PGP786499 PGP851958:PGP852035 PGP917494:PGP917571 PGP983030:PGP983107 PQL65526:PQL65603 PQL131062:PQL131139 PQL196598:PQL196675 PQL262134:PQL262211 PQL327670:PQL327747 PQL393206:PQL393283 PQL458742:PQL458819 PQL524278:PQL524355 PQL589814:PQL589891 PQL655350:PQL655427 PQL720886:PQL720963 PQL786422:PQL786499 PQL851958:PQL852035 PQL917494:PQL917571 PQL983030:PQL983107 QAH65526:QAH65603 QAH131062:QAH131139 QAH196598:QAH196675 QAH262134:QAH262211 QAH327670:QAH327747 QAH393206:QAH393283 QAH458742:QAH458819 QAH524278:QAH524355 QAH589814:QAH589891 QAH655350:QAH655427 QAH720886:QAH720963 QAH786422:QAH786499 QAH851958:QAH852035 QAH917494:QAH917571 QAH983030:QAH983107 QKD65526:QKD65603 QKD131062:QKD131139 QKD196598:QKD196675 QKD262134:QKD262211 QKD327670:QKD327747 QKD393206:QKD393283 QKD458742:QKD458819 QKD524278:QKD524355 QKD589814:QKD589891 QKD655350:QKD655427 QKD720886:QKD720963 QKD786422:QKD786499 QKD851958:QKD852035 QKD917494:QKD917571 QKD983030:QKD983107 QTZ65526:QTZ65603 QTZ131062:QTZ131139 QTZ196598:QTZ196675 QTZ262134:QTZ262211 QTZ327670:QTZ327747 QTZ393206:QTZ393283 QTZ458742:QTZ458819 QTZ524278:QTZ524355 QTZ589814:QTZ589891 QTZ655350:QTZ655427 QTZ720886:QTZ720963 QTZ786422:QTZ786499 QTZ851958:QTZ852035 QTZ917494:QTZ917571 QTZ983030:QTZ983107 RDV65526:RDV65603 RDV131062:RDV131139 RDV196598:RDV196675 RDV262134:RDV262211 RDV327670:RDV327747 RDV393206:RDV393283 RDV458742:RDV458819 RDV524278:RDV524355 RDV589814:RDV589891 RDV655350:RDV655427 RDV720886:RDV720963 RDV786422:RDV786499 RDV851958:RDV852035 RDV917494:RDV917571 RDV983030:RDV983107 RNR65526:RNR65603 RNR131062:RNR131139 RNR196598:RNR196675 RNR262134:RNR262211 RNR327670:RNR327747 RNR393206:RNR393283 RNR458742:RNR458819 RNR524278:RNR524355 RNR589814:RNR589891 RNR655350:RNR655427 RNR720886:RNR720963 RNR786422:RNR786499 RNR851958:RNR852035 RNR917494:RNR917571 RNR983030:RNR983107 RXN65526:RXN65603 RXN131062:RXN131139 RXN196598:RXN196675 RXN262134:RXN262211 RXN327670:RXN327747 RXN393206:RXN393283 RXN458742:RXN458819 RXN524278:RXN524355 RXN589814:RXN589891 RXN655350:RXN655427 RXN720886:RXN720963 RXN786422:RXN786499 RXN851958:RXN852035 RXN917494:RXN917571 RXN983030:RXN983107 SHJ65526:SHJ65603 SHJ131062:SHJ131139 SHJ196598:SHJ196675 SHJ262134:SHJ262211 SHJ327670:SHJ327747 SHJ393206:SHJ393283 SHJ458742:SHJ458819 SHJ524278:SHJ524355 SHJ589814:SHJ589891 SHJ655350:SHJ655427 SHJ720886:SHJ720963 SHJ786422:SHJ786499 SHJ851958:SHJ852035 SHJ917494:SHJ917571 SHJ983030:SHJ983107 SRF65526:SRF65603 SRF131062:SRF131139 SRF196598:SRF196675 SRF262134:SRF262211 SRF327670:SRF327747 SRF393206:SRF393283 SRF458742:SRF458819 SRF524278:SRF524355 SRF589814:SRF589891 SRF655350:SRF655427 SRF720886:SRF720963 SRF786422:SRF786499 SRF851958:SRF852035 SRF917494:SRF917571 SRF983030:SRF983107 TBB65526:TBB65603 TBB131062:TBB131139 TBB196598:TBB196675 TBB262134:TBB262211 TBB327670:TBB327747 TBB393206:TBB393283 TBB458742:TBB458819 TBB524278:TBB524355 TBB589814:TBB589891 TBB655350:TBB655427 TBB720886:TBB720963 TBB786422:TBB786499 TBB851958:TBB852035 TBB917494:TBB917571 TBB983030:TBB983107 TKX65526:TKX65603 TKX131062:TKX131139 TKX196598:TKX196675 TKX262134:TKX262211 TKX327670:TKX327747 TKX393206:TKX393283 TKX458742:TKX458819 TKX524278:TKX524355 TKX589814:TKX589891 TKX655350:TKX655427 TKX720886:TKX720963 TKX786422:TKX786499 TKX851958:TKX852035 TKX917494:TKX917571 TKX983030:TKX983107 TUT65526:TUT65603 TUT131062:TUT131139 TUT196598:TUT196675 TUT262134:TUT262211 TUT327670:TUT327747 TUT393206:TUT393283 TUT458742:TUT458819 TUT524278:TUT524355 TUT589814:TUT589891 TUT655350:TUT655427 TUT720886:TUT720963 TUT786422:TUT786499 TUT851958:TUT852035 TUT917494:TUT917571 TUT983030:TUT983107 UEP65526:UEP65603 UEP131062:UEP131139 UEP196598:UEP196675 UEP262134:UEP262211 UEP327670:UEP327747 UEP393206:UEP393283 UEP458742:UEP458819 UEP524278:UEP524355 UEP589814:UEP589891 UEP655350:UEP655427 UEP720886:UEP720963 UEP786422:UEP786499 UEP851958:UEP852035 UEP917494:UEP917571 UEP983030:UEP983107 UOL65526:UOL65603 UOL131062:UOL131139 UOL196598:UOL196675 UOL262134:UOL262211 UOL327670:UOL327747 UOL393206:UOL393283 UOL458742:UOL458819 UOL524278:UOL524355 UOL589814:UOL589891 UOL655350:UOL655427 UOL720886:UOL720963 UOL786422:UOL786499 UOL851958:UOL852035 UOL917494:UOL917571 UOL983030:UOL983107 UYH65526:UYH65603 UYH131062:UYH131139 UYH196598:UYH196675 UYH262134:UYH262211 UYH327670:UYH327747 UYH393206:UYH393283 UYH458742:UYH458819 UYH524278:UYH524355 UYH589814:UYH589891 UYH655350:UYH655427 UYH720886:UYH720963 UYH786422:UYH786499 UYH851958:UYH852035 UYH917494:UYH917571 UYH983030:UYH983107 VID65526:VID65603 VID131062:VID131139 VID196598:VID196675 VID262134:VID262211 VID327670:VID327747 VID393206:VID393283 VID458742:VID458819 VID524278:VID524355 VID589814:VID589891 VID655350:VID655427 VID720886:VID720963 VID786422:VID786499 VID851958:VID852035 VID917494:VID917571 VID983030:VID983107 VRZ65526:VRZ65603 VRZ131062:VRZ131139 VRZ196598:VRZ196675 VRZ262134:VRZ262211 VRZ327670:VRZ327747 VRZ393206:VRZ393283 VRZ458742:VRZ458819 VRZ524278:VRZ524355 VRZ589814:VRZ589891 VRZ655350:VRZ655427 VRZ720886:VRZ720963 VRZ786422:VRZ786499 VRZ851958:VRZ852035 VRZ917494:VRZ917571 VRZ983030:VRZ983107 WBV65526:WBV65603 WBV131062:WBV131139 WBV196598:WBV196675 WBV262134:WBV262211 WBV327670:WBV327747 WBV393206:WBV393283 WBV458742:WBV458819 WBV524278:WBV524355 WBV589814:WBV589891 WBV655350:WBV655427 WBV720886:WBV720963 WBV786422:WBV786499 WBV851958:WBV852035 WBV917494:WBV917571 WBV983030:WBV983107 WLR65526:WLR65603 WLR131062:WLR131139 WLR196598:WLR196675 WLR262134:WLR262211 WLR327670:WLR327747 WLR393206:WLR393283 WLR458742:WLR458819 WLR524278:WLR524355 WLR589814:WLR589891 WLR655350:WLR655427 WLR720886:WLR720963 WLR786422:WLR786499 WLR851958:WLR852035 WLR917494:WLR917571 WLR983030:WLR983107 WVN65526:WVN65603 WVN131062:WVN131139 WVN196598:WVN196675 WVN262134:WVN262211 WVN327670:WVN327747 WVN393206:WVN393283 WVN458742:WVN458819 WVN524278:WVN524355 WVN589814:WVN589891 WVN655350:WVN655427 WVN720886:WVN720963 WVN786422:WVN786499 WVN851958:WVN852035 WVN917494:WVN917571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F2:F719">
      <formula1>$AH$2:$AH$11</formula1>
    </dataValidation>
    <dataValidation type="list" allowBlank="1" showInputMessage="1" showErrorMessage="1" sqref="WVM983030:WVM983107 E65526:E65603 E131062:E131139 E196598:E196675 E262134:E262211 E327670:E327747 E393206:E393283 E458742:E458819 E524278:E524355 E589814:E589891 E655350:E655427 E720886:E720963 E786422:E786499 E851958:E852035 E917494:E917571 E983030:E983107 JA65526:JA65603 JA131062:JA131139 JA196598:JA196675 JA262134:JA262211 JA327670:JA327747 JA393206:JA393283 JA458742:JA458819 JA524278:JA524355 JA589814:JA589891 JA655350:JA655427 JA720886:JA720963 JA786422:JA786499 JA851958:JA852035 JA917494:JA917571 JA983030:JA983107 SW65526:SW65603 SW131062:SW131139 SW196598:SW196675 SW262134:SW262211 SW327670:SW327747 SW393206:SW393283 SW458742:SW458819 SW524278:SW524355 SW589814:SW589891 SW655350:SW655427 SW720886:SW720963 SW786422:SW786499 SW851958:SW852035 SW917494:SW917571 SW983030:SW983107 ACS65526:ACS65603 ACS131062:ACS131139 ACS196598:ACS196675 ACS262134:ACS262211 ACS327670:ACS327747 ACS393206:ACS393283 ACS458742:ACS458819 ACS524278:ACS524355 ACS589814:ACS589891 ACS655350:ACS655427 ACS720886:ACS720963 ACS786422:ACS786499 ACS851958:ACS852035 ACS917494:ACS917571 ACS983030:ACS983107 AMO65526:AMO65603 AMO131062:AMO131139 AMO196598:AMO196675 AMO262134:AMO262211 AMO327670:AMO327747 AMO393206:AMO393283 AMO458742:AMO458819 AMO524278:AMO524355 AMO589814:AMO589891 AMO655350:AMO655427 AMO720886:AMO720963 AMO786422:AMO786499 AMO851958:AMO852035 AMO917494:AMO917571 AMO983030:AMO983107 AWK65526:AWK65603 AWK131062:AWK131139 AWK196598:AWK196675 AWK262134:AWK262211 AWK327670:AWK327747 AWK393206:AWK393283 AWK458742:AWK458819 AWK524278:AWK524355 AWK589814:AWK589891 AWK655350:AWK655427 AWK720886:AWK720963 AWK786422:AWK786499 AWK851958:AWK852035 AWK917494:AWK917571 AWK983030:AWK983107 BGG65526:BGG65603 BGG131062:BGG131139 BGG196598:BGG196675 BGG262134:BGG262211 BGG327670:BGG327747 BGG393206:BGG393283 BGG458742:BGG458819 BGG524278:BGG524355 BGG589814:BGG589891 BGG655350:BGG655427 BGG720886:BGG720963 BGG786422:BGG786499 BGG851958:BGG852035 BGG917494:BGG917571 BGG983030:BGG983107 BQC65526:BQC65603 BQC131062:BQC131139 BQC196598:BQC196675 BQC262134:BQC262211 BQC327670:BQC327747 BQC393206:BQC393283 BQC458742:BQC458819 BQC524278:BQC524355 BQC589814:BQC589891 BQC655350:BQC655427 BQC720886:BQC720963 BQC786422:BQC786499 BQC851958:BQC852035 BQC917494:BQC917571 BQC983030:BQC983107 BZY65526:BZY65603 BZY131062:BZY131139 BZY196598:BZY196675 BZY262134:BZY262211 BZY327670:BZY327747 BZY393206:BZY393283 BZY458742:BZY458819 BZY524278:BZY524355 BZY589814:BZY589891 BZY655350:BZY655427 BZY720886:BZY720963 BZY786422:BZY786499 BZY851958:BZY852035 BZY917494:BZY917571 BZY983030:BZY983107 CJU65526:CJU65603 CJU131062:CJU131139 CJU196598:CJU196675 CJU262134:CJU262211 CJU327670:CJU327747 CJU393206:CJU393283 CJU458742:CJU458819 CJU524278:CJU524355 CJU589814:CJU589891 CJU655350:CJU655427 CJU720886:CJU720963 CJU786422:CJU786499 CJU851958:CJU852035 CJU917494:CJU917571 CJU983030:CJU983107 CTQ65526:CTQ65603 CTQ131062:CTQ131139 CTQ196598:CTQ196675 CTQ262134:CTQ262211 CTQ327670:CTQ327747 CTQ393206:CTQ393283 CTQ458742:CTQ458819 CTQ524278:CTQ524355 CTQ589814:CTQ589891 CTQ655350:CTQ655427 CTQ720886:CTQ720963 CTQ786422:CTQ786499 CTQ851958:CTQ852035 CTQ917494:CTQ917571 CTQ983030:CTQ983107 DDM65526:DDM65603 DDM131062:DDM131139 DDM196598:DDM196675 DDM262134:DDM262211 DDM327670:DDM327747 DDM393206:DDM393283 DDM458742:DDM458819 DDM524278:DDM524355 DDM589814:DDM589891 DDM655350:DDM655427 DDM720886:DDM720963 DDM786422:DDM786499 DDM851958:DDM852035 DDM917494:DDM917571 DDM983030:DDM983107 DNI65526:DNI65603 DNI131062:DNI131139 DNI196598:DNI196675 DNI262134:DNI262211 DNI327670:DNI327747 DNI393206:DNI393283 DNI458742:DNI458819 DNI524278:DNI524355 DNI589814:DNI589891 DNI655350:DNI655427 DNI720886:DNI720963 DNI786422:DNI786499 DNI851958:DNI852035 DNI917494:DNI917571 DNI983030:DNI983107 DXE65526:DXE65603 DXE131062:DXE131139 DXE196598:DXE196675 DXE262134:DXE262211 DXE327670:DXE327747 DXE393206:DXE393283 DXE458742:DXE458819 DXE524278:DXE524355 DXE589814:DXE589891 DXE655350:DXE655427 DXE720886:DXE720963 DXE786422:DXE786499 DXE851958:DXE852035 DXE917494:DXE917571 DXE983030:DXE983107 EHA65526:EHA65603 EHA131062:EHA131139 EHA196598:EHA196675 EHA262134:EHA262211 EHA327670:EHA327747 EHA393206:EHA393283 EHA458742:EHA458819 EHA524278:EHA524355 EHA589814:EHA589891 EHA655350:EHA655427 EHA720886:EHA720963 EHA786422:EHA786499 EHA851958:EHA852035 EHA917494:EHA917571 EHA983030:EHA983107 EQW65526:EQW65603 EQW131062:EQW131139 EQW196598:EQW196675 EQW262134:EQW262211 EQW327670:EQW327747 EQW393206:EQW393283 EQW458742:EQW458819 EQW524278:EQW524355 EQW589814:EQW589891 EQW655350:EQW655427 EQW720886:EQW720963 EQW786422:EQW786499 EQW851958:EQW852035 EQW917494:EQW917571 EQW983030:EQW983107 FAS65526:FAS65603 FAS131062:FAS131139 FAS196598:FAS196675 FAS262134:FAS262211 FAS327670:FAS327747 FAS393206:FAS393283 FAS458742:FAS458819 FAS524278:FAS524355 FAS589814:FAS589891 FAS655350:FAS655427 FAS720886:FAS720963 FAS786422:FAS786499 FAS851958:FAS852035 FAS917494:FAS917571 FAS983030:FAS983107 FKO65526:FKO65603 FKO131062:FKO131139 FKO196598:FKO196675 FKO262134:FKO262211 FKO327670:FKO327747 FKO393206:FKO393283 FKO458742:FKO458819 FKO524278:FKO524355 FKO589814:FKO589891 FKO655350:FKO655427 FKO720886:FKO720963 FKO786422:FKO786499 FKO851958:FKO852035 FKO917494:FKO917571 FKO983030:FKO983107 FUK65526:FUK65603 FUK131062:FUK131139 FUK196598:FUK196675 FUK262134:FUK262211 FUK327670:FUK327747 FUK393206:FUK393283 FUK458742:FUK458819 FUK524278:FUK524355 FUK589814:FUK589891 FUK655350:FUK655427 FUK720886:FUK720963 FUK786422:FUK786499 FUK851958:FUK852035 FUK917494:FUK917571 FUK983030:FUK983107 GEG65526:GEG65603 GEG131062:GEG131139 GEG196598:GEG196675 GEG262134:GEG262211 GEG327670:GEG327747 GEG393206:GEG393283 GEG458742:GEG458819 GEG524278:GEG524355 GEG589814:GEG589891 GEG655350:GEG655427 GEG720886:GEG720963 GEG786422:GEG786499 GEG851958:GEG852035 GEG917494:GEG917571 GEG983030:GEG983107 GOC65526:GOC65603 GOC131062:GOC131139 GOC196598:GOC196675 GOC262134:GOC262211 GOC327670:GOC327747 GOC393206:GOC393283 GOC458742:GOC458819 GOC524278:GOC524355 GOC589814:GOC589891 GOC655350:GOC655427 GOC720886:GOC720963 GOC786422:GOC786499 GOC851958:GOC852035 GOC917494:GOC917571 GOC983030:GOC983107 GXY65526:GXY65603 GXY131062:GXY131139 GXY196598:GXY196675 GXY262134:GXY262211 GXY327670:GXY327747 GXY393206:GXY393283 GXY458742:GXY458819 GXY524278:GXY524355 GXY589814:GXY589891 GXY655350:GXY655427 GXY720886:GXY720963 GXY786422:GXY786499 GXY851958:GXY852035 GXY917494:GXY917571 GXY983030:GXY983107 HHU65526:HHU65603 HHU131062:HHU131139 HHU196598:HHU196675 HHU262134:HHU262211 HHU327670:HHU327747 HHU393206:HHU393283 HHU458742:HHU458819 HHU524278:HHU524355 HHU589814:HHU589891 HHU655350:HHU655427 HHU720886:HHU720963 HHU786422:HHU786499 HHU851958:HHU852035 HHU917494:HHU917571 HHU983030:HHU983107 HRQ65526:HRQ65603 HRQ131062:HRQ131139 HRQ196598:HRQ196675 HRQ262134:HRQ262211 HRQ327670:HRQ327747 HRQ393206:HRQ393283 HRQ458742:HRQ458819 HRQ524278:HRQ524355 HRQ589814:HRQ589891 HRQ655350:HRQ655427 HRQ720886:HRQ720963 HRQ786422:HRQ786499 HRQ851958:HRQ852035 HRQ917494:HRQ917571 HRQ983030:HRQ983107 IBM65526:IBM65603 IBM131062:IBM131139 IBM196598:IBM196675 IBM262134:IBM262211 IBM327670:IBM327747 IBM393206:IBM393283 IBM458742:IBM458819 IBM524278:IBM524355 IBM589814:IBM589891 IBM655350:IBM655427 IBM720886:IBM720963 IBM786422:IBM786499 IBM851958:IBM852035 IBM917494:IBM917571 IBM983030:IBM983107 ILI65526:ILI65603 ILI131062:ILI131139 ILI196598:ILI196675 ILI262134:ILI262211 ILI327670:ILI327747 ILI393206:ILI393283 ILI458742:ILI458819 ILI524278:ILI524355 ILI589814:ILI589891 ILI655350:ILI655427 ILI720886:ILI720963 ILI786422:ILI786499 ILI851958:ILI852035 ILI917494:ILI917571 ILI983030:ILI983107 IVE65526:IVE65603 IVE131062:IVE131139 IVE196598:IVE196675 IVE262134:IVE262211 IVE327670:IVE327747 IVE393206:IVE393283 IVE458742:IVE458819 IVE524278:IVE524355 IVE589814:IVE589891 IVE655350:IVE655427 IVE720886:IVE720963 IVE786422:IVE786499 IVE851958:IVE852035 IVE917494:IVE917571 IVE983030:IVE983107 JFA65526:JFA65603 JFA131062:JFA131139 JFA196598:JFA196675 JFA262134:JFA262211 JFA327670:JFA327747 JFA393206:JFA393283 JFA458742:JFA458819 JFA524278:JFA524355 JFA589814:JFA589891 JFA655350:JFA655427 JFA720886:JFA720963 JFA786422:JFA786499 JFA851958:JFA852035 JFA917494:JFA917571 JFA983030:JFA983107 JOW65526:JOW65603 JOW131062:JOW131139 JOW196598:JOW196675 JOW262134:JOW262211 JOW327670:JOW327747 JOW393206:JOW393283 JOW458742:JOW458819 JOW524278:JOW524355 JOW589814:JOW589891 JOW655350:JOW655427 JOW720886:JOW720963 JOW786422:JOW786499 JOW851958:JOW852035 JOW917494:JOW917571 JOW983030:JOW983107 JYS65526:JYS65603 JYS131062:JYS131139 JYS196598:JYS196675 JYS262134:JYS262211 JYS327670:JYS327747 JYS393206:JYS393283 JYS458742:JYS458819 JYS524278:JYS524355 JYS589814:JYS589891 JYS655350:JYS655427 JYS720886:JYS720963 JYS786422:JYS786499 JYS851958:JYS852035 JYS917494:JYS917571 JYS983030:JYS983107 KIO65526:KIO65603 KIO131062:KIO131139 KIO196598:KIO196675 KIO262134:KIO262211 KIO327670:KIO327747 KIO393206:KIO393283 KIO458742:KIO458819 KIO524278:KIO524355 KIO589814:KIO589891 KIO655350:KIO655427 KIO720886:KIO720963 KIO786422:KIO786499 KIO851958:KIO852035 KIO917494:KIO917571 KIO983030:KIO983107 KSK65526:KSK65603 KSK131062:KSK131139 KSK196598:KSK196675 KSK262134:KSK262211 KSK327670:KSK327747 KSK393206:KSK393283 KSK458742:KSK458819 KSK524278:KSK524355 KSK589814:KSK589891 KSK655350:KSK655427 KSK720886:KSK720963 KSK786422:KSK786499 KSK851958:KSK852035 KSK917494:KSK917571 KSK983030:KSK983107 LCG65526:LCG65603 LCG131062:LCG131139 LCG196598:LCG196675 LCG262134:LCG262211 LCG327670:LCG327747 LCG393206:LCG393283 LCG458742:LCG458819 LCG524278:LCG524355 LCG589814:LCG589891 LCG655350:LCG655427 LCG720886:LCG720963 LCG786422:LCG786499 LCG851958:LCG852035 LCG917494:LCG917571 LCG983030:LCG983107 LMC65526:LMC65603 LMC131062:LMC131139 LMC196598:LMC196675 LMC262134:LMC262211 LMC327670:LMC327747 LMC393206:LMC393283 LMC458742:LMC458819 LMC524278:LMC524355 LMC589814:LMC589891 LMC655350:LMC655427 LMC720886:LMC720963 LMC786422:LMC786499 LMC851958:LMC852035 LMC917494:LMC917571 LMC983030:LMC983107 LVY65526:LVY65603 LVY131062:LVY131139 LVY196598:LVY196675 LVY262134:LVY262211 LVY327670:LVY327747 LVY393206:LVY393283 LVY458742:LVY458819 LVY524278:LVY524355 LVY589814:LVY589891 LVY655350:LVY655427 LVY720886:LVY720963 LVY786422:LVY786499 LVY851958:LVY852035 LVY917494:LVY917571 LVY983030:LVY983107 MFU65526:MFU65603 MFU131062:MFU131139 MFU196598:MFU196675 MFU262134:MFU262211 MFU327670:MFU327747 MFU393206:MFU393283 MFU458742:MFU458819 MFU524278:MFU524355 MFU589814:MFU589891 MFU655350:MFU655427 MFU720886:MFU720963 MFU786422:MFU786499 MFU851958:MFU852035 MFU917494:MFU917571 MFU983030:MFU983107 MPQ65526:MPQ65603 MPQ131062:MPQ131139 MPQ196598:MPQ196675 MPQ262134:MPQ262211 MPQ327670:MPQ327747 MPQ393206:MPQ393283 MPQ458742:MPQ458819 MPQ524278:MPQ524355 MPQ589814:MPQ589891 MPQ655350:MPQ655427 MPQ720886:MPQ720963 MPQ786422:MPQ786499 MPQ851958:MPQ852035 MPQ917494:MPQ917571 MPQ983030:MPQ983107 MZM65526:MZM65603 MZM131062:MZM131139 MZM196598:MZM196675 MZM262134:MZM262211 MZM327670:MZM327747 MZM393206:MZM393283 MZM458742:MZM458819 MZM524278:MZM524355 MZM589814:MZM589891 MZM655350:MZM655427 MZM720886:MZM720963 MZM786422:MZM786499 MZM851958:MZM852035 MZM917494:MZM917571 MZM983030:MZM983107 NJI65526:NJI65603 NJI131062:NJI131139 NJI196598:NJI196675 NJI262134:NJI262211 NJI327670:NJI327747 NJI393206:NJI393283 NJI458742:NJI458819 NJI524278:NJI524355 NJI589814:NJI589891 NJI655350:NJI655427 NJI720886:NJI720963 NJI786422:NJI786499 NJI851958:NJI852035 NJI917494:NJI917571 NJI983030:NJI983107 NTE65526:NTE65603 NTE131062:NTE131139 NTE196598:NTE196675 NTE262134:NTE262211 NTE327670:NTE327747 NTE393206:NTE393283 NTE458742:NTE458819 NTE524278:NTE524355 NTE589814:NTE589891 NTE655350:NTE655427 NTE720886:NTE720963 NTE786422:NTE786499 NTE851958:NTE852035 NTE917494:NTE917571 NTE983030:NTE983107 ODA65526:ODA65603 ODA131062:ODA131139 ODA196598:ODA196675 ODA262134:ODA262211 ODA327670:ODA327747 ODA393206:ODA393283 ODA458742:ODA458819 ODA524278:ODA524355 ODA589814:ODA589891 ODA655350:ODA655427 ODA720886:ODA720963 ODA786422:ODA786499 ODA851958:ODA852035 ODA917494:ODA917571 ODA983030:ODA983107 OMW65526:OMW65603 OMW131062:OMW131139 OMW196598:OMW196675 OMW262134:OMW262211 OMW327670:OMW327747 OMW393206:OMW393283 OMW458742:OMW458819 OMW524278:OMW524355 OMW589814:OMW589891 OMW655350:OMW655427 OMW720886:OMW720963 OMW786422:OMW786499 OMW851958:OMW852035 OMW917494:OMW917571 OMW983030:OMW983107 OWS65526:OWS65603 OWS131062:OWS131139 OWS196598:OWS196675 OWS262134:OWS262211 OWS327670:OWS327747 OWS393206:OWS393283 OWS458742:OWS458819 OWS524278:OWS524355 OWS589814:OWS589891 OWS655350:OWS655427 OWS720886:OWS720963 OWS786422:OWS786499 OWS851958:OWS852035 OWS917494:OWS917571 OWS983030:OWS983107 PGO65526:PGO65603 PGO131062:PGO131139 PGO196598:PGO196675 PGO262134:PGO262211 PGO327670:PGO327747 PGO393206:PGO393283 PGO458742:PGO458819 PGO524278:PGO524355 PGO589814:PGO589891 PGO655350:PGO655427 PGO720886:PGO720963 PGO786422:PGO786499 PGO851958:PGO852035 PGO917494:PGO917571 PGO983030:PGO983107 PQK65526:PQK65603 PQK131062:PQK131139 PQK196598:PQK196675 PQK262134:PQK262211 PQK327670:PQK327747 PQK393206:PQK393283 PQK458742:PQK458819 PQK524278:PQK524355 PQK589814:PQK589891 PQK655350:PQK655427 PQK720886:PQK720963 PQK786422:PQK786499 PQK851958:PQK852035 PQK917494:PQK917571 PQK983030:PQK983107 QAG65526:QAG65603 QAG131062:QAG131139 QAG196598:QAG196675 QAG262134:QAG262211 QAG327670:QAG327747 QAG393206:QAG393283 QAG458742:QAG458819 QAG524278:QAG524355 QAG589814:QAG589891 QAG655350:QAG655427 QAG720886:QAG720963 QAG786422:QAG786499 QAG851958:QAG852035 QAG917494:QAG917571 QAG983030:QAG983107 QKC65526:QKC65603 QKC131062:QKC131139 QKC196598:QKC196675 QKC262134:QKC262211 QKC327670:QKC327747 QKC393206:QKC393283 QKC458742:QKC458819 QKC524278:QKC524355 QKC589814:QKC589891 QKC655350:QKC655427 QKC720886:QKC720963 QKC786422:QKC786499 QKC851958:QKC852035 QKC917494:QKC917571 QKC983030:QKC983107 QTY65526:QTY65603 QTY131062:QTY131139 QTY196598:QTY196675 QTY262134:QTY262211 QTY327670:QTY327747 QTY393206:QTY393283 QTY458742:QTY458819 QTY524278:QTY524355 QTY589814:QTY589891 QTY655350:QTY655427 QTY720886:QTY720963 QTY786422:QTY786499 QTY851958:QTY852035 QTY917494:QTY917571 QTY983030:QTY983107 RDU65526:RDU65603 RDU131062:RDU131139 RDU196598:RDU196675 RDU262134:RDU262211 RDU327670:RDU327747 RDU393206:RDU393283 RDU458742:RDU458819 RDU524278:RDU524355 RDU589814:RDU589891 RDU655350:RDU655427 RDU720886:RDU720963 RDU786422:RDU786499 RDU851958:RDU852035 RDU917494:RDU917571 RDU983030:RDU983107 RNQ65526:RNQ65603 RNQ131062:RNQ131139 RNQ196598:RNQ196675 RNQ262134:RNQ262211 RNQ327670:RNQ327747 RNQ393206:RNQ393283 RNQ458742:RNQ458819 RNQ524278:RNQ524355 RNQ589814:RNQ589891 RNQ655350:RNQ655427 RNQ720886:RNQ720963 RNQ786422:RNQ786499 RNQ851958:RNQ852035 RNQ917494:RNQ917571 RNQ983030:RNQ983107 RXM65526:RXM65603 RXM131062:RXM131139 RXM196598:RXM196675 RXM262134:RXM262211 RXM327670:RXM327747 RXM393206:RXM393283 RXM458742:RXM458819 RXM524278:RXM524355 RXM589814:RXM589891 RXM655350:RXM655427 RXM720886:RXM720963 RXM786422:RXM786499 RXM851958:RXM852035 RXM917494:RXM917571 RXM983030:RXM983107 SHI65526:SHI65603 SHI131062:SHI131139 SHI196598:SHI196675 SHI262134:SHI262211 SHI327670:SHI327747 SHI393206:SHI393283 SHI458742:SHI458819 SHI524278:SHI524355 SHI589814:SHI589891 SHI655350:SHI655427 SHI720886:SHI720963 SHI786422:SHI786499 SHI851958:SHI852035 SHI917494:SHI917571 SHI983030:SHI983107 SRE65526:SRE65603 SRE131062:SRE131139 SRE196598:SRE196675 SRE262134:SRE262211 SRE327670:SRE327747 SRE393206:SRE393283 SRE458742:SRE458819 SRE524278:SRE524355 SRE589814:SRE589891 SRE655350:SRE655427 SRE720886:SRE720963 SRE786422:SRE786499 SRE851958:SRE852035 SRE917494:SRE917571 SRE983030:SRE983107 TBA65526:TBA65603 TBA131062:TBA131139 TBA196598:TBA196675 TBA262134:TBA262211 TBA327670:TBA327747 TBA393206:TBA393283 TBA458742:TBA458819 TBA524278:TBA524355 TBA589814:TBA589891 TBA655350:TBA655427 TBA720886:TBA720963 TBA786422:TBA786499 TBA851958:TBA852035 TBA917494:TBA917571 TBA983030:TBA983107 TKW65526:TKW65603 TKW131062:TKW131139 TKW196598:TKW196675 TKW262134:TKW262211 TKW327670:TKW327747 TKW393206:TKW393283 TKW458742:TKW458819 TKW524278:TKW524355 TKW589814:TKW589891 TKW655350:TKW655427 TKW720886:TKW720963 TKW786422:TKW786499 TKW851958:TKW852035 TKW917494:TKW917571 TKW983030:TKW983107 TUS65526:TUS65603 TUS131062:TUS131139 TUS196598:TUS196675 TUS262134:TUS262211 TUS327670:TUS327747 TUS393206:TUS393283 TUS458742:TUS458819 TUS524278:TUS524355 TUS589814:TUS589891 TUS655350:TUS655427 TUS720886:TUS720963 TUS786422:TUS786499 TUS851958:TUS852035 TUS917494:TUS917571 TUS983030:TUS983107 UEO65526:UEO65603 UEO131062:UEO131139 UEO196598:UEO196675 UEO262134:UEO262211 UEO327670:UEO327747 UEO393206:UEO393283 UEO458742:UEO458819 UEO524278:UEO524355 UEO589814:UEO589891 UEO655350:UEO655427 UEO720886:UEO720963 UEO786422:UEO786499 UEO851958:UEO852035 UEO917494:UEO917571 UEO983030:UEO983107 UOK65526:UOK65603 UOK131062:UOK131139 UOK196598:UOK196675 UOK262134:UOK262211 UOK327670:UOK327747 UOK393206:UOK393283 UOK458742:UOK458819 UOK524278:UOK524355 UOK589814:UOK589891 UOK655350:UOK655427 UOK720886:UOK720963 UOK786422:UOK786499 UOK851958:UOK852035 UOK917494:UOK917571 UOK983030:UOK983107 UYG65526:UYG65603 UYG131062:UYG131139 UYG196598:UYG196675 UYG262134:UYG262211 UYG327670:UYG327747 UYG393206:UYG393283 UYG458742:UYG458819 UYG524278:UYG524355 UYG589814:UYG589891 UYG655350:UYG655427 UYG720886:UYG720963 UYG786422:UYG786499 UYG851958:UYG852035 UYG917494:UYG917571 UYG983030:UYG983107 VIC65526:VIC65603 VIC131062:VIC131139 VIC196598:VIC196675 VIC262134:VIC262211 VIC327670:VIC327747 VIC393206:VIC393283 VIC458742:VIC458819 VIC524278:VIC524355 VIC589814:VIC589891 VIC655350:VIC655427 VIC720886:VIC720963 VIC786422:VIC786499 VIC851958:VIC852035 VIC917494:VIC917571 VIC983030:VIC983107 VRY65526:VRY65603 VRY131062:VRY131139 VRY196598:VRY196675 VRY262134:VRY262211 VRY327670:VRY327747 VRY393206:VRY393283 VRY458742:VRY458819 VRY524278:VRY524355 VRY589814:VRY589891 VRY655350:VRY655427 VRY720886:VRY720963 VRY786422:VRY786499 VRY851958:VRY852035 VRY917494:VRY917571 VRY983030:VRY983107 WBU65526:WBU65603 WBU131062:WBU131139 WBU196598:WBU196675 WBU262134:WBU262211 WBU327670:WBU327747 WBU393206:WBU393283 WBU458742:WBU458819 WBU524278:WBU524355 WBU589814:WBU589891 WBU655350:WBU655427 WBU720886:WBU720963 WBU786422:WBU786499 WBU851958:WBU852035 WBU917494:WBU917571 WBU983030:WBU983107 WLQ65526:WLQ65603 WLQ131062:WLQ131139 WLQ196598:WLQ196675 WLQ262134:WLQ262211 WLQ327670:WLQ327747 WLQ393206:WLQ393283 WLQ458742:WLQ458819 WLQ524278:WLQ524355 WLQ589814:WLQ589891 WLQ655350:WLQ655427 WLQ720886:WLQ720963 WLQ786422:WLQ786499 WLQ851958:WLQ852035 WLQ917494:WLQ917571 WLQ983030:WLQ983107 WVM65526:WVM65603 WVM131062:WVM131139 WVM196598:WVM196675 WVM262134:WVM262211 WVM327670:WVM327747 WVM393206:WVM393283 WVM458742:WVM458819 WVM524278:WVM524355 WVM589814:WVM589891 WVM655350:WVM655427 WVM720886:WVM720963 WVM786422:WVM786499 WVM851958:WVM852035 WVM917494:WVM917571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E2:E720">
      <formula1>$AG$2:$AG$11</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26 IX65526 ST65526 ACP65526 AML65526 AWH65526 BGD65526 BPZ65526 BZV65526 CJR65526 CTN65526 DDJ65526 DNF65526 DXB65526 EGX65526 EQT65526 FAP65526 FKL65526 FUH65526 GED65526 GNZ65526 GXV65526 HHR65526 HRN65526 IBJ65526 ILF65526 IVB65526 JEX65526 JOT65526 JYP65526 KIL65526 KSH65526 LCD65526 LLZ65526 LVV65526 MFR65526 MPN65526 MZJ65526 NJF65526 NTB65526 OCX65526 OMT65526 OWP65526 PGL65526 PQH65526 QAD65526 QJZ65526 QTV65526 RDR65526 RNN65526 RXJ65526 SHF65526 SRB65526 TAX65526 TKT65526 TUP65526 UEL65526 UOH65526 UYD65526 VHZ65526 VRV65526 WBR65526 WLN65526 WVJ65526 B131062 IX131062 ST131062 ACP131062 AML131062 AWH131062 BGD131062 BPZ131062 BZV131062 CJR131062 CTN131062 DDJ131062 DNF131062 DXB131062 EGX131062 EQT131062 FAP131062 FKL131062 FUH131062 GED131062 GNZ131062 GXV131062 HHR131062 HRN131062 IBJ131062 ILF131062 IVB131062 JEX131062 JOT131062 JYP131062 KIL131062 KSH131062 LCD131062 LLZ131062 LVV131062 MFR131062 MPN131062 MZJ131062 NJF131062 NTB131062 OCX131062 OMT131062 OWP131062 PGL131062 PQH131062 QAD131062 QJZ131062 QTV131062 RDR131062 RNN131062 RXJ131062 SHF131062 SRB131062 TAX131062 TKT131062 TUP131062 UEL131062 UOH131062 UYD131062 VHZ131062 VRV131062 WBR131062 WLN131062 WVJ131062 B196598 IX196598 ST196598 ACP196598 AML196598 AWH196598 BGD196598 BPZ196598 BZV196598 CJR196598 CTN196598 DDJ196598 DNF196598 DXB196598 EGX196598 EQT196598 FAP196598 FKL196598 FUH196598 GED196598 GNZ196598 GXV196598 HHR196598 HRN196598 IBJ196598 ILF196598 IVB196598 JEX196598 JOT196598 JYP196598 KIL196598 KSH196598 LCD196598 LLZ196598 LVV196598 MFR196598 MPN196598 MZJ196598 NJF196598 NTB196598 OCX196598 OMT196598 OWP196598 PGL196598 PQH196598 QAD196598 QJZ196598 QTV196598 RDR196598 RNN196598 RXJ196598 SHF196598 SRB196598 TAX196598 TKT196598 TUP196598 UEL196598 UOH196598 UYD196598 VHZ196598 VRV196598 WBR196598 WLN196598 WVJ196598 B262134 IX262134 ST262134 ACP262134 AML262134 AWH262134 BGD262134 BPZ262134 BZV262134 CJR262134 CTN262134 DDJ262134 DNF262134 DXB262134 EGX262134 EQT262134 FAP262134 FKL262134 FUH262134 GED262134 GNZ262134 GXV262134 HHR262134 HRN262134 IBJ262134 ILF262134 IVB262134 JEX262134 JOT262134 JYP262134 KIL262134 KSH262134 LCD262134 LLZ262134 LVV262134 MFR262134 MPN262134 MZJ262134 NJF262134 NTB262134 OCX262134 OMT262134 OWP262134 PGL262134 PQH262134 QAD262134 QJZ262134 QTV262134 RDR262134 RNN262134 RXJ262134 SHF262134 SRB262134 TAX262134 TKT262134 TUP262134 UEL262134 UOH262134 UYD262134 VHZ262134 VRV262134 WBR262134 WLN262134 WVJ262134 B327670 IX327670 ST327670 ACP327670 AML327670 AWH327670 BGD327670 BPZ327670 BZV327670 CJR327670 CTN327670 DDJ327670 DNF327670 DXB327670 EGX327670 EQT327670 FAP327670 FKL327670 FUH327670 GED327670 GNZ327670 GXV327670 HHR327670 HRN327670 IBJ327670 ILF327670 IVB327670 JEX327670 JOT327670 JYP327670 KIL327670 KSH327670 LCD327670 LLZ327670 LVV327670 MFR327670 MPN327670 MZJ327670 NJF327670 NTB327670 OCX327670 OMT327670 OWP327670 PGL327670 PQH327670 QAD327670 QJZ327670 QTV327670 RDR327670 RNN327670 RXJ327670 SHF327670 SRB327670 TAX327670 TKT327670 TUP327670 UEL327670 UOH327670 UYD327670 VHZ327670 VRV327670 WBR327670 WLN327670 WVJ327670 B393206 IX393206 ST393206 ACP393206 AML393206 AWH393206 BGD393206 BPZ393206 BZV393206 CJR393206 CTN393206 DDJ393206 DNF393206 DXB393206 EGX393206 EQT393206 FAP393206 FKL393206 FUH393206 GED393206 GNZ393206 GXV393206 HHR393206 HRN393206 IBJ393206 ILF393206 IVB393206 JEX393206 JOT393206 JYP393206 KIL393206 KSH393206 LCD393206 LLZ393206 LVV393206 MFR393206 MPN393206 MZJ393206 NJF393206 NTB393206 OCX393206 OMT393206 OWP393206 PGL393206 PQH393206 QAD393206 QJZ393206 QTV393206 RDR393206 RNN393206 RXJ393206 SHF393206 SRB393206 TAX393206 TKT393206 TUP393206 UEL393206 UOH393206 UYD393206 VHZ393206 VRV393206 WBR393206 WLN393206 WVJ393206 B458742 IX458742 ST458742 ACP458742 AML458742 AWH458742 BGD458742 BPZ458742 BZV458742 CJR458742 CTN458742 DDJ458742 DNF458742 DXB458742 EGX458742 EQT458742 FAP458742 FKL458742 FUH458742 GED458742 GNZ458742 GXV458742 HHR458742 HRN458742 IBJ458742 ILF458742 IVB458742 JEX458742 JOT458742 JYP458742 KIL458742 KSH458742 LCD458742 LLZ458742 LVV458742 MFR458742 MPN458742 MZJ458742 NJF458742 NTB458742 OCX458742 OMT458742 OWP458742 PGL458742 PQH458742 QAD458742 QJZ458742 QTV458742 RDR458742 RNN458742 RXJ458742 SHF458742 SRB458742 TAX458742 TKT458742 TUP458742 UEL458742 UOH458742 UYD458742 VHZ458742 VRV458742 WBR458742 WLN458742 WVJ458742 B524278 IX524278 ST524278 ACP524278 AML524278 AWH524278 BGD524278 BPZ524278 BZV524278 CJR524278 CTN524278 DDJ524278 DNF524278 DXB524278 EGX524278 EQT524278 FAP524278 FKL524278 FUH524278 GED524278 GNZ524278 GXV524278 HHR524278 HRN524278 IBJ524278 ILF524278 IVB524278 JEX524278 JOT524278 JYP524278 KIL524278 KSH524278 LCD524278 LLZ524278 LVV524278 MFR524278 MPN524278 MZJ524278 NJF524278 NTB524278 OCX524278 OMT524278 OWP524278 PGL524278 PQH524278 QAD524278 QJZ524278 QTV524278 RDR524278 RNN524278 RXJ524278 SHF524278 SRB524278 TAX524278 TKT524278 TUP524278 UEL524278 UOH524278 UYD524278 VHZ524278 VRV524278 WBR524278 WLN524278 WVJ524278 B589814 IX589814 ST589814 ACP589814 AML589814 AWH589814 BGD589814 BPZ589814 BZV589814 CJR589814 CTN589814 DDJ589814 DNF589814 DXB589814 EGX589814 EQT589814 FAP589814 FKL589814 FUH589814 GED589814 GNZ589814 GXV589814 HHR589814 HRN589814 IBJ589814 ILF589814 IVB589814 JEX589814 JOT589814 JYP589814 KIL589814 KSH589814 LCD589814 LLZ589814 LVV589814 MFR589814 MPN589814 MZJ589814 NJF589814 NTB589814 OCX589814 OMT589814 OWP589814 PGL589814 PQH589814 QAD589814 QJZ589814 QTV589814 RDR589814 RNN589814 RXJ589814 SHF589814 SRB589814 TAX589814 TKT589814 TUP589814 UEL589814 UOH589814 UYD589814 VHZ589814 VRV589814 WBR589814 WLN589814 WVJ589814 B655350 IX655350 ST655350 ACP655350 AML655350 AWH655350 BGD655350 BPZ655350 BZV655350 CJR655350 CTN655350 DDJ655350 DNF655350 DXB655350 EGX655350 EQT655350 FAP655350 FKL655350 FUH655350 GED655350 GNZ655350 GXV655350 HHR655350 HRN655350 IBJ655350 ILF655350 IVB655350 JEX655350 JOT655350 JYP655350 KIL655350 KSH655350 LCD655350 LLZ655350 LVV655350 MFR655350 MPN655350 MZJ655350 NJF655350 NTB655350 OCX655350 OMT655350 OWP655350 PGL655350 PQH655350 QAD655350 QJZ655350 QTV655350 RDR655350 RNN655350 RXJ655350 SHF655350 SRB655350 TAX655350 TKT655350 TUP655350 UEL655350 UOH655350 UYD655350 VHZ655350 VRV655350 WBR655350 WLN655350 WVJ655350 B720886 IX720886 ST720886 ACP720886 AML720886 AWH720886 BGD720886 BPZ720886 BZV720886 CJR720886 CTN720886 DDJ720886 DNF720886 DXB720886 EGX720886 EQT720886 FAP720886 FKL720886 FUH720886 GED720886 GNZ720886 GXV720886 HHR720886 HRN720886 IBJ720886 ILF720886 IVB720886 JEX720886 JOT720886 JYP720886 KIL720886 KSH720886 LCD720886 LLZ720886 LVV720886 MFR720886 MPN720886 MZJ720886 NJF720886 NTB720886 OCX720886 OMT720886 OWP720886 PGL720886 PQH720886 QAD720886 QJZ720886 QTV720886 RDR720886 RNN720886 RXJ720886 SHF720886 SRB720886 TAX720886 TKT720886 TUP720886 UEL720886 UOH720886 UYD720886 VHZ720886 VRV720886 WBR720886 WLN720886 WVJ720886 B786422 IX786422 ST786422 ACP786422 AML786422 AWH786422 BGD786422 BPZ786422 BZV786422 CJR786422 CTN786422 DDJ786422 DNF786422 DXB786422 EGX786422 EQT786422 FAP786422 FKL786422 FUH786422 GED786422 GNZ786422 GXV786422 HHR786422 HRN786422 IBJ786422 ILF786422 IVB786422 JEX786422 JOT786422 JYP786422 KIL786422 KSH786422 LCD786422 LLZ786422 LVV786422 MFR786422 MPN786422 MZJ786422 NJF786422 NTB786422 OCX786422 OMT786422 OWP786422 PGL786422 PQH786422 QAD786422 QJZ786422 QTV786422 RDR786422 RNN786422 RXJ786422 SHF786422 SRB786422 TAX786422 TKT786422 TUP786422 UEL786422 UOH786422 UYD786422 VHZ786422 VRV786422 WBR786422 WLN786422 WVJ786422 B851958 IX851958 ST851958 ACP851958 AML851958 AWH851958 BGD851958 BPZ851958 BZV851958 CJR851958 CTN851958 DDJ851958 DNF851958 DXB851958 EGX851958 EQT851958 FAP851958 FKL851958 FUH851958 GED851958 GNZ851958 GXV851958 HHR851958 HRN851958 IBJ851958 ILF851958 IVB851958 JEX851958 JOT851958 JYP851958 KIL851958 KSH851958 LCD851958 LLZ851958 LVV851958 MFR851958 MPN851958 MZJ851958 NJF851958 NTB851958 OCX851958 OMT851958 OWP851958 PGL851958 PQH851958 QAD851958 QJZ851958 QTV851958 RDR851958 RNN851958 RXJ851958 SHF851958 SRB851958 TAX851958 TKT851958 TUP851958 UEL851958 UOH851958 UYD851958 VHZ851958 VRV851958 WBR851958 WLN851958 WVJ851958 B917494 IX917494 ST917494 ACP917494 AML917494 AWH917494 BGD917494 BPZ917494 BZV917494 CJR917494 CTN917494 DDJ917494 DNF917494 DXB917494 EGX917494 EQT917494 FAP917494 FKL917494 FUH917494 GED917494 GNZ917494 GXV917494 HHR917494 HRN917494 IBJ917494 ILF917494 IVB917494 JEX917494 JOT917494 JYP917494 KIL917494 KSH917494 LCD917494 LLZ917494 LVV917494 MFR917494 MPN917494 MZJ917494 NJF917494 NTB917494 OCX917494 OMT917494 OWP917494 PGL917494 PQH917494 QAD917494 QJZ917494 QTV917494 RDR917494 RNN917494 RXJ917494 SHF917494 SRB917494 TAX917494 TKT917494 TUP917494 UEL917494 UOH917494 UYD917494 VHZ917494 VRV917494 WBR917494 WLN917494 WVJ917494 B983030 IX983030 ST983030 ACP983030 AML983030 AWH983030 BGD983030 BPZ983030 BZV983030 CJR983030 CTN983030 DDJ983030 DNF983030 DXB983030 EGX983030 EQT983030 FAP983030 FKL983030 FUH983030 GED983030 GNZ983030 GXV983030 HHR983030 HRN983030 IBJ983030 ILF983030 IVB983030 JEX983030 JOT983030 JYP983030 KIL983030 KSH983030 LCD983030 LLZ983030 LVV983030 MFR983030 MPN983030 MZJ983030 NJF983030 NTB983030 OCX983030 OMT983030 OWP983030 PGL983030 PQH983030 QAD983030 QJZ983030 QTV983030 RDR983030 RNN983030 RXJ983030 SHF983030 SRB983030 TAX983030 TKT983030 TUP983030 UEL983030 UOH983030 UYD983030 VHZ983030 VRV983030 WBR983030 WLN983030 WVJ983030 B2:B67"/>
    <dataValidation type="list" allowBlank="1" showInputMessage="1" showErrorMessage="1" sqref="A65526:A65603 A131062:A131139 A196598:A196675 A262134:A262211 A327670:A327747 A393206:A393283 A458742:A458819 A524278:A524355 A589814:A589891 A655350:A655427 A720886:A720963 A786422:A786499 A851958:A852035 A917494:A917571 A983030:A983107 IW65526:IW65603 IW131062:IW131139 IW196598:IW196675 IW262134:IW262211 IW327670:IW327747 IW393206:IW393283 IW458742:IW458819 IW524278:IW524355 IW589814:IW589891 IW655350:IW655427 IW720886:IW720963 IW786422:IW786499 IW851958:IW852035 IW917494:IW917571 IW983030:IW983107 SS65526:SS65603 SS131062:SS131139 SS196598:SS196675 SS262134:SS262211 SS327670:SS327747 SS393206:SS393283 SS458742:SS458819 SS524278:SS524355 SS589814:SS589891 SS655350:SS655427 SS720886:SS720963 SS786422:SS786499 SS851958:SS852035 SS917494:SS917571 SS983030:SS983107 ACO65526:ACO65603 ACO131062:ACO131139 ACO196598:ACO196675 ACO262134:ACO262211 ACO327670:ACO327747 ACO393206:ACO393283 ACO458742:ACO458819 ACO524278:ACO524355 ACO589814:ACO589891 ACO655350:ACO655427 ACO720886:ACO720963 ACO786422:ACO786499 ACO851958:ACO852035 ACO917494:ACO917571 ACO983030:ACO983107 AMK65526:AMK65603 AMK131062:AMK131139 AMK196598:AMK196675 AMK262134:AMK262211 AMK327670:AMK327747 AMK393206:AMK393283 AMK458742:AMK458819 AMK524278:AMK524355 AMK589814:AMK589891 AMK655350:AMK655427 AMK720886:AMK720963 AMK786422:AMK786499 AMK851958:AMK852035 AMK917494:AMK917571 AMK983030:AMK983107 AWG65526:AWG65603 AWG131062:AWG131139 AWG196598:AWG196675 AWG262134:AWG262211 AWG327670:AWG327747 AWG393206:AWG393283 AWG458742:AWG458819 AWG524278:AWG524355 AWG589814:AWG589891 AWG655350:AWG655427 AWG720886:AWG720963 AWG786422:AWG786499 AWG851958:AWG852035 AWG917494:AWG917571 AWG983030:AWG983107 BGC65526:BGC65603 BGC131062:BGC131139 BGC196598:BGC196675 BGC262134:BGC262211 BGC327670:BGC327747 BGC393206:BGC393283 BGC458742:BGC458819 BGC524278:BGC524355 BGC589814:BGC589891 BGC655350:BGC655427 BGC720886:BGC720963 BGC786422:BGC786499 BGC851958:BGC852035 BGC917494:BGC917571 BGC983030:BGC983107 BPY65526:BPY65603 BPY131062:BPY131139 BPY196598:BPY196675 BPY262134:BPY262211 BPY327670:BPY327747 BPY393206:BPY393283 BPY458742:BPY458819 BPY524278:BPY524355 BPY589814:BPY589891 BPY655350:BPY655427 BPY720886:BPY720963 BPY786422:BPY786499 BPY851958:BPY852035 BPY917494:BPY917571 BPY983030:BPY983107 BZU65526:BZU65603 BZU131062:BZU131139 BZU196598:BZU196675 BZU262134:BZU262211 BZU327670:BZU327747 BZU393206:BZU393283 BZU458742:BZU458819 BZU524278:BZU524355 BZU589814:BZU589891 BZU655350:BZU655427 BZU720886:BZU720963 BZU786422:BZU786499 BZU851958:BZU852035 BZU917494:BZU917571 BZU983030:BZU983107 CJQ65526:CJQ65603 CJQ131062:CJQ131139 CJQ196598:CJQ196675 CJQ262134:CJQ262211 CJQ327670:CJQ327747 CJQ393206:CJQ393283 CJQ458742:CJQ458819 CJQ524278:CJQ524355 CJQ589814:CJQ589891 CJQ655350:CJQ655427 CJQ720886:CJQ720963 CJQ786422:CJQ786499 CJQ851958:CJQ852035 CJQ917494:CJQ917571 CJQ983030:CJQ983107 CTM65526:CTM65603 CTM131062:CTM131139 CTM196598:CTM196675 CTM262134:CTM262211 CTM327670:CTM327747 CTM393206:CTM393283 CTM458742:CTM458819 CTM524278:CTM524355 CTM589814:CTM589891 CTM655350:CTM655427 CTM720886:CTM720963 CTM786422:CTM786499 CTM851958:CTM852035 CTM917494:CTM917571 CTM983030:CTM983107 DDI65526:DDI65603 DDI131062:DDI131139 DDI196598:DDI196675 DDI262134:DDI262211 DDI327670:DDI327747 DDI393206:DDI393283 DDI458742:DDI458819 DDI524278:DDI524355 DDI589814:DDI589891 DDI655350:DDI655427 DDI720886:DDI720963 DDI786422:DDI786499 DDI851958:DDI852035 DDI917494:DDI917571 DDI983030:DDI983107 DNE65526:DNE65603 DNE131062:DNE131139 DNE196598:DNE196675 DNE262134:DNE262211 DNE327670:DNE327747 DNE393206:DNE393283 DNE458742:DNE458819 DNE524278:DNE524355 DNE589814:DNE589891 DNE655350:DNE655427 DNE720886:DNE720963 DNE786422:DNE786499 DNE851958:DNE852035 DNE917494:DNE917571 DNE983030:DNE983107 DXA65526:DXA65603 DXA131062:DXA131139 DXA196598:DXA196675 DXA262134:DXA262211 DXA327670:DXA327747 DXA393206:DXA393283 DXA458742:DXA458819 DXA524278:DXA524355 DXA589814:DXA589891 DXA655350:DXA655427 DXA720886:DXA720963 DXA786422:DXA786499 DXA851958:DXA852035 DXA917494:DXA917571 DXA983030:DXA983107 EGW65526:EGW65603 EGW131062:EGW131139 EGW196598:EGW196675 EGW262134:EGW262211 EGW327670:EGW327747 EGW393206:EGW393283 EGW458742:EGW458819 EGW524278:EGW524355 EGW589814:EGW589891 EGW655350:EGW655427 EGW720886:EGW720963 EGW786422:EGW786499 EGW851958:EGW852035 EGW917494:EGW917571 EGW983030:EGW983107 EQS65526:EQS65603 EQS131062:EQS131139 EQS196598:EQS196675 EQS262134:EQS262211 EQS327670:EQS327747 EQS393206:EQS393283 EQS458742:EQS458819 EQS524278:EQS524355 EQS589814:EQS589891 EQS655350:EQS655427 EQS720886:EQS720963 EQS786422:EQS786499 EQS851958:EQS852035 EQS917494:EQS917571 EQS983030:EQS983107 FAO65526:FAO65603 FAO131062:FAO131139 FAO196598:FAO196675 FAO262134:FAO262211 FAO327670:FAO327747 FAO393206:FAO393283 FAO458742:FAO458819 FAO524278:FAO524355 FAO589814:FAO589891 FAO655350:FAO655427 FAO720886:FAO720963 FAO786422:FAO786499 FAO851958:FAO852035 FAO917494:FAO917571 FAO983030:FAO983107 FKK65526:FKK65603 FKK131062:FKK131139 FKK196598:FKK196675 FKK262134:FKK262211 FKK327670:FKK327747 FKK393206:FKK393283 FKK458742:FKK458819 FKK524278:FKK524355 FKK589814:FKK589891 FKK655350:FKK655427 FKK720886:FKK720963 FKK786422:FKK786499 FKK851958:FKK852035 FKK917494:FKK917571 FKK983030:FKK983107 FUG65526:FUG65603 FUG131062:FUG131139 FUG196598:FUG196675 FUG262134:FUG262211 FUG327670:FUG327747 FUG393206:FUG393283 FUG458742:FUG458819 FUG524278:FUG524355 FUG589814:FUG589891 FUG655350:FUG655427 FUG720886:FUG720963 FUG786422:FUG786499 FUG851958:FUG852035 FUG917494:FUG917571 FUG983030:FUG983107 GEC65526:GEC65603 GEC131062:GEC131139 GEC196598:GEC196675 GEC262134:GEC262211 GEC327670:GEC327747 GEC393206:GEC393283 GEC458742:GEC458819 GEC524278:GEC524355 GEC589814:GEC589891 GEC655350:GEC655427 GEC720886:GEC720963 GEC786422:GEC786499 GEC851958:GEC852035 GEC917494:GEC917571 GEC983030:GEC983107 GNY65526:GNY65603 GNY131062:GNY131139 GNY196598:GNY196675 GNY262134:GNY262211 GNY327670:GNY327747 GNY393206:GNY393283 GNY458742:GNY458819 GNY524278:GNY524355 GNY589814:GNY589891 GNY655350:GNY655427 GNY720886:GNY720963 GNY786422:GNY786499 GNY851958:GNY852035 GNY917494:GNY917571 GNY983030:GNY983107 GXU65526:GXU65603 GXU131062:GXU131139 GXU196598:GXU196675 GXU262134:GXU262211 GXU327670:GXU327747 GXU393206:GXU393283 GXU458742:GXU458819 GXU524278:GXU524355 GXU589814:GXU589891 GXU655350:GXU655427 GXU720886:GXU720963 GXU786422:GXU786499 GXU851958:GXU852035 GXU917494:GXU917571 GXU983030:GXU983107 HHQ65526:HHQ65603 HHQ131062:HHQ131139 HHQ196598:HHQ196675 HHQ262134:HHQ262211 HHQ327670:HHQ327747 HHQ393206:HHQ393283 HHQ458742:HHQ458819 HHQ524278:HHQ524355 HHQ589814:HHQ589891 HHQ655350:HHQ655427 HHQ720886:HHQ720963 HHQ786422:HHQ786499 HHQ851958:HHQ852035 HHQ917494:HHQ917571 HHQ983030:HHQ983107 HRM65526:HRM65603 HRM131062:HRM131139 HRM196598:HRM196675 HRM262134:HRM262211 HRM327670:HRM327747 HRM393206:HRM393283 HRM458742:HRM458819 HRM524278:HRM524355 HRM589814:HRM589891 HRM655350:HRM655427 HRM720886:HRM720963 HRM786422:HRM786499 HRM851958:HRM852035 HRM917494:HRM917571 HRM983030:HRM983107 IBI65526:IBI65603 IBI131062:IBI131139 IBI196598:IBI196675 IBI262134:IBI262211 IBI327670:IBI327747 IBI393206:IBI393283 IBI458742:IBI458819 IBI524278:IBI524355 IBI589814:IBI589891 IBI655350:IBI655427 IBI720886:IBI720963 IBI786422:IBI786499 IBI851958:IBI852035 IBI917494:IBI917571 IBI983030:IBI983107 ILE65526:ILE65603 ILE131062:ILE131139 ILE196598:ILE196675 ILE262134:ILE262211 ILE327670:ILE327747 ILE393206:ILE393283 ILE458742:ILE458819 ILE524278:ILE524355 ILE589814:ILE589891 ILE655350:ILE655427 ILE720886:ILE720963 ILE786422:ILE786499 ILE851958:ILE852035 ILE917494:ILE917571 ILE983030:ILE983107 IVA65526:IVA65603 IVA131062:IVA131139 IVA196598:IVA196675 IVA262134:IVA262211 IVA327670:IVA327747 IVA393206:IVA393283 IVA458742:IVA458819 IVA524278:IVA524355 IVA589814:IVA589891 IVA655350:IVA655427 IVA720886:IVA720963 IVA786422:IVA786499 IVA851958:IVA852035 IVA917494:IVA917571 IVA983030:IVA983107 JEW65526:JEW65603 JEW131062:JEW131139 JEW196598:JEW196675 JEW262134:JEW262211 JEW327670:JEW327747 JEW393206:JEW393283 JEW458742:JEW458819 JEW524278:JEW524355 JEW589814:JEW589891 JEW655350:JEW655427 JEW720886:JEW720963 JEW786422:JEW786499 JEW851958:JEW852035 JEW917494:JEW917571 JEW983030:JEW983107 JOS65526:JOS65603 JOS131062:JOS131139 JOS196598:JOS196675 JOS262134:JOS262211 JOS327670:JOS327747 JOS393206:JOS393283 JOS458742:JOS458819 JOS524278:JOS524355 JOS589814:JOS589891 JOS655350:JOS655427 JOS720886:JOS720963 JOS786422:JOS786499 JOS851958:JOS852035 JOS917494:JOS917571 JOS983030:JOS983107 JYO65526:JYO65603 JYO131062:JYO131139 JYO196598:JYO196675 JYO262134:JYO262211 JYO327670:JYO327747 JYO393206:JYO393283 JYO458742:JYO458819 JYO524278:JYO524355 JYO589814:JYO589891 JYO655350:JYO655427 JYO720886:JYO720963 JYO786422:JYO786499 JYO851958:JYO852035 JYO917494:JYO917571 JYO983030:JYO983107 KIK65526:KIK65603 KIK131062:KIK131139 KIK196598:KIK196675 KIK262134:KIK262211 KIK327670:KIK327747 KIK393206:KIK393283 KIK458742:KIK458819 KIK524278:KIK524355 KIK589814:KIK589891 KIK655350:KIK655427 KIK720886:KIK720963 KIK786422:KIK786499 KIK851958:KIK852035 KIK917494:KIK917571 KIK983030:KIK983107 KSG65526:KSG65603 KSG131062:KSG131139 KSG196598:KSG196675 KSG262134:KSG262211 KSG327670:KSG327747 KSG393206:KSG393283 KSG458742:KSG458819 KSG524278:KSG524355 KSG589814:KSG589891 KSG655350:KSG655427 KSG720886:KSG720963 KSG786422:KSG786499 KSG851958:KSG852035 KSG917494:KSG917571 KSG983030:KSG983107 LCC65526:LCC65603 LCC131062:LCC131139 LCC196598:LCC196675 LCC262134:LCC262211 LCC327670:LCC327747 LCC393206:LCC393283 LCC458742:LCC458819 LCC524278:LCC524355 LCC589814:LCC589891 LCC655350:LCC655427 LCC720886:LCC720963 LCC786422:LCC786499 LCC851958:LCC852035 LCC917494:LCC917571 LCC983030:LCC983107 LLY65526:LLY65603 LLY131062:LLY131139 LLY196598:LLY196675 LLY262134:LLY262211 LLY327670:LLY327747 LLY393206:LLY393283 LLY458742:LLY458819 LLY524278:LLY524355 LLY589814:LLY589891 LLY655350:LLY655427 LLY720886:LLY720963 LLY786422:LLY786499 LLY851958:LLY852035 LLY917494:LLY917571 LLY983030:LLY983107 LVU65526:LVU65603 LVU131062:LVU131139 LVU196598:LVU196675 LVU262134:LVU262211 LVU327670:LVU327747 LVU393206:LVU393283 LVU458742:LVU458819 LVU524278:LVU524355 LVU589814:LVU589891 LVU655350:LVU655427 LVU720886:LVU720963 LVU786422:LVU786499 LVU851958:LVU852035 LVU917494:LVU917571 LVU983030:LVU983107 MFQ65526:MFQ65603 MFQ131062:MFQ131139 MFQ196598:MFQ196675 MFQ262134:MFQ262211 MFQ327670:MFQ327747 MFQ393206:MFQ393283 MFQ458742:MFQ458819 MFQ524278:MFQ524355 MFQ589814:MFQ589891 MFQ655350:MFQ655427 MFQ720886:MFQ720963 MFQ786422:MFQ786499 MFQ851958:MFQ852035 MFQ917494:MFQ917571 MFQ983030:MFQ983107 MPM65526:MPM65603 MPM131062:MPM131139 MPM196598:MPM196675 MPM262134:MPM262211 MPM327670:MPM327747 MPM393206:MPM393283 MPM458742:MPM458819 MPM524278:MPM524355 MPM589814:MPM589891 MPM655350:MPM655427 MPM720886:MPM720963 MPM786422:MPM786499 MPM851958:MPM852035 MPM917494:MPM917571 MPM983030:MPM983107 MZI65526:MZI65603 MZI131062:MZI131139 MZI196598:MZI196675 MZI262134:MZI262211 MZI327670:MZI327747 MZI393206:MZI393283 MZI458742:MZI458819 MZI524278:MZI524355 MZI589814:MZI589891 MZI655350:MZI655427 MZI720886:MZI720963 MZI786422:MZI786499 MZI851958:MZI852035 MZI917494:MZI917571 MZI983030:MZI983107 NJE65526:NJE65603 NJE131062:NJE131139 NJE196598:NJE196675 NJE262134:NJE262211 NJE327670:NJE327747 NJE393206:NJE393283 NJE458742:NJE458819 NJE524278:NJE524355 NJE589814:NJE589891 NJE655350:NJE655427 NJE720886:NJE720963 NJE786422:NJE786499 NJE851958:NJE852035 NJE917494:NJE917571 NJE983030:NJE983107 NTA65526:NTA65603 NTA131062:NTA131139 NTA196598:NTA196675 NTA262134:NTA262211 NTA327670:NTA327747 NTA393206:NTA393283 NTA458742:NTA458819 NTA524278:NTA524355 NTA589814:NTA589891 NTA655350:NTA655427 NTA720886:NTA720963 NTA786422:NTA786499 NTA851958:NTA852035 NTA917494:NTA917571 NTA983030:NTA983107 OCW65526:OCW65603 OCW131062:OCW131139 OCW196598:OCW196675 OCW262134:OCW262211 OCW327670:OCW327747 OCW393206:OCW393283 OCW458742:OCW458819 OCW524278:OCW524355 OCW589814:OCW589891 OCW655350:OCW655427 OCW720886:OCW720963 OCW786422:OCW786499 OCW851958:OCW852035 OCW917494:OCW917571 OCW983030:OCW983107 OMS65526:OMS65603 OMS131062:OMS131139 OMS196598:OMS196675 OMS262134:OMS262211 OMS327670:OMS327747 OMS393206:OMS393283 OMS458742:OMS458819 OMS524278:OMS524355 OMS589814:OMS589891 OMS655350:OMS655427 OMS720886:OMS720963 OMS786422:OMS786499 OMS851958:OMS852035 OMS917494:OMS917571 OMS983030:OMS983107 OWO65526:OWO65603 OWO131062:OWO131139 OWO196598:OWO196675 OWO262134:OWO262211 OWO327670:OWO327747 OWO393206:OWO393283 OWO458742:OWO458819 OWO524278:OWO524355 OWO589814:OWO589891 OWO655350:OWO655427 OWO720886:OWO720963 OWO786422:OWO786499 OWO851958:OWO852035 OWO917494:OWO917571 OWO983030:OWO983107 PGK65526:PGK65603 PGK131062:PGK131139 PGK196598:PGK196675 PGK262134:PGK262211 PGK327670:PGK327747 PGK393206:PGK393283 PGK458742:PGK458819 PGK524278:PGK524355 PGK589814:PGK589891 PGK655350:PGK655427 PGK720886:PGK720963 PGK786422:PGK786499 PGK851958:PGK852035 PGK917494:PGK917571 PGK983030:PGK983107 PQG65526:PQG65603 PQG131062:PQG131139 PQG196598:PQG196675 PQG262134:PQG262211 PQG327670:PQG327747 PQG393206:PQG393283 PQG458742:PQG458819 PQG524278:PQG524355 PQG589814:PQG589891 PQG655350:PQG655427 PQG720886:PQG720963 PQG786422:PQG786499 PQG851958:PQG852035 PQG917494:PQG917571 PQG983030:PQG983107 QAC65526:QAC65603 QAC131062:QAC131139 QAC196598:QAC196675 QAC262134:QAC262211 QAC327670:QAC327747 QAC393206:QAC393283 QAC458742:QAC458819 QAC524278:QAC524355 QAC589814:QAC589891 QAC655350:QAC655427 QAC720886:QAC720963 QAC786422:QAC786499 QAC851958:QAC852035 QAC917494:QAC917571 QAC983030:QAC983107 QJY65526:QJY65603 QJY131062:QJY131139 QJY196598:QJY196675 QJY262134:QJY262211 QJY327670:QJY327747 QJY393206:QJY393283 QJY458742:QJY458819 QJY524278:QJY524355 QJY589814:QJY589891 QJY655350:QJY655427 QJY720886:QJY720963 QJY786422:QJY786499 QJY851958:QJY852035 QJY917494:QJY917571 QJY983030:QJY983107 QTU65526:QTU65603 QTU131062:QTU131139 QTU196598:QTU196675 QTU262134:QTU262211 QTU327670:QTU327747 QTU393206:QTU393283 QTU458742:QTU458819 QTU524278:QTU524355 QTU589814:QTU589891 QTU655350:QTU655427 QTU720886:QTU720963 QTU786422:QTU786499 QTU851958:QTU852035 QTU917494:QTU917571 QTU983030:QTU983107 RDQ65526:RDQ65603 RDQ131062:RDQ131139 RDQ196598:RDQ196675 RDQ262134:RDQ262211 RDQ327670:RDQ327747 RDQ393206:RDQ393283 RDQ458742:RDQ458819 RDQ524278:RDQ524355 RDQ589814:RDQ589891 RDQ655350:RDQ655427 RDQ720886:RDQ720963 RDQ786422:RDQ786499 RDQ851958:RDQ852035 RDQ917494:RDQ917571 RDQ983030:RDQ983107 RNM65526:RNM65603 RNM131062:RNM131139 RNM196598:RNM196675 RNM262134:RNM262211 RNM327670:RNM327747 RNM393206:RNM393283 RNM458742:RNM458819 RNM524278:RNM524355 RNM589814:RNM589891 RNM655350:RNM655427 RNM720886:RNM720963 RNM786422:RNM786499 RNM851958:RNM852035 RNM917494:RNM917571 RNM983030:RNM983107 RXI65526:RXI65603 RXI131062:RXI131139 RXI196598:RXI196675 RXI262134:RXI262211 RXI327670:RXI327747 RXI393206:RXI393283 RXI458742:RXI458819 RXI524278:RXI524355 RXI589814:RXI589891 RXI655350:RXI655427 RXI720886:RXI720963 RXI786422:RXI786499 RXI851958:RXI852035 RXI917494:RXI917571 RXI983030:RXI983107 SHE65526:SHE65603 SHE131062:SHE131139 SHE196598:SHE196675 SHE262134:SHE262211 SHE327670:SHE327747 SHE393206:SHE393283 SHE458742:SHE458819 SHE524278:SHE524355 SHE589814:SHE589891 SHE655350:SHE655427 SHE720886:SHE720963 SHE786422:SHE786499 SHE851958:SHE852035 SHE917494:SHE917571 SHE983030:SHE983107 SRA65526:SRA65603 SRA131062:SRA131139 SRA196598:SRA196675 SRA262134:SRA262211 SRA327670:SRA327747 SRA393206:SRA393283 SRA458742:SRA458819 SRA524278:SRA524355 SRA589814:SRA589891 SRA655350:SRA655427 SRA720886:SRA720963 SRA786422:SRA786499 SRA851958:SRA852035 SRA917494:SRA917571 SRA983030:SRA983107 TAW65526:TAW65603 TAW131062:TAW131139 TAW196598:TAW196675 TAW262134:TAW262211 TAW327670:TAW327747 TAW393206:TAW393283 TAW458742:TAW458819 TAW524278:TAW524355 TAW589814:TAW589891 TAW655350:TAW655427 TAW720886:TAW720963 TAW786422:TAW786499 TAW851958:TAW852035 TAW917494:TAW917571 TAW983030:TAW983107 TKS65526:TKS65603 TKS131062:TKS131139 TKS196598:TKS196675 TKS262134:TKS262211 TKS327670:TKS327747 TKS393206:TKS393283 TKS458742:TKS458819 TKS524278:TKS524355 TKS589814:TKS589891 TKS655350:TKS655427 TKS720886:TKS720963 TKS786422:TKS786499 TKS851958:TKS852035 TKS917494:TKS917571 TKS983030:TKS983107 TUO65526:TUO65603 TUO131062:TUO131139 TUO196598:TUO196675 TUO262134:TUO262211 TUO327670:TUO327747 TUO393206:TUO393283 TUO458742:TUO458819 TUO524278:TUO524355 TUO589814:TUO589891 TUO655350:TUO655427 TUO720886:TUO720963 TUO786422:TUO786499 TUO851958:TUO852035 TUO917494:TUO917571 TUO983030:TUO983107 UEK65526:UEK65603 UEK131062:UEK131139 UEK196598:UEK196675 UEK262134:UEK262211 UEK327670:UEK327747 UEK393206:UEK393283 UEK458742:UEK458819 UEK524278:UEK524355 UEK589814:UEK589891 UEK655350:UEK655427 UEK720886:UEK720963 UEK786422:UEK786499 UEK851958:UEK852035 UEK917494:UEK917571 UEK983030:UEK983107 UOG65526:UOG65603 UOG131062:UOG131139 UOG196598:UOG196675 UOG262134:UOG262211 UOG327670:UOG327747 UOG393206:UOG393283 UOG458742:UOG458819 UOG524278:UOG524355 UOG589814:UOG589891 UOG655350:UOG655427 UOG720886:UOG720963 UOG786422:UOG786499 UOG851958:UOG852035 UOG917494:UOG917571 UOG983030:UOG983107 UYC65526:UYC65603 UYC131062:UYC131139 UYC196598:UYC196675 UYC262134:UYC262211 UYC327670:UYC327747 UYC393206:UYC393283 UYC458742:UYC458819 UYC524278:UYC524355 UYC589814:UYC589891 UYC655350:UYC655427 UYC720886:UYC720963 UYC786422:UYC786499 UYC851958:UYC852035 UYC917494:UYC917571 UYC983030:UYC983107 VHY65526:VHY65603 VHY131062:VHY131139 VHY196598:VHY196675 VHY262134:VHY262211 VHY327670:VHY327747 VHY393206:VHY393283 VHY458742:VHY458819 VHY524278:VHY524355 VHY589814:VHY589891 VHY655350:VHY655427 VHY720886:VHY720963 VHY786422:VHY786499 VHY851958:VHY852035 VHY917494:VHY917571 VHY983030:VHY983107 VRU65526:VRU65603 VRU131062:VRU131139 VRU196598:VRU196675 VRU262134:VRU262211 VRU327670:VRU327747 VRU393206:VRU393283 VRU458742:VRU458819 VRU524278:VRU524355 VRU589814:VRU589891 VRU655350:VRU655427 VRU720886:VRU720963 VRU786422:VRU786499 VRU851958:VRU852035 VRU917494:VRU917571 VRU983030:VRU983107 WBQ65526:WBQ65603 WBQ131062:WBQ131139 WBQ196598:WBQ196675 WBQ262134:WBQ262211 WBQ327670:WBQ327747 WBQ393206:WBQ393283 WBQ458742:WBQ458819 WBQ524278:WBQ524355 WBQ589814:WBQ589891 WBQ655350:WBQ655427 WBQ720886:WBQ720963 WBQ786422:WBQ786499 WBQ851958:WBQ852035 WBQ917494:WBQ917571 WBQ983030:WBQ983107 WLM65526:WLM65603 WLM131062:WLM131139 WLM196598:WLM196675 WLM262134:WLM262211 WLM327670:WLM327747 WLM393206:WLM393283 WLM458742:WLM458819 WLM524278:WLM524355 WLM589814:WLM589891 WLM655350:WLM655427 WLM720886:WLM720963 WLM786422:WLM786499 WLM851958:WLM852035 WLM917494:WLM917571 WLM983030:WLM983107 WVI65526:WVI65603 WVI131062:WVI131139 WVI196598:WVI196675 WVI262134:WVI262211 WVI327670:WVI327747 WVI393206:WVI393283 WVI458742:WVI458819 WVI524278:WVI524355 WVI589814:WVI589891 WVI655350:WVI655427 WVI720886:WVI720963 WVI786422:WVI786499 WVI851958:WVI852035 WVI917494:WVI917571 WVI983030:WVI983107 A2:A488 IW2:IW67 SS2:SS67 ACO2:ACO67 AMK2:AMK67 AWG2:AWG67 BGC2:BGC67 BPY2:BPY67 BZU2:BZU67 CJQ2:CJQ67 CTM2:CTM67 DDI2:DDI67 DNE2:DNE67 DXA2:DXA67 EGW2:EGW67 EQS2:EQS67 FAO2:FAO67 FKK2:FKK67 FUG2:FUG67 GEC2:GEC67 GNY2:GNY67 GXU2:GXU67 HHQ2:HHQ67 HRM2:HRM67 IBI2:IBI67 ILE2:ILE67 IVA2:IVA67 JEW2:JEW67 JOS2:JOS67 JYO2:JYO67 KIK2:KIK67 KSG2:KSG67 LCC2:LCC67 LLY2:LLY67 LVU2:LVU67 MFQ2:MFQ67 MPM2:MPM67 MZI2:MZI67 NJE2:NJE67 NTA2:NTA67 OCW2:OCW67 OMS2:OMS67 OWO2:OWO67 PGK2:PGK67 PQG2:PQG67 QAC2:QAC67 QJY2:QJY67 QTU2:QTU67 RDQ2:RDQ67 RNM2:RNM67 RXI2:RXI67 SHE2:SHE67 SRA2:SRA67 TAW2:TAW67 TKS2:TKS67 TUO2:TUO67 UEK2:UEK67 UOG2:UOG67 UYC2:UYC67 VHY2:VHY67 VRU2:VRU67 WBQ2:WBQ67 WLM2:WLM67 WVI2:WVI67">
      <formula1>$AE$2:$AE$19</formula1>
    </dataValidation>
    <dataValidation type="list" allowBlank="1" showInputMessage="1" showErrorMessage="1" sqref="WVO983030:WVO983107 G65526:G65603 G131062:G131139 G196598:G196675 G262134:G262211 G327670:G327747 G393206:G393283 G458742:G458819 G524278:G524355 G589814:G589891 G655350:G655427 G720886:G720963 G786422:G786499 G851958:G852035 G917494:G917571 G983030:G983107 JC65526:JC65603 JC131062:JC131139 JC196598:JC196675 JC262134:JC262211 JC327670:JC327747 JC393206:JC393283 JC458742:JC458819 JC524278:JC524355 JC589814:JC589891 JC655350:JC655427 JC720886:JC720963 JC786422:JC786499 JC851958:JC852035 JC917494:JC917571 JC983030:JC983107 SY65526:SY65603 SY131062:SY131139 SY196598:SY196675 SY262134:SY262211 SY327670:SY327747 SY393206:SY393283 SY458742:SY458819 SY524278:SY524355 SY589814:SY589891 SY655350:SY655427 SY720886:SY720963 SY786422:SY786499 SY851958:SY852035 SY917494:SY917571 SY983030:SY983107 ACU65526:ACU65603 ACU131062:ACU131139 ACU196598:ACU196675 ACU262134:ACU262211 ACU327670:ACU327747 ACU393206:ACU393283 ACU458742:ACU458819 ACU524278:ACU524355 ACU589814:ACU589891 ACU655350:ACU655427 ACU720886:ACU720963 ACU786422:ACU786499 ACU851958:ACU852035 ACU917494:ACU917571 ACU983030:ACU983107 AMQ65526:AMQ65603 AMQ131062:AMQ131139 AMQ196598:AMQ196675 AMQ262134:AMQ262211 AMQ327670:AMQ327747 AMQ393206:AMQ393283 AMQ458742:AMQ458819 AMQ524278:AMQ524355 AMQ589814:AMQ589891 AMQ655350:AMQ655427 AMQ720886:AMQ720963 AMQ786422:AMQ786499 AMQ851958:AMQ852035 AMQ917494:AMQ917571 AMQ983030:AMQ983107 AWM65526:AWM65603 AWM131062:AWM131139 AWM196598:AWM196675 AWM262134:AWM262211 AWM327670:AWM327747 AWM393206:AWM393283 AWM458742:AWM458819 AWM524278:AWM524355 AWM589814:AWM589891 AWM655350:AWM655427 AWM720886:AWM720963 AWM786422:AWM786499 AWM851958:AWM852035 AWM917494:AWM917571 AWM983030:AWM983107 BGI65526:BGI65603 BGI131062:BGI131139 BGI196598:BGI196675 BGI262134:BGI262211 BGI327670:BGI327747 BGI393206:BGI393283 BGI458742:BGI458819 BGI524278:BGI524355 BGI589814:BGI589891 BGI655350:BGI655427 BGI720886:BGI720963 BGI786422:BGI786499 BGI851958:BGI852035 BGI917494:BGI917571 BGI983030:BGI983107 BQE65526:BQE65603 BQE131062:BQE131139 BQE196598:BQE196675 BQE262134:BQE262211 BQE327670:BQE327747 BQE393206:BQE393283 BQE458742:BQE458819 BQE524278:BQE524355 BQE589814:BQE589891 BQE655350:BQE655427 BQE720886:BQE720963 BQE786422:BQE786499 BQE851958:BQE852035 BQE917494:BQE917571 BQE983030:BQE983107 CAA65526:CAA65603 CAA131062:CAA131139 CAA196598:CAA196675 CAA262134:CAA262211 CAA327670:CAA327747 CAA393206:CAA393283 CAA458742:CAA458819 CAA524278:CAA524355 CAA589814:CAA589891 CAA655350:CAA655427 CAA720886:CAA720963 CAA786422:CAA786499 CAA851958:CAA852035 CAA917494:CAA917571 CAA983030:CAA983107 CJW65526:CJW65603 CJW131062:CJW131139 CJW196598:CJW196675 CJW262134:CJW262211 CJW327670:CJW327747 CJW393206:CJW393283 CJW458742:CJW458819 CJW524278:CJW524355 CJW589814:CJW589891 CJW655350:CJW655427 CJW720886:CJW720963 CJW786422:CJW786499 CJW851958:CJW852035 CJW917494:CJW917571 CJW983030:CJW983107 CTS65526:CTS65603 CTS131062:CTS131139 CTS196598:CTS196675 CTS262134:CTS262211 CTS327670:CTS327747 CTS393206:CTS393283 CTS458742:CTS458819 CTS524278:CTS524355 CTS589814:CTS589891 CTS655350:CTS655427 CTS720886:CTS720963 CTS786422:CTS786499 CTS851958:CTS852035 CTS917494:CTS917571 CTS983030:CTS983107 DDO65526:DDO65603 DDO131062:DDO131139 DDO196598:DDO196675 DDO262134:DDO262211 DDO327670:DDO327747 DDO393206:DDO393283 DDO458742:DDO458819 DDO524278:DDO524355 DDO589814:DDO589891 DDO655350:DDO655427 DDO720886:DDO720963 DDO786422:DDO786499 DDO851958:DDO852035 DDO917494:DDO917571 DDO983030:DDO983107 DNK65526:DNK65603 DNK131062:DNK131139 DNK196598:DNK196675 DNK262134:DNK262211 DNK327670:DNK327747 DNK393206:DNK393283 DNK458742:DNK458819 DNK524278:DNK524355 DNK589814:DNK589891 DNK655350:DNK655427 DNK720886:DNK720963 DNK786422:DNK786499 DNK851958:DNK852035 DNK917494:DNK917571 DNK983030:DNK983107 DXG65526:DXG65603 DXG131062:DXG131139 DXG196598:DXG196675 DXG262134:DXG262211 DXG327670:DXG327747 DXG393206:DXG393283 DXG458742:DXG458819 DXG524278:DXG524355 DXG589814:DXG589891 DXG655350:DXG655427 DXG720886:DXG720963 DXG786422:DXG786499 DXG851958:DXG852035 DXG917494:DXG917571 DXG983030:DXG983107 EHC65526:EHC65603 EHC131062:EHC131139 EHC196598:EHC196675 EHC262134:EHC262211 EHC327670:EHC327747 EHC393206:EHC393283 EHC458742:EHC458819 EHC524278:EHC524355 EHC589814:EHC589891 EHC655350:EHC655427 EHC720886:EHC720963 EHC786422:EHC786499 EHC851958:EHC852035 EHC917494:EHC917571 EHC983030:EHC983107 EQY65526:EQY65603 EQY131062:EQY131139 EQY196598:EQY196675 EQY262134:EQY262211 EQY327670:EQY327747 EQY393206:EQY393283 EQY458742:EQY458819 EQY524278:EQY524355 EQY589814:EQY589891 EQY655350:EQY655427 EQY720886:EQY720963 EQY786422:EQY786499 EQY851958:EQY852035 EQY917494:EQY917571 EQY983030:EQY983107 FAU65526:FAU65603 FAU131062:FAU131139 FAU196598:FAU196675 FAU262134:FAU262211 FAU327670:FAU327747 FAU393206:FAU393283 FAU458742:FAU458819 FAU524278:FAU524355 FAU589814:FAU589891 FAU655350:FAU655427 FAU720886:FAU720963 FAU786422:FAU786499 FAU851958:FAU852035 FAU917494:FAU917571 FAU983030:FAU983107 FKQ65526:FKQ65603 FKQ131062:FKQ131139 FKQ196598:FKQ196675 FKQ262134:FKQ262211 FKQ327670:FKQ327747 FKQ393206:FKQ393283 FKQ458742:FKQ458819 FKQ524278:FKQ524355 FKQ589814:FKQ589891 FKQ655350:FKQ655427 FKQ720886:FKQ720963 FKQ786422:FKQ786499 FKQ851958:FKQ852035 FKQ917494:FKQ917571 FKQ983030:FKQ983107 FUM65526:FUM65603 FUM131062:FUM131139 FUM196598:FUM196675 FUM262134:FUM262211 FUM327670:FUM327747 FUM393206:FUM393283 FUM458742:FUM458819 FUM524278:FUM524355 FUM589814:FUM589891 FUM655350:FUM655427 FUM720886:FUM720963 FUM786422:FUM786499 FUM851958:FUM852035 FUM917494:FUM917571 FUM983030:FUM983107 GEI65526:GEI65603 GEI131062:GEI131139 GEI196598:GEI196675 GEI262134:GEI262211 GEI327670:GEI327747 GEI393206:GEI393283 GEI458742:GEI458819 GEI524278:GEI524355 GEI589814:GEI589891 GEI655350:GEI655427 GEI720886:GEI720963 GEI786422:GEI786499 GEI851958:GEI852035 GEI917494:GEI917571 GEI983030:GEI983107 GOE65526:GOE65603 GOE131062:GOE131139 GOE196598:GOE196675 GOE262134:GOE262211 GOE327670:GOE327747 GOE393206:GOE393283 GOE458742:GOE458819 GOE524278:GOE524355 GOE589814:GOE589891 GOE655350:GOE655427 GOE720886:GOE720963 GOE786422:GOE786499 GOE851958:GOE852035 GOE917494:GOE917571 GOE983030:GOE983107 GYA65526:GYA65603 GYA131062:GYA131139 GYA196598:GYA196675 GYA262134:GYA262211 GYA327670:GYA327747 GYA393206:GYA393283 GYA458742:GYA458819 GYA524278:GYA524355 GYA589814:GYA589891 GYA655350:GYA655427 GYA720886:GYA720963 GYA786422:GYA786499 GYA851958:GYA852035 GYA917494:GYA917571 GYA983030:GYA983107 HHW65526:HHW65603 HHW131062:HHW131139 HHW196598:HHW196675 HHW262134:HHW262211 HHW327670:HHW327747 HHW393206:HHW393283 HHW458742:HHW458819 HHW524278:HHW524355 HHW589814:HHW589891 HHW655350:HHW655427 HHW720886:HHW720963 HHW786422:HHW786499 HHW851958:HHW852035 HHW917494:HHW917571 HHW983030:HHW983107 HRS65526:HRS65603 HRS131062:HRS131139 HRS196598:HRS196675 HRS262134:HRS262211 HRS327670:HRS327747 HRS393206:HRS393283 HRS458742:HRS458819 HRS524278:HRS524355 HRS589814:HRS589891 HRS655350:HRS655427 HRS720886:HRS720963 HRS786422:HRS786499 HRS851958:HRS852035 HRS917494:HRS917571 HRS983030:HRS983107 IBO65526:IBO65603 IBO131062:IBO131139 IBO196598:IBO196675 IBO262134:IBO262211 IBO327670:IBO327747 IBO393206:IBO393283 IBO458742:IBO458819 IBO524278:IBO524355 IBO589814:IBO589891 IBO655350:IBO655427 IBO720886:IBO720963 IBO786422:IBO786499 IBO851958:IBO852035 IBO917494:IBO917571 IBO983030:IBO983107 ILK65526:ILK65603 ILK131062:ILK131139 ILK196598:ILK196675 ILK262134:ILK262211 ILK327670:ILK327747 ILK393206:ILK393283 ILK458742:ILK458819 ILK524278:ILK524355 ILK589814:ILK589891 ILK655350:ILK655427 ILK720886:ILK720963 ILK786422:ILK786499 ILK851958:ILK852035 ILK917494:ILK917571 ILK983030:ILK983107 IVG65526:IVG65603 IVG131062:IVG131139 IVG196598:IVG196675 IVG262134:IVG262211 IVG327670:IVG327747 IVG393206:IVG393283 IVG458742:IVG458819 IVG524278:IVG524355 IVG589814:IVG589891 IVG655350:IVG655427 IVG720886:IVG720963 IVG786422:IVG786499 IVG851958:IVG852035 IVG917494:IVG917571 IVG983030:IVG983107 JFC65526:JFC65603 JFC131062:JFC131139 JFC196598:JFC196675 JFC262134:JFC262211 JFC327670:JFC327747 JFC393206:JFC393283 JFC458742:JFC458819 JFC524278:JFC524355 JFC589814:JFC589891 JFC655350:JFC655427 JFC720886:JFC720963 JFC786422:JFC786499 JFC851958:JFC852035 JFC917494:JFC917571 JFC983030:JFC983107 JOY65526:JOY65603 JOY131062:JOY131139 JOY196598:JOY196675 JOY262134:JOY262211 JOY327670:JOY327747 JOY393206:JOY393283 JOY458742:JOY458819 JOY524278:JOY524355 JOY589814:JOY589891 JOY655350:JOY655427 JOY720886:JOY720963 JOY786422:JOY786499 JOY851958:JOY852035 JOY917494:JOY917571 JOY983030:JOY983107 JYU65526:JYU65603 JYU131062:JYU131139 JYU196598:JYU196675 JYU262134:JYU262211 JYU327670:JYU327747 JYU393206:JYU393283 JYU458742:JYU458819 JYU524278:JYU524355 JYU589814:JYU589891 JYU655350:JYU655427 JYU720886:JYU720963 JYU786422:JYU786499 JYU851958:JYU852035 JYU917494:JYU917571 JYU983030:JYU983107 KIQ65526:KIQ65603 KIQ131062:KIQ131139 KIQ196598:KIQ196675 KIQ262134:KIQ262211 KIQ327670:KIQ327747 KIQ393206:KIQ393283 KIQ458742:KIQ458819 KIQ524278:KIQ524355 KIQ589814:KIQ589891 KIQ655350:KIQ655427 KIQ720886:KIQ720963 KIQ786422:KIQ786499 KIQ851958:KIQ852035 KIQ917494:KIQ917571 KIQ983030:KIQ983107 KSM65526:KSM65603 KSM131062:KSM131139 KSM196598:KSM196675 KSM262134:KSM262211 KSM327670:KSM327747 KSM393206:KSM393283 KSM458742:KSM458819 KSM524278:KSM524355 KSM589814:KSM589891 KSM655350:KSM655427 KSM720886:KSM720963 KSM786422:KSM786499 KSM851958:KSM852035 KSM917494:KSM917571 KSM983030:KSM983107 LCI65526:LCI65603 LCI131062:LCI131139 LCI196598:LCI196675 LCI262134:LCI262211 LCI327670:LCI327747 LCI393206:LCI393283 LCI458742:LCI458819 LCI524278:LCI524355 LCI589814:LCI589891 LCI655350:LCI655427 LCI720886:LCI720963 LCI786422:LCI786499 LCI851958:LCI852035 LCI917494:LCI917571 LCI983030:LCI983107 LME65526:LME65603 LME131062:LME131139 LME196598:LME196675 LME262134:LME262211 LME327670:LME327747 LME393206:LME393283 LME458742:LME458819 LME524278:LME524355 LME589814:LME589891 LME655350:LME655427 LME720886:LME720963 LME786422:LME786499 LME851958:LME852035 LME917494:LME917571 LME983030:LME983107 LWA65526:LWA65603 LWA131062:LWA131139 LWA196598:LWA196675 LWA262134:LWA262211 LWA327670:LWA327747 LWA393206:LWA393283 LWA458742:LWA458819 LWA524278:LWA524355 LWA589814:LWA589891 LWA655350:LWA655427 LWA720886:LWA720963 LWA786422:LWA786499 LWA851958:LWA852035 LWA917494:LWA917571 LWA983030:LWA983107 MFW65526:MFW65603 MFW131062:MFW131139 MFW196598:MFW196675 MFW262134:MFW262211 MFW327670:MFW327747 MFW393206:MFW393283 MFW458742:MFW458819 MFW524278:MFW524355 MFW589814:MFW589891 MFW655350:MFW655427 MFW720886:MFW720963 MFW786422:MFW786499 MFW851958:MFW852035 MFW917494:MFW917571 MFW983030:MFW983107 MPS65526:MPS65603 MPS131062:MPS131139 MPS196598:MPS196675 MPS262134:MPS262211 MPS327670:MPS327747 MPS393206:MPS393283 MPS458742:MPS458819 MPS524278:MPS524355 MPS589814:MPS589891 MPS655350:MPS655427 MPS720886:MPS720963 MPS786422:MPS786499 MPS851958:MPS852035 MPS917494:MPS917571 MPS983030:MPS983107 MZO65526:MZO65603 MZO131062:MZO131139 MZO196598:MZO196675 MZO262134:MZO262211 MZO327670:MZO327747 MZO393206:MZO393283 MZO458742:MZO458819 MZO524278:MZO524355 MZO589814:MZO589891 MZO655350:MZO655427 MZO720886:MZO720963 MZO786422:MZO786499 MZO851958:MZO852035 MZO917494:MZO917571 MZO983030:MZO983107 NJK65526:NJK65603 NJK131062:NJK131139 NJK196598:NJK196675 NJK262134:NJK262211 NJK327670:NJK327747 NJK393206:NJK393283 NJK458742:NJK458819 NJK524278:NJK524355 NJK589814:NJK589891 NJK655350:NJK655427 NJK720886:NJK720963 NJK786422:NJK786499 NJK851958:NJK852035 NJK917494:NJK917571 NJK983030:NJK983107 NTG65526:NTG65603 NTG131062:NTG131139 NTG196598:NTG196675 NTG262134:NTG262211 NTG327670:NTG327747 NTG393206:NTG393283 NTG458742:NTG458819 NTG524278:NTG524355 NTG589814:NTG589891 NTG655350:NTG655427 NTG720886:NTG720963 NTG786422:NTG786499 NTG851958:NTG852035 NTG917494:NTG917571 NTG983030:NTG983107 ODC65526:ODC65603 ODC131062:ODC131139 ODC196598:ODC196675 ODC262134:ODC262211 ODC327670:ODC327747 ODC393206:ODC393283 ODC458742:ODC458819 ODC524278:ODC524355 ODC589814:ODC589891 ODC655350:ODC655427 ODC720886:ODC720963 ODC786422:ODC786499 ODC851958:ODC852035 ODC917494:ODC917571 ODC983030:ODC983107 OMY65526:OMY65603 OMY131062:OMY131139 OMY196598:OMY196675 OMY262134:OMY262211 OMY327670:OMY327747 OMY393206:OMY393283 OMY458742:OMY458819 OMY524278:OMY524355 OMY589814:OMY589891 OMY655350:OMY655427 OMY720886:OMY720963 OMY786422:OMY786499 OMY851958:OMY852035 OMY917494:OMY917571 OMY983030:OMY983107 OWU65526:OWU65603 OWU131062:OWU131139 OWU196598:OWU196675 OWU262134:OWU262211 OWU327670:OWU327747 OWU393206:OWU393283 OWU458742:OWU458819 OWU524278:OWU524355 OWU589814:OWU589891 OWU655350:OWU655427 OWU720886:OWU720963 OWU786422:OWU786499 OWU851958:OWU852035 OWU917494:OWU917571 OWU983030:OWU983107 PGQ65526:PGQ65603 PGQ131062:PGQ131139 PGQ196598:PGQ196675 PGQ262134:PGQ262211 PGQ327670:PGQ327747 PGQ393206:PGQ393283 PGQ458742:PGQ458819 PGQ524278:PGQ524355 PGQ589814:PGQ589891 PGQ655350:PGQ655427 PGQ720886:PGQ720963 PGQ786422:PGQ786499 PGQ851958:PGQ852035 PGQ917494:PGQ917571 PGQ983030:PGQ983107 PQM65526:PQM65603 PQM131062:PQM131139 PQM196598:PQM196675 PQM262134:PQM262211 PQM327670:PQM327747 PQM393206:PQM393283 PQM458742:PQM458819 PQM524278:PQM524355 PQM589814:PQM589891 PQM655350:PQM655427 PQM720886:PQM720963 PQM786422:PQM786499 PQM851958:PQM852035 PQM917494:PQM917571 PQM983030:PQM983107 QAI65526:QAI65603 QAI131062:QAI131139 QAI196598:QAI196675 QAI262134:QAI262211 QAI327670:QAI327747 QAI393206:QAI393283 QAI458742:QAI458819 QAI524278:QAI524355 QAI589814:QAI589891 QAI655350:QAI655427 QAI720886:QAI720963 QAI786422:QAI786499 QAI851958:QAI852035 QAI917494:QAI917571 QAI983030:QAI983107 QKE65526:QKE65603 QKE131062:QKE131139 QKE196598:QKE196675 QKE262134:QKE262211 QKE327670:QKE327747 QKE393206:QKE393283 QKE458742:QKE458819 QKE524278:QKE524355 QKE589814:QKE589891 QKE655350:QKE655427 QKE720886:QKE720963 QKE786422:QKE786499 QKE851958:QKE852035 QKE917494:QKE917571 QKE983030:QKE983107 QUA65526:QUA65603 QUA131062:QUA131139 QUA196598:QUA196675 QUA262134:QUA262211 QUA327670:QUA327747 QUA393206:QUA393283 QUA458742:QUA458819 QUA524278:QUA524355 QUA589814:QUA589891 QUA655350:QUA655427 QUA720886:QUA720963 QUA786422:QUA786499 QUA851958:QUA852035 QUA917494:QUA917571 QUA983030:QUA983107 RDW65526:RDW65603 RDW131062:RDW131139 RDW196598:RDW196675 RDW262134:RDW262211 RDW327670:RDW327747 RDW393206:RDW393283 RDW458742:RDW458819 RDW524278:RDW524355 RDW589814:RDW589891 RDW655350:RDW655427 RDW720886:RDW720963 RDW786422:RDW786499 RDW851958:RDW852035 RDW917494:RDW917571 RDW983030:RDW983107 RNS65526:RNS65603 RNS131062:RNS131139 RNS196598:RNS196675 RNS262134:RNS262211 RNS327670:RNS327747 RNS393206:RNS393283 RNS458742:RNS458819 RNS524278:RNS524355 RNS589814:RNS589891 RNS655350:RNS655427 RNS720886:RNS720963 RNS786422:RNS786499 RNS851958:RNS852035 RNS917494:RNS917571 RNS983030:RNS983107 RXO65526:RXO65603 RXO131062:RXO131139 RXO196598:RXO196675 RXO262134:RXO262211 RXO327670:RXO327747 RXO393206:RXO393283 RXO458742:RXO458819 RXO524278:RXO524355 RXO589814:RXO589891 RXO655350:RXO655427 RXO720886:RXO720963 RXO786422:RXO786499 RXO851958:RXO852035 RXO917494:RXO917571 RXO983030:RXO983107 SHK65526:SHK65603 SHK131062:SHK131139 SHK196598:SHK196675 SHK262134:SHK262211 SHK327670:SHK327747 SHK393206:SHK393283 SHK458742:SHK458819 SHK524278:SHK524355 SHK589814:SHK589891 SHK655350:SHK655427 SHK720886:SHK720963 SHK786422:SHK786499 SHK851958:SHK852035 SHK917494:SHK917571 SHK983030:SHK983107 SRG65526:SRG65603 SRG131062:SRG131139 SRG196598:SRG196675 SRG262134:SRG262211 SRG327670:SRG327747 SRG393206:SRG393283 SRG458742:SRG458819 SRG524278:SRG524355 SRG589814:SRG589891 SRG655350:SRG655427 SRG720886:SRG720963 SRG786422:SRG786499 SRG851958:SRG852035 SRG917494:SRG917571 SRG983030:SRG983107 TBC65526:TBC65603 TBC131062:TBC131139 TBC196598:TBC196675 TBC262134:TBC262211 TBC327670:TBC327747 TBC393206:TBC393283 TBC458742:TBC458819 TBC524278:TBC524355 TBC589814:TBC589891 TBC655350:TBC655427 TBC720886:TBC720963 TBC786422:TBC786499 TBC851958:TBC852035 TBC917494:TBC917571 TBC983030:TBC983107 TKY65526:TKY65603 TKY131062:TKY131139 TKY196598:TKY196675 TKY262134:TKY262211 TKY327670:TKY327747 TKY393206:TKY393283 TKY458742:TKY458819 TKY524278:TKY524355 TKY589814:TKY589891 TKY655350:TKY655427 TKY720886:TKY720963 TKY786422:TKY786499 TKY851958:TKY852035 TKY917494:TKY917571 TKY983030:TKY983107 TUU65526:TUU65603 TUU131062:TUU131139 TUU196598:TUU196675 TUU262134:TUU262211 TUU327670:TUU327747 TUU393206:TUU393283 TUU458742:TUU458819 TUU524278:TUU524355 TUU589814:TUU589891 TUU655350:TUU655427 TUU720886:TUU720963 TUU786422:TUU786499 TUU851958:TUU852035 TUU917494:TUU917571 TUU983030:TUU983107 UEQ65526:UEQ65603 UEQ131062:UEQ131139 UEQ196598:UEQ196675 UEQ262134:UEQ262211 UEQ327670:UEQ327747 UEQ393206:UEQ393283 UEQ458742:UEQ458819 UEQ524278:UEQ524355 UEQ589814:UEQ589891 UEQ655350:UEQ655427 UEQ720886:UEQ720963 UEQ786422:UEQ786499 UEQ851958:UEQ852035 UEQ917494:UEQ917571 UEQ983030:UEQ983107 UOM65526:UOM65603 UOM131062:UOM131139 UOM196598:UOM196675 UOM262134:UOM262211 UOM327670:UOM327747 UOM393206:UOM393283 UOM458742:UOM458819 UOM524278:UOM524355 UOM589814:UOM589891 UOM655350:UOM655427 UOM720886:UOM720963 UOM786422:UOM786499 UOM851958:UOM852035 UOM917494:UOM917571 UOM983030:UOM983107 UYI65526:UYI65603 UYI131062:UYI131139 UYI196598:UYI196675 UYI262134:UYI262211 UYI327670:UYI327747 UYI393206:UYI393283 UYI458742:UYI458819 UYI524278:UYI524355 UYI589814:UYI589891 UYI655350:UYI655427 UYI720886:UYI720963 UYI786422:UYI786499 UYI851958:UYI852035 UYI917494:UYI917571 UYI983030:UYI983107 VIE65526:VIE65603 VIE131062:VIE131139 VIE196598:VIE196675 VIE262134:VIE262211 VIE327670:VIE327747 VIE393206:VIE393283 VIE458742:VIE458819 VIE524278:VIE524355 VIE589814:VIE589891 VIE655350:VIE655427 VIE720886:VIE720963 VIE786422:VIE786499 VIE851958:VIE852035 VIE917494:VIE917571 VIE983030:VIE983107 VSA65526:VSA65603 VSA131062:VSA131139 VSA196598:VSA196675 VSA262134:VSA262211 VSA327670:VSA327747 VSA393206:VSA393283 VSA458742:VSA458819 VSA524278:VSA524355 VSA589814:VSA589891 VSA655350:VSA655427 VSA720886:VSA720963 VSA786422:VSA786499 VSA851958:VSA852035 VSA917494:VSA917571 VSA983030:VSA983107 WBW65526:WBW65603 WBW131062:WBW131139 WBW196598:WBW196675 WBW262134:WBW262211 WBW327670:WBW327747 WBW393206:WBW393283 WBW458742:WBW458819 WBW524278:WBW524355 WBW589814:WBW589891 WBW655350:WBW655427 WBW720886:WBW720963 WBW786422:WBW786499 WBW851958:WBW852035 WBW917494:WBW917571 WBW983030:WBW983107 WLS65526:WLS65603 WLS131062:WLS131139 WLS196598:WLS196675 WLS262134:WLS262211 WLS327670:WLS327747 WLS393206:WLS393283 WLS458742:WLS458819 WLS524278:WLS524355 WLS589814:WLS589891 WLS655350:WLS655427 WLS720886:WLS720963 WLS786422:WLS786499 WLS851958:WLS852035 WLS917494:WLS917571 WLS983030:WLS983107 WVO65526:WVO65603 WVO131062:WVO131139 WVO196598:WVO196675 WVO262134:WVO262211 WVO327670:WVO327747 WVO393206:WVO393283 WVO458742:WVO458819 WVO524278:WVO524355 WVO589814:WVO589891 WVO655350:WVO655427 WVO720886:WVO720963 WVO786422:WVO786499 WVO851958:WVO852035 WVO917494:WVO917571 JC2:JC67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G2:G488">
      <formula1>$AJ$2:$AJ$4</formula1>
    </dataValidation>
    <dataValidation type="list" allowBlank="1" showInputMessage="1" showErrorMessage="1" sqref="WVQ983030:WVQ983107 I65526:I65603 I131062:I131139 I196598:I196675 I262134:I262211 I327670:I327747 I393206:I393283 I458742:I458819 I524278:I524355 I589814:I589891 I655350:I655427 I720886:I720963 I786422:I786499 I851958:I852035 I917494:I917571 I983030:I983107 JE65526:JE65603 JE131062:JE131139 JE196598:JE196675 JE262134:JE262211 JE327670:JE327747 JE393206:JE393283 JE458742:JE458819 JE524278:JE524355 JE589814:JE589891 JE655350:JE655427 JE720886:JE720963 JE786422:JE786499 JE851958:JE852035 JE917494:JE917571 JE983030:JE983107 TA65526:TA65603 TA131062:TA131139 TA196598:TA196675 TA262134:TA262211 TA327670:TA327747 TA393206:TA393283 TA458742:TA458819 TA524278:TA524355 TA589814:TA589891 TA655350:TA655427 TA720886:TA720963 TA786422:TA786499 TA851958:TA852035 TA917494:TA917571 TA983030:TA983107 ACW65526:ACW65603 ACW131062:ACW131139 ACW196598:ACW196675 ACW262134:ACW262211 ACW327670:ACW327747 ACW393206:ACW393283 ACW458742:ACW458819 ACW524278:ACW524355 ACW589814:ACW589891 ACW655350:ACW655427 ACW720886:ACW720963 ACW786422:ACW786499 ACW851958:ACW852035 ACW917494:ACW917571 ACW983030:ACW983107 AMS65526:AMS65603 AMS131062:AMS131139 AMS196598:AMS196675 AMS262134:AMS262211 AMS327670:AMS327747 AMS393206:AMS393283 AMS458742:AMS458819 AMS524278:AMS524355 AMS589814:AMS589891 AMS655350:AMS655427 AMS720886:AMS720963 AMS786422:AMS786499 AMS851958:AMS852035 AMS917494:AMS917571 AMS983030:AMS983107 AWO65526:AWO65603 AWO131062:AWO131139 AWO196598:AWO196675 AWO262134:AWO262211 AWO327670:AWO327747 AWO393206:AWO393283 AWO458742:AWO458819 AWO524278:AWO524355 AWO589814:AWO589891 AWO655350:AWO655427 AWO720886:AWO720963 AWO786422:AWO786499 AWO851958:AWO852035 AWO917494:AWO917571 AWO983030:AWO983107 BGK65526:BGK65603 BGK131062:BGK131139 BGK196598:BGK196675 BGK262134:BGK262211 BGK327670:BGK327747 BGK393206:BGK393283 BGK458742:BGK458819 BGK524278:BGK524355 BGK589814:BGK589891 BGK655350:BGK655427 BGK720886:BGK720963 BGK786422:BGK786499 BGK851958:BGK852035 BGK917494:BGK917571 BGK983030:BGK983107 BQG65526:BQG65603 BQG131062:BQG131139 BQG196598:BQG196675 BQG262134:BQG262211 BQG327670:BQG327747 BQG393206:BQG393283 BQG458742:BQG458819 BQG524278:BQG524355 BQG589814:BQG589891 BQG655350:BQG655427 BQG720886:BQG720963 BQG786422:BQG786499 BQG851958:BQG852035 BQG917494:BQG917571 BQG983030:BQG983107 CAC65526:CAC65603 CAC131062:CAC131139 CAC196598:CAC196675 CAC262134:CAC262211 CAC327670:CAC327747 CAC393206:CAC393283 CAC458742:CAC458819 CAC524278:CAC524355 CAC589814:CAC589891 CAC655350:CAC655427 CAC720886:CAC720963 CAC786422:CAC786499 CAC851958:CAC852035 CAC917494:CAC917571 CAC983030:CAC983107 CJY65526:CJY65603 CJY131062:CJY131139 CJY196598:CJY196675 CJY262134:CJY262211 CJY327670:CJY327747 CJY393206:CJY393283 CJY458742:CJY458819 CJY524278:CJY524355 CJY589814:CJY589891 CJY655350:CJY655427 CJY720886:CJY720963 CJY786422:CJY786499 CJY851958:CJY852035 CJY917494:CJY917571 CJY983030:CJY983107 CTU65526:CTU65603 CTU131062:CTU131139 CTU196598:CTU196675 CTU262134:CTU262211 CTU327670:CTU327747 CTU393206:CTU393283 CTU458742:CTU458819 CTU524278:CTU524355 CTU589814:CTU589891 CTU655350:CTU655427 CTU720886:CTU720963 CTU786422:CTU786499 CTU851958:CTU852035 CTU917494:CTU917571 CTU983030:CTU983107 DDQ65526:DDQ65603 DDQ131062:DDQ131139 DDQ196598:DDQ196675 DDQ262134:DDQ262211 DDQ327670:DDQ327747 DDQ393206:DDQ393283 DDQ458742:DDQ458819 DDQ524278:DDQ524355 DDQ589814:DDQ589891 DDQ655350:DDQ655427 DDQ720886:DDQ720963 DDQ786422:DDQ786499 DDQ851958:DDQ852035 DDQ917494:DDQ917571 DDQ983030:DDQ983107 DNM65526:DNM65603 DNM131062:DNM131139 DNM196598:DNM196675 DNM262134:DNM262211 DNM327670:DNM327747 DNM393206:DNM393283 DNM458742:DNM458819 DNM524278:DNM524355 DNM589814:DNM589891 DNM655350:DNM655427 DNM720886:DNM720963 DNM786422:DNM786499 DNM851958:DNM852035 DNM917494:DNM917571 DNM983030:DNM983107 DXI65526:DXI65603 DXI131062:DXI131139 DXI196598:DXI196675 DXI262134:DXI262211 DXI327670:DXI327747 DXI393206:DXI393283 DXI458742:DXI458819 DXI524278:DXI524355 DXI589814:DXI589891 DXI655350:DXI655427 DXI720886:DXI720963 DXI786422:DXI786499 DXI851958:DXI852035 DXI917494:DXI917571 DXI983030:DXI983107 EHE65526:EHE65603 EHE131062:EHE131139 EHE196598:EHE196675 EHE262134:EHE262211 EHE327670:EHE327747 EHE393206:EHE393283 EHE458742:EHE458819 EHE524278:EHE524355 EHE589814:EHE589891 EHE655350:EHE655427 EHE720886:EHE720963 EHE786422:EHE786499 EHE851958:EHE852035 EHE917494:EHE917571 EHE983030:EHE983107 ERA65526:ERA65603 ERA131062:ERA131139 ERA196598:ERA196675 ERA262134:ERA262211 ERA327670:ERA327747 ERA393206:ERA393283 ERA458742:ERA458819 ERA524278:ERA524355 ERA589814:ERA589891 ERA655350:ERA655427 ERA720886:ERA720963 ERA786422:ERA786499 ERA851958:ERA852035 ERA917494:ERA917571 ERA983030:ERA983107 FAW65526:FAW65603 FAW131062:FAW131139 FAW196598:FAW196675 FAW262134:FAW262211 FAW327670:FAW327747 FAW393206:FAW393283 FAW458742:FAW458819 FAW524278:FAW524355 FAW589814:FAW589891 FAW655350:FAW655427 FAW720886:FAW720963 FAW786422:FAW786499 FAW851958:FAW852035 FAW917494:FAW917571 FAW983030:FAW983107 FKS65526:FKS65603 FKS131062:FKS131139 FKS196598:FKS196675 FKS262134:FKS262211 FKS327670:FKS327747 FKS393206:FKS393283 FKS458742:FKS458819 FKS524278:FKS524355 FKS589814:FKS589891 FKS655350:FKS655427 FKS720886:FKS720963 FKS786422:FKS786499 FKS851958:FKS852035 FKS917494:FKS917571 FKS983030:FKS983107 FUO65526:FUO65603 FUO131062:FUO131139 FUO196598:FUO196675 FUO262134:FUO262211 FUO327670:FUO327747 FUO393206:FUO393283 FUO458742:FUO458819 FUO524278:FUO524355 FUO589814:FUO589891 FUO655350:FUO655427 FUO720886:FUO720963 FUO786422:FUO786499 FUO851958:FUO852035 FUO917494:FUO917571 FUO983030:FUO983107 GEK65526:GEK65603 GEK131062:GEK131139 GEK196598:GEK196675 GEK262134:GEK262211 GEK327670:GEK327747 GEK393206:GEK393283 GEK458742:GEK458819 GEK524278:GEK524355 GEK589814:GEK589891 GEK655350:GEK655427 GEK720886:GEK720963 GEK786422:GEK786499 GEK851958:GEK852035 GEK917494:GEK917571 GEK983030:GEK983107 GOG65526:GOG65603 GOG131062:GOG131139 GOG196598:GOG196675 GOG262134:GOG262211 GOG327670:GOG327747 GOG393206:GOG393283 GOG458742:GOG458819 GOG524278:GOG524355 GOG589814:GOG589891 GOG655350:GOG655427 GOG720886:GOG720963 GOG786422:GOG786499 GOG851958:GOG852035 GOG917494:GOG917571 GOG983030:GOG983107 GYC65526:GYC65603 GYC131062:GYC131139 GYC196598:GYC196675 GYC262134:GYC262211 GYC327670:GYC327747 GYC393206:GYC393283 GYC458742:GYC458819 GYC524278:GYC524355 GYC589814:GYC589891 GYC655350:GYC655427 GYC720886:GYC720963 GYC786422:GYC786499 GYC851958:GYC852035 GYC917494:GYC917571 GYC983030:GYC983107 HHY65526:HHY65603 HHY131062:HHY131139 HHY196598:HHY196675 HHY262134:HHY262211 HHY327670:HHY327747 HHY393206:HHY393283 HHY458742:HHY458819 HHY524278:HHY524355 HHY589814:HHY589891 HHY655350:HHY655427 HHY720886:HHY720963 HHY786422:HHY786499 HHY851958:HHY852035 HHY917494:HHY917571 HHY983030:HHY983107 HRU65526:HRU65603 HRU131062:HRU131139 HRU196598:HRU196675 HRU262134:HRU262211 HRU327670:HRU327747 HRU393206:HRU393283 HRU458742:HRU458819 HRU524278:HRU524355 HRU589814:HRU589891 HRU655350:HRU655427 HRU720886:HRU720963 HRU786422:HRU786499 HRU851958:HRU852035 HRU917494:HRU917571 HRU983030:HRU983107 IBQ65526:IBQ65603 IBQ131062:IBQ131139 IBQ196598:IBQ196675 IBQ262134:IBQ262211 IBQ327670:IBQ327747 IBQ393206:IBQ393283 IBQ458742:IBQ458819 IBQ524278:IBQ524355 IBQ589814:IBQ589891 IBQ655350:IBQ655427 IBQ720886:IBQ720963 IBQ786422:IBQ786499 IBQ851958:IBQ852035 IBQ917494:IBQ917571 IBQ983030:IBQ983107 ILM65526:ILM65603 ILM131062:ILM131139 ILM196598:ILM196675 ILM262134:ILM262211 ILM327670:ILM327747 ILM393206:ILM393283 ILM458742:ILM458819 ILM524278:ILM524355 ILM589814:ILM589891 ILM655350:ILM655427 ILM720886:ILM720963 ILM786422:ILM786499 ILM851958:ILM852035 ILM917494:ILM917571 ILM983030:ILM983107 IVI65526:IVI65603 IVI131062:IVI131139 IVI196598:IVI196675 IVI262134:IVI262211 IVI327670:IVI327747 IVI393206:IVI393283 IVI458742:IVI458819 IVI524278:IVI524355 IVI589814:IVI589891 IVI655350:IVI655427 IVI720886:IVI720963 IVI786422:IVI786499 IVI851958:IVI852035 IVI917494:IVI917571 IVI983030:IVI983107 JFE65526:JFE65603 JFE131062:JFE131139 JFE196598:JFE196675 JFE262134:JFE262211 JFE327670:JFE327747 JFE393206:JFE393283 JFE458742:JFE458819 JFE524278:JFE524355 JFE589814:JFE589891 JFE655350:JFE655427 JFE720886:JFE720963 JFE786422:JFE786499 JFE851958:JFE852035 JFE917494:JFE917571 JFE983030:JFE983107 JPA65526:JPA65603 JPA131062:JPA131139 JPA196598:JPA196675 JPA262134:JPA262211 JPA327670:JPA327747 JPA393206:JPA393283 JPA458742:JPA458819 JPA524278:JPA524355 JPA589814:JPA589891 JPA655350:JPA655427 JPA720886:JPA720963 JPA786422:JPA786499 JPA851958:JPA852035 JPA917494:JPA917571 JPA983030:JPA983107 JYW65526:JYW65603 JYW131062:JYW131139 JYW196598:JYW196675 JYW262134:JYW262211 JYW327670:JYW327747 JYW393206:JYW393283 JYW458742:JYW458819 JYW524278:JYW524355 JYW589814:JYW589891 JYW655350:JYW655427 JYW720886:JYW720963 JYW786422:JYW786499 JYW851958:JYW852035 JYW917494:JYW917571 JYW983030:JYW983107 KIS65526:KIS65603 KIS131062:KIS131139 KIS196598:KIS196675 KIS262134:KIS262211 KIS327670:KIS327747 KIS393206:KIS393283 KIS458742:KIS458819 KIS524278:KIS524355 KIS589814:KIS589891 KIS655350:KIS655427 KIS720886:KIS720963 KIS786422:KIS786499 KIS851958:KIS852035 KIS917494:KIS917571 KIS983030:KIS983107 KSO65526:KSO65603 KSO131062:KSO131139 KSO196598:KSO196675 KSO262134:KSO262211 KSO327670:KSO327747 KSO393206:KSO393283 KSO458742:KSO458819 KSO524278:KSO524355 KSO589814:KSO589891 KSO655350:KSO655427 KSO720886:KSO720963 KSO786422:KSO786499 KSO851958:KSO852035 KSO917494:KSO917571 KSO983030:KSO983107 LCK65526:LCK65603 LCK131062:LCK131139 LCK196598:LCK196675 LCK262134:LCK262211 LCK327670:LCK327747 LCK393206:LCK393283 LCK458742:LCK458819 LCK524278:LCK524355 LCK589814:LCK589891 LCK655350:LCK655427 LCK720886:LCK720963 LCK786422:LCK786499 LCK851958:LCK852035 LCK917494:LCK917571 LCK983030:LCK983107 LMG65526:LMG65603 LMG131062:LMG131139 LMG196598:LMG196675 LMG262134:LMG262211 LMG327670:LMG327747 LMG393206:LMG393283 LMG458742:LMG458819 LMG524278:LMG524355 LMG589814:LMG589891 LMG655350:LMG655427 LMG720886:LMG720963 LMG786422:LMG786499 LMG851958:LMG852035 LMG917494:LMG917571 LMG983030:LMG983107 LWC65526:LWC65603 LWC131062:LWC131139 LWC196598:LWC196675 LWC262134:LWC262211 LWC327670:LWC327747 LWC393206:LWC393283 LWC458742:LWC458819 LWC524278:LWC524355 LWC589814:LWC589891 LWC655350:LWC655427 LWC720886:LWC720963 LWC786422:LWC786499 LWC851958:LWC852035 LWC917494:LWC917571 LWC983030:LWC983107 MFY65526:MFY65603 MFY131062:MFY131139 MFY196598:MFY196675 MFY262134:MFY262211 MFY327670:MFY327747 MFY393206:MFY393283 MFY458742:MFY458819 MFY524278:MFY524355 MFY589814:MFY589891 MFY655350:MFY655427 MFY720886:MFY720963 MFY786422:MFY786499 MFY851958:MFY852035 MFY917494:MFY917571 MFY983030:MFY983107 MPU65526:MPU65603 MPU131062:MPU131139 MPU196598:MPU196675 MPU262134:MPU262211 MPU327670:MPU327747 MPU393206:MPU393283 MPU458742:MPU458819 MPU524278:MPU524355 MPU589814:MPU589891 MPU655350:MPU655427 MPU720886:MPU720963 MPU786422:MPU786499 MPU851958:MPU852035 MPU917494:MPU917571 MPU983030:MPU983107 MZQ65526:MZQ65603 MZQ131062:MZQ131139 MZQ196598:MZQ196675 MZQ262134:MZQ262211 MZQ327670:MZQ327747 MZQ393206:MZQ393283 MZQ458742:MZQ458819 MZQ524278:MZQ524355 MZQ589814:MZQ589891 MZQ655350:MZQ655427 MZQ720886:MZQ720963 MZQ786422:MZQ786499 MZQ851958:MZQ852035 MZQ917494:MZQ917571 MZQ983030:MZQ983107 NJM65526:NJM65603 NJM131062:NJM131139 NJM196598:NJM196675 NJM262134:NJM262211 NJM327670:NJM327747 NJM393206:NJM393283 NJM458742:NJM458819 NJM524278:NJM524355 NJM589814:NJM589891 NJM655350:NJM655427 NJM720886:NJM720963 NJM786422:NJM786499 NJM851958:NJM852035 NJM917494:NJM917571 NJM983030:NJM983107 NTI65526:NTI65603 NTI131062:NTI131139 NTI196598:NTI196675 NTI262134:NTI262211 NTI327670:NTI327747 NTI393206:NTI393283 NTI458742:NTI458819 NTI524278:NTI524355 NTI589814:NTI589891 NTI655350:NTI655427 NTI720886:NTI720963 NTI786422:NTI786499 NTI851958:NTI852035 NTI917494:NTI917571 NTI983030:NTI983107 ODE65526:ODE65603 ODE131062:ODE131139 ODE196598:ODE196675 ODE262134:ODE262211 ODE327670:ODE327747 ODE393206:ODE393283 ODE458742:ODE458819 ODE524278:ODE524355 ODE589814:ODE589891 ODE655350:ODE655427 ODE720886:ODE720963 ODE786422:ODE786499 ODE851958:ODE852035 ODE917494:ODE917571 ODE983030:ODE983107 ONA65526:ONA65603 ONA131062:ONA131139 ONA196598:ONA196675 ONA262134:ONA262211 ONA327670:ONA327747 ONA393206:ONA393283 ONA458742:ONA458819 ONA524278:ONA524355 ONA589814:ONA589891 ONA655350:ONA655427 ONA720886:ONA720963 ONA786422:ONA786499 ONA851958:ONA852035 ONA917494:ONA917571 ONA983030:ONA983107 OWW65526:OWW65603 OWW131062:OWW131139 OWW196598:OWW196675 OWW262134:OWW262211 OWW327670:OWW327747 OWW393206:OWW393283 OWW458742:OWW458819 OWW524278:OWW524355 OWW589814:OWW589891 OWW655350:OWW655427 OWW720886:OWW720963 OWW786422:OWW786499 OWW851958:OWW852035 OWW917494:OWW917571 OWW983030:OWW983107 PGS65526:PGS65603 PGS131062:PGS131139 PGS196598:PGS196675 PGS262134:PGS262211 PGS327670:PGS327747 PGS393206:PGS393283 PGS458742:PGS458819 PGS524278:PGS524355 PGS589814:PGS589891 PGS655350:PGS655427 PGS720886:PGS720963 PGS786422:PGS786499 PGS851958:PGS852035 PGS917494:PGS917571 PGS983030:PGS983107 PQO65526:PQO65603 PQO131062:PQO131139 PQO196598:PQO196675 PQO262134:PQO262211 PQO327670:PQO327747 PQO393206:PQO393283 PQO458742:PQO458819 PQO524278:PQO524355 PQO589814:PQO589891 PQO655350:PQO655427 PQO720886:PQO720963 PQO786422:PQO786499 PQO851958:PQO852035 PQO917494:PQO917571 PQO983030:PQO983107 QAK65526:QAK65603 QAK131062:QAK131139 QAK196598:QAK196675 QAK262134:QAK262211 QAK327670:QAK327747 QAK393206:QAK393283 QAK458742:QAK458819 QAK524278:QAK524355 QAK589814:QAK589891 QAK655350:QAK655427 QAK720886:QAK720963 QAK786422:QAK786499 QAK851958:QAK852035 QAK917494:QAK917571 QAK983030:QAK983107 QKG65526:QKG65603 QKG131062:QKG131139 QKG196598:QKG196675 QKG262134:QKG262211 QKG327670:QKG327747 QKG393206:QKG393283 QKG458742:QKG458819 QKG524278:QKG524355 QKG589814:QKG589891 QKG655350:QKG655427 QKG720886:QKG720963 QKG786422:QKG786499 QKG851958:QKG852035 QKG917494:QKG917571 QKG983030:QKG983107 QUC65526:QUC65603 QUC131062:QUC131139 QUC196598:QUC196675 QUC262134:QUC262211 QUC327670:QUC327747 QUC393206:QUC393283 QUC458742:QUC458819 QUC524278:QUC524355 QUC589814:QUC589891 QUC655350:QUC655427 QUC720886:QUC720963 QUC786422:QUC786499 QUC851958:QUC852035 QUC917494:QUC917571 QUC983030:QUC983107 RDY65526:RDY65603 RDY131062:RDY131139 RDY196598:RDY196675 RDY262134:RDY262211 RDY327670:RDY327747 RDY393206:RDY393283 RDY458742:RDY458819 RDY524278:RDY524355 RDY589814:RDY589891 RDY655350:RDY655427 RDY720886:RDY720963 RDY786422:RDY786499 RDY851958:RDY852035 RDY917494:RDY917571 RDY983030:RDY983107 RNU65526:RNU65603 RNU131062:RNU131139 RNU196598:RNU196675 RNU262134:RNU262211 RNU327670:RNU327747 RNU393206:RNU393283 RNU458742:RNU458819 RNU524278:RNU524355 RNU589814:RNU589891 RNU655350:RNU655427 RNU720886:RNU720963 RNU786422:RNU786499 RNU851958:RNU852035 RNU917494:RNU917571 RNU983030:RNU983107 RXQ65526:RXQ65603 RXQ131062:RXQ131139 RXQ196598:RXQ196675 RXQ262134:RXQ262211 RXQ327670:RXQ327747 RXQ393206:RXQ393283 RXQ458742:RXQ458819 RXQ524278:RXQ524355 RXQ589814:RXQ589891 RXQ655350:RXQ655427 RXQ720886:RXQ720963 RXQ786422:RXQ786499 RXQ851958:RXQ852035 RXQ917494:RXQ917571 RXQ983030:RXQ983107 SHM65526:SHM65603 SHM131062:SHM131139 SHM196598:SHM196675 SHM262134:SHM262211 SHM327670:SHM327747 SHM393206:SHM393283 SHM458742:SHM458819 SHM524278:SHM524355 SHM589814:SHM589891 SHM655350:SHM655427 SHM720886:SHM720963 SHM786422:SHM786499 SHM851958:SHM852035 SHM917494:SHM917571 SHM983030:SHM983107 SRI65526:SRI65603 SRI131062:SRI131139 SRI196598:SRI196675 SRI262134:SRI262211 SRI327670:SRI327747 SRI393206:SRI393283 SRI458742:SRI458819 SRI524278:SRI524355 SRI589814:SRI589891 SRI655350:SRI655427 SRI720886:SRI720963 SRI786422:SRI786499 SRI851958:SRI852035 SRI917494:SRI917571 SRI983030:SRI983107 TBE65526:TBE65603 TBE131062:TBE131139 TBE196598:TBE196675 TBE262134:TBE262211 TBE327670:TBE327747 TBE393206:TBE393283 TBE458742:TBE458819 TBE524278:TBE524355 TBE589814:TBE589891 TBE655350:TBE655427 TBE720886:TBE720963 TBE786422:TBE786499 TBE851958:TBE852035 TBE917494:TBE917571 TBE983030:TBE983107 TLA65526:TLA65603 TLA131062:TLA131139 TLA196598:TLA196675 TLA262134:TLA262211 TLA327670:TLA327747 TLA393206:TLA393283 TLA458742:TLA458819 TLA524278:TLA524355 TLA589814:TLA589891 TLA655350:TLA655427 TLA720886:TLA720963 TLA786422:TLA786499 TLA851958:TLA852035 TLA917494:TLA917571 TLA983030:TLA983107 TUW65526:TUW65603 TUW131062:TUW131139 TUW196598:TUW196675 TUW262134:TUW262211 TUW327670:TUW327747 TUW393206:TUW393283 TUW458742:TUW458819 TUW524278:TUW524355 TUW589814:TUW589891 TUW655350:TUW655427 TUW720886:TUW720963 TUW786422:TUW786499 TUW851958:TUW852035 TUW917494:TUW917571 TUW983030:TUW983107 UES65526:UES65603 UES131062:UES131139 UES196598:UES196675 UES262134:UES262211 UES327670:UES327747 UES393206:UES393283 UES458742:UES458819 UES524278:UES524355 UES589814:UES589891 UES655350:UES655427 UES720886:UES720963 UES786422:UES786499 UES851958:UES852035 UES917494:UES917571 UES983030:UES983107 UOO65526:UOO65603 UOO131062:UOO131139 UOO196598:UOO196675 UOO262134:UOO262211 UOO327670:UOO327747 UOO393206:UOO393283 UOO458742:UOO458819 UOO524278:UOO524355 UOO589814:UOO589891 UOO655350:UOO655427 UOO720886:UOO720963 UOO786422:UOO786499 UOO851958:UOO852035 UOO917494:UOO917571 UOO983030:UOO983107 UYK65526:UYK65603 UYK131062:UYK131139 UYK196598:UYK196675 UYK262134:UYK262211 UYK327670:UYK327747 UYK393206:UYK393283 UYK458742:UYK458819 UYK524278:UYK524355 UYK589814:UYK589891 UYK655350:UYK655427 UYK720886:UYK720963 UYK786422:UYK786499 UYK851958:UYK852035 UYK917494:UYK917571 UYK983030:UYK983107 VIG65526:VIG65603 VIG131062:VIG131139 VIG196598:VIG196675 VIG262134:VIG262211 VIG327670:VIG327747 VIG393206:VIG393283 VIG458742:VIG458819 VIG524278:VIG524355 VIG589814:VIG589891 VIG655350:VIG655427 VIG720886:VIG720963 VIG786422:VIG786499 VIG851958:VIG852035 VIG917494:VIG917571 VIG983030:VIG983107 VSC65526:VSC65603 VSC131062:VSC131139 VSC196598:VSC196675 VSC262134:VSC262211 VSC327670:VSC327747 VSC393206:VSC393283 VSC458742:VSC458819 VSC524278:VSC524355 VSC589814:VSC589891 VSC655350:VSC655427 VSC720886:VSC720963 VSC786422:VSC786499 VSC851958:VSC852035 VSC917494:VSC917571 VSC983030:VSC983107 WBY65526:WBY65603 WBY131062:WBY131139 WBY196598:WBY196675 WBY262134:WBY262211 WBY327670:WBY327747 WBY393206:WBY393283 WBY458742:WBY458819 WBY524278:WBY524355 WBY589814:WBY589891 WBY655350:WBY655427 WBY720886:WBY720963 WBY786422:WBY786499 WBY851958:WBY852035 WBY917494:WBY917571 WBY983030:WBY983107 WLU65526:WLU65603 WLU131062:WLU131139 WLU196598:WLU196675 WLU262134:WLU262211 WLU327670:WLU327747 WLU393206:WLU393283 WLU458742:WLU458819 WLU524278:WLU524355 WLU589814:WLU589891 WLU655350:WLU655427 WLU720886:WLU720963 WLU786422:WLU786499 WLU851958:WLU852035 WLU917494:WLU917571 WLU983030:WLU983107 WVQ65526:WVQ65603 WVQ131062:WVQ131139 WVQ196598:WVQ196675 WVQ262134:WVQ262211 WVQ327670:WVQ327747 WVQ393206:WVQ393283 WVQ458742:WVQ458819 WVQ524278:WVQ524355 WVQ589814:WVQ589891 WVQ655350:WVQ655427 WVQ720886:WVQ720963 WVQ786422:WVQ786499 WVQ851958:WVQ852035 WVQ917494:WVQ917571 JE2:JE67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I2:I488">
      <formula1>$AN$5:$AN$6</formula1>
    </dataValidation>
  </dataValidations>
  <pageMargins left="0.69930555555555596" right="0.69930555555555596" top="0.75" bottom="0.75" header="0.3" footer="0.3"/>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20"/>
  <sheetViews>
    <sheetView topLeftCell="A4" zoomScale="80" zoomScaleNormal="80" workbookViewId="0">
      <selection activeCell="J23" sqref="J23"/>
    </sheetView>
  </sheetViews>
  <sheetFormatPr defaultRowHeight="13.5" x14ac:dyDescent="0.15"/>
  <cols>
    <col min="1" max="3" width="9" style="149" customWidth="1"/>
    <col min="4" max="4" width="10.5" style="149" customWidth="1"/>
    <col min="5" max="5" width="11.25" style="149" bestFit="1" customWidth="1"/>
    <col min="6" max="7" width="9" style="149"/>
    <col min="8" max="10" width="9" style="149" customWidth="1"/>
    <col min="11" max="11" width="11.375" style="149" customWidth="1"/>
    <col min="12" max="16" width="9" style="149" customWidth="1"/>
    <col min="17" max="17" width="9" style="158" customWidth="1"/>
    <col min="18" max="18" width="9" style="149"/>
    <col min="19" max="19" width="9.5" style="149" bestFit="1" customWidth="1"/>
    <col min="20" max="20" width="9" style="158" customWidth="1"/>
    <col min="21" max="21" width="9" style="149"/>
    <col min="22" max="22" width="9" style="158" customWidth="1"/>
    <col min="23" max="28" width="9" style="149"/>
    <col min="29" max="29" width="26.5" style="149" customWidth="1"/>
    <col min="30" max="32" width="9" style="149"/>
    <col min="33" max="33" width="15.75" style="149" bestFit="1" customWidth="1"/>
    <col min="34" max="34" width="15" style="149" bestFit="1" customWidth="1"/>
    <col min="35" max="256" width="9" style="149"/>
    <col min="257" max="259" width="9" style="149" customWidth="1"/>
    <col min="260" max="260" width="10.5" style="149" customWidth="1"/>
    <col min="261" max="261" width="11.25" style="149" bestFit="1" customWidth="1"/>
    <col min="262" max="263" width="9" style="149"/>
    <col min="264" max="273" width="9" style="149" customWidth="1"/>
    <col min="274" max="274" width="9" style="149"/>
    <col min="275" max="275" width="9.5" style="149" bestFit="1" customWidth="1"/>
    <col min="276" max="276" width="9" style="149" customWidth="1"/>
    <col min="277" max="277" width="9" style="149"/>
    <col min="278" max="278" width="9" style="149" customWidth="1"/>
    <col min="279" max="284" width="9" style="149"/>
    <col min="285" max="285" width="26.5" style="149" customWidth="1"/>
    <col min="286" max="288" width="9" style="149"/>
    <col min="289" max="289" width="14.75" style="149" bestFit="1" customWidth="1"/>
    <col min="290" max="512" width="9" style="149"/>
    <col min="513" max="515" width="9" style="149" customWidth="1"/>
    <col min="516" max="516" width="10.5" style="149" customWidth="1"/>
    <col min="517" max="517" width="11.25" style="149" bestFit="1" customWidth="1"/>
    <col min="518" max="519" width="9" style="149"/>
    <col min="520" max="529" width="9" style="149" customWidth="1"/>
    <col min="530" max="530" width="9" style="149"/>
    <col min="531" max="531" width="9.5" style="149" bestFit="1" customWidth="1"/>
    <col min="532" max="532" width="9" style="149" customWidth="1"/>
    <col min="533" max="533" width="9" style="149"/>
    <col min="534" max="534" width="9" style="149" customWidth="1"/>
    <col min="535" max="540" width="9" style="149"/>
    <col min="541" max="541" width="26.5" style="149" customWidth="1"/>
    <col min="542" max="544" width="9" style="149"/>
    <col min="545" max="545" width="14.75" style="149" bestFit="1" customWidth="1"/>
    <col min="546" max="768" width="9" style="149"/>
    <col min="769" max="771" width="9" style="149" customWidth="1"/>
    <col min="772" max="772" width="10.5" style="149" customWidth="1"/>
    <col min="773" max="773" width="11.25" style="149" bestFit="1" customWidth="1"/>
    <col min="774" max="775" width="9" style="149"/>
    <col min="776" max="785" width="9" style="149" customWidth="1"/>
    <col min="786" max="786" width="9" style="149"/>
    <col min="787" max="787" width="9.5" style="149" bestFit="1" customWidth="1"/>
    <col min="788" max="788" width="9" style="149" customWidth="1"/>
    <col min="789" max="789" width="9" style="149"/>
    <col min="790" max="790" width="9" style="149" customWidth="1"/>
    <col min="791" max="796" width="9" style="149"/>
    <col min="797" max="797" width="26.5" style="149" customWidth="1"/>
    <col min="798" max="800" width="9" style="149"/>
    <col min="801" max="801" width="14.75" style="149" bestFit="1" customWidth="1"/>
    <col min="802" max="1024" width="9" style="149"/>
    <col min="1025" max="1027" width="9" style="149" customWidth="1"/>
    <col min="1028" max="1028" width="10.5" style="149" customWidth="1"/>
    <col min="1029" max="1029" width="11.25" style="149" bestFit="1" customWidth="1"/>
    <col min="1030" max="1031" width="9" style="149"/>
    <col min="1032" max="1041" width="9" style="149" customWidth="1"/>
    <col min="1042" max="1042" width="9" style="149"/>
    <col min="1043" max="1043" width="9.5" style="149" bestFit="1" customWidth="1"/>
    <col min="1044" max="1044" width="9" style="149" customWidth="1"/>
    <col min="1045" max="1045" width="9" style="149"/>
    <col min="1046" max="1046" width="9" style="149" customWidth="1"/>
    <col min="1047" max="1052" width="9" style="149"/>
    <col min="1053" max="1053" width="26.5" style="149" customWidth="1"/>
    <col min="1054" max="1056" width="9" style="149"/>
    <col min="1057" max="1057" width="14.75" style="149" bestFit="1" customWidth="1"/>
    <col min="1058" max="1280" width="9" style="149"/>
    <col min="1281" max="1283" width="9" style="149" customWidth="1"/>
    <col min="1284" max="1284" width="10.5" style="149" customWidth="1"/>
    <col min="1285" max="1285" width="11.25" style="149" bestFit="1" customWidth="1"/>
    <col min="1286" max="1287" width="9" style="149"/>
    <col min="1288" max="1297" width="9" style="149" customWidth="1"/>
    <col min="1298" max="1298" width="9" style="149"/>
    <col min="1299" max="1299" width="9.5" style="149" bestFit="1" customWidth="1"/>
    <col min="1300" max="1300" width="9" style="149" customWidth="1"/>
    <col min="1301" max="1301" width="9" style="149"/>
    <col min="1302" max="1302" width="9" style="149" customWidth="1"/>
    <col min="1303" max="1308" width="9" style="149"/>
    <col min="1309" max="1309" width="26.5" style="149" customWidth="1"/>
    <col min="1310" max="1312" width="9" style="149"/>
    <col min="1313" max="1313" width="14.75" style="149" bestFit="1" customWidth="1"/>
    <col min="1314" max="1536" width="9" style="149"/>
    <col min="1537" max="1539" width="9" style="149" customWidth="1"/>
    <col min="1540" max="1540" width="10.5" style="149" customWidth="1"/>
    <col min="1541" max="1541" width="11.25" style="149" bestFit="1" customWidth="1"/>
    <col min="1542" max="1543" width="9" style="149"/>
    <col min="1544" max="1553" width="9" style="149" customWidth="1"/>
    <col min="1554" max="1554" width="9" style="149"/>
    <col min="1555" max="1555" width="9.5" style="149" bestFit="1" customWidth="1"/>
    <col min="1556" max="1556" width="9" style="149" customWidth="1"/>
    <col min="1557" max="1557" width="9" style="149"/>
    <col min="1558" max="1558" width="9" style="149" customWidth="1"/>
    <col min="1559" max="1564" width="9" style="149"/>
    <col min="1565" max="1565" width="26.5" style="149" customWidth="1"/>
    <col min="1566" max="1568" width="9" style="149"/>
    <col min="1569" max="1569" width="14.75" style="149" bestFit="1" customWidth="1"/>
    <col min="1570" max="1792" width="9" style="149"/>
    <col min="1793" max="1795" width="9" style="149" customWidth="1"/>
    <col min="1796" max="1796" width="10.5" style="149" customWidth="1"/>
    <col min="1797" max="1797" width="11.25" style="149" bestFit="1" customWidth="1"/>
    <col min="1798" max="1799" width="9" style="149"/>
    <col min="1800" max="1809" width="9" style="149" customWidth="1"/>
    <col min="1810" max="1810" width="9" style="149"/>
    <col min="1811" max="1811" width="9.5" style="149" bestFit="1" customWidth="1"/>
    <col min="1812" max="1812" width="9" style="149" customWidth="1"/>
    <col min="1813" max="1813" width="9" style="149"/>
    <col min="1814" max="1814" width="9" style="149" customWidth="1"/>
    <col min="1815" max="1820" width="9" style="149"/>
    <col min="1821" max="1821" width="26.5" style="149" customWidth="1"/>
    <col min="1822" max="1824" width="9" style="149"/>
    <col min="1825" max="1825" width="14.75" style="149" bestFit="1" customWidth="1"/>
    <col min="1826" max="2048" width="9" style="149"/>
    <col min="2049" max="2051" width="9" style="149" customWidth="1"/>
    <col min="2052" max="2052" width="10.5" style="149" customWidth="1"/>
    <col min="2053" max="2053" width="11.25" style="149" bestFit="1" customWidth="1"/>
    <col min="2054" max="2055" width="9" style="149"/>
    <col min="2056" max="2065" width="9" style="149" customWidth="1"/>
    <col min="2066" max="2066" width="9" style="149"/>
    <col min="2067" max="2067" width="9.5" style="149" bestFit="1" customWidth="1"/>
    <col min="2068" max="2068" width="9" style="149" customWidth="1"/>
    <col min="2069" max="2069" width="9" style="149"/>
    <col min="2070" max="2070" width="9" style="149" customWidth="1"/>
    <col min="2071" max="2076" width="9" style="149"/>
    <col min="2077" max="2077" width="26.5" style="149" customWidth="1"/>
    <col min="2078" max="2080" width="9" style="149"/>
    <col min="2081" max="2081" width="14.75" style="149" bestFit="1" customWidth="1"/>
    <col min="2082" max="2304" width="9" style="149"/>
    <col min="2305" max="2307" width="9" style="149" customWidth="1"/>
    <col min="2308" max="2308" width="10.5" style="149" customWidth="1"/>
    <col min="2309" max="2309" width="11.25" style="149" bestFit="1" customWidth="1"/>
    <col min="2310" max="2311" width="9" style="149"/>
    <col min="2312" max="2321" width="9" style="149" customWidth="1"/>
    <col min="2322" max="2322" width="9" style="149"/>
    <col min="2323" max="2323" width="9.5" style="149" bestFit="1" customWidth="1"/>
    <col min="2324" max="2324" width="9" style="149" customWidth="1"/>
    <col min="2325" max="2325" width="9" style="149"/>
    <col min="2326" max="2326" width="9" style="149" customWidth="1"/>
    <col min="2327" max="2332" width="9" style="149"/>
    <col min="2333" max="2333" width="26.5" style="149" customWidth="1"/>
    <col min="2334" max="2336" width="9" style="149"/>
    <col min="2337" max="2337" width="14.75" style="149" bestFit="1" customWidth="1"/>
    <col min="2338" max="2560" width="9" style="149"/>
    <col min="2561" max="2563" width="9" style="149" customWidth="1"/>
    <col min="2564" max="2564" width="10.5" style="149" customWidth="1"/>
    <col min="2565" max="2565" width="11.25" style="149" bestFit="1" customWidth="1"/>
    <col min="2566" max="2567" width="9" style="149"/>
    <col min="2568" max="2577" width="9" style="149" customWidth="1"/>
    <col min="2578" max="2578" width="9" style="149"/>
    <col min="2579" max="2579" width="9.5" style="149" bestFit="1" customWidth="1"/>
    <col min="2580" max="2580" width="9" style="149" customWidth="1"/>
    <col min="2581" max="2581" width="9" style="149"/>
    <col min="2582" max="2582" width="9" style="149" customWidth="1"/>
    <col min="2583" max="2588" width="9" style="149"/>
    <col min="2589" max="2589" width="26.5" style="149" customWidth="1"/>
    <col min="2590" max="2592" width="9" style="149"/>
    <col min="2593" max="2593" width="14.75" style="149" bestFit="1" customWidth="1"/>
    <col min="2594" max="2816" width="9" style="149"/>
    <col min="2817" max="2819" width="9" style="149" customWidth="1"/>
    <col min="2820" max="2820" width="10.5" style="149" customWidth="1"/>
    <col min="2821" max="2821" width="11.25" style="149" bestFit="1" customWidth="1"/>
    <col min="2822" max="2823" width="9" style="149"/>
    <col min="2824" max="2833" width="9" style="149" customWidth="1"/>
    <col min="2834" max="2834" width="9" style="149"/>
    <col min="2835" max="2835" width="9.5" style="149" bestFit="1" customWidth="1"/>
    <col min="2836" max="2836" width="9" style="149" customWidth="1"/>
    <col min="2837" max="2837" width="9" style="149"/>
    <col min="2838" max="2838" width="9" style="149" customWidth="1"/>
    <col min="2839" max="2844" width="9" style="149"/>
    <col min="2845" max="2845" width="26.5" style="149" customWidth="1"/>
    <col min="2846" max="2848" width="9" style="149"/>
    <col min="2849" max="2849" width="14.75" style="149" bestFit="1" customWidth="1"/>
    <col min="2850" max="3072" width="9" style="149"/>
    <col min="3073" max="3075" width="9" style="149" customWidth="1"/>
    <col min="3076" max="3076" width="10.5" style="149" customWidth="1"/>
    <col min="3077" max="3077" width="11.25" style="149" bestFit="1" customWidth="1"/>
    <col min="3078" max="3079" width="9" style="149"/>
    <col min="3080" max="3089" width="9" style="149" customWidth="1"/>
    <col min="3090" max="3090" width="9" style="149"/>
    <col min="3091" max="3091" width="9.5" style="149" bestFit="1" customWidth="1"/>
    <col min="3092" max="3092" width="9" style="149" customWidth="1"/>
    <col min="3093" max="3093" width="9" style="149"/>
    <col min="3094" max="3094" width="9" style="149" customWidth="1"/>
    <col min="3095" max="3100" width="9" style="149"/>
    <col min="3101" max="3101" width="26.5" style="149" customWidth="1"/>
    <col min="3102" max="3104" width="9" style="149"/>
    <col min="3105" max="3105" width="14.75" style="149" bestFit="1" customWidth="1"/>
    <col min="3106" max="3328" width="9" style="149"/>
    <col min="3329" max="3331" width="9" style="149" customWidth="1"/>
    <col min="3332" max="3332" width="10.5" style="149" customWidth="1"/>
    <col min="3333" max="3333" width="11.25" style="149" bestFit="1" customWidth="1"/>
    <col min="3334" max="3335" width="9" style="149"/>
    <col min="3336" max="3345" width="9" style="149" customWidth="1"/>
    <col min="3346" max="3346" width="9" style="149"/>
    <col min="3347" max="3347" width="9.5" style="149" bestFit="1" customWidth="1"/>
    <col min="3348" max="3348" width="9" style="149" customWidth="1"/>
    <col min="3349" max="3349" width="9" style="149"/>
    <col min="3350" max="3350" width="9" style="149" customWidth="1"/>
    <col min="3351" max="3356" width="9" style="149"/>
    <col min="3357" max="3357" width="26.5" style="149" customWidth="1"/>
    <col min="3358" max="3360" width="9" style="149"/>
    <col min="3361" max="3361" width="14.75" style="149" bestFit="1" customWidth="1"/>
    <col min="3362" max="3584" width="9" style="149"/>
    <col min="3585" max="3587" width="9" style="149" customWidth="1"/>
    <col min="3588" max="3588" width="10.5" style="149" customWidth="1"/>
    <col min="3589" max="3589" width="11.25" style="149" bestFit="1" customWidth="1"/>
    <col min="3590" max="3591" width="9" style="149"/>
    <col min="3592" max="3601" width="9" style="149" customWidth="1"/>
    <col min="3602" max="3602" width="9" style="149"/>
    <col min="3603" max="3603" width="9.5" style="149" bestFit="1" customWidth="1"/>
    <col min="3604" max="3604" width="9" style="149" customWidth="1"/>
    <col min="3605" max="3605" width="9" style="149"/>
    <col min="3606" max="3606" width="9" style="149" customWidth="1"/>
    <col min="3607" max="3612" width="9" style="149"/>
    <col min="3613" max="3613" width="26.5" style="149" customWidth="1"/>
    <col min="3614" max="3616" width="9" style="149"/>
    <col min="3617" max="3617" width="14.75" style="149" bestFit="1" customWidth="1"/>
    <col min="3618" max="3840" width="9" style="149"/>
    <col min="3841" max="3843" width="9" style="149" customWidth="1"/>
    <col min="3844" max="3844" width="10.5" style="149" customWidth="1"/>
    <col min="3845" max="3845" width="11.25" style="149" bestFit="1" customWidth="1"/>
    <col min="3846" max="3847" width="9" style="149"/>
    <col min="3848" max="3857" width="9" style="149" customWidth="1"/>
    <col min="3858" max="3858" width="9" style="149"/>
    <col min="3859" max="3859" width="9.5" style="149" bestFit="1" customWidth="1"/>
    <col min="3860" max="3860" width="9" style="149" customWidth="1"/>
    <col min="3861" max="3861" width="9" style="149"/>
    <col min="3862" max="3862" width="9" style="149" customWidth="1"/>
    <col min="3863" max="3868" width="9" style="149"/>
    <col min="3869" max="3869" width="26.5" style="149" customWidth="1"/>
    <col min="3870" max="3872" width="9" style="149"/>
    <col min="3873" max="3873" width="14.75" style="149" bestFit="1" customWidth="1"/>
    <col min="3874" max="4096" width="9" style="149"/>
    <col min="4097" max="4099" width="9" style="149" customWidth="1"/>
    <col min="4100" max="4100" width="10.5" style="149" customWidth="1"/>
    <col min="4101" max="4101" width="11.25" style="149" bestFit="1" customWidth="1"/>
    <col min="4102" max="4103" width="9" style="149"/>
    <col min="4104" max="4113" width="9" style="149" customWidth="1"/>
    <col min="4114" max="4114" width="9" style="149"/>
    <col min="4115" max="4115" width="9.5" style="149" bestFit="1" customWidth="1"/>
    <col min="4116" max="4116" width="9" style="149" customWidth="1"/>
    <col min="4117" max="4117" width="9" style="149"/>
    <col min="4118" max="4118" width="9" style="149" customWidth="1"/>
    <col min="4119" max="4124" width="9" style="149"/>
    <col min="4125" max="4125" width="26.5" style="149" customWidth="1"/>
    <col min="4126" max="4128" width="9" style="149"/>
    <col min="4129" max="4129" width="14.75" style="149" bestFit="1" customWidth="1"/>
    <col min="4130" max="4352" width="9" style="149"/>
    <col min="4353" max="4355" width="9" style="149" customWidth="1"/>
    <col min="4356" max="4356" width="10.5" style="149" customWidth="1"/>
    <col min="4357" max="4357" width="11.25" style="149" bestFit="1" customWidth="1"/>
    <col min="4358" max="4359" width="9" style="149"/>
    <col min="4360" max="4369" width="9" style="149" customWidth="1"/>
    <col min="4370" max="4370" width="9" style="149"/>
    <col min="4371" max="4371" width="9.5" style="149" bestFit="1" customWidth="1"/>
    <col min="4372" max="4372" width="9" style="149" customWidth="1"/>
    <col min="4373" max="4373" width="9" style="149"/>
    <col min="4374" max="4374" width="9" style="149" customWidth="1"/>
    <col min="4375" max="4380" width="9" style="149"/>
    <col min="4381" max="4381" width="26.5" style="149" customWidth="1"/>
    <col min="4382" max="4384" width="9" style="149"/>
    <col min="4385" max="4385" width="14.75" style="149" bestFit="1" customWidth="1"/>
    <col min="4386" max="4608" width="9" style="149"/>
    <col min="4609" max="4611" width="9" style="149" customWidth="1"/>
    <col min="4612" max="4612" width="10.5" style="149" customWidth="1"/>
    <col min="4613" max="4613" width="11.25" style="149" bestFit="1" customWidth="1"/>
    <col min="4614" max="4615" width="9" style="149"/>
    <col min="4616" max="4625" width="9" style="149" customWidth="1"/>
    <col min="4626" max="4626" width="9" style="149"/>
    <col min="4627" max="4627" width="9.5" style="149" bestFit="1" customWidth="1"/>
    <col min="4628" max="4628" width="9" style="149" customWidth="1"/>
    <col min="4629" max="4629" width="9" style="149"/>
    <col min="4630" max="4630" width="9" style="149" customWidth="1"/>
    <col min="4631" max="4636" width="9" style="149"/>
    <col min="4637" max="4637" width="26.5" style="149" customWidth="1"/>
    <col min="4638" max="4640" width="9" style="149"/>
    <col min="4641" max="4641" width="14.75" style="149" bestFit="1" customWidth="1"/>
    <col min="4642" max="4864" width="9" style="149"/>
    <col min="4865" max="4867" width="9" style="149" customWidth="1"/>
    <col min="4868" max="4868" width="10.5" style="149" customWidth="1"/>
    <col min="4869" max="4869" width="11.25" style="149" bestFit="1" customWidth="1"/>
    <col min="4870" max="4871" width="9" style="149"/>
    <col min="4872" max="4881" width="9" style="149" customWidth="1"/>
    <col min="4882" max="4882" width="9" style="149"/>
    <col min="4883" max="4883" width="9.5" style="149" bestFit="1" customWidth="1"/>
    <col min="4884" max="4884" width="9" style="149" customWidth="1"/>
    <col min="4885" max="4885" width="9" style="149"/>
    <col min="4886" max="4886" width="9" style="149" customWidth="1"/>
    <col min="4887" max="4892" width="9" style="149"/>
    <col min="4893" max="4893" width="26.5" style="149" customWidth="1"/>
    <col min="4894" max="4896" width="9" style="149"/>
    <col min="4897" max="4897" width="14.75" style="149" bestFit="1" customWidth="1"/>
    <col min="4898" max="5120" width="9" style="149"/>
    <col min="5121" max="5123" width="9" style="149" customWidth="1"/>
    <col min="5124" max="5124" width="10.5" style="149" customWidth="1"/>
    <col min="5125" max="5125" width="11.25" style="149" bestFit="1" customWidth="1"/>
    <col min="5126" max="5127" width="9" style="149"/>
    <col min="5128" max="5137" width="9" style="149" customWidth="1"/>
    <col min="5138" max="5138" width="9" style="149"/>
    <col min="5139" max="5139" width="9.5" style="149" bestFit="1" customWidth="1"/>
    <col min="5140" max="5140" width="9" style="149" customWidth="1"/>
    <col min="5141" max="5141" width="9" style="149"/>
    <col min="5142" max="5142" width="9" style="149" customWidth="1"/>
    <col min="5143" max="5148" width="9" style="149"/>
    <col min="5149" max="5149" width="26.5" style="149" customWidth="1"/>
    <col min="5150" max="5152" width="9" style="149"/>
    <col min="5153" max="5153" width="14.75" style="149" bestFit="1" customWidth="1"/>
    <col min="5154" max="5376" width="9" style="149"/>
    <col min="5377" max="5379" width="9" style="149" customWidth="1"/>
    <col min="5380" max="5380" width="10.5" style="149" customWidth="1"/>
    <col min="5381" max="5381" width="11.25" style="149" bestFit="1" customWidth="1"/>
    <col min="5382" max="5383" width="9" style="149"/>
    <col min="5384" max="5393" width="9" style="149" customWidth="1"/>
    <col min="5394" max="5394" width="9" style="149"/>
    <col min="5395" max="5395" width="9.5" style="149" bestFit="1" customWidth="1"/>
    <col min="5396" max="5396" width="9" style="149" customWidth="1"/>
    <col min="5397" max="5397" width="9" style="149"/>
    <col min="5398" max="5398" width="9" style="149" customWidth="1"/>
    <col min="5399" max="5404" width="9" style="149"/>
    <col min="5405" max="5405" width="26.5" style="149" customWidth="1"/>
    <col min="5406" max="5408" width="9" style="149"/>
    <col min="5409" max="5409" width="14.75" style="149" bestFit="1" customWidth="1"/>
    <col min="5410" max="5632" width="9" style="149"/>
    <col min="5633" max="5635" width="9" style="149" customWidth="1"/>
    <col min="5636" max="5636" width="10.5" style="149" customWidth="1"/>
    <col min="5637" max="5637" width="11.25" style="149" bestFit="1" customWidth="1"/>
    <col min="5638" max="5639" width="9" style="149"/>
    <col min="5640" max="5649" width="9" style="149" customWidth="1"/>
    <col min="5650" max="5650" width="9" style="149"/>
    <col min="5651" max="5651" width="9.5" style="149" bestFit="1" customWidth="1"/>
    <col min="5652" max="5652" width="9" style="149" customWidth="1"/>
    <col min="5653" max="5653" width="9" style="149"/>
    <col min="5654" max="5654" width="9" style="149" customWidth="1"/>
    <col min="5655" max="5660" width="9" style="149"/>
    <col min="5661" max="5661" width="26.5" style="149" customWidth="1"/>
    <col min="5662" max="5664" width="9" style="149"/>
    <col min="5665" max="5665" width="14.75" style="149" bestFit="1" customWidth="1"/>
    <col min="5666" max="5888" width="9" style="149"/>
    <col min="5889" max="5891" width="9" style="149" customWidth="1"/>
    <col min="5892" max="5892" width="10.5" style="149" customWidth="1"/>
    <col min="5893" max="5893" width="11.25" style="149" bestFit="1" customWidth="1"/>
    <col min="5894" max="5895" width="9" style="149"/>
    <col min="5896" max="5905" width="9" style="149" customWidth="1"/>
    <col min="5906" max="5906" width="9" style="149"/>
    <col min="5907" max="5907" width="9.5" style="149" bestFit="1" customWidth="1"/>
    <col min="5908" max="5908" width="9" style="149" customWidth="1"/>
    <col min="5909" max="5909" width="9" style="149"/>
    <col min="5910" max="5910" width="9" style="149" customWidth="1"/>
    <col min="5911" max="5916" width="9" style="149"/>
    <col min="5917" max="5917" width="26.5" style="149" customWidth="1"/>
    <col min="5918" max="5920" width="9" style="149"/>
    <col min="5921" max="5921" width="14.75" style="149" bestFit="1" customWidth="1"/>
    <col min="5922" max="6144" width="9" style="149"/>
    <col min="6145" max="6147" width="9" style="149" customWidth="1"/>
    <col min="6148" max="6148" width="10.5" style="149" customWidth="1"/>
    <col min="6149" max="6149" width="11.25" style="149" bestFit="1" customWidth="1"/>
    <col min="6150" max="6151" width="9" style="149"/>
    <col min="6152" max="6161" width="9" style="149" customWidth="1"/>
    <col min="6162" max="6162" width="9" style="149"/>
    <col min="6163" max="6163" width="9.5" style="149" bestFit="1" customWidth="1"/>
    <col min="6164" max="6164" width="9" style="149" customWidth="1"/>
    <col min="6165" max="6165" width="9" style="149"/>
    <col min="6166" max="6166" width="9" style="149" customWidth="1"/>
    <col min="6167" max="6172" width="9" style="149"/>
    <col min="6173" max="6173" width="26.5" style="149" customWidth="1"/>
    <col min="6174" max="6176" width="9" style="149"/>
    <col min="6177" max="6177" width="14.75" style="149" bestFit="1" customWidth="1"/>
    <col min="6178" max="6400" width="9" style="149"/>
    <col min="6401" max="6403" width="9" style="149" customWidth="1"/>
    <col min="6404" max="6404" width="10.5" style="149" customWidth="1"/>
    <col min="6405" max="6405" width="11.25" style="149" bestFit="1" customWidth="1"/>
    <col min="6406" max="6407" width="9" style="149"/>
    <col min="6408" max="6417" width="9" style="149" customWidth="1"/>
    <col min="6418" max="6418" width="9" style="149"/>
    <col min="6419" max="6419" width="9.5" style="149" bestFit="1" customWidth="1"/>
    <col min="6420" max="6420" width="9" style="149" customWidth="1"/>
    <col min="6421" max="6421" width="9" style="149"/>
    <col min="6422" max="6422" width="9" style="149" customWidth="1"/>
    <col min="6423" max="6428" width="9" style="149"/>
    <col min="6429" max="6429" width="26.5" style="149" customWidth="1"/>
    <col min="6430" max="6432" width="9" style="149"/>
    <col min="6433" max="6433" width="14.75" style="149" bestFit="1" customWidth="1"/>
    <col min="6434" max="6656" width="9" style="149"/>
    <col min="6657" max="6659" width="9" style="149" customWidth="1"/>
    <col min="6660" max="6660" width="10.5" style="149" customWidth="1"/>
    <col min="6661" max="6661" width="11.25" style="149" bestFit="1" customWidth="1"/>
    <col min="6662" max="6663" width="9" style="149"/>
    <col min="6664" max="6673" width="9" style="149" customWidth="1"/>
    <col min="6674" max="6674" width="9" style="149"/>
    <col min="6675" max="6675" width="9.5" style="149" bestFit="1" customWidth="1"/>
    <col min="6676" max="6676" width="9" style="149" customWidth="1"/>
    <col min="6677" max="6677" width="9" style="149"/>
    <col min="6678" max="6678" width="9" style="149" customWidth="1"/>
    <col min="6679" max="6684" width="9" style="149"/>
    <col min="6685" max="6685" width="26.5" style="149" customWidth="1"/>
    <col min="6686" max="6688" width="9" style="149"/>
    <col min="6689" max="6689" width="14.75" style="149" bestFit="1" customWidth="1"/>
    <col min="6690" max="6912" width="9" style="149"/>
    <col min="6913" max="6915" width="9" style="149" customWidth="1"/>
    <col min="6916" max="6916" width="10.5" style="149" customWidth="1"/>
    <col min="6917" max="6917" width="11.25" style="149" bestFit="1" customWidth="1"/>
    <col min="6918" max="6919" width="9" style="149"/>
    <col min="6920" max="6929" width="9" style="149" customWidth="1"/>
    <col min="6930" max="6930" width="9" style="149"/>
    <col min="6931" max="6931" width="9.5" style="149" bestFit="1" customWidth="1"/>
    <col min="6932" max="6932" width="9" style="149" customWidth="1"/>
    <col min="6933" max="6933" width="9" style="149"/>
    <col min="6934" max="6934" width="9" style="149" customWidth="1"/>
    <col min="6935" max="6940" width="9" style="149"/>
    <col min="6941" max="6941" width="26.5" style="149" customWidth="1"/>
    <col min="6942" max="6944" width="9" style="149"/>
    <col min="6945" max="6945" width="14.75" style="149" bestFit="1" customWidth="1"/>
    <col min="6946" max="7168" width="9" style="149"/>
    <col min="7169" max="7171" width="9" style="149" customWidth="1"/>
    <col min="7172" max="7172" width="10.5" style="149" customWidth="1"/>
    <col min="7173" max="7173" width="11.25" style="149" bestFit="1" customWidth="1"/>
    <col min="7174" max="7175" width="9" style="149"/>
    <col min="7176" max="7185" width="9" style="149" customWidth="1"/>
    <col min="7186" max="7186" width="9" style="149"/>
    <col min="7187" max="7187" width="9.5" style="149" bestFit="1" customWidth="1"/>
    <col min="7188" max="7188" width="9" style="149" customWidth="1"/>
    <col min="7189" max="7189" width="9" style="149"/>
    <col min="7190" max="7190" width="9" style="149" customWidth="1"/>
    <col min="7191" max="7196" width="9" style="149"/>
    <col min="7197" max="7197" width="26.5" style="149" customWidth="1"/>
    <col min="7198" max="7200" width="9" style="149"/>
    <col min="7201" max="7201" width="14.75" style="149" bestFit="1" customWidth="1"/>
    <col min="7202" max="7424" width="9" style="149"/>
    <col min="7425" max="7427" width="9" style="149" customWidth="1"/>
    <col min="7428" max="7428" width="10.5" style="149" customWidth="1"/>
    <col min="7429" max="7429" width="11.25" style="149" bestFit="1" customWidth="1"/>
    <col min="7430" max="7431" width="9" style="149"/>
    <col min="7432" max="7441" width="9" style="149" customWidth="1"/>
    <col min="7442" max="7442" width="9" style="149"/>
    <col min="7443" max="7443" width="9.5" style="149" bestFit="1" customWidth="1"/>
    <col min="7444" max="7444" width="9" style="149" customWidth="1"/>
    <col min="7445" max="7445" width="9" style="149"/>
    <col min="7446" max="7446" width="9" style="149" customWidth="1"/>
    <col min="7447" max="7452" width="9" style="149"/>
    <col min="7453" max="7453" width="26.5" style="149" customWidth="1"/>
    <col min="7454" max="7456" width="9" style="149"/>
    <col min="7457" max="7457" width="14.75" style="149" bestFit="1" customWidth="1"/>
    <col min="7458" max="7680" width="9" style="149"/>
    <col min="7681" max="7683" width="9" style="149" customWidth="1"/>
    <col min="7684" max="7684" width="10.5" style="149" customWidth="1"/>
    <col min="7685" max="7685" width="11.25" style="149" bestFit="1" customWidth="1"/>
    <col min="7686" max="7687" width="9" style="149"/>
    <col min="7688" max="7697" width="9" style="149" customWidth="1"/>
    <col min="7698" max="7698" width="9" style="149"/>
    <col min="7699" max="7699" width="9.5" style="149" bestFit="1" customWidth="1"/>
    <col min="7700" max="7700" width="9" style="149" customWidth="1"/>
    <col min="7701" max="7701" width="9" style="149"/>
    <col min="7702" max="7702" width="9" style="149" customWidth="1"/>
    <col min="7703" max="7708" width="9" style="149"/>
    <col min="7709" max="7709" width="26.5" style="149" customWidth="1"/>
    <col min="7710" max="7712" width="9" style="149"/>
    <col min="7713" max="7713" width="14.75" style="149" bestFit="1" customWidth="1"/>
    <col min="7714" max="7936" width="9" style="149"/>
    <col min="7937" max="7939" width="9" style="149" customWidth="1"/>
    <col min="7940" max="7940" width="10.5" style="149" customWidth="1"/>
    <col min="7941" max="7941" width="11.25" style="149" bestFit="1" customWidth="1"/>
    <col min="7942" max="7943" width="9" style="149"/>
    <col min="7944" max="7953" width="9" style="149" customWidth="1"/>
    <col min="7954" max="7954" width="9" style="149"/>
    <col min="7955" max="7955" width="9.5" style="149" bestFit="1" customWidth="1"/>
    <col min="7956" max="7956" width="9" style="149" customWidth="1"/>
    <col min="7957" max="7957" width="9" style="149"/>
    <col min="7958" max="7958" width="9" style="149" customWidth="1"/>
    <col min="7959" max="7964" width="9" style="149"/>
    <col min="7965" max="7965" width="26.5" style="149" customWidth="1"/>
    <col min="7966" max="7968" width="9" style="149"/>
    <col min="7969" max="7969" width="14.75" style="149" bestFit="1" customWidth="1"/>
    <col min="7970" max="8192" width="9" style="149"/>
    <col min="8193" max="8195" width="9" style="149" customWidth="1"/>
    <col min="8196" max="8196" width="10.5" style="149" customWidth="1"/>
    <col min="8197" max="8197" width="11.25" style="149" bestFit="1" customWidth="1"/>
    <col min="8198" max="8199" width="9" style="149"/>
    <col min="8200" max="8209" width="9" style="149" customWidth="1"/>
    <col min="8210" max="8210" width="9" style="149"/>
    <col min="8211" max="8211" width="9.5" style="149" bestFit="1" customWidth="1"/>
    <col min="8212" max="8212" width="9" style="149" customWidth="1"/>
    <col min="8213" max="8213" width="9" style="149"/>
    <col min="8214" max="8214" width="9" style="149" customWidth="1"/>
    <col min="8215" max="8220" width="9" style="149"/>
    <col min="8221" max="8221" width="26.5" style="149" customWidth="1"/>
    <col min="8222" max="8224" width="9" style="149"/>
    <col min="8225" max="8225" width="14.75" style="149" bestFit="1" customWidth="1"/>
    <col min="8226" max="8448" width="9" style="149"/>
    <col min="8449" max="8451" width="9" style="149" customWidth="1"/>
    <col min="8452" max="8452" width="10.5" style="149" customWidth="1"/>
    <col min="8453" max="8453" width="11.25" style="149" bestFit="1" customWidth="1"/>
    <col min="8454" max="8455" width="9" style="149"/>
    <col min="8456" max="8465" width="9" style="149" customWidth="1"/>
    <col min="8466" max="8466" width="9" style="149"/>
    <col min="8467" max="8467" width="9.5" style="149" bestFit="1" customWidth="1"/>
    <col min="8468" max="8468" width="9" style="149" customWidth="1"/>
    <col min="8469" max="8469" width="9" style="149"/>
    <col min="8470" max="8470" width="9" style="149" customWidth="1"/>
    <col min="8471" max="8476" width="9" style="149"/>
    <col min="8477" max="8477" width="26.5" style="149" customWidth="1"/>
    <col min="8478" max="8480" width="9" style="149"/>
    <col min="8481" max="8481" width="14.75" style="149" bestFit="1" customWidth="1"/>
    <col min="8482" max="8704" width="9" style="149"/>
    <col min="8705" max="8707" width="9" style="149" customWidth="1"/>
    <col min="8708" max="8708" width="10.5" style="149" customWidth="1"/>
    <col min="8709" max="8709" width="11.25" style="149" bestFit="1" customWidth="1"/>
    <col min="8710" max="8711" width="9" style="149"/>
    <col min="8712" max="8721" width="9" style="149" customWidth="1"/>
    <col min="8722" max="8722" width="9" style="149"/>
    <col min="8723" max="8723" width="9.5" style="149" bestFit="1" customWidth="1"/>
    <col min="8724" max="8724" width="9" style="149" customWidth="1"/>
    <col min="8725" max="8725" width="9" style="149"/>
    <col min="8726" max="8726" width="9" style="149" customWidth="1"/>
    <col min="8727" max="8732" width="9" style="149"/>
    <col min="8733" max="8733" width="26.5" style="149" customWidth="1"/>
    <col min="8734" max="8736" width="9" style="149"/>
    <col min="8737" max="8737" width="14.75" style="149" bestFit="1" customWidth="1"/>
    <col min="8738" max="8960" width="9" style="149"/>
    <col min="8961" max="8963" width="9" style="149" customWidth="1"/>
    <col min="8964" max="8964" width="10.5" style="149" customWidth="1"/>
    <col min="8965" max="8965" width="11.25" style="149" bestFit="1" customWidth="1"/>
    <col min="8966" max="8967" width="9" style="149"/>
    <col min="8968" max="8977" width="9" style="149" customWidth="1"/>
    <col min="8978" max="8978" width="9" style="149"/>
    <col min="8979" max="8979" width="9.5" style="149" bestFit="1" customWidth="1"/>
    <col min="8980" max="8980" width="9" style="149" customWidth="1"/>
    <col min="8981" max="8981" width="9" style="149"/>
    <col min="8982" max="8982" width="9" style="149" customWidth="1"/>
    <col min="8983" max="8988" width="9" style="149"/>
    <col min="8989" max="8989" width="26.5" style="149" customWidth="1"/>
    <col min="8990" max="8992" width="9" style="149"/>
    <col min="8993" max="8993" width="14.75" style="149" bestFit="1" customWidth="1"/>
    <col min="8994" max="9216" width="9" style="149"/>
    <col min="9217" max="9219" width="9" style="149" customWidth="1"/>
    <col min="9220" max="9220" width="10.5" style="149" customWidth="1"/>
    <col min="9221" max="9221" width="11.25" style="149" bestFit="1" customWidth="1"/>
    <col min="9222" max="9223" width="9" style="149"/>
    <col min="9224" max="9233" width="9" style="149" customWidth="1"/>
    <col min="9234" max="9234" width="9" style="149"/>
    <col min="9235" max="9235" width="9.5" style="149" bestFit="1" customWidth="1"/>
    <col min="9236" max="9236" width="9" style="149" customWidth="1"/>
    <col min="9237" max="9237" width="9" style="149"/>
    <col min="9238" max="9238" width="9" style="149" customWidth="1"/>
    <col min="9239" max="9244" width="9" style="149"/>
    <col min="9245" max="9245" width="26.5" style="149" customWidth="1"/>
    <col min="9246" max="9248" width="9" style="149"/>
    <col min="9249" max="9249" width="14.75" style="149" bestFit="1" customWidth="1"/>
    <col min="9250" max="9472" width="9" style="149"/>
    <col min="9473" max="9475" width="9" style="149" customWidth="1"/>
    <col min="9476" max="9476" width="10.5" style="149" customWidth="1"/>
    <col min="9477" max="9477" width="11.25" style="149" bestFit="1" customWidth="1"/>
    <col min="9478" max="9479" width="9" style="149"/>
    <col min="9480" max="9489" width="9" style="149" customWidth="1"/>
    <col min="9490" max="9490" width="9" style="149"/>
    <col min="9491" max="9491" width="9.5" style="149" bestFit="1" customWidth="1"/>
    <col min="9492" max="9492" width="9" style="149" customWidth="1"/>
    <col min="9493" max="9493" width="9" style="149"/>
    <col min="9494" max="9494" width="9" style="149" customWidth="1"/>
    <col min="9495" max="9500" width="9" style="149"/>
    <col min="9501" max="9501" width="26.5" style="149" customWidth="1"/>
    <col min="9502" max="9504" width="9" style="149"/>
    <col min="9505" max="9505" width="14.75" style="149" bestFit="1" customWidth="1"/>
    <col min="9506" max="9728" width="9" style="149"/>
    <col min="9729" max="9731" width="9" style="149" customWidth="1"/>
    <col min="9732" max="9732" width="10.5" style="149" customWidth="1"/>
    <col min="9733" max="9733" width="11.25" style="149" bestFit="1" customWidth="1"/>
    <col min="9734" max="9735" width="9" style="149"/>
    <col min="9736" max="9745" width="9" style="149" customWidth="1"/>
    <col min="9746" max="9746" width="9" style="149"/>
    <col min="9747" max="9747" width="9.5" style="149" bestFit="1" customWidth="1"/>
    <col min="9748" max="9748" width="9" style="149" customWidth="1"/>
    <col min="9749" max="9749" width="9" style="149"/>
    <col min="9750" max="9750" width="9" style="149" customWidth="1"/>
    <col min="9751" max="9756" width="9" style="149"/>
    <col min="9757" max="9757" width="26.5" style="149" customWidth="1"/>
    <col min="9758" max="9760" width="9" style="149"/>
    <col min="9761" max="9761" width="14.75" style="149" bestFit="1" customWidth="1"/>
    <col min="9762" max="9984" width="9" style="149"/>
    <col min="9985" max="9987" width="9" style="149" customWidth="1"/>
    <col min="9988" max="9988" width="10.5" style="149" customWidth="1"/>
    <col min="9989" max="9989" width="11.25" style="149" bestFit="1" customWidth="1"/>
    <col min="9990" max="9991" width="9" style="149"/>
    <col min="9992" max="10001" width="9" style="149" customWidth="1"/>
    <col min="10002" max="10002" width="9" style="149"/>
    <col min="10003" max="10003" width="9.5" style="149" bestFit="1" customWidth="1"/>
    <col min="10004" max="10004" width="9" style="149" customWidth="1"/>
    <col min="10005" max="10005" width="9" style="149"/>
    <col min="10006" max="10006" width="9" style="149" customWidth="1"/>
    <col min="10007" max="10012" width="9" style="149"/>
    <col min="10013" max="10013" width="26.5" style="149" customWidth="1"/>
    <col min="10014" max="10016" width="9" style="149"/>
    <col min="10017" max="10017" width="14.75" style="149" bestFit="1" customWidth="1"/>
    <col min="10018" max="10240" width="9" style="149"/>
    <col min="10241" max="10243" width="9" style="149" customWidth="1"/>
    <col min="10244" max="10244" width="10.5" style="149" customWidth="1"/>
    <col min="10245" max="10245" width="11.25" style="149" bestFit="1" customWidth="1"/>
    <col min="10246" max="10247" width="9" style="149"/>
    <col min="10248" max="10257" width="9" style="149" customWidth="1"/>
    <col min="10258" max="10258" width="9" style="149"/>
    <col min="10259" max="10259" width="9.5" style="149" bestFit="1" customWidth="1"/>
    <col min="10260" max="10260" width="9" style="149" customWidth="1"/>
    <col min="10261" max="10261" width="9" style="149"/>
    <col min="10262" max="10262" width="9" style="149" customWidth="1"/>
    <col min="10263" max="10268" width="9" style="149"/>
    <col min="10269" max="10269" width="26.5" style="149" customWidth="1"/>
    <col min="10270" max="10272" width="9" style="149"/>
    <col min="10273" max="10273" width="14.75" style="149" bestFit="1" customWidth="1"/>
    <col min="10274" max="10496" width="9" style="149"/>
    <col min="10497" max="10499" width="9" style="149" customWidth="1"/>
    <col min="10500" max="10500" width="10.5" style="149" customWidth="1"/>
    <col min="10501" max="10501" width="11.25" style="149" bestFit="1" customWidth="1"/>
    <col min="10502" max="10503" width="9" style="149"/>
    <col min="10504" max="10513" width="9" style="149" customWidth="1"/>
    <col min="10514" max="10514" width="9" style="149"/>
    <col min="10515" max="10515" width="9.5" style="149" bestFit="1" customWidth="1"/>
    <col min="10516" max="10516" width="9" style="149" customWidth="1"/>
    <col min="10517" max="10517" width="9" style="149"/>
    <col min="10518" max="10518" width="9" style="149" customWidth="1"/>
    <col min="10519" max="10524" width="9" style="149"/>
    <col min="10525" max="10525" width="26.5" style="149" customWidth="1"/>
    <col min="10526" max="10528" width="9" style="149"/>
    <col min="10529" max="10529" width="14.75" style="149" bestFit="1" customWidth="1"/>
    <col min="10530" max="10752" width="9" style="149"/>
    <col min="10753" max="10755" width="9" style="149" customWidth="1"/>
    <col min="10756" max="10756" width="10.5" style="149" customWidth="1"/>
    <col min="10757" max="10757" width="11.25" style="149" bestFit="1" customWidth="1"/>
    <col min="10758" max="10759" width="9" style="149"/>
    <col min="10760" max="10769" width="9" style="149" customWidth="1"/>
    <col min="10770" max="10770" width="9" style="149"/>
    <col min="10771" max="10771" width="9.5" style="149" bestFit="1" customWidth="1"/>
    <col min="10772" max="10772" width="9" style="149" customWidth="1"/>
    <col min="10773" max="10773" width="9" style="149"/>
    <col min="10774" max="10774" width="9" style="149" customWidth="1"/>
    <col min="10775" max="10780" width="9" style="149"/>
    <col min="10781" max="10781" width="26.5" style="149" customWidth="1"/>
    <col min="10782" max="10784" width="9" style="149"/>
    <col min="10785" max="10785" width="14.75" style="149" bestFit="1" customWidth="1"/>
    <col min="10786" max="11008" width="9" style="149"/>
    <col min="11009" max="11011" width="9" style="149" customWidth="1"/>
    <col min="11012" max="11012" width="10.5" style="149" customWidth="1"/>
    <col min="11013" max="11013" width="11.25" style="149" bestFit="1" customWidth="1"/>
    <col min="11014" max="11015" width="9" style="149"/>
    <col min="11016" max="11025" width="9" style="149" customWidth="1"/>
    <col min="11026" max="11026" width="9" style="149"/>
    <col min="11027" max="11027" width="9.5" style="149" bestFit="1" customWidth="1"/>
    <col min="11028" max="11028" width="9" style="149" customWidth="1"/>
    <col min="11029" max="11029" width="9" style="149"/>
    <col min="11030" max="11030" width="9" style="149" customWidth="1"/>
    <col min="11031" max="11036" width="9" style="149"/>
    <col min="11037" max="11037" width="26.5" style="149" customWidth="1"/>
    <col min="11038" max="11040" width="9" style="149"/>
    <col min="11041" max="11041" width="14.75" style="149" bestFit="1" customWidth="1"/>
    <col min="11042" max="11264" width="9" style="149"/>
    <col min="11265" max="11267" width="9" style="149" customWidth="1"/>
    <col min="11268" max="11268" width="10.5" style="149" customWidth="1"/>
    <col min="11269" max="11269" width="11.25" style="149" bestFit="1" customWidth="1"/>
    <col min="11270" max="11271" width="9" style="149"/>
    <col min="11272" max="11281" width="9" style="149" customWidth="1"/>
    <col min="11282" max="11282" width="9" style="149"/>
    <col min="11283" max="11283" width="9.5" style="149" bestFit="1" customWidth="1"/>
    <col min="11284" max="11284" width="9" style="149" customWidth="1"/>
    <col min="11285" max="11285" width="9" style="149"/>
    <col min="11286" max="11286" width="9" style="149" customWidth="1"/>
    <col min="11287" max="11292" width="9" style="149"/>
    <col min="11293" max="11293" width="26.5" style="149" customWidth="1"/>
    <col min="11294" max="11296" width="9" style="149"/>
    <col min="11297" max="11297" width="14.75" style="149" bestFit="1" customWidth="1"/>
    <col min="11298" max="11520" width="9" style="149"/>
    <col min="11521" max="11523" width="9" style="149" customWidth="1"/>
    <col min="11524" max="11524" width="10.5" style="149" customWidth="1"/>
    <col min="11525" max="11525" width="11.25" style="149" bestFit="1" customWidth="1"/>
    <col min="11526" max="11527" width="9" style="149"/>
    <col min="11528" max="11537" width="9" style="149" customWidth="1"/>
    <col min="11538" max="11538" width="9" style="149"/>
    <col min="11539" max="11539" width="9.5" style="149" bestFit="1" customWidth="1"/>
    <col min="11540" max="11540" width="9" style="149" customWidth="1"/>
    <col min="11541" max="11541" width="9" style="149"/>
    <col min="11542" max="11542" width="9" style="149" customWidth="1"/>
    <col min="11543" max="11548" width="9" style="149"/>
    <col min="11549" max="11549" width="26.5" style="149" customWidth="1"/>
    <col min="11550" max="11552" width="9" style="149"/>
    <col min="11553" max="11553" width="14.75" style="149" bestFit="1" customWidth="1"/>
    <col min="11554" max="11776" width="9" style="149"/>
    <col min="11777" max="11779" width="9" style="149" customWidth="1"/>
    <col min="11780" max="11780" width="10.5" style="149" customWidth="1"/>
    <col min="11781" max="11781" width="11.25" style="149" bestFit="1" customWidth="1"/>
    <col min="11782" max="11783" width="9" style="149"/>
    <col min="11784" max="11793" width="9" style="149" customWidth="1"/>
    <col min="11794" max="11794" width="9" style="149"/>
    <col min="11795" max="11795" width="9.5" style="149" bestFit="1" customWidth="1"/>
    <col min="11796" max="11796" width="9" style="149" customWidth="1"/>
    <col min="11797" max="11797" width="9" style="149"/>
    <col min="11798" max="11798" width="9" style="149" customWidth="1"/>
    <col min="11799" max="11804" width="9" style="149"/>
    <col min="11805" max="11805" width="26.5" style="149" customWidth="1"/>
    <col min="11806" max="11808" width="9" style="149"/>
    <col min="11809" max="11809" width="14.75" style="149" bestFit="1" customWidth="1"/>
    <col min="11810" max="12032" width="9" style="149"/>
    <col min="12033" max="12035" width="9" style="149" customWidth="1"/>
    <col min="12036" max="12036" width="10.5" style="149" customWidth="1"/>
    <col min="12037" max="12037" width="11.25" style="149" bestFit="1" customWidth="1"/>
    <col min="12038" max="12039" width="9" style="149"/>
    <col min="12040" max="12049" width="9" style="149" customWidth="1"/>
    <col min="12050" max="12050" width="9" style="149"/>
    <col min="12051" max="12051" width="9.5" style="149" bestFit="1" customWidth="1"/>
    <col min="12052" max="12052" width="9" style="149" customWidth="1"/>
    <col min="12053" max="12053" width="9" style="149"/>
    <col min="12054" max="12054" width="9" style="149" customWidth="1"/>
    <col min="12055" max="12060" width="9" style="149"/>
    <col min="12061" max="12061" width="26.5" style="149" customWidth="1"/>
    <col min="12062" max="12064" width="9" style="149"/>
    <col min="12065" max="12065" width="14.75" style="149" bestFit="1" customWidth="1"/>
    <col min="12066" max="12288" width="9" style="149"/>
    <col min="12289" max="12291" width="9" style="149" customWidth="1"/>
    <col min="12292" max="12292" width="10.5" style="149" customWidth="1"/>
    <col min="12293" max="12293" width="11.25" style="149" bestFit="1" customWidth="1"/>
    <col min="12294" max="12295" width="9" style="149"/>
    <col min="12296" max="12305" width="9" style="149" customWidth="1"/>
    <col min="12306" max="12306" width="9" style="149"/>
    <col min="12307" max="12307" width="9.5" style="149" bestFit="1" customWidth="1"/>
    <col min="12308" max="12308" width="9" style="149" customWidth="1"/>
    <col min="12309" max="12309" width="9" style="149"/>
    <col min="12310" max="12310" width="9" style="149" customWidth="1"/>
    <col min="12311" max="12316" width="9" style="149"/>
    <col min="12317" max="12317" width="26.5" style="149" customWidth="1"/>
    <col min="12318" max="12320" width="9" style="149"/>
    <col min="12321" max="12321" width="14.75" style="149" bestFit="1" customWidth="1"/>
    <col min="12322" max="12544" width="9" style="149"/>
    <col min="12545" max="12547" width="9" style="149" customWidth="1"/>
    <col min="12548" max="12548" width="10.5" style="149" customWidth="1"/>
    <col min="12549" max="12549" width="11.25" style="149" bestFit="1" customWidth="1"/>
    <col min="12550" max="12551" width="9" style="149"/>
    <col min="12552" max="12561" width="9" style="149" customWidth="1"/>
    <col min="12562" max="12562" width="9" style="149"/>
    <col min="12563" max="12563" width="9.5" style="149" bestFit="1" customWidth="1"/>
    <col min="12564" max="12564" width="9" style="149" customWidth="1"/>
    <col min="12565" max="12565" width="9" style="149"/>
    <col min="12566" max="12566" width="9" style="149" customWidth="1"/>
    <col min="12567" max="12572" width="9" style="149"/>
    <col min="12573" max="12573" width="26.5" style="149" customWidth="1"/>
    <col min="12574" max="12576" width="9" style="149"/>
    <col min="12577" max="12577" width="14.75" style="149" bestFit="1" customWidth="1"/>
    <col min="12578" max="12800" width="9" style="149"/>
    <col min="12801" max="12803" width="9" style="149" customWidth="1"/>
    <col min="12804" max="12804" width="10.5" style="149" customWidth="1"/>
    <col min="12805" max="12805" width="11.25" style="149" bestFit="1" customWidth="1"/>
    <col min="12806" max="12807" width="9" style="149"/>
    <col min="12808" max="12817" width="9" style="149" customWidth="1"/>
    <col min="12818" max="12818" width="9" style="149"/>
    <col min="12819" max="12819" width="9.5" style="149" bestFit="1" customWidth="1"/>
    <col min="12820" max="12820" width="9" style="149" customWidth="1"/>
    <col min="12821" max="12821" width="9" style="149"/>
    <col min="12822" max="12822" width="9" style="149" customWidth="1"/>
    <col min="12823" max="12828" width="9" style="149"/>
    <col min="12829" max="12829" width="26.5" style="149" customWidth="1"/>
    <col min="12830" max="12832" width="9" style="149"/>
    <col min="12833" max="12833" width="14.75" style="149" bestFit="1" customWidth="1"/>
    <col min="12834" max="13056" width="9" style="149"/>
    <col min="13057" max="13059" width="9" style="149" customWidth="1"/>
    <col min="13060" max="13060" width="10.5" style="149" customWidth="1"/>
    <col min="13061" max="13061" width="11.25" style="149" bestFit="1" customWidth="1"/>
    <col min="13062" max="13063" width="9" style="149"/>
    <col min="13064" max="13073" width="9" style="149" customWidth="1"/>
    <col min="13074" max="13074" width="9" style="149"/>
    <col min="13075" max="13075" width="9.5" style="149" bestFit="1" customWidth="1"/>
    <col min="13076" max="13076" width="9" style="149" customWidth="1"/>
    <col min="13077" max="13077" width="9" style="149"/>
    <col min="13078" max="13078" width="9" style="149" customWidth="1"/>
    <col min="13079" max="13084" width="9" style="149"/>
    <col min="13085" max="13085" width="26.5" style="149" customWidth="1"/>
    <col min="13086" max="13088" width="9" style="149"/>
    <col min="13089" max="13089" width="14.75" style="149" bestFit="1" customWidth="1"/>
    <col min="13090" max="13312" width="9" style="149"/>
    <col min="13313" max="13315" width="9" style="149" customWidth="1"/>
    <col min="13316" max="13316" width="10.5" style="149" customWidth="1"/>
    <col min="13317" max="13317" width="11.25" style="149" bestFit="1" customWidth="1"/>
    <col min="13318" max="13319" width="9" style="149"/>
    <col min="13320" max="13329" width="9" style="149" customWidth="1"/>
    <col min="13330" max="13330" width="9" style="149"/>
    <col min="13331" max="13331" width="9.5" style="149" bestFit="1" customWidth="1"/>
    <col min="13332" max="13332" width="9" style="149" customWidth="1"/>
    <col min="13333" max="13333" width="9" style="149"/>
    <col min="13334" max="13334" width="9" style="149" customWidth="1"/>
    <col min="13335" max="13340" width="9" style="149"/>
    <col min="13341" max="13341" width="26.5" style="149" customWidth="1"/>
    <col min="13342" max="13344" width="9" style="149"/>
    <col min="13345" max="13345" width="14.75" style="149" bestFit="1" customWidth="1"/>
    <col min="13346" max="13568" width="9" style="149"/>
    <col min="13569" max="13571" width="9" style="149" customWidth="1"/>
    <col min="13572" max="13572" width="10.5" style="149" customWidth="1"/>
    <col min="13573" max="13573" width="11.25" style="149" bestFit="1" customWidth="1"/>
    <col min="13574" max="13575" width="9" style="149"/>
    <col min="13576" max="13585" width="9" style="149" customWidth="1"/>
    <col min="13586" max="13586" width="9" style="149"/>
    <col min="13587" max="13587" width="9.5" style="149" bestFit="1" customWidth="1"/>
    <col min="13588" max="13588" width="9" style="149" customWidth="1"/>
    <col min="13589" max="13589" width="9" style="149"/>
    <col min="13590" max="13590" width="9" style="149" customWidth="1"/>
    <col min="13591" max="13596" width="9" style="149"/>
    <col min="13597" max="13597" width="26.5" style="149" customWidth="1"/>
    <col min="13598" max="13600" width="9" style="149"/>
    <col min="13601" max="13601" width="14.75" style="149" bestFit="1" customWidth="1"/>
    <col min="13602" max="13824" width="9" style="149"/>
    <col min="13825" max="13827" width="9" style="149" customWidth="1"/>
    <col min="13828" max="13828" width="10.5" style="149" customWidth="1"/>
    <col min="13829" max="13829" width="11.25" style="149" bestFit="1" customWidth="1"/>
    <col min="13830" max="13831" width="9" style="149"/>
    <col min="13832" max="13841" width="9" style="149" customWidth="1"/>
    <col min="13842" max="13842" width="9" style="149"/>
    <col min="13843" max="13843" width="9.5" style="149" bestFit="1" customWidth="1"/>
    <col min="13844" max="13844" width="9" style="149" customWidth="1"/>
    <col min="13845" max="13845" width="9" style="149"/>
    <col min="13846" max="13846" width="9" style="149" customWidth="1"/>
    <col min="13847" max="13852" width="9" style="149"/>
    <col min="13853" max="13853" width="26.5" style="149" customWidth="1"/>
    <col min="13854" max="13856" width="9" style="149"/>
    <col min="13857" max="13857" width="14.75" style="149" bestFit="1" customWidth="1"/>
    <col min="13858" max="14080" width="9" style="149"/>
    <col min="14081" max="14083" width="9" style="149" customWidth="1"/>
    <col min="14084" max="14084" width="10.5" style="149" customWidth="1"/>
    <col min="14085" max="14085" width="11.25" style="149" bestFit="1" customWidth="1"/>
    <col min="14086" max="14087" width="9" style="149"/>
    <col min="14088" max="14097" width="9" style="149" customWidth="1"/>
    <col min="14098" max="14098" width="9" style="149"/>
    <col min="14099" max="14099" width="9.5" style="149" bestFit="1" customWidth="1"/>
    <col min="14100" max="14100" width="9" style="149" customWidth="1"/>
    <col min="14101" max="14101" width="9" style="149"/>
    <col min="14102" max="14102" width="9" style="149" customWidth="1"/>
    <col min="14103" max="14108" width="9" style="149"/>
    <col min="14109" max="14109" width="26.5" style="149" customWidth="1"/>
    <col min="14110" max="14112" width="9" style="149"/>
    <col min="14113" max="14113" width="14.75" style="149" bestFit="1" customWidth="1"/>
    <col min="14114" max="14336" width="9" style="149"/>
    <col min="14337" max="14339" width="9" style="149" customWidth="1"/>
    <col min="14340" max="14340" width="10.5" style="149" customWidth="1"/>
    <col min="14341" max="14341" width="11.25" style="149" bestFit="1" customWidth="1"/>
    <col min="14342" max="14343" width="9" style="149"/>
    <col min="14344" max="14353" width="9" style="149" customWidth="1"/>
    <col min="14354" max="14354" width="9" style="149"/>
    <col min="14355" max="14355" width="9.5" style="149" bestFit="1" customWidth="1"/>
    <col min="14356" max="14356" width="9" style="149" customWidth="1"/>
    <col min="14357" max="14357" width="9" style="149"/>
    <col min="14358" max="14358" width="9" style="149" customWidth="1"/>
    <col min="14359" max="14364" width="9" style="149"/>
    <col min="14365" max="14365" width="26.5" style="149" customWidth="1"/>
    <col min="14366" max="14368" width="9" style="149"/>
    <col min="14369" max="14369" width="14.75" style="149" bestFit="1" customWidth="1"/>
    <col min="14370" max="14592" width="9" style="149"/>
    <col min="14593" max="14595" width="9" style="149" customWidth="1"/>
    <col min="14596" max="14596" width="10.5" style="149" customWidth="1"/>
    <col min="14597" max="14597" width="11.25" style="149" bestFit="1" customWidth="1"/>
    <col min="14598" max="14599" width="9" style="149"/>
    <col min="14600" max="14609" width="9" style="149" customWidth="1"/>
    <col min="14610" max="14610" width="9" style="149"/>
    <col min="14611" max="14611" width="9.5" style="149" bestFit="1" customWidth="1"/>
    <col min="14612" max="14612" width="9" style="149" customWidth="1"/>
    <col min="14613" max="14613" width="9" style="149"/>
    <col min="14614" max="14614" width="9" style="149" customWidth="1"/>
    <col min="14615" max="14620" width="9" style="149"/>
    <col min="14621" max="14621" width="26.5" style="149" customWidth="1"/>
    <col min="14622" max="14624" width="9" style="149"/>
    <col min="14625" max="14625" width="14.75" style="149" bestFit="1" customWidth="1"/>
    <col min="14626" max="14848" width="9" style="149"/>
    <col min="14849" max="14851" width="9" style="149" customWidth="1"/>
    <col min="14852" max="14852" width="10.5" style="149" customWidth="1"/>
    <col min="14853" max="14853" width="11.25" style="149" bestFit="1" customWidth="1"/>
    <col min="14854" max="14855" width="9" style="149"/>
    <col min="14856" max="14865" width="9" style="149" customWidth="1"/>
    <col min="14866" max="14866" width="9" style="149"/>
    <col min="14867" max="14867" width="9.5" style="149" bestFit="1" customWidth="1"/>
    <col min="14868" max="14868" width="9" style="149" customWidth="1"/>
    <col min="14869" max="14869" width="9" style="149"/>
    <col min="14870" max="14870" width="9" style="149" customWidth="1"/>
    <col min="14871" max="14876" width="9" style="149"/>
    <col min="14877" max="14877" width="26.5" style="149" customWidth="1"/>
    <col min="14878" max="14880" width="9" style="149"/>
    <col min="14881" max="14881" width="14.75" style="149" bestFit="1" customWidth="1"/>
    <col min="14882" max="15104" width="9" style="149"/>
    <col min="15105" max="15107" width="9" style="149" customWidth="1"/>
    <col min="15108" max="15108" width="10.5" style="149" customWidth="1"/>
    <col min="15109" max="15109" width="11.25" style="149" bestFit="1" customWidth="1"/>
    <col min="15110" max="15111" width="9" style="149"/>
    <col min="15112" max="15121" width="9" style="149" customWidth="1"/>
    <col min="15122" max="15122" width="9" style="149"/>
    <col min="15123" max="15123" width="9.5" style="149" bestFit="1" customWidth="1"/>
    <col min="15124" max="15124" width="9" style="149" customWidth="1"/>
    <col min="15125" max="15125" width="9" style="149"/>
    <col min="15126" max="15126" width="9" style="149" customWidth="1"/>
    <col min="15127" max="15132" width="9" style="149"/>
    <col min="15133" max="15133" width="26.5" style="149" customWidth="1"/>
    <col min="15134" max="15136" width="9" style="149"/>
    <col min="15137" max="15137" width="14.75" style="149" bestFit="1" customWidth="1"/>
    <col min="15138" max="15360" width="9" style="149"/>
    <col min="15361" max="15363" width="9" style="149" customWidth="1"/>
    <col min="15364" max="15364" width="10.5" style="149" customWidth="1"/>
    <col min="15365" max="15365" width="11.25" style="149" bestFit="1" customWidth="1"/>
    <col min="15366" max="15367" width="9" style="149"/>
    <col min="15368" max="15377" width="9" style="149" customWidth="1"/>
    <col min="15378" max="15378" width="9" style="149"/>
    <col min="15379" max="15379" width="9.5" style="149" bestFit="1" customWidth="1"/>
    <col min="15380" max="15380" width="9" style="149" customWidth="1"/>
    <col min="15381" max="15381" width="9" style="149"/>
    <col min="15382" max="15382" width="9" style="149" customWidth="1"/>
    <col min="15383" max="15388" width="9" style="149"/>
    <col min="15389" max="15389" width="26.5" style="149" customWidth="1"/>
    <col min="15390" max="15392" width="9" style="149"/>
    <col min="15393" max="15393" width="14.75" style="149" bestFit="1" customWidth="1"/>
    <col min="15394" max="15616" width="9" style="149"/>
    <col min="15617" max="15619" width="9" style="149" customWidth="1"/>
    <col min="15620" max="15620" width="10.5" style="149" customWidth="1"/>
    <col min="15621" max="15621" width="11.25" style="149" bestFit="1" customWidth="1"/>
    <col min="15622" max="15623" width="9" style="149"/>
    <col min="15624" max="15633" width="9" style="149" customWidth="1"/>
    <col min="15634" max="15634" width="9" style="149"/>
    <col min="15635" max="15635" width="9.5" style="149" bestFit="1" customWidth="1"/>
    <col min="15636" max="15636" width="9" style="149" customWidth="1"/>
    <col min="15637" max="15637" width="9" style="149"/>
    <col min="15638" max="15638" width="9" style="149" customWidth="1"/>
    <col min="15639" max="15644" width="9" style="149"/>
    <col min="15645" max="15645" width="26.5" style="149" customWidth="1"/>
    <col min="15646" max="15648" width="9" style="149"/>
    <col min="15649" max="15649" width="14.75" style="149" bestFit="1" customWidth="1"/>
    <col min="15650" max="15872" width="9" style="149"/>
    <col min="15873" max="15875" width="9" style="149" customWidth="1"/>
    <col min="15876" max="15876" width="10.5" style="149" customWidth="1"/>
    <col min="15877" max="15877" width="11.25" style="149" bestFit="1" customWidth="1"/>
    <col min="15878" max="15879" width="9" style="149"/>
    <col min="15880" max="15889" width="9" style="149" customWidth="1"/>
    <col min="15890" max="15890" width="9" style="149"/>
    <col min="15891" max="15891" width="9.5" style="149" bestFit="1" customWidth="1"/>
    <col min="15892" max="15892" width="9" style="149" customWidth="1"/>
    <col min="15893" max="15893" width="9" style="149"/>
    <col min="15894" max="15894" width="9" style="149" customWidth="1"/>
    <col min="15895" max="15900" width="9" style="149"/>
    <col min="15901" max="15901" width="26.5" style="149" customWidth="1"/>
    <col min="15902" max="15904" width="9" style="149"/>
    <col min="15905" max="15905" width="14.75" style="149" bestFit="1" customWidth="1"/>
    <col min="15906" max="16128" width="9" style="149"/>
    <col min="16129" max="16131" width="9" style="149" customWidth="1"/>
    <col min="16132" max="16132" width="10.5" style="149" customWidth="1"/>
    <col min="16133" max="16133" width="11.25" style="149" bestFit="1" customWidth="1"/>
    <col min="16134" max="16135" width="9" style="149"/>
    <col min="16136" max="16145" width="9" style="149" customWidth="1"/>
    <col min="16146" max="16146" width="9" style="149"/>
    <col min="16147" max="16147" width="9.5" style="149" bestFit="1" customWidth="1"/>
    <col min="16148" max="16148" width="9" style="149" customWidth="1"/>
    <col min="16149" max="16149" width="9" style="149"/>
    <col min="16150" max="16150" width="9" style="149" customWidth="1"/>
    <col min="16151" max="16156" width="9" style="149"/>
    <col min="16157" max="16157" width="26.5" style="149" customWidth="1"/>
    <col min="16158" max="16160" width="9" style="149"/>
    <col min="16161" max="16161" width="14.75" style="149" bestFit="1" customWidth="1"/>
    <col min="16162" max="16384" width="9" style="149"/>
  </cols>
  <sheetData>
    <row r="1" spans="1:53" ht="44.25" customHeight="1" x14ac:dyDescent="0.15">
      <c r="A1" s="201" t="s">
        <v>434</v>
      </c>
      <c r="B1" s="143" t="s">
        <v>1</v>
      </c>
      <c r="C1" s="143" t="s">
        <v>435</v>
      </c>
      <c r="D1" s="144" t="s">
        <v>3</v>
      </c>
      <c r="E1" s="144" t="s">
        <v>436</v>
      </c>
      <c r="F1" s="144" t="s">
        <v>5</v>
      </c>
      <c r="G1" s="144" t="s">
        <v>6</v>
      </c>
      <c r="H1" s="144" t="s">
        <v>437</v>
      </c>
      <c r="I1" s="144" t="s">
        <v>8</v>
      </c>
      <c r="J1" s="144" t="s">
        <v>9</v>
      </c>
      <c r="K1" s="144" t="s">
        <v>10</v>
      </c>
      <c r="L1" s="144" t="s">
        <v>438</v>
      </c>
      <c r="M1" s="144" t="s">
        <v>12</v>
      </c>
      <c r="N1" s="144" t="s">
        <v>13</v>
      </c>
      <c r="O1" s="144" t="s">
        <v>439</v>
      </c>
      <c r="P1" s="144" t="s">
        <v>440</v>
      </c>
      <c r="Q1" s="145" t="s">
        <v>16</v>
      </c>
      <c r="R1" s="144" t="s">
        <v>441</v>
      </c>
      <c r="S1" s="144" t="s">
        <v>442</v>
      </c>
      <c r="T1" s="145" t="s">
        <v>19</v>
      </c>
      <c r="U1" s="146" t="s">
        <v>108</v>
      </c>
      <c r="V1" s="147" t="s">
        <v>20</v>
      </c>
      <c r="W1" s="144" t="s">
        <v>21</v>
      </c>
      <c r="X1" s="144" t="s">
        <v>22</v>
      </c>
      <c r="Y1" s="144" t="s">
        <v>23</v>
      </c>
      <c r="Z1" s="144" t="s">
        <v>24</v>
      </c>
      <c r="AA1" s="202" t="s">
        <v>25</v>
      </c>
      <c r="AB1" s="203" t="s">
        <v>443</v>
      </c>
      <c r="AC1" s="204"/>
      <c r="AE1" s="150" t="s">
        <v>0</v>
      </c>
      <c r="AF1" s="151"/>
      <c r="AG1" s="150" t="s">
        <v>4</v>
      </c>
      <c r="AH1" s="150" t="s">
        <v>5</v>
      </c>
      <c r="AI1" s="151"/>
      <c r="AJ1" s="150" t="s">
        <v>6</v>
      </c>
      <c r="AK1" s="151"/>
      <c r="AL1" s="152" t="s">
        <v>7</v>
      </c>
      <c r="AM1" s="151"/>
      <c r="AN1" s="152" t="s">
        <v>8</v>
      </c>
      <c r="AO1" s="151"/>
      <c r="AP1" s="152" t="s">
        <v>27</v>
      </c>
      <c r="AQ1" s="151"/>
      <c r="AR1" s="152" t="s">
        <v>10</v>
      </c>
      <c r="AS1" s="151"/>
      <c r="AT1" s="153" t="s">
        <v>28</v>
      </c>
      <c r="AU1" s="151"/>
      <c r="AV1" s="152" t="s">
        <v>29</v>
      </c>
      <c r="AX1" s="154" t="s">
        <v>444</v>
      </c>
      <c r="AY1" s="155" t="s">
        <v>445</v>
      </c>
      <c r="AZ1" s="155" t="s">
        <v>446</v>
      </c>
      <c r="BA1" s="156" t="s">
        <v>447</v>
      </c>
    </row>
    <row r="2" spans="1:53" s="211" customFormat="1" x14ac:dyDescent="0.15">
      <c r="A2" s="205" t="s">
        <v>61</v>
      </c>
      <c r="B2" s="205" t="s">
        <v>448</v>
      </c>
      <c r="C2" s="205">
        <v>2018</v>
      </c>
      <c r="D2" s="206" t="s">
        <v>449</v>
      </c>
      <c r="E2" s="205" t="s">
        <v>450</v>
      </c>
      <c r="F2" s="205" t="s">
        <v>451</v>
      </c>
      <c r="G2" s="205" t="s">
        <v>42</v>
      </c>
      <c r="H2" s="188" t="s">
        <v>162</v>
      </c>
      <c r="I2" s="188" t="s">
        <v>155</v>
      </c>
      <c r="J2" s="205" t="s">
        <v>38</v>
      </c>
      <c r="K2" s="188" t="s">
        <v>156</v>
      </c>
      <c r="L2" s="188">
        <v>1</v>
      </c>
      <c r="M2" s="188"/>
      <c r="N2" s="188">
        <v>2</v>
      </c>
      <c r="O2" s="188">
        <v>0.6</v>
      </c>
      <c r="P2" s="188">
        <v>0.7</v>
      </c>
      <c r="Q2" s="207">
        <f t="shared" ref="Q2:Q66" si="0">IF(OR(O2="",P2=""),"",AVERAGE(O2,P2))</f>
        <v>0.64999999999999991</v>
      </c>
      <c r="R2" s="188">
        <v>17.3</v>
      </c>
      <c r="S2" s="188">
        <v>146</v>
      </c>
      <c r="T2" s="208">
        <f t="shared" ref="T2:T65" si="1">IF(H2="","",IF(OR(H2="GREEN",H2="GK"),IF(S2&gt;=$AX$2,VLOOKUP(S2,$AX$2:$AY$15,2,1),""),IF(S2&gt;=$AZ$2,VLOOKUP(S2,$AZ$2:$BA$15,2,1),"")))</f>
        <v>22</v>
      </c>
      <c r="U2" s="188">
        <v>277</v>
      </c>
      <c r="V2" s="209">
        <f>IF(OR(N2="",U2="",T2=""),"",U2/N2*T2)</f>
        <v>3047</v>
      </c>
      <c r="W2" s="188">
        <v>3</v>
      </c>
      <c r="X2" s="205" t="s">
        <v>39</v>
      </c>
      <c r="Y2" s="188" t="s">
        <v>84</v>
      </c>
      <c r="Z2" s="188" t="s">
        <v>88</v>
      </c>
      <c r="AA2" s="188" t="s">
        <v>86</v>
      </c>
      <c r="AB2" s="205" t="s">
        <v>452</v>
      </c>
      <c r="AC2" s="210"/>
      <c r="AE2" s="159" t="s">
        <v>35</v>
      </c>
      <c r="AG2" s="49" t="s">
        <v>450</v>
      </c>
      <c r="AH2" s="49" t="s">
        <v>451</v>
      </c>
      <c r="AJ2" s="212" t="s">
        <v>36</v>
      </c>
      <c r="AL2" s="160" t="s">
        <v>127</v>
      </c>
      <c r="AN2" s="212" t="s">
        <v>37</v>
      </c>
      <c r="AP2" s="160" t="s">
        <v>38</v>
      </c>
      <c r="AR2" s="160" t="s">
        <v>453</v>
      </c>
      <c r="AT2" s="212" t="s">
        <v>39</v>
      </c>
      <c r="AV2" s="160" t="s">
        <v>40</v>
      </c>
      <c r="AX2" s="213">
        <v>1</v>
      </c>
      <c r="AY2" s="214">
        <v>50</v>
      </c>
      <c r="AZ2" s="214">
        <v>1</v>
      </c>
      <c r="BA2" s="215">
        <v>50</v>
      </c>
    </row>
    <row r="3" spans="1:53" x14ac:dyDescent="0.15">
      <c r="A3" s="205" t="s">
        <v>61</v>
      </c>
      <c r="B3" s="205" t="s">
        <v>448</v>
      </c>
      <c r="C3" s="205">
        <v>2018</v>
      </c>
      <c r="D3" s="206" t="s">
        <v>449</v>
      </c>
      <c r="E3" s="205" t="s">
        <v>450</v>
      </c>
      <c r="F3" s="205" t="s">
        <v>451</v>
      </c>
      <c r="G3" s="205" t="s">
        <v>42</v>
      </c>
      <c r="H3" s="188" t="s">
        <v>162</v>
      </c>
      <c r="I3" s="188" t="s">
        <v>155</v>
      </c>
      <c r="J3" s="205" t="s">
        <v>38</v>
      </c>
      <c r="K3" s="188" t="s">
        <v>156</v>
      </c>
      <c r="L3" s="188">
        <v>2</v>
      </c>
      <c r="M3" s="188"/>
      <c r="N3" s="188">
        <v>2</v>
      </c>
      <c r="O3" s="188">
        <v>0.65</v>
      </c>
      <c r="P3" s="188">
        <v>0.65</v>
      </c>
      <c r="Q3" s="207">
        <f t="shared" si="0"/>
        <v>0.65</v>
      </c>
      <c r="R3" s="188">
        <v>16.5</v>
      </c>
      <c r="S3" s="188">
        <v>139</v>
      </c>
      <c r="T3" s="208">
        <f t="shared" si="1"/>
        <v>22</v>
      </c>
      <c r="U3" s="188">
        <v>277</v>
      </c>
      <c r="V3" s="209">
        <f t="shared" ref="V3:V66" si="2">IF(OR(N3="",U3="",T3=""),"",U3/N3*T3)</f>
        <v>3047</v>
      </c>
      <c r="W3" s="188">
        <v>3</v>
      </c>
      <c r="X3" s="205" t="s">
        <v>39</v>
      </c>
      <c r="Y3" s="188" t="s">
        <v>84</v>
      </c>
      <c r="Z3" s="188" t="s">
        <v>88</v>
      </c>
      <c r="AA3" s="188" t="s">
        <v>86</v>
      </c>
      <c r="AB3" s="205" t="s">
        <v>452</v>
      </c>
      <c r="AC3" s="210"/>
      <c r="AE3" s="164" t="s">
        <v>41</v>
      </c>
      <c r="AG3" s="49" t="s">
        <v>454</v>
      </c>
      <c r="AH3" s="49" t="s">
        <v>455</v>
      </c>
      <c r="AJ3" s="165" t="s">
        <v>42</v>
      </c>
      <c r="AL3" s="165" t="s">
        <v>128</v>
      </c>
      <c r="AN3" s="165" t="s">
        <v>43</v>
      </c>
      <c r="AP3" s="165" t="s">
        <v>44</v>
      </c>
      <c r="AR3" s="179" t="s">
        <v>45</v>
      </c>
      <c r="AT3" s="165" t="s">
        <v>46</v>
      </c>
      <c r="AV3" s="179" t="s">
        <v>47</v>
      </c>
      <c r="AX3" s="166">
        <v>72</v>
      </c>
      <c r="AY3" s="167">
        <v>46</v>
      </c>
      <c r="AZ3" s="167">
        <v>71</v>
      </c>
      <c r="BA3" s="168">
        <v>42</v>
      </c>
    </row>
    <row r="4" spans="1:53" x14ac:dyDescent="0.15">
      <c r="A4" s="205" t="s">
        <v>61</v>
      </c>
      <c r="B4" s="205" t="s">
        <v>448</v>
      </c>
      <c r="C4" s="205">
        <v>2018</v>
      </c>
      <c r="D4" s="206" t="s">
        <v>449</v>
      </c>
      <c r="E4" s="205" t="s">
        <v>450</v>
      </c>
      <c r="F4" s="205" t="s">
        <v>451</v>
      </c>
      <c r="G4" s="205" t="s">
        <v>42</v>
      </c>
      <c r="H4" s="188" t="s">
        <v>162</v>
      </c>
      <c r="I4" s="188" t="s">
        <v>155</v>
      </c>
      <c r="J4" s="205" t="s">
        <v>38</v>
      </c>
      <c r="K4" s="188" t="s">
        <v>156</v>
      </c>
      <c r="L4" s="188">
        <v>3</v>
      </c>
      <c r="M4" s="188"/>
      <c r="N4" s="188">
        <v>2</v>
      </c>
      <c r="O4" s="188">
        <v>0.6</v>
      </c>
      <c r="P4" s="188">
        <v>0.65</v>
      </c>
      <c r="Q4" s="207">
        <f t="shared" si="0"/>
        <v>0.625</v>
      </c>
      <c r="R4" s="188">
        <v>16.8</v>
      </c>
      <c r="S4" s="188">
        <v>150</v>
      </c>
      <c r="T4" s="208">
        <f t="shared" si="1"/>
        <v>22</v>
      </c>
      <c r="U4" s="188">
        <v>277</v>
      </c>
      <c r="V4" s="209">
        <f t="shared" si="2"/>
        <v>3047</v>
      </c>
      <c r="W4" s="188">
        <v>3</v>
      </c>
      <c r="X4" s="205" t="s">
        <v>39</v>
      </c>
      <c r="Y4" s="188" t="s">
        <v>84</v>
      </c>
      <c r="Z4" s="188" t="s">
        <v>88</v>
      </c>
      <c r="AA4" s="188" t="s">
        <v>86</v>
      </c>
      <c r="AB4" s="205" t="s">
        <v>452</v>
      </c>
      <c r="AC4" s="210"/>
      <c r="AE4" s="164" t="s">
        <v>34</v>
      </c>
      <c r="AG4" s="49" t="s">
        <v>456</v>
      </c>
      <c r="AH4" s="49" t="s">
        <v>457</v>
      </c>
      <c r="AJ4" s="169" t="s">
        <v>48</v>
      </c>
      <c r="AL4" s="169" t="s">
        <v>129</v>
      </c>
      <c r="AN4" s="170" t="s">
        <v>49</v>
      </c>
      <c r="AP4" s="165" t="s">
        <v>458</v>
      </c>
      <c r="AR4" s="179" t="s">
        <v>459</v>
      </c>
      <c r="AT4" s="170"/>
      <c r="AV4" s="179" t="s">
        <v>50</v>
      </c>
      <c r="AX4" s="166">
        <v>75</v>
      </c>
      <c r="AY4" s="167">
        <v>42</v>
      </c>
      <c r="AZ4" s="167">
        <v>76</v>
      </c>
      <c r="BA4" s="168">
        <v>39</v>
      </c>
    </row>
    <row r="5" spans="1:53" x14ac:dyDescent="0.15">
      <c r="A5" s="205" t="s">
        <v>61</v>
      </c>
      <c r="B5" s="205" t="s">
        <v>448</v>
      </c>
      <c r="C5" s="205">
        <v>2018</v>
      </c>
      <c r="D5" s="206" t="s">
        <v>449</v>
      </c>
      <c r="E5" s="205" t="s">
        <v>450</v>
      </c>
      <c r="F5" s="205" t="s">
        <v>451</v>
      </c>
      <c r="G5" s="205" t="s">
        <v>42</v>
      </c>
      <c r="H5" s="188" t="s">
        <v>127</v>
      </c>
      <c r="I5" s="188" t="s">
        <v>155</v>
      </c>
      <c r="J5" s="205" t="s">
        <v>58</v>
      </c>
      <c r="K5" s="188" t="s">
        <v>59</v>
      </c>
      <c r="L5" s="188">
        <v>1</v>
      </c>
      <c r="M5" s="188"/>
      <c r="N5" s="188">
        <v>1</v>
      </c>
      <c r="O5" s="188">
        <v>0.8</v>
      </c>
      <c r="P5" s="188">
        <v>0.8</v>
      </c>
      <c r="Q5" s="207">
        <f t="shared" si="0"/>
        <v>0.8</v>
      </c>
      <c r="R5" s="188">
        <v>132</v>
      </c>
      <c r="S5" s="188">
        <v>156</v>
      </c>
      <c r="T5" s="208">
        <f t="shared" si="1"/>
        <v>18</v>
      </c>
      <c r="U5" s="188">
        <v>148</v>
      </c>
      <c r="V5" s="209">
        <f t="shared" si="2"/>
        <v>2664</v>
      </c>
      <c r="W5" s="188">
        <v>3</v>
      </c>
      <c r="X5" s="205" t="s">
        <v>39</v>
      </c>
      <c r="Y5" s="188" t="s">
        <v>84</v>
      </c>
      <c r="Z5" s="188" t="s">
        <v>88</v>
      </c>
      <c r="AA5" s="188" t="s">
        <v>86</v>
      </c>
      <c r="AB5" s="205" t="s">
        <v>452</v>
      </c>
      <c r="AC5" s="210"/>
      <c r="AE5" s="164" t="s">
        <v>51</v>
      </c>
      <c r="AG5" s="49" t="s">
        <v>460</v>
      </c>
      <c r="AH5" s="49" t="s">
        <v>461</v>
      </c>
      <c r="AJ5" s="169"/>
      <c r="AL5" s="171" t="s">
        <v>462</v>
      </c>
      <c r="AN5" s="171" t="s">
        <v>463</v>
      </c>
      <c r="AP5" s="165" t="s">
        <v>464</v>
      </c>
      <c r="AR5" s="179" t="s">
        <v>54</v>
      </c>
      <c r="AT5" s="188"/>
      <c r="AV5" s="179" t="s">
        <v>55</v>
      </c>
      <c r="AX5" s="166">
        <v>84</v>
      </c>
      <c r="AY5" s="167">
        <v>39</v>
      </c>
      <c r="AZ5" s="167">
        <v>84</v>
      </c>
      <c r="BA5" s="168">
        <v>36</v>
      </c>
    </row>
    <row r="6" spans="1:53" x14ac:dyDescent="0.15">
      <c r="A6" s="205" t="s">
        <v>61</v>
      </c>
      <c r="B6" s="205" t="s">
        <v>448</v>
      </c>
      <c r="C6" s="205">
        <v>2018</v>
      </c>
      <c r="D6" s="206" t="s">
        <v>449</v>
      </c>
      <c r="E6" s="205" t="s">
        <v>450</v>
      </c>
      <c r="F6" s="205" t="s">
        <v>451</v>
      </c>
      <c r="G6" s="205" t="s">
        <v>42</v>
      </c>
      <c r="H6" s="188" t="s">
        <v>127</v>
      </c>
      <c r="I6" s="188" t="s">
        <v>155</v>
      </c>
      <c r="J6" s="205" t="s">
        <v>58</v>
      </c>
      <c r="K6" s="188" t="s">
        <v>59</v>
      </c>
      <c r="L6" s="188">
        <v>2</v>
      </c>
      <c r="M6" s="188"/>
      <c r="N6" s="188">
        <v>1</v>
      </c>
      <c r="O6" s="188">
        <v>0.8</v>
      </c>
      <c r="P6" s="188">
        <v>0.8</v>
      </c>
      <c r="Q6" s="207">
        <f t="shared" si="0"/>
        <v>0.8</v>
      </c>
      <c r="R6" s="188">
        <v>13.6</v>
      </c>
      <c r="S6" s="188">
        <v>145</v>
      </c>
      <c r="T6" s="208">
        <f t="shared" si="1"/>
        <v>22</v>
      </c>
      <c r="U6" s="188">
        <v>148</v>
      </c>
      <c r="V6" s="209">
        <f t="shared" si="2"/>
        <v>3256</v>
      </c>
      <c r="W6" s="188">
        <v>3</v>
      </c>
      <c r="X6" s="205" t="s">
        <v>39</v>
      </c>
      <c r="Y6" s="188" t="s">
        <v>84</v>
      </c>
      <c r="Z6" s="188" t="s">
        <v>88</v>
      </c>
      <c r="AA6" s="188" t="s">
        <v>86</v>
      </c>
      <c r="AB6" s="205" t="s">
        <v>452</v>
      </c>
      <c r="AC6" s="210"/>
      <c r="AE6" s="164" t="s">
        <v>56</v>
      </c>
      <c r="AG6" s="49" t="s">
        <v>465</v>
      </c>
      <c r="AH6" s="49" t="s">
        <v>466</v>
      </c>
      <c r="AJ6" s="169"/>
      <c r="AL6" s="171" t="s">
        <v>467</v>
      </c>
      <c r="AN6" s="171" t="s">
        <v>468</v>
      </c>
      <c r="AP6" s="165" t="s">
        <v>53</v>
      </c>
      <c r="AR6" s="179" t="s">
        <v>59</v>
      </c>
      <c r="AT6" s="188"/>
      <c r="AV6" s="179" t="s">
        <v>60</v>
      </c>
      <c r="AX6" s="166">
        <v>97</v>
      </c>
      <c r="AY6" s="167">
        <v>36</v>
      </c>
      <c r="AZ6" s="167">
        <v>99</v>
      </c>
      <c r="BA6" s="168">
        <v>33</v>
      </c>
    </row>
    <row r="7" spans="1:53" x14ac:dyDescent="0.15">
      <c r="A7" s="205" t="s">
        <v>61</v>
      </c>
      <c r="B7" s="205" t="s">
        <v>448</v>
      </c>
      <c r="C7" s="205">
        <v>2018</v>
      </c>
      <c r="D7" s="206" t="s">
        <v>449</v>
      </c>
      <c r="E7" s="205" t="s">
        <v>450</v>
      </c>
      <c r="F7" s="205" t="s">
        <v>451</v>
      </c>
      <c r="G7" s="205" t="s">
        <v>42</v>
      </c>
      <c r="H7" s="188" t="s">
        <v>127</v>
      </c>
      <c r="I7" s="188" t="s">
        <v>155</v>
      </c>
      <c r="J7" s="205" t="s">
        <v>58</v>
      </c>
      <c r="K7" s="188" t="s">
        <v>59</v>
      </c>
      <c r="L7" s="188">
        <v>3</v>
      </c>
      <c r="M7" s="188"/>
      <c r="N7" s="188">
        <v>1</v>
      </c>
      <c r="O7" s="188">
        <v>0.85</v>
      </c>
      <c r="P7" s="188">
        <v>0.8</v>
      </c>
      <c r="Q7" s="207">
        <f t="shared" si="0"/>
        <v>0.82499999999999996</v>
      </c>
      <c r="R7" s="188">
        <v>13</v>
      </c>
      <c r="S7" s="188">
        <v>147</v>
      </c>
      <c r="T7" s="208">
        <f t="shared" si="1"/>
        <v>22</v>
      </c>
      <c r="U7" s="188">
        <v>148</v>
      </c>
      <c r="V7" s="209">
        <f t="shared" si="2"/>
        <v>3256</v>
      </c>
      <c r="W7" s="188">
        <v>3</v>
      </c>
      <c r="X7" s="205" t="s">
        <v>39</v>
      </c>
      <c r="Y7" s="188" t="s">
        <v>84</v>
      </c>
      <c r="Z7" s="188" t="s">
        <v>88</v>
      </c>
      <c r="AA7" s="188" t="s">
        <v>86</v>
      </c>
      <c r="AB7" s="205" t="s">
        <v>452</v>
      </c>
      <c r="AC7" s="210"/>
      <c r="AE7" s="164" t="s">
        <v>61</v>
      </c>
      <c r="AG7" s="49" t="s">
        <v>469</v>
      </c>
      <c r="AH7" s="49" t="s">
        <v>470</v>
      </c>
      <c r="AJ7" s="169"/>
      <c r="AL7" s="176" t="s">
        <v>471</v>
      </c>
      <c r="AN7" s="216"/>
      <c r="AP7" s="165" t="s">
        <v>58</v>
      </c>
      <c r="AR7" s="172" t="s">
        <v>122</v>
      </c>
      <c r="AT7" s="188"/>
      <c r="AV7" s="179" t="s">
        <v>64</v>
      </c>
      <c r="AX7" s="166">
        <v>109</v>
      </c>
      <c r="AY7" s="167">
        <v>33</v>
      </c>
      <c r="AZ7" s="167">
        <v>113</v>
      </c>
      <c r="BA7" s="168">
        <v>30</v>
      </c>
    </row>
    <row r="8" spans="1:53" x14ac:dyDescent="0.15">
      <c r="A8" s="205" t="s">
        <v>61</v>
      </c>
      <c r="B8" s="205" t="s">
        <v>472</v>
      </c>
      <c r="C8" s="205">
        <v>2018</v>
      </c>
      <c r="D8" s="206" t="s">
        <v>473</v>
      </c>
      <c r="E8" s="205" t="s">
        <v>450</v>
      </c>
      <c r="F8" s="205" t="s">
        <v>451</v>
      </c>
      <c r="G8" s="205" t="s">
        <v>42</v>
      </c>
      <c r="H8" s="188" t="s">
        <v>127</v>
      </c>
      <c r="I8" s="188" t="s">
        <v>155</v>
      </c>
      <c r="J8" s="205" t="s">
        <v>80</v>
      </c>
      <c r="K8" s="188" t="s">
        <v>45</v>
      </c>
      <c r="L8" s="188">
        <v>1</v>
      </c>
      <c r="M8" s="188"/>
      <c r="N8" s="188">
        <v>4</v>
      </c>
      <c r="O8" s="188">
        <v>0.75</v>
      </c>
      <c r="P8" s="188">
        <v>0.75</v>
      </c>
      <c r="Q8" s="207">
        <f t="shared" si="0"/>
        <v>0.75</v>
      </c>
      <c r="R8" s="188">
        <v>12.2</v>
      </c>
      <c r="S8" s="188">
        <v>155</v>
      </c>
      <c r="T8" s="208">
        <f t="shared" si="1"/>
        <v>18</v>
      </c>
      <c r="U8" s="188">
        <v>416</v>
      </c>
      <c r="V8" s="209">
        <f t="shared" si="2"/>
        <v>1872</v>
      </c>
      <c r="W8" s="188">
        <v>3</v>
      </c>
      <c r="X8" s="205" t="s">
        <v>39</v>
      </c>
      <c r="Y8" s="188" t="s">
        <v>84</v>
      </c>
      <c r="Z8" s="188" t="s">
        <v>88</v>
      </c>
      <c r="AA8" s="188" t="s">
        <v>86</v>
      </c>
      <c r="AB8" s="205" t="s">
        <v>474</v>
      </c>
      <c r="AC8" s="210"/>
      <c r="AE8" s="164" t="s">
        <v>59</v>
      </c>
      <c r="AG8" s="49" t="s">
        <v>475</v>
      </c>
      <c r="AH8" s="49" t="s">
        <v>476</v>
      </c>
      <c r="AJ8" s="170"/>
      <c r="AL8" s="176" t="s">
        <v>477</v>
      </c>
      <c r="AN8" s="171"/>
      <c r="AP8" s="165" t="s">
        <v>62</v>
      </c>
      <c r="AR8" s="179" t="s">
        <v>81</v>
      </c>
      <c r="AV8" s="179" t="s">
        <v>97</v>
      </c>
      <c r="AX8" s="166">
        <v>119</v>
      </c>
      <c r="AY8" s="167">
        <v>30</v>
      </c>
      <c r="AZ8" s="167">
        <v>121</v>
      </c>
      <c r="BA8" s="168">
        <v>27</v>
      </c>
    </row>
    <row r="9" spans="1:53" x14ac:dyDescent="0.15">
      <c r="A9" s="205" t="s">
        <v>61</v>
      </c>
      <c r="B9" s="205" t="s">
        <v>472</v>
      </c>
      <c r="C9" s="205">
        <v>2018</v>
      </c>
      <c r="D9" s="206" t="s">
        <v>473</v>
      </c>
      <c r="E9" s="205" t="s">
        <v>450</v>
      </c>
      <c r="F9" s="205" t="s">
        <v>451</v>
      </c>
      <c r="G9" s="205" t="s">
        <v>42</v>
      </c>
      <c r="H9" s="188" t="s">
        <v>127</v>
      </c>
      <c r="I9" s="188" t="s">
        <v>155</v>
      </c>
      <c r="J9" s="205" t="s">
        <v>80</v>
      </c>
      <c r="K9" s="188" t="s">
        <v>45</v>
      </c>
      <c r="L9" s="188">
        <v>2</v>
      </c>
      <c r="M9" s="188"/>
      <c r="N9" s="188">
        <v>4</v>
      </c>
      <c r="O9" s="188">
        <v>0.65</v>
      </c>
      <c r="P9" s="188">
        <v>0.7</v>
      </c>
      <c r="Q9" s="207">
        <f t="shared" si="0"/>
        <v>0.67500000000000004</v>
      </c>
      <c r="R9" s="210">
        <v>15.3</v>
      </c>
      <c r="S9" s="188">
        <v>154</v>
      </c>
      <c r="T9" s="208">
        <f t="shared" si="1"/>
        <v>18</v>
      </c>
      <c r="U9" s="188">
        <v>416</v>
      </c>
      <c r="V9" s="209">
        <f t="shared" si="2"/>
        <v>1872</v>
      </c>
      <c r="W9" s="188">
        <v>3</v>
      </c>
      <c r="X9" s="205" t="s">
        <v>39</v>
      </c>
      <c r="Y9" s="188" t="s">
        <v>84</v>
      </c>
      <c r="Z9" s="188" t="s">
        <v>88</v>
      </c>
      <c r="AA9" s="188" t="s">
        <v>86</v>
      </c>
      <c r="AB9" s="205" t="s">
        <v>474</v>
      </c>
      <c r="AC9" s="210"/>
      <c r="AE9" s="164" t="s">
        <v>98</v>
      </c>
      <c r="AG9" s="49" t="s">
        <v>133</v>
      </c>
      <c r="AH9" s="49" t="s">
        <v>478</v>
      </c>
      <c r="AL9" s="171"/>
      <c r="AN9" s="171"/>
      <c r="AP9" s="165" t="s">
        <v>95</v>
      </c>
      <c r="AR9" s="172" t="s">
        <v>89</v>
      </c>
      <c r="AV9" s="179" t="s">
        <v>102</v>
      </c>
      <c r="AX9" s="166">
        <v>128</v>
      </c>
      <c r="AY9" s="167">
        <v>27</v>
      </c>
      <c r="AZ9" s="167">
        <v>129</v>
      </c>
      <c r="BA9" s="168">
        <v>25</v>
      </c>
    </row>
    <row r="10" spans="1:53" x14ac:dyDescent="0.15">
      <c r="A10" s="205" t="s">
        <v>61</v>
      </c>
      <c r="B10" s="205" t="s">
        <v>479</v>
      </c>
      <c r="C10" s="205">
        <v>2018</v>
      </c>
      <c r="D10" s="206" t="s">
        <v>480</v>
      </c>
      <c r="E10" s="205" t="s">
        <v>450</v>
      </c>
      <c r="F10" s="205" t="s">
        <v>451</v>
      </c>
      <c r="G10" s="205" t="s">
        <v>42</v>
      </c>
      <c r="H10" s="188" t="s">
        <v>127</v>
      </c>
      <c r="I10" s="188" t="s">
        <v>155</v>
      </c>
      <c r="J10" s="205" t="s">
        <v>80</v>
      </c>
      <c r="K10" s="188" t="s">
        <v>45</v>
      </c>
      <c r="L10" s="188">
        <v>3</v>
      </c>
      <c r="M10" s="188"/>
      <c r="N10" s="188">
        <v>4</v>
      </c>
      <c r="O10" s="188">
        <v>0.7</v>
      </c>
      <c r="P10" s="188">
        <v>0.6</v>
      </c>
      <c r="Q10" s="207">
        <f t="shared" si="0"/>
        <v>0.64999999999999991</v>
      </c>
      <c r="R10" s="188">
        <v>12.7</v>
      </c>
      <c r="S10" s="188">
        <v>154</v>
      </c>
      <c r="T10" s="208">
        <f t="shared" si="1"/>
        <v>18</v>
      </c>
      <c r="U10" s="188">
        <v>416</v>
      </c>
      <c r="V10" s="209">
        <f t="shared" si="2"/>
        <v>1872</v>
      </c>
      <c r="W10" s="188">
        <v>3</v>
      </c>
      <c r="X10" s="205" t="s">
        <v>39</v>
      </c>
      <c r="Y10" s="188" t="s">
        <v>84</v>
      </c>
      <c r="Z10" s="188" t="s">
        <v>88</v>
      </c>
      <c r="AA10" s="188" t="s">
        <v>86</v>
      </c>
      <c r="AB10" s="205" t="s">
        <v>481</v>
      </c>
      <c r="AC10" s="210"/>
      <c r="AE10" s="164" t="s">
        <v>103</v>
      </c>
      <c r="AG10" s="49" t="s">
        <v>482</v>
      </c>
      <c r="AH10" s="49" t="s">
        <v>483</v>
      </c>
      <c r="AL10" s="169"/>
      <c r="AP10" s="165" t="s">
        <v>100</v>
      </c>
      <c r="AR10" s="172" t="s">
        <v>123</v>
      </c>
      <c r="AV10" s="179" t="s">
        <v>106</v>
      </c>
      <c r="AX10" s="166">
        <v>138</v>
      </c>
      <c r="AY10" s="167">
        <v>25</v>
      </c>
      <c r="AZ10" s="167">
        <v>138</v>
      </c>
      <c r="BA10" s="168">
        <v>22</v>
      </c>
    </row>
    <row r="11" spans="1:53" x14ac:dyDescent="0.15">
      <c r="A11" s="205" t="s">
        <v>61</v>
      </c>
      <c r="B11" s="205" t="s">
        <v>479</v>
      </c>
      <c r="C11" s="205">
        <v>2018</v>
      </c>
      <c r="D11" s="206" t="s">
        <v>480</v>
      </c>
      <c r="E11" s="205" t="s">
        <v>454</v>
      </c>
      <c r="F11" s="205" t="s">
        <v>455</v>
      </c>
      <c r="G11" s="205" t="s">
        <v>42</v>
      </c>
      <c r="H11" s="188" t="s">
        <v>157</v>
      </c>
      <c r="I11" s="188" t="s">
        <v>155</v>
      </c>
      <c r="J11" s="205" t="s">
        <v>38</v>
      </c>
      <c r="K11" s="188" t="s">
        <v>156</v>
      </c>
      <c r="L11" s="188">
        <v>1</v>
      </c>
      <c r="M11" s="188"/>
      <c r="N11" s="188">
        <v>1</v>
      </c>
      <c r="O11" s="188">
        <v>0.8</v>
      </c>
      <c r="P11" s="188">
        <v>0.85</v>
      </c>
      <c r="Q11" s="207">
        <f t="shared" si="0"/>
        <v>0.82499999999999996</v>
      </c>
      <c r="R11" s="188">
        <v>16.399999999999999</v>
      </c>
      <c r="S11" s="188">
        <v>133</v>
      </c>
      <c r="T11" s="208">
        <f t="shared" si="1"/>
        <v>25</v>
      </c>
      <c r="U11" s="188">
        <v>98</v>
      </c>
      <c r="V11" s="209">
        <f t="shared" si="2"/>
        <v>2450</v>
      </c>
      <c r="W11" s="188">
        <v>7</v>
      </c>
      <c r="X11" s="205" t="s">
        <v>46</v>
      </c>
      <c r="Y11" s="188" t="s">
        <v>97</v>
      </c>
      <c r="Z11" s="188" t="s">
        <v>78</v>
      </c>
      <c r="AA11" s="188" t="s">
        <v>55</v>
      </c>
      <c r="AB11" s="205" t="s">
        <v>481</v>
      </c>
      <c r="AC11" s="210"/>
      <c r="AE11" s="164" t="s">
        <v>65</v>
      </c>
      <c r="AG11" s="49" t="s">
        <v>484</v>
      </c>
      <c r="AH11" s="49" t="s">
        <v>483</v>
      </c>
      <c r="AL11" s="217"/>
      <c r="AP11" s="165" t="s">
        <v>104</v>
      </c>
      <c r="AR11" s="172" t="s">
        <v>87</v>
      </c>
      <c r="AV11" s="218" t="s">
        <v>485</v>
      </c>
      <c r="AX11" s="166">
        <v>151</v>
      </c>
      <c r="AY11" s="167">
        <v>22</v>
      </c>
      <c r="AZ11" s="167">
        <v>152</v>
      </c>
      <c r="BA11" s="168">
        <v>18</v>
      </c>
    </row>
    <row r="12" spans="1:53" x14ac:dyDescent="0.15">
      <c r="A12" s="205" t="s">
        <v>61</v>
      </c>
      <c r="B12" s="205" t="s">
        <v>486</v>
      </c>
      <c r="C12" s="205">
        <v>2018</v>
      </c>
      <c r="D12" s="206" t="s">
        <v>487</v>
      </c>
      <c r="E12" s="205" t="s">
        <v>454</v>
      </c>
      <c r="F12" s="205" t="s">
        <v>455</v>
      </c>
      <c r="G12" s="205" t="s">
        <v>42</v>
      </c>
      <c r="H12" s="188" t="s">
        <v>157</v>
      </c>
      <c r="I12" s="188" t="s">
        <v>155</v>
      </c>
      <c r="J12" s="205" t="s">
        <v>38</v>
      </c>
      <c r="K12" s="188" t="s">
        <v>156</v>
      </c>
      <c r="L12" s="188">
        <v>2</v>
      </c>
      <c r="M12" s="188"/>
      <c r="N12" s="188">
        <v>1</v>
      </c>
      <c r="O12" s="188">
        <v>0.85</v>
      </c>
      <c r="P12" s="188">
        <v>0.7</v>
      </c>
      <c r="Q12" s="207">
        <f t="shared" si="0"/>
        <v>0.77499999999999991</v>
      </c>
      <c r="R12" s="210">
        <v>16.2</v>
      </c>
      <c r="S12" s="188">
        <v>134</v>
      </c>
      <c r="T12" s="208">
        <f t="shared" si="1"/>
        <v>25</v>
      </c>
      <c r="U12" s="188">
        <v>98</v>
      </c>
      <c r="V12" s="209">
        <f t="shared" si="2"/>
        <v>2450</v>
      </c>
      <c r="W12" s="188">
        <v>7</v>
      </c>
      <c r="X12" s="205" t="s">
        <v>46</v>
      </c>
      <c r="Y12" s="188" t="s">
        <v>97</v>
      </c>
      <c r="Z12" s="188" t="s">
        <v>78</v>
      </c>
      <c r="AA12" s="188" t="s">
        <v>55</v>
      </c>
      <c r="AB12" s="205" t="s">
        <v>488</v>
      </c>
      <c r="AC12" s="210"/>
      <c r="AE12" s="164" t="s">
        <v>70</v>
      </c>
      <c r="AG12" s="165"/>
      <c r="AH12" s="164"/>
      <c r="AL12" s="217"/>
      <c r="AP12" s="165" t="s">
        <v>67</v>
      </c>
      <c r="AR12" s="172" t="s">
        <v>124</v>
      </c>
      <c r="AV12" s="218" t="s">
        <v>489</v>
      </c>
      <c r="AX12" s="166">
        <v>180</v>
      </c>
      <c r="AY12" s="167">
        <v>18</v>
      </c>
      <c r="AZ12" s="167">
        <v>181</v>
      </c>
      <c r="BA12" s="168">
        <v>16</v>
      </c>
    </row>
    <row r="13" spans="1:53" x14ac:dyDescent="0.15">
      <c r="A13" s="205" t="s">
        <v>61</v>
      </c>
      <c r="B13" s="205" t="s">
        <v>490</v>
      </c>
      <c r="C13" s="205">
        <v>2018</v>
      </c>
      <c r="D13" s="206" t="s">
        <v>491</v>
      </c>
      <c r="E13" s="205" t="s">
        <v>454</v>
      </c>
      <c r="F13" s="205" t="s">
        <v>455</v>
      </c>
      <c r="G13" s="205" t="s">
        <v>42</v>
      </c>
      <c r="H13" s="188" t="s">
        <v>157</v>
      </c>
      <c r="I13" s="188" t="s">
        <v>155</v>
      </c>
      <c r="J13" s="205" t="s">
        <v>38</v>
      </c>
      <c r="K13" s="188" t="s">
        <v>156</v>
      </c>
      <c r="L13" s="188">
        <v>3</v>
      </c>
      <c r="M13" s="188"/>
      <c r="N13" s="188">
        <v>1</v>
      </c>
      <c r="O13" s="188">
        <v>0.7</v>
      </c>
      <c r="P13" s="188">
        <v>0.8</v>
      </c>
      <c r="Q13" s="207">
        <f t="shared" si="0"/>
        <v>0.75</v>
      </c>
      <c r="R13" s="188">
        <v>16.100000000000001</v>
      </c>
      <c r="S13" s="188">
        <v>139</v>
      </c>
      <c r="T13" s="208">
        <f t="shared" si="1"/>
        <v>22</v>
      </c>
      <c r="U13" s="188">
        <v>98</v>
      </c>
      <c r="V13" s="209">
        <f t="shared" si="2"/>
        <v>2156</v>
      </c>
      <c r="W13" s="188">
        <v>7</v>
      </c>
      <c r="X13" s="205" t="s">
        <v>46</v>
      </c>
      <c r="Y13" s="188" t="s">
        <v>97</v>
      </c>
      <c r="Z13" s="188" t="s">
        <v>78</v>
      </c>
      <c r="AA13" s="188" t="s">
        <v>55</v>
      </c>
      <c r="AB13" s="205" t="s">
        <v>492</v>
      </c>
      <c r="AC13" s="210"/>
      <c r="AE13" s="164" t="s">
        <v>73</v>
      </c>
      <c r="AG13" s="165"/>
      <c r="AH13" s="164"/>
      <c r="AL13" s="219"/>
      <c r="AP13" s="165" t="s">
        <v>71</v>
      </c>
      <c r="AR13" s="172" t="s">
        <v>103</v>
      </c>
      <c r="AV13" s="218" t="s">
        <v>493</v>
      </c>
      <c r="AX13" s="166"/>
      <c r="AY13" s="167"/>
      <c r="AZ13" s="167"/>
      <c r="BA13" s="168"/>
    </row>
    <row r="14" spans="1:53" x14ac:dyDescent="0.15">
      <c r="A14" s="205" t="s">
        <v>61</v>
      </c>
      <c r="B14" s="205" t="s">
        <v>494</v>
      </c>
      <c r="C14" s="205">
        <v>2018</v>
      </c>
      <c r="D14" s="206" t="s">
        <v>495</v>
      </c>
      <c r="E14" s="205" t="s">
        <v>454</v>
      </c>
      <c r="F14" s="205" t="s">
        <v>455</v>
      </c>
      <c r="G14" s="205" t="s">
        <v>42</v>
      </c>
      <c r="H14" s="188" t="s">
        <v>162</v>
      </c>
      <c r="I14" s="188" t="s">
        <v>155</v>
      </c>
      <c r="J14" s="205" t="s">
        <v>38</v>
      </c>
      <c r="K14" s="188" t="s">
        <v>156</v>
      </c>
      <c r="L14" s="188">
        <v>1</v>
      </c>
      <c r="M14" s="188"/>
      <c r="N14" s="188">
        <v>1</v>
      </c>
      <c r="O14" s="188">
        <v>0.5</v>
      </c>
      <c r="P14" s="188">
        <v>0.5</v>
      </c>
      <c r="Q14" s="207">
        <f t="shared" si="0"/>
        <v>0.5</v>
      </c>
      <c r="R14" s="188">
        <v>17.8</v>
      </c>
      <c r="S14" s="188">
        <v>178</v>
      </c>
      <c r="T14" s="208">
        <f t="shared" si="1"/>
        <v>18</v>
      </c>
      <c r="U14" s="188">
        <v>158</v>
      </c>
      <c r="V14" s="209">
        <f t="shared" si="2"/>
        <v>2844</v>
      </c>
      <c r="W14" s="188">
        <v>7</v>
      </c>
      <c r="X14" s="205" t="s">
        <v>46</v>
      </c>
      <c r="Y14" s="188" t="s">
        <v>97</v>
      </c>
      <c r="Z14" s="188" t="s">
        <v>78</v>
      </c>
      <c r="AA14" s="188" t="s">
        <v>55</v>
      </c>
      <c r="AB14" s="205" t="s">
        <v>496</v>
      </c>
      <c r="AC14" s="210"/>
      <c r="AE14" s="164" t="s">
        <v>76</v>
      </c>
      <c r="AG14" s="165"/>
      <c r="AH14" s="164"/>
      <c r="AL14" s="176"/>
      <c r="AP14" s="165" t="s">
        <v>74</v>
      </c>
      <c r="AR14" s="172" t="s">
        <v>125</v>
      </c>
      <c r="AV14" s="218" t="s">
        <v>497</v>
      </c>
      <c r="AX14" s="166"/>
      <c r="AY14" s="167"/>
      <c r="AZ14" s="167"/>
      <c r="BA14" s="168"/>
    </row>
    <row r="15" spans="1:53" x14ac:dyDescent="0.15">
      <c r="A15" s="205" t="s">
        <v>61</v>
      </c>
      <c r="B15" s="205" t="s">
        <v>494</v>
      </c>
      <c r="C15" s="205">
        <v>2018</v>
      </c>
      <c r="D15" s="206" t="s">
        <v>495</v>
      </c>
      <c r="E15" s="205" t="s">
        <v>454</v>
      </c>
      <c r="F15" s="205" t="s">
        <v>455</v>
      </c>
      <c r="G15" s="205" t="s">
        <v>42</v>
      </c>
      <c r="H15" s="188" t="s">
        <v>162</v>
      </c>
      <c r="I15" s="188" t="s">
        <v>155</v>
      </c>
      <c r="J15" s="205" t="s">
        <v>38</v>
      </c>
      <c r="K15" s="188" t="s">
        <v>156</v>
      </c>
      <c r="L15" s="188">
        <v>2</v>
      </c>
      <c r="M15" s="188"/>
      <c r="N15" s="188">
        <v>1</v>
      </c>
      <c r="O15" s="188">
        <v>0.5</v>
      </c>
      <c r="P15" s="188">
        <v>0.5</v>
      </c>
      <c r="Q15" s="207">
        <f t="shared" si="0"/>
        <v>0.5</v>
      </c>
      <c r="R15" s="210">
        <v>17.7</v>
      </c>
      <c r="S15" s="188">
        <v>179</v>
      </c>
      <c r="T15" s="208">
        <f t="shared" si="1"/>
        <v>18</v>
      </c>
      <c r="U15" s="188">
        <v>158</v>
      </c>
      <c r="V15" s="209">
        <f t="shared" si="2"/>
        <v>2844</v>
      </c>
      <c r="W15" s="188">
        <v>7</v>
      </c>
      <c r="X15" s="205" t="s">
        <v>46</v>
      </c>
      <c r="Y15" s="188" t="s">
        <v>97</v>
      </c>
      <c r="Z15" s="188" t="s">
        <v>78</v>
      </c>
      <c r="AA15" s="188" t="s">
        <v>55</v>
      </c>
      <c r="AB15" s="205" t="s">
        <v>496</v>
      </c>
      <c r="AC15" s="210"/>
      <c r="AE15" s="164" t="s">
        <v>79</v>
      </c>
      <c r="AG15" s="165"/>
      <c r="AH15" s="165"/>
      <c r="AL15" s="176"/>
      <c r="AP15" s="165" t="s">
        <v>77</v>
      </c>
      <c r="AR15" s="172" t="s">
        <v>94</v>
      </c>
      <c r="AV15" s="218" t="s">
        <v>498</v>
      </c>
      <c r="AX15" s="173"/>
      <c r="AY15" s="174"/>
      <c r="AZ15" s="174"/>
      <c r="BA15" s="175"/>
    </row>
    <row r="16" spans="1:53" x14ac:dyDescent="0.15">
      <c r="A16" s="205" t="s">
        <v>61</v>
      </c>
      <c r="B16" s="205" t="s">
        <v>499</v>
      </c>
      <c r="C16" s="205">
        <v>2018</v>
      </c>
      <c r="D16" s="206" t="s">
        <v>500</v>
      </c>
      <c r="E16" s="205" t="s">
        <v>454</v>
      </c>
      <c r="F16" s="205" t="s">
        <v>455</v>
      </c>
      <c r="G16" s="205" t="s">
        <v>42</v>
      </c>
      <c r="H16" s="188" t="s">
        <v>162</v>
      </c>
      <c r="I16" s="188" t="s">
        <v>155</v>
      </c>
      <c r="J16" s="205" t="s">
        <v>38</v>
      </c>
      <c r="K16" s="188" t="s">
        <v>156</v>
      </c>
      <c r="L16" s="188">
        <v>3</v>
      </c>
      <c r="M16" s="188"/>
      <c r="N16" s="188">
        <v>1</v>
      </c>
      <c r="O16" s="188">
        <v>0.5</v>
      </c>
      <c r="P16" s="188">
        <v>0.55000000000000004</v>
      </c>
      <c r="Q16" s="207">
        <f t="shared" si="0"/>
        <v>0.52500000000000002</v>
      </c>
      <c r="R16" s="188">
        <v>17.399999999999999</v>
      </c>
      <c r="S16" s="188">
        <v>160</v>
      </c>
      <c r="T16" s="208">
        <f t="shared" si="1"/>
        <v>18</v>
      </c>
      <c r="U16" s="188">
        <v>158</v>
      </c>
      <c r="V16" s="209">
        <f t="shared" si="2"/>
        <v>2844</v>
      </c>
      <c r="W16" s="188">
        <v>7</v>
      </c>
      <c r="X16" s="205" t="s">
        <v>46</v>
      </c>
      <c r="Y16" s="188" t="s">
        <v>97</v>
      </c>
      <c r="Z16" s="188" t="s">
        <v>78</v>
      </c>
      <c r="AA16" s="188" t="s">
        <v>55</v>
      </c>
      <c r="AB16" s="205" t="s">
        <v>501</v>
      </c>
      <c r="AC16" s="210"/>
      <c r="AE16" s="164" t="s">
        <v>82</v>
      </c>
      <c r="AG16" s="165"/>
      <c r="AH16" s="165"/>
      <c r="AP16" s="165" t="s">
        <v>80</v>
      </c>
      <c r="AR16" s="179" t="s">
        <v>63</v>
      </c>
      <c r="AV16" s="218" t="s">
        <v>502</v>
      </c>
    </row>
    <row r="17" spans="1:48" x14ac:dyDescent="0.15">
      <c r="A17" s="205" t="s">
        <v>61</v>
      </c>
      <c r="B17" s="205" t="s">
        <v>499</v>
      </c>
      <c r="C17" s="205">
        <v>2018</v>
      </c>
      <c r="D17" s="206" t="s">
        <v>500</v>
      </c>
      <c r="E17" s="205" t="s">
        <v>456</v>
      </c>
      <c r="F17" s="205" t="s">
        <v>457</v>
      </c>
      <c r="G17" s="205" t="s">
        <v>42</v>
      </c>
      <c r="H17" s="188" t="s">
        <v>157</v>
      </c>
      <c r="I17" s="188" t="s">
        <v>155</v>
      </c>
      <c r="J17" s="205" t="s">
        <v>38</v>
      </c>
      <c r="K17" s="188" t="s">
        <v>156</v>
      </c>
      <c r="L17" s="188">
        <v>1</v>
      </c>
      <c r="M17" s="188"/>
      <c r="N17" s="188">
        <v>1</v>
      </c>
      <c r="O17" s="188">
        <v>0.6</v>
      </c>
      <c r="P17" s="188">
        <v>0.65</v>
      </c>
      <c r="Q17" s="207">
        <f t="shared" si="0"/>
        <v>0.625</v>
      </c>
      <c r="R17" s="188">
        <v>17.600000000000001</v>
      </c>
      <c r="S17" s="188">
        <v>140</v>
      </c>
      <c r="T17" s="208">
        <f t="shared" si="1"/>
        <v>22</v>
      </c>
      <c r="U17" s="188">
        <v>128</v>
      </c>
      <c r="V17" s="209">
        <f t="shared" si="2"/>
        <v>2816</v>
      </c>
      <c r="W17" s="188">
        <v>9</v>
      </c>
      <c r="X17" s="205" t="s">
        <v>46</v>
      </c>
      <c r="Y17" s="188" t="s">
        <v>55</v>
      </c>
      <c r="Z17" s="188" t="s">
        <v>69</v>
      </c>
      <c r="AA17" s="188" t="s">
        <v>47</v>
      </c>
      <c r="AB17" s="205" t="s">
        <v>501</v>
      </c>
      <c r="AC17" s="210"/>
      <c r="AE17" s="164" t="s">
        <v>85</v>
      </c>
      <c r="AP17" s="180" t="s">
        <v>110</v>
      </c>
      <c r="AR17" s="179" t="s">
        <v>96</v>
      </c>
      <c r="AV17" s="218" t="s">
        <v>503</v>
      </c>
    </row>
    <row r="18" spans="1:48" x14ac:dyDescent="0.15">
      <c r="A18" s="205" t="s">
        <v>61</v>
      </c>
      <c r="B18" s="205" t="s">
        <v>499</v>
      </c>
      <c r="C18" s="205">
        <v>2018</v>
      </c>
      <c r="D18" s="206" t="s">
        <v>500</v>
      </c>
      <c r="E18" s="205" t="s">
        <v>456</v>
      </c>
      <c r="F18" s="205" t="s">
        <v>457</v>
      </c>
      <c r="G18" s="205" t="s">
        <v>42</v>
      </c>
      <c r="H18" s="188" t="s">
        <v>157</v>
      </c>
      <c r="I18" s="188" t="s">
        <v>155</v>
      </c>
      <c r="J18" s="205" t="s">
        <v>38</v>
      </c>
      <c r="K18" s="188" t="s">
        <v>156</v>
      </c>
      <c r="L18" s="188">
        <v>2</v>
      </c>
      <c r="M18" s="188"/>
      <c r="N18" s="188">
        <v>1</v>
      </c>
      <c r="O18" s="188">
        <v>0.6</v>
      </c>
      <c r="P18" s="188">
        <v>0.6</v>
      </c>
      <c r="Q18" s="207">
        <f t="shared" si="0"/>
        <v>0.6</v>
      </c>
      <c r="R18" s="210">
        <v>17.600000000000001</v>
      </c>
      <c r="S18" s="188">
        <v>141</v>
      </c>
      <c r="T18" s="208">
        <f t="shared" si="1"/>
        <v>22</v>
      </c>
      <c r="U18" s="188">
        <v>128</v>
      </c>
      <c r="V18" s="209">
        <f t="shared" si="2"/>
        <v>2816</v>
      </c>
      <c r="W18" s="188">
        <v>9</v>
      </c>
      <c r="X18" s="205" t="s">
        <v>46</v>
      </c>
      <c r="Y18" s="188" t="s">
        <v>55</v>
      </c>
      <c r="Z18" s="188" t="s">
        <v>69</v>
      </c>
      <c r="AA18" s="188" t="s">
        <v>47</v>
      </c>
      <c r="AB18" s="205" t="s">
        <v>501</v>
      </c>
      <c r="AC18" s="210"/>
      <c r="AE18" s="164" t="s">
        <v>87</v>
      </c>
      <c r="AP18" s="180" t="s">
        <v>111</v>
      </c>
      <c r="AR18" s="179" t="s">
        <v>101</v>
      </c>
      <c r="AV18" s="218" t="s">
        <v>504</v>
      </c>
    </row>
    <row r="19" spans="1:48" x14ac:dyDescent="0.15">
      <c r="A19" s="205" t="s">
        <v>61</v>
      </c>
      <c r="B19" s="205" t="s">
        <v>486</v>
      </c>
      <c r="C19" s="205">
        <v>2018</v>
      </c>
      <c r="D19" s="206" t="s">
        <v>487</v>
      </c>
      <c r="E19" s="205" t="s">
        <v>456</v>
      </c>
      <c r="F19" s="205" t="s">
        <v>457</v>
      </c>
      <c r="G19" s="205" t="s">
        <v>42</v>
      </c>
      <c r="H19" s="188" t="s">
        <v>157</v>
      </c>
      <c r="I19" s="188" t="s">
        <v>155</v>
      </c>
      <c r="J19" s="205" t="s">
        <v>38</v>
      </c>
      <c r="K19" s="188" t="s">
        <v>156</v>
      </c>
      <c r="L19" s="188">
        <v>3</v>
      </c>
      <c r="M19" s="188"/>
      <c r="N19" s="188">
        <v>1</v>
      </c>
      <c r="O19" s="210">
        <v>0.55000000000000004</v>
      </c>
      <c r="P19" s="188">
        <v>0.55000000000000004</v>
      </c>
      <c r="Q19" s="207">
        <f t="shared" si="0"/>
        <v>0.55000000000000004</v>
      </c>
      <c r="R19" s="188">
        <v>17</v>
      </c>
      <c r="S19" s="188">
        <v>148</v>
      </c>
      <c r="T19" s="208">
        <f t="shared" si="1"/>
        <v>22</v>
      </c>
      <c r="U19" s="188">
        <v>128</v>
      </c>
      <c r="V19" s="209">
        <f t="shared" si="2"/>
        <v>2816</v>
      </c>
      <c r="W19" s="188">
        <v>9</v>
      </c>
      <c r="X19" s="205" t="s">
        <v>46</v>
      </c>
      <c r="Y19" s="188" t="s">
        <v>55</v>
      </c>
      <c r="Z19" s="188" t="s">
        <v>69</v>
      </c>
      <c r="AA19" s="188" t="s">
        <v>47</v>
      </c>
      <c r="AB19" s="205" t="s">
        <v>488</v>
      </c>
      <c r="AC19" s="210"/>
      <c r="AE19" s="177" t="s">
        <v>89</v>
      </c>
      <c r="AP19" s="180" t="s">
        <v>112</v>
      </c>
      <c r="AR19" s="172" t="s">
        <v>126</v>
      </c>
      <c r="AV19" s="218" t="s">
        <v>505</v>
      </c>
    </row>
    <row r="20" spans="1:48" x14ac:dyDescent="0.15">
      <c r="A20" s="205" t="s">
        <v>61</v>
      </c>
      <c r="B20" s="205" t="s">
        <v>486</v>
      </c>
      <c r="C20" s="205">
        <v>2018</v>
      </c>
      <c r="D20" s="206" t="s">
        <v>487</v>
      </c>
      <c r="E20" s="205" t="s">
        <v>456</v>
      </c>
      <c r="F20" s="205" t="s">
        <v>457</v>
      </c>
      <c r="G20" s="205" t="s">
        <v>42</v>
      </c>
      <c r="H20" s="188" t="s">
        <v>162</v>
      </c>
      <c r="I20" s="188" t="s">
        <v>155</v>
      </c>
      <c r="J20" s="205" t="s">
        <v>38</v>
      </c>
      <c r="K20" s="188" t="s">
        <v>156</v>
      </c>
      <c r="L20" s="188">
        <v>1</v>
      </c>
      <c r="M20" s="188"/>
      <c r="N20" s="188">
        <v>1</v>
      </c>
      <c r="O20" s="188">
        <v>0.5</v>
      </c>
      <c r="P20" s="188">
        <v>0.5</v>
      </c>
      <c r="Q20" s="207">
        <f t="shared" si="0"/>
        <v>0.5</v>
      </c>
      <c r="R20" s="188">
        <v>18.899999999999999</v>
      </c>
      <c r="S20" s="188">
        <v>156</v>
      </c>
      <c r="T20" s="208">
        <f t="shared" si="1"/>
        <v>18</v>
      </c>
      <c r="U20" s="188">
        <v>178</v>
      </c>
      <c r="V20" s="209">
        <f t="shared" si="2"/>
        <v>3204</v>
      </c>
      <c r="W20" s="188">
        <v>9</v>
      </c>
      <c r="X20" s="205" t="s">
        <v>46</v>
      </c>
      <c r="Y20" s="188" t="s">
        <v>55</v>
      </c>
      <c r="Z20" s="188" t="s">
        <v>69</v>
      </c>
      <c r="AA20" s="188" t="s">
        <v>47</v>
      </c>
      <c r="AB20" s="205" t="s">
        <v>488</v>
      </c>
      <c r="AC20" s="210"/>
      <c r="AE20" s="164"/>
      <c r="AP20" s="180" t="s">
        <v>113</v>
      </c>
      <c r="AR20" s="179" t="s">
        <v>105</v>
      </c>
      <c r="AV20" s="218" t="s">
        <v>506</v>
      </c>
    </row>
    <row r="21" spans="1:48" x14ac:dyDescent="0.15">
      <c r="A21" s="205" t="s">
        <v>61</v>
      </c>
      <c r="B21" s="205" t="s">
        <v>486</v>
      </c>
      <c r="C21" s="205">
        <v>2018</v>
      </c>
      <c r="D21" s="206" t="s">
        <v>487</v>
      </c>
      <c r="E21" s="205" t="s">
        <v>456</v>
      </c>
      <c r="F21" s="205" t="s">
        <v>457</v>
      </c>
      <c r="G21" s="205" t="s">
        <v>42</v>
      </c>
      <c r="H21" s="188" t="s">
        <v>162</v>
      </c>
      <c r="I21" s="188" t="s">
        <v>155</v>
      </c>
      <c r="J21" s="205" t="s">
        <v>38</v>
      </c>
      <c r="K21" s="188" t="s">
        <v>156</v>
      </c>
      <c r="L21" s="188">
        <v>2</v>
      </c>
      <c r="M21" s="188"/>
      <c r="N21" s="188">
        <v>1</v>
      </c>
      <c r="O21" s="188">
        <v>0.5</v>
      </c>
      <c r="P21" s="188">
        <v>0.5</v>
      </c>
      <c r="Q21" s="207">
        <f t="shared" si="0"/>
        <v>0.5</v>
      </c>
      <c r="R21" s="188">
        <v>18.600000000000001</v>
      </c>
      <c r="S21" s="188">
        <v>157</v>
      </c>
      <c r="T21" s="208">
        <f t="shared" si="1"/>
        <v>18</v>
      </c>
      <c r="U21" s="188">
        <v>178</v>
      </c>
      <c r="V21" s="209">
        <f t="shared" si="2"/>
        <v>3204</v>
      </c>
      <c r="W21" s="188">
        <v>9</v>
      </c>
      <c r="X21" s="205" t="s">
        <v>46</v>
      </c>
      <c r="Y21" s="188" t="s">
        <v>55</v>
      </c>
      <c r="Z21" s="188" t="s">
        <v>69</v>
      </c>
      <c r="AA21" s="188" t="s">
        <v>47</v>
      </c>
      <c r="AB21" s="205" t="s">
        <v>488</v>
      </c>
      <c r="AC21" s="210"/>
      <c r="AE21" s="164"/>
      <c r="AP21" s="180" t="s">
        <v>114</v>
      </c>
      <c r="AR21" s="179" t="s">
        <v>68</v>
      </c>
      <c r="AV21" s="218" t="s">
        <v>507</v>
      </c>
    </row>
    <row r="22" spans="1:48" x14ac:dyDescent="0.15">
      <c r="A22" s="205" t="s">
        <v>61</v>
      </c>
      <c r="B22" s="205" t="s">
        <v>486</v>
      </c>
      <c r="C22" s="205">
        <v>2018</v>
      </c>
      <c r="D22" s="206" t="s">
        <v>487</v>
      </c>
      <c r="E22" s="205" t="s">
        <v>456</v>
      </c>
      <c r="F22" s="205" t="s">
        <v>457</v>
      </c>
      <c r="G22" s="205" t="s">
        <v>42</v>
      </c>
      <c r="H22" s="188" t="s">
        <v>162</v>
      </c>
      <c r="I22" s="188" t="s">
        <v>155</v>
      </c>
      <c r="J22" s="205" t="s">
        <v>38</v>
      </c>
      <c r="K22" s="188" t="s">
        <v>156</v>
      </c>
      <c r="L22" s="188">
        <v>3</v>
      </c>
      <c r="M22" s="188"/>
      <c r="N22" s="188">
        <v>1</v>
      </c>
      <c r="O22" s="210">
        <v>0.5</v>
      </c>
      <c r="P22" s="188">
        <v>0.55000000000000004</v>
      </c>
      <c r="Q22" s="207">
        <f t="shared" si="0"/>
        <v>0.52500000000000002</v>
      </c>
      <c r="R22" s="188">
        <v>19</v>
      </c>
      <c r="S22" s="188">
        <v>170</v>
      </c>
      <c r="T22" s="208">
        <f t="shared" si="1"/>
        <v>18</v>
      </c>
      <c r="U22" s="188">
        <v>178</v>
      </c>
      <c r="V22" s="209">
        <f t="shared" si="2"/>
        <v>3204</v>
      </c>
      <c r="W22" s="188">
        <v>9</v>
      </c>
      <c r="X22" s="205" t="s">
        <v>46</v>
      </c>
      <c r="Y22" s="188" t="s">
        <v>55</v>
      </c>
      <c r="Z22" s="188" t="s">
        <v>69</v>
      </c>
      <c r="AA22" s="188" t="s">
        <v>47</v>
      </c>
      <c r="AB22" s="205" t="s">
        <v>488</v>
      </c>
      <c r="AC22" s="210"/>
      <c r="AE22" s="177"/>
      <c r="AP22" s="180" t="s">
        <v>115</v>
      </c>
      <c r="AR22" s="179" t="s">
        <v>83</v>
      </c>
      <c r="AV22" s="165"/>
    </row>
    <row r="23" spans="1:48" x14ac:dyDescent="0.15">
      <c r="A23" s="205" t="s">
        <v>61</v>
      </c>
      <c r="B23" s="205" t="s">
        <v>486</v>
      </c>
      <c r="C23" s="205">
        <v>2018</v>
      </c>
      <c r="D23" s="206" t="s">
        <v>487</v>
      </c>
      <c r="E23" s="205" t="s">
        <v>456</v>
      </c>
      <c r="F23" s="205" t="s">
        <v>457</v>
      </c>
      <c r="G23" s="205" t="s">
        <v>42</v>
      </c>
      <c r="H23" s="188" t="s">
        <v>211</v>
      </c>
      <c r="I23" s="188" t="s">
        <v>155</v>
      </c>
      <c r="J23" s="205" t="s">
        <v>38</v>
      </c>
      <c r="K23" s="188" t="s">
        <v>156</v>
      </c>
      <c r="L23" s="188">
        <v>1</v>
      </c>
      <c r="M23" s="188"/>
      <c r="N23" s="188">
        <v>4</v>
      </c>
      <c r="O23" s="188">
        <v>0.5</v>
      </c>
      <c r="P23" s="188">
        <v>0.55000000000000004</v>
      </c>
      <c r="Q23" s="207">
        <f t="shared" si="0"/>
        <v>0.52500000000000002</v>
      </c>
      <c r="R23" s="188">
        <v>15.5</v>
      </c>
      <c r="S23" s="188">
        <v>98</v>
      </c>
      <c r="T23" s="208">
        <f t="shared" si="1"/>
        <v>36</v>
      </c>
      <c r="U23" s="188">
        <v>358</v>
      </c>
      <c r="V23" s="209">
        <f t="shared" si="2"/>
        <v>3222</v>
      </c>
      <c r="W23" s="188">
        <v>9</v>
      </c>
      <c r="X23" s="205" t="s">
        <v>46</v>
      </c>
      <c r="Y23" s="188" t="s">
        <v>55</v>
      </c>
      <c r="Z23" s="188" t="s">
        <v>69</v>
      </c>
      <c r="AA23" s="188" t="s">
        <v>47</v>
      </c>
      <c r="AB23" s="205" t="s">
        <v>488</v>
      </c>
      <c r="AC23" s="210"/>
      <c r="AE23" s="164"/>
      <c r="AP23" s="180" t="s">
        <v>508</v>
      </c>
      <c r="AR23" s="179" t="s">
        <v>61</v>
      </c>
    </row>
    <row r="24" spans="1:48" x14ac:dyDescent="0.15">
      <c r="A24" s="205" t="s">
        <v>61</v>
      </c>
      <c r="B24" s="205" t="s">
        <v>486</v>
      </c>
      <c r="C24" s="205">
        <v>2018</v>
      </c>
      <c r="D24" s="206" t="s">
        <v>487</v>
      </c>
      <c r="E24" s="205" t="s">
        <v>456</v>
      </c>
      <c r="F24" s="205" t="s">
        <v>457</v>
      </c>
      <c r="G24" s="205" t="s">
        <v>42</v>
      </c>
      <c r="H24" s="188" t="s">
        <v>211</v>
      </c>
      <c r="I24" s="188" t="s">
        <v>155</v>
      </c>
      <c r="J24" s="205" t="s">
        <v>38</v>
      </c>
      <c r="K24" s="188" t="s">
        <v>156</v>
      </c>
      <c r="L24" s="188">
        <v>2</v>
      </c>
      <c r="M24" s="188"/>
      <c r="N24" s="188">
        <v>4</v>
      </c>
      <c r="O24" s="188">
        <v>0.5</v>
      </c>
      <c r="P24" s="188">
        <v>0.5</v>
      </c>
      <c r="Q24" s="207">
        <f t="shared" si="0"/>
        <v>0.5</v>
      </c>
      <c r="R24" s="188">
        <v>16.8</v>
      </c>
      <c r="S24" s="188">
        <v>105</v>
      </c>
      <c r="T24" s="208">
        <f t="shared" si="1"/>
        <v>33</v>
      </c>
      <c r="U24" s="188">
        <v>358</v>
      </c>
      <c r="V24" s="209">
        <f t="shared" si="2"/>
        <v>2953.5</v>
      </c>
      <c r="W24" s="188">
        <v>9</v>
      </c>
      <c r="X24" s="205" t="s">
        <v>46</v>
      </c>
      <c r="Y24" s="188" t="s">
        <v>55</v>
      </c>
      <c r="Z24" s="188" t="s">
        <v>69</v>
      </c>
      <c r="AA24" s="188" t="s">
        <v>47</v>
      </c>
      <c r="AB24" s="205" t="s">
        <v>488</v>
      </c>
      <c r="AC24" s="210"/>
      <c r="AE24" s="164"/>
      <c r="AP24" s="180" t="s">
        <v>509</v>
      </c>
      <c r="AR24" s="179" t="s">
        <v>91</v>
      </c>
    </row>
    <row r="25" spans="1:48" x14ac:dyDescent="0.15">
      <c r="A25" s="205" t="s">
        <v>61</v>
      </c>
      <c r="B25" s="205" t="s">
        <v>486</v>
      </c>
      <c r="C25" s="205">
        <v>2018</v>
      </c>
      <c r="D25" s="206" t="s">
        <v>487</v>
      </c>
      <c r="E25" s="205" t="s">
        <v>456</v>
      </c>
      <c r="F25" s="205" t="s">
        <v>457</v>
      </c>
      <c r="G25" s="205" t="s">
        <v>42</v>
      </c>
      <c r="H25" s="188" t="s">
        <v>211</v>
      </c>
      <c r="I25" s="188" t="s">
        <v>155</v>
      </c>
      <c r="J25" s="205" t="s">
        <v>38</v>
      </c>
      <c r="K25" s="188" t="s">
        <v>156</v>
      </c>
      <c r="L25" s="188">
        <v>3</v>
      </c>
      <c r="M25" s="188"/>
      <c r="N25" s="188">
        <v>4</v>
      </c>
      <c r="O25" s="210">
        <v>0.5</v>
      </c>
      <c r="P25" s="188">
        <v>0.5</v>
      </c>
      <c r="Q25" s="207">
        <f t="shared" si="0"/>
        <v>0.5</v>
      </c>
      <c r="R25" s="188">
        <v>15.9</v>
      </c>
      <c r="S25" s="188">
        <v>101</v>
      </c>
      <c r="T25" s="208">
        <f t="shared" si="1"/>
        <v>33</v>
      </c>
      <c r="U25" s="188">
        <v>358</v>
      </c>
      <c r="V25" s="209">
        <f t="shared" si="2"/>
        <v>2953.5</v>
      </c>
      <c r="W25" s="188">
        <v>9</v>
      </c>
      <c r="X25" s="205" t="s">
        <v>46</v>
      </c>
      <c r="Y25" s="188" t="s">
        <v>55</v>
      </c>
      <c r="Z25" s="188" t="s">
        <v>69</v>
      </c>
      <c r="AA25" s="188" t="s">
        <v>47</v>
      </c>
      <c r="AB25" s="205" t="s">
        <v>488</v>
      </c>
      <c r="AC25" s="210"/>
      <c r="AE25" s="177"/>
      <c r="AP25" s="180" t="s">
        <v>116</v>
      </c>
      <c r="AR25" s="42" t="s">
        <v>92</v>
      </c>
    </row>
    <row r="26" spans="1:48" x14ac:dyDescent="0.15">
      <c r="A26" s="205" t="s">
        <v>61</v>
      </c>
      <c r="B26" s="205" t="s">
        <v>486</v>
      </c>
      <c r="C26" s="205">
        <v>2018</v>
      </c>
      <c r="D26" s="206" t="s">
        <v>487</v>
      </c>
      <c r="E26" s="205" t="s">
        <v>460</v>
      </c>
      <c r="F26" s="205" t="s">
        <v>461</v>
      </c>
      <c r="G26" s="205" t="s">
        <v>42</v>
      </c>
      <c r="H26" s="188" t="s">
        <v>157</v>
      </c>
      <c r="I26" s="188" t="s">
        <v>155</v>
      </c>
      <c r="J26" s="205" t="s">
        <v>38</v>
      </c>
      <c r="K26" s="188" t="s">
        <v>156</v>
      </c>
      <c r="L26" s="188">
        <v>1</v>
      </c>
      <c r="M26" s="188"/>
      <c r="N26" s="188">
        <v>1</v>
      </c>
      <c r="O26" s="188">
        <v>0.7</v>
      </c>
      <c r="P26" s="210">
        <v>0.75</v>
      </c>
      <c r="Q26" s="207">
        <f t="shared" si="0"/>
        <v>0.72499999999999998</v>
      </c>
      <c r="R26" s="188">
        <v>14.3</v>
      </c>
      <c r="S26" s="188">
        <v>120</v>
      </c>
      <c r="T26" s="208">
        <f t="shared" si="1"/>
        <v>30</v>
      </c>
      <c r="U26" s="188">
        <v>138</v>
      </c>
      <c r="V26" s="209">
        <f t="shared" si="2"/>
        <v>4140</v>
      </c>
      <c r="W26" s="188">
        <v>15</v>
      </c>
      <c r="X26" s="205" t="s">
        <v>46</v>
      </c>
      <c r="Y26" s="188" t="s">
        <v>97</v>
      </c>
      <c r="Z26" s="188" t="s">
        <v>69</v>
      </c>
      <c r="AA26" s="188" t="s">
        <v>55</v>
      </c>
      <c r="AB26" s="205" t="s">
        <v>488</v>
      </c>
      <c r="AC26" s="210"/>
      <c r="AD26" s="176"/>
      <c r="AE26" s="177"/>
      <c r="AP26" s="180" t="s">
        <v>117</v>
      </c>
      <c r="AR26" s="165" t="s">
        <v>259</v>
      </c>
    </row>
    <row r="27" spans="1:48" x14ac:dyDescent="0.15">
      <c r="A27" s="205" t="s">
        <v>61</v>
      </c>
      <c r="B27" s="205" t="s">
        <v>486</v>
      </c>
      <c r="C27" s="205">
        <v>2018</v>
      </c>
      <c r="D27" s="206" t="s">
        <v>487</v>
      </c>
      <c r="E27" s="205" t="s">
        <v>460</v>
      </c>
      <c r="F27" s="205" t="s">
        <v>461</v>
      </c>
      <c r="G27" s="205" t="s">
        <v>42</v>
      </c>
      <c r="H27" s="188" t="s">
        <v>157</v>
      </c>
      <c r="I27" s="188" t="s">
        <v>155</v>
      </c>
      <c r="J27" s="205" t="s">
        <v>38</v>
      </c>
      <c r="K27" s="188" t="s">
        <v>156</v>
      </c>
      <c r="L27" s="188">
        <v>2</v>
      </c>
      <c r="M27" s="188"/>
      <c r="N27" s="188">
        <v>1</v>
      </c>
      <c r="O27" s="188">
        <v>0.75</v>
      </c>
      <c r="P27" s="210">
        <v>0.75</v>
      </c>
      <c r="Q27" s="207">
        <f t="shared" si="0"/>
        <v>0.75</v>
      </c>
      <c r="R27" s="188">
        <v>13.9</v>
      </c>
      <c r="S27" s="188">
        <v>123</v>
      </c>
      <c r="T27" s="208">
        <f t="shared" si="1"/>
        <v>27</v>
      </c>
      <c r="U27" s="188">
        <v>138</v>
      </c>
      <c r="V27" s="209">
        <f t="shared" si="2"/>
        <v>3726</v>
      </c>
      <c r="W27" s="188">
        <v>15</v>
      </c>
      <c r="X27" s="205" t="s">
        <v>46</v>
      </c>
      <c r="Y27" s="188" t="s">
        <v>97</v>
      </c>
      <c r="Z27" s="188" t="s">
        <v>69</v>
      </c>
      <c r="AA27" s="188" t="s">
        <v>55</v>
      </c>
      <c r="AB27" s="205" t="s">
        <v>488</v>
      </c>
      <c r="AC27" s="210"/>
      <c r="AD27" s="176"/>
      <c r="AE27" s="170"/>
      <c r="AP27" s="180" t="s">
        <v>118</v>
      </c>
      <c r="AR27" s="165"/>
    </row>
    <row r="28" spans="1:48" x14ac:dyDescent="0.15">
      <c r="A28" s="205" t="s">
        <v>61</v>
      </c>
      <c r="B28" s="205" t="s">
        <v>486</v>
      </c>
      <c r="C28" s="205">
        <v>2018</v>
      </c>
      <c r="D28" s="206" t="s">
        <v>487</v>
      </c>
      <c r="E28" s="205" t="s">
        <v>460</v>
      </c>
      <c r="F28" s="205" t="s">
        <v>461</v>
      </c>
      <c r="G28" s="205" t="s">
        <v>42</v>
      </c>
      <c r="H28" s="188" t="s">
        <v>157</v>
      </c>
      <c r="I28" s="188" t="s">
        <v>155</v>
      </c>
      <c r="J28" s="205" t="s">
        <v>38</v>
      </c>
      <c r="K28" s="188" t="s">
        <v>156</v>
      </c>
      <c r="L28" s="188">
        <v>3</v>
      </c>
      <c r="M28" s="188"/>
      <c r="N28" s="188">
        <v>1</v>
      </c>
      <c r="O28" s="188">
        <v>0.8</v>
      </c>
      <c r="P28" s="210">
        <v>0.8</v>
      </c>
      <c r="Q28" s="207">
        <f t="shared" si="0"/>
        <v>0.8</v>
      </c>
      <c r="R28" s="188">
        <v>14.5</v>
      </c>
      <c r="S28" s="188">
        <v>125</v>
      </c>
      <c r="T28" s="208">
        <f t="shared" si="1"/>
        <v>27</v>
      </c>
      <c r="U28" s="188">
        <v>138</v>
      </c>
      <c r="V28" s="209">
        <f t="shared" si="2"/>
        <v>3726</v>
      </c>
      <c r="W28" s="188">
        <v>15</v>
      </c>
      <c r="X28" s="205" t="s">
        <v>46</v>
      </c>
      <c r="Y28" s="188" t="s">
        <v>97</v>
      </c>
      <c r="Z28" s="188" t="s">
        <v>69</v>
      </c>
      <c r="AA28" s="188" t="s">
        <v>55</v>
      </c>
      <c r="AB28" s="205" t="s">
        <v>488</v>
      </c>
      <c r="AC28" s="210"/>
      <c r="AD28" s="176"/>
      <c r="AP28" s="169"/>
      <c r="AR28" s="165"/>
    </row>
    <row r="29" spans="1:48" x14ac:dyDescent="0.15">
      <c r="A29" s="205" t="s">
        <v>61</v>
      </c>
      <c r="B29" s="205" t="s">
        <v>486</v>
      </c>
      <c r="C29" s="205">
        <v>2018</v>
      </c>
      <c r="D29" s="206" t="s">
        <v>487</v>
      </c>
      <c r="E29" s="205" t="s">
        <v>460</v>
      </c>
      <c r="F29" s="205" t="s">
        <v>461</v>
      </c>
      <c r="G29" s="205" t="s">
        <v>42</v>
      </c>
      <c r="H29" s="188" t="s">
        <v>162</v>
      </c>
      <c r="I29" s="188" t="s">
        <v>155</v>
      </c>
      <c r="J29" s="205" t="s">
        <v>38</v>
      </c>
      <c r="K29" s="188" t="s">
        <v>156</v>
      </c>
      <c r="L29" s="188">
        <v>1</v>
      </c>
      <c r="M29" s="188"/>
      <c r="N29" s="188">
        <v>1</v>
      </c>
      <c r="O29" s="188">
        <v>0.5</v>
      </c>
      <c r="P29" s="188">
        <v>0.5</v>
      </c>
      <c r="Q29" s="207">
        <f t="shared" si="0"/>
        <v>0.5</v>
      </c>
      <c r="R29" s="188">
        <v>15.7</v>
      </c>
      <c r="S29" s="188">
        <v>131</v>
      </c>
      <c r="T29" s="208">
        <f t="shared" si="1"/>
        <v>25</v>
      </c>
      <c r="U29" s="188">
        <v>149</v>
      </c>
      <c r="V29" s="209">
        <f t="shared" si="2"/>
        <v>3725</v>
      </c>
      <c r="W29" s="188">
        <v>15</v>
      </c>
      <c r="X29" s="205" t="s">
        <v>46</v>
      </c>
      <c r="Y29" s="188" t="s">
        <v>97</v>
      </c>
      <c r="Z29" s="188" t="s">
        <v>69</v>
      </c>
      <c r="AA29" s="188" t="s">
        <v>55</v>
      </c>
      <c r="AB29" s="205" t="s">
        <v>488</v>
      </c>
      <c r="AC29" s="210"/>
    </row>
    <row r="30" spans="1:48" x14ac:dyDescent="0.15">
      <c r="A30" s="205" t="s">
        <v>61</v>
      </c>
      <c r="B30" s="205" t="s">
        <v>486</v>
      </c>
      <c r="C30" s="205">
        <v>2018</v>
      </c>
      <c r="D30" s="206" t="s">
        <v>487</v>
      </c>
      <c r="E30" s="205" t="s">
        <v>460</v>
      </c>
      <c r="F30" s="205" t="s">
        <v>461</v>
      </c>
      <c r="G30" s="205" t="s">
        <v>42</v>
      </c>
      <c r="H30" s="188" t="s">
        <v>162</v>
      </c>
      <c r="I30" s="188" t="s">
        <v>155</v>
      </c>
      <c r="J30" s="205" t="s">
        <v>38</v>
      </c>
      <c r="K30" s="188" t="s">
        <v>156</v>
      </c>
      <c r="L30" s="188">
        <v>2</v>
      </c>
      <c r="M30" s="188"/>
      <c r="N30" s="188">
        <v>1</v>
      </c>
      <c r="O30" s="188">
        <v>0.5</v>
      </c>
      <c r="P30" s="210">
        <v>0.55000000000000004</v>
      </c>
      <c r="Q30" s="207">
        <f t="shared" si="0"/>
        <v>0.52500000000000002</v>
      </c>
      <c r="R30" s="188">
        <v>16.8</v>
      </c>
      <c r="S30" s="188">
        <v>136</v>
      </c>
      <c r="T30" s="208">
        <f t="shared" si="1"/>
        <v>25</v>
      </c>
      <c r="U30" s="188">
        <v>149</v>
      </c>
      <c r="V30" s="209">
        <f t="shared" si="2"/>
        <v>3725</v>
      </c>
      <c r="W30" s="188">
        <v>15</v>
      </c>
      <c r="X30" s="205" t="s">
        <v>46</v>
      </c>
      <c r="Y30" s="188" t="s">
        <v>97</v>
      </c>
      <c r="Z30" s="188" t="s">
        <v>69</v>
      </c>
      <c r="AA30" s="188" t="s">
        <v>55</v>
      </c>
      <c r="AB30" s="205" t="s">
        <v>488</v>
      </c>
      <c r="AC30" s="210"/>
    </row>
    <row r="31" spans="1:48" x14ac:dyDescent="0.15">
      <c r="A31" s="205" t="s">
        <v>61</v>
      </c>
      <c r="B31" s="205" t="s">
        <v>486</v>
      </c>
      <c r="C31" s="205">
        <v>2018</v>
      </c>
      <c r="D31" s="206" t="s">
        <v>487</v>
      </c>
      <c r="E31" s="205" t="s">
        <v>460</v>
      </c>
      <c r="F31" s="205" t="s">
        <v>461</v>
      </c>
      <c r="G31" s="205" t="s">
        <v>42</v>
      </c>
      <c r="H31" s="188" t="s">
        <v>162</v>
      </c>
      <c r="I31" s="188" t="s">
        <v>155</v>
      </c>
      <c r="J31" s="205" t="s">
        <v>38</v>
      </c>
      <c r="K31" s="188" t="s">
        <v>156</v>
      </c>
      <c r="L31" s="188">
        <v>3</v>
      </c>
      <c r="M31" s="188"/>
      <c r="N31" s="188">
        <v>1</v>
      </c>
      <c r="O31" s="188">
        <v>0.5</v>
      </c>
      <c r="P31" s="188">
        <v>0.55000000000000004</v>
      </c>
      <c r="Q31" s="207">
        <f t="shared" si="0"/>
        <v>0.52500000000000002</v>
      </c>
      <c r="R31" s="188">
        <v>15.9</v>
      </c>
      <c r="S31" s="188">
        <v>138</v>
      </c>
      <c r="T31" s="208">
        <f t="shared" si="1"/>
        <v>22</v>
      </c>
      <c r="U31" s="188">
        <v>149</v>
      </c>
      <c r="V31" s="209">
        <f t="shared" si="2"/>
        <v>3278</v>
      </c>
      <c r="W31" s="188">
        <v>15</v>
      </c>
      <c r="X31" s="205" t="s">
        <v>46</v>
      </c>
      <c r="Y31" s="188" t="s">
        <v>97</v>
      </c>
      <c r="Z31" s="188" t="s">
        <v>69</v>
      </c>
      <c r="AA31" s="188" t="s">
        <v>55</v>
      </c>
      <c r="AB31" s="205" t="s">
        <v>488</v>
      </c>
      <c r="AC31" s="210"/>
    </row>
    <row r="32" spans="1:48" x14ac:dyDescent="0.15">
      <c r="A32" s="205" t="s">
        <v>61</v>
      </c>
      <c r="B32" s="205" t="s">
        <v>486</v>
      </c>
      <c r="C32" s="205">
        <v>2018</v>
      </c>
      <c r="D32" s="206" t="s">
        <v>487</v>
      </c>
      <c r="E32" s="205" t="s">
        <v>460</v>
      </c>
      <c r="F32" s="205" t="s">
        <v>461</v>
      </c>
      <c r="G32" s="205" t="s">
        <v>42</v>
      </c>
      <c r="H32" s="188" t="s">
        <v>211</v>
      </c>
      <c r="I32" s="188" t="s">
        <v>155</v>
      </c>
      <c r="J32" s="205" t="s">
        <v>38</v>
      </c>
      <c r="K32" s="188" t="s">
        <v>156</v>
      </c>
      <c r="L32" s="188">
        <v>1</v>
      </c>
      <c r="M32" s="188"/>
      <c r="N32" s="188">
        <v>5</v>
      </c>
      <c r="O32" s="188">
        <v>0.6</v>
      </c>
      <c r="P32" s="188">
        <v>0.65</v>
      </c>
      <c r="Q32" s="207">
        <f t="shared" si="0"/>
        <v>0.625</v>
      </c>
      <c r="R32" s="188">
        <v>16.399999999999999</v>
      </c>
      <c r="S32" s="188">
        <v>102</v>
      </c>
      <c r="T32" s="208">
        <f t="shared" si="1"/>
        <v>33</v>
      </c>
      <c r="U32" s="188">
        <v>429</v>
      </c>
      <c r="V32" s="209">
        <f t="shared" si="2"/>
        <v>2831.4</v>
      </c>
      <c r="W32" s="188">
        <v>15</v>
      </c>
      <c r="X32" s="205" t="s">
        <v>46</v>
      </c>
      <c r="Y32" s="188" t="s">
        <v>97</v>
      </c>
      <c r="Z32" s="188" t="s">
        <v>69</v>
      </c>
      <c r="AA32" s="188" t="s">
        <v>55</v>
      </c>
      <c r="AB32" s="205" t="s">
        <v>488</v>
      </c>
      <c r="AC32" s="210"/>
    </row>
    <row r="33" spans="1:29" x14ac:dyDescent="0.15">
      <c r="A33" s="205" t="s">
        <v>61</v>
      </c>
      <c r="B33" s="205" t="s">
        <v>486</v>
      </c>
      <c r="C33" s="205">
        <v>2018</v>
      </c>
      <c r="D33" s="206" t="s">
        <v>487</v>
      </c>
      <c r="E33" s="205" t="s">
        <v>460</v>
      </c>
      <c r="F33" s="205" t="s">
        <v>461</v>
      </c>
      <c r="G33" s="205" t="s">
        <v>42</v>
      </c>
      <c r="H33" s="188" t="s">
        <v>211</v>
      </c>
      <c r="I33" s="188" t="s">
        <v>155</v>
      </c>
      <c r="J33" s="205" t="s">
        <v>38</v>
      </c>
      <c r="K33" s="188" t="s">
        <v>156</v>
      </c>
      <c r="L33" s="188">
        <v>2</v>
      </c>
      <c r="M33" s="188"/>
      <c r="N33" s="188">
        <v>5</v>
      </c>
      <c r="O33" s="188">
        <v>0.6</v>
      </c>
      <c r="P33" s="188">
        <v>0.7</v>
      </c>
      <c r="Q33" s="207">
        <f t="shared" si="0"/>
        <v>0.64999999999999991</v>
      </c>
      <c r="R33" s="188">
        <v>16.100000000000001</v>
      </c>
      <c r="S33" s="188">
        <v>105</v>
      </c>
      <c r="T33" s="208">
        <f t="shared" si="1"/>
        <v>33</v>
      </c>
      <c r="U33" s="188">
        <v>429</v>
      </c>
      <c r="V33" s="209">
        <f t="shared" si="2"/>
        <v>2831.4</v>
      </c>
      <c r="W33" s="188">
        <v>15</v>
      </c>
      <c r="X33" s="205" t="s">
        <v>46</v>
      </c>
      <c r="Y33" s="188" t="s">
        <v>97</v>
      </c>
      <c r="Z33" s="188" t="s">
        <v>69</v>
      </c>
      <c r="AA33" s="188" t="s">
        <v>55</v>
      </c>
      <c r="AB33" s="205" t="s">
        <v>488</v>
      </c>
      <c r="AC33" s="210"/>
    </row>
    <row r="34" spans="1:29" x14ac:dyDescent="0.15">
      <c r="A34" s="205" t="s">
        <v>61</v>
      </c>
      <c r="B34" s="205" t="s">
        <v>486</v>
      </c>
      <c r="C34" s="205">
        <v>2018</v>
      </c>
      <c r="D34" s="206" t="s">
        <v>487</v>
      </c>
      <c r="E34" s="205" t="s">
        <v>460</v>
      </c>
      <c r="F34" s="205" t="s">
        <v>461</v>
      </c>
      <c r="G34" s="205" t="s">
        <v>42</v>
      </c>
      <c r="H34" s="188" t="s">
        <v>211</v>
      </c>
      <c r="I34" s="188" t="s">
        <v>155</v>
      </c>
      <c r="J34" s="205" t="s">
        <v>38</v>
      </c>
      <c r="K34" s="188" t="s">
        <v>156</v>
      </c>
      <c r="L34" s="188">
        <v>3</v>
      </c>
      <c r="M34" s="188"/>
      <c r="N34" s="188">
        <v>5</v>
      </c>
      <c r="O34" s="188">
        <v>0.55000000000000004</v>
      </c>
      <c r="P34" s="188">
        <v>0.55000000000000004</v>
      </c>
      <c r="Q34" s="207">
        <f t="shared" si="0"/>
        <v>0.55000000000000004</v>
      </c>
      <c r="R34" s="188">
        <v>16.7</v>
      </c>
      <c r="S34" s="188">
        <v>92</v>
      </c>
      <c r="T34" s="208">
        <f t="shared" si="1"/>
        <v>36</v>
      </c>
      <c r="U34" s="188">
        <v>429</v>
      </c>
      <c r="V34" s="209">
        <f t="shared" si="2"/>
        <v>3088.7999999999997</v>
      </c>
      <c r="W34" s="188">
        <v>15</v>
      </c>
      <c r="X34" s="205" t="s">
        <v>46</v>
      </c>
      <c r="Y34" s="188" t="s">
        <v>97</v>
      </c>
      <c r="Z34" s="188" t="s">
        <v>69</v>
      </c>
      <c r="AA34" s="188" t="s">
        <v>55</v>
      </c>
      <c r="AB34" s="205" t="s">
        <v>488</v>
      </c>
      <c r="AC34" s="210"/>
    </row>
    <row r="35" spans="1:29" x14ac:dyDescent="0.15">
      <c r="A35" s="205" t="s">
        <v>61</v>
      </c>
      <c r="B35" s="205" t="s">
        <v>486</v>
      </c>
      <c r="C35" s="205">
        <v>2018</v>
      </c>
      <c r="D35" s="206" t="s">
        <v>487</v>
      </c>
      <c r="E35" s="205" t="s">
        <v>465</v>
      </c>
      <c r="F35" s="205" t="s">
        <v>466</v>
      </c>
      <c r="G35" s="205" t="s">
        <v>42</v>
      </c>
      <c r="H35" s="188" t="s">
        <v>157</v>
      </c>
      <c r="I35" s="188" t="s">
        <v>155</v>
      </c>
      <c r="J35" s="205" t="s">
        <v>38</v>
      </c>
      <c r="K35" s="188" t="s">
        <v>156</v>
      </c>
      <c r="L35" s="188">
        <v>1</v>
      </c>
      <c r="M35" s="188"/>
      <c r="N35" s="188">
        <v>1</v>
      </c>
      <c r="O35" s="188">
        <v>0.6</v>
      </c>
      <c r="P35" s="188">
        <v>0.75</v>
      </c>
      <c r="Q35" s="207">
        <f t="shared" si="0"/>
        <v>0.67500000000000004</v>
      </c>
      <c r="R35" s="188">
        <v>15.5</v>
      </c>
      <c r="S35" s="188">
        <v>111</v>
      </c>
      <c r="T35" s="208">
        <f t="shared" si="1"/>
        <v>33</v>
      </c>
      <c r="U35" s="188">
        <v>138</v>
      </c>
      <c r="V35" s="209">
        <f t="shared" si="2"/>
        <v>4554</v>
      </c>
      <c r="W35" s="188">
        <v>20</v>
      </c>
      <c r="X35" s="205" t="s">
        <v>46</v>
      </c>
      <c r="Y35" s="188" t="s">
        <v>55</v>
      </c>
      <c r="Z35" s="188" t="s">
        <v>106</v>
      </c>
      <c r="AA35" s="188" t="s">
        <v>69</v>
      </c>
      <c r="AB35" s="205" t="s">
        <v>488</v>
      </c>
      <c r="AC35" s="210"/>
    </row>
    <row r="36" spans="1:29" x14ac:dyDescent="0.15">
      <c r="A36" s="205" t="s">
        <v>61</v>
      </c>
      <c r="B36" s="205" t="s">
        <v>486</v>
      </c>
      <c r="C36" s="205">
        <v>2018</v>
      </c>
      <c r="D36" s="206" t="s">
        <v>487</v>
      </c>
      <c r="E36" s="205" t="s">
        <v>465</v>
      </c>
      <c r="F36" s="205" t="s">
        <v>466</v>
      </c>
      <c r="G36" s="205" t="s">
        <v>42</v>
      </c>
      <c r="H36" s="188" t="s">
        <v>157</v>
      </c>
      <c r="I36" s="188" t="s">
        <v>155</v>
      </c>
      <c r="J36" s="205" t="s">
        <v>38</v>
      </c>
      <c r="K36" s="188" t="s">
        <v>156</v>
      </c>
      <c r="L36" s="188">
        <v>2</v>
      </c>
      <c r="M36" s="188"/>
      <c r="N36" s="188">
        <v>1</v>
      </c>
      <c r="O36" s="188">
        <v>0.6</v>
      </c>
      <c r="P36" s="188">
        <v>0.55000000000000004</v>
      </c>
      <c r="Q36" s="207">
        <f t="shared" si="0"/>
        <v>0.57499999999999996</v>
      </c>
      <c r="R36" s="188">
        <v>14.9</v>
      </c>
      <c r="S36" s="188">
        <v>119</v>
      </c>
      <c r="T36" s="208">
        <f t="shared" si="1"/>
        <v>30</v>
      </c>
      <c r="U36" s="188">
        <v>138</v>
      </c>
      <c r="V36" s="209">
        <f t="shared" si="2"/>
        <v>4140</v>
      </c>
      <c r="W36" s="188">
        <v>21</v>
      </c>
      <c r="X36" s="205" t="s">
        <v>46</v>
      </c>
      <c r="Y36" s="188" t="s">
        <v>55</v>
      </c>
      <c r="Z36" s="188" t="s">
        <v>106</v>
      </c>
      <c r="AA36" s="188" t="s">
        <v>69</v>
      </c>
      <c r="AB36" s="205" t="s">
        <v>488</v>
      </c>
      <c r="AC36" s="210"/>
    </row>
    <row r="37" spans="1:29" x14ac:dyDescent="0.15">
      <c r="A37" s="205" t="s">
        <v>61</v>
      </c>
      <c r="B37" s="205" t="s">
        <v>486</v>
      </c>
      <c r="C37" s="205">
        <v>2018</v>
      </c>
      <c r="D37" s="206" t="s">
        <v>487</v>
      </c>
      <c r="E37" s="205" t="s">
        <v>465</v>
      </c>
      <c r="F37" s="205" t="s">
        <v>466</v>
      </c>
      <c r="G37" s="205" t="s">
        <v>42</v>
      </c>
      <c r="H37" s="188" t="s">
        <v>157</v>
      </c>
      <c r="I37" s="188" t="s">
        <v>155</v>
      </c>
      <c r="J37" s="205" t="s">
        <v>38</v>
      </c>
      <c r="K37" s="188" t="s">
        <v>156</v>
      </c>
      <c r="L37" s="188">
        <v>3</v>
      </c>
      <c r="M37" s="188"/>
      <c r="N37" s="188">
        <v>1</v>
      </c>
      <c r="O37" s="188">
        <v>0.7</v>
      </c>
      <c r="P37" s="188">
        <v>0.6</v>
      </c>
      <c r="Q37" s="207">
        <f t="shared" si="0"/>
        <v>0.64999999999999991</v>
      </c>
      <c r="R37" s="188">
        <v>16.100000000000001</v>
      </c>
      <c r="S37" s="188">
        <v>114</v>
      </c>
      <c r="T37" s="208">
        <f t="shared" si="1"/>
        <v>30</v>
      </c>
      <c r="U37" s="188">
        <v>138</v>
      </c>
      <c r="V37" s="209">
        <f t="shared" si="2"/>
        <v>4140</v>
      </c>
      <c r="W37" s="188">
        <v>22</v>
      </c>
      <c r="X37" s="205" t="s">
        <v>46</v>
      </c>
      <c r="Y37" s="188" t="s">
        <v>55</v>
      </c>
      <c r="Z37" s="188" t="s">
        <v>106</v>
      </c>
      <c r="AA37" s="188" t="s">
        <v>69</v>
      </c>
      <c r="AB37" s="205" t="s">
        <v>488</v>
      </c>
      <c r="AC37" s="210"/>
    </row>
    <row r="38" spans="1:29" x14ac:dyDescent="0.15">
      <c r="A38" s="205" t="s">
        <v>61</v>
      </c>
      <c r="B38" s="205" t="s">
        <v>486</v>
      </c>
      <c r="C38" s="205">
        <v>2018</v>
      </c>
      <c r="D38" s="206" t="s">
        <v>487</v>
      </c>
      <c r="E38" s="205" t="s">
        <v>465</v>
      </c>
      <c r="F38" s="205" t="s">
        <v>466</v>
      </c>
      <c r="G38" s="205" t="s">
        <v>42</v>
      </c>
      <c r="H38" s="188" t="s">
        <v>162</v>
      </c>
      <c r="I38" s="188" t="s">
        <v>155</v>
      </c>
      <c r="J38" s="205" t="s">
        <v>38</v>
      </c>
      <c r="K38" s="188" t="s">
        <v>156</v>
      </c>
      <c r="L38" s="188">
        <v>1</v>
      </c>
      <c r="M38" s="188"/>
      <c r="N38" s="188">
        <v>1</v>
      </c>
      <c r="O38" s="188">
        <v>0.55000000000000004</v>
      </c>
      <c r="P38" s="188">
        <v>0.6</v>
      </c>
      <c r="Q38" s="207">
        <f t="shared" si="0"/>
        <v>0.57499999999999996</v>
      </c>
      <c r="R38" s="188">
        <v>17.2</v>
      </c>
      <c r="S38" s="188">
        <v>130</v>
      </c>
      <c r="T38" s="208">
        <f t="shared" si="1"/>
        <v>25</v>
      </c>
      <c r="U38" s="188">
        <v>100</v>
      </c>
      <c r="V38" s="209">
        <f t="shared" si="2"/>
        <v>2500</v>
      </c>
      <c r="W38" s="188">
        <v>23</v>
      </c>
      <c r="X38" s="205" t="s">
        <v>46</v>
      </c>
      <c r="Y38" s="188" t="s">
        <v>55</v>
      </c>
      <c r="Z38" s="188" t="s">
        <v>106</v>
      </c>
      <c r="AA38" s="188" t="s">
        <v>69</v>
      </c>
      <c r="AB38" s="205" t="s">
        <v>488</v>
      </c>
      <c r="AC38" s="210"/>
    </row>
    <row r="39" spans="1:29" x14ac:dyDescent="0.15">
      <c r="A39" s="205" t="s">
        <v>61</v>
      </c>
      <c r="B39" s="205" t="s">
        <v>486</v>
      </c>
      <c r="C39" s="205">
        <v>2018</v>
      </c>
      <c r="D39" s="206" t="s">
        <v>487</v>
      </c>
      <c r="E39" s="205" t="s">
        <v>465</v>
      </c>
      <c r="F39" s="205" t="s">
        <v>466</v>
      </c>
      <c r="G39" s="205" t="s">
        <v>42</v>
      </c>
      <c r="H39" s="188" t="s">
        <v>162</v>
      </c>
      <c r="I39" s="188" t="s">
        <v>155</v>
      </c>
      <c r="J39" s="205" t="s">
        <v>38</v>
      </c>
      <c r="K39" s="188" t="s">
        <v>156</v>
      </c>
      <c r="L39" s="188">
        <v>2</v>
      </c>
      <c r="M39" s="188"/>
      <c r="N39" s="188">
        <v>1</v>
      </c>
      <c r="O39" s="188">
        <v>0.7</v>
      </c>
      <c r="P39" s="188">
        <v>0.75</v>
      </c>
      <c r="Q39" s="207">
        <f t="shared" si="0"/>
        <v>0.72499999999999998</v>
      </c>
      <c r="R39" s="188">
        <v>17.899999999999999</v>
      </c>
      <c r="S39" s="188">
        <v>138</v>
      </c>
      <c r="T39" s="208">
        <f t="shared" si="1"/>
        <v>22</v>
      </c>
      <c r="U39" s="188">
        <v>100</v>
      </c>
      <c r="V39" s="209">
        <f t="shared" si="2"/>
        <v>2200</v>
      </c>
      <c r="W39" s="188">
        <v>24</v>
      </c>
      <c r="X39" s="205" t="s">
        <v>46</v>
      </c>
      <c r="Y39" s="188" t="s">
        <v>55</v>
      </c>
      <c r="Z39" s="188" t="s">
        <v>106</v>
      </c>
      <c r="AA39" s="188" t="s">
        <v>69</v>
      </c>
      <c r="AB39" s="205" t="s">
        <v>488</v>
      </c>
      <c r="AC39" s="210"/>
    </row>
    <row r="40" spans="1:29" x14ac:dyDescent="0.15">
      <c r="A40" s="205" t="s">
        <v>61</v>
      </c>
      <c r="B40" s="205" t="s">
        <v>486</v>
      </c>
      <c r="C40" s="205">
        <v>2018</v>
      </c>
      <c r="D40" s="206" t="s">
        <v>487</v>
      </c>
      <c r="E40" s="205" t="s">
        <v>465</v>
      </c>
      <c r="F40" s="205" t="s">
        <v>466</v>
      </c>
      <c r="G40" s="205" t="s">
        <v>42</v>
      </c>
      <c r="H40" s="188" t="s">
        <v>162</v>
      </c>
      <c r="I40" s="188" t="s">
        <v>155</v>
      </c>
      <c r="J40" s="205" t="s">
        <v>38</v>
      </c>
      <c r="K40" s="188" t="s">
        <v>156</v>
      </c>
      <c r="L40" s="188">
        <v>3</v>
      </c>
      <c r="M40" s="188"/>
      <c r="N40" s="188">
        <v>1</v>
      </c>
      <c r="O40" s="188">
        <v>0.55000000000000004</v>
      </c>
      <c r="P40" s="188">
        <v>0.55000000000000004</v>
      </c>
      <c r="Q40" s="207">
        <f t="shared" si="0"/>
        <v>0.55000000000000004</v>
      </c>
      <c r="R40" s="188">
        <v>16.399999999999999</v>
      </c>
      <c r="S40" s="188">
        <v>140</v>
      </c>
      <c r="T40" s="208">
        <f t="shared" si="1"/>
        <v>22</v>
      </c>
      <c r="U40" s="188">
        <v>100</v>
      </c>
      <c r="V40" s="209">
        <f t="shared" si="2"/>
        <v>2200</v>
      </c>
      <c r="W40" s="188">
        <v>25</v>
      </c>
      <c r="X40" s="205" t="s">
        <v>46</v>
      </c>
      <c r="Y40" s="188" t="s">
        <v>55</v>
      </c>
      <c r="Z40" s="188" t="s">
        <v>106</v>
      </c>
      <c r="AA40" s="188" t="s">
        <v>69</v>
      </c>
      <c r="AB40" s="205" t="s">
        <v>488</v>
      </c>
      <c r="AC40" s="210"/>
    </row>
    <row r="41" spans="1:29" x14ac:dyDescent="0.15">
      <c r="A41" s="205" t="s">
        <v>61</v>
      </c>
      <c r="B41" s="205" t="s">
        <v>486</v>
      </c>
      <c r="C41" s="205">
        <v>2018</v>
      </c>
      <c r="D41" s="206" t="s">
        <v>487</v>
      </c>
      <c r="E41" s="205" t="s">
        <v>465</v>
      </c>
      <c r="F41" s="205" t="s">
        <v>466</v>
      </c>
      <c r="G41" s="205" t="s">
        <v>42</v>
      </c>
      <c r="H41" s="188" t="s">
        <v>211</v>
      </c>
      <c r="I41" s="188" t="s">
        <v>155</v>
      </c>
      <c r="J41" s="205" t="s">
        <v>38</v>
      </c>
      <c r="K41" s="188" t="s">
        <v>156</v>
      </c>
      <c r="L41" s="188">
        <v>1</v>
      </c>
      <c r="M41" s="188"/>
      <c r="N41" s="188">
        <v>5</v>
      </c>
      <c r="O41" s="188">
        <v>0.5</v>
      </c>
      <c r="P41" s="188">
        <v>0.5</v>
      </c>
      <c r="Q41" s="207">
        <f t="shared" si="0"/>
        <v>0.5</v>
      </c>
      <c r="R41" s="188">
        <v>15.5</v>
      </c>
      <c r="S41" s="188">
        <v>99</v>
      </c>
      <c r="T41" s="208">
        <f t="shared" si="1"/>
        <v>33</v>
      </c>
      <c r="U41" s="188">
        <v>429</v>
      </c>
      <c r="V41" s="209">
        <f t="shared" si="2"/>
        <v>2831.4</v>
      </c>
      <c r="W41" s="188">
        <v>26</v>
      </c>
      <c r="X41" s="205" t="s">
        <v>46</v>
      </c>
      <c r="Y41" s="188" t="s">
        <v>55</v>
      </c>
      <c r="Z41" s="188" t="s">
        <v>106</v>
      </c>
      <c r="AA41" s="188" t="s">
        <v>69</v>
      </c>
      <c r="AB41" s="205" t="s">
        <v>488</v>
      </c>
      <c r="AC41" s="210"/>
    </row>
    <row r="42" spans="1:29" x14ac:dyDescent="0.15">
      <c r="A42" s="205" t="s">
        <v>61</v>
      </c>
      <c r="B42" s="205" t="s">
        <v>486</v>
      </c>
      <c r="C42" s="205">
        <v>2018</v>
      </c>
      <c r="D42" s="206" t="s">
        <v>487</v>
      </c>
      <c r="E42" s="205" t="s">
        <v>465</v>
      </c>
      <c r="F42" s="205" t="s">
        <v>466</v>
      </c>
      <c r="G42" s="205" t="s">
        <v>42</v>
      </c>
      <c r="H42" s="188" t="s">
        <v>211</v>
      </c>
      <c r="I42" s="188" t="s">
        <v>155</v>
      </c>
      <c r="J42" s="205" t="s">
        <v>38</v>
      </c>
      <c r="K42" s="188" t="s">
        <v>156</v>
      </c>
      <c r="L42" s="188">
        <v>2</v>
      </c>
      <c r="M42" s="188"/>
      <c r="N42" s="188">
        <v>5</v>
      </c>
      <c r="O42" s="188">
        <v>0.5</v>
      </c>
      <c r="P42" s="188">
        <v>0.5</v>
      </c>
      <c r="Q42" s="207">
        <f t="shared" si="0"/>
        <v>0.5</v>
      </c>
      <c r="R42" s="188">
        <v>16</v>
      </c>
      <c r="S42" s="188">
        <v>91</v>
      </c>
      <c r="T42" s="208">
        <f t="shared" si="1"/>
        <v>36</v>
      </c>
      <c r="U42" s="188">
        <v>429</v>
      </c>
      <c r="V42" s="209">
        <f t="shared" si="2"/>
        <v>3088.7999999999997</v>
      </c>
      <c r="W42" s="188">
        <v>27</v>
      </c>
      <c r="X42" s="205" t="s">
        <v>46</v>
      </c>
      <c r="Y42" s="188" t="s">
        <v>55</v>
      </c>
      <c r="Z42" s="188" t="s">
        <v>106</v>
      </c>
      <c r="AA42" s="188" t="s">
        <v>69</v>
      </c>
      <c r="AB42" s="205" t="s">
        <v>488</v>
      </c>
      <c r="AC42" s="210"/>
    </row>
    <row r="43" spans="1:29" x14ac:dyDescent="0.15">
      <c r="A43" s="205" t="s">
        <v>61</v>
      </c>
      <c r="B43" s="205" t="s">
        <v>486</v>
      </c>
      <c r="C43" s="205">
        <v>2018</v>
      </c>
      <c r="D43" s="206" t="s">
        <v>487</v>
      </c>
      <c r="E43" s="205" t="s">
        <v>465</v>
      </c>
      <c r="F43" s="205" t="s">
        <v>466</v>
      </c>
      <c r="G43" s="205" t="s">
        <v>42</v>
      </c>
      <c r="H43" s="188" t="s">
        <v>211</v>
      </c>
      <c r="I43" s="188" t="s">
        <v>155</v>
      </c>
      <c r="J43" s="205" t="s">
        <v>38</v>
      </c>
      <c r="K43" s="188" t="s">
        <v>156</v>
      </c>
      <c r="L43" s="188">
        <v>3</v>
      </c>
      <c r="M43" s="188"/>
      <c r="N43" s="188">
        <v>5</v>
      </c>
      <c r="O43" s="188">
        <v>0.5</v>
      </c>
      <c r="P43" s="188">
        <v>0.5</v>
      </c>
      <c r="Q43" s="207">
        <f t="shared" si="0"/>
        <v>0.5</v>
      </c>
      <c r="R43" s="188">
        <v>16.100000000000001</v>
      </c>
      <c r="S43" s="188">
        <v>100</v>
      </c>
      <c r="T43" s="208">
        <f t="shared" si="1"/>
        <v>33</v>
      </c>
      <c r="U43" s="188">
        <v>429</v>
      </c>
      <c r="V43" s="209">
        <f t="shared" si="2"/>
        <v>2831.4</v>
      </c>
      <c r="W43" s="188">
        <v>28</v>
      </c>
      <c r="X43" s="205" t="s">
        <v>46</v>
      </c>
      <c r="Y43" s="188" t="s">
        <v>55</v>
      </c>
      <c r="Z43" s="188" t="s">
        <v>106</v>
      </c>
      <c r="AA43" s="188" t="s">
        <v>69</v>
      </c>
      <c r="AB43" s="205" t="s">
        <v>488</v>
      </c>
      <c r="AC43" s="210"/>
    </row>
    <row r="44" spans="1:29" x14ac:dyDescent="0.15">
      <c r="A44" s="205" t="s">
        <v>61</v>
      </c>
      <c r="B44" s="205" t="s">
        <v>486</v>
      </c>
      <c r="C44" s="205">
        <v>2018</v>
      </c>
      <c r="D44" s="206" t="s">
        <v>487</v>
      </c>
      <c r="E44" s="205" t="s">
        <v>469</v>
      </c>
      <c r="F44" s="205" t="s">
        <v>470</v>
      </c>
      <c r="G44" s="205" t="s">
        <v>42</v>
      </c>
      <c r="H44" s="188" t="s">
        <v>157</v>
      </c>
      <c r="I44" s="188" t="s">
        <v>155</v>
      </c>
      <c r="J44" s="205" t="s">
        <v>38</v>
      </c>
      <c r="K44" s="188" t="s">
        <v>156</v>
      </c>
      <c r="L44" s="188">
        <v>1</v>
      </c>
      <c r="M44" s="188"/>
      <c r="N44" s="188">
        <v>1</v>
      </c>
      <c r="O44" s="188">
        <v>0.9</v>
      </c>
      <c r="P44" s="188">
        <v>0.9</v>
      </c>
      <c r="Q44" s="207">
        <f t="shared" si="0"/>
        <v>0.9</v>
      </c>
      <c r="R44" s="188">
        <v>14.6</v>
      </c>
      <c r="S44" s="188">
        <v>133</v>
      </c>
      <c r="T44" s="208">
        <f t="shared" si="1"/>
        <v>25</v>
      </c>
      <c r="U44" s="188">
        <v>98</v>
      </c>
      <c r="V44" s="209">
        <f t="shared" si="2"/>
        <v>2450</v>
      </c>
      <c r="W44" s="188">
        <v>10</v>
      </c>
      <c r="X44" s="205" t="s">
        <v>46</v>
      </c>
      <c r="Y44" s="188" t="s">
        <v>55</v>
      </c>
      <c r="Z44" s="188" t="s">
        <v>90</v>
      </c>
      <c r="AA44" s="188" t="s">
        <v>97</v>
      </c>
      <c r="AB44" s="205" t="s">
        <v>488</v>
      </c>
      <c r="AC44" s="188"/>
    </row>
    <row r="45" spans="1:29" x14ac:dyDescent="0.15">
      <c r="A45" s="205" t="s">
        <v>61</v>
      </c>
      <c r="B45" s="205" t="s">
        <v>486</v>
      </c>
      <c r="C45" s="205">
        <v>2018</v>
      </c>
      <c r="D45" s="206" t="s">
        <v>487</v>
      </c>
      <c r="E45" s="205" t="s">
        <v>469</v>
      </c>
      <c r="F45" s="205" t="s">
        <v>470</v>
      </c>
      <c r="G45" s="205" t="s">
        <v>42</v>
      </c>
      <c r="H45" s="188" t="s">
        <v>157</v>
      </c>
      <c r="I45" s="188" t="s">
        <v>155</v>
      </c>
      <c r="J45" s="205" t="s">
        <v>38</v>
      </c>
      <c r="K45" s="188" t="s">
        <v>156</v>
      </c>
      <c r="L45" s="188">
        <v>2</v>
      </c>
      <c r="M45" s="188"/>
      <c r="N45" s="188">
        <v>1</v>
      </c>
      <c r="O45" s="188">
        <v>0.95</v>
      </c>
      <c r="P45" s="188">
        <v>0.95</v>
      </c>
      <c r="Q45" s="207">
        <f t="shared" si="0"/>
        <v>0.95</v>
      </c>
      <c r="R45" s="188">
        <v>14.9</v>
      </c>
      <c r="S45" s="188">
        <v>138</v>
      </c>
      <c r="T45" s="208">
        <f t="shared" si="1"/>
        <v>22</v>
      </c>
      <c r="U45" s="188">
        <v>98</v>
      </c>
      <c r="V45" s="209">
        <f t="shared" si="2"/>
        <v>2156</v>
      </c>
      <c r="W45" s="188">
        <v>10</v>
      </c>
      <c r="X45" s="205" t="s">
        <v>46</v>
      </c>
      <c r="Y45" s="188" t="s">
        <v>55</v>
      </c>
      <c r="Z45" s="188" t="s">
        <v>90</v>
      </c>
      <c r="AA45" s="188" t="s">
        <v>97</v>
      </c>
      <c r="AB45" s="205" t="s">
        <v>488</v>
      </c>
      <c r="AC45" s="188"/>
    </row>
    <row r="46" spans="1:29" x14ac:dyDescent="0.15">
      <c r="A46" s="205" t="s">
        <v>61</v>
      </c>
      <c r="B46" s="205" t="s">
        <v>486</v>
      </c>
      <c r="C46" s="205">
        <v>2018</v>
      </c>
      <c r="D46" s="206" t="s">
        <v>487</v>
      </c>
      <c r="E46" s="205" t="s">
        <v>469</v>
      </c>
      <c r="F46" s="205" t="s">
        <v>470</v>
      </c>
      <c r="G46" s="205" t="s">
        <v>42</v>
      </c>
      <c r="H46" s="188" t="s">
        <v>157</v>
      </c>
      <c r="I46" s="188" t="s">
        <v>155</v>
      </c>
      <c r="J46" s="205" t="s">
        <v>38</v>
      </c>
      <c r="K46" s="188" t="s">
        <v>156</v>
      </c>
      <c r="L46" s="188">
        <v>3</v>
      </c>
      <c r="M46" s="188"/>
      <c r="N46" s="188">
        <v>1</v>
      </c>
      <c r="O46" s="188">
        <v>0.8</v>
      </c>
      <c r="P46" s="188">
        <v>0.9</v>
      </c>
      <c r="Q46" s="207">
        <f t="shared" si="0"/>
        <v>0.85000000000000009</v>
      </c>
      <c r="R46" s="188">
        <v>15.2</v>
      </c>
      <c r="S46" s="188">
        <v>134</v>
      </c>
      <c r="T46" s="208">
        <f t="shared" si="1"/>
        <v>25</v>
      </c>
      <c r="U46" s="188">
        <v>98</v>
      </c>
      <c r="V46" s="209">
        <f t="shared" si="2"/>
        <v>2450</v>
      </c>
      <c r="W46" s="188">
        <v>10</v>
      </c>
      <c r="X46" s="205" t="s">
        <v>46</v>
      </c>
      <c r="Y46" s="188" t="s">
        <v>55</v>
      </c>
      <c r="Z46" s="188" t="s">
        <v>90</v>
      </c>
      <c r="AA46" s="188" t="s">
        <v>97</v>
      </c>
      <c r="AB46" s="205" t="s">
        <v>488</v>
      </c>
      <c r="AC46" s="188"/>
    </row>
    <row r="47" spans="1:29" x14ac:dyDescent="0.15">
      <c r="A47" s="205" t="s">
        <v>61</v>
      </c>
      <c r="B47" s="205" t="s">
        <v>486</v>
      </c>
      <c r="C47" s="205">
        <v>2018</v>
      </c>
      <c r="D47" s="206" t="s">
        <v>487</v>
      </c>
      <c r="E47" s="205" t="s">
        <v>469</v>
      </c>
      <c r="F47" s="205" t="s">
        <v>470</v>
      </c>
      <c r="G47" s="205" t="s">
        <v>42</v>
      </c>
      <c r="H47" s="188" t="s">
        <v>162</v>
      </c>
      <c r="I47" s="188" t="s">
        <v>155</v>
      </c>
      <c r="J47" s="205" t="s">
        <v>38</v>
      </c>
      <c r="K47" s="188" t="s">
        <v>156</v>
      </c>
      <c r="L47" s="188">
        <v>1</v>
      </c>
      <c r="M47" s="188"/>
      <c r="N47" s="188">
        <v>1</v>
      </c>
      <c r="O47" s="188">
        <v>0.75</v>
      </c>
      <c r="P47" s="188">
        <v>0.7</v>
      </c>
      <c r="Q47" s="207">
        <f t="shared" si="0"/>
        <v>0.72499999999999998</v>
      </c>
      <c r="R47" s="188">
        <v>18.2</v>
      </c>
      <c r="S47" s="188">
        <v>154</v>
      </c>
      <c r="T47" s="208">
        <f t="shared" si="1"/>
        <v>18</v>
      </c>
      <c r="U47" s="188">
        <v>128</v>
      </c>
      <c r="V47" s="209">
        <f t="shared" si="2"/>
        <v>2304</v>
      </c>
      <c r="W47" s="188">
        <v>10</v>
      </c>
      <c r="X47" s="205" t="s">
        <v>46</v>
      </c>
      <c r="Y47" s="188" t="s">
        <v>55</v>
      </c>
      <c r="Z47" s="188" t="s">
        <v>90</v>
      </c>
      <c r="AA47" s="188" t="s">
        <v>97</v>
      </c>
      <c r="AB47" s="205" t="s">
        <v>488</v>
      </c>
      <c r="AC47" s="210"/>
    </row>
    <row r="48" spans="1:29" x14ac:dyDescent="0.15">
      <c r="A48" s="205" t="s">
        <v>61</v>
      </c>
      <c r="B48" s="205" t="s">
        <v>486</v>
      </c>
      <c r="C48" s="205">
        <v>2018</v>
      </c>
      <c r="D48" s="206" t="s">
        <v>487</v>
      </c>
      <c r="E48" s="205" t="s">
        <v>469</v>
      </c>
      <c r="F48" s="205" t="s">
        <v>470</v>
      </c>
      <c r="G48" s="205" t="s">
        <v>42</v>
      </c>
      <c r="H48" s="188" t="s">
        <v>162</v>
      </c>
      <c r="I48" s="188" t="s">
        <v>155</v>
      </c>
      <c r="J48" s="205" t="s">
        <v>38</v>
      </c>
      <c r="K48" s="188" t="s">
        <v>156</v>
      </c>
      <c r="L48" s="188">
        <v>2</v>
      </c>
      <c r="M48" s="188"/>
      <c r="N48" s="188">
        <v>1</v>
      </c>
      <c r="O48" s="188">
        <v>0.7</v>
      </c>
      <c r="P48" s="188">
        <v>0.65</v>
      </c>
      <c r="Q48" s="207">
        <f t="shared" si="0"/>
        <v>0.67500000000000004</v>
      </c>
      <c r="R48" s="188">
        <v>18.899999999999999</v>
      </c>
      <c r="S48" s="188">
        <v>153</v>
      </c>
      <c r="T48" s="208">
        <f t="shared" si="1"/>
        <v>18</v>
      </c>
      <c r="U48" s="188">
        <v>128</v>
      </c>
      <c r="V48" s="209">
        <f t="shared" si="2"/>
        <v>2304</v>
      </c>
      <c r="W48" s="188">
        <v>10</v>
      </c>
      <c r="X48" s="205" t="s">
        <v>46</v>
      </c>
      <c r="Y48" s="188" t="s">
        <v>55</v>
      </c>
      <c r="Z48" s="188" t="s">
        <v>90</v>
      </c>
      <c r="AA48" s="188" t="s">
        <v>97</v>
      </c>
      <c r="AB48" s="205" t="s">
        <v>488</v>
      </c>
      <c r="AC48" s="210"/>
    </row>
    <row r="49" spans="1:29" x14ac:dyDescent="0.15">
      <c r="A49" s="205" t="s">
        <v>61</v>
      </c>
      <c r="B49" s="205" t="s">
        <v>486</v>
      </c>
      <c r="C49" s="205">
        <v>2018</v>
      </c>
      <c r="D49" s="206" t="s">
        <v>487</v>
      </c>
      <c r="E49" s="205" t="s">
        <v>469</v>
      </c>
      <c r="F49" s="205" t="s">
        <v>470</v>
      </c>
      <c r="G49" s="205" t="s">
        <v>42</v>
      </c>
      <c r="H49" s="188" t="s">
        <v>162</v>
      </c>
      <c r="I49" s="188" t="s">
        <v>155</v>
      </c>
      <c r="J49" s="205" t="s">
        <v>38</v>
      </c>
      <c r="K49" s="188" t="s">
        <v>156</v>
      </c>
      <c r="L49" s="188">
        <v>3</v>
      </c>
      <c r="M49" s="188"/>
      <c r="N49" s="188">
        <v>1</v>
      </c>
      <c r="O49" s="188">
        <v>0.7</v>
      </c>
      <c r="P49" s="188">
        <v>0.7</v>
      </c>
      <c r="Q49" s="207">
        <f t="shared" si="0"/>
        <v>0.7</v>
      </c>
      <c r="R49" s="188">
        <v>18</v>
      </c>
      <c r="S49" s="188">
        <v>155</v>
      </c>
      <c r="T49" s="208">
        <f t="shared" si="1"/>
        <v>18</v>
      </c>
      <c r="U49" s="188">
        <v>128</v>
      </c>
      <c r="V49" s="209">
        <f t="shared" si="2"/>
        <v>2304</v>
      </c>
      <c r="W49" s="188">
        <v>10</v>
      </c>
      <c r="X49" s="205" t="s">
        <v>46</v>
      </c>
      <c r="Y49" s="188" t="s">
        <v>55</v>
      </c>
      <c r="Z49" s="188" t="s">
        <v>90</v>
      </c>
      <c r="AA49" s="188" t="s">
        <v>97</v>
      </c>
      <c r="AB49" s="205" t="s">
        <v>488</v>
      </c>
      <c r="AC49" s="210"/>
    </row>
    <row r="50" spans="1:29" x14ac:dyDescent="0.15">
      <c r="A50" s="205" t="s">
        <v>61</v>
      </c>
      <c r="B50" s="205" t="s">
        <v>486</v>
      </c>
      <c r="C50" s="205">
        <v>2018</v>
      </c>
      <c r="D50" s="206" t="s">
        <v>487</v>
      </c>
      <c r="E50" s="205" t="s">
        <v>469</v>
      </c>
      <c r="F50" s="205" t="s">
        <v>470</v>
      </c>
      <c r="G50" s="205" t="s">
        <v>42</v>
      </c>
      <c r="H50" s="188" t="s">
        <v>127</v>
      </c>
      <c r="I50" s="188" t="s">
        <v>155</v>
      </c>
      <c r="J50" s="205" t="s">
        <v>58</v>
      </c>
      <c r="K50" s="188" t="s">
        <v>59</v>
      </c>
      <c r="L50" s="188">
        <v>1</v>
      </c>
      <c r="M50" s="188"/>
      <c r="N50" s="188">
        <v>4</v>
      </c>
      <c r="O50" s="188">
        <v>0.9</v>
      </c>
      <c r="P50" s="188">
        <v>0.9</v>
      </c>
      <c r="Q50" s="207">
        <f t="shared" si="0"/>
        <v>0.9</v>
      </c>
      <c r="R50" s="188">
        <v>13</v>
      </c>
      <c r="S50" s="188">
        <v>112</v>
      </c>
      <c r="T50" s="208">
        <f t="shared" si="1"/>
        <v>33</v>
      </c>
      <c r="U50" s="188">
        <v>398</v>
      </c>
      <c r="V50" s="209">
        <f t="shared" si="2"/>
        <v>3283.5</v>
      </c>
      <c r="W50" s="188">
        <v>10</v>
      </c>
      <c r="X50" s="205" t="s">
        <v>46</v>
      </c>
      <c r="Y50" s="188" t="s">
        <v>55</v>
      </c>
      <c r="Z50" s="188" t="s">
        <v>90</v>
      </c>
      <c r="AA50" s="188" t="s">
        <v>97</v>
      </c>
      <c r="AB50" s="205" t="s">
        <v>488</v>
      </c>
      <c r="AC50" s="210"/>
    </row>
    <row r="51" spans="1:29" x14ac:dyDescent="0.15">
      <c r="A51" s="205" t="s">
        <v>61</v>
      </c>
      <c r="B51" s="205" t="s">
        <v>486</v>
      </c>
      <c r="C51" s="205">
        <v>2018</v>
      </c>
      <c r="D51" s="206" t="s">
        <v>487</v>
      </c>
      <c r="E51" s="205" t="s">
        <v>469</v>
      </c>
      <c r="F51" s="205" t="s">
        <v>470</v>
      </c>
      <c r="G51" s="205" t="s">
        <v>42</v>
      </c>
      <c r="H51" s="188" t="s">
        <v>127</v>
      </c>
      <c r="I51" s="188" t="s">
        <v>155</v>
      </c>
      <c r="J51" s="205" t="s">
        <v>58</v>
      </c>
      <c r="K51" s="188" t="s">
        <v>59</v>
      </c>
      <c r="L51" s="188">
        <v>2</v>
      </c>
      <c r="M51" s="188"/>
      <c r="N51" s="188">
        <v>4</v>
      </c>
      <c r="O51" s="188">
        <v>0.95</v>
      </c>
      <c r="P51" s="188">
        <v>0.9</v>
      </c>
      <c r="Q51" s="207">
        <f t="shared" si="0"/>
        <v>0.92500000000000004</v>
      </c>
      <c r="R51" s="188">
        <v>13.6</v>
      </c>
      <c r="S51" s="188">
        <v>114</v>
      </c>
      <c r="T51" s="208">
        <f t="shared" si="1"/>
        <v>30</v>
      </c>
      <c r="U51" s="188">
        <v>398</v>
      </c>
      <c r="V51" s="209">
        <f t="shared" si="2"/>
        <v>2985</v>
      </c>
      <c r="W51" s="188">
        <v>10</v>
      </c>
      <c r="X51" s="205" t="s">
        <v>46</v>
      </c>
      <c r="Y51" s="188" t="s">
        <v>55</v>
      </c>
      <c r="Z51" s="188" t="s">
        <v>90</v>
      </c>
      <c r="AA51" s="188" t="s">
        <v>97</v>
      </c>
      <c r="AB51" s="205" t="s">
        <v>488</v>
      </c>
      <c r="AC51" s="210"/>
    </row>
    <row r="52" spans="1:29" x14ac:dyDescent="0.15">
      <c r="A52" s="205" t="s">
        <v>61</v>
      </c>
      <c r="B52" s="205" t="s">
        <v>486</v>
      </c>
      <c r="C52" s="205">
        <v>2018</v>
      </c>
      <c r="D52" s="206" t="s">
        <v>487</v>
      </c>
      <c r="E52" s="205" t="s">
        <v>469</v>
      </c>
      <c r="F52" s="205" t="s">
        <v>470</v>
      </c>
      <c r="G52" s="205" t="s">
        <v>42</v>
      </c>
      <c r="H52" s="188" t="s">
        <v>127</v>
      </c>
      <c r="I52" s="188" t="s">
        <v>155</v>
      </c>
      <c r="J52" s="205" t="s">
        <v>58</v>
      </c>
      <c r="K52" s="188" t="s">
        <v>59</v>
      </c>
      <c r="L52" s="188">
        <v>3</v>
      </c>
      <c r="M52" s="188"/>
      <c r="N52" s="188">
        <v>4</v>
      </c>
      <c r="O52" s="188">
        <v>0.8</v>
      </c>
      <c r="P52" s="188">
        <v>0.85</v>
      </c>
      <c r="Q52" s="207">
        <f t="shared" si="0"/>
        <v>0.82499999999999996</v>
      </c>
      <c r="R52" s="188">
        <v>14</v>
      </c>
      <c r="S52" s="188">
        <v>112</v>
      </c>
      <c r="T52" s="208">
        <f t="shared" si="1"/>
        <v>33</v>
      </c>
      <c r="U52" s="188">
        <v>398</v>
      </c>
      <c r="V52" s="209">
        <f t="shared" si="2"/>
        <v>3283.5</v>
      </c>
      <c r="W52" s="188">
        <v>10</v>
      </c>
      <c r="X52" s="205" t="s">
        <v>46</v>
      </c>
      <c r="Y52" s="188" t="s">
        <v>55</v>
      </c>
      <c r="Z52" s="188" t="s">
        <v>90</v>
      </c>
      <c r="AA52" s="188" t="s">
        <v>97</v>
      </c>
      <c r="AB52" s="205" t="s">
        <v>488</v>
      </c>
      <c r="AC52" s="210"/>
    </row>
    <row r="53" spans="1:29" x14ac:dyDescent="0.15">
      <c r="A53" s="205" t="s">
        <v>61</v>
      </c>
      <c r="B53" s="205" t="s">
        <v>486</v>
      </c>
      <c r="C53" s="205">
        <v>2018</v>
      </c>
      <c r="D53" s="206" t="s">
        <v>487</v>
      </c>
      <c r="E53" s="205" t="s">
        <v>475</v>
      </c>
      <c r="F53" s="205" t="s">
        <v>476</v>
      </c>
      <c r="G53" s="205" t="s">
        <v>42</v>
      </c>
      <c r="H53" s="188" t="s">
        <v>157</v>
      </c>
      <c r="I53" s="188" t="s">
        <v>155</v>
      </c>
      <c r="J53" s="205" t="s">
        <v>38</v>
      </c>
      <c r="K53" s="188" t="s">
        <v>156</v>
      </c>
      <c r="L53" s="188">
        <v>1</v>
      </c>
      <c r="M53" s="188"/>
      <c r="N53" s="188">
        <v>1</v>
      </c>
      <c r="O53" s="188">
        <v>0.75</v>
      </c>
      <c r="P53" s="188">
        <v>0.7</v>
      </c>
      <c r="Q53" s="207">
        <f t="shared" si="0"/>
        <v>0.72499999999999998</v>
      </c>
      <c r="R53" s="188">
        <v>16.899999999999999</v>
      </c>
      <c r="S53" s="188">
        <v>157</v>
      </c>
      <c r="T53" s="208">
        <f t="shared" si="1"/>
        <v>18</v>
      </c>
      <c r="U53" s="188">
        <v>138</v>
      </c>
      <c r="V53" s="209">
        <f t="shared" si="2"/>
        <v>2484</v>
      </c>
      <c r="W53" s="188">
        <v>15</v>
      </c>
      <c r="X53" s="205" t="s">
        <v>46</v>
      </c>
      <c r="Y53" s="188" t="s">
        <v>55</v>
      </c>
      <c r="Z53" s="188" t="s">
        <v>97</v>
      </c>
      <c r="AA53" s="188" t="s">
        <v>86</v>
      </c>
      <c r="AB53" s="205" t="s">
        <v>488</v>
      </c>
      <c r="AC53" s="210"/>
    </row>
    <row r="54" spans="1:29" x14ac:dyDescent="0.15">
      <c r="A54" s="205" t="s">
        <v>61</v>
      </c>
      <c r="B54" s="205" t="s">
        <v>486</v>
      </c>
      <c r="C54" s="205">
        <v>2018</v>
      </c>
      <c r="D54" s="206" t="s">
        <v>487</v>
      </c>
      <c r="E54" s="205" t="s">
        <v>475</v>
      </c>
      <c r="F54" s="205" t="s">
        <v>476</v>
      </c>
      <c r="G54" s="205" t="s">
        <v>42</v>
      </c>
      <c r="H54" s="188" t="s">
        <v>157</v>
      </c>
      <c r="I54" s="188" t="s">
        <v>155</v>
      </c>
      <c r="J54" s="205" t="s">
        <v>38</v>
      </c>
      <c r="K54" s="188" t="s">
        <v>156</v>
      </c>
      <c r="L54" s="188">
        <v>2</v>
      </c>
      <c r="M54" s="188"/>
      <c r="N54" s="188">
        <v>1</v>
      </c>
      <c r="O54" s="188">
        <v>0.75</v>
      </c>
      <c r="P54" s="188">
        <v>0.75</v>
      </c>
      <c r="Q54" s="207">
        <f t="shared" si="0"/>
        <v>0.75</v>
      </c>
      <c r="R54" s="188">
        <v>16.399999999999999</v>
      </c>
      <c r="S54" s="188">
        <v>154</v>
      </c>
      <c r="T54" s="208">
        <f t="shared" si="1"/>
        <v>18</v>
      </c>
      <c r="U54" s="188">
        <v>138</v>
      </c>
      <c r="V54" s="209">
        <f t="shared" si="2"/>
        <v>2484</v>
      </c>
      <c r="W54" s="188">
        <v>15</v>
      </c>
      <c r="X54" s="205" t="s">
        <v>46</v>
      </c>
      <c r="Y54" s="188" t="s">
        <v>55</v>
      </c>
      <c r="Z54" s="188" t="s">
        <v>97</v>
      </c>
      <c r="AA54" s="188" t="s">
        <v>86</v>
      </c>
      <c r="AB54" s="205" t="s">
        <v>488</v>
      </c>
      <c r="AC54" s="210"/>
    </row>
    <row r="55" spans="1:29" x14ac:dyDescent="0.15">
      <c r="A55" s="205" t="s">
        <v>61</v>
      </c>
      <c r="B55" s="205" t="s">
        <v>486</v>
      </c>
      <c r="C55" s="205">
        <v>2018</v>
      </c>
      <c r="D55" s="206" t="s">
        <v>487</v>
      </c>
      <c r="E55" s="205" t="s">
        <v>475</v>
      </c>
      <c r="F55" s="205" t="s">
        <v>476</v>
      </c>
      <c r="G55" s="205" t="s">
        <v>42</v>
      </c>
      <c r="H55" s="188" t="s">
        <v>157</v>
      </c>
      <c r="I55" s="188" t="s">
        <v>155</v>
      </c>
      <c r="J55" s="205" t="s">
        <v>38</v>
      </c>
      <c r="K55" s="188" t="s">
        <v>156</v>
      </c>
      <c r="L55" s="188">
        <v>3</v>
      </c>
      <c r="M55" s="188"/>
      <c r="N55" s="188">
        <v>1</v>
      </c>
      <c r="O55" s="188">
        <v>0.75</v>
      </c>
      <c r="P55" s="188">
        <v>0.75</v>
      </c>
      <c r="Q55" s="207">
        <f t="shared" si="0"/>
        <v>0.75</v>
      </c>
      <c r="R55" s="188">
        <v>16</v>
      </c>
      <c r="S55" s="188">
        <v>155</v>
      </c>
      <c r="T55" s="208">
        <f t="shared" si="1"/>
        <v>18</v>
      </c>
      <c r="U55" s="188">
        <v>138</v>
      </c>
      <c r="V55" s="209">
        <f t="shared" si="2"/>
        <v>2484</v>
      </c>
      <c r="W55" s="188">
        <v>15</v>
      </c>
      <c r="X55" s="205" t="s">
        <v>46</v>
      </c>
      <c r="Y55" s="188" t="s">
        <v>55</v>
      </c>
      <c r="Z55" s="188" t="s">
        <v>97</v>
      </c>
      <c r="AA55" s="188" t="s">
        <v>86</v>
      </c>
      <c r="AB55" s="205" t="s">
        <v>488</v>
      </c>
      <c r="AC55" s="210"/>
    </row>
    <row r="56" spans="1:29" x14ac:dyDescent="0.15">
      <c r="A56" s="205" t="s">
        <v>61</v>
      </c>
      <c r="B56" s="205" t="s">
        <v>486</v>
      </c>
      <c r="C56" s="205">
        <v>2018</v>
      </c>
      <c r="D56" s="206" t="s">
        <v>487</v>
      </c>
      <c r="E56" s="205" t="s">
        <v>475</v>
      </c>
      <c r="F56" s="205" t="s">
        <v>476</v>
      </c>
      <c r="G56" s="205" t="s">
        <v>42</v>
      </c>
      <c r="H56" s="188" t="s">
        <v>162</v>
      </c>
      <c r="I56" s="188" t="s">
        <v>155</v>
      </c>
      <c r="J56" s="205" t="s">
        <v>38</v>
      </c>
      <c r="K56" s="188" t="s">
        <v>156</v>
      </c>
      <c r="L56" s="188">
        <v>1</v>
      </c>
      <c r="M56" s="188"/>
      <c r="N56" s="188">
        <v>1</v>
      </c>
      <c r="O56" s="188">
        <v>0.55000000000000004</v>
      </c>
      <c r="P56" s="188">
        <v>0.5</v>
      </c>
      <c r="Q56" s="207">
        <f t="shared" si="0"/>
        <v>0.52500000000000002</v>
      </c>
      <c r="R56" s="188">
        <v>17.399999999999999</v>
      </c>
      <c r="S56" s="188">
        <v>150</v>
      </c>
      <c r="T56" s="208">
        <f t="shared" si="1"/>
        <v>22</v>
      </c>
      <c r="U56" s="188">
        <v>149</v>
      </c>
      <c r="V56" s="209">
        <f t="shared" si="2"/>
        <v>3278</v>
      </c>
      <c r="W56" s="188">
        <v>15</v>
      </c>
      <c r="X56" s="205" t="s">
        <v>46</v>
      </c>
      <c r="Y56" s="188" t="s">
        <v>55</v>
      </c>
      <c r="Z56" s="188" t="s">
        <v>97</v>
      </c>
      <c r="AA56" s="188" t="s">
        <v>86</v>
      </c>
      <c r="AB56" s="205" t="s">
        <v>488</v>
      </c>
      <c r="AC56" s="210"/>
    </row>
    <row r="57" spans="1:29" x14ac:dyDescent="0.15">
      <c r="A57" s="205" t="s">
        <v>61</v>
      </c>
      <c r="B57" s="205" t="s">
        <v>486</v>
      </c>
      <c r="C57" s="205">
        <v>2018</v>
      </c>
      <c r="D57" s="206" t="s">
        <v>487</v>
      </c>
      <c r="E57" s="205" t="s">
        <v>475</v>
      </c>
      <c r="F57" s="205" t="s">
        <v>476</v>
      </c>
      <c r="G57" s="205" t="s">
        <v>42</v>
      </c>
      <c r="H57" s="188" t="s">
        <v>162</v>
      </c>
      <c r="I57" s="188" t="s">
        <v>155</v>
      </c>
      <c r="J57" s="205" t="s">
        <v>38</v>
      </c>
      <c r="K57" s="188" t="s">
        <v>156</v>
      </c>
      <c r="L57" s="188">
        <v>2</v>
      </c>
      <c r="M57" s="188"/>
      <c r="N57" s="188">
        <v>1</v>
      </c>
      <c r="O57" s="188">
        <v>0.5</v>
      </c>
      <c r="P57" s="188">
        <v>0.5</v>
      </c>
      <c r="Q57" s="207">
        <f t="shared" si="0"/>
        <v>0.5</v>
      </c>
      <c r="R57" s="188">
        <v>17.8</v>
      </c>
      <c r="S57" s="188">
        <v>156</v>
      </c>
      <c r="T57" s="208">
        <f t="shared" si="1"/>
        <v>18</v>
      </c>
      <c r="U57" s="188">
        <v>149</v>
      </c>
      <c r="V57" s="209">
        <f t="shared" si="2"/>
        <v>2682</v>
      </c>
      <c r="W57" s="188">
        <v>15</v>
      </c>
      <c r="X57" s="205" t="s">
        <v>46</v>
      </c>
      <c r="Y57" s="188" t="s">
        <v>55</v>
      </c>
      <c r="Z57" s="188" t="s">
        <v>97</v>
      </c>
      <c r="AA57" s="188" t="s">
        <v>86</v>
      </c>
      <c r="AB57" s="205" t="s">
        <v>488</v>
      </c>
      <c r="AC57" s="210"/>
    </row>
    <row r="58" spans="1:29" x14ac:dyDescent="0.15">
      <c r="A58" s="205" t="s">
        <v>61</v>
      </c>
      <c r="B58" s="205" t="s">
        <v>486</v>
      </c>
      <c r="C58" s="205">
        <v>2018</v>
      </c>
      <c r="D58" s="206" t="s">
        <v>487</v>
      </c>
      <c r="E58" s="205" t="s">
        <v>475</v>
      </c>
      <c r="F58" s="205" t="s">
        <v>476</v>
      </c>
      <c r="G58" s="205" t="s">
        <v>42</v>
      </c>
      <c r="H58" s="188" t="s">
        <v>162</v>
      </c>
      <c r="I58" s="188" t="s">
        <v>155</v>
      </c>
      <c r="J58" s="205" t="s">
        <v>38</v>
      </c>
      <c r="K58" s="188" t="s">
        <v>156</v>
      </c>
      <c r="L58" s="188">
        <v>3</v>
      </c>
      <c r="M58" s="188"/>
      <c r="N58" s="188">
        <v>1</v>
      </c>
      <c r="O58" s="188">
        <v>0.55000000000000004</v>
      </c>
      <c r="P58" s="188">
        <v>0.55000000000000004</v>
      </c>
      <c r="Q58" s="207">
        <f t="shared" si="0"/>
        <v>0.55000000000000004</v>
      </c>
      <c r="R58" s="188">
        <v>18.100000000000001</v>
      </c>
      <c r="S58" s="188">
        <v>159</v>
      </c>
      <c r="T58" s="208">
        <f t="shared" si="1"/>
        <v>18</v>
      </c>
      <c r="U58" s="188">
        <v>149</v>
      </c>
      <c r="V58" s="209">
        <f t="shared" si="2"/>
        <v>2682</v>
      </c>
      <c r="W58" s="188">
        <v>15</v>
      </c>
      <c r="X58" s="205" t="s">
        <v>46</v>
      </c>
      <c r="Y58" s="188" t="s">
        <v>55</v>
      </c>
      <c r="Z58" s="188" t="s">
        <v>97</v>
      </c>
      <c r="AA58" s="188" t="s">
        <v>86</v>
      </c>
      <c r="AB58" s="205" t="s">
        <v>488</v>
      </c>
      <c r="AC58" s="210"/>
    </row>
    <row r="59" spans="1:29" x14ac:dyDescent="0.15">
      <c r="A59" s="205" t="s">
        <v>61</v>
      </c>
      <c r="B59" s="205" t="s">
        <v>486</v>
      </c>
      <c r="C59" s="205">
        <v>2018</v>
      </c>
      <c r="D59" s="206" t="s">
        <v>487</v>
      </c>
      <c r="E59" s="205" t="s">
        <v>133</v>
      </c>
      <c r="F59" s="205" t="s">
        <v>478</v>
      </c>
      <c r="G59" s="205" t="s">
        <v>42</v>
      </c>
      <c r="H59" s="188" t="s">
        <v>157</v>
      </c>
      <c r="I59" s="188" t="s">
        <v>155</v>
      </c>
      <c r="J59" s="205" t="s">
        <v>38</v>
      </c>
      <c r="K59" s="188" t="s">
        <v>156</v>
      </c>
      <c r="L59" s="188">
        <v>1</v>
      </c>
      <c r="M59" s="188"/>
      <c r="N59" s="188">
        <v>8</v>
      </c>
      <c r="O59" s="188">
        <v>0.65</v>
      </c>
      <c r="P59" s="188">
        <v>0.65</v>
      </c>
      <c r="Q59" s="207">
        <f t="shared" si="0"/>
        <v>0.65</v>
      </c>
      <c r="R59" s="188">
        <v>17.100000000000001</v>
      </c>
      <c r="S59" s="188">
        <v>133</v>
      </c>
      <c r="T59" s="208">
        <f t="shared" si="1"/>
        <v>25</v>
      </c>
      <c r="U59" s="188">
        <v>753</v>
      </c>
      <c r="V59" s="209">
        <f t="shared" si="2"/>
        <v>2353.125</v>
      </c>
      <c r="W59" s="188">
        <v>27</v>
      </c>
      <c r="X59" s="205" t="s">
        <v>46</v>
      </c>
      <c r="Y59" s="188" t="s">
        <v>55</v>
      </c>
      <c r="Z59" s="188" t="s">
        <v>86</v>
      </c>
      <c r="AA59" s="188" t="s">
        <v>97</v>
      </c>
      <c r="AB59" s="205" t="s">
        <v>488</v>
      </c>
      <c r="AC59" s="188"/>
    </row>
    <row r="60" spans="1:29" x14ac:dyDescent="0.15">
      <c r="A60" s="205" t="s">
        <v>61</v>
      </c>
      <c r="B60" s="205" t="s">
        <v>486</v>
      </c>
      <c r="C60" s="205">
        <v>2018</v>
      </c>
      <c r="D60" s="206" t="s">
        <v>487</v>
      </c>
      <c r="E60" s="205" t="s">
        <v>133</v>
      </c>
      <c r="F60" s="205" t="s">
        <v>478</v>
      </c>
      <c r="G60" s="205" t="s">
        <v>42</v>
      </c>
      <c r="H60" s="188" t="s">
        <v>157</v>
      </c>
      <c r="I60" s="188" t="s">
        <v>155</v>
      </c>
      <c r="J60" s="205" t="s">
        <v>38</v>
      </c>
      <c r="K60" s="188" t="s">
        <v>156</v>
      </c>
      <c r="L60" s="188">
        <v>2</v>
      </c>
      <c r="M60" s="188"/>
      <c r="N60" s="188">
        <v>8</v>
      </c>
      <c r="O60" s="188">
        <v>0.8</v>
      </c>
      <c r="P60" s="188">
        <v>0.85</v>
      </c>
      <c r="Q60" s="207">
        <f t="shared" si="0"/>
        <v>0.82499999999999996</v>
      </c>
      <c r="R60" s="188">
        <v>16.3</v>
      </c>
      <c r="S60" s="188">
        <v>142</v>
      </c>
      <c r="T60" s="208">
        <f t="shared" si="1"/>
        <v>22</v>
      </c>
      <c r="U60" s="188">
        <v>753</v>
      </c>
      <c r="V60" s="209">
        <f t="shared" si="2"/>
        <v>2070.75</v>
      </c>
      <c r="W60" s="188">
        <v>27</v>
      </c>
      <c r="X60" s="205" t="s">
        <v>46</v>
      </c>
      <c r="Y60" s="188" t="s">
        <v>55</v>
      </c>
      <c r="Z60" s="188" t="s">
        <v>86</v>
      </c>
      <c r="AA60" s="188" t="s">
        <v>97</v>
      </c>
      <c r="AB60" s="205" t="s">
        <v>488</v>
      </c>
      <c r="AC60" s="188"/>
    </row>
    <row r="61" spans="1:29" x14ac:dyDescent="0.15">
      <c r="A61" s="205" t="s">
        <v>61</v>
      </c>
      <c r="B61" s="205" t="s">
        <v>486</v>
      </c>
      <c r="C61" s="205">
        <v>2018</v>
      </c>
      <c r="D61" s="206" t="s">
        <v>487</v>
      </c>
      <c r="E61" s="205" t="s">
        <v>133</v>
      </c>
      <c r="F61" s="205" t="s">
        <v>478</v>
      </c>
      <c r="G61" s="205" t="s">
        <v>42</v>
      </c>
      <c r="H61" s="188" t="s">
        <v>157</v>
      </c>
      <c r="I61" s="188" t="s">
        <v>155</v>
      </c>
      <c r="J61" s="205" t="s">
        <v>38</v>
      </c>
      <c r="K61" s="188" t="s">
        <v>156</v>
      </c>
      <c r="L61" s="188">
        <v>3</v>
      </c>
      <c r="M61" s="188"/>
      <c r="N61" s="188">
        <v>8</v>
      </c>
      <c r="O61" s="188">
        <v>0.55000000000000004</v>
      </c>
      <c r="P61" s="188">
        <v>0.55000000000000004</v>
      </c>
      <c r="Q61" s="207">
        <f t="shared" si="0"/>
        <v>0.55000000000000004</v>
      </c>
      <c r="R61" s="188">
        <v>16.5</v>
      </c>
      <c r="S61" s="188">
        <v>135</v>
      </c>
      <c r="T61" s="208">
        <f t="shared" si="1"/>
        <v>25</v>
      </c>
      <c r="U61" s="188">
        <v>753</v>
      </c>
      <c r="V61" s="209">
        <f t="shared" si="2"/>
        <v>2353.125</v>
      </c>
      <c r="W61" s="188">
        <v>27</v>
      </c>
      <c r="X61" s="205" t="s">
        <v>46</v>
      </c>
      <c r="Y61" s="188" t="s">
        <v>55</v>
      </c>
      <c r="Z61" s="188" t="s">
        <v>86</v>
      </c>
      <c r="AA61" s="188" t="s">
        <v>97</v>
      </c>
      <c r="AB61" s="205" t="s">
        <v>488</v>
      </c>
      <c r="AC61" s="188"/>
    </row>
    <row r="62" spans="1:29" x14ac:dyDescent="0.15">
      <c r="A62" s="205" t="s">
        <v>61</v>
      </c>
      <c r="B62" s="205" t="s">
        <v>486</v>
      </c>
      <c r="C62" s="205">
        <v>2018</v>
      </c>
      <c r="D62" s="206" t="s">
        <v>487</v>
      </c>
      <c r="E62" s="205" t="s">
        <v>133</v>
      </c>
      <c r="F62" s="205" t="s">
        <v>478</v>
      </c>
      <c r="G62" s="205" t="s">
        <v>42</v>
      </c>
      <c r="H62" s="188" t="s">
        <v>162</v>
      </c>
      <c r="I62" s="188" t="s">
        <v>155</v>
      </c>
      <c r="J62" s="205" t="s">
        <v>38</v>
      </c>
      <c r="K62" s="188" t="s">
        <v>156</v>
      </c>
      <c r="L62" s="188">
        <v>1</v>
      </c>
      <c r="M62" s="188"/>
      <c r="N62" s="188">
        <v>1</v>
      </c>
      <c r="O62" s="188">
        <v>0.5</v>
      </c>
      <c r="P62" s="188">
        <v>0.5</v>
      </c>
      <c r="Q62" s="207">
        <f>IF(OR(O62="",P62=""),"",AVERAGE(O62,P62))</f>
        <v>0.5</v>
      </c>
      <c r="R62" s="188">
        <v>18.100000000000001</v>
      </c>
      <c r="S62" s="188">
        <v>159</v>
      </c>
      <c r="T62" s="208">
        <f t="shared" si="1"/>
        <v>18</v>
      </c>
      <c r="U62" s="188">
        <v>149</v>
      </c>
      <c r="V62" s="209">
        <f t="shared" si="2"/>
        <v>2682</v>
      </c>
      <c r="W62" s="188">
        <v>27</v>
      </c>
      <c r="X62" s="205" t="s">
        <v>46</v>
      </c>
      <c r="Y62" s="188" t="s">
        <v>55</v>
      </c>
      <c r="Z62" s="188" t="s">
        <v>86</v>
      </c>
      <c r="AA62" s="188" t="s">
        <v>97</v>
      </c>
      <c r="AB62" s="205" t="s">
        <v>488</v>
      </c>
      <c r="AC62" s="188"/>
    </row>
    <row r="63" spans="1:29" x14ac:dyDescent="0.15">
      <c r="A63" s="205" t="s">
        <v>61</v>
      </c>
      <c r="B63" s="205" t="s">
        <v>486</v>
      </c>
      <c r="C63" s="205">
        <v>2018</v>
      </c>
      <c r="D63" s="206" t="s">
        <v>487</v>
      </c>
      <c r="E63" s="205" t="s">
        <v>133</v>
      </c>
      <c r="F63" s="205" t="s">
        <v>478</v>
      </c>
      <c r="G63" s="205" t="s">
        <v>42</v>
      </c>
      <c r="H63" s="188" t="s">
        <v>162</v>
      </c>
      <c r="I63" s="188" t="s">
        <v>155</v>
      </c>
      <c r="J63" s="205" t="s">
        <v>38</v>
      </c>
      <c r="K63" s="188" t="s">
        <v>156</v>
      </c>
      <c r="L63" s="188">
        <v>2</v>
      </c>
      <c r="M63" s="188"/>
      <c r="N63" s="188">
        <v>1</v>
      </c>
      <c r="O63" s="188">
        <v>0.55000000000000004</v>
      </c>
      <c r="P63" s="188">
        <v>0.5</v>
      </c>
      <c r="Q63" s="207">
        <f t="shared" si="0"/>
        <v>0.52500000000000002</v>
      </c>
      <c r="R63" s="188">
        <v>18.8</v>
      </c>
      <c r="S63" s="188">
        <v>154</v>
      </c>
      <c r="T63" s="208">
        <f t="shared" si="1"/>
        <v>18</v>
      </c>
      <c r="U63" s="188">
        <v>149</v>
      </c>
      <c r="V63" s="209">
        <f t="shared" si="2"/>
        <v>2682</v>
      </c>
      <c r="W63" s="188">
        <v>27</v>
      </c>
      <c r="X63" s="205" t="s">
        <v>46</v>
      </c>
      <c r="Y63" s="188" t="s">
        <v>55</v>
      </c>
      <c r="Z63" s="188" t="s">
        <v>86</v>
      </c>
      <c r="AA63" s="188" t="s">
        <v>97</v>
      </c>
      <c r="AB63" s="205" t="s">
        <v>488</v>
      </c>
      <c r="AC63" s="188"/>
    </row>
    <row r="64" spans="1:29" x14ac:dyDescent="0.15">
      <c r="A64" s="205" t="s">
        <v>61</v>
      </c>
      <c r="B64" s="205" t="s">
        <v>486</v>
      </c>
      <c r="C64" s="205">
        <v>2018</v>
      </c>
      <c r="D64" s="206" t="s">
        <v>487</v>
      </c>
      <c r="E64" s="205" t="s">
        <v>133</v>
      </c>
      <c r="F64" s="205" t="s">
        <v>478</v>
      </c>
      <c r="G64" s="205" t="s">
        <v>42</v>
      </c>
      <c r="H64" s="188" t="s">
        <v>162</v>
      </c>
      <c r="I64" s="188" t="s">
        <v>155</v>
      </c>
      <c r="J64" s="205" t="s">
        <v>38</v>
      </c>
      <c r="K64" s="188" t="s">
        <v>156</v>
      </c>
      <c r="L64" s="188">
        <v>3</v>
      </c>
      <c r="M64" s="188"/>
      <c r="N64" s="188">
        <v>1</v>
      </c>
      <c r="O64" s="188">
        <v>0.5</v>
      </c>
      <c r="P64" s="188">
        <v>0.5</v>
      </c>
      <c r="Q64" s="207">
        <f t="shared" si="0"/>
        <v>0.5</v>
      </c>
      <c r="R64" s="188">
        <v>17.899999999999999</v>
      </c>
      <c r="S64" s="188">
        <v>153</v>
      </c>
      <c r="T64" s="208">
        <f t="shared" si="1"/>
        <v>18</v>
      </c>
      <c r="U64" s="188">
        <v>149</v>
      </c>
      <c r="V64" s="209">
        <f t="shared" si="2"/>
        <v>2682</v>
      </c>
      <c r="W64" s="188">
        <v>27</v>
      </c>
      <c r="X64" s="205" t="s">
        <v>46</v>
      </c>
      <c r="Y64" s="188" t="s">
        <v>55</v>
      </c>
      <c r="Z64" s="188" t="s">
        <v>86</v>
      </c>
      <c r="AA64" s="188" t="s">
        <v>97</v>
      </c>
      <c r="AB64" s="205" t="s">
        <v>488</v>
      </c>
      <c r="AC64" s="188"/>
    </row>
    <row r="65" spans="1:29" x14ac:dyDescent="0.15">
      <c r="A65" s="205" t="s">
        <v>61</v>
      </c>
      <c r="B65" s="205" t="s">
        <v>486</v>
      </c>
      <c r="C65" s="205">
        <v>2018</v>
      </c>
      <c r="D65" s="206" t="s">
        <v>487</v>
      </c>
      <c r="E65" s="205" t="s">
        <v>133</v>
      </c>
      <c r="F65" s="205" t="s">
        <v>478</v>
      </c>
      <c r="G65" s="205" t="s">
        <v>42</v>
      </c>
      <c r="H65" s="188" t="s">
        <v>211</v>
      </c>
      <c r="I65" s="188" t="s">
        <v>155</v>
      </c>
      <c r="J65" s="205" t="s">
        <v>38</v>
      </c>
      <c r="K65" s="188" t="s">
        <v>156</v>
      </c>
      <c r="L65" s="188">
        <v>1</v>
      </c>
      <c r="M65" s="188"/>
      <c r="N65" s="188">
        <v>1</v>
      </c>
      <c r="O65" s="188">
        <v>0.5</v>
      </c>
      <c r="P65" s="188">
        <v>0.5</v>
      </c>
      <c r="Q65" s="207">
        <f t="shared" si="0"/>
        <v>0.5</v>
      </c>
      <c r="R65" s="188">
        <v>14.7</v>
      </c>
      <c r="S65" s="188">
        <v>100</v>
      </c>
      <c r="T65" s="208">
        <f t="shared" si="1"/>
        <v>33</v>
      </c>
      <c r="U65" s="188">
        <v>105</v>
      </c>
      <c r="V65" s="209">
        <f t="shared" si="2"/>
        <v>3465</v>
      </c>
      <c r="W65" s="188">
        <v>27</v>
      </c>
      <c r="X65" s="205" t="s">
        <v>46</v>
      </c>
      <c r="Y65" s="188" t="s">
        <v>55</v>
      </c>
      <c r="Z65" s="188" t="s">
        <v>86</v>
      </c>
      <c r="AA65" s="188" t="s">
        <v>97</v>
      </c>
      <c r="AB65" s="205" t="s">
        <v>488</v>
      </c>
      <c r="AC65" s="210"/>
    </row>
    <row r="66" spans="1:29" x14ac:dyDescent="0.15">
      <c r="A66" s="205" t="s">
        <v>61</v>
      </c>
      <c r="B66" s="205" t="s">
        <v>486</v>
      </c>
      <c r="C66" s="205">
        <v>2018</v>
      </c>
      <c r="D66" s="206" t="s">
        <v>487</v>
      </c>
      <c r="E66" s="205" t="s">
        <v>133</v>
      </c>
      <c r="F66" s="205" t="s">
        <v>478</v>
      </c>
      <c r="G66" s="205" t="s">
        <v>42</v>
      </c>
      <c r="H66" s="188" t="s">
        <v>211</v>
      </c>
      <c r="I66" s="188" t="s">
        <v>155</v>
      </c>
      <c r="J66" s="205" t="s">
        <v>38</v>
      </c>
      <c r="K66" s="188" t="s">
        <v>156</v>
      </c>
      <c r="L66" s="188">
        <v>2</v>
      </c>
      <c r="M66" s="188"/>
      <c r="N66" s="188">
        <v>1</v>
      </c>
      <c r="O66" s="188">
        <v>0.5</v>
      </c>
      <c r="P66" s="188">
        <v>0.55000000000000004</v>
      </c>
      <c r="Q66" s="207">
        <f t="shared" si="0"/>
        <v>0.52500000000000002</v>
      </c>
      <c r="R66" s="188">
        <v>14.2</v>
      </c>
      <c r="S66" s="188">
        <v>101</v>
      </c>
      <c r="T66" s="208">
        <f t="shared" ref="T66:T85" si="3">IF(H66="","",IF(OR(H66="GREEN",H66="GK"),IF(S66&gt;=$AX$2,VLOOKUP(S66,$AX$2:$AY$15,2,1),""),IF(S66&gt;=$AZ$2,VLOOKUP(S66,$AZ$2:$BA$15,2,1),"")))</f>
        <v>33</v>
      </c>
      <c r="U66" s="188">
        <v>105</v>
      </c>
      <c r="V66" s="209">
        <f t="shared" si="2"/>
        <v>3465</v>
      </c>
      <c r="W66" s="188">
        <v>27</v>
      </c>
      <c r="X66" s="205" t="s">
        <v>46</v>
      </c>
      <c r="Y66" s="188" t="s">
        <v>55</v>
      </c>
      <c r="Z66" s="188" t="s">
        <v>86</v>
      </c>
      <c r="AA66" s="188" t="s">
        <v>97</v>
      </c>
      <c r="AB66" s="205" t="s">
        <v>488</v>
      </c>
      <c r="AC66" s="210"/>
    </row>
    <row r="67" spans="1:29" x14ac:dyDescent="0.15">
      <c r="A67" s="205" t="s">
        <v>61</v>
      </c>
      <c r="B67" s="205" t="s">
        <v>486</v>
      </c>
      <c r="C67" s="205">
        <v>2018</v>
      </c>
      <c r="D67" s="206" t="s">
        <v>487</v>
      </c>
      <c r="E67" s="205" t="s">
        <v>133</v>
      </c>
      <c r="F67" s="205" t="s">
        <v>478</v>
      </c>
      <c r="G67" s="205" t="s">
        <v>42</v>
      </c>
      <c r="H67" s="188" t="s">
        <v>211</v>
      </c>
      <c r="I67" s="188" t="s">
        <v>155</v>
      </c>
      <c r="J67" s="205" t="s">
        <v>38</v>
      </c>
      <c r="K67" s="188" t="s">
        <v>156</v>
      </c>
      <c r="L67" s="188">
        <v>3</v>
      </c>
      <c r="M67" s="188"/>
      <c r="N67" s="188">
        <v>1</v>
      </c>
      <c r="O67" s="188">
        <v>0.7</v>
      </c>
      <c r="P67" s="188">
        <v>0.75</v>
      </c>
      <c r="Q67" s="207">
        <f t="shared" ref="Q67:Q85" si="4">IF(OR(O67="",P67=""),"",AVERAGE(O67,P67))</f>
        <v>0.72499999999999998</v>
      </c>
      <c r="R67" s="210">
        <v>15.1</v>
      </c>
      <c r="S67" s="188">
        <v>98</v>
      </c>
      <c r="T67" s="208">
        <f t="shared" si="3"/>
        <v>36</v>
      </c>
      <c r="U67" s="188">
        <v>105</v>
      </c>
      <c r="V67" s="209">
        <f t="shared" ref="V67:V85" si="5">IF(OR(N67="",U67="",T67=""),"",U67/N67*T67)</f>
        <v>3780</v>
      </c>
      <c r="W67" s="188">
        <v>27</v>
      </c>
      <c r="X67" s="205" t="s">
        <v>46</v>
      </c>
      <c r="Y67" s="188" t="s">
        <v>55</v>
      </c>
      <c r="Z67" s="188" t="s">
        <v>86</v>
      </c>
      <c r="AA67" s="188" t="s">
        <v>97</v>
      </c>
      <c r="AB67" s="205" t="s">
        <v>488</v>
      </c>
      <c r="AC67" s="210"/>
    </row>
    <row r="68" spans="1:29" x14ac:dyDescent="0.15">
      <c r="A68" s="205" t="s">
        <v>61</v>
      </c>
      <c r="B68" s="205" t="s">
        <v>486</v>
      </c>
      <c r="C68" s="205">
        <v>2018</v>
      </c>
      <c r="D68" s="206" t="s">
        <v>487</v>
      </c>
      <c r="E68" s="205" t="s">
        <v>482</v>
      </c>
      <c r="F68" s="205" t="s">
        <v>483</v>
      </c>
      <c r="G68" s="205" t="s">
        <v>42</v>
      </c>
      <c r="H68" s="188" t="s">
        <v>157</v>
      </c>
      <c r="I68" s="188" t="s">
        <v>155</v>
      </c>
      <c r="J68" s="205" t="s">
        <v>38</v>
      </c>
      <c r="K68" s="188" t="s">
        <v>156</v>
      </c>
      <c r="L68" s="188">
        <v>1</v>
      </c>
      <c r="M68" s="188"/>
      <c r="N68" s="188">
        <v>1</v>
      </c>
      <c r="O68" s="188">
        <v>0.6</v>
      </c>
      <c r="P68" s="188">
        <v>0.6</v>
      </c>
      <c r="Q68" s="207">
        <f t="shared" si="4"/>
        <v>0.6</v>
      </c>
      <c r="R68" s="188">
        <v>16.3</v>
      </c>
      <c r="S68" s="188">
        <v>138</v>
      </c>
      <c r="T68" s="208">
        <f t="shared" si="3"/>
        <v>22</v>
      </c>
      <c r="U68" s="188">
        <v>138</v>
      </c>
      <c r="V68" s="209">
        <f t="shared" si="5"/>
        <v>3036</v>
      </c>
      <c r="W68" s="188">
        <v>16</v>
      </c>
      <c r="X68" s="205" t="s">
        <v>46</v>
      </c>
      <c r="Y68" s="188" t="s">
        <v>97</v>
      </c>
      <c r="Z68" s="188" t="s">
        <v>86</v>
      </c>
      <c r="AA68" s="188" t="s">
        <v>47</v>
      </c>
      <c r="AB68" s="205" t="s">
        <v>488</v>
      </c>
      <c r="AC68" s="210"/>
    </row>
    <row r="69" spans="1:29" x14ac:dyDescent="0.15">
      <c r="A69" s="205" t="s">
        <v>61</v>
      </c>
      <c r="B69" s="205" t="s">
        <v>486</v>
      </c>
      <c r="C69" s="205">
        <v>2018</v>
      </c>
      <c r="D69" s="206" t="s">
        <v>487</v>
      </c>
      <c r="E69" s="205" t="s">
        <v>482</v>
      </c>
      <c r="F69" s="205" t="s">
        <v>483</v>
      </c>
      <c r="G69" s="205" t="s">
        <v>42</v>
      </c>
      <c r="H69" s="188" t="s">
        <v>157</v>
      </c>
      <c r="I69" s="188" t="s">
        <v>155</v>
      </c>
      <c r="J69" s="205" t="s">
        <v>38</v>
      </c>
      <c r="K69" s="188" t="s">
        <v>156</v>
      </c>
      <c r="L69" s="188">
        <v>2</v>
      </c>
      <c r="M69" s="188"/>
      <c r="N69" s="188">
        <v>1</v>
      </c>
      <c r="O69" s="188">
        <v>0.65</v>
      </c>
      <c r="P69" s="188">
        <v>0.6</v>
      </c>
      <c r="Q69" s="207">
        <f t="shared" si="4"/>
        <v>0.625</v>
      </c>
      <c r="R69" s="210">
        <v>16.600000000000001</v>
      </c>
      <c r="S69" s="188">
        <v>132</v>
      </c>
      <c r="T69" s="208">
        <f t="shared" si="3"/>
        <v>25</v>
      </c>
      <c r="U69" s="188">
        <v>138</v>
      </c>
      <c r="V69" s="209">
        <f t="shared" si="5"/>
        <v>3450</v>
      </c>
      <c r="W69" s="188">
        <v>16</v>
      </c>
      <c r="X69" s="205" t="s">
        <v>46</v>
      </c>
      <c r="Y69" s="188" t="s">
        <v>97</v>
      </c>
      <c r="Z69" s="188" t="s">
        <v>86</v>
      </c>
      <c r="AA69" s="188" t="s">
        <v>47</v>
      </c>
      <c r="AB69" s="205" t="s">
        <v>488</v>
      </c>
      <c r="AC69" s="210"/>
    </row>
    <row r="70" spans="1:29" x14ac:dyDescent="0.15">
      <c r="A70" s="205" t="s">
        <v>61</v>
      </c>
      <c r="B70" s="205" t="s">
        <v>486</v>
      </c>
      <c r="C70" s="205">
        <v>2018</v>
      </c>
      <c r="D70" s="206" t="s">
        <v>487</v>
      </c>
      <c r="E70" s="205" t="s">
        <v>482</v>
      </c>
      <c r="F70" s="205" t="s">
        <v>483</v>
      </c>
      <c r="G70" s="205" t="s">
        <v>42</v>
      </c>
      <c r="H70" s="188" t="s">
        <v>157</v>
      </c>
      <c r="I70" s="188" t="s">
        <v>155</v>
      </c>
      <c r="J70" s="205" t="s">
        <v>38</v>
      </c>
      <c r="K70" s="188" t="s">
        <v>156</v>
      </c>
      <c r="L70" s="188">
        <v>3</v>
      </c>
      <c r="M70" s="188"/>
      <c r="N70" s="188">
        <v>1</v>
      </c>
      <c r="O70" s="188">
        <v>0.65</v>
      </c>
      <c r="P70" s="188">
        <v>0.75</v>
      </c>
      <c r="Q70" s="207">
        <f t="shared" si="4"/>
        <v>0.7</v>
      </c>
      <c r="R70" s="210">
        <v>16</v>
      </c>
      <c r="S70" s="188">
        <v>133</v>
      </c>
      <c r="T70" s="208">
        <f t="shared" si="3"/>
        <v>25</v>
      </c>
      <c r="U70" s="188">
        <v>138</v>
      </c>
      <c r="V70" s="209">
        <f t="shared" si="5"/>
        <v>3450</v>
      </c>
      <c r="W70" s="188">
        <v>16</v>
      </c>
      <c r="X70" s="205" t="s">
        <v>46</v>
      </c>
      <c r="Y70" s="188" t="s">
        <v>97</v>
      </c>
      <c r="Z70" s="188" t="s">
        <v>86</v>
      </c>
      <c r="AA70" s="188" t="s">
        <v>47</v>
      </c>
      <c r="AB70" s="205" t="s">
        <v>488</v>
      </c>
      <c r="AC70" s="210"/>
    </row>
    <row r="71" spans="1:29" x14ac:dyDescent="0.15">
      <c r="A71" s="205" t="s">
        <v>61</v>
      </c>
      <c r="B71" s="205" t="s">
        <v>486</v>
      </c>
      <c r="C71" s="205">
        <v>2018</v>
      </c>
      <c r="D71" s="206" t="s">
        <v>487</v>
      </c>
      <c r="E71" s="205" t="s">
        <v>482</v>
      </c>
      <c r="F71" s="205" t="s">
        <v>483</v>
      </c>
      <c r="G71" s="205" t="s">
        <v>42</v>
      </c>
      <c r="H71" s="188" t="s">
        <v>162</v>
      </c>
      <c r="I71" s="188" t="s">
        <v>155</v>
      </c>
      <c r="J71" s="205" t="s">
        <v>38</v>
      </c>
      <c r="K71" s="188" t="s">
        <v>156</v>
      </c>
      <c r="L71" s="188">
        <v>1</v>
      </c>
      <c r="M71" s="188"/>
      <c r="N71" s="188">
        <v>1</v>
      </c>
      <c r="O71" s="188">
        <v>0.5</v>
      </c>
      <c r="P71" s="188">
        <v>0.5</v>
      </c>
      <c r="Q71" s="207">
        <f t="shared" si="4"/>
        <v>0.5</v>
      </c>
      <c r="R71" s="188">
        <v>18.399999999999999</v>
      </c>
      <c r="S71" s="188">
        <v>160</v>
      </c>
      <c r="T71" s="208">
        <f t="shared" si="3"/>
        <v>18</v>
      </c>
      <c r="U71" s="188">
        <v>138</v>
      </c>
      <c r="V71" s="209">
        <f t="shared" si="5"/>
        <v>2484</v>
      </c>
      <c r="W71" s="188">
        <v>16</v>
      </c>
      <c r="X71" s="205" t="s">
        <v>46</v>
      </c>
      <c r="Y71" s="188" t="s">
        <v>97</v>
      </c>
      <c r="Z71" s="188" t="s">
        <v>86</v>
      </c>
      <c r="AA71" s="188" t="s">
        <v>47</v>
      </c>
      <c r="AB71" s="205" t="s">
        <v>488</v>
      </c>
      <c r="AC71" s="210"/>
    </row>
    <row r="72" spans="1:29" x14ac:dyDescent="0.15">
      <c r="A72" s="205" t="s">
        <v>61</v>
      </c>
      <c r="B72" s="205" t="s">
        <v>486</v>
      </c>
      <c r="C72" s="205">
        <v>2018</v>
      </c>
      <c r="D72" s="206" t="s">
        <v>487</v>
      </c>
      <c r="E72" s="205" t="s">
        <v>482</v>
      </c>
      <c r="F72" s="205" t="s">
        <v>483</v>
      </c>
      <c r="G72" s="205" t="s">
        <v>42</v>
      </c>
      <c r="H72" s="188" t="s">
        <v>162</v>
      </c>
      <c r="I72" s="188" t="s">
        <v>155</v>
      </c>
      <c r="J72" s="205" t="s">
        <v>38</v>
      </c>
      <c r="K72" s="188" t="s">
        <v>156</v>
      </c>
      <c r="L72" s="188">
        <v>2</v>
      </c>
      <c r="M72" s="188"/>
      <c r="N72" s="188">
        <v>1</v>
      </c>
      <c r="O72" s="188">
        <v>0.5</v>
      </c>
      <c r="P72" s="188">
        <v>0.5</v>
      </c>
      <c r="Q72" s="207">
        <f t="shared" si="4"/>
        <v>0.5</v>
      </c>
      <c r="R72" s="188">
        <v>18.899999999999999</v>
      </c>
      <c r="S72" s="188">
        <v>155</v>
      </c>
      <c r="T72" s="208">
        <f t="shared" si="3"/>
        <v>18</v>
      </c>
      <c r="U72" s="188">
        <v>138</v>
      </c>
      <c r="V72" s="209">
        <f t="shared" si="5"/>
        <v>2484</v>
      </c>
      <c r="W72" s="188">
        <v>16</v>
      </c>
      <c r="X72" s="205" t="s">
        <v>46</v>
      </c>
      <c r="Y72" s="188" t="s">
        <v>97</v>
      </c>
      <c r="Z72" s="188" t="s">
        <v>86</v>
      </c>
      <c r="AA72" s="188" t="s">
        <v>47</v>
      </c>
      <c r="AB72" s="205" t="s">
        <v>488</v>
      </c>
      <c r="AC72" s="210"/>
    </row>
    <row r="73" spans="1:29" x14ac:dyDescent="0.15">
      <c r="A73" s="205" t="s">
        <v>61</v>
      </c>
      <c r="B73" s="205" t="s">
        <v>486</v>
      </c>
      <c r="C73" s="205">
        <v>2018</v>
      </c>
      <c r="D73" s="206" t="s">
        <v>487</v>
      </c>
      <c r="E73" s="205" t="s">
        <v>482</v>
      </c>
      <c r="F73" s="205" t="s">
        <v>483</v>
      </c>
      <c r="G73" s="205" t="s">
        <v>42</v>
      </c>
      <c r="H73" s="188" t="s">
        <v>162</v>
      </c>
      <c r="I73" s="188" t="s">
        <v>155</v>
      </c>
      <c r="J73" s="205" t="s">
        <v>38</v>
      </c>
      <c r="K73" s="188" t="s">
        <v>156</v>
      </c>
      <c r="L73" s="188">
        <v>3</v>
      </c>
      <c r="M73" s="188"/>
      <c r="N73" s="188">
        <v>1</v>
      </c>
      <c r="O73" s="188">
        <v>0.5</v>
      </c>
      <c r="P73" s="188">
        <v>0.5</v>
      </c>
      <c r="Q73" s="207">
        <f t="shared" si="4"/>
        <v>0.5</v>
      </c>
      <c r="R73" s="188">
        <v>17.899999999999999</v>
      </c>
      <c r="S73" s="188">
        <v>158</v>
      </c>
      <c r="T73" s="208">
        <f t="shared" si="3"/>
        <v>18</v>
      </c>
      <c r="U73" s="188">
        <v>138</v>
      </c>
      <c r="V73" s="209">
        <f t="shared" si="5"/>
        <v>2484</v>
      </c>
      <c r="W73" s="188">
        <v>16</v>
      </c>
      <c r="X73" s="205" t="s">
        <v>46</v>
      </c>
      <c r="Y73" s="188" t="s">
        <v>97</v>
      </c>
      <c r="Z73" s="188" t="s">
        <v>86</v>
      </c>
      <c r="AA73" s="188" t="s">
        <v>47</v>
      </c>
      <c r="AB73" s="205" t="s">
        <v>488</v>
      </c>
      <c r="AC73" s="210"/>
    </row>
    <row r="74" spans="1:29" x14ac:dyDescent="0.15">
      <c r="A74" s="205" t="s">
        <v>61</v>
      </c>
      <c r="B74" s="205" t="s">
        <v>486</v>
      </c>
      <c r="C74" s="205">
        <v>2018</v>
      </c>
      <c r="D74" s="206" t="s">
        <v>487</v>
      </c>
      <c r="E74" s="188" t="s">
        <v>484</v>
      </c>
      <c r="F74" s="205" t="s">
        <v>483</v>
      </c>
      <c r="G74" s="205" t="s">
        <v>42</v>
      </c>
      <c r="H74" s="188" t="s">
        <v>157</v>
      </c>
      <c r="I74" s="188" t="s">
        <v>155</v>
      </c>
      <c r="J74" s="205" t="s">
        <v>38</v>
      </c>
      <c r="K74" s="188" t="s">
        <v>156</v>
      </c>
      <c r="L74" s="188">
        <v>1</v>
      </c>
      <c r="M74" s="188"/>
      <c r="N74" s="188">
        <v>1</v>
      </c>
      <c r="O74" s="188">
        <v>0.75</v>
      </c>
      <c r="P74" s="188">
        <v>0.7</v>
      </c>
      <c r="Q74" s="207">
        <f t="shared" si="4"/>
        <v>0.72499999999999998</v>
      </c>
      <c r="R74" s="188">
        <v>16.8</v>
      </c>
      <c r="S74" s="188">
        <v>140</v>
      </c>
      <c r="T74" s="208">
        <f t="shared" si="3"/>
        <v>22</v>
      </c>
      <c r="U74" s="188">
        <v>149</v>
      </c>
      <c r="V74" s="209">
        <f t="shared" si="5"/>
        <v>3278</v>
      </c>
      <c r="W74" s="188">
        <v>42</v>
      </c>
      <c r="X74" s="205" t="s">
        <v>46</v>
      </c>
      <c r="Y74" s="188" t="s">
        <v>97</v>
      </c>
      <c r="Z74" s="188" t="s">
        <v>86</v>
      </c>
      <c r="AA74" s="188" t="s">
        <v>88</v>
      </c>
      <c r="AB74" s="205" t="s">
        <v>488</v>
      </c>
      <c r="AC74" s="188"/>
    </row>
    <row r="75" spans="1:29" x14ac:dyDescent="0.15">
      <c r="A75" s="205" t="s">
        <v>61</v>
      </c>
      <c r="B75" s="205" t="s">
        <v>486</v>
      </c>
      <c r="C75" s="205">
        <v>2018</v>
      </c>
      <c r="D75" s="206" t="s">
        <v>487</v>
      </c>
      <c r="E75" s="188" t="s">
        <v>484</v>
      </c>
      <c r="F75" s="205" t="s">
        <v>483</v>
      </c>
      <c r="G75" s="205" t="s">
        <v>42</v>
      </c>
      <c r="H75" s="188" t="s">
        <v>157</v>
      </c>
      <c r="I75" s="188" t="s">
        <v>155</v>
      </c>
      <c r="J75" s="205" t="s">
        <v>38</v>
      </c>
      <c r="K75" s="188" t="s">
        <v>156</v>
      </c>
      <c r="L75" s="188">
        <v>2</v>
      </c>
      <c r="M75" s="188"/>
      <c r="N75" s="188">
        <v>1</v>
      </c>
      <c r="O75" s="188">
        <v>0.8</v>
      </c>
      <c r="P75" s="188">
        <v>0.8</v>
      </c>
      <c r="Q75" s="207">
        <f t="shared" si="4"/>
        <v>0.8</v>
      </c>
      <c r="R75" s="188">
        <v>14.9</v>
      </c>
      <c r="S75" s="188">
        <v>141</v>
      </c>
      <c r="T75" s="208">
        <f t="shared" si="3"/>
        <v>22</v>
      </c>
      <c r="U75" s="188">
        <v>149</v>
      </c>
      <c r="V75" s="209">
        <f t="shared" si="5"/>
        <v>3278</v>
      </c>
      <c r="W75" s="188">
        <v>42</v>
      </c>
      <c r="X75" s="205" t="s">
        <v>46</v>
      </c>
      <c r="Y75" s="188" t="s">
        <v>97</v>
      </c>
      <c r="Z75" s="188" t="s">
        <v>86</v>
      </c>
      <c r="AA75" s="188" t="s">
        <v>88</v>
      </c>
      <c r="AB75" s="205" t="s">
        <v>488</v>
      </c>
      <c r="AC75" s="188"/>
    </row>
    <row r="76" spans="1:29" x14ac:dyDescent="0.15">
      <c r="A76" s="205" t="s">
        <v>61</v>
      </c>
      <c r="B76" s="205" t="s">
        <v>486</v>
      </c>
      <c r="C76" s="205">
        <v>2018</v>
      </c>
      <c r="D76" s="206" t="s">
        <v>487</v>
      </c>
      <c r="E76" s="188" t="s">
        <v>484</v>
      </c>
      <c r="F76" s="205" t="s">
        <v>483</v>
      </c>
      <c r="G76" s="205" t="s">
        <v>42</v>
      </c>
      <c r="H76" s="188" t="s">
        <v>157</v>
      </c>
      <c r="I76" s="188" t="s">
        <v>155</v>
      </c>
      <c r="J76" s="205" t="s">
        <v>38</v>
      </c>
      <c r="K76" s="188" t="s">
        <v>156</v>
      </c>
      <c r="L76" s="188">
        <v>3</v>
      </c>
      <c r="M76" s="188"/>
      <c r="N76" s="188">
        <v>1</v>
      </c>
      <c r="O76" s="188">
        <v>0.75</v>
      </c>
      <c r="P76" s="188">
        <v>0.6</v>
      </c>
      <c r="Q76" s="207">
        <f t="shared" si="4"/>
        <v>0.67500000000000004</v>
      </c>
      <c r="R76" s="188">
        <v>16.600000000000001</v>
      </c>
      <c r="S76" s="188">
        <v>138</v>
      </c>
      <c r="T76" s="208">
        <f t="shared" si="3"/>
        <v>22</v>
      </c>
      <c r="U76" s="188">
        <v>149</v>
      </c>
      <c r="V76" s="209">
        <f t="shared" si="5"/>
        <v>3278</v>
      </c>
      <c r="W76" s="188">
        <v>42</v>
      </c>
      <c r="X76" s="205" t="s">
        <v>46</v>
      </c>
      <c r="Y76" s="188" t="s">
        <v>97</v>
      </c>
      <c r="Z76" s="188" t="s">
        <v>86</v>
      </c>
      <c r="AA76" s="188" t="s">
        <v>88</v>
      </c>
      <c r="AB76" s="205" t="s">
        <v>488</v>
      </c>
      <c r="AC76" s="188"/>
    </row>
    <row r="77" spans="1:29" x14ac:dyDescent="0.15">
      <c r="A77" s="205" t="s">
        <v>61</v>
      </c>
      <c r="B77" s="205" t="s">
        <v>486</v>
      </c>
      <c r="C77" s="205">
        <v>2018</v>
      </c>
      <c r="D77" s="206" t="s">
        <v>487</v>
      </c>
      <c r="E77" s="188" t="s">
        <v>484</v>
      </c>
      <c r="F77" s="205" t="s">
        <v>483</v>
      </c>
      <c r="G77" s="205" t="s">
        <v>42</v>
      </c>
      <c r="H77" s="188" t="s">
        <v>162</v>
      </c>
      <c r="I77" s="188" t="s">
        <v>155</v>
      </c>
      <c r="J77" s="205" t="s">
        <v>38</v>
      </c>
      <c r="K77" s="188" t="s">
        <v>156</v>
      </c>
      <c r="L77" s="188">
        <v>1</v>
      </c>
      <c r="M77" s="188"/>
      <c r="N77" s="188">
        <v>1</v>
      </c>
      <c r="O77" s="188">
        <v>0.55000000000000004</v>
      </c>
      <c r="P77" s="188">
        <v>0.5</v>
      </c>
      <c r="Q77" s="207">
        <f t="shared" si="4"/>
        <v>0.52500000000000002</v>
      </c>
      <c r="R77" s="188">
        <v>14.9</v>
      </c>
      <c r="S77" s="188">
        <v>137</v>
      </c>
      <c r="T77" s="208">
        <f t="shared" si="3"/>
        <v>25</v>
      </c>
      <c r="U77" s="188">
        <v>149</v>
      </c>
      <c r="V77" s="209">
        <f t="shared" si="5"/>
        <v>3725</v>
      </c>
      <c r="W77" s="188">
        <v>42</v>
      </c>
      <c r="X77" s="205" t="s">
        <v>46</v>
      </c>
      <c r="Y77" s="188" t="s">
        <v>97</v>
      </c>
      <c r="Z77" s="188" t="s">
        <v>86</v>
      </c>
      <c r="AA77" s="188" t="s">
        <v>88</v>
      </c>
      <c r="AB77" s="205" t="s">
        <v>488</v>
      </c>
      <c r="AC77" s="188"/>
    </row>
    <row r="78" spans="1:29" x14ac:dyDescent="0.15">
      <c r="A78" s="205" t="s">
        <v>61</v>
      </c>
      <c r="B78" s="205" t="s">
        <v>486</v>
      </c>
      <c r="C78" s="205">
        <v>2018</v>
      </c>
      <c r="D78" s="206" t="s">
        <v>487</v>
      </c>
      <c r="E78" s="188" t="s">
        <v>484</v>
      </c>
      <c r="F78" s="205" t="s">
        <v>483</v>
      </c>
      <c r="G78" s="205" t="s">
        <v>42</v>
      </c>
      <c r="H78" s="188" t="s">
        <v>162</v>
      </c>
      <c r="I78" s="188" t="s">
        <v>155</v>
      </c>
      <c r="J78" s="205" t="s">
        <v>38</v>
      </c>
      <c r="K78" s="188" t="s">
        <v>156</v>
      </c>
      <c r="L78" s="188">
        <v>2</v>
      </c>
      <c r="M78" s="188"/>
      <c r="N78" s="188">
        <v>1</v>
      </c>
      <c r="O78" s="188">
        <v>0.65</v>
      </c>
      <c r="P78" s="188">
        <v>0.7</v>
      </c>
      <c r="Q78" s="207">
        <f t="shared" si="4"/>
        <v>0.67500000000000004</v>
      </c>
      <c r="R78" s="188">
        <v>15.4</v>
      </c>
      <c r="S78" s="188">
        <v>140</v>
      </c>
      <c r="T78" s="208">
        <f t="shared" si="3"/>
        <v>22</v>
      </c>
      <c r="U78" s="188">
        <v>149</v>
      </c>
      <c r="V78" s="209">
        <f t="shared" si="5"/>
        <v>3278</v>
      </c>
      <c r="W78" s="188">
        <v>42</v>
      </c>
      <c r="X78" s="205" t="s">
        <v>46</v>
      </c>
      <c r="Y78" s="188" t="s">
        <v>97</v>
      </c>
      <c r="Z78" s="188" t="s">
        <v>86</v>
      </c>
      <c r="AA78" s="188" t="s">
        <v>88</v>
      </c>
      <c r="AB78" s="205" t="s">
        <v>488</v>
      </c>
      <c r="AC78" s="188"/>
    </row>
    <row r="79" spans="1:29" x14ac:dyDescent="0.15">
      <c r="A79" s="205" t="s">
        <v>61</v>
      </c>
      <c r="B79" s="205" t="s">
        <v>486</v>
      </c>
      <c r="C79" s="205">
        <v>2018</v>
      </c>
      <c r="D79" s="206" t="s">
        <v>487</v>
      </c>
      <c r="E79" s="188" t="s">
        <v>484</v>
      </c>
      <c r="F79" s="205" t="s">
        <v>483</v>
      </c>
      <c r="G79" s="205" t="s">
        <v>42</v>
      </c>
      <c r="H79" s="188" t="s">
        <v>162</v>
      </c>
      <c r="I79" s="188" t="s">
        <v>155</v>
      </c>
      <c r="J79" s="205" t="s">
        <v>38</v>
      </c>
      <c r="K79" s="188" t="s">
        <v>156</v>
      </c>
      <c r="L79" s="188">
        <v>3</v>
      </c>
      <c r="M79" s="188"/>
      <c r="N79" s="188">
        <v>1</v>
      </c>
      <c r="O79" s="188">
        <v>0.5</v>
      </c>
      <c r="P79" s="188">
        <v>0.5</v>
      </c>
      <c r="Q79" s="207">
        <f t="shared" si="4"/>
        <v>0.5</v>
      </c>
      <c r="R79" s="188">
        <v>17.7</v>
      </c>
      <c r="S79" s="188">
        <v>139</v>
      </c>
      <c r="T79" s="208">
        <f t="shared" si="3"/>
        <v>22</v>
      </c>
      <c r="U79" s="188">
        <v>149</v>
      </c>
      <c r="V79" s="209">
        <f t="shared" si="5"/>
        <v>3278</v>
      </c>
      <c r="W79" s="188">
        <v>42</v>
      </c>
      <c r="X79" s="205" t="s">
        <v>46</v>
      </c>
      <c r="Y79" s="188" t="s">
        <v>97</v>
      </c>
      <c r="Z79" s="188" t="s">
        <v>86</v>
      </c>
      <c r="AA79" s="188" t="s">
        <v>88</v>
      </c>
      <c r="AB79" s="205" t="s">
        <v>488</v>
      </c>
      <c r="AC79" s="188"/>
    </row>
    <row r="80" spans="1:29" x14ac:dyDescent="0.15">
      <c r="A80" s="205" t="s">
        <v>61</v>
      </c>
      <c r="B80" s="205" t="s">
        <v>486</v>
      </c>
      <c r="C80" s="205">
        <v>2018</v>
      </c>
      <c r="D80" s="206" t="s">
        <v>487</v>
      </c>
      <c r="E80" s="188" t="s">
        <v>484</v>
      </c>
      <c r="F80" s="205" t="s">
        <v>483</v>
      </c>
      <c r="G80" s="205" t="s">
        <v>42</v>
      </c>
      <c r="H80" s="188" t="s">
        <v>211</v>
      </c>
      <c r="I80" s="188" t="s">
        <v>155</v>
      </c>
      <c r="J80" s="205" t="s">
        <v>38</v>
      </c>
      <c r="K80" s="188" t="s">
        <v>156</v>
      </c>
      <c r="L80" s="188">
        <v>1</v>
      </c>
      <c r="M80" s="188"/>
      <c r="N80" s="188">
        <v>5</v>
      </c>
      <c r="O80" s="188">
        <v>0.5</v>
      </c>
      <c r="P80" s="188">
        <v>0.55000000000000004</v>
      </c>
      <c r="Q80" s="207">
        <f t="shared" si="4"/>
        <v>0.52500000000000002</v>
      </c>
      <c r="R80" s="188">
        <v>16.8</v>
      </c>
      <c r="S80" s="188">
        <v>112</v>
      </c>
      <c r="T80" s="208">
        <f t="shared" si="3"/>
        <v>33</v>
      </c>
      <c r="U80" s="188">
        <v>429</v>
      </c>
      <c r="V80" s="209">
        <f t="shared" si="5"/>
        <v>2831.4</v>
      </c>
      <c r="W80" s="188">
        <v>42</v>
      </c>
      <c r="X80" s="205" t="s">
        <v>46</v>
      </c>
      <c r="Y80" s="188" t="s">
        <v>97</v>
      </c>
      <c r="Z80" s="188" t="s">
        <v>86</v>
      </c>
      <c r="AA80" s="188" t="s">
        <v>88</v>
      </c>
      <c r="AB80" s="205" t="s">
        <v>488</v>
      </c>
      <c r="AC80" s="188"/>
    </row>
    <row r="81" spans="1:29" x14ac:dyDescent="0.15">
      <c r="A81" s="205" t="s">
        <v>61</v>
      </c>
      <c r="B81" s="205" t="s">
        <v>486</v>
      </c>
      <c r="C81" s="205">
        <v>2018</v>
      </c>
      <c r="D81" s="206" t="s">
        <v>487</v>
      </c>
      <c r="E81" s="188" t="s">
        <v>484</v>
      </c>
      <c r="F81" s="205" t="s">
        <v>483</v>
      </c>
      <c r="G81" s="205" t="s">
        <v>42</v>
      </c>
      <c r="H81" s="188" t="s">
        <v>211</v>
      </c>
      <c r="I81" s="188" t="s">
        <v>155</v>
      </c>
      <c r="J81" s="205" t="s">
        <v>38</v>
      </c>
      <c r="K81" s="188" t="s">
        <v>156</v>
      </c>
      <c r="L81" s="188">
        <v>2</v>
      </c>
      <c r="M81" s="188"/>
      <c r="N81" s="188">
        <v>5</v>
      </c>
      <c r="O81" s="188">
        <v>0.5</v>
      </c>
      <c r="P81" s="188">
        <v>0.5</v>
      </c>
      <c r="Q81" s="207">
        <f t="shared" si="4"/>
        <v>0.5</v>
      </c>
      <c r="R81" s="188">
        <v>16.2</v>
      </c>
      <c r="S81" s="188">
        <v>109</v>
      </c>
      <c r="T81" s="208">
        <f t="shared" si="3"/>
        <v>33</v>
      </c>
      <c r="U81" s="188">
        <v>429</v>
      </c>
      <c r="V81" s="209">
        <f t="shared" si="5"/>
        <v>2831.4</v>
      </c>
      <c r="W81" s="188">
        <v>42</v>
      </c>
      <c r="X81" s="205" t="s">
        <v>46</v>
      </c>
      <c r="Y81" s="188" t="s">
        <v>97</v>
      </c>
      <c r="Z81" s="188" t="s">
        <v>86</v>
      </c>
      <c r="AA81" s="188" t="s">
        <v>88</v>
      </c>
      <c r="AB81" s="205" t="s">
        <v>488</v>
      </c>
      <c r="AC81" s="188"/>
    </row>
    <row r="82" spans="1:29" x14ac:dyDescent="0.15">
      <c r="A82" s="205" t="s">
        <v>61</v>
      </c>
      <c r="B82" s="205" t="s">
        <v>486</v>
      </c>
      <c r="C82" s="205">
        <v>2018</v>
      </c>
      <c r="D82" s="206" t="s">
        <v>487</v>
      </c>
      <c r="E82" s="188" t="s">
        <v>484</v>
      </c>
      <c r="F82" s="205" t="s">
        <v>483</v>
      </c>
      <c r="G82" s="205" t="s">
        <v>42</v>
      </c>
      <c r="H82" s="188" t="s">
        <v>211</v>
      </c>
      <c r="I82" s="188" t="s">
        <v>155</v>
      </c>
      <c r="J82" s="205" t="s">
        <v>38</v>
      </c>
      <c r="K82" s="188" t="s">
        <v>156</v>
      </c>
      <c r="L82" s="188">
        <v>3</v>
      </c>
      <c r="M82" s="188"/>
      <c r="N82" s="188">
        <v>5</v>
      </c>
      <c r="O82" s="188">
        <v>0.55000000000000004</v>
      </c>
      <c r="P82" s="188">
        <v>0.55000000000000004</v>
      </c>
      <c r="Q82" s="207">
        <f t="shared" si="4"/>
        <v>0.55000000000000004</v>
      </c>
      <c r="R82" s="188">
        <v>15.4</v>
      </c>
      <c r="S82" s="188">
        <v>94</v>
      </c>
      <c r="T82" s="208">
        <f t="shared" si="3"/>
        <v>36</v>
      </c>
      <c r="U82" s="188">
        <v>429</v>
      </c>
      <c r="V82" s="209">
        <f t="shared" si="5"/>
        <v>3088.7999999999997</v>
      </c>
      <c r="W82" s="188">
        <v>42</v>
      </c>
      <c r="X82" s="205" t="s">
        <v>46</v>
      </c>
      <c r="Y82" s="188" t="s">
        <v>97</v>
      </c>
      <c r="Z82" s="188" t="s">
        <v>86</v>
      </c>
      <c r="AA82" s="188" t="s">
        <v>88</v>
      </c>
      <c r="AB82" s="205" t="s">
        <v>488</v>
      </c>
      <c r="AC82" s="188"/>
    </row>
    <row r="83" spans="1:29" x14ac:dyDescent="0.15">
      <c r="A83" s="205"/>
      <c r="B83" s="205"/>
      <c r="C83" s="205"/>
      <c r="D83" s="206"/>
      <c r="E83" s="188"/>
      <c r="F83" s="188"/>
      <c r="G83" s="205"/>
      <c r="H83" s="188"/>
      <c r="I83" s="188"/>
      <c r="J83" s="205"/>
      <c r="K83" s="188"/>
      <c r="L83" s="188"/>
      <c r="M83" s="188"/>
      <c r="N83" s="188"/>
      <c r="O83" s="188"/>
      <c r="P83" s="188"/>
      <c r="Q83" s="207" t="str">
        <f t="shared" si="4"/>
        <v/>
      </c>
      <c r="R83" s="188"/>
      <c r="S83" s="188"/>
      <c r="T83" s="208" t="str">
        <f t="shared" si="3"/>
        <v/>
      </c>
      <c r="U83" s="188"/>
      <c r="V83" s="209" t="str">
        <f t="shared" si="5"/>
        <v/>
      </c>
      <c r="W83" s="188"/>
      <c r="X83" s="205"/>
      <c r="Y83" s="188"/>
      <c r="Z83" s="188"/>
      <c r="AA83" s="188"/>
      <c r="AB83" s="205"/>
      <c r="AC83" s="188"/>
    </row>
    <row r="84" spans="1:29" x14ac:dyDescent="0.15">
      <c r="A84" s="205"/>
      <c r="B84" s="205"/>
      <c r="C84" s="205"/>
      <c r="D84" s="206"/>
      <c r="E84" s="188"/>
      <c r="F84" s="188"/>
      <c r="G84" s="205"/>
      <c r="H84" s="188"/>
      <c r="I84" s="188"/>
      <c r="J84" s="205"/>
      <c r="K84" s="188"/>
      <c r="L84" s="188"/>
      <c r="M84" s="188"/>
      <c r="N84" s="188"/>
      <c r="O84" s="188"/>
      <c r="P84" s="188"/>
      <c r="Q84" s="207" t="str">
        <f t="shared" si="4"/>
        <v/>
      </c>
      <c r="R84" s="188"/>
      <c r="S84" s="188"/>
      <c r="T84" s="208" t="str">
        <f t="shared" si="3"/>
        <v/>
      </c>
      <c r="U84" s="188"/>
      <c r="V84" s="209" t="str">
        <f t="shared" si="5"/>
        <v/>
      </c>
      <c r="W84" s="188"/>
      <c r="X84" s="205"/>
      <c r="Y84" s="188"/>
      <c r="Z84" s="188"/>
      <c r="AA84" s="188"/>
      <c r="AB84" s="205"/>
      <c r="AC84" s="188"/>
    </row>
    <row r="85" spans="1:29" x14ac:dyDescent="0.15">
      <c r="A85" s="205"/>
      <c r="B85" s="205"/>
      <c r="C85" s="205"/>
      <c r="D85" s="206"/>
      <c r="E85" s="188"/>
      <c r="F85" s="188"/>
      <c r="G85" s="205"/>
      <c r="H85" s="188"/>
      <c r="I85" s="188"/>
      <c r="J85" s="205"/>
      <c r="K85" s="188"/>
      <c r="L85" s="188"/>
      <c r="M85" s="188"/>
      <c r="N85" s="188"/>
      <c r="O85" s="188"/>
      <c r="P85" s="188"/>
      <c r="Q85" s="207" t="str">
        <f t="shared" si="4"/>
        <v/>
      </c>
      <c r="R85" s="188"/>
      <c r="S85" s="188"/>
      <c r="T85" s="208" t="str">
        <f t="shared" si="3"/>
        <v/>
      </c>
      <c r="U85" s="188"/>
      <c r="V85" s="209" t="str">
        <f t="shared" si="5"/>
        <v/>
      </c>
      <c r="W85" s="188"/>
      <c r="X85" s="205"/>
      <c r="Y85" s="188"/>
      <c r="Z85" s="188"/>
      <c r="AA85" s="188"/>
      <c r="AB85" s="205"/>
      <c r="AC85" s="188"/>
    </row>
    <row r="86" spans="1:29" x14ac:dyDescent="0.15">
      <c r="A86" s="205"/>
      <c r="B86" s="205"/>
      <c r="C86" s="205"/>
      <c r="D86" s="206"/>
      <c r="E86" s="188"/>
      <c r="F86" s="188"/>
      <c r="G86" s="205"/>
      <c r="H86" s="188"/>
      <c r="I86" s="188"/>
      <c r="J86" s="205"/>
      <c r="K86" s="188"/>
      <c r="L86" s="188"/>
      <c r="M86" s="188"/>
      <c r="N86" s="188"/>
      <c r="O86" s="188"/>
      <c r="P86" s="188"/>
      <c r="Q86" s="207"/>
      <c r="R86" s="188"/>
      <c r="S86" s="188"/>
      <c r="T86" s="208"/>
      <c r="U86" s="188"/>
      <c r="V86" s="209"/>
      <c r="W86" s="188"/>
      <c r="X86" s="205"/>
      <c r="Y86" s="188"/>
      <c r="Z86" s="188"/>
      <c r="AA86" s="188"/>
      <c r="AB86" s="205"/>
      <c r="AC86" s="188"/>
    </row>
    <row r="87" spans="1:29" x14ac:dyDescent="0.15">
      <c r="A87" s="205"/>
      <c r="B87" s="205"/>
      <c r="C87" s="205"/>
      <c r="D87" s="206"/>
      <c r="E87" s="188"/>
      <c r="F87" s="188"/>
      <c r="G87" s="205"/>
      <c r="H87" s="188"/>
      <c r="I87" s="188"/>
      <c r="J87" s="205"/>
      <c r="K87" s="188"/>
      <c r="L87" s="188"/>
      <c r="M87" s="188"/>
      <c r="N87" s="188"/>
      <c r="O87" s="188"/>
      <c r="P87" s="188"/>
      <c r="Q87" s="207"/>
      <c r="R87" s="188"/>
      <c r="S87" s="188"/>
      <c r="T87" s="208"/>
      <c r="U87" s="188"/>
      <c r="V87" s="209"/>
      <c r="W87" s="188"/>
      <c r="X87" s="205"/>
      <c r="Y87" s="188"/>
      <c r="Z87" s="188"/>
      <c r="AA87" s="188"/>
      <c r="AB87" s="205"/>
      <c r="AC87" s="188"/>
    </row>
    <row r="88" spans="1:29" x14ac:dyDescent="0.15">
      <c r="A88" s="205"/>
      <c r="B88" s="205"/>
      <c r="C88" s="205"/>
      <c r="D88" s="206"/>
      <c r="E88" s="188"/>
      <c r="F88" s="188"/>
      <c r="G88" s="205"/>
      <c r="H88" s="188"/>
      <c r="I88" s="188"/>
      <c r="J88" s="205"/>
      <c r="K88" s="188"/>
      <c r="L88" s="188"/>
      <c r="M88" s="188"/>
      <c r="N88" s="188"/>
      <c r="O88" s="188"/>
      <c r="P88" s="188"/>
      <c r="Q88" s="207"/>
      <c r="R88" s="188"/>
      <c r="S88" s="188"/>
      <c r="T88" s="208"/>
      <c r="U88" s="188"/>
      <c r="V88" s="209"/>
      <c r="W88" s="188"/>
      <c r="X88" s="205"/>
      <c r="Y88" s="188"/>
      <c r="Z88" s="188"/>
      <c r="AA88" s="188"/>
      <c r="AB88" s="205"/>
      <c r="AC88" s="188"/>
    </row>
    <row r="89" spans="1:29" x14ac:dyDescent="0.15">
      <c r="A89" s="205"/>
      <c r="B89" s="205"/>
      <c r="C89" s="205"/>
      <c r="D89" s="206"/>
      <c r="E89" s="188"/>
      <c r="F89" s="188"/>
      <c r="G89" s="205"/>
      <c r="H89" s="188"/>
      <c r="I89" s="188"/>
      <c r="J89" s="205"/>
      <c r="K89" s="188"/>
      <c r="L89" s="188"/>
      <c r="M89" s="188"/>
      <c r="N89" s="188"/>
      <c r="O89" s="188"/>
      <c r="P89" s="188"/>
      <c r="Q89" s="207"/>
      <c r="R89" s="188"/>
      <c r="S89" s="188"/>
      <c r="T89" s="208"/>
      <c r="U89" s="188"/>
      <c r="V89" s="209"/>
      <c r="W89" s="188"/>
      <c r="X89" s="205"/>
      <c r="Y89" s="188"/>
      <c r="Z89" s="188"/>
      <c r="AA89" s="188"/>
      <c r="AB89" s="205"/>
      <c r="AC89" s="188"/>
    </row>
    <row r="90" spans="1:29" x14ac:dyDescent="0.15">
      <c r="A90" s="205"/>
      <c r="B90" s="205"/>
      <c r="C90" s="205"/>
      <c r="D90" s="206"/>
      <c r="E90" s="188"/>
      <c r="F90" s="188"/>
      <c r="G90" s="205"/>
      <c r="H90" s="188"/>
      <c r="I90" s="188"/>
      <c r="J90" s="205"/>
      <c r="K90" s="188"/>
      <c r="L90" s="188"/>
      <c r="M90" s="188"/>
      <c r="N90" s="188"/>
      <c r="O90" s="188"/>
      <c r="P90" s="188"/>
      <c r="Q90" s="207"/>
      <c r="R90" s="188"/>
      <c r="S90" s="188"/>
      <c r="T90" s="208"/>
      <c r="U90" s="188"/>
      <c r="V90" s="209"/>
      <c r="W90" s="188"/>
      <c r="X90" s="205"/>
      <c r="Y90" s="188"/>
      <c r="Z90" s="188"/>
      <c r="AA90" s="188"/>
      <c r="AB90" s="205"/>
      <c r="AC90" s="188"/>
    </row>
    <row r="91" spans="1:29" x14ac:dyDescent="0.15">
      <c r="A91" s="205"/>
      <c r="B91" s="205"/>
      <c r="C91" s="205"/>
      <c r="D91" s="206"/>
      <c r="E91" s="188"/>
      <c r="F91" s="188"/>
      <c r="G91" s="205"/>
      <c r="H91" s="188"/>
      <c r="I91" s="188"/>
      <c r="J91" s="205"/>
      <c r="K91" s="188"/>
      <c r="L91" s="188"/>
      <c r="M91" s="188"/>
      <c r="N91" s="188"/>
      <c r="O91" s="188"/>
      <c r="P91" s="188"/>
      <c r="Q91" s="207"/>
      <c r="R91" s="188"/>
      <c r="S91" s="188"/>
      <c r="T91" s="208"/>
      <c r="U91" s="188"/>
      <c r="V91" s="209"/>
      <c r="W91" s="188"/>
      <c r="X91" s="205"/>
      <c r="Y91" s="188"/>
      <c r="Z91" s="188"/>
      <c r="AA91" s="188"/>
      <c r="AB91" s="205"/>
      <c r="AC91" s="188"/>
    </row>
    <row r="92" spans="1:29" x14ac:dyDescent="0.15">
      <c r="A92" s="205"/>
      <c r="B92" s="205"/>
      <c r="C92" s="205"/>
      <c r="D92" s="206"/>
      <c r="E92" s="188"/>
      <c r="F92" s="188"/>
      <c r="G92" s="205"/>
      <c r="H92" s="188"/>
      <c r="I92" s="188"/>
      <c r="J92" s="205"/>
      <c r="K92" s="188"/>
      <c r="L92" s="188"/>
      <c r="M92" s="188"/>
      <c r="N92" s="188"/>
      <c r="O92" s="188"/>
      <c r="P92" s="188"/>
      <c r="Q92" s="207"/>
      <c r="R92" s="188"/>
      <c r="S92" s="188"/>
      <c r="T92" s="208"/>
      <c r="U92" s="188"/>
      <c r="V92" s="209"/>
      <c r="W92" s="188"/>
      <c r="X92" s="205"/>
      <c r="Y92" s="188"/>
      <c r="Z92" s="188"/>
      <c r="AA92" s="188"/>
      <c r="AB92" s="205"/>
      <c r="AC92" s="188"/>
    </row>
    <row r="93" spans="1:29" x14ac:dyDescent="0.15">
      <c r="A93" s="205"/>
      <c r="B93" s="205"/>
      <c r="C93" s="205"/>
      <c r="D93" s="206"/>
      <c r="E93" s="188"/>
      <c r="F93" s="188"/>
      <c r="G93" s="205"/>
      <c r="H93" s="188"/>
      <c r="I93" s="188"/>
      <c r="J93" s="205"/>
      <c r="K93" s="188"/>
      <c r="L93" s="188"/>
      <c r="M93" s="188"/>
      <c r="N93" s="188"/>
      <c r="O93" s="188"/>
      <c r="P93" s="188"/>
      <c r="Q93" s="207"/>
      <c r="R93" s="188"/>
      <c r="S93" s="188"/>
      <c r="T93" s="208"/>
      <c r="U93" s="188"/>
      <c r="V93" s="209"/>
      <c r="W93" s="188"/>
      <c r="X93" s="205"/>
      <c r="Y93" s="188"/>
      <c r="Z93" s="188"/>
      <c r="AA93" s="188"/>
      <c r="AB93" s="205"/>
      <c r="AC93" s="188"/>
    </row>
    <row r="94" spans="1:29" x14ac:dyDescent="0.15">
      <c r="A94" s="205"/>
      <c r="B94" s="205"/>
      <c r="C94" s="205"/>
      <c r="D94" s="206"/>
      <c r="E94" s="188"/>
      <c r="F94" s="188"/>
      <c r="G94" s="205"/>
      <c r="H94" s="188"/>
      <c r="I94" s="188"/>
      <c r="J94" s="205"/>
      <c r="K94" s="188"/>
      <c r="L94" s="188"/>
      <c r="M94" s="188"/>
      <c r="N94" s="188"/>
      <c r="O94" s="188"/>
      <c r="P94" s="188"/>
      <c r="Q94" s="207"/>
      <c r="R94" s="188"/>
      <c r="S94" s="188"/>
      <c r="T94" s="208"/>
      <c r="U94" s="188"/>
      <c r="V94" s="209"/>
      <c r="W94" s="188"/>
      <c r="X94" s="205"/>
      <c r="Y94" s="188"/>
      <c r="Z94" s="188"/>
      <c r="AA94" s="188"/>
      <c r="AB94" s="205"/>
      <c r="AC94" s="188"/>
    </row>
    <row r="95" spans="1:29" x14ac:dyDescent="0.15">
      <c r="K95" s="188"/>
      <c r="AC95" s="188"/>
    </row>
    <row r="96" spans="1:29" x14ac:dyDescent="0.15">
      <c r="A96" s="205"/>
      <c r="B96" s="205"/>
      <c r="C96" s="205"/>
      <c r="D96" s="206"/>
      <c r="E96" s="188"/>
      <c r="F96" s="188"/>
      <c r="G96" s="205"/>
      <c r="H96" s="188"/>
      <c r="I96" s="188"/>
      <c r="J96" s="205"/>
      <c r="K96" s="188"/>
      <c r="L96" s="188"/>
      <c r="M96" s="188"/>
      <c r="N96" s="188"/>
      <c r="O96" s="188"/>
      <c r="P96" s="188"/>
      <c r="Q96" s="207"/>
      <c r="R96" s="188"/>
      <c r="S96" s="188"/>
      <c r="T96" s="208"/>
      <c r="U96" s="188"/>
      <c r="V96" s="209"/>
      <c r="W96" s="188"/>
      <c r="X96" s="205"/>
      <c r="Y96" s="188"/>
      <c r="Z96" s="188"/>
      <c r="AA96" s="188"/>
      <c r="AB96" s="205"/>
      <c r="AC96" s="188"/>
    </row>
    <row r="97" spans="1:29" x14ac:dyDescent="0.15">
      <c r="A97" s="205"/>
      <c r="B97" s="205"/>
      <c r="C97" s="205"/>
      <c r="D97" s="206"/>
      <c r="E97" s="188"/>
      <c r="F97" s="188"/>
      <c r="G97" s="205"/>
      <c r="H97" s="188"/>
      <c r="I97" s="188"/>
      <c r="J97" s="205"/>
      <c r="K97" s="188"/>
      <c r="L97" s="188"/>
      <c r="M97" s="188"/>
      <c r="N97" s="188"/>
      <c r="O97" s="188"/>
      <c r="P97" s="188"/>
      <c r="Q97" s="207"/>
      <c r="R97" s="188"/>
      <c r="S97" s="188"/>
      <c r="T97" s="208"/>
      <c r="U97" s="188"/>
      <c r="V97" s="209"/>
      <c r="W97" s="188"/>
      <c r="X97" s="205"/>
      <c r="Y97" s="188"/>
      <c r="Z97" s="188"/>
      <c r="AA97" s="188"/>
      <c r="AB97" s="205"/>
      <c r="AC97" s="188"/>
    </row>
    <row r="98" spans="1:29" x14ac:dyDescent="0.15">
      <c r="A98" s="205"/>
      <c r="B98" s="205"/>
      <c r="C98" s="205"/>
      <c r="D98" s="206"/>
      <c r="E98" s="188"/>
      <c r="F98" s="188"/>
      <c r="G98" s="205"/>
      <c r="H98" s="188"/>
      <c r="I98" s="188"/>
      <c r="J98" s="205"/>
      <c r="K98" s="188"/>
      <c r="L98" s="188"/>
      <c r="M98" s="188"/>
      <c r="N98" s="188"/>
      <c r="O98" s="188"/>
      <c r="P98" s="188"/>
      <c r="Q98" s="207"/>
      <c r="R98" s="188"/>
      <c r="S98" s="188"/>
      <c r="T98" s="208"/>
      <c r="U98" s="188"/>
      <c r="V98" s="209"/>
      <c r="W98" s="188"/>
      <c r="X98" s="205"/>
      <c r="Y98" s="188"/>
      <c r="Z98" s="188"/>
      <c r="AA98" s="188"/>
      <c r="AB98" s="205"/>
      <c r="AC98" s="188"/>
    </row>
    <row r="99" spans="1:29" x14ac:dyDescent="0.15">
      <c r="A99" s="205"/>
      <c r="B99" s="205"/>
      <c r="C99" s="205"/>
      <c r="D99" s="206"/>
      <c r="E99" s="188"/>
      <c r="F99" s="188"/>
      <c r="G99" s="205"/>
      <c r="H99" s="188"/>
      <c r="I99" s="188"/>
      <c r="J99" s="205"/>
      <c r="K99" s="188"/>
      <c r="L99" s="188"/>
      <c r="M99" s="188"/>
      <c r="N99" s="188"/>
      <c r="O99" s="188"/>
      <c r="P99" s="188"/>
      <c r="Q99" s="207"/>
      <c r="R99" s="188"/>
      <c r="S99" s="188"/>
      <c r="T99" s="208"/>
      <c r="U99" s="188"/>
      <c r="V99" s="209"/>
      <c r="W99" s="188"/>
      <c r="X99" s="205"/>
      <c r="Y99" s="188"/>
      <c r="Z99" s="188"/>
      <c r="AA99" s="188"/>
      <c r="AB99" s="205"/>
      <c r="AC99" s="188"/>
    </row>
    <row r="100" spans="1:29" x14ac:dyDescent="0.15">
      <c r="A100" s="205"/>
      <c r="B100" s="205"/>
      <c r="C100" s="205"/>
      <c r="D100" s="206"/>
      <c r="E100" s="188"/>
      <c r="F100" s="188"/>
      <c r="G100" s="205"/>
      <c r="H100" s="188"/>
      <c r="I100" s="188"/>
      <c r="J100" s="205"/>
      <c r="K100" s="188"/>
      <c r="L100" s="188"/>
      <c r="M100" s="188"/>
      <c r="N100" s="188"/>
      <c r="O100" s="188"/>
      <c r="P100" s="188"/>
      <c r="Q100" s="207"/>
      <c r="R100" s="188"/>
      <c r="S100" s="188"/>
      <c r="T100" s="208"/>
      <c r="U100" s="188"/>
      <c r="V100" s="209"/>
      <c r="W100" s="188"/>
      <c r="X100" s="205"/>
      <c r="Y100" s="188"/>
      <c r="Z100" s="188"/>
      <c r="AA100" s="188"/>
      <c r="AB100" s="205"/>
      <c r="AC100" s="188"/>
    </row>
    <row r="101" spans="1:29" x14ac:dyDescent="0.15">
      <c r="A101" s="205"/>
      <c r="B101" s="205"/>
      <c r="C101" s="205"/>
      <c r="D101" s="206"/>
      <c r="E101" s="188"/>
      <c r="F101" s="188"/>
      <c r="G101" s="205"/>
      <c r="H101" s="188"/>
      <c r="I101" s="188"/>
      <c r="J101" s="205"/>
      <c r="K101" s="188"/>
      <c r="L101" s="188"/>
      <c r="M101" s="188"/>
      <c r="N101" s="188"/>
      <c r="O101" s="188"/>
      <c r="P101" s="188"/>
      <c r="Q101" s="207"/>
      <c r="R101" s="188"/>
      <c r="S101" s="188"/>
      <c r="T101" s="208"/>
      <c r="U101" s="188"/>
      <c r="V101" s="209"/>
      <c r="W101" s="188"/>
      <c r="X101" s="205"/>
      <c r="Y101" s="188"/>
      <c r="Z101" s="188"/>
      <c r="AA101" s="188"/>
      <c r="AB101" s="205"/>
      <c r="AC101" s="188"/>
    </row>
    <row r="102" spans="1:29" x14ac:dyDescent="0.15">
      <c r="A102" s="205"/>
      <c r="B102" s="205"/>
      <c r="C102" s="205"/>
      <c r="D102" s="206"/>
      <c r="E102" s="188"/>
      <c r="F102" s="188"/>
      <c r="G102" s="205"/>
      <c r="H102" s="188"/>
      <c r="I102" s="188"/>
      <c r="J102" s="205"/>
      <c r="K102" s="188"/>
      <c r="L102" s="188"/>
      <c r="M102" s="188"/>
      <c r="N102" s="188"/>
      <c r="O102" s="188"/>
      <c r="P102" s="188"/>
      <c r="Q102" s="207"/>
      <c r="R102" s="188"/>
      <c r="S102" s="188"/>
      <c r="T102" s="208"/>
      <c r="U102" s="188"/>
      <c r="V102" s="209"/>
      <c r="W102" s="188"/>
      <c r="X102" s="205"/>
      <c r="Y102" s="188"/>
      <c r="Z102" s="188"/>
      <c r="AA102" s="188"/>
      <c r="AB102" s="205"/>
      <c r="AC102" s="188"/>
    </row>
    <row r="103" spans="1:29" x14ac:dyDescent="0.15">
      <c r="A103" s="205"/>
      <c r="B103" s="205"/>
      <c r="C103" s="205"/>
      <c r="D103" s="206"/>
      <c r="E103" s="188"/>
      <c r="F103" s="188"/>
      <c r="G103" s="205"/>
      <c r="H103" s="188"/>
      <c r="I103" s="188"/>
      <c r="J103" s="205"/>
      <c r="K103" s="188"/>
      <c r="L103" s="188"/>
      <c r="M103" s="188"/>
      <c r="N103" s="188"/>
      <c r="O103" s="188"/>
      <c r="P103" s="188"/>
      <c r="Q103" s="207"/>
      <c r="R103" s="188"/>
      <c r="S103" s="188"/>
      <c r="T103" s="208"/>
      <c r="U103" s="188"/>
      <c r="V103" s="209"/>
      <c r="W103" s="188"/>
      <c r="X103" s="205"/>
      <c r="Y103" s="188"/>
      <c r="Z103" s="188"/>
      <c r="AA103" s="188"/>
      <c r="AB103" s="205"/>
      <c r="AC103" s="188"/>
    </row>
    <row r="104" spans="1:29" x14ac:dyDescent="0.15">
      <c r="A104" s="205"/>
      <c r="B104" s="205"/>
      <c r="C104" s="205"/>
      <c r="D104" s="206"/>
      <c r="E104" s="188"/>
      <c r="F104" s="188"/>
      <c r="G104" s="205"/>
      <c r="H104" s="188"/>
      <c r="I104" s="188"/>
      <c r="J104" s="205"/>
      <c r="K104" s="188"/>
      <c r="L104" s="188"/>
      <c r="M104" s="188"/>
      <c r="N104" s="188"/>
      <c r="O104" s="188"/>
      <c r="P104" s="188"/>
      <c r="Q104" s="207"/>
      <c r="R104" s="188"/>
      <c r="S104" s="188"/>
      <c r="T104" s="208"/>
      <c r="U104" s="188"/>
      <c r="V104" s="209"/>
      <c r="W104" s="188"/>
      <c r="X104" s="205"/>
      <c r="Y104" s="188"/>
      <c r="Z104" s="188"/>
      <c r="AA104" s="188"/>
      <c r="AB104" s="205"/>
      <c r="AC104" s="188"/>
    </row>
    <row r="105" spans="1:29" x14ac:dyDescent="0.15">
      <c r="A105" s="205"/>
      <c r="B105" s="205"/>
      <c r="C105" s="205"/>
      <c r="D105" s="206"/>
      <c r="E105" s="188"/>
      <c r="F105" s="188"/>
      <c r="G105" s="205"/>
      <c r="H105" s="188"/>
      <c r="I105" s="188"/>
      <c r="J105" s="205"/>
      <c r="K105" s="188"/>
      <c r="L105" s="188"/>
      <c r="M105" s="188"/>
      <c r="N105" s="188"/>
      <c r="O105" s="188"/>
      <c r="P105" s="188"/>
      <c r="Q105" s="207"/>
      <c r="R105" s="188"/>
      <c r="S105" s="188"/>
      <c r="T105" s="208"/>
      <c r="U105" s="188"/>
      <c r="V105" s="209"/>
      <c r="W105" s="188"/>
      <c r="X105" s="205"/>
      <c r="Y105" s="188"/>
      <c r="Z105" s="188"/>
      <c r="AA105" s="188"/>
      <c r="AB105" s="205"/>
      <c r="AC105" s="188"/>
    </row>
    <row r="106" spans="1:29" x14ac:dyDescent="0.15">
      <c r="A106" s="205"/>
      <c r="B106" s="205"/>
      <c r="C106" s="205"/>
      <c r="D106" s="206"/>
      <c r="E106" s="188"/>
      <c r="F106" s="188"/>
      <c r="G106" s="205"/>
      <c r="H106" s="188"/>
      <c r="I106" s="188"/>
      <c r="J106" s="205"/>
      <c r="K106" s="188"/>
      <c r="L106" s="188"/>
      <c r="M106" s="188"/>
      <c r="N106" s="188"/>
      <c r="O106" s="188"/>
      <c r="P106" s="188"/>
      <c r="Q106" s="207"/>
      <c r="R106" s="188"/>
      <c r="S106" s="188"/>
      <c r="T106" s="208"/>
      <c r="U106" s="188"/>
      <c r="V106" s="209"/>
      <c r="W106" s="188"/>
      <c r="X106" s="205"/>
      <c r="Y106" s="188"/>
      <c r="Z106" s="188"/>
      <c r="AA106" s="188"/>
      <c r="AB106" s="205"/>
      <c r="AC106" s="188"/>
    </row>
    <row r="107" spans="1:29" x14ac:dyDescent="0.15">
      <c r="A107" s="205"/>
      <c r="B107" s="205"/>
      <c r="C107" s="205"/>
      <c r="D107" s="206"/>
      <c r="E107" s="188"/>
      <c r="F107" s="188"/>
      <c r="G107" s="205"/>
      <c r="H107" s="188"/>
      <c r="I107" s="188"/>
      <c r="J107" s="205"/>
      <c r="K107" s="188"/>
      <c r="L107" s="188"/>
      <c r="M107" s="188"/>
      <c r="N107" s="188"/>
      <c r="O107" s="188"/>
      <c r="P107" s="188"/>
      <c r="Q107" s="207"/>
      <c r="R107" s="188"/>
      <c r="S107" s="188"/>
      <c r="T107" s="208"/>
      <c r="U107" s="188"/>
      <c r="V107" s="209"/>
      <c r="W107" s="188"/>
      <c r="X107" s="205"/>
      <c r="Y107" s="188"/>
      <c r="Z107" s="188"/>
      <c r="AA107" s="188"/>
      <c r="AB107" s="205"/>
      <c r="AC107" s="188"/>
    </row>
    <row r="108" spans="1:29" x14ac:dyDescent="0.15">
      <c r="A108" s="205"/>
      <c r="B108" s="205"/>
      <c r="C108" s="205"/>
      <c r="D108" s="206"/>
      <c r="E108" s="188"/>
      <c r="F108" s="188"/>
      <c r="G108" s="205"/>
      <c r="H108" s="188"/>
      <c r="I108" s="188"/>
      <c r="J108" s="205"/>
      <c r="K108" s="188"/>
      <c r="L108" s="188"/>
      <c r="M108" s="188"/>
      <c r="N108" s="188"/>
      <c r="O108" s="188"/>
      <c r="P108" s="188"/>
      <c r="Q108" s="207"/>
      <c r="R108" s="188"/>
      <c r="S108" s="188"/>
      <c r="T108" s="208"/>
      <c r="U108" s="188"/>
      <c r="V108" s="209"/>
      <c r="W108" s="188"/>
      <c r="X108" s="205"/>
      <c r="Y108" s="188"/>
      <c r="Z108" s="188"/>
      <c r="AA108" s="188"/>
      <c r="AB108" s="205"/>
      <c r="AC108" s="188"/>
    </row>
    <row r="109" spans="1:29" x14ac:dyDescent="0.15">
      <c r="A109" s="205"/>
      <c r="B109" s="205"/>
      <c r="C109" s="205"/>
      <c r="D109" s="206"/>
      <c r="E109" s="188"/>
      <c r="F109" s="188"/>
      <c r="G109" s="205"/>
      <c r="H109" s="188"/>
      <c r="I109" s="188"/>
      <c r="J109" s="205"/>
      <c r="K109" s="188"/>
      <c r="L109" s="188"/>
      <c r="M109" s="188"/>
      <c r="N109" s="188"/>
      <c r="O109" s="188"/>
      <c r="P109" s="188"/>
      <c r="Q109" s="207"/>
      <c r="R109" s="188"/>
      <c r="S109" s="188"/>
      <c r="T109" s="208"/>
      <c r="U109" s="188"/>
      <c r="V109" s="209"/>
      <c r="W109" s="188"/>
      <c r="X109" s="205"/>
      <c r="Y109" s="188"/>
      <c r="Z109" s="188"/>
      <c r="AA109" s="188"/>
      <c r="AB109" s="205"/>
      <c r="AC109" s="188"/>
    </row>
    <row r="110" spans="1:29" x14ac:dyDescent="0.15">
      <c r="A110" s="205"/>
      <c r="B110" s="205"/>
      <c r="C110" s="205"/>
      <c r="D110" s="206"/>
      <c r="E110" s="188"/>
      <c r="F110" s="188"/>
      <c r="G110" s="205"/>
      <c r="H110" s="188"/>
      <c r="I110" s="188"/>
      <c r="J110" s="205"/>
      <c r="K110" s="188"/>
      <c r="L110" s="188"/>
      <c r="M110" s="188"/>
      <c r="N110" s="188"/>
      <c r="O110" s="188"/>
      <c r="P110" s="188"/>
      <c r="Q110" s="207"/>
      <c r="R110" s="188"/>
      <c r="S110" s="188"/>
      <c r="T110" s="208"/>
      <c r="U110" s="188"/>
      <c r="V110" s="209"/>
      <c r="W110" s="188"/>
      <c r="X110" s="205"/>
      <c r="Y110" s="188"/>
      <c r="Z110" s="188"/>
      <c r="AA110" s="188"/>
      <c r="AB110" s="205"/>
      <c r="AC110" s="188"/>
    </row>
    <row r="111" spans="1:29" x14ac:dyDescent="0.15">
      <c r="A111" s="205"/>
      <c r="B111" s="205"/>
      <c r="C111" s="205"/>
      <c r="D111" s="206"/>
      <c r="E111" s="188"/>
      <c r="F111" s="188"/>
      <c r="G111" s="205"/>
      <c r="H111" s="188"/>
      <c r="I111" s="188"/>
      <c r="J111" s="205"/>
      <c r="K111" s="188"/>
      <c r="L111" s="188"/>
      <c r="M111" s="188"/>
      <c r="N111" s="188"/>
      <c r="O111" s="188"/>
      <c r="P111" s="188"/>
      <c r="Q111" s="207"/>
      <c r="R111" s="188"/>
      <c r="S111" s="188"/>
      <c r="T111" s="208"/>
      <c r="U111" s="188"/>
      <c r="V111" s="209"/>
      <c r="W111" s="188"/>
      <c r="X111" s="205"/>
      <c r="Y111" s="188"/>
      <c r="Z111" s="188"/>
      <c r="AA111" s="188"/>
      <c r="AB111" s="205"/>
      <c r="AC111" s="188"/>
    </row>
    <row r="112" spans="1:29" x14ac:dyDescent="0.15">
      <c r="A112" s="205"/>
      <c r="B112" s="205"/>
      <c r="C112" s="205"/>
      <c r="D112" s="206"/>
      <c r="E112" s="188"/>
      <c r="F112" s="188"/>
      <c r="G112" s="205"/>
      <c r="H112" s="188"/>
      <c r="I112" s="188"/>
      <c r="J112" s="205"/>
      <c r="K112" s="188"/>
      <c r="L112" s="188"/>
      <c r="M112" s="188"/>
      <c r="N112" s="188"/>
      <c r="O112" s="188"/>
      <c r="P112" s="188"/>
      <c r="Q112" s="207"/>
      <c r="R112" s="188"/>
      <c r="S112" s="188"/>
      <c r="T112" s="208"/>
      <c r="U112" s="188"/>
      <c r="V112" s="209"/>
      <c r="W112" s="188"/>
      <c r="X112" s="205"/>
      <c r="Y112" s="188"/>
      <c r="Z112" s="188"/>
      <c r="AA112" s="188"/>
      <c r="AB112" s="205"/>
      <c r="AC112" s="188"/>
    </row>
    <row r="113" spans="1:29" x14ac:dyDescent="0.15">
      <c r="A113" s="188"/>
      <c r="B113" s="188"/>
      <c r="C113" s="188"/>
      <c r="D113" s="188"/>
      <c r="E113" s="188"/>
      <c r="F113" s="188"/>
      <c r="G113" s="188"/>
      <c r="H113" s="188"/>
      <c r="I113" s="188"/>
      <c r="J113" s="188"/>
      <c r="K113" s="188"/>
      <c r="L113" s="188"/>
      <c r="M113" s="188"/>
      <c r="N113" s="188"/>
      <c r="O113" s="188"/>
      <c r="P113" s="188"/>
      <c r="Q113" s="208"/>
      <c r="R113" s="188"/>
      <c r="S113" s="188"/>
      <c r="T113" s="208"/>
      <c r="U113" s="188"/>
      <c r="V113" s="208"/>
      <c r="W113" s="188"/>
      <c r="X113" s="188"/>
      <c r="Y113" s="188"/>
      <c r="Z113" s="188"/>
      <c r="AA113" s="188"/>
      <c r="AB113" s="188"/>
      <c r="AC113" s="188"/>
    </row>
    <row r="114" spans="1:29" x14ac:dyDescent="0.15">
      <c r="A114" s="188"/>
      <c r="B114" s="188"/>
      <c r="C114" s="188"/>
      <c r="D114" s="188"/>
      <c r="E114" s="188"/>
      <c r="F114" s="188"/>
      <c r="G114" s="188"/>
      <c r="H114" s="188"/>
      <c r="I114" s="188"/>
      <c r="J114" s="188"/>
      <c r="K114" s="188"/>
      <c r="L114" s="188" t="s">
        <v>510</v>
      </c>
      <c r="M114" s="188"/>
      <c r="N114" s="188"/>
      <c r="O114" s="188"/>
      <c r="P114" s="188"/>
      <c r="Q114" s="208"/>
      <c r="R114" s="188"/>
      <c r="S114" s="188"/>
      <c r="T114" s="208"/>
      <c r="U114" s="188"/>
      <c r="V114" s="208"/>
      <c r="W114" s="188"/>
      <c r="X114" s="188"/>
      <c r="Y114" s="188"/>
      <c r="Z114" s="188"/>
      <c r="AA114" s="188"/>
      <c r="AB114" s="188"/>
      <c r="AC114" s="188"/>
    </row>
    <row r="115" spans="1:29" x14ac:dyDescent="0.15">
      <c r="K115" s="188"/>
    </row>
    <row r="116" spans="1:29" x14ac:dyDescent="0.15">
      <c r="K116" s="188"/>
    </row>
    <row r="117" spans="1:29" x14ac:dyDescent="0.15">
      <c r="K117" s="188"/>
    </row>
    <row r="118" spans="1:29" x14ac:dyDescent="0.15">
      <c r="K118" s="188"/>
    </row>
    <row r="119" spans="1:29" x14ac:dyDescent="0.15">
      <c r="K119" s="188"/>
    </row>
    <row r="120" spans="1:29" x14ac:dyDescent="0.15">
      <c r="K120" s="188"/>
    </row>
  </sheetData>
  <autoFilter ref="A1:BA1"/>
  <phoneticPr fontId="3"/>
  <dataValidations count="21">
    <dataValidation type="list" allowBlank="1" showInputMessage="1" showErrorMessage="1" sqref="K2:K120">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formula1>$AV$2:$AV$22</formula1>
    </dataValidation>
    <dataValidation type="list" allowBlank="1" showInputMessage="1" showErrorMessage="1" sqref="K121:K500">
      <formula1>$AR$2:$AR$25</formula1>
    </dataValidation>
    <dataValidation type="list" allowBlank="1" showInputMessage="1" showErrorMessage="1" sqref="J96:J500 J2:J94">
      <formula1>$AP$2:$AP$27</formula1>
    </dataValidation>
    <dataValidation type="list" allowBlank="1" showInputMessage="1" showErrorMessage="1" sqref="F96:F500 F2:F94">
      <formula1>$AH$2:$AH$10</formula1>
    </dataValidation>
    <dataValidation type="list" allowBlank="1" showInputMessage="1" showErrorMessage="1" sqref="E96:E500 E2:E94">
      <formula1>$AG$2:$AG$11</formula1>
    </dataValidation>
    <dataValidation type="list" allowBlank="1" showInputMessage="1" showErrorMessage="1" sqref="A96:A500 A2:A94">
      <formula1>$AE$2:$AE$19</formula1>
    </dataValidation>
    <dataValidation type="list" allowBlank="1" showInputMessage="1" showErrorMessage="1" sqref="H96:H500 H2:H94">
      <formula1>$AL$2:$AL$8</formula1>
    </dataValidation>
    <dataValidation type="list" allowBlank="1" showInputMessage="1" showErrorMessage="1" sqref="Y96:AA500 Y2:AA94">
      <formula1>$AV$2:$AV$21</formula1>
    </dataValidation>
    <dataValidation type="decimal" allowBlank="1" showInputMessage="1" showErrorMessage="1" error="硬度を正しく入力して下さい。" sqref="O96:P500 P35:P40 O17:P34 O41:P94 P5:P16 O5:O7">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zoomScale="70" zoomScaleNormal="70" workbookViewId="0">
      <selection activeCell="AE33" sqref="AE33"/>
    </sheetView>
  </sheetViews>
  <sheetFormatPr defaultColWidth="8.875" defaultRowHeight="13.5" x14ac:dyDescent="0.15"/>
  <cols>
    <col min="1" max="3" width="8.875" style="149"/>
    <col min="4" max="4" width="13.5" style="149" bestFit="1" customWidth="1"/>
    <col min="5" max="5" width="9.625" style="149" bestFit="1" customWidth="1"/>
    <col min="6" max="16" width="8.875" style="149"/>
    <col min="17" max="17" width="8.875" style="158"/>
    <col min="18" max="19" width="8.875" style="149"/>
    <col min="20" max="20" width="8.875" style="158"/>
    <col min="21" max="21" width="8.875" style="149"/>
    <col min="22" max="22" width="8.875" style="158"/>
    <col min="23" max="32" width="8.875" style="149"/>
    <col min="33" max="33" width="19.625" style="149" bestFit="1" customWidth="1"/>
    <col min="34" max="259" width="8.875" style="149"/>
    <col min="260" max="260" width="10.5" style="149" bestFit="1" customWidth="1"/>
    <col min="261" max="261" width="9.625" style="149" bestFit="1" customWidth="1"/>
    <col min="262" max="515" width="8.875" style="149"/>
    <col min="516" max="516" width="10.5" style="149" bestFit="1" customWidth="1"/>
    <col min="517" max="517" width="9.625" style="149" bestFit="1" customWidth="1"/>
    <col min="518" max="771" width="8.875" style="149"/>
    <col min="772" max="772" width="10.5" style="149" bestFit="1" customWidth="1"/>
    <col min="773" max="773" width="9.625" style="149" bestFit="1" customWidth="1"/>
    <col min="774" max="1027" width="8.875" style="149"/>
    <col min="1028" max="1028" width="10.5" style="149" bestFit="1" customWidth="1"/>
    <col min="1029" max="1029" width="9.625" style="149" bestFit="1" customWidth="1"/>
    <col min="1030" max="1283" width="8.875" style="149"/>
    <col min="1284" max="1284" width="10.5" style="149" bestFit="1" customWidth="1"/>
    <col min="1285" max="1285" width="9.625" style="149" bestFit="1" customWidth="1"/>
    <col min="1286" max="1539" width="8.875" style="149"/>
    <col min="1540" max="1540" width="10.5" style="149" bestFit="1" customWidth="1"/>
    <col min="1541" max="1541" width="9.625" style="149" bestFit="1" customWidth="1"/>
    <col min="1542" max="1795" width="8.875" style="149"/>
    <col min="1796" max="1796" width="10.5" style="149" bestFit="1" customWidth="1"/>
    <col min="1797" max="1797" width="9.625" style="149" bestFit="1" customWidth="1"/>
    <col min="1798" max="2051" width="8.875" style="149"/>
    <col min="2052" max="2052" width="10.5" style="149" bestFit="1" customWidth="1"/>
    <col min="2053" max="2053" width="9.625" style="149" bestFit="1" customWidth="1"/>
    <col min="2054" max="2307" width="8.875" style="149"/>
    <col min="2308" max="2308" width="10.5" style="149" bestFit="1" customWidth="1"/>
    <col min="2309" max="2309" width="9.625" style="149" bestFit="1" customWidth="1"/>
    <col min="2310" max="2563" width="8.875" style="149"/>
    <col min="2564" max="2564" width="10.5" style="149" bestFit="1" customWidth="1"/>
    <col min="2565" max="2565" width="9.625" style="149" bestFit="1" customWidth="1"/>
    <col min="2566" max="2819" width="8.875" style="149"/>
    <col min="2820" max="2820" width="10.5" style="149" bestFit="1" customWidth="1"/>
    <col min="2821" max="2821" width="9.625" style="149" bestFit="1" customWidth="1"/>
    <col min="2822" max="3075" width="8.875" style="149"/>
    <col min="3076" max="3076" width="10.5" style="149" bestFit="1" customWidth="1"/>
    <col min="3077" max="3077" width="9.625" style="149" bestFit="1" customWidth="1"/>
    <col min="3078" max="3331" width="8.875" style="149"/>
    <col min="3332" max="3332" width="10.5" style="149" bestFit="1" customWidth="1"/>
    <col min="3333" max="3333" width="9.625" style="149" bestFit="1" customWidth="1"/>
    <col min="3334" max="3587" width="8.875" style="149"/>
    <col min="3588" max="3588" width="10.5" style="149" bestFit="1" customWidth="1"/>
    <col min="3589" max="3589" width="9.625" style="149" bestFit="1" customWidth="1"/>
    <col min="3590" max="3843" width="8.875" style="149"/>
    <col min="3844" max="3844" width="10.5" style="149" bestFit="1" customWidth="1"/>
    <col min="3845" max="3845" width="9.625" style="149" bestFit="1" customWidth="1"/>
    <col min="3846" max="4099" width="8.875" style="149"/>
    <col min="4100" max="4100" width="10.5" style="149" bestFit="1" customWidth="1"/>
    <col min="4101" max="4101" width="9.625" style="149" bestFit="1" customWidth="1"/>
    <col min="4102" max="4355" width="8.875" style="149"/>
    <col min="4356" max="4356" width="10.5" style="149" bestFit="1" customWidth="1"/>
    <col min="4357" max="4357" width="9.625" style="149" bestFit="1" customWidth="1"/>
    <col min="4358" max="4611" width="8.875" style="149"/>
    <col min="4612" max="4612" width="10.5" style="149" bestFit="1" customWidth="1"/>
    <col min="4613" max="4613" width="9.625" style="149" bestFit="1" customWidth="1"/>
    <col min="4614" max="4867" width="8.875" style="149"/>
    <col min="4868" max="4868" width="10.5" style="149" bestFit="1" customWidth="1"/>
    <col min="4869" max="4869" width="9.625" style="149" bestFit="1" customWidth="1"/>
    <col min="4870" max="5123" width="8.875" style="149"/>
    <col min="5124" max="5124" width="10.5" style="149" bestFit="1" customWidth="1"/>
    <col min="5125" max="5125" width="9.625" style="149" bestFit="1" customWidth="1"/>
    <col min="5126" max="5379" width="8.875" style="149"/>
    <col min="5380" max="5380" width="10.5" style="149" bestFit="1" customWidth="1"/>
    <col min="5381" max="5381" width="9.625" style="149" bestFit="1" customWidth="1"/>
    <col min="5382" max="5635" width="8.875" style="149"/>
    <col min="5636" max="5636" width="10.5" style="149" bestFit="1" customWidth="1"/>
    <col min="5637" max="5637" width="9.625" style="149" bestFit="1" customWidth="1"/>
    <col min="5638" max="5891" width="8.875" style="149"/>
    <col min="5892" max="5892" width="10.5" style="149" bestFit="1" customWidth="1"/>
    <col min="5893" max="5893" width="9.625" style="149" bestFit="1" customWidth="1"/>
    <col min="5894" max="6147" width="8.875" style="149"/>
    <col min="6148" max="6148" width="10.5" style="149" bestFit="1" customWidth="1"/>
    <col min="6149" max="6149" width="9.625" style="149" bestFit="1" customWidth="1"/>
    <col min="6150" max="6403" width="8.875" style="149"/>
    <col min="6404" max="6404" width="10.5" style="149" bestFit="1" customWidth="1"/>
    <col min="6405" max="6405" width="9.625" style="149" bestFit="1" customWidth="1"/>
    <col min="6406" max="6659" width="8.875" style="149"/>
    <col min="6660" max="6660" width="10.5" style="149" bestFit="1" customWidth="1"/>
    <col min="6661" max="6661" width="9.625" style="149" bestFit="1" customWidth="1"/>
    <col min="6662" max="6915" width="8.875" style="149"/>
    <col min="6916" max="6916" width="10.5" style="149" bestFit="1" customWidth="1"/>
    <col min="6917" max="6917" width="9.625" style="149" bestFit="1" customWidth="1"/>
    <col min="6918" max="7171" width="8.875" style="149"/>
    <col min="7172" max="7172" width="10.5" style="149" bestFit="1" customWidth="1"/>
    <col min="7173" max="7173" width="9.625" style="149" bestFit="1" customWidth="1"/>
    <col min="7174" max="7427" width="8.875" style="149"/>
    <col min="7428" max="7428" width="10.5" style="149" bestFit="1" customWidth="1"/>
    <col min="7429" max="7429" width="9.625" style="149" bestFit="1" customWidth="1"/>
    <col min="7430" max="7683" width="8.875" style="149"/>
    <col min="7684" max="7684" width="10.5" style="149" bestFit="1" customWidth="1"/>
    <col min="7685" max="7685" width="9.625" style="149" bestFit="1" customWidth="1"/>
    <col min="7686" max="7939" width="8.875" style="149"/>
    <col min="7940" max="7940" width="10.5" style="149" bestFit="1" customWidth="1"/>
    <col min="7941" max="7941" width="9.625" style="149" bestFit="1" customWidth="1"/>
    <col min="7942" max="8195" width="8.875" style="149"/>
    <col min="8196" max="8196" width="10.5" style="149" bestFit="1" customWidth="1"/>
    <col min="8197" max="8197" width="9.625" style="149" bestFit="1" customWidth="1"/>
    <col min="8198" max="8451" width="8.875" style="149"/>
    <col min="8452" max="8452" width="10.5" style="149" bestFit="1" customWidth="1"/>
    <col min="8453" max="8453" width="9.625" style="149" bestFit="1" customWidth="1"/>
    <col min="8454" max="8707" width="8.875" style="149"/>
    <col min="8708" max="8708" width="10.5" style="149" bestFit="1" customWidth="1"/>
    <col min="8709" max="8709" width="9.625" style="149" bestFit="1" customWidth="1"/>
    <col min="8710" max="8963" width="8.875" style="149"/>
    <col min="8964" max="8964" width="10.5" style="149" bestFit="1" customWidth="1"/>
    <col min="8965" max="8965" width="9.625" style="149" bestFit="1" customWidth="1"/>
    <col min="8966" max="9219" width="8.875" style="149"/>
    <col min="9220" max="9220" width="10.5" style="149" bestFit="1" customWidth="1"/>
    <col min="9221" max="9221" width="9.625" style="149" bestFit="1" customWidth="1"/>
    <col min="9222" max="9475" width="8.875" style="149"/>
    <col min="9476" max="9476" width="10.5" style="149" bestFit="1" customWidth="1"/>
    <col min="9477" max="9477" width="9.625" style="149" bestFit="1" customWidth="1"/>
    <col min="9478" max="9731" width="8.875" style="149"/>
    <col min="9732" max="9732" width="10.5" style="149" bestFit="1" customWidth="1"/>
    <col min="9733" max="9733" width="9.625" style="149" bestFit="1" customWidth="1"/>
    <col min="9734" max="9987" width="8.875" style="149"/>
    <col min="9988" max="9988" width="10.5" style="149" bestFit="1" customWidth="1"/>
    <col min="9989" max="9989" width="9.625" style="149" bestFit="1" customWidth="1"/>
    <col min="9990" max="10243" width="8.875" style="149"/>
    <col min="10244" max="10244" width="10.5" style="149" bestFit="1" customWidth="1"/>
    <col min="10245" max="10245" width="9.625" style="149" bestFit="1" customWidth="1"/>
    <col min="10246" max="10499" width="8.875" style="149"/>
    <col min="10500" max="10500" width="10.5" style="149" bestFit="1" customWidth="1"/>
    <col min="10501" max="10501" width="9.625" style="149" bestFit="1" customWidth="1"/>
    <col min="10502" max="10755" width="8.875" style="149"/>
    <col min="10756" max="10756" width="10.5" style="149" bestFit="1" customWidth="1"/>
    <col min="10757" max="10757" width="9.625" style="149" bestFit="1" customWidth="1"/>
    <col min="10758" max="11011" width="8.875" style="149"/>
    <col min="11012" max="11012" width="10.5" style="149" bestFit="1" customWidth="1"/>
    <col min="11013" max="11013" width="9.625" style="149" bestFit="1" customWidth="1"/>
    <col min="11014" max="11267" width="8.875" style="149"/>
    <col min="11268" max="11268" width="10.5" style="149" bestFit="1" customWidth="1"/>
    <col min="11269" max="11269" width="9.625" style="149" bestFit="1" customWidth="1"/>
    <col min="11270" max="11523" width="8.875" style="149"/>
    <col min="11524" max="11524" width="10.5" style="149" bestFit="1" customWidth="1"/>
    <col min="11525" max="11525" width="9.625" style="149" bestFit="1" customWidth="1"/>
    <col min="11526" max="11779" width="8.875" style="149"/>
    <col min="11780" max="11780" width="10.5" style="149" bestFit="1" customWidth="1"/>
    <col min="11781" max="11781" width="9.625" style="149" bestFit="1" customWidth="1"/>
    <col min="11782" max="12035" width="8.875" style="149"/>
    <col min="12036" max="12036" width="10.5" style="149" bestFit="1" customWidth="1"/>
    <col min="12037" max="12037" width="9.625" style="149" bestFit="1" customWidth="1"/>
    <col min="12038" max="12291" width="8.875" style="149"/>
    <col min="12292" max="12292" width="10.5" style="149" bestFit="1" customWidth="1"/>
    <col min="12293" max="12293" width="9.625" style="149" bestFit="1" customWidth="1"/>
    <col min="12294" max="12547" width="8.875" style="149"/>
    <col min="12548" max="12548" width="10.5" style="149" bestFit="1" customWidth="1"/>
    <col min="12549" max="12549" width="9.625" style="149" bestFit="1" customWidth="1"/>
    <col min="12550" max="12803" width="8.875" style="149"/>
    <col min="12804" max="12804" width="10.5" style="149" bestFit="1" customWidth="1"/>
    <col min="12805" max="12805" width="9.625" style="149" bestFit="1" customWidth="1"/>
    <col min="12806" max="13059" width="8.875" style="149"/>
    <col min="13060" max="13060" width="10.5" style="149" bestFit="1" customWidth="1"/>
    <col min="13061" max="13061" width="9.625" style="149" bestFit="1" customWidth="1"/>
    <col min="13062" max="13315" width="8.875" style="149"/>
    <col min="13316" max="13316" width="10.5" style="149" bestFit="1" customWidth="1"/>
    <col min="13317" max="13317" width="9.625" style="149" bestFit="1" customWidth="1"/>
    <col min="13318" max="13571" width="8.875" style="149"/>
    <col min="13572" max="13572" width="10.5" style="149" bestFit="1" customWidth="1"/>
    <col min="13573" max="13573" width="9.625" style="149" bestFit="1" customWidth="1"/>
    <col min="13574" max="13827" width="8.875" style="149"/>
    <col min="13828" max="13828" width="10.5" style="149" bestFit="1" customWidth="1"/>
    <col min="13829" max="13829" width="9.625" style="149" bestFit="1" customWidth="1"/>
    <col min="13830" max="14083" width="8.875" style="149"/>
    <col min="14084" max="14084" width="10.5" style="149" bestFit="1" customWidth="1"/>
    <col min="14085" max="14085" width="9.625" style="149" bestFit="1" customWidth="1"/>
    <col min="14086" max="14339" width="8.875" style="149"/>
    <col min="14340" max="14340" width="10.5" style="149" bestFit="1" customWidth="1"/>
    <col min="14341" max="14341" width="9.625" style="149" bestFit="1" customWidth="1"/>
    <col min="14342" max="14595" width="8.875" style="149"/>
    <col min="14596" max="14596" width="10.5" style="149" bestFit="1" customWidth="1"/>
    <col min="14597" max="14597" width="9.625" style="149" bestFit="1" customWidth="1"/>
    <col min="14598" max="14851" width="8.875" style="149"/>
    <col min="14852" max="14852" width="10.5" style="149" bestFit="1" customWidth="1"/>
    <col min="14853" max="14853" width="9.625" style="149" bestFit="1" customWidth="1"/>
    <col min="14854" max="15107" width="8.875" style="149"/>
    <col min="15108" max="15108" width="10.5" style="149" bestFit="1" customWidth="1"/>
    <col min="15109" max="15109" width="9.625" style="149" bestFit="1" customWidth="1"/>
    <col min="15110" max="15363" width="8.875" style="149"/>
    <col min="15364" max="15364" width="10.5" style="149" bestFit="1" customWidth="1"/>
    <col min="15365" max="15365" width="9.625" style="149" bestFit="1" customWidth="1"/>
    <col min="15366" max="15619" width="8.875" style="149"/>
    <col min="15620" max="15620" width="10.5" style="149" bestFit="1" customWidth="1"/>
    <col min="15621" max="15621" width="9.625" style="149" bestFit="1" customWidth="1"/>
    <col min="15622" max="15875" width="8.875" style="149"/>
    <col min="15876" max="15876" width="10.5" style="149" bestFit="1" customWidth="1"/>
    <col min="15877" max="15877" width="9.625" style="149" bestFit="1" customWidth="1"/>
    <col min="15878" max="16131" width="8.875" style="149"/>
    <col min="16132" max="16132" width="10.5" style="149" bestFit="1" customWidth="1"/>
    <col min="16133" max="16133" width="9.625" style="149" bestFit="1" customWidth="1"/>
    <col min="16134" max="16384" width="8.875" style="149"/>
  </cols>
  <sheetData>
    <row r="1" spans="1:53" ht="45" x14ac:dyDescent="0.15">
      <c r="A1" s="181" t="s">
        <v>0</v>
      </c>
      <c r="B1" s="143" t="s">
        <v>1</v>
      </c>
      <c r="C1" s="143" t="s">
        <v>319</v>
      </c>
      <c r="D1" s="144" t="s">
        <v>3</v>
      </c>
      <c r="E1" s="182" t="s">
        <v>4</v>
      </c>
      <c r="F1" s="182" t="s">
        <v>5</v>
      </c>
      <c r="G1" s="182" t="s">
        <v>6</v>
      </c>
      <c r="H1" s="182" t="s">
        <v>7</v>
      </c>
      <c r="I1" s="182" t="s">
        <v>8</v>
      </c>
      <c r="J1" s="182" t="s">
        <v>9</v>
      </c>
      <c r="K1" s="182" t="s">
        <v>10</v>
      </c>
      <c r="L1" s="144" t="s">
        <v>320</v>
      </c>
      <c r="M1" s="144" t="s">
        <v>12</v>
      </c>
      <c r="N1" s="144" t="s">
        <v>380</v>
      </c>
      <c r="O1" s="144" t="s">
        <v>321</v>
      </c>
      <c r="P1" s="144" t="s">
        <v>322</v>
      </c>
      <c r="Q1" s="145" t="s">
        <v>16</v>
      </c>
      <c r="R1" s="144" t="s">
        <v>323</v>
      </c>
      <c r="S1" s="144" t="s">
        <v>324</v>
      </c>
      <c r="T1" s="145" t="s">
        <v>19</v>
      </c>
      <c r="U1" s="146" t="s">
        <v>381</v>
      </c>
      <c r="V1" s="147" t="s">
        <v>20</v>
      </c>
      <c r="W1" s="144" t="s">
        <v>21</v>
      </c>
      <c r="X1" s="182" t="s">
        <v>22</v>
      </c>
      <c r="Y1" s="182" t="s">
        <v>23</v>
      </c>
      <c r="Z1" s="182" t="s">
        <v>24</v>
      </c>
      <c r="AA1" s="183" t="s">
        <v>25</v>
      </c>
      <c r="AB1" s="148" t="s">
        <v>325</v>
      </c>
      <c r="AE1" s="150" t="s">
        <v>0</v>
      </c>
      <c r="AF1" s="151"/>
      <c r="AG1" s="150" t="s">
        <v>4</v>
      </c>
      <c r="AH1" s="150" t="s">
        <v>5</v>
      </c>
      <c r="AI1" s="151"/>
      <c r="AJ1" s="150" t="s">
        <v>6</v>
      </c>
      <c r="AK1" s="151"/>
      <c r="AL1" s="152" t="s">
        <v>7</v>
      </c>
      <c r="AM1" s="151"/>
      <c r="AN1" s="152" t="s">
        <v>8</v>
      </c>
      <c r="AO1" s="151"/>
      <c r="AP1" s="152" t="s">
        <v>27</v>
      </c>
      <c r="AQ1" s="151"/>
      <c r="AR1" s="152" t="s">
        <v>10</v>
      </c>
      <c r="AS1" s="151"/>
      <c r="AT1" s="153" t="s">
        <v>28</v>
      </c>
      <c r="AU1" s="151"/>
      <c r="AV1" s="152" t="s">
        <v>29</v>
      </c>
      <c r="AX1" s="154" t="s">
        <v>326</v>
      </c>
      <c r="AY1" s="155" t="s">
        <v>327</v>
      </c>
      <c r="AZ1" s="155" t="s">
        <v>328</v>
      </c>
      <c r="BA1" s="156" t="s">
        <v>329</v>
      </c>
    </row>
    <row r="2" spans="1:53" x14ac:dyDescent="0.15">
      <c r="A2" s="149" t="s">
        <v>59</v>
      </c>
      <c r="B2" s="178" t="s">
        <v>382</v>
      </c>
      <c r="C2" s="133">
        <v>2018</v>
      </c>
      <c r="D2" s="134" t="s">
        <v>383</v>
      </c>
      <c r="E2" s="149" t="s">
        <v>384</v>
      </c>
      <c r="F2" s="149" t="s">
        <v>273</v>
      </c>
      <c r="G2" s="149" t="s">
        <v>36</v>
      </c>
      <c r="H2" s="149" t="s">
        <v>162</v>
      </c>
      <c r="I2" s="149" t="s">
        <v>155</v>
      </c>
      <c r="J2" s="149" t="s">
        <v>38</v>
      </c>
      <c r="K2" s="149" t="s">
        <v>156</v>
      </c>
      <c r="L2" s="149">
        <v>1</v>
      </c>
      <c r="N2" s="149">
        <v>4</v>
      </c>
      <c r="O2" s="149">
        <v>0.35</v>
      </c>
      <c r="P2" s="149">
        <v>0.3</v>
      </c>
      <c r="Q2" s="186">
        <f>IF(OR(O2="",P2=""),"",AVERAGE(O2,P2))</f>
        <v>0.32499999999999996</v>
      </c>
      <c r="R2" s="149">
        <v>17.7</v>
      </c>
      <c r="S2" s="149">
        <v>130</v>
      </c>
      <c r="T2" s="158">
        <f t="shared" ref="T2:T73" si="0">IF(H2="","",IF(OR(H2="GREEN",H2="GK"),IF(S2&gt;=$AX$2,VLOOKUP(S2,$AX$2:$AY$12,2,1),""),IF(S2&gt;=$AZ$2,VLOOKUP(S2,$AZ$2:$BA$12,2,1),"")))</f>
        <v>25</v>
      </c>
      <c r="U2" s="149">
        <v>480</v>
      </c>
      <c r="V2" s="158">
        <f t="shared" ref="V2:V72" si="1">IF(J2="","",IF(OR(J2="GREEN",J2="GK"),IF(U2&gt;=$AX$2,VLOOKUP(U2,$AX$2:$AY$12,2,1),""),IF(U2&gt;=$AZ$2,VLOOKUP(U2,$AZ$2:$BA$12,2,1),"")))</f>
        <v>16</v>
      </c>
      <c r="W2" s="149">
        <v>3</v>
      </c>
      <c r="X2" s="149" t="s">
        <v>39</v>
      </c>
      <c r="Y2" s="149" t="s">
        <v>385</v>
      </c>
      <c r="Z2" s="149" t="s">
        <v>386</v>
      </c>
      <c r="AA2" s="149" t="s">
        <v>47</v>
      </c>
      <c r="AB2" s="178" t="s">
        <v>387</v>
      </c>
      <c r="AE2" s="159" t="s">
        <v>35</v>
      </c>
      <c r="AG2" s="135" t="s">
        <v>280</v>
      </c>
      <c r="AH2" s="136" t="s">
        <v>272</v>
      </c>
      <c r="AJ2" s="189" t="s">
        <v>36</v>
      </c>
      <c r="AL2" s="160" t="s">
        <v>127</v>
      </c>
      <c r="AN2" s="137" t="s">
        <v>388</v>
      </c>
      <c r="AP2" s="160" t="s">
        <v>38</v>
      </c>
      <c r="AR2" s="160" t="s">
        <v>389</v>
      </c>
      <c r="AT2" s="189" t="s">
        <v>39</v>
      </c>
      <c r="AV2" s="165" t="s">
        <v>55</v>
      </c>
      <c r="AX2" s="138">
        <v>1</v>
      </c>
      <c r="AY2" s="139">
        <v>50</v>
      </c>
      <c r="AZ2" s="139">
        <v>1</v>
      </c>
      <c r="BA2" s="140">
        <v>50</v>
      </c>
    </row>
    <row r="3" spans="1:53" x14ac:dyDescent="0.15">
      <c r="A3" s="149" t="s">
        <v>59</v>
      </c>
      <c r="B3" s="178" t="s">
        <v>390</v>
      </c>
      <c r="C3" s="133">
        <v>2018</v>
      </c>
      <c r="D3" s="134" t="s">
        <v>391</v>
      </c>
      <c r="E3" s="149" t="s">
        <v>392</v>
      </c>
      <c r="F3" s="149" t="s">
        <v>273</v>
      </c>
      <c r="G3" s="149" t="s">
        <v>36</v>
      </c>
      <c r="H3" s="149" t="s">
        <v>162</v>
      </c>
      <c r="I3" s="149" t="s">
        <v>155</v>
      </c>
      <c r="J3" s="149" t="s">
        <v>38</v>
      </c>
      <c r="K3" s="149" t="s">
        <v>156</v>
      </c>
      <c r="L3" s="149">
        <v>2</v>
      </c>
      <c r="N3" s="149">
        <v>4</v>
      </c>
      <c r="O3" s="149">
        <v>0.5</v>
      </c>
      <c r="P3" s="149">
        <v>0.45</v>
      </c>
      <c r="Q3" s="186">
        <f t="shared" ref="Q3:Q73" si="2">IF(OR(O3="",P3=""),"",AVERAGE(O3,P3))</f>
        <v>0.47499999999999998</v>
      </c>
      <c r="R3" s="149">
        <v>17.3</v>
      </c>
      <c r="S3" s="149">
        <v>127</v>
      </c>
      <c r="T3" s="158">
        <f t="shared" si="0"/>
        <v>27</v>
      </c>
      <c r="U3" s="149">
        <v>480</v>
      </c>
      <c r="V3" s="158">
        <f t="shared" si="1"/>
        <v>16</v>
      </c>
      <c r="W3" s="149">
        <v>3</v>
      </c>
      <c r="X3" s="149" t="s">
        <v>39</v>
      </c>
      <c r="Y3" s="149" t="s">
        <v>393</v>
      </c>
      <c r="Z3" s="149" t="s">
        <v>394</v>
      </c>
      <c r="AA3" s="149" t="s">
        <v>47</v>
      </c>
      <c r="AB3" s="178" t="s">
        <v>395</v>
      </c>
      <c r="AE3" s="164" t="s">
        <v>41</v>
      </c>
      <c r="AG3" s="135" t="s">
        <v>281</v>
      </c>
      <c r="AH3" s="136" t="s">
        <v>273</v>
      </c>
      <c r="AJ3" s="165" t="s">
        <v>42</v>
      </c>
      <c r="AL3" s="165" t="s">
        <v>128</v>
      </c>
      <c r="AN3" s="165" t="s">
        <v>43</v>
      </c>
      <c r="AP3" s="165" t="s">
        <v>44</v>
      </c>
      <c r="AR3" s="179" t="s">
        <v>45</v>
      </c>
      <c r="AT3" s="165" t="s">
        <v>46</v>
      </c>
      <c r="AV3" s="165" t="s">
        <v>394</v>
      </c>
      <c r="AX3" s="166">
        <v>72</v>
      </c>
      <c r="AY3" s="167">
        <v>46</v>
      </c>
      <c r="AZ3" s="167">
        <v>71</v>
      </c>
      <c r="BA3" s="168">
        <v>42</v>
      </c>
    </row>
    <row r="4" spans="1:53" x14ac:dyDescent="0.15">
      <c r="A4" s="149" t="s">
        <v>59</v>
      </c>
      <c r="B4" s="178" t="s">
        <v>390</v>
      </c>
      <c r="C4" s="133">
        <v>2018</v>
      </c>
      <c r="D4" s="134" t="s">
        <v>391</v>
      </c>
      <c r="E4" s="149" t="s">
        <v>392</v>
      </c>
      <c r="F4" s="149" t="s">
        <v>273</v>
      </c>
      <c r="G4" s="149" t="s">
        <v>36</v>
      </c>
      <c r="H4" s="149" t="s">
        <v>162</v>
      </c>
      <c r="I4" s="149" t="s">
        <v>396</v>
      </c>
      <c r="J4" s="149" t="s">
        <v>38</v>
      </c>
      <c r="K4" s="149" t="s">
        <v>156</v>
      </c>
      <c r="L4" s="149">
        <v>3</v>
      </c>
      <c r="N4" s="149">
        <v>4</v>
      </c>
      <c r="O4" s="149">
        <v>0.5</v>
      </c>
      <c r="P4" s="149">
        <v>0.5</v>
      </c>
      <c r="Q4" s="186">
        <f t="shared" si="2"/>
        <v>0.5</v>
      </c>
      <c r="R4" s="149">
        <v>17.5</v>
      </c>
      <c r="S4" s="149">
        <v>135</v>
      </c>
      <c r="T4" s="158">
        <f t="shared" si="0"/>
        <v>25</v>
      </c>
      <c r="U4" s="149">
        <v>480</v>
      </c>
      <c r="V4" s="158">
        <f t="shared" si="1"/>
        <v>16</v>
      </c>
      <c r="W4" s="149">
        <v>3</v>
      </c>
      <c r="X4" s="149" t="s">
        <v>39</v>
      </c>
      <c r="Y4" s="149" t="s">
        <v>393</v>
      </c>
      <c r="Z4" s="149" t="s">
        <v>394</v>
      </c>
      <c r="AA4" s="149" t="s">
        <v>47</v>
      </c>
      <c r="AB4" s="178" t="s">
        <v>395</v>
      </c>
      <c r="AE4" s="164" t="s">
        <v>34</v>
      </c>
      <c r="AG4" s="135" t="s">
        <v>282</v>
      </c>
      <c r="AH4" s="136" t="s">
        <v>274</v>
      </c>
      <c r="AJ4" s="169" t="s">
        <v>48</v>
      </c>
      <c r="AL4" s="169" t="s">
        <v>129</v>
      </c>
      <c r="AN4" s="170" t="s">
        <v>49</v>
      </c>
      <c r="AP4" s="165" t="s">
        <v>397</v>
      </c>
      <c r="AR4" s="179" t="s">
        <v>242</v>
      </c>
      <c r="AT4" s="170"/>
      <c r="AV4" s="165" t="s">
        <v>393</v>
      </c>
      <c r="AX4" s="166">
        <v>75</v>
      </c>
      <c r="AY4" s="167">
        <v>42</v>
      </c>
      <c r="AZ4" s="167">
        <v>76</v>
      </c>
      <c r="BA4" s="168">
        <v>39</v>
      </c>
    </row>
    <row r="5" spans="1:53" x14ac:dyDescent="0.15">
      <c r="A5" s="149" t="s">
        <v>59</v>
      </c>
      <c r="B5" s="178" t="s">
        <v>390</v>
      </c>
      <c r="C5" s="133">
        <v>2018</v>
      </c>
      <c r="D5" s="134" t="s">
        <v>391</v>
      </c>
      <c r="E5" s="149" t="s">
        <v>392</v>
      </c>
      <c r="F5" s="149" t="s">
        <v>273</v>
      </c>
      <c r="G5" s="149" t="s">
        <v>36</v>
      </c>
      <c r="H5" s="149" t="s">
        <v>157</v>
      </c>
      <c r="I5" s="149" t="s">
        <v>155</v>
      </c>
      <c r="J5" s="149" t="s">
        <v>38</v>
      </c>
      <c r="K5" s="149" t="s">
        <v>156</v>
      </c>
      <c r="L5" s="149">
        <v>1</v>
      </c>
      <c r="N5" s="149">
        <v>5</v>
      </c>
      <c r="O5" s="149">
        <v>1</v>
      </c>
      <c r="P5" s="149">
        <v>1.2</v>
      </c>
      <c r="Q5" s="186">
        <f t="shared" si="2"/>
        <v>1.1000000000000001</v>
      </c>
      <c r="R5" s="149">
        <v>13</v>
      </c>
      <c r="S5" s="149">
        <v>78</v>
      </c>
      <c r="T5" s="158">
        <f t="shared" si="0"/>
        <v>39</v>
      </c>
      <c r="U5" s="149">
        <v>398</v>
      </c>
      <c r="V5" s="158">
        <f t="shared" si="1"/>
        <v>16</v>
      </c>
      <c r="W5" s="149">
        <v>3</v>
      </c>
      <c r="X5" s="149" t="s">
        <v>39</v>
      </c>
      <c r="Y5" s="149" t="s">
        <v>393</v>
      </c>
      <c r="Z5" s="149" t="s">
        <v>394</v>
      </c>
      <c r="AA5" s="149" t="s">
        <v>47</v>
      </c>
      <c r="AB5" s="178" t="s">
        <v>395</v>
      </c>
      <c r="AE5" s="164" t="s">
        <v>51</v>
      </c>
      <c r="AG5" s="135" t="s">
        <v>243</v>
      </c>
      <c r="AH5" s="136" t="s">
        <v>275</v>
      </c>
      <c r="AJ5" s="170"/>
      <c r="AL5" s="171" t="s">
        <v>398</v>
      </c>
      <c r="AN5" s="72" t="s">
        <v>399</v>
      </c>
      <c r="AP5" s="165" t="s">
        <v>400</v>
      </c>
      <c r="AR5" s="179" t="s">
        <v>54</v>
      </c>
      <c r="AV5" s="165" t="s">
        <v>401</v>
      </c>
      <c r="AX5" s="166">
        <v>84</v>
      </c>
      <c r="AY5" s="167">
        <v>39</v>
      </c>
      <c r="AZ5" s="167">
        <v>84</v>
      </c>
      <c r="BA5" s="168">
        <v>36</v>
      </c>
    </row>
    <row r="6" spans="1:53" x14ac:dyDescent="0.15">
      <c r="A6" s="149" t="s">
        <v>59</v>
      </c>
      <c r="B6" s="178" t="s">
        <v>390</v>
      </c>
      <c r="C6" s="133">
        <v>2018</v>
      </c>
      <c r="D6" s="134" t="s">
        <v>391</v>
      </c>
      <c r="E6" s="149" t="s">
        <v>392</v>
      </c>
      <c r="F6" s="149" t="s">
        <v>273</v>
      </c>
      <c r="G6" s="149" t="s">
        <v>36</v>
      </c>
      <c r="H6" s="149" t="s">
        <v>157</v>
      </c>
      <c r="I6" s="149" t="s">
        <v>155</v>
      </c>
      <c r="J6" s="149" t="s">
        <v>38</v>
      </c>
      <c r="K6" s="149" t="s">
        <v>156</v>
      </c>
      <c r="L6" s="149">
        <v>2</v>
      </c>
      <c r="N6" s="149">
        <v>5</v>
      </c>
      <c r="O6" s="149">
        <v>0.9</v>
      </c>
      <c r="P6" s="149">
        <v>0.95</v>
      </c>
      <c r="Q6" s="186">
        <f t="shared" si="2"/>
        <v>0.92500000000000004</v>
      </c>
      <c r="R6" s="149">
        <v>15.5</v>
      </c>
      <c r="S6" s="149">
        <v>94</v>
      </c>
      <c r="T6" s="158">
        <f t="shared" si="0"/>
        <v>36</v>
      </c>
      <c r="U6" s="149">
        <v>398</v>
      </c>
      <c r="V6" s="158">
        <f t="shared" si="1"/>
        <v>16</v>
      </c>
      <c r="W6" s="149">
        <v>3</v>
      </c>
      <c r="X6" s="149" t="s">
        <v>39</v>
      </c>
      <c r="Y6" s="149" t="s">
        <v>393</v>
      </c>
      <c r="Z6" s="149" t="s">
        <v>394</v>
      </c>
      <c r="AA6" s="149" t="s">
        <v>47</v>
      </c>
      <c r="AB6" s="178" t="s">
        <v>395</v>
      </c>
      <c r="AE6" s="164" t="s">
        <v>56</v>
      </c>
      <c r="AG6" s="135" t="s">
        <v>283</v>
      </c>
      <c r="AH6" s="136" t="s">
        <v>276</v>
      </c>
      <c r="AL6" s="171" t="s">
        <v>402</v>
      </c>
      <c r="AN6" s="171" t="s">
        <v>403</v>
      </c>
      <c r="AP6" s="165" t="s">
        <v>53</v>
      </c>
      <c r="AR6" s="179" t="s">
        <v>163</v>
      </c>
      <c r="AV6" s="165" t="s">
        <v>60</v>
      </c>
      <c r="AX6" s="166">
        <v>97</v>
      </c>
      <c r="AY6" s="167">
        <v>36</v>
      </c>
      <c r="AZ6" s="167">
        <v>99</v>
      </c>
      <c r="BA6" s="168">
        <v>33</v>
      </c>
    </row>
    <row r="7" spans="1:53" x14ac:dyDescent="0.15">
      <c r="A7" s="149" t="s">
        <v>59</v>
      </c>
      <c r="B7" s="178" t="s">
        <v>357</v>
      </c>
      <c r="C7" s="133">
        <v>2018</v>
      </c>
      <c r="D7" s="134" t="s">
        <v>404</v>
      </c>
      <c r="E7" s="149" t="s">
        <v>405</v>
      </c>
      <c r="F7" s="149" t="s">
        <v>273</v>
      </c>
      <c r="G7" s="149" t="s">
        <v>36</v>
      </c>
      <c r="H7" s="149" t="s">
        <v>157</v>
      </c>
      <c r="I7" s="149" t="s">
        <v>155</v>
      </c>
      <c r="J7" s="149" t="s">
        <v>38</v>
      </c>
      <c r="K7" s="149" t="s">
        <v>156</v>
      </c>
      <c r="L7" s="149">
        <v>3</v>
      </c>
      <c r="N7" s="149">
        <v>5</v>
      </c>
      <c r="O7" s="149">
        <v>1</v>
      </c>
      <c r="P7" s="149">
        <v>1.1000000000000001</v>
      </c>
      <c r="Q7" s="186">
        <f t="shared" si="2"/>
        <v>1.05</v>
      </c>
      <c r="R7" s="149">
        <v>14.7</v>
      </c>
      <c r="S7" s="149">
        <v>94</v>
      </c>
      <c r="T7" s="158">
        <f t="shared" si="0"/>
        <v>36</v>
      </c>
      <c r="U7" s="149">
        <v>398</v>
      </c>
      <c r="V7" s="158">
        <f t="shared" si="1"/>
        <v>16</v>
      </c>
      <c r="W7" s="149">
        <v>3</v>
      </c>
      <c r="X7" s="149" t="s">
        <v>39</v>
      </c>
      <c r="Y7" s="149" t="s">
        <v>406</v>
      </c>
      <c r="Z7" s="149" t="s">
        <v>407</v>
      </c>
      <c r="AA7" s="149" t="s">
        <v>47</v>
      </c>
      <c r="AB7" s="178" t="s">
        <v>408</v>
      </c>
      <c r="AE7" s="164" t="s">
        <v>61</v>
      </c>
      <c r="AG7" s="135" t="s">
        <v>284</v>
      </c>
      <c r="AH7" s="136" t="s">
        <v>277</v>
      </c>
      <c r="AL7" s="176" t="s">
        <v>409</v>
      </c>
      <c r="AP7" s="165" t="s">
        <v>58</v>
      </c>
      <c r="AR7" s="172" t="s">
        <v>245</v>
      </c>
      <c r="AV7" s="165" t="s">
        <v>64</v>
      </c>
      <c r="AX7" s="166">
        <v>109</v>
      </c>
      <c r="AY7" s="167">
        <v>33</v>
      </c>
      <c r="AZ7" s="167">
        <v>113</v>
      </c>
      <c r="BA7" s="168">
        <v>30</v>
      </c>
    </row>
    <row r="8" spans="1:53" x14ac:dyDescent="0.15">
      <c r="A8" s="149" t="s">
        <v>59</v>
      </c>
      <c r="B8" s="178" t="s">
        <v>410</v>
      </c>
      <c r="C8" s="133">
        <v>2018</v>
      </c>
      <c r="D8" s="134" t="s">
        <v>411</v>
      </c>
      <c r="E8" s="149" t="s">
        <v>280</v>
      </c>
      <c r="F8" s="149" t="s">
        <v>272</v>
      </c>
      <c r="G8" s="149" t="s">
        <v>36</v>
      </c>
      <c r="H8" s="149" t="s">
        <v>162</v>
      </c>
      <c r="I8" s="149" t="s">
        <v>155</v>
      </c>
      <c r="J8" s="149" t="s">
        <v>38</v>
      </c>
      <c r="K8" s="149" t="s">
        <v>156</v>
      </c>
      <c r="L8" s="149">
        <v>1</v>
      </c>
      <c r="N8" s="149">
        <v>1</v>
      </c>
      <c r="O8" s="149">
        <v>0.75</v>
      </c>
      <c r="P8" s="149">
        <v>0.7</v>
      </c>
      <c r="Q8" s="186">
        <f t="shared" si="2"/>
        <v>0.72499999999999998</v>
      </c>
      <c r="R8" s="149">
        <v>16.600000000000001</v>
      </c>
      <c r="S8" s="149">
        <v>160</v>
      </c>
      <c r="T8" s="158">
        <f t="shared" si="0"/>
        <v>18</v>
      </c>
      <c r="U8" s="149">
        <v>127</v>
      </c>
      <c r="V8" s="158">
        <f t="shared" si="1"/>
        <v>27</v>
      </c>
      <c r="W8" s="149">
        <v>6</v>
      </c>
      <c r="X8" s="149" t="s">
        <v>39</v>
      </c>
      <c r="Y8" s="149" t="s">
        <v>90</v>
      </c>
      <c r="Z8" s="149" t="s">
        <v>69</v>
      </c>
      <c r="AA8" s="149" t="s">
        <v>97</v>
      </c>
      <c r="AB8" s="178" t="s">
        <v>395</v>
      </c>
      <c r="AE8" s="164" t="s">
        <v>59</v>
      </c>
      <c r="AG8" s="141" t="s">
        <v>285</v>
      </c>
      <c r="AH8" s="136" t="s">
        <v>278</v>
      </c>
      <c r="AL8" s="176" t="s">
        <v>412</v>
      </c>
      <c r="AP8" s="165" t="s">
        <v>62</v>
      </c>
      <c r="AR8" s="179" t="s">
        <v>81</v>
      </c>
      <c r="AV8" s="165" t="s">
        <v>97</v>
      </c>
      <c r="AX8" s="166">
        <v>119</v>
      </c>
      <c r="AY8" s="167">
        <v>30</v>
      </c>
      <c r="AZ8" s="167">
        <v>121</v>
      </c>
      <c r="BA8" s="168">
        <v>27</v>
      </c>
    </row>
    <row r="9" spans="1:53" x14ac:dyDescent="0.15">
      <c r="A9" s="149" t="s">
        <v>59</v>
      </c>
      <c r="B9" s="178" t="s">
        <v>390</v>
      </c>
      <c r="C9" s="133">
        <v>2018</v>
      </c>
      <c r="D9" s="134" t="s">
        <v>391</v>
      </c>
      <c r="E9" s="149" t="s">
        <v>280</v>
      </c>
      <c r="F9" s="149" t="s">
        <v>272</v>
      </c>
      <c r="G9" s="149" t="s">
        <v>36</v>
      </c>
      <c r="H9" s="149" t="s">
        <v>162</v>
      </c>
      <c r="I9" s="149" t="s">
        <v>155</v>
      </c>
      <c r="J9" s="149" t="s">
        <v>38</v>
      </c>
      <c r="K9" s="149" t="s">
        <v>156</v>
      </c>
      <c r="L9" s="149">
        <v>2</v>
      </c>
      <c r="N9" s="149">
        <v>1</v>
      </c>
      <c r="O9" s="149">
        <v>0.7</v>
      </c>
      <c r="P9" s="149">
        <v>0.65</v>
      </c>
      <c r="Q9" s="186">
        <f t="shared" si="2"/>
        <v>0.67500000000000004</v>
      </c>
      <c r="R9" s="149">
        <v>15.8</v>
      </c>
      <c r="S9" s="149">
        <v>155</v>
      </c>
      <c r="T9" s="158">
        <f t="shared" si="0"/>
        <v>18</v>
      </c>
      <c r="U9" s="149">
        <v>127</v>
      </c>
      <c r="V9" s="158">
        <f t="shared" si="1"/>
        <v>27</v>
      </c>
      <c r="W9" s="149">
        <v>6</v>
      </c>
      <c r="X9" s="149" t="s">
        <v>39</v>
      </c>
      <c r="Y9" s="149" t="s">
        <v>90</v>
      </c>
      <c r="Z9" s="149" t="s">
        <v>69</v>
      </c>
      <c r="AA9" s="149" t="s">
        <v>97</v>
      </c>
      <c r="AB9" s="178" t="s">
        <v>395</v>
      </c>
      <c r="AE9" s="164" t="s">
        <v>98</v>
      </c>
      <c r="AG9" s="141" t="s">
        <v>286</v>
      </c>
      <c r="AH9" s="136" t="s">
        <v>278</v>
      </c>
      <c r="AL9" s="171"/>
      <c r="AP9" s="165" t="s">
        <v>247</v>
      </c>
      <c r="AR9" s="172" t="s">
        <v>89</v>
      </c>
      <c r="AV9" s="165" t="s">
        <v>102</v>
      </c>
      <c r="AX9" s="166">
        <v>128</v>
      </c>
      <c r="AY9" s="167">
        <v>27</v>
      </c>
      <c r="AZ9" s="167">
        <v>129</v>
      </c>
      <c r="BA9" s="168">
        <v>25</v>
      </c>
    </row>
    <row r="10" spans="1:53" x14ac:dyDescent="0.15">
      <c r="A10" s="149" t="s">
        <v>59</v>
      </c>
      <c r="B10" s="178" t="s">
        <v>352</v>
      </c>
      <c r="C10" s="133">
        <v>2018</v>
      </c>
      <c r="D10" s="134" t="s">
        <v>413</v>
      </c>
      <c r="E10" s="149" t="s">
        <v>280</v>
      </c>
      <c r="F10" s="149" t="s">
        <v>272</v>
      </c>
      <c r="G10" s="149" t="s">
        <v>36</v>
      </c>
      <c r="H10" s="149" t="s">
        <v>162</v>
      </c>
      <c r="I10" s="149" t="s">
        <v>155</v>
      </c>
      <c r="J10" s="149" t="s">
        <v>38</v>
      </c>
      <c r="K10" s="149" t="s">
        <v>156</v>
      </c>
      <c r="L10" s="149">
        <v>3</v>
      </c>
      <c r="N10" s="149">
        <v>1</v>
      </c>
      <c r="O10" s="149">
        <v>0.75</v>
      </c>
      <c r="P10" s="149">
        <v>0.65</v>
      </c>
      <c r="Q10" s="186">
        <f t="shared" si="2"/>
        <v>0.7</v>
      </c>
      <c r="R10" s="149">
        <v>16.899999999999999</v>
      </c>
      <c r="S10" s="149">
        <v>163</v>
      </c>
      <c r="T10" s="158">
        <f t="shared" si="0"/>
        <v>18</v>
      </c>
      <c r="U10" s="149">
        <v>127</v>
      </c>
      <c r="V10" s="158">
        <f t="shared" si="1"/>
        <v>27</v>
      </c>
      <c r="W10" s="149">
        <v>6</v>
      </c>
      <c r="X10" s="149" t="s">
        <v>39</v>
      </c>
      <c r="Y10" s="149" t="s">
        <v>90</v>
      </c>
      <c r="Z10" s="149" t="s">
        <v>69</v>
      </c>
      <c r="AA10" s="149" t="s">
        <v>97</v>
      </c>
      <c r="AB10" s="178" t="s">
        <v>395</v>
      </c>
      <c r="AE10" s="164" t="s">
        <v>103</v>
      </c>
      <c r="AG10" s="135" t="s">
        <v>287</v>
      </c>
      <c r="AH10" s="136" t="s">
        <v>275</v>
      </c>
      <c r="AL10" s="88"/>
      <c r="AP10" s="165" t="s">
        <v>100</v>
      </c>
      <c r="AR10" s="172" t="s">
        <v>123</v>
      </c>
      <c r="AV10" s="165" t="s">
        <v>106</v>
      </c>
      <c r="AX10" s="166">
        <v>138</v>
      </c>
      <c r="AY10" s="167">
        <v>25</v>
      </c>
      <c r="AZ10" s="167">
        <v>138</v>
      </c>
      <c r="BA10" s="168">
        <v>22</v>
      </c>
    </row>
    <row r="11" spans="1:53" x14ac:dyDescent="0.15">
      <c r="A11" s="149" t="s">
        <v>59</v>
      </c>
      <c r="B11" s="178" t="s">
        <v>390</v>
      </c>
      <c r="C11" s="133">
        <v>2018</v>
      </c>
      <c r="D11" s="134" t="s">
        <v>391</v>
      </c>
      <c r="E11" s="149" t="s">
        <v>280</v>
      </c>
      <c r="F11" s="149" t="s">
        <v>272</v>
      </c>
      <c r="G11" s="149" t="s">
        <v>36</v>
      </c>
      <c r="H11" s="149" t="s">
        <v>157</v>
      </c>
      <c r="I11" s="149" t="s">
        <v>155</v>
      </c>
      <c r="J11" s="149" t="s">
        <v>38</v>
      </c>
      <c r="K11" s="149" t="s">
        <v>156</v>
      </c>
      <c r="L11" s="149">
        <v>1</v>
      </c>
      <c r="N11" s="149">
        <v>1</v>
      </c>
      <c r="O11" s="149">
        <v>0.45</v>
      </c>
      <c r="P11" s="149">
        <v>0.4</v>
      </c>
      <c r="Q11" s="186">
        <f t="shared" si="2"/>
        <v>0.42500000000000004</v>
      </c>
      <c r="R11" s="149">
        <v>15.4</v>
      </c>
      <c r="S11" s="149">
        <v>145</v>
      </c>
      <c r="T11" s="158">
        <f t="shared" si="0"/>
        <v>22</v>
      </c>
      <c r="U11" s="149">
        <v>127</v>
      </c>
      <c r="V11" s="158">
        <f t="shared" si="1"/>
        <v>27</v>
      </c>
      <c r="W11" s="149">
        <v>6</v>
      </c>
      <c r="X11" s="149" t="s">
        <v>39</v>
      </c>
      <c r="Y11" s="149" t="s">
        <v>90</v>
      </c>
      <c r="Z11" s="149" t="s">
        <v>69</v>
      </c>
      <c r="AA11" s="149" t="s">
        <v>97</v>
      </c>
      <c r="AB11" s="178" t="s">
        <v>395</v>
      </c>
      <c r="AE11" s="164" t="s">
        <v>65</v>
      </c>
      <c r="AG11" s="141" t="s">
        <v>288</v>
      </c>
      <c r="AH11" s="136" t="s">
        <v>279</v>
      </c>
      <c r="AL11" s="88"/>
      <c r="AP11" s="165" t="s">
        <v>246</v>
      </c>
      <c r="AR11" s="172" t="s">
        <v>248</v>
      </c>
      <c r="AV11" s="165" t="s">
        <v>414</v>
      </c>
      <c r="AX11" s="166">
        <v>151</v>
      </c>
      <c r="AY11" s="167">
        <v>22</v>
      </c>
      <c r="AZ11" s="167">
        <v>152</v>
      </c>
      <c r="BA11" s="168">
        <v>18</v>
      </c>
    </row>
    <row r="12" spans="1:53" x14ac:dyDescent="0.15">
      <c r="A12" s="149" t="s">
        <v>59</v>
      </c>
      <c r="B12" s="178" t="s">
        <v>415</v>
      </c>
      <c r="C12" s="133">
        <v>2018</v>
      </c>
      <c r="D12" s="134" t="s">
        <v>416</v>
      </c>
      <c r="E12" s="149" t="s">
        <v>280</v>
      </c>
      <c r="F12" s="149" t="s">
        <v>272</v>
      </c>
      <c r="G12" s="149" t="s">
        <v>36</v>
      </c>
      <c r="H12" s="149" t="s">
        <v>157</v>
      </c>
      <c r="I12" s="149" t="s">
        <v>155</v>
      </c>
      <c r="J12" s="149" t="s">
        <v>38</v>
      </c>
      <c r="K12" s="149" t="s">
        <v>156</v>
      </c>
      <c r="L12" s="149">
        <v>2</v>
      </c>
      <c r="N12" s="149">
        <v>1</v>
      </c>
      <c r="O12" s="149">
        <v>0.55000000000000004</v>
      </c>
      <c r="P12" s="149">
        <v>0.55000000000000004</v>
      </c>
      <c r="Q12" s="186">
        <f t="shared" si="2"/>
        <v>0.55000000000000004</v>
      </c>
      <c r="R12" s="149">
        <v>15</v>
      </c>
      <c r="S12" s="149">
        <v>150</v>
      </c>
      <c r="T12" s="158">
        <f t="shared" si="0"/>
        <v>22</v>
      </c>
      <c r="U12" s="149">
        <v>127</v>
      </c>
      <c r="V12" s="158">
        <f t="shared" si="1"/>
        <v>27</v>
      </c>
      <c r="W12" s="149">
        <v>6</v>
      </c>
      <c r="X12" s="149" t="s">
        <v>39</v>
      </c>
      <c r="Y12" s="149" t="s">
        <v>90</v>
      </c>
      <c r="Z12" s="149" t="s">
        <v>69</v>
      </c>
      <c r="AA12" s="149" t="s">
        <v>97</v>
      </c>
      <c r="AB12" s="178" t="s">
        <v>395</v>
      </c>
      <c r="AE12" s="164" t="s">
        <v>70</v>
      </c>
      <c r="AG12" s="172"/>
      <c r="AH12" s="142"/>
      <c r="AL12" s="88"/>
      <c r="AP12" s="165" t="s">
        <v>67</v>
      </c>
      <c r="AR12" s="172" t="s">
        <v>124</v>
      </c>
      <c r="AV12" s="165" t="s">
        <v>72</v>
      </c>
      <c r="AX12" s="173">
        <v>180</v>
      </c>
      <c r="AY12" s="174">
        <v>18</v>
      </c>
      <c r="AZ12" s="174">
        <v>181</v>
      </c>
      <c r="BA12" s="175">
        <v>16</v>
      </c>
    </row>
    <row r="13" spans="1:53" x14ac:dyDescent="0.15">
      <c r="A13" s="149" t="s">
        <v>59</v>
      </c>
      <c r="B13" s="178" t="s">
        <v>361</v>
      </c>
      <c r="C13" s="133">
        <v>2018</v>
      </c>
      <c r="D13" s="134" t="s">
        <v>417</v>
      </c>
      <c r="E13" s="149" t="s">
        <v>280</v>
      </c>
      <c r="F13" s="149" t="s">
        <v>272</v>
      </c>
      <c r="G13" s="149" t="s">
        <v>36</v>
      </c>
      <c r="H13" s="149" t="s">
        <v>157</v>
      </c>
      <c r="I13" s="149" t="s">
        <v>155</v>
      </c>
      <c r="J13" s="149" t="s">
        <v>38</v>
      </c>
      <c r="K13" s="149" t="s">
        <v>156</v>
      </c>
      <c r="L13" s="149">
        <v>3</v>
      </c>
      <c r="N13" s="149">
        <v>1</v>
      </c>
      <c r="O13" s="149">
        <v>0.45</v>
      </c>
      <c r="P13" s="149">
        <v>0.55000000000000004</v>
      </c>
      <c r="Q13" s="186">
        <f t="shared" si="2"/>
        <v>0.5</v>
      </c>
      <c r="R13" s="149">
        <v>15.5</v>
      </c>
      <c r="S13" s="149">
        <v>146</v>
      </c>
      <c r="T13" s="158">
        <f t="shared" si="0"/>
        <v>22</v>
      </c>
      <c r="U13" s="149">
        <v>127</v>
      </c>
      <c r="V13" s="158">
        <f t="shared" si="1"/>
        <v>27</v>
      </c>
      <c r="W13" s="149">
        <v>6</v>
      </c>
      <c r="X13" s="149" t="s">
        <v>39</v>
      </c>
      <c r="Y13" s="149" t="s">
        <v>90</v>
      </c>
      <c r="Z13" s="149" t="s">
        <v>69</v>
      </c>
      <c r="AA13" s="149" t="s">
        <v>97</v>
      </c>
      <c r="AB13" s="178" t="s">
        <v>395</v>
      </c>
      <c r="AE13" s="164" t="s">
        <v>73</v>
      </c>
      <c r="AG13" s="165"/>
      <c r="AH13" s="165"/>
      <c r="AP13" s="165" t="s">
        <v>71</v>
      </c>
      <c r="AR13" s="172" t="s">
        <v>103</v>
      </c>
      <c r="AV13" s="165" t="s">
        <v>75</v>
      </c>
    </row>
    <row r="14" spans="1:53" x14ac:dyDescent="0.15">
      <c r="A14" s="149" t="s">
        <v>59</v>
      </c>
      <c r="B14" s="178" t="s">
        <v>363</v>
      </c>
      <c r="C14" s="133">
        <v>2018</v>
      </c>
      <c r="D14" s="134" t="s">
        <v>418</v>
      </c>
      <c r="E14" s="149" t="s">
        <v>243</v>
      </c>
      <c r="F14" s="149" t="s">
        <v>275</v>
      </c>
      <c r="G14" s="149" t="s">
        <v>36</v>
      </c>
      <c r="H14" s="149" t="s">
        <v>162</v>
      </c>
      <c r="I14" s="149" t="s">
        <v>155</v>
      </c>
      <c r="J14" s="149" t="s">
        <v>38</v>
      </c>
      <c r="K14" s="149" t="s">
        <v>156</v>
      </c>
      <c r="L14" s="149">
        <v>1</v>
      </c>
      <c r="N14" s="149">
        <v>2</v>
      </c>
      <c r="O14" s="149">
        <v>0.55000000000000004</v>
      </c>
      <c r="P14" s="149">
        <v>0.5</v>
      </c>
      <c r="Q14" s="186">
        <f t="shared" si="2"/>
        <v>0.52500000000000002</v>
      </c>
      <c r="R14" s="149">
        <v>15</v>
      </c>
      <c r="S14" s="149">
        <v>173</v>
      </c>
      <c r="T14" s="158">
        <f t="shared" si="0"/>
        <v>18</v>
      </c>
      <c r="U14" s="149">
        <v>350</v>
      </c>
      <c r="V14" s="158">
        <f t="shared" si="1"/>
        <v>16</v>
      </c>
      <c r="W14" s="149">
        <v>8</v>
      </c>
      <c r="X14" s="149" t="s">
        <v>46</v>
      </c>
      <c r="Y14" s="149" t="s">
        <v>47</v>
      </c>
      <c r="Z14" s="149" t="s">
        <v>69</v>
      </c>
      <c r="AA14" s="149" t="s">
        <v>90</v>
      </c>
      <c r="AB14" s="178" t="s">
        <v>419</v>
      </c>
      <c r="AE14" s="164" t="s">
        <v>76</v>
      </c>
      <c r="AG14" s="165"/>
      <c r="AH14" s="165"/>
      <c r="AP14" s="165" t="s">
        <v>249</v>
      </c>
      <c r="AR14" s="172" t="s">
        <v>125</v>
      </c>
      <c r="AV14" s="165" t="s">
        <v>78</v>
      </c>
    </row>
    <row r="15" spans="1:53" x14ac:dyDescent="0.15">
      <c r="A15" s="149" t="s">
        <v>59</v>
      </c>
      <c r="B15" s="178" t="s">
        <v>363</v>
      </c>
      <c r="C15" s="133">
        <v>2018</v>
      </c>
      <c r="D15" s="134" t="s">
        <v>418</v>
      </c>
      <c r="E15" s="149" t="s">
        <v>243</v>
      </c>
      <c r="F15" s="149" t="s">
        <v>275</v>
      </c>
      <c r="G15" s="149" t="s">
        <v>36</v>
      </c>
      <c r="H15" s="149" t="s">
        <v>162</v>
      </c>
      <c r="I15" s="149" t="s">
        <v>155</v>
      </c>
      <c r="J15" s="149" t="s">
        <v>38</v>
      </c>
      <c r="K15" s="149" t="s">
        <v>156</v>
      </c>
      <c r="L15" s="149">
        <v>2</v>
      </c>
      <c r="N15" s="149">
        <v>2</v>
      </c>
      <c r="O15" s="149">
        <v>0.45</v>
      </c>
      <c r="P15" s="149">
        <v>0.35</v>
      </c>
      <c r="Q15" s="186">
        <f t="shared" si="2"/>
        <v>0.4</v>
      </c>
      <c r="R15" s="149">
        <v>16.899999999999999</v>
      </c>
      <c r="S15" s="149">
        <v>169</v>
      </c>
      <c r="T15" s="158">
        <f t="shared" si="0"/>
        <v>18</v>
      </c>
      <c r="U15" s="149">
        <v>350</v>
      </c>
      <c r="V15" s="158">
        <f t="shared" si="1"/>
        <v>16</v>
      </c>
      <c r="W15" s="149">
        <v>8</v>
      </c>
      <c r="X15" s="149" t="s">
        <v>46</v>
      </c>
      <c r="Y15" s="149" t="s">
        <v>47</v>
      </c>
      <c r="Z15" s="149" t="s">
        <v>69</v>
      </c>
      <c r="AA15" s="149" t="s">
        <v>90</v>
      </c>
      <c r="AB15" s="178" t="s">
        <v>419</v>
      </c>
      <c r="AE15" s="164" t="s">
        <v>79</v>
      </c>
      <c r="AG15" s="165"/>
      <c r="AH15" s="165"/>
      <c r="AP15" s="165" t="s">
        <v>250</v>
      </c>
      <c r="AR15" s="172" t="s">
        <v>94</v>
      </c>
      <c r="AV15" s="165" t="s">
        <v>107</v>
      </c>
    </row>
    <row r="16" spans="1:53" x14ac:dyDescent="0.15">
      <c r="A16" s="149" t="s">
        <v>59</v>
      </c>
      <c r="B16" s="178" t="s">
        <v>365</v>
      </c>
      <c r="C16" s="133">
        <v>2018</v>
      </c>
      <c r="D16" s="134" t="s">
        <v>420</v>
      </c>
      <c r="E16" s="149" t="s">
        <v>243</v>
      </c>
      <c r="F16" s="149" t="s">
        <v>275</v>
      </c>
      <c r="G16" s="149" t="s">
        <v>36</v>
      </c>
      <c r="H16" s="149" t="s">
        <v>162</v>
      </c>
      <c r="I16" s="149" t="s">
        <v>155</v>
      </c>
      <c r="J16" s="149" t="s">
        <v>38</v>
      </c>
      <c r="K16" s="149" t="s">
        <v>156</v>
      </c>
      <c r="L16" s="149">
        <v>3</v>
      </c>
      <c r="N16" s="149">
        <v>2</v>
      </c>
      <c r="O16" s="149">
        <v>0.5</v>
      </c>
      <c r="P16" s="149">
        <v>0.55000000000000004</v>
      </c>
      <c r="Q16" s="186">
        <f t="shared" si="2"/>
        <v>0.52500000000000002</v>
      </c>
      <c r="R16" s="149">
        <v>16.8</v>
      </c>
      <c r="S16" s="149">
        <v>155</v>
      </c>
      <c r="T16" s="158">
        <f t="shared" si="0"/>
        <v>18</v>
      </c>
      <c r="U16" s="149">
        <v>350</v>
      </c>
      <c r="V16" s="158">
        <f t="shared" si="1"/>
        <v>16</v>
      </c>
      <c r="W16" s="149">
        <v>8</v>
      </c>
      <c r="X16" s="149" t="s">
        <v>46</v>
      </c>
      <c r="Y16" s="149" t="s">
        <v>47</v>
      </c>
      <c r="Z16" s="149" t="s">
        <v>69</v>
      </c>
      <c r="AA16" s="149" t="s">
        <v>90</v>
      </c>
      <c r="AB16" s="178" t="s">
        <v>421</v>
      </c>
      <c r="AE16" s="164" t="s">
        <v>82</v>
      </c>
      <c r="AG16" s="170"/>
      <c r="AH16" s="170"/>
      <c r="AP16" s="165" t="s">
        <v>80</v>
      </c>
      <c r="AR16" s="179" t="s">
        <v>63</v>
      </c>
      <c r="AV16" s="165" t="s">
        <v>84</v>
      </c>
    </row>
    <row r="17" spans="1:48" x14ac:dyDescent="0.15">
      <c r="A17" s="149" t="s">
        <v>59</v>
      </c>
      <c r="B17" s="178" t="s">
        <v>365</v>
      </c>
      <c r="C17" s="133">
        <v>2018</v>
      </c>
      <c r="D17" s="134" t="s">
        <v>420</v>
      </c>
      <c r="E17" s="149" t="s">
        <v>243</v>
      </c>
      <c r="F17" s="149" t="s">
        <v>275</v>
      </c>
      <c r="G17" s="149" t="s">
        <v>36</v>
      </c>
      <c r="H17" s="149" t="s">
        <v>157</v>
      </c>
      <c r="I17" s="149" t="s">
        <v>155</v>
      </c>
      <c r="J17" s="149" t="s">
        <v>38</v>
      </c>
      <c r="K17" s="149" t="s">
        <v>156</v>
      </c>
      <c r="L17" s="149">
        <v>1</v>
      </c>
      <c r="N17" s="149">
        <v>1</v>
      </c>
      <c r="O17" s="149">
        <v>0.65</v>
      </c>
      <c r="P17" s="149">
        <v>0.7</v>
      </c>
      <c r="Q17" s="186">
        <f t="shared" si="2"/>
        <v>0.67500000000000004</v>
      </c>
      <c r="R17" s="149">
        <v>14.6</v>
      </c>
      <c r="S17" s="149">
        <v>127</v>
      </c>
      <c r="T17" s="158">
        <f t="shared" si="0"/>
        <v>27</v>
      </c>
      <c r="U17" s="149">
        <v>149</v>
      </c>
      <c r="V17" s="158">
        <f t="shared" si="1"/>
        <v>22</v>
      </c>
      <c r="W17" s="149">
        <v>4</v>
      </c>
      <c r="X17" s="149" t="s">
        <v>46</v>
      </c>
      <c r="Y17" s="149" t="s">
        <v>47</v>
      </c>
      <c r="Z17" s="149" t="s">
        <v>69</v>
      </c>
      <c r="AA17" s="149" t="s">
        <v>90</v>
      </c>
      <c r="AB17" s="178" t="s">
        <v>421</v>
      </c>
      <c r="AE17" s="164" t="s">
        <v>85</v>
      </c>
      <c r="AP17" s="180" t="s">
        <v>110</v>
      </c>
      <c r="AR17" s="179" t="s">
        <v>96</v>
      </c>
      <c r="AV17" s="165" t="s">
        <v>86</v>
      </c>
    </row>
    <row r="18" spans="1:48" x14ac:dyDescent="0.15">
      <c r="A18" s="149" t="s">
        <v>59</v>
      </c>
      <c r="B18" s="178" t="s">
        <v>365</v>
      </c>
      <c r="C18" s="133">
        <v>2018</v>
      </c>
      <c r="D18" s="134" t="s">
        <v>420</v>
      </c>
      <c r="E18" s="149" t="s">
        <v>243</v>
      </c>
      <c r="F18" s="149" t="s">
        <v>275</v>
      </c>
      <c r="G18" s="149" t="s">
        <v>36</v>
      </c>
      <c r="H18" s="149" t="s">
        <v>157</v>
      </c>
      <c r="I18" s="149" t="s">
        <v>155</v>
      </c>
      <c r="J18" s="149" t="s">
        <v>38</v>
      </c>
      <c r="K18" s="149" t="s">
        <v>156</v>
      </c>
      <c r="L18" s="149">
        <v>2</v>
      </c>
      <c r="N18" s="149">
        <v>1</v>
      </c>
      <c r="O18" s="149">
        <v>0.75</v>
      </c>
      <c r="P18" s="149">
        <v>0.7</v>
      </c>
      <c r="Q18" s="186">
        <f t="shared" si="2"/>
        <v>0.72499999999999998</v>
      </c>
      <c r="R18" s="149">
        <v>14.4</v>
      </c>
      <c r="S18" s="149">
        <v>139</v>
      </c>
      <c r="T18" s="158">
        <f t="shared" si="0"/>
        <v>22</v>
      </c>
      <c r="U18" s="149">
        <v>149</v>
      </c>
      <c r="V18" s="158">
        <f t="shared" si="1"/>
        <v>22</v>
      </c>
      <c r="W18" s="149">
        <v>4</v>
      </c>
      <c r="X18" s="149" t="s">
        <v>46</v>
      </c>
      <c r="Y18" s="149" t="s">
        <v>47</v>
      </c>
      <c r="Z18" s="149" t="s">
        <v>69</v>
      </c>
      <c r="AA18" s="149" t="s">
        <v>90</v>
      </c>
      <c r="AB18" s="178" t="s">
        <v>421</v>
      </c>
      <c r="AE18" s="164" t="s">
        <v>87</v>
      </c>
      <c r="AP18" s="180" t="s">
        <v>252</v>
      </c>
      <c r="AR18" s="179" t="s">
        <v>101</v>
      </c>
      <c r="AV18" s="165" t="s">
        <v>88</v>
      </c>
    </row>
    <row r="19" spans="1:48" x14ac:dyDescent="0.15">
      <c r="A19" s="149" t="s">
        <v>59</v>
      </c>
      <c r="B19" s="178" t="s">
        <v>357</v>
      </c>
      <c r="C19" s="133">
        <v>2018</v>
      </c>
      <c r="D19" s="134" t="s">
        <v>404</v>
      </c>
      <c r="E19" s="149" t="s">
        <v>243</v>
      </c>
      <c r="F19" s="149" t="s">
        <v>275</v>
      </c>
      <c r="G19" s="149" t="s">
        <v>36</v>
      </c>
      <c r="H19" s="149" t="s">
        <v>157</v>
      </c>
      <c r="I19" s="149" t="s">
        <v>155</v>
      </c>
      <c r="J19" s="149" t="s">
        <v>38</v>
      </c>
      <c r="K19" s="149" t="s">
        <v>156</v>
      </c>
      <c r="L19" s="149">
        <v>3</v>
      </c>
      <c r="N19" s="149">
        <v>1</v>
      </c>
      <c r="O19" s="149">
        <v>0.75</v>
      </c>
      <c r="P19" s="149">
        <v>0.75</v>
      </c>
      <c r="Q19" s="186">
        <f t="shared" si="2"/>
        <v>0.75</v>
      </c>
      <c r="R19" s="149">
        <v>14.8</v>
      </c>
      <c r="S19" s="149">
        <v>150</v>
      </c>
      <c r="T19" s="158">
        <f t="shared" si="0"/>
        <v>22</v>
      </c>
      <c r="U19" s="149">
        <v>149</v>
      </c>
      <c r="V19" s="158">
        <f t="shared" si="1"/>
        <v>22</v>
      </c>
      <c r="W19" s="149">
        <v>4</v>
      </c>
      <c r="X19" s="149" t="s">
        <v>46</v>
      </c>
      <c r="Y19" s="149" t="s">
        <v>47</v>
      </c>
      <c r="Z19" s="149" t="s">
        <v>69</v>
      </c>
      <c r="AA19" s="149" t="s">
        <v>90</v>
      </c>
      <c r="AB19" s="178" t="s">
        <v>408</v>
      </c>
      <c r="AD19" s="178"/>
      <c r="AE19" s="177" t="s">
        <v>89</v>
      </c>
      <c r="AP19" s="180" t="s">
        <v>112</v>
      </c>
      <c r="AR19" s="172" t="s">
        <v>126</v>
      </c>
      <c r="AV19" s="165" t="s">
        <v>253</v>
      </c>
    </row>
    <row r="20" spans="1:48" x14ac:dyDescent="0.15">
      <c r="A20" s="149" t="s">
        <v>59</v>
      </c>
      <c r="B20" s="178" t="s">
        <v>422</v>
      </c>
      <c r="C20" s="133">
        <v>2018</v>
      </c>
      <c r="D20" s="134" t="s">
        <v>423</v>
      </c>
      <c r="E20" s="149" t="s">
        <v>243</v>
      </c>
      <c r="F20" s="149" t="s">
        <v>275</v>
      </c>
      <c r="G20" s="149" t="s">
        <v>36</v>
      </c>
      <c r="H20" s="149" t="s">
        <v>211</v>
      </c>
      <c r="I20" s="149" t="s">
        <v>155</v>
      </c>
      <c r="J20" s="149" t="s">
        <v>38</v>
      </c>
      <c r="K20" s="149" t="s">
        <v>156</v>
      </c>
      <c r="L20" s="149">
        <v>1</v>
      </c>
      <c r="N20" s="149">
        <v>4</v>
      </c>
      <c r="O20" s="149">
        <v>0.5</v>
      </c>
      <c r="P20" s="149">
        <v>0.65</v>
      </c>
      <c r="Q20" s="186">
        <f t="shared" si="2"/>
        <v>0.57499999999999996</v>
      </c>
      <c r="R20" s="149">
        <v>18.2</v>
      </c>
      <c r="S20" s="149">
        <v>95</v>
      </c>
      <c r="T20" s="158">
        <f t="shared" si="0"/>
        <v>36</v>
      </c>
      <c r="U20" s="149">
        <v>399</v>
      </c>
      <c r="V20" s="158">
        <f t="shared" si="1"/>
        <v>16</v>
      </c>
      <c r="W20" s="149">
        <v>1</v>
      </c>
      <c r="X20" s="149" t="s">
        <v>46</v>
      </c>
      <c r="Y20" s="149" t="s">
        <v>47</v>
      </c>
      <c r="Z20" s="149" t="s">
        <v>69</v>
      </c>
      <c r="AA20" s="149" t="s">
        <v>90</v>
      </c>
      <c r="AB20" s="178" t="s">
        <v>424</v>
      </c>
      <c r="AD20" s="178"/>
      <c r="AE20" s="177"/>
      <c r="AP20" s="180" t="s">
        <v>113</v>
      </c>
      <c r="AR20" s="179" t="s">
        <v>105</v>
      </c>
      <c r="AV20" s="169" t="s">
        <v>425</v>
      </c>
    </row>
    <row r="21" spans="1:48" x14ac:dyDescent="0.15">
      <c r="A21" s="149" t="s">
        <v>59</v>
      </c>
      <c r="B21" s="178" t="s">
        <v>422</v>
      </c>
      <c r="C21" s="133">
        <v>2018</v>
      </c>
      <c r="D21" s="134" t="s">
        <v>423</v>
      </c>
      <c r="E21" s="149" t="s">
        <v>243</v>
      </c>
      <c r="F21" s="149" t="s">
        <v>275</v>
      </c>
      <c r="G21" s="149" t="s">
        <v>36</v>
      </c>
      <c r="H21" s="149" t="s">
        <v>211</v>
      </c>
      <c r="I21" s="149" t="s">
        <v>155</v>
      </c>
      <c r="J21" s="149" t="s">
        <v>38</v>
      </c>
      <c r="K21" s="149" t="s">
        <v>156</v>
      </c>
      <c r="L21" s="149">
        <v>2</v>
      </c>
      <c r="N21" s="149">
        <v>4</v>
      </c>
      <c r="O21" s="149">
        <v>0.75</v>
      </c>
      <c r="P21" s="149">
        <v>0.75</v>
      </c>
      <c r="Q21" s="186">
        <f t="shared" si="2"/>
        <v>0.75</v>
      </c>
      <c r="R21" s="149">
        <v>19.3</v>
      </c>
      <c r="S21" s="149">
        <v>90</v>
      </c>
      <c r="T21" s="158">
        <f t="shared" si="0"/>
        <v>36</v>
      </c>
      <c r="U21" s="149">
        <v>399</v>
      </c>
      <c r="V21" s="158">
        <f t="shared" si="1"/>
        <v>16</v>
      </c>
      <c r="W21" s="149">
        <v>1</v>
      </c>
      <c r="X21" s="149" t="s">
        <v>46</v>
      </c>
      <c r="Y21" s="149" t="s">
        <v>47</v>
      </c>
      <c r="Z21" s="149" t="s">
        <v>69</v>
      </c>
      <c r="AA21" s="149" t="s">
        <v>90</v>
      </c>
      <c r="AB21" s="178" t="s">
        <v>424</v>
      </c>
      <c r="AD21" s="178"/>
      <c r="AE21" s="170"/>
      <c r="AP21" s="180" t="s">
        <v>254</v>
      </c>
      <c r="AR21" s="179" t="s">
        <v>68</v>
      </c>
      <c r="AV21" s="169" t="s">
        <v>426</v>
      </c>
    </row>
    <row r="22" spans="1:48" x14ac:dyDescent="0.15">
      <c r="A22" s="149" t="s">
        <v>59</v>
      </c>
      <c r="B22" s="178" t="s">
        <v>422</v>
      </c>
      <c r="C22" s="133">
        <v>2018</v>
      </c>
      <c r="D22" s="134" t="s">
        <v>423</v>
      </c>
      <c r="E22" s="149" t="s">
        <v>243</v>
      </c>
      <c r="F22" s="149" t="s">
        <v>275</v>
      </c>
      <c r="G22" s="149" t="s">
        <v>36</v>
      </c>
      <c r="H22" s="149" t="s">
        <v>211</v>
      </c>
      <c r="I22" s="149" t="s">
        <v>155</v>
      </c>
      <c r="J22" s="149" t="s">
        <v>38</v>
      </c>
      <c r="K22" s="149" t="s">
        <v>156</v>
      </c>
      <c r="L22" s="149">
        <v>3</v>
      </c>
      <c r="N22" s="149">
        <v>4</v>
      </c>
      <c r="O22" s="149">
        <v>0.7</v>
      </c>
      <c r="P22" s="149">
        <v>0.75</v>
      </c>
      <c r="Q22" s="186">
        <f t="shared" si="2"/>
        <v>0.72499999999999998</v>
      </c>
      <c r="R22" s="149">
        <v>18</v>
      </c>
      <c r="S22" s="149">
        <v>86</v>
      </c>
      <c r="T22" s="158">
        <f t="shared" si="0"/>
        <v>36</v>
      </c>
      <c r="U22" s="149">
        <v>399</v>
      </c>
      <c r="V22" s="158">
        <f t="shared" si="1"/>
        <v>16</v>
      </c>
      <c r="W22" s="149">
        <v>1</v>
      </c>
      <c r="X22" s="149" t="s">
        <v>46</v>
      </c>
      <c r="Y22" s="149" t="s">
        <v>47</v>
      </c>
      <c r="Z22" s="149" t="s">
        <v>69</v>
      </c>
      <c r="AA22" s="149" t="s">
        <v>90</v>
      </c>
      <c r="AB22" s="178" t="s">
        <v>424</v>
      </c>
      <c r="AD22" s="178"/>
      <c r="AP22" s="180" t="s">
        <v>251</v>
      </c>
      <c r="AR22" s="179" t="s">
        <v>83</v>
      </c>
      <c r="AV22" s="169" t="s">
        <v>255</v>
      </c>
    </row>
    <row r="23" spans="1:48" x14ac:dyDescent="0.15">
      <c r="A23" s="149" t="s">
        <v>59</v>
      </c>
      <c r="B23" s="178" t="s">
        <v>422</v>
      </c>
      <c r="C23" s="133">
        <v>2018</v>
      </c>
      <c r="D23" s="134" t="s">
        <v>423</v>
      </c>
      <c r="E23" s="149" t="s">
        <v>287</v>
      </c>
      <c r="F23" s="149" t="s">
        <v>275</v>
      </c>
      <c r="G23" s="149" t="s">
        <v>36</v>
      </c>
      <c r="H23" s="149" t="s">
        <v>162</v>
      </c>
      <c r="I23" s="149" t="s">
        <v>155</v>
      </c>
      <c r="J23" s="149" t="s">
        <v>38</v>
      </c>
      <c r="K23" s="149" t="s">
        <v>156</v>
      </c>
      <c r="L23" s="149">
        <v>1</v>
      </c>
      <c r="N23" s="149">
        <v>2</v>
      </c>
      <c r="O23" s="149">
        <v>0.65</v>
      </c>
      <c r="P23" s="149">
        <v>0.7</v>
      </c>
      <c r="Q23" s="186">
        <f t="shared" si="2"/>
        <v>0.67500000000000004</v>
      </c>
      <c r="R23" s="149">
        <v>16.600000000000001</v>
      </c>
      <c r="S23" s="149">
        <v>150</v>
      </c>
      <c r="T23" s="158">
        <f t="shared" si="0"/>
        <v>22</v>
      </c>
      <c r="U23" s="149">
        <v>410</v>
      </c>
      <c r="V23" s="158">
        <f t="shared" si="1"/>
        <v>16</v>
      </c>
      <c r="W23" s="149">
        <v>5</v>
      </c>
      <c r="X23" s="149" t="s">
        <v>46</v>
      </c>
      <c r="Y23" s="149" t="s">
        <v>90</v>
      </c>
      <c r="Z23" s="149" t="s">
        <v>69</v>
      </c>
      <c r="AA23" s="149" t="s">
        <v>86</v>
      </c>
      <c r="AB23" s="178" t="s">
        <v>424</v>
      </c>
      <c r="AP23" s="180" t="s">
        <v>427</v>
      </c>
      <c r="AR23" s="179" t="s">
        <v>61</v>
      </c>
      <c r="AV23" s="169" t="s">
        <v>428</v>
      </c>
    </row>
    <row r="24" spans="1:48" x14ac:dyDescent="0.15">
      <c r="A24" s="149" t="s">
        <v>59</v>
      </c>
      <c r="B24" s="178" t="s">
        <v>422</v>
      </c>
      <c r="C24" s="133">
        <v>2018</v>
      </c>
      <c r="D24" s="134" t="s">
        <v>423</v>
      </c>
      <c r="E24" s="149" t="s">
        <v>287</v>
      </c>
      <c r="F24" s="149" t="s">
        <v>275</v>
      </c>
      <c r="G24" s="149" t="s">
        <v>36</v>
      </c>
      <c r="H24" s="149" t="s">
        <v>162</v>
      </c>
      <c r="I24" s="149" t="s">
        <v>155</v>
      </c>
      <c r="J24" s="149" t="s">
        <v>38</v>
      </c>
      <c r="K24" s="149" t="s">
        <v>156</v>
      </c>
      <c r="L24" s="149">
        <v>2</v>
      </c>
      <c r="N24" s="149">
        <v>2</v>
      </c>
      <c r="O24" s="149">
        <v>0.5</v>
      </c>
      <c r="P24" s="149">
        <v>0.5</v>
      </c>
      <c r="Q24" s="186">
        <f t="shared" si="2"/>
        <v>0.5</v>
      </c>
      <c r="R24" s="149">
        <v>16.8</v>
      </c>
      <c r="S24" s="149">
        <v>153</v>
      </c>
      <c r="T24" s="158">
        <f t="shared" si="0"/>
        <v>18</v>
      </c>
      <c r="U24" s="149">
        <v>410</v>
      </c>
      <c r="V24" s="158">
        <f t="shared" si="1"/>
        <v>16</v>
      </c>
      <c r="W24" s="149">
        <v>5</v>
      </c>
      <c r="X24" s="149" t="s">
        <v>46</v>
      </c>
      <c r="Y24" s="149" t="s">
        <v>90</v>
      </c>
      <c r="Z24" s="149" t="s">
        <v>69</v>
      </c>
      <c r="AA24" s="149" t="s">
        <v>86</v>
      </c>
      <c r="AB24" s="178" t="s">
        <v>424</v>
      </c>
      <c r="AP24" s="180" t="s">
        <v>429</v>
      </c>
      <c r="AR24" s="179" t="s">
        <v>91</v>
      </c>
      <c r="AV24" s="169" t="s">
        <v>430</v>
      </c>
    </row>
    <row r="25" spans="1:48" x14ac:dyDescent="0.15">
      <c r="A25" s="149" t="s">
        <v>59</v>
      </c>
      <c r="B25" s="178" t="s">
        <v>422</v>
      </c>
      <c r="C25" s="133">
        <v>2018</v>
      </c>
      <c r="D25" s="134" t="s">
        <v>423</v>
      </c>
      <c r="E25" s="149" t="s">
        <v>287</v>
      </c>
      <c r="F25" s="149" t="s">
        <v>275</v>
      </c>
      <c r="G25" s="149" t="s">
        <v>36</v>
      </c>
      <c r="H25" s="149" t="s">
        <v>162</v>
      </c>
      <c r="I25" s="149" t="s">
        <v>155</v>
      </c>
      <c r="J25" s="149" t="s">
        <v>38</v>
      </c>
      <c r="K25" s="149" t="s">
        <v>156</v>
      </c>
      <c r="L25" s="149">
        <v>3</v>
      </c>
      <c r="N25" s="149">
        <v>2</v>
      </c>
      <c r="O25" s="149">
        <v>0.5</v>
      </c>
      <c r="P25" s="149">
        <v>0.5</v>
      </c>
      <c r="Q25" s="186">
        <f t="shared" si="2"/>
        <v>0.5</v>
      </c>
      <c r="R25" s="149">
        <v>16.3</v>
      </c>
      <c r="S25" s="149">
        <v>150</v>
      </c>
      <c r="T25" s="158">
        <f t="shared" si="0"/>
        <v>22</v>
      </c>
      <c r="U25" s="149">
        <v>410</v>
      </c>
      <c r="V25" s="158">
        <f t="shared" si="1"/>
        <v>16</v>
      </c>
      <c r="W25" s="149">
        <v>5</v>
      </c>
      <c r="X25" s="149" t="s">
        <v>46</v>
      </c>
      <c r="Y25" s="149" t="s">
        <v>90</v>
      </c>
      <c r="Z25" s="149" t="s">
        <v>69</v>
      </c>
      <c r="AA25" s="149" t="s">
        <v>86</v>
      </c>
      <c r="AB25" s="178" t="s">
        <v>424</v>
      </c>
      <c r="AD25" s="178"/>
      <c r="AP25" s="180" t="s">
        <v>116</v>
      </c>
      <c r="AR25" s="42" t="s">
        <v>92</v>
      </c>
      <c r="AV25" s="169" t="s">
        <v>431</v>
      </c>
    </row>
    <row r="26" spans="1:48" x14ac:dyDescent="0.15">
      <c r="A26" s="149" t="s">
        <v>59</v>
      </c>
      <c r="B26" s="178" t="s">
        <v>422</v>
      </c>
      <c r="C26" s="133">
        <v>2018</v>
      </c>
      <c r="D26" s="134" t="s">
        <v>423</v>
      </c>
      <c r="E26" s="149" t="s">
        <v>287</v>
      </c>
      <c r="F26" s="149" t="s">
        <v>275</v>
      </c>
      <c r="G26" s="149" t="s">
        <v>36</v>
      </c>
      <c r="H26" s="149" t="s">
        <v>157</v>
      </c>
      <c r="I26" s="149" t="s">
        <v>155</v>
      </c>
      <c r="J26" s="149" t="s">
        <v>38</v>
      </c>
      <c r="K26" s="149" t="s">
        <v>156</v>
      </c>
      <c r="L26" s="149">
        <v>1</v>
      </c>
      <c r="N26" s="149">
        <v>4</v>
      </c>
      <c r="O26" s="149">
        <v>0.95</v>
      </c>
      <c r="P26" s="149">
        <v>0.8</v>
      </c>
      <c r="Q26" s="186">
        <f t="shared" si="2"/>
        <v>0.875</v>
      </c>
      <c r="R26" s="149">
        <v>15.4</v>
      </c>
      <c r="S26" s="149">
        <v>98</v>
      </c>
      <c r="T26" s="158">
        <f t="shared" si="0"/>
        <v>36</v>
      </c>
      <c r="U26" s="149">
        <v>410</v>
      </c>
      <c r="V26" s="158">
        <f t="shared" si="1"/>
        <v>16</v>
      </c>
      <c r="W26" s="149">
        <v>3</v>
      </c>
      <c r="X26" s="149" t="s">
        <v>46</v>
      </c>
      <c r="Y26" s="149" t="s">
        <v>90</v>
      </c>
      <c r="Z26" s="149" t="s">
        <v>69</v>
      </c>
      <c r="AA26" s="149" t="s">
        <v>86</v>
      </c>
      <c r="AB26" s="178" t="s">
        <v>424</v>
      </c>
      <c r="AD26" s="178"/>
      <c r="AP26" s="180" t="s">
        <v>117</v>
      </c>
      <c r="AR26" s="169" t="s">
        <v>256</v>
      </c>
      <c r="AV26" s="169"/>
    </row>
    <row r="27" spans="1:48" x14ac:dyDescent="0.15">
      <c r="A27" s="149" t="s">
        <v>59</v>
      </c>
      <c r="B27" s="178" t="s">
        <v>422</v>
      </c>
      <c r="C27" s="133">
        <v>2018</v>
      </c>
      <c r="D27" s="134" t="s">
        <v>423</v>
      </c>
      <c r="E27" s="149" t="s">
        <v>287</v>
      </c>
      <c r="F27" s="149" t="s">
        <v>275</v>
      </c>
      <c r="G27" s="149" t="s">
        <v>36</v>
      </c>
      <c r="H27" s="149" t="s">
        <v>157</v>
      </c>
      <c r="I27" s="149" t="s">
        <v>155</v>
      </c>
      <c r="J27" s="149" t="s">
        <v>38</v>
      </c>
      <c r="K27" s="149" t="s">
        <v>156</v>
      </c>
      <c r="L27" s="149">
        <v>2</v>
      </c>
      <c r="N27" s="149">
        <v>4</v>
      </c>
      <c r="O27" s="149">
        <v>0.8</v>
      </c>
      <c r="P27" s="149">
        <v>0.7</v>
      </c>
      <c r="Q27" s="186">
        <f t="shared" si="2"/>
        <v>0.75</v>
      </c>
      <c r="R27" s="149">
        <v>13.8</v>
      </c>
      <c r="S27" s="149">
        <v>98</v>
      </c>
      <c r="T27" s="158">
        <f t="shared" si="0"/>
        <v>36</v>
      </c>
      <c r="U27" s="149">
        <v>410</v>
      </c>
      <c r="V27" s="158">
        <f t="shared" si="1"/>
        <v>16</v>
      </c>
      <c r="W27" s="149">
        <v>3</v>
      </c>
      <c r="X27" s="149" t="s">
        <v>46</v>
      </c>
      <c r="Y27" s="149" t="s">
        <v>90</v>
      </c>
      <c r="Z27" s="149" t="s">
        <v>69</v>
      </c>
      <c r="AA27" s="149" t="s">
        <v>86</v>
      </c>
      <c r="AB27" s="178" t="s">
        <v>424</v>
      </c>
      <c r="AD27" s="178"/>
      <c r="AP27" s="180" t="s">
        <v>118</v>
      </c>
      <c r="AR27" s="170" t="s">
        <v>259</v>
      </c>
      <c r="AV27" s="169"/>
    </row>
    <row r="28" spans="1:48" x14ac:dyDescent="0.15">
      <c r="A28" s="149" t="s">
        <v>59</v>
      </c>
      <c r="B28" s="178" t="s">
        <v>422</v>
      </c>
      <c r="C28" s="133">
        <v>2018</v>
      </c>
      <c r="D28" s="134" t="s">
        <v>423</v>
      </c>
      <c r="E28" s="149" t="s">
        <v>287</v>
      </c>
      <c r="F28" s="149" t="s">
        <v>275</v>
      </c>
      <c r="G28" s="149" t="s">
        <v>36</v>
      </c>
      <c r="H28" s="149" t="s">
        <v>157</v>
      </c>
      <c r="I28" s="149" t="s">
        <v>155</v>
      </c>
      <c r="J28" s="149" t="s">
        <v>38</v>
      </c>
      <c r="K28" s="149" t="s">
        <v>156</v>
      </c>
      <c r="L28" s="149">
        <v>3</v>
      </c>
      <c r="N28" s="149">
        <v>4</v>
      </c>
      <c r="O28" s="149">
        <v>0.75</v>
      </c>
      <c r="P28" s="149">
        <v>0.85</v>
      </c>
      <c r="Q28" s="186">
        <f t="shared" si="2"/>
        <v>0.8</v>
      </c>
      <c r="R28" s="149">
        <v>15.6</v>
      </c>
      <c r="S28" s="149">
        <v>100</v>
      </c>
      <c r="T28" s="158">
        <f t="shared" si="0"/>
        <v>33</v>
      </c>
      <c r="U28" s="149">
        <v>410</v>
      </c>
      <c r="V28" s="158">
        <f t="shared" si="1"/>
        <v>16</v>
      </c>
      <c r="W28" s="149">
        <v>3</v>
      </c>
      <c r="X28" s="149" t="s">
        <v>46</v>
      </c>
      <c r="Y28" s="149" t="s">
        <v>90</v>
      </c>
      <c r="Z28" s="149" t="s">
        <v>69</v>
      </c>
      <c r="AA28" s="149" t="s">
        <v>86</v>
      </c>
      <c r="AB28" s="178" t="s">
        <v>424</v>
      </c>
      <c r="AD28" s="178"/>
      <c r="AV28" s="169"/>
    </row>
    <row r="29" spans="1:48" x14ac:dyDescent="0.15">
      <c r="A29" s="149" t="s">
        <v>59</v>
      </c>
      <c r="B29" s="178" t="s">
        <v>422</v>
      </c>
      <c r="C29" s="133">
        <v>2018</v>
      </c>
      <c r="D29" s="134" t="s">
        <v>423</v>
      </c>
      <c r="E29" s="149" t="s">
        <v>287</v>
      </c>
      <c r="F29" s="149" t="s">
        <v>275</v>
      </c>
      <c r="G29" s="149" t="s">
        <v>36</v>
      </c>
      <c r="H29" s="149" t="s">
        <v>211</v>
      </c>
      <c r="I29" s="149" t="s">
        <v>155</v>
      </c>
      <c r="J29" s="149" t="s">
        <v>38</v>
      </c>
      <c r="K29" s="149" t="s">
        <v>156</v>
      </c>
      <c r="L29" s="149">
        <v>1</v>
      </c>
      <c r="N29" s="149">
        <v>5</v>
      </c>
      <c r="O29" s="149">
        <v>0.55000000000000004</v>
      </c>
      <c r="P29" s="149">
        <v>0.7</v>
      </c>
      <c r="Q29" s="186">
        <f t="shared" si="2"/>
        <v>0.625</v>
      </c>
      <c r="R29" s="149">
        <v>18.600000000000001</v>
      </c>
      <c r="S29" s="149">
        <v>87</v>
      </c>
      <c r="T29" s="158">
        <f t="shared" si="0"/>
        <v>36</v>
      </c>
      <c r="U29" s="149">
        <v>410</v>
      </c>
      <c r="V29" s="158">
        <f t="shared" si="1"/>
        <v>16</v>
      </c>
      <c r="W29" s="149">
        <v>1</v>
      </c>
      <c r="X29" s="149" t="s">
        <v>46</v>
      </c>
      <c r="Y29" s="149" t="s">
        <v>90</v>
      </c>
      <c r="Z29" s="149" t="s">
        <v>69</v>
      </c>
      <c r="AA29" s="149" t="s">
        <v>86</v>
      </c>
      <c r="AB29" s="178" t="s">
        <v>424</v>
      </c>
      <c r="AV29" s="169"/>
    </row>
    <row r="30" spans="1:48" x14ac:dyDescent="0.15">
      <c r="A30" s="149" t="s">
        <v>59</v>
      </c>
      <c r="B30" s="178" t="s">
        <v>422</v>
      </c>
      <c r="C30" s="133">
        <v>2018</v>
      </c>
      <c r="D30" s="134" t="s">
        <v>423</v>
      </c>
      <c r="E30" s="149" t="s">
        <v>287</v>
      </c>
      <c r="F30" s="149" t="s">
        <v>275</v>
      </c>
      <c r="G30" s="149" t="s">
        <v>36</v>
      </c>
      <c r="H30" s="149" t="s">
        <v>211</v>
      </c>
      <c r="I30" s="149" t="s">
        <v>155</v>
      </c>
      <c r="J30" s="149" t="s">
        <v>38</v>
      </c>
      <c r="K30" s="149" t="s">
        <v>156</v>
      </c>
      <c r="L30" s="149">
        <v>2</v>
      </c>
      <c r="N30" s="149">
        <v>5</v>
      </c>
      <c r="O30" s="149">
        <v>0.7</v>
      </c>
      <c r="P30" s="149">
        <v>0.55000000000000004</v>
      </c>
      <c r="Q30" s="186">
        <f t="shared" si="2"/>
        <v>0.625</v>
      </c>
      <c r="R30" s="149">
        <v>17.600000000000001</v>
      </c>
      <c r="S30" s="149">
        <v>95</v>
      </c>
      <c r="T30" s="158">
        <f t="shared" si="0"/>
        <v>36</v>
      </c>
      <c r="U30" s="149">
        <v>410</v>
      </c>
      <c r="V30" s="158">
        <f t="shared" si="1"/>
        <v>16</v>
      </c>
      <c r="W30" s="149">
        <v>1</v>
      </c>
      <c r="X30" s="149" t="s">
        <v>46</v>
      </c>
      <c r="Y30" s="149" t="s">
        <v>90</v>
      </c>
      <c r="Z30" s="149" t="s">
        <v>69</v>
      </c>
      <c r="AA30" s="149" t="s">
        <v>86</v>
      </c>
      <c r="AB30" s="178" t="s">
        <v>424</v>
      </c>
      <c r="AV30" s="169"/>
    </row>
    <row r="31" spans="1:48" x14ac:dyDescent="0.15">
      <c r="A31" s="149" t="s">
        <v>59</v>
      </c>
      <c r="B31" s="178" t="s">
        <v>422</v>
      </c>
      <c r="C31" s="133">
        <v>2018</v>
      </c>
      <c r="D31" s="134" t="s">
        <v>423</v>
      </c>
      <c r="E31" s="149" t="s">
        <v>287</v>
      </c>
      <c r="F31" s="149" t="s">
        <v>275</v>
      </c>
      <c r="G31" s="149" t="s">
        <v>36</v>
      </c>
      <c r="H31" s="149" t="s">
        <v>211</v>
      </c>
      <c r="I31" s="149" t="s">
        <v>155</v>
      </c>
      <c r="J31" s="149" t="s">
        <v>38</v>
      </c>
      <c r="K31" s="149" t="s">
        <v>156</v>
      </c>
      <c r="L31" s="149">
        <v>3</v>
      </c>
      <c r="N31" s="149">
        <v>5</v>
      </c>
      <c r="O31" s="149">
        <v>0.55000000000000004</v>
      </c>
      <c r="P31" s="149">
        <v>0.6</v>
      </c>
      <c r="Q31" s="186">
        <f t="shared" si="2"/>
        <v>0.57499999999999996</v>
      </c>
      <c r="R31" s="149">
        <v>17.899999999999999</v>
      </c>
      <c r="S31" s="149">
        <v>89</v>
      </c>
      <c r="T31" s="158">
        <f t="shared" si="0"/>
        <v>36</v>
      </c>
      <c r="U31" s="149">
        <v>410</v>
      </c>
      <c r="V31" s="158">
        <f t="shared" si="1"/>
        <v>16</v>
      </c>
      <c r="W31" s="149">
        <v>1</v>
      </c>
      <c r="X31" s="149" t="s">
        <v>46</v>
      </c>
      <c r="Y31" s="149" t="s">
        <v>90</v>
      </c>
      <c r="Z31" s="149" t="s">
        <v>69</v>
      </c>
      <c r="AA31" s="149" t="s">
        <v>86</v>
      </c>
      <c r="AB31" s="178" t="s">
        <v>424</v>
      </c>
      <c r="AV31" s="169"/>
    </row>
    <row r="32" spans="1:48" x14ac:dyDescent="0.15">
      <c r="A32" s="149" t="s">
        <v>59</v>
      </c>
      <c r="B32" s="178" t="s">
        <v>422</v>
      </c>
      <c r="C32" s="133">
        <v>2018</v>
      </c>
      <c r="D32" s="134" t="s">
        <v>423</v>
      </c>
      <c r="E32" s="149" t="s">
        <v>286</v>
      </c>
      <c r="F32" s="149" t="s">
        <v>278</v>
      </c>
      <c r="G32" s="149" t="s">
        <v>36</v>
      </c>
      <c r="H32" s="149" t="s">
        <v>162</v>
      </c>
      <c r="I32" s="149" t="s">
        <v>155</v>
      </c>
      <c r="J32" s="149" t="s">
        <v>38</v>
      </c>
      <c r="K32" s="149" t="s">
        <v>156</v>
      </c>
      <c r="L32" s="149">
        <v>1</v>
      </c>
      <c r="N32" s="149">
        <v>1</v>
      </c>
      <c r="O32" s="149">
        <v>0.55000000000000004</v>
      </c>
      <c r="P32" s="149">
        <v>0.55000000000000004</v>
      </c>
      <c r="Q32" s="186">
        <f t="shared" si="2"/>
        <v>0.55000000000000004</v>
      </c>
      <c r="R32" s="149">
        <v>15.7</v>
      </c>
      <c r="S32" s="149">
        <v>129</v>
      </c>
      <c r="T32" s="158">
        <f t="shared" si="0"/>
        <v>25</v>
      </c>
      <c r="U32" s="149">
        <v>138</v>
      </c>
      <c r="V32" s="158">
        <f t="shared" si="1"/>
        <v>22</v>
      </c>
      <c r="W32" s="149">
        <v>7</v>
      </c>
      <c r="X32" s="149" t="s">
        <v>46</v>
      </c>
      <c r="Y32" s="149" t="s">
        <v>69</v>
      </c>
      <c r="Z32" s="149" t="s">
        <v>97</v>
      </c>
      <c r="AA32" s="149" t="s">
        <v>255</v>
      </c>
      <c r="AB32" s="178" t="s">
        <v>424</v>
      </c>
      <c r="AV32" s="169"/>
    </row>
    <row r="33" spans="1:48" x14ac:dyDescent="0.15">
      <c r="A33" s="149" t="s">
        <v>59</v>
      </c>
      <c r="B33" s="178" t="s">
        <v>422</v>
      </c>
      <c r="C33" s="133">
        <v>2018</v>
      </c>
      <c r="D33" s="134" t="s">
        <v>423</v>
      </c>
      <c r="E33" s="149" t="s">
        <v>286</v>
      </c>
      <c r="F33" s="149" t="s">
        <v>278</v>
      </c>
      <c r="G33" s="149" t="s">
        <v>36</v>
      </c>
      <c r="H33" s="149" t="s">
        <v>162</v>
      </c>
      <c r="I33" s="149" t="s">
        <v>155</v>
      </c>
      <c r="J33" s="149" t="s">
        <v>38</v>
      </c>
      <c r="K33" s="149" t="s">
        <v>156</v>
      </c>
      <c r="L33" s="149">
        <v>2</v>
      </c>
      <c r="N33" s="149">
        <v>1</v>
      </c>
      <c r="O33" s="149">
        <v>0.6</v>
      </c>
      <c r="P33" s="149">
        <v>0.55000000000000004</v>
      </c>
      <c r="Q33" s="186">
        <f t="shared" si="2"/>
        <v>0.57499999999999996</v>
      </c>
      <c r="R33" s="149">
        <v>16</v>
      </c>
      <c r="S33" s="149">
        <v>136</v>
      </c>
      <c r="T33" s="158">
        <f t="shared" si="0"/>
        <v>25</v>
      </c>
      <c r="U33" s="149">
        <v>138</v>
      </c>
      <c r="V33" s="158">
        <f t="shared" si="1"/>
        <v>22</v>
      </c>
      <c r="W33" s="149">
        <v>7</v>
      </c>
      <c r="X33" s="149" t="s">
        <v>46</v>
      </c>
      <c r="Y33" s="149" t="s">
        <v>69</v>
      </c>
      <c r="Z33" s="149" t="s">
        <v>97</v>
      </c>
      <c r="AA33" s="149" t="s">
        <v>255</v>
      </c>
      <c r="AB33" s="178" t="s">
        <v>424</v>
      </c>
      <c r="AV33" s="169"/>
    </row>
    <row r="34" spans="1:48" x14ac:dyDescent="0.15">
      <c r="A34" s="149" t="s">
        <v>59</v>
      </c>
      <c r="B34" s="178" t="s">
        <v>422</v>
      </c>
      <c r="C34" s="133">
        <v>2018</v>
      </c>
      <c r="D34" s="134" t="s">
        <v>423</v>
      </c>
      <c r="E34" s="149" t="s">
        <v>286</v>
      </c>
      <c r="F34" s="149" t="s">
        <v>278</v>
      </c>
      <c r="G34" s="149" t="s">
        <v>36</v>
      </c>
      <c r="H34" s="149" t="s">
        <v>162</v>
      </c>
      <c r="I34" s="149" t="s">
        <v>155</v>
      </c>
      <c r="J34" s="149" t="s">
        <v>38</v>
      </c>
      <c r="K34" s="149" t="s">
        <v>156</v>
      </c>
      <c r="L34" s="149">
        <v>3</v>
      </c>
      <c r="N34" s="149">
        <v>1</v>
      </c>
      <c r="O34" s="149">
        <v>0.6</v>
      </c>
      <c r="P34" s="149">
        <v>0.6</v>
      </c>
      <c r="Q34" s="186">
        <f t="shared" si="2"/>
        <v>0.6</v>
      </c>
      <c r="R34" s="149">
        <v>15.9</v>
      </c>
      <c r="S34" s="149">
        <v>130</v>
      </c>
      <c r="T34" s="158">
        <f t="shared" si="0"/>
        <v>25</v>
      </c>
      <c r="U34" s="149">
        <v>138</v>
      </c>
      <c r="V34" s="158">
        <f t="shared" si="1"/>
        <v>22</v>
      </c>
      <c r="W34" s="149">
        <v>7</v>
      </c>
      <c r="X34" s="149" t="s">
        <v>46</v>
      </c>
      <c r="Y34" s="149" t="s">
        <v>69</v>
      </c>
      <c r="Z34" s="149" t="s">
        <v>97</v>
      </c>
      <c r="AA34" s="149" t="s">
        <v>255</v>
      </c>
      <c r="AB34" s="178" t="s">
        <v>424</v>
      </c>
      <c r="AV34" s="169"/>
    </row>
    <row r="35" spans="1:48" x14ac:dyDescent="0.15">
      <c r="A35" s="149" t="s">
        <v>59</v>
      </c>
      <c r="B35" s="178" t="s">
        <v>422</v>
      </c>
      <c r="C35" s="133">
        <v>2018</v>
      </c>
      <c r="D35" s="134" t="s">
        <v>423</v>
      </c>
      <c r="E35" s="149" t="s">
        <v>286</v>
      </c>
      <c r="F35" s="149" t="s">
        <v>278</v>
      </c>
      <c r="G35" s="149" t="s">
        <v>36</v>
      </c>
      <c r="H35" s="149" t="s">
        <v>157</v>
      </c>
      <c r="I35" s="149" t="s">
        <v>155</v>
      </c>
      <c r="J35" s="149" t="s">
        <v>38</v>
      </c>
      <c r="K35" s="149" t="s">
        <v>156</v>
      </c>
      <c r="L35" s="149">
        <v>1</v>
      </c>
      <c r="N35" s="149">
        <v>1</v>
      </c>
      <c r="O35" s="149">
        <v>1</v>
      </c>
      <c r="P35" s="149">
        <v>1</v>
      </c>
      <c r="Q35" s="186">
        <f t="shared" si="2"/>
        <v>1</v>
      </c>
      <c r="R35" s="149">
        <v>15.2</v>
      </c>
      <c r="S35" s="149">
        <v>133</v>
      </c>
      <c r="T35" s="158">
        <f t="shared" si="0"/>
        <v>25</v>
      </c>
      <c r="U35" s="149">
        <v>138</v>
      </c>
      <c r="V35" s="158">
        <f t="shared" si="1"/>
        <v>22</v>
      </c>
      <c r="W35" s="149">
        <v>3</v>
      </c>
      <c r="X35" s="149" t="s">
        <v>46</v>
      </c>
      <c r="Y35" s="149" t="s">
        <v>69</v>
      </c>
      <c r="Z35" s="149" t="s">
        <v>97</v>
      </c>
      <c r="AA35" s="149" t="s">
        <v>255</v>
      </c>
      <c r="AB35" s="178" t="s">
        <v>424</v>
      </c>
      <c r="AV35" s="169"/>
    </row>
    <row r="36" spans="1:48" x14ac:dyDescent="0.15">
      <c r="A36" s="149" t="s">
        <v>59</v>
      </c>
      <c r="B36" s="178" t="s">
        <v>422</v>
      </c>
      <c r="C36" s="133">
        <v>2018</v>
      </c>
      <c r="D36" s="134" t="s">
        <v>423</v>
      </c>
      <c r="E36" s="149" t="s">
        <v>286</v>
      </c>
      <c r="F36" s="149" t="s">
        <v>278</v>
      </c>
      <c r="G36" s="149" t="s">
        <v>36</v>
      </c>
      <c r="H36" s="149" t="s">
        <v>157</v>
      </c>
      <c r="I36" s="149" t="s">
        <v>155</v>
      </c>
      <c r="J36" s="149" t="s">
        <v>38</v>
      </c>
      <c r="K36" s="149" t="s">
        <v>156</v>
      </c>
      <c r="L36" s="149">
        <v>2</v>
      </c>
      <c r="N36" s="149">
        <v>1</v>
      </c>
      <c r="O36" s="149">
        <v>1</v>
      </c>
      <c r="P36" s="149">
        <v>1.1000000000000001</v>
      </c>
      <c r="Q36" s="186">
        <f t="shared" si="2"/>
        <v>1.05</v>
      </c>
      <c r="R36" s="149">
        <v>14.3</v>
      </c>
      <c r="S36" s="149">
        <v>130</v>
      </c>
      <c r="T36" s="158">
        <f t="shared" si="0"/>
        <v>25</v>
      </c>
      <c r="U36" s="149">
        <v>138</v>
      </c>
      <c r="V36" s="158">
        <f t="shared" si="1"/>
        <v>22</v>
      </c>
      <c r="W36" s="149">
        <v>3</v>
      </c>
      <c r="X36" s="149" t="s">
        <v>46</v>
      </c>
      <c r="Y36" s="149" t="s">
        <v>69</v>
      </c>
      <c r="Z36" s="149" t="s">
        <v>97</v>
      </c>
      <c r="AA36" s="149" t="s">
        <v>255</v>
      </c>
      <c r="AB36" s="178" t="s">
        <v>424</v>
      </c>
      <c r="AV36" s="169"/>
    </row>
    <row r="37" spans="1:48" x14ac:dyDescent="0.15">
      <c r="A37" s="149" t="s">
        <v>59</v>
      </c>
      <c r="B37" s="178" t="s">
        <v>422</v>
      </c>
      <c r="C37" s="133">
        <v>2018</v>
      </c>
      <c r="D37" s="134" t="s">
        <v>423</v>
      </c>
      <c r="E37" s="149" t="s">
        <v>286</v>
      </c>
      <c r="F37" s="149" t="s">
        <v>278</v>
      </c>
      <c r="G37" s="149" t="s">
        <v>36</v>
      </c>
      <c r="H37" s="149" t="s">
        <v>157</v>
      </c>
      <c r="I37" s="149" t="s">
        <v>155</v>
      </c>
      <c r="J37" s="149" t="s">
        <v>38</v>
      </c>
      <c r="K37" s="149" t="s">
        <v>156</v>
      </c>
      <c r="L37" s="149">
        <v>3</v>
      </c>
      <c r="N37" s="149">
        <v>1</v>
      </c>
      <c r="O37" s="149">
        <v>1</v>
      </c>
      <c r="P37" s="149">
        <v>1.2</v>
      </c>
      <c r="Q37" s="186">
        <f t="shared" si="2"/>
        <v>1.1000000000000001</v>
      </c>
      <c r="R37" s="149">
        <v>14.1</v>
      </c>
      <c r="S37" s="149">
        <v>129</v>
      </c>
      <c r="T37" s="158">
        <f t="shared" si="0"/>
        <v>25</v>
      </c>
      <c r="U37" s="149">
        <v>138</v>
      </c>
      <c r="V37" s="158">
        <f t="shared" si="1"/>
        <v>22</v>
      </c>
      <c r="W37" s="149">
        <v>3</v>
      </c>
      <c r="X37" s="149" t="s">
        <v>46</v>
      </c>
      <c r="Y37" s="149" t="s">
        <v>69</v>
      </c>
      <c r="Z37" s="149" t="s">
        <v>97</v>
      </c>
      <c r="AA37" s="149" t="s">
        <v>255</v>
      </c>
      <c r="AB37" s="178" t="s">
        <v>424</v>
      </c>
      <c r="AV37" s="169"/>
    </row>
    <row r="38" spans="1:48" x14ac:dyDescent="0.15">
      <c r="A38" s="149" t="s">
        <v>59</v>
      </c>
      <c r="B38" s="178" t="s">
        <v>422</v>
      </c>
      <c r="C38" s="133">
        <v>2018</v>
      </c>
      <c r="D38" s="134" t="s">
        <v>423</v>
      </c>
      <c r="E38" s="149" t="s">
        <v>285</v>
      </c>
      <c r="F38" s="149" t="s">
        <v>278</v>
      </c>
      <c r="G38" s="149" t="s">
        <v>36</v>
      </c>
      <c r="H38" s="149" t="s">
        <v>162</v>
      </c>
      <c r="I38" s="149" t="s">
        <v>155</v>
      </c>
      <c r="J38" s="149" t="s">
        <v>38</v>
      </c>
      <c r="K38" s="149" t="s">
        <v>156</v>
      </c>
      <c r="L38" s="149">
        <v>1</v>
      </c>
      <c r="N38" s="149">
        <v>1</v>
      </c>
      <c r="O38" s="149">
        <v>0.6</v>
      </c>
      <c r="P38" s="149">
        <v>0.6</v>
      </c>
      <c r="Q38" s="186">
        <f t="shared" si="2"/>
        <v>0.6</v>
      </c>
      <c r="R38" s="149">
        <v>17</v>
      </c>
      <c r="S38" s="149">
        <v>192</v>
      </c>
      <c r="T38" s="158">
        <f t="shared" si="0"/>
        <v>16</v>
      </c>
      <c r="U38" s="149">
        <v>138</v>
      </c>
      <c r="V38" s="158">
        <f t="shared" si="1"/>
        <v>22</v>
      </c>
      <c r="W38" s="149">
        <v>3</v>
      </c>
      <c r="X38" s="149" t="s">
        <v>46</v>
      </c>
      <c r="Y38" s="149" t="s">
        <v>69</v>
      </c>
      <c r="Z38" s="149" t="s">
        <v>47</v>
      </c>
      <c r="AA38" s="149" t="s">
        <v>90</v>
      </c>
      <c r="AB38" s="178" t="s">
        <v>424</v>
      </c>
      <c r="AV38" s="170"/>
    </row>
    <row r="39" spans="1:48" x14ac:dyDescent="0.15">
      <c r="A39" s="149" t="s">
        <v>59</v>
      </c>
      <c r="B39" s="178" t="s">
        <v>422</v>
      </c>
      <c r="C39" s="133">
        <v>2018</v>
      </c>
      <c r="D39" s="134" t="s">
        <v>423</v>
      </c>
      <c r="E39" s="149" t="s">
        <v>285</v>
      </c>
      <c r="F39" s="149" t="s">
        <v>278</v>
      </c>
      <c r="G39" s="149" t="s">
        <v>36</v>
      </c>
      <c r="H39" s="149" t="s">
        <v>162</v>
      </c>
      <c r="I39" s="149" t="s">
        <v>155</v>
      </c>
      <c r="J39" s="149" t="s">
        <v>38</v>
      </c>
      <c r="K39" s="149" t="s">
        <v>156</v>
      </c>
      <c r="L39" s="149">
        <v>2</v>
      </c>
      <c r="N39" s="149">
        <v>1</v>
      </c>
      <c r="O39" s="149">
        <v>0.7</v>
      </c>
      <c r="P39" s="149">
        <v>0.7</v>
      </c>
      <c r="Q39" s="186">
        <f t="shared" si="2"/>
        <v>0.7</v>
      </c>
      <c r="R39" s="149">
        <v>16.2</v>
      </c>
      <c r="S39" s="149">
        <v>210</v>
      </c>
      <c r="T39" s="158">
        <f t="shared" si="0"/>
        <v>16</v>
      </c>
      <c r="U39" s="149">
        <v>138</v>
      </c>
      <c r="V39" s="158">
        <f t="shared" si="1"/>
        <v>22</v>
      </c>
      <c r="W39" s="149">
        <v>3</v>
      </c>
      <c r="X39" s="149" t="s">
        <v>46</v>
      </c>
      <c r="Y39" s="149" t="s">
        <v>69</v>
      </c>
      <c r="Z39" s="149" t="s">
        <v>47</v>
      </c>
      <c r="AA39" s="149" t="s">
        <v>90</v>
      </c>
      <c r="AB39" s="178" t="s">
        <v>424</v>
      </c>
    </row>
    <row r="40" spans="1:48" x14ac:dyDescent="0.15">
      <c r="A40" s="149" t="s">
        <v>59</v>
      </c>
      <c r="B40" s="178" t="s">
        <v>422</v>
      </c>
      <c r="C40" s="133">
        <v>2018</v>
      </c>
      <c r="D40" s="134" t="s">
        <v>423</v>
      </c>
      <c r="E40" s="149" t="s">
        <v>285</v>
      </c>
      <c r="F40" s="149" t="s">
        <v>278</v>
      </c>
      <c r="G40" s="149" t="s">
        <v>36</v>
      </c>
      <c r="H40" s="149" t="s">
        <v>162</v>
      </c>
      <c r="I40" s="149" t="s">
        <v>155</v>
      </c>
      <c r="J40" s="149" t="s">
        <v>38</v>
      </c>
      <c r="K40" s="149" t="s">
        <v>156</v>
      </c>
      <c r="L40" s="149">
        <v>3</v>
      </c>
      <c r="N40" s="149">
        <v>1</v>
      </c>
      <c r="O40" s="149">
        <v>0.75</v>
      </c>
      <c r="P40" s="149">
        <v>0.75</v>
      </c>
      <c r="Q40" s="186">
        <f t="shared" si="2"/>
        <v>0.75</v>
      </c>
      <c r="R40" s="149">
        <v>16.8</v>
      </c>
      <c r="S40" s="149">
        <v>190</v>
      </c>
      <c r="T40" s="158">
        <f t="shared" si="0"/>
        <v>16</v>
      </c>
      <c r="U40" s="149">
        <v>138</v>
      </c>
      <c r="V40" s="158">
        <f t="shared" si="1"/>
        <v>22</v>
      </c>
      <c r="W40" s="149">
        <v>3</v>
      </c>
      <c r="X40" s="149" t="s">
        <v>46</v>
      </c>
      <c r="Y40" s="149" t="s">
        <v>69</v>
      </c>
      <c r="Z40" s="149" t="s">
        <v>47</v>
      </c>
      <c r="AA40" s="149" t="s">
        <v>90</v>
      </c>
      <c r="AB40" s="178" t="s">
        <v>424</v>
      </c>
    </row>
    <row r="41" spans="1:48" x14ac:dyDescent="0.15">
      <c r="A41" s="149" t="s">
        <v>59</v>
      </c>
      <c r="B41" s="178" t="s">
        <v>422</v>
      </c>
      <c r="C41" s="133">
        <v>2018</v>
      </c>
      <c r="D41" s="134" t="s">
        <v>423</v>
      </c>
      <c r="E41" s="149" t="s">
        <v>285</v>
      </c>
      <c r="F41" s="149" t="s">
        <v>278</v>
      </c>
      <c r="G41" s="149" t="s">
        <v>36</v>
      </c>
      <c r="H41" s="149" t="s">
        <v>157</v>
      </c>
      <c r="I41" s="149" t="s">
        <v>155</v>
      </c>
      <c r="J41" s="149" t="s">
        <v>38</v>
      </c>
      <c r="K41" s="149" t="s">
        <v>156</v>
      </c>
      <c r="L41" s="149">
        <v>1</v>
      </c>
      <c r="N41" s="149">
        <v>5</v>
      </c>
      <c r="O41" s="149">
        <v>0.2</v>
      </c>
      <c r="P41" s="149">
        <v>0.2</v>
      </c>
      <c r="Q41" s="186">
        <f t="shared" si="2"/>
        <v>0.2</v>
      </c>
      <c r="R41" s="149">
        <v>15.1</v>
      </c>
      <c r="S41" s="149">
        <v>95</v>
      </c>
      <c r="T41" s="158">
        <f t="shared" si="0"/>
        <v>36</v>
      </c>
      <c r="U41" s="149">
        <v>429</v>
      </c>
      <c r="V41" s="158">
        <f t="shared" si="1"/>
        <v>16</v>
      </c>
      <c r="W41" s="149">
        <v>6</v>
      </c>
      <c r="X41" s="149" t="s">
        <v>46</v>
      </c>
      <c r="Y41" s="149" t="s">
        <v>69</v>
      </c>
      <c r="Z41" s="149" t="s">
        <v>47</v>
      </c>
      <c r="AA41" s="149" t="s">
        <v>90</v>
      </c>
      <c r="AB41" s="178" t="s">
        <v>424</v>
      </c>
    </row>
    <row r="42" spans="1:48" x14ac:dyDescent="0.15">
      <c r="A42" s="149" t="s">
        <v>59</v>
      </c>
      <c r="B42" s="178" t="s">
        <v>422</v>
      </c>
      <c r="C42" s="133">
        <v>2018</v>
      </c>
      <c r="D42" s="134" t="s">
        <v>423</v>
      </c>
      <c r="E42" s="149" t="s">
        <v>285</v>
      </c>
      <c r="F42" s="149" t="s">
        <v>278</v>
      </c>
      <c r="G42" s="149" t="s">
        <v>36</v>
      </c>
      <c r="H42" s="149" t="s">
        <v>157</v>
      </c>
      <c r="I42" s="149" t="s">
        <v>155</v>
      </c>
      <c r="J42" s="149" t="s">
        <v>38</v>
      </c>
      <c r="K42" s="149" t="s">
        <v>156</v>
      </c>
      <c r="L42" s="149">
        <v>2</v>
      </c>
      <c r="N42" s="149">
        <v>5</v>
      </c>
      <c r="O42" s="149">
        <v>0.2</v>
      </c>
      <c r="P42" s="149">
        <v>0.2</v>
      </c>
      <c r="Q42" s="186">
        <f t="shared" si="2"/>
        <v>0.2</v>
      </c>
      <c r="R42" s="149">
        <v>15.3</v>
      </c>
      <c r="S42" s="149">
        <v>93</v>
      </c>
      <c r="T42" s="158">
        <f t="shared" si="0"/>
        <v>36</v>
      </c>
      <c r="U42" s="149">
        <v>429</v>
      </c>
      <c r="V42" s="158">
        <f t="shared" si="1"/>
        <v>16</v>
      </c>
      <c r="W42" s="149">
        <v>6</v>
      </c>
      <c r="X42" s="149" t="s">
        <v>46</v>
      </c>
      <c r="Y42" s="149" t="s">
        <v>69</v>
      </c>
      <c r="Z42" s="149" t="s">
        <v>47</v>
      </c>
      <c r="AA42" s="149" t="s">
        <v>90</v>
      </c>
      <c r="AB42" s="178" t="s">
        <v>424</v>
      </c>
    </row>
    <row r="43" spans="1:48" x14ac:dyDescent="0.15">
      <c r="A43" s="149" t="s">
        <v>59</v>
      </c>
      <c r="B43" s="178" t="s">
        <v>422</v>
      </c>
      <c r="C43" s="133">
        <v>2018</v>
      </c>
      <c r="D43" s="134" t="s">
        <v>423</v>
      </c>
      <c r="E43" s="149" t="s">
        <v>285</v>
      </c>
      <c r="F43" s="149" t="s">
        <v>278</v>
      </c>
      <c r="G43" s="149" t="s">
        <v>36</v>
      </c>
      <c r="H43" s="149" t="s">
        <v>157</v>
      </c>
      <c r="I43" s="149" t="s">
        <v>155</v>
      </c>
      <c r="J43" s="149" t="s">
        <v>38</v>
      </c>
      <c r="K43" s="149" t="s">
        <v>156</v>
      </c>
      <c r="L43" s="149">
        <v>3</v>
      </c>
      <c r="N43" s="149">
        <v>5</v>
      </c>
      <c r="O43" s="149">
        <v>0.2</v>
      </c>
      <c r="P43" s="149">
        <v>0.2</v>
      </c>
      <c r="Q43" s="186">
        <f t="shared" si="2"/>
        <v>0.2</v>
      </c>
      <c r="R43" s="149">
        <v>15</v>
      </c>
      <c r="S43" s="149">
        <v>90</v>
      </c>
      <c r="T43" s="158">
        <f t="shared" si="0"/>
        <v>36</v>
      </c>
      <c r="U43" s="149">
        <v>429</v>
      </c>
      <c r="V43" s="158">
        <f t="shared" si="1"/>
        <v>16</v>
      </c>
      <c r="W43" s="149">
        <v>6</v>
      </c>
      <c r="X43" s="149" t="s">
        <v>46</v>
      </c>
      <c r="Y43" s="149" t="s">
        <v>69</v>
      </c>
      <c r="Z43" s="149" t="s">
        <v>47</v>
      </c>
      <c r="AA43" s="149" t="s">
        <v>90</v>
      </c>
      <c r="AB43" s="178" t="s">
        <v>424</v>
      </c>
    </row>
    <row r="44" spans="1:48" x14ac:dyDescent="0.15">
      <c r="A44" s="149" t="s">
        <v>59</v>
      </c>
      <c r="B44" s="178" t="s">
        <v>422</v>
      </c>
      <c r="C44" s="133">
        <v>2018</v>
      </c>
      <c r="D44" s="134" t="s">
        <v>423</v>
      </c>
      <c r="E44" s="149" t="s">
        <v>285</v>
      </c>
      <c r="F44" s="149" t="s">
        <v>278</v>
      </c>
      <c r="G44" s="149" t="s">
        <v>36</v>
      </c>
      <c r="H44" s="149" t="s">
        <v>211</v>
      </c>
      <c r="I44" s="149" t="s">
        <v>155</v>
      </c>
      <c r="J44" s="149" t="s">
        <v>38</v>
      </c>
      <c r="K44" s="149" t="s">
        <v>156</v>
      </c>
      <c r="L44" s="149">
        <v>1</v>
      </c>
      <c r="N44" s="149">
        <v>5</v>
      </c>
      <c r="O44" s="149">
        <v>0.65</v>
      </c>
      <c r="P44" s="149">
        <v>0.7</v>
      </c>
      <c r="Q44" s="186">
        <f t="shared" si="2"/>
        <v>0.67500000000000004</v>
      </c>
      <c r="R44" s="149">
        <v>16.399999999999999</v>
      </c>
      <c r="S44" s="149">
        <v>90</v>
      </c>
      <c r="T44" s="158">
        <f t="shared" si="0"/>
        <v>36</v>
      </c>
      <c r="U44" s="149">
        <v>429</v>
      </c>
      <c r="V44" s="158">
        <f t="shared" si="1"/>
        <v>16</v>
      </c>
      <c r="W44" s="149">
        <v>1</v>
      </c>
      <c r="X44" s="149" t="s">
        <v>46</v>
      </c>
      <c r="Y44" s="149" t="s">
        <v>69</v>
      </c>
      <c r="Z44" s="149" t="s">
        <v>47</v>
      </c>
      <c r="AA44" s="149" t="s">
        <v>90</v>
      </c>
      <c r="AB44" s="178" t="s">
        <v>424</v>
      </c>
    </row>
    <row r="45" spans="1:48" x14ac:dyDescent="0.15">
      <c r="A45" s="149" t="s">
        <v>59</v>
      </c>
      <c r="B45" s="178" t="s">
        <v>422</v>
      </c>
      <c r="C45" s="133">
        <v>2018</v>
      </c>
      <c r="D45" s="134" t="s">
        <v>423</v>
      </c>
      <c r="E45" s="149" t="s">
        <v>285</v>
      </c>
      <c r="F45" s="149" t="s">
        <v>278</v>
      </c>
      <c r="G45" s="149" t="s">
        <v>36</v>
      </c>
      <c r="H45" s="149" t="s">
        <v>211</v>
      </c>
      <c r="I45" s="149" t="s">
        <v>155</v>
      </c>
      <c r="J45" s="149" t="s">
        <v>38</v>
      </c>
      <c r="K45" s="149" t="s">
        <v>156</v>
      </c>
      <c r="L45" s="149">
        <v>2</v>
      </c>
      <c r="N45" s="149">
        <v>5</v>
      </c>
      <c r="O45" s="149">
        <v>0.8</v>
      </c>
      <c r="P45" s="149">
        <v>0.7</v>
      </c>
      <c r="Q45" s="186">
        <f t="shared" si="2"/>
        <v>0.75</v>
      </c>
      <c r="R45" s="149">
        <v>13.7</v>
      </c>
      <c r="S45" s="149">
        <v>89</v>
      </c>
      <c r="T45" s="158">
        <f t="shared" si="0"/>
        <v>36</v>
      </c>
      <c r="U45" s="149">
        <v>429</v>
      </c>
      <c r="V45" s="158">
        <f t="shared" si="1"/>
        <v>16</v>
      </c>
      <c r="W45" s="149">
        <v>1</v>
      </c>
      <c r="X45" s="149" t="s">
        <v>46</v>
      </c>
      <c r="Y45" s="149" t="s">
        <v>69</v>
      </c>
      <c r="Z45" s="149" t="s">
        <v>47</v>
      </c>
      <c r="AA45" s="149" t="s">
        <v>90</v>
      </c>
      <c r="AB45" s="178" t="s">
        <v>424</v>
      </c>
    </row>
    <row r="46" spans="1:48" x14ac:dyDescent="0.15">
      <c r="A46" s="149" t="s">
        <v>59</v>
      </c>
      <c r="B46" s="178" t="s">
        <v>422</v>
      </c>
      <c r="C46" s="133">
        <v>2018</v>
      </c>
      <c r="D46" s="134" t="s">
        <v>423</v>
      </c>
      <c r="E46" s="149" t="s">
        <v>285</v>
      </c>
      <c r="F46" s="149" t="s">
        <v>278</v>
      </c>
      <c r="G46" s="149" t="s">
        <v>36</v>
      </c>
      <c r="H46" s="149" t="s">
        <v>211</v>
      </c>
      <c r="I46" s="149" t="s">
        <v>155</v>
      </c>
      <c r="J46" s="149" t="s">
        <v>38</v>
      </c>
      <c r="K46" s="149" t="s">
        <v>156</v>
      </c>
      <c r="L46" s="149">
        <v>3</v>
      </c>
      <c r="N46" s="149">
        <v>5</v>
      </c>
      <c r="O46" s="149">
        <v>0.8</v>
      </c>
      <c r="P46" s="149">
        <v>0.85</v>
      </c>
      <c r="Q46" s="186">
        <f t="shared" si="2"/>
        <v>0.82499999999999996</v>
      </c>
      <c r="R46" s="149">
        <v>15.5</v>
      </c>
      <c r="S46" s="149">
        <v>85</v>
      </c>
      <c r="T46" s="158">
        <f t="shared" si="0"/>
        <v>36</v>
      </c>
      <c r="U46" s="149">
        <v>429</v>
      </c>
      <c r="V46" s="158">
        <f t="shared" si="1"/>
        <v>16</v>
      </c>
      <c r="W46" s="149">
        <v>1</v>
      </c>
      <c r="X46" s="149" t="s">
        <v>46</v>
      </c>
      <c r="Y46" s="149" t="s">
        <v>69</v>
      </c>
      <c r="Z46" s="149" t="s">
        <v>47</v>
      </c>
      <c r="AA46" s="149" t="s">
        <v>90</v>
      </c>
      <c r="AB46" s="178" t="s">
        <v>424</v>
      </c>
    </row>
    <row r="47" spans="1:48" x14ac:dyDescent="0.15">
      <c r="A47" s="149" t="s">
        <v>59</v>
      </c>
      <c r="B47" s="178" t="s">
        <v>422</v>
      </c>
      <c r="C47" s="133">
        <v>2018</v>
      </c>
      <c r="D47" s="134" t="s">
        <v>423</v>
      </c>
      <c r="E47" s="149" t="s">
        <v>284</v>
      </c>
      <c r="F47" s="149" t="s">
        <v>277</v>
      </c>
      <c r="G47" s="149" t="s">
        <v>36</v>
      </c>
      <c r="H47" s="149" t="s">
        <v>162</v>
      </c>
      <c r="I47" s="149" t="s">
        <v>155</v>
      </c>
      <c r="J47" s="149" t="s">
        <v>38</v>
      </c>
      <c r="K47" s="149" t="s">
        <v>156</v>
      </c>
      <c r="L47" s="149">
        <v>1</v>
      </c>
      <c r="N47" s="149">
        <v>2</v>
      </c>
      <c r="O47" s="149">
        <v>0.2</v>
      </c>
      <c r="P47" s="149">
        <v>0.2</v>
      </c>
      <c r="Q47" s="186">
        <f t="shared" si="2"/>
        <v>0.2</v>
      </c>
      <c r="R47" s="149">
        <v>16.399999999999999</v>
      </c>
      <c r="S47" s="149">
        <v>162</v>
      </c>
      <c r="T47" s="158">
        <f t="shared" si="0"/>
        <v>18</v>
      </c>
      <c r="U47" s="149">
        <v>399</v>
      </c>
      <c r="V47" s="158">
        <f t="shared" si="1"/>
        <v>16</v>
      </c>
      <c r="W47" s="149">
        <v>10</v>
      </c>
      <c r="X47" s="149" t="s">
        <v>39</v>
      </c>
      <c r="Y47" s="149" t="s">
        <v>90</v>
      </c>
      <c r="Z47" s="149" t="s">
        <v>69</v>
      </c>
      <c r="AA47" s="149" t="s">
        <v>106</v>
      </c>
      <c r="AB47" s="178" t="s">
        <v>432</v>
      </c>
    </row>
    <row r="48" spans="1:48" x14ac:dyDescent="0.15">
      <c r="A48" s="149" t="s">
        <v>59</v>
      </c>
      <c r="B48" s="178" t="s">
        <v>410</v>
      </c>
      <c r="C48" s="133">
        <v>2018</v>
      </c>
      <c r="D48" s="134" t="s">
        <v>411</v>
      </c>
      <c r="E48" s="149" t="s">
        <v>284</v>
      </c>
      <c r="F48" s="149" t="s">
        <v>277</v>
      </c>
      <c r="G48" s="149" t="s">
        <v>36</v>
      </c>
      <c r="H48" s="149" t="s">
        <v>162</v>
      </c>
      <c r="I48" s="149" t="s">
        <v>155</v>
      </c>
      <c r="J48" s="149" t="s">
        <v>38</v>
      </c>
      <c r="K48" s="149" t="s">
        <v>156</v>
      </c>
      <c r="L48" s="149">
        <v>2</v>
      </c>
      <c r="N48" s="149">
        <v>2</v>
      </c>
      <c r="O48" s="149">
        <v>0.25</v>
      </c>
      <c r="P48" s="149">
        <v>0.25</v>
      </c>
      <c r="Q48" s="186">
        <f t="shared" si="2"/>
        <v>0.25</v>
      </c>
      <c r="R48" s="149">
        <v>14.3</v>
      </c>
      <c r="S48" s="149">
        <v>170</v>
      </c>
      <c r="T48" s="158">
        <f t="shared" si="0"/>
        <v>18</v>
      </c>
      <c r="U48" s="149">
        <v>399</v>
      </c>
      <c r="V48" s="158">
        <f t="shared" si="1"/>
        <v>16</v>
      </c>
      <c r="W48" s="149">
        <v>10</v>
      </c>
      <c r="X48" s="149" t="s">
        <v>39</v>
      </c>
      <c r="Y48" s="149" t="s">
        <v>90</v>
      </c>
      <c r="Z48" s="149" t="s">
        <v>69</v>
      </c>
      <c r="AA48" s="149" t="s">
        <v>106</v>
      </c>
      <c r="AB48" s="178" t="s">
        <v>432</v>
      </c>
    </row>
    <row r="49" spans="1:28" x14ac:dyDescent="0.15">
      <c r="A49" s="149" t="s">
        <v>59</v>
      </c>
      <c r="B49" s="178" t="s">
        <v>410</v>
      </c>
      <c r="C49" s="133">
        <v>2018</v>
      </c>
      <c r="D49" s="134" t="s">
        <v>411</v>
      </c>
      <c r="E49" s="149" t="s">
        <v>284</v>
      </c>
      <c r="F49" s="149" t="s">
        <v>277</v>
      </c>
      <c r="G49" s="149" t="s">
        <v>36</v>
      </c>
      <c r="H49" s="149" t="s">
        <v>162</v>
      </c>
      <c r="I49" s="149" t="s">
        <v>155</v>
      </c>
      <c r="J49" s="149" t="s">
        <v>38</v>
      </c>
      <c r="K49" s="149" t="s">
        <v>156</v>
      </c>
      <c r="L49" s="149">
        <v>3</v>
      </c>
      <c r="N49" s="149">
        <v>2</v>
      </c>
      <c r="O49" s="149">
        <v>0.2</v>
      </c>
      <c r="P49" s="149">
        <v>0.25</v>
      </c>
      <c r="Q49" s="186">
        <f t="shared" si="2"/>
        <v>0.22500000000000001</v>
      </c>
      <c r="R49" s="149">
        <v>16.3</v>
      </c>
      <c r="S49" s="149">
        <v>158</v>
      </c>
      <c r="T49" s="158">
        <f t="shared" si="0"/>
        <v>18</v>
      </c>
      <c r="U49" s="149">
        <v>399</v>
      </c>
      <c r="V49" s="158">
        <f t="shared" si="1"/>
        <v>16</v>
      </c>
      <c r="W49" s="149">
        <v>10</v>
      </c>
      <c r="X49" s="149" t="s">
        <v>39</v>
      </c>
      <c r="Y49" s="149" t="s">
        <v>90</v>
      </c>
      <c r="Z49" s="149" t="s">
        <v>69</v>
      </c>
      <c r="AA49" s="149" t="s">
        <v>106</v>
      </c>
      <c r="AB49" s="178" t="s">
        <v>432</v>
      </c>
    </row>
    <row r="50" spans="1:28" x14ac:dyDescent="0.15">
      <c r="A50" s="149" t="s">
        <v>59</v>
      </c>
      <c r="B50" s="178" t="s">
        <v>410</v>
      </c>
      <c r="C50" s="133">
        <v>2018</v>
      </c>
      <c r="D50" s="134" t="s">
        <v>411</v>
      </c>
      <c r="E50" s="149" t="s">
        <v>284</v>
      </c>
      <c r="F50" s="149" t="s">
        <v>277</v>
      </c>
      <c r="G50" s="149" t="s">
        <v>36</v>
      </c>
      <c r="H50" s="149" t="s">
        <v>157</v>
      </c>
      <c r="I50" s="149" t="s">
        <v>155</v>
      </c>
      <c r="J50" s="149" t="s">
        <v>38</v>
      </c>
      <c r="K50" s="149" t="s">
        <v>156</v>
      </c>
      <c r="L50" s="149">
        <v>1</v>
      </c>
      <c r="N50" s="149">
        <v>6</v>
      </c>
      <c r="O50" s="149">
        <v>1</v>
      </c>
      <c r="P50" s="149">
        <v>0.8</v>
      </c>
      <c r="Q50" s="186">
        <f t="shared" si="2"/>
        <v>0.9</v>
      </c>
      <c r="R50" s="149">
        <v>12.2</v>
      </c>
      <c r="S50" s="149">
        <v>90</v>
      </c>
      <c r="T50" s="158">
        <f t="shared" si="0"/>
        <v>36</v>
      </c>
      <c r="U50" s="149">
        <v>399</v>
      </c>
      <c r="V50" s="158">
        <f t="shared" si="1"/>
        <v>16</v>
      </c>
      <c r="W50" s="149">
        <v>10</v>
      </c>
      <c r="X50" s="149" t="s">
        <v>39</v>
      </c>
      <c r="Y50" s="149" t="s">
        <v>90</v>
      </c>
      <c r="Z50" s="149" t="s">
        <v>69</v>
      </c>
      <c r="AA50" s="149" t="s">
        <v>106</v>
      </c>
      <c r="AB50" s="178" t="s">
        <v>432</v>
      </c>
    </row>
    <row r="51" spans="1:28" x14ac:dyDescent="0.15">
      <c r="A51" s="149" t="s">
        <v>59</v>
      </c>
      <c r="B51" s="178" t="s">
        <v>410</v>
      </c>
      <c r="C51" s="133">
        <v>2018</v>
      </c>
      <c r="D51" s="134" t="s">
        <v>411</v>
      </c>
      <c r="E51" s="149" t="s">
        <v>284</v>
      </c>
      <c r="F51" s="149" t="s">
        <v>277</v>
      </c>
      <c r="G51" s="149" t="s">
        <v>36</v>
      </c>
      <c r="H51" s="149" t="s">
        <v>157</v>
      </c>
      <c r="I51" s="149" t="s">
        <v>155</v>
      </c>
      <c r="J51" s="149" t="s">
        <v>38</v>
      </c>
      <c r="K51" s="149" t="s">
        <v>156</v>
      </c>
      <c r="L51" s="149">
        <v>2</v>
      </c>
      <c r="N51" s="149">
        <v>6</v>
      </c>
      <c r="O51" s="149">
        <v>0.85</v>
      </c>
      <c r="P51" s="149">
        <v>0.95</v>
      </c>
      <c r="Q51" s="186">
        <f t="shared" si="2"/>
        <v>0.89999999999999991</v>
      </c>
      <c r="R51" s="149">
        <v>13</v>
      </c>
      <c r="S51" s="149">
        <v>89</v>
      </c>
      <c r="T51" s="158">
        <f t="shared" si="0"/>
        <v>36</v>
      </c>
      <c r="U51" s="149">
        <v>399</v>
      </c>
      <c r="V51" s="158">
        <f t="shared" si="1"/>
        <v>16</v>
      </c>
      <c r="W51" s="149">
        <v>10</v>
      </c>
      <c r="X51" s="149" t="s">
        <v>39</v>
      </c>
      <c r="Y51" s="149" t="s">
        <v>90</v>
      </c>
      <c r="Z51" s="149" t="s">
        <v>69</v>
      </c>
      <c r="AA51" s="149" t="s">
        <v>106</v>
      </c>
      <c r="AB51" s="178" t="s">
        <v>432</v>
      </c>
    </row>
    <row r="52" spans="1:28" x14ac:dyDescent="0.15">
      <c r="A52" s="149" t="s">
        <v>59</v>
      </c>
      <c r="B52" s="178" t="s">
        <v>410</v>
      </c>
      <c r="C52" s="133">
        <v>2018</v>
      </c>
      <c r="D52" s="134" t="s">
        <v>411</v>
      </c>
      <c r="E52" s="149" t="s">
        <v>284</v>
      </c>
      <c r="F52" s="149" t="s">
        <v>277</v>
      </c>
      <c r="G52" s="149" t="s">
        <v>36</v>
      </c>
      <c r="H52" s="149" t="s">
        <v>157</v>
      </c>
      <c r="I52" s="149" t="s">
        <v>155</v>
      </c>
      <c r="J52" s="149" t="s">
        <v>38</v>
      </c>
      <c r="K52" s="149" t="s">
        <v>156</v>
      </c>
      <c r="L52" s="149">
        <v>3</v>
      </c>
      <c r="N52" s="149">
        <v>6</v>
      </c>
      <c r="O52" s="149">
        <v>0.9</v>
      </c>
      <c r="P52" s="149">
        <v>0.9</v>
      </c>
      <c r="Q52" s="186">
        <f t="shared" si="2"/>
        <v>0.9</v>
      </c>
      <c r="R52" s="149">
        <v>12.3</v>
      </c>
      <c r="S52" s="149">
        <v>89</v>
      </c>
      <c r="T52" s="158">
        <f t="shared" si="0"/>
        <v>36</v>
      </c>
      <c r="U52" s="149">
        <v>399</v>
      </c>
      <c r="V52" s="158">
        <f t="shared" si="1"/>
        <v>16</v>
      </c>
      <c r="W52" s="149">
        <v>10</v>
      </c>
      <c r="X52" s="149" t="s">
        <v>39</v>
      </c>
      <c r="Y52" s="149" t="s">
        <v>90</v>
      </c>
      <c r="Z52" s="149" t="s">
        <v>69</v>
      </c>
      <c r="AA52" s="149" t="s">
        <v>106</v>
      </c>
      <c r="AB52" s="178" t="s">
        <v>432</v>
      </c>
    </row>
    <row r="53" spans="1:28" x14ac:dyDescent="0.15">
      <c r="A53" s="149" t="s">
        <v>59</v>
      </c>
      <c r="B53" s="178" t="s">
        <v>410</v>
      </c>
      <c r="C53" s="133">
        <v>2018</v>
      </c>
      <c r="D53" s="134" t="s">
        <v>411</v>
      </c>
      <c r="E53" s="149" t="s">
        <v>282</v>
      </c>
      <c r="F53" s="149" t="s">
        <v>274</v>
      </c>
      <c r="G53" s="149" t="s">
        <v>36</v>
      </c>
      <c r="H53" s="149" t="s">
        <v>162</v>
      </c>
      <c r="I53" s="149" t="s">
        <v>155</v>
      </c>
      <c r="J53" s="149" t="s">
        <v>38</v>
      </c>
      <c r="K53" s="149" t="s">
        <v>156</v>
      </c>
      <c r="L53" s="149">
        <v>1</v>
      </c>
      <c r="N53" s="149">
        <v>1</v>
      </c>
      <c r="O53" s="149">
        <v>0.45</v>
      </c>
      <c r="P53" s="149">
        <v>0.45</v>
      </c>
      <c r="Q53" s="186">
        <f t="shared" si="2"/>
        <v>0.45</v>
      </c>
      <c r="R53" s="149">
        <v>16.399999999999999</v>
      </c>
      <c r="S53" s="149">
        <v>139</v>
      </c>
      <c r="T53" s="158">
        <f t="shared" si="0"/>
        <v>22</v>
      </c>
      <c r="U53" s="149">
        <v>138</v>
      </c>
      <c r="V53" s="158">
        <f t="shared" si="1"/>
        <v>22</v>
      </c>
      <c r="W53" s="149">
        <v>1</v>
      </c>
      <c r="X53" s="149" t="s">
        <v>46</v>
      </c>
      <c r="Y53" s="149" t="s">
        <v>90</v>
      </c>
      <c r="Z53" s="149" t="s">
        <v>86</v>
      </c>
      <c r="AA53" s="149" t="s">
        <v>69</v>
      </c>
      <c r="AB53" s="178" t="s">
        <v>432</v>
      </c>
    </row>
    <row r="54" spans="1:28" x14ac:dyDescent="0.15">
      <c r="A54" s="149" t="s">
        <v>59</v>
      </c>
      <c r="B54" s="178" t="s">
        <v>410</v>
      </c>
      <c r="C54" s="133">
        <v>2018</v>
      </c>
      <c r="D54" s="134" t="s">
        <v>411</v>
      </c>
      <c r="E54" s="149" t="s">
        <v>282</v>
      </c>
      <c r="F54" s="149" t="s">
        <v>274</v>
      </c>
      <c r="G54" s="149" t="s">
        <v>36</v>
      </c>
      <c r="H54" s="149" t="s">
        <v>162</v>
      </c>
      <c r="I54" s="149" t="s">
        <v>155</v>
      </c>
      <c r="J54" s="149" t="s">
        <v>38</v>
      </c>
      <c r="K54" s="149" t="s">
        <v>156</v>
      </c>
      <c r="L54" s="149">
        <v>2</v>
      </c>
      <c r="N54" s="149">
        <v>1</v>
      </c>
      <c r="O54" s="149">
        <v>0.3</v>
      </c>
      <c r="P54" s="149">
        <v>0.35</v>
      </c>
      <c r="Q54" s="186">
        <f t="shared" si="2"/>
        <v>0.32499999999999996</v>
      </c>
      <c r="R54" s="149">
        <v>17.5</v>
      </c>
      <c r="S54" s="149">
        <v>135</v>
      </c>
      <c r="T54" s="158">
        <f t="shared" si="0"/>
        <v>25</v>
      </c>
      <c r="U54" s="149">
        <v>138</v>
      </c>
      <c r="V54" s="158">
        <f t="shared" si="1"/>
        <v>22</v>
      </c>
      <c r="W54" s="149">
        <v>1</v>
      </c>
      <c r="X54" s="149" t="s">
        <v>46</v>
      </c>
      <c r="Y54" s="149" t="s">
        <v>90</v>
      </c>
      <c r="Z54" s="149" t="s">
        <v>86</v>
      </c>
      <c r="AA54" s="149" t="s">
        <v>69</v>
      </c>
      <c r="AB54" s="178" t="s">
        <v>432</v>
      </c>
    </row>
    <row r="55" spans="1:28" x14ac:dyDescent="0.15">
      <c r="A55" s="149" t="s">
        <v>59</v>
      </c>
      <c r="B55" s="178" t="s">
        <v>410</v>
      </c>
      <c r="C55" s="133">
        <v>2018</v>
      </c>
      <c r="D55" s="134" t="s">
        <v>411</v>
      </c>
      <c r="E55" s="149" t="s">
        <v>282</v>
      </c>
      <c r="F55" s="149" t="s">
        <v>274</v>
      </c>
      <c r="G55" s="149" t="s">
        <v>36</v>
      </c>
      <c r="H55" s="149" t="s">
        <v>162</v>
      </c>
      <c r="I55" s="149" t="s">
        <v>155</v>
      </c>
      <c r="J55" s="149" t="s">
        <v>38</v>
      </c>
      <c r="K55" s="149" t="s">
        <v>156</v>
      </c>
      <c r="L55" s="149">
        <v>3</v>
      </c>
      <c r="N55" s="149">
        <v>1</v>
      </c>
      <c r="O55" s="149">
        <v>0.45</v>
      </c>
      <c r="P55" s="149">
        <v>0.45</v>
      </c>
      <c r="Q55" s="186">
        <f t="shared" si="2"/>
        <v>0.45</v>
      </c>
      <c r="R55" s="149">
        <v>17.3</v>
      </c>
      <c r="S55" s="149">
        <v>139</v>
      </c>
      <c r="T55" s="158">
        <f t="shared" si="0"/>
        <v>22</v>
      </c>
      <c r="U55" s="149">
        <v>138</v>
      </c>
      <c r="V55" s="158">
        <f t="shared" si="1"/>
        <v>22</v>
      </c>
      <c r="W55" s="149">
        <v>1</v>
      </c>
      <c r="X55" s="149" t="s">
        <v>46</v>
      </c>
      <c r="Y55" s="149" t="s">
        <v>90</v>
      </c>
      <c r="Z55" s="149" t="s">
        <v>86</v>
      </c>
      <c r="AA55" s="149" t="s">
        <v>69</v>
      </c>
      <c r="AB55" s="178" t="s">
        <v>432</v>
      </c>
    </row>
    <row r="56" spans="1:28" x14ac:dyDescent="0.15">
      <c r="A56" s="149" t="s">
        <v>59</v>
      </c>
      <c r="B56" s="178" t="s">
        <v>410</v>
      </c>
      <c r="C56" s="133">
        <v>2018</v>
      </c>
      <c r="D56" s="134" t="s">
        <v>411</v>
      </c>
      <c r="E56" s="149" t="s">
        <v>282</v>
      </c>
      <c r="F56" s="149" t="s">
        <v>274</v>
      </c>
      <c r="G56" s="149" t="s">
        <v>36</v>
      </c>
      <c r="H56" s="149" t="s">
        <v>157</v>
      </c>
      <c r="I56" s="149" t="s">
        <v>155</v>
      </c>
      <c r="J56" s="149" t="s">
        <v>38</v>
      </c>
      <c r="K56" s="149" t="s">
        <v>156</v>
      </c>
      <c r="L56" s="149">
        <v>1</v>
      </c>
      <c r="N56" s="149">
        <v>1</v>
      </c>
      <c r="O56" s="149">
        <v>0.85</v>
      </c>
      <c r="P56" s="149">
        <v>0.95</v>
      </c>
      <c r="Q56" s="186">
        <f t="shared" si="2"/>
        <v>0.89999999999999991</v>
      </c>
      <c r="R56" s="149">
        <v>15.2</v>
      </c>
      <c r="S56" s="149">
        <v>142</v>
      </c>
      <c r="T56" s="158">
        <f t="shared" si="0"/>
        <v>22</v>
      </c>
      <c r="U56" s="149">
        <v>138</v>
      </c>
      <c r="V56" s="158">
        <f t="shared" si="1"/>
        <v>22</v>
      </c>
      <c r="W56" s="149">
        <v>1</v>
      </c>
      <c r="X56" s="149" t="s">
        <v>46</v>
      </c>
      <c r="Y56" s="149" t="s">
        <v>90</v>
      </c>
      <c r="Z56" s="149" t="s">
        <v>86</v>
      </c>
      <c r="AA56" s="149" t="s">
        <v>69</v>
      </c>
      <c r="AB56" s="178" t="s">
        <v>432</v>
      </c>
    </row>
    <row r="57" spans="1:28" x14ac:dyDescent="0.15">
      <c r="A57" s="149" t="s">
        <v>59</v>
      </c>
      <c r="B57" s="178" t="s">
        <v>410</v>
      </c>
      <c r="C57" s="133">
        <v>2018</v>
      </c>
      <c r="D57" s="134" t="s">
        <v>411</v>
      </c>
      <c r="E57" s="149" t="s">
        <v>282</v>
      </c>
      <c r="F57" s="149" t="s">
        <v>274</v>
      </c>
      <c r="G57" s="149" t="s">
        <v>36</v>
      </c>
      <c r="H57" s="149" t="s">
        <v>157</v>
      </c>
      <c r="I57" s="149" t="s">
        <v>155</v>
      </c>
      <c r="J57" s="149" t="s">
        <v>38</v>
      </c>
      <c r="K57" s="149" t="s">
        <v>156</v>
      </c>
      <c r="L57" s="149">
        <v>2</v>
      </c>
      <c r="N57" s="149">
        <v>1</v>
      </c>
      <c r="O57" s="149">
        <v>0.85</v>
      </c>
      <c r="P57" s="149">
        <v>1.1000000000000001</v>
      </c>
      <c r="Q57" s="186">
        <f t="shared" si="2"/>
        <v>0.97500000000000009</v>
      </c>
      <c r="R57" s="149">
        <v>13.3</v>
      </c>
      <c r="S57" s="149">
        <v>150</v>
      </c>
      <c r="T57" s="158">
        <f t="shared" si="0"/>
        <v>22</v>
      </c>
      <c r="U57" s="149">
        <v>138</v>
      </c>
      <c r="V57" s="158">
        <f t="shared" si="1"/>
        <v>22</v>
      </c>
      <c r="W57" s="149">
        <v>1</v>
      </c>
      <c r="X57" s="149" t="s">
        <v>46</v>
      </c>
      <c r="Y57" s="149" t="s">
        <v>90</v>
      </c>
      <c r="Z57" s="149" t="s">
        <v>86</v>
      </c>
      <c r="AA57" s="149" t="s">
        <v>69</v>
      </c>
      <c r="AB57" s="178" t="s">
        <v>432</v>
      </c>
    </row>
    <row r="58" spans="1:28" x14ac:dyDescent="0.15">
      <c r="A58" s="149" t="s">
        <v>59</v>
      </c>
      <c r="B58" s="178" t="s">
        <v>410</v>
      </c>
      <c r="C58" s="133">
        <v>2018</v>
      </c>
      <c r="D58" s="134" t="s">
        <v>411</v>
      </c>
      <c r="E58" s="149" t="s">
        <v>282</v>
      </c>
      <c r="F58" s="149" t="s">
        <v>274</v>
      </c>
      <c r="G58" s="149" t="s">
        <v>36</v>
      </c>
      <c r="H58" s="149" t="s">
        <v>157</v>
      </c>
      <c r="I58" s="149" t="s">
        <v>155</v>
      </c>
      <c r="J58" s="149" t="s">
        <v>38</v>
      </c>
      <c r="K58" s="149" t="s">
        <v>156</v>
      </c>
      <c r="L58" s="149">
        <v>3</v>
      </c>
      <c r="N58" s="149">
        <v>1</v>
      </c>
      <c r="O58" s="149">
        <v>0.95</v>
      </c>
      <c r="P58" s="149">
        <v>1.2</v>
      </c>
      <c r="Q58" s="186">
        <f t="shared" si="2"/>
        <v>1.075</v>
      </c>
      <c r="R58" s="149">
        <v>13.6</v>
      </c>
      <c r="S58" s="149">
        <v>140</v>
      </c>
      <c r="T58" s="158">
        <f t="shared" si="0"/>
        <v>22</v>
      </c>
      <c r="U58" s="149">
        <v>138</v>
      </c>
      <c r="V58" s="158">
        <f t="shared" si="1"/>
        <v>22</v>
      </c>
      <c r="W58" s="149">
        <v>1</v>
      </c>
      <c r="X58" s="149" t="s">
        <v>46</v>
      </c>
      <c r="Y58" s="149" t="s">
        <v>90</v>
      </c>
      <c r="Z58" s="149" t="s">
        <v>86</v>
      </c>
      <c r="AA58" s="149" t="s">
        <v>69</v>
      </c>
      <c r="AB58" s="178" t="s">
        <v>432</v>
      </c>
    </row>
    <row r="59" spans="1:28" x14ac:dyDescent="0.15">
      <c r="A59" s="149" t="s">
        <v>59</v>
      </c>
      <c r="B59" s="178" t="s">
        <v>410</v>
      </c>
      <c r="C59" s="133">
        <v>2018</v>
      </c>
      <c r="D59" s="134" t="s">
        <v>411</v>
      </c>
      <c r="E59" s="149" t="s">
        <v>288</v>
      </c>
      <c r="F59" s="149" t="s">
        <v>279</v>
      </c>
      <c r="G59" s="149" t="s">
        <v>36</v>
      </c>
      <c r="H59" s="149" t="s">
        <v>162</v>
      </c>
      <c r="I59" s="149" t="s">
        <v>155</v>
      </c>
      <c r="J59" s="149" t="s">
        <v>38</v>
      </c>
      <c r="K59" s="149" t="s">
        <v>156</v>
      </c>
      <c r="L59" s="149">
        <v>1</v>
      </c>
      <c r="N59" s="149">
        <v>4</v>
      </c>
      <c r="O59" s="149">
        <v>0.75</v>
      </c>
      <c r="P59" s="149">
        <v>0.5</v>
      </c>
      <c r="Q59" s="186">
        <f t="shared" si="2"/>
        <v>0.625</v>
      </c>
      <c r="R59" s="149">
        <v>16</v>
      </c>
      <c r="S59" s="149">
        <v>114</v>
      </c>
      <c r="T59" s="158">
        <f t="shared" si="0"/>
        <v>30</v>
      </c>
      <c r="U59" s="149">
        <v>480</v>
      </c>
      <c r="V59" s="158">
        <f t="shared" si="1"/>
        <v>16</v>
      </c>
      <c r="W59" s="149">
        <v>4</v>
      </c>
      <c r="X59" s="149" t="s">
        <v>46</v>
      </c>
      <c r="Y59" s="149" t="s">
        <v>69</v>
      </c>
      <c r="Z59" s="149" t="s">
        <v>55</v>
      </c>
      <c r="AA59" s="149" t="s">
        <v>47</v>
      </c>
      <c r="AB59" s="178" t="s">
        <v>432</v>
      </c>
    </row>
    <row r="60" spans="1:28" x14ac:dyDescent="0.15">
      <c r="A60" s="149" t="s">
        <v>59</v>
      </c>
      <c r="B60" s="178" t="s">
        <v>410</v>
      </c>
      <c r="C60" s="133">
        <v>2018</v>
      </c>
      <c r="D60" s="134" t="s">
        <v>411</v>
      </c>
      <c r="E60" s="149" t="s">
        <v>288</v>
      </c>
      <c r="F60" s="149" t="s">
        <v>279</v>
      </c>
      <c r="G60" s="149" t="s">
        <v>36</v>
      </c>
      <c r="H60" s="149" t="s">
        <v>162</v>
      </c>
      <c r="I60" s="149" t="s">
        <v>155</v>
      </c>
      <c r="J60" s="149" t="s">
        <v>38</v>
      </c>
      <c r="K60" s="149" t="s">
        <v>156</v>
      </c>
      <c r="L60" s="149">
        <v>2</v>
      </c>
      <c r="N60" s="149">
        <v>4</v>
      </c>
      <c r="O60" s="149">
        <v>0.85</v>
      </c>
      <c r="P60" s="149">
        <v>0.7</v>
      </c>
      <c r="Q60" s="186">
        <f t="shared" si="2"/>
        <v>0.77499999999999991</v>
      </c>
      <c r="R60" s="149">
        <v>17.2</v>
      </c>
      <c r="S60" s="149">
        <v>121</v>
      </c>
      <c r="T60" s="158">
        <f t="shared" si="0"/>
        <v>27</v>
      </c>
      <c r="U60" s="149">
        <v>480</v>
      </c>
      <c r="V60" s="158">
        <f t="shared" si="1"/>
        <v>16</v>
      </c>
      <c r="W60" s="149">
        <v>4</v>
      </c>
      <c r="X60" s="149" t="s">
        <v>46</v>
      </c>
      <c r="Y60" s="149" t="s">
        <v>69</v>
      </c>
      <c r="Z60" s="149" t="s">
        <v>55</v>
      </c>
      <c r="AA60" s="149" t="s">
        <v>47</v>
      </c>
      <c r="AB60" s="178" t="s">
        <v>432</v>
      </c>
    </row>
    <row r="61" spans="1:28" x14ac:dyDescent="0.15">
      <c r="A61" s="149" t="s">
        <v>59</v>
      </c>
      <c r="B61" s="178" t="s">
        <v>410</v>
      </c>
      <c r="C61" s="133">
        <v>2018</v>
      </c>
      <c r="D61" s="134" t="s">
        <v>411</v>
      </c>
      <c r="E61" s="149" t="s">
        <v>288</v>
      </c>
      <c r="F61" s="149" t="s">
        <v>279</v>
      </c>
      <c r="G61" s="149" t="s">
        <v>36</v>
      </c>
      <c r="H61" s="149" t="s">
        <v>162</v>
      </c>
      <c r="I61" s="149" t="s">
        <v>155</v>
      </c>
      <c r="J61" s="149" t="s">
        <v>38</v>
      </c>
      <c r="K61" s="149" t="s">
        <v>156</v>
      </c>
      <c r="L61" s="149">
        <v>3</v>
      </c>
      <c r="N61" s="149">
        <v>4</v>
      </c>
      <c r="O61" s="149">
        <v>0.7</v>
      </c>
      <c r="P61" s="149">
        <v>0.65</v>
      </c>
      <c r="Q61" s="186">
        <f t="shared" si="2"/>
        <v>0.67500000000000004</v>
      </c>
      <c r="R61" s="149">
        <v>17</v>
      </c>
      <c r="S61" s="149">
        <v>120</v>
      </c>
      <c r="T61" s="158">
        <f t="shared" si="0"/>
        <v>30</v>
      </c>
      <c r="U61" s="149">
        <v>480</v>
      </c>
      <c r="V61" s="158">
        <f t="shared" si="1"/>
        <v>16</v>
      </c>
      <c r="W61" s="149">
        <v>4</v>
      </c>
      <c r="X61" s="149" t="s">
        <v>46</v>
      </c>
      <c r="Y61" s="149" t="s">
        <v>69</v>
      </c>
      <c r="Z61" s="149" t="s">
        <v>55</v>
      </c>
      <c r="AA61" s="149" t="s">
        <v>47</v>
      </c>
      <c r="AB61" s="178" t="s">
        <v>432</v>
      </c>
    </row>
    <row r="62" spans="1:28" x14ac:dyDescent="0.15">
      <c r="A62" s="149" t="s">
        <v>59</v>
      </c>
      <c r="B62" s="178" t="s">
        <v>410</v>
      </c>
      <c r="C62" s="133">
        <v>2018</v>
      </c>
      <c r="D62" s="134" t="s">
        <v>411</v>
      </c>
      <c r="E62" s="149" t="s">
        <v>288</v>
      </c>
      <c r="F62" s="149" t="s">
        <v>279</v>
      </c>
      <c r="G62" s="149" t="s">
        <v>36</v>
      </c>
      <c r="H62" s="149" t="s">
        <v>157</v>
      </c>
      <c r="I62" s="149" t="s">
        <v>155</v>
      </c>
      <c r="J62" s="149" t="s">
        <v>38</v>
      </c>
      <c r="K62" s="149" t="s">
        <v>156</v>
      </c>
      <c r="L62" s="149">
        <v>1</v>
      </c>
      <c r="N62" s="149">
        <v>1</v>
      </c>
      <c r="O62" s="149">
        <v>0.75</v>
      </c>
      <c r="P62" s="149">
        <v>0.95</v>
      </c>
      <c r="Q62" s="186">
        <f t="shared" si="2"/>
        <v>0.85</v>
      </c>
      <c r="R62" s="149">
        <v>18.899999999999999</v>
      </c>
      <c r="S62" s="149">
        <v>89</v>
      </c>
      <c r="T62" s="158">
        <f t="shared" si="0"/>
        <v>36</v>
      </c>
      <c r="U62" s="149">
        <v>128</v>
      </c>
      <c r="V62" s="158">
        <f t="shared" si="1"/>
        <v>27</v>
      </c>
      <c r="W62" s="149">
        <v>4</v>
      </c>
      <c r="X62" s="149" t="s">
        <v>46</v>
      </c>
      <c r="Y62" s="149" t="s">
        <v>69</v>
      </c>
      <c r="Z62" s="149" t="s">
        <v>55</v>
      </c>
      <c r="AA62" s="149" t="s">
        <v>47</v>
      </c>
      <c r="AB62" s="178" t="s">
        <v>432</v>
      </c>
    </row>
    <row r="63" spans="1:28" x14ac:dyDescent="0.15">
      <c r="A63" s="149" t="s">
        <v>59</v>
      </c>
      <c r="B63" s="178" t="s">
        <v>410</v>
      </c>
      <c r="C63" s="133">
        <v>2018</v>
      </c>
      <c r="D63" s="134" t="s">
        <v>411</v>
      </c>
      <c r="E63" s="149" t="s">
        <v>288</v>
      </c>
      <c r="F63" s="149" t="s">
        <v>279</v>
      </c>
      <c r="G63" s="149" t="s">
        <v>36</v>
      </c>
      <c r="H63" s="149" t="s">
        <v>157</v>
      </c>
      <c r="I63" s="149" t="s">
        <v>155</v>
      </c>
      <c r="J63" s="149" t="s">
        <v>38</v>
      </c>
      <c r="K63" s="149" t="s">
        <v>156</v>
      </c>
      <c r="L63" s="149">
        <v>2</v>
      </c>
      <c r="N63" s="149">
        <v>1</v>
      </c>
      <c r="O63" s="149">
        <v>0.75</v>
      </c>
      <c r="P63" s="149">
        <v>0.9</v>
      </c>
      <c r="Q63" s="186">
        <f t="shared" si="2"/>
        <v>0.82499999999999996</v>
      </c>
      <c r="R63" s="149">
        <v>19.3</v>
      </c>
      <c r="S63" s="149">
        <v>95</v>
      </c>
      <c r="T63" s="158">
        <f t="shared" si="0"/>
        <v>36</v>
      </c>
      <c r="U63" s="149">
        <v>128</v>
      </c>
      <c r="V63" s="158">
        <f t="shared" si="1"/>
        <v>27</v>
      </c>
      <c r="W63" s="149">
        <v>4</v>
      </c>
      <c r="X63" s="149" t="s">
        <v>46</v>
      </c>
      <c r="Y63" s="149" t="s">
        <v>69</v>
      </c>
      <c r="Z63" s="149" t="s">
        <v>55</v>
      </c>
      <c r="AA63" s="149" t="s">
        <v>47</v>
      </c>
      <c r="AB63" s="178" t="s">
        <v>432</v>
      </c>
    </row>
    <row r="64" spans="1:28" x14ac:dyDescent="0.15">
      <c r="A64" s="149" t="s">
        <v>59</v>
      </c>
      <c r="B64" s="178" t="s">
        <v>410</v>
      </c>
      <c r="C64" s="133">
        <v>2018</v>
      </c>
      <c r="D64" s="134" t="s">
        <v>411</v>
      </c>
      <c r="E64" s="149" t="s">
        <v>288</v>
      </c>
      <c r="F64" s="149" t="s">
        <v>279</v>
      </c>
      <c r="G64" s="149" t="s">
        <v>36</v>
      </c>
      <c r="H64" s="149" t="s">
        <v>157</v>
      </c>
      <c r="I64" s="149" t="s">
        <v>155</v>
      </c>
      <c r="J64" s="149" t="s">
        <v>38</v>
      </c>
      <c r="K64" s="149" t="s">
        <v>156</v>
      </c>
      <c r="L64" s="149">
        <v>3</v>
      </c>
      <c r="N64" s="149">
        <v>1</v>
      </c>
      <c r="O64" s="149">
        <v>0.85</v>
      </c>
      <c r="P64" s="149">
        <v>0.95</v>
      </c>
      <c r="Q64" s="186">
        <f t="shared" si="2"/>
        <v>0.89999999999999991</v>
      </c>
      <c r="R64" s="149">
        <v>19.100000000000001</v>
      </c>
      <c r="S64" s="149">
        <v>86</v>
      </c>
      <c r="T64" s="158">
        <f t="shared" si="0"/>
        <v>36</v>
      </c>
      <c r="U64" s="149">
        <v>128</v>
      </c>
      <c r="V64" s="158">
        <f t="shared" si="1"/>
        <v>27</v>
      </c>
      <c r="W64" s="149">
        <v>4</v>
      </c>
      <c r="X64" s="149" t="s">
        <v>46</v>
      </c>
      <c r="Y64" s="149" t="s">
        <v>69</v>
      </c>
      <c r="Z64" s="149" t="s">
        <v>55</v>
      </c>
      <c r="AA64" s="149" t="s">
        <v>47</v>
      </c>
      <c r="AB64" s="178" t="s">
        <v>432</v>
      </c>
    </row>
    <row r="65" spans="1:28" x14ac:dyDescent="0.15">
      <c r="A65" s="149" t="s">
        <v>59</v>
      </c>
      <c r="B65" s="178" t="s">
        <v>410</v>
      </c>
      <c r="C65" s="133">
        <v>2018</v>
      </c>
      <c r="D65" s="134" t="s">
        <v>411</v>
      </c>
      <c r="E65" s="149" t="s">
        <v>288</v>
      </c>
      <c r="F65" s="149" t="s">
        <v>279</v>
      </c>
      <c r="G65" s="149" t="s">
        <v>36</v>
      </c>
      <c r="H65" s="149" t="s">
        <v>211</v>
      </c>
      <c r="I65" s="149" t="s">
        <v>155</v>
      </c>
      <c r="J65" s="149" t="s">
        <v>38</v>
      </c>
      <c r="K65" s="149" t="s">
        <v>156</v>
      </c>
      <c r="L65" s="149">
        <v>1</v>
      </c>
      <c r="N65" s="149">
        <v>5</v>
      </c>
      <c r="O65" s="149">
        <v>0.55000000000000004</v>
      </c>
      <c r="P65" s="149">
        <v>0.6</v>
      </c>
      <c r="Q65" s="186">
        <f t="shared" si="2"/>
        <v>0.57499999999999996</v>
      </c>
      <c r="R65" s="149">
        <v>14.2</v>
      </c>
      <c r="S65" s="149">
        <v>135</v>
      </c>
      <c r="T65" s="158">
        <f t="shared" si="0"/>
        <v>25</v>
      </c>
      <c r="U65" s="149">
        <v>398</v>
      </c>
      <c r="V65" s="158">
        <f t="shared" si="1"/>
        <v>16</v>
      </c>
      <c r="W65" s="149">
        <v>1</v>
      </c>
      <c r="X65" s="149" t="s">
        <v>46</v>
      </c>
      <c r="Y65" s="149" t="s">
        <v>69</v>
      </c>
      <c r="Z65" s="149" t="s">
        <v>55</v>
      </c>
      <c r="AA65" s="149" t="s">
        <v>47</v>
      </c>
      <c r="AB65" s="178" t="s">
        <v>432</v>
      </c>
    </row>
    <row r="66" spans="1:28" x14ac:dyDescent="0.15">
      <c r="A66" s="149" t="s">
        <v>59</v>
      </c>
      <c r="B66" s="178" t="s">
        <v>410</v>
      </c>
      <c r="C66" s="133">
        <v>2018</v>
      </c>
      <c r="D66" s="134" t="s">
        <v>411</v>
      </c>
      <c r="E66" s="149" t="s">
        <v>288</v>
      </c>
      <c r="F66" s="149" t="s">
        <v>279</v>
      </c>
      <c r="G66" s="149" t="s">
        <v>36</v>
      </c>
      <c r="H66" s="149" t="s">
        <v>211</v>
      </c>
      <c r="I66" s="149" t="s">
        <v>155</v>
      </c>
      <c r="J66" s="149" t="s">
        <v>38</v>
      </c>
      <c r="K66" s="149" t="s">
        <v>156</v>
      </c>
      <c r="L66" s="149">
        <v>2</v>
      </c>
      <c r="N66" s="149">
        <v>5</v>
      </c>
      <c r="O66" s="149">
        <v>0.7</v>
      </c>
      <c r="P66" s="149">
        <v>0.7</v>
      </c>
      <c r="Q66" s="186">
        <f t="shared" si="2"/>
        <v>0.7</v>
      </c>
      <c r="R66" s="149">
        <v>14.8</v>
      </c>
      <c r="S66" s="149">
        <v>135</v>
      </c>
      <c r="T66" s="158">
        <f t="shared" si="0"/>
        <v>25</v>
      </c>
      <c r="U66" s="149">
        <v>398</v>
      </c>
      <c r="V66" s="158">
        <f t="shared" si="1"/>
        <v>16</v>
      </c>
      <c r="W66" s="149">
        <v>1</v>
      </c>
      <c r="X66" s="149" t="s">
        <v>46</v>
      </c>
      <c r="Y66" s="149" t="s">
        <v>69</v>
      </c>
      <c r="Z66" s="149" t="s">
        <v>55</v>
      </c>
      <c r="AA66" s="149" t="s">
        <v>47</v>
      </c>
      <c r="AB66" s="178" t="s">
        <v>432</v>
      </c>
    </row>
    <row r="67" spans="1:28" x14ac:dyDescent="0.15">
      <c r="A67" s="149" t="s">
        <v>59</v>
      </c>
      <c r="B67" s="178" t="s">
        <v>410</v>
      </c>
      <c r="C67" s="133">
        <v>2018</v>
      </c>
      <c r="D67" s="134" t="s">
        <v>411</v>
      </c>
      <c r="E67" s="149" t="s">
        <v>288</v>
      </c>
      <c r="F67" s="149" t="s">
        <v>279</v>
      </c>
      <c r="G67" s="149" t="s">
        <v>36</v>
      </c>
      <c r="H67" s="149" t="s">
        <v>211</v>
      </c>
      <c r="I67" s="149" t="s">
        <v>155</v>
      </c>
      <c r="J67" s="149" t="s">
        <v>38</v>
      </c>
      <c r="K67" s="149" t="s">
        <v>156</v>
      </c>
      <c r="L67" s="149">
        <v>3</v>
      </c>
      <c r="N67" s="149">
        <v>5</v>
      </c>
      <c r="O67" s="149">
        <v>0.65</v>
      </c>
      <c r="P67" s="149">
        <v>0.7</v>
      </c>
      <c r="Q67" s="186">
        <f t="shared" si="2"/>
        <v>0.67500000000000004</v>
      </c>
      <c r="R67" s="149">
        <v>14.4</v>
      </c>
      <c r="S67" s="149">
        <v>126</v>
      </c>
      <c r="T67" s="158">
        <f t="shared" si="0"/>
        <v>27</v>
      </c>
      <c r="U67" s="149">
        <v>398</v>
      </c>
      <c r="V67" s="158">
        <f t="shared" si="1"/>
        <v>16</v>
      </c>
      <c r="W67" s="149">
        <v>1</v>
      </c>
      <c r="X67" s="149" t="s">
        <v>46</v>
      </c>
      <c r="Y67" s="149" t="s">
        <v>69</v>
      </c>
      <c r="Z67" s="149" t="s">
        <v>55</v>
      </c>
      <c r="AA67" s="149" t="s">
        <v>47</v>
      </c>
      <c r="AB67" s="178" t="s">
        <v>432</v>
      </c>
    </row>
    <row r="68" spans="1:28" x14ac:dyDescent="0.15">
      <c r="A68" s="149" t="s">
        <v>59</v>
      </c>
      <c r="B68" s="178" t="s">
        <v>410</v>
      </c>
      <c r="C68" s="133">
        <v>2018</v>
      </c>
      <c r="D68" s="134" t="s">
        <v>411</v>
      </c>
      <c r="E68" s="149" t="s">
        <v>283</v>
      </c>
      <c r="F68" s="149" t="s">
        <v>276</v>
      </c>
      <c r="G68" s="149" t="s">
        <v>36</v>
      </c>
      <c r="H68" s="149" t="s">
        <v>162</v>
      </c>
      <c r="I68" s="149" t="s">
        <v>155</v>
      </c>
      <c r="J68" s="149" t="s">
        <v>38</v>
      </c>
      <c r="K68" s="149" t="s">
        <v>156</v>
      </c>
      <c r="L68" s="149">
        <v>1</v>
      </c>
      <c r="N68" s="149">
        <v>1</v>
      </c>
      <c r="O68" s="149">
        <v>0.55000000000000004</v>
      </c>
      <c r="P68" s="149">
        <v>0.5</v>
      </c>
      <c r="Q68" s="186">
        <f t="shared" si="2"/>
        <v>0.52500000000000002</v>
      </c>
      <c r="R68" s="149">
        <v>15.5</v>
      </c>
      <c r="S68" s="149">
        <v>189</v>
      </c>
      <c r="T68" s="158">
        <f t="shared" si="0"/>
        <v>16</v>
      </c>
      <c r="U68" s="149">
        <v>138</v>
      </c>
      <c r="V68" s="158">
        <f t="shared" si="1"/>
        <v>22</v>
      </c>
      <c r="W68" s="149">
        <v>8</v>
      </c>
      <c r="X68" s="149" t="s">
        <v>46</v>
      </c>
      <c r="Y68" s="149" t="s">
        <v>69</v>
      </c>
      <c r="Z68" s="149" t="s">
        <v>86</v>
      </c>
      <c r="AA68" s="149" t="s">
        <v>55</v>
      </c>
      <c r="AB68" s="178" t="s">
        <v>432</v>
      </c>
    </row>
    <row r="69" spans="1:28" x14ac:dyDescent="0.15">
      <c r="A69" s="149" t="s">
        <v>59</v>
      </c>
      <c r="B69" s="178" t="s">
        <v>410</v>
      </c>
      <c r="C69" s="133">
        <v>2018</v>
      </c>
      <c r="D69" s="134" t="s">
        <v>411</v>
      </c>
      <c r="E69" s="149" t="s">
        <v>283</v>
      </c>
      <c r="F69" s="149" t="s">
        <v>276</v>
      </c>
      <c r="G69" s="149" t="s">
        <v>36</v>
      </c>
      <c r="H69" s="149" t="s">
        <v>162</v>
      </c>
      <c r="I69" s="149" t="s">
        <v>155</v>
      </c>
      <c r="J69" s="149" t="s">
        <v>38</v>
      </c>
      <c r="K69" s="149" t="s">
        <v>156</v>
      </c>
      <c r="L69" s="149">
        <v>2</v>
      </c>
      <c r="N69" s="149">
        <v>1</v>
      </c>
      <c r="O69" s="149">
        <v>0.6</v>
      </c>
      <c r="P69" s="149">
        <v>0.45</v>
      </c>
      <c r="Q69" s="186">
        <f t="shared" si="2"/>
        <v>0.52500000000000002</v>
      </c>
      <c r="R69" s="149">
        <v>16.100000000000001</v>
      </c>
      <c r="S69" s="149">
        <v>181</v>
      </c>
      <c r="T69" s="158">
        <f t="shared" si="0"/>
        <v>16</v>
      </c>
      <c r="U69" s="149">
        <v>138</v>
      </c>
      <c r="V69" s="158">
        <f t="shared" si="1"/>
        <v>22</v>
      </c>
      <c r="W69" s="149">
        <v>8</v>
      </c>
      <c r="X69" s="149" t="s">
        <v>46</v>
      </c>
      <c r="Y69" s="149" t="s">
        <v>69</v>
      </c>
      <c r="Z69" s="149" t="s">
        <v>86</v>
      </c>
      <c r="AA69" s="149" t="s">
        <v>55</v>
      </c>
      <c r="AB69" s="178" t="s">
        <v>432</v>
      </c>
    </row>
    <row r="70" spans="1:28" x14ac:dyDescent="0.15">
      <c r="A70" s="149" t="s">
        <v>59</v>
      </c>
      <c r="B70" s="178" t="s">
        <v>410</v>
      </c>
      <c r="C70" s="133">
        <v>2018</v>
      </c>
      <c r="D70" s="134" t="s">
        <v>411</v>
      </c>
      <c r="E70" s="149" t="s">
        <v>283</v>
      </c>
      <c r="F70" s="149" t="s">
        <v>276</v>
      </c>
      <c r="G70" s="149" t="s">
        <v>36</v>
      </c>
      <c r="H70" s="149" t="s">
        <v>162</v>
      </c>
      <c r="I70" s="149" t="s">
        <v>155</v>
      </c>
      <c r="J70" s="149" t="s">
        <v>38</v>
      </c>
      <c r="K70" s="149" t="s">
        <v>156</v>
      </c>
      <c r="L70" s="149">
        <v>3</v>
      </c>
      <c r="N70" s="149">
        <v>1</v>
      </c>
      <c r="O70" s="149">
        <v>0.55000000000000004</v>
      </c>
      <c r="P70" s="149">
        <v>0.6</v>
      </c>
      <c r="Q70" s="186">
        <f t="shared" si="2"/>
        <v>0.57499999999999996</v>
      </c>
      <c r="R70" s="149">
        <v>16.399999999999999</v>
      </c>
      <c r="S70" s="149">
        <v>139</v>
      </c>
      <c r="T70" s="158">
        <f t="shared" si="0"/>
        <v>22</v>
      </c>
      <c r="U70" s="149">
        <v>138</v>
      </c>
      <c r="V70" s="158">
        <f t="shared" si="1"/>
        <v>22</v>
      </c>
      <c r="W70" s="149">
        <v>8</v>
      </c>
      <c r="X70" s="149" t="s">
        <v>46</v>
      </c>
      <c r="Y70" s="149" t="s">
        <v>69</v>
      </c>
      <c r="Z70" s="149" t="s">
        <v>86</v>
      </c>
      <c r="AA70" s="149" t="s">
        <v>55</v>
      </c>
      <c r="AB70" s="178" t="s">
        <v>432</v>
      </c>
    </row>
    <row r="71" spans="1:28" x14ac:dyDescent="0.15">
      <c r="A71" s="149" t="s">
        <v>59</v>
      </c>
      <c r="B71" s="178" t="s">
        <v>410</v>
      </c>
      <c r="C71" s="133">
        <v>2018</v>
      </c>
      <c r="D71" s="134" t="s">
        <v>411</v>
      </c>
      <c r="E71" s="149" t="s">
        <v>283</v>
      </c>
      <c r="F71" s="149" t="s">
        <v>276</v>
      </c>
      <c r="G71" s="149" t="s">
        <v>36</v>
      </c>
      <c r="H71" s="149" t="s">
        <v>157</v>
      </c>
      <c r="I71" s="149" t="s">
        <v>155</v>
      </c>
      <c r="J71" s="149" t="s">
        <v>38</v>
      </c>
      <c r="K71" s="149" t="s">
        <v>156</v>
      </c>
      <c r="L71" s="149">
        <v>1</v>
      </c>
      <c r="N71" s="149">
        <v>4</v>
      </c>
      <c r="O71" s="149">
        <v>0.7</v>
      </c>
      <c r="P71" s="149">
        <v>0.75</v>
      </c>
      <c r="Q71" s="186">
        <f t="shared" si="2"/>
        <v>0.72499999999999998</v>
      </c>
      <c r="R71" s="149">
        <v>16.5</v>
      </c>
      <c r="S71" s="149">
        <v>95</v>
      </c>
      <c r="T71" s="158">
        <f t="shared" si="0"/>
        <v>36</v>
      </c>
      <c r="U71" s="149">
        <v>321</v>
      </c>
      <c r="V71" s="158">
        <f t="shared" si="1"/>
        <v>16</v>
      </c>
      <c r="W71" s="149">
        <v>9</v>
      </c>
      <c r="X71" s="149" t="s">
        <v>46</v>
      </c>
      <c r="Y71" s="149" t="s">
        <v>69</v>
      </c>
      <c r="Z71" s="149" t="s">
        <v>86</v>
      </c>
      <c r="AA71" s="149" t="s">
        <v>55</v>
      </c>
      <c r="AB71" s="178" t="s">
        <v>432</v>
      </c>
    </row>
    <row r="72" spans="1:28" x14ac:dyDescent="0.15">
      <c r="A72" s="149" t="s">
        <v>59</v>
      </c>
      <c r="B72" s="178" t="s">
        <v>410</v>
      </c>
      <c r="C72" s="133">
        <v>2018</v>
      </c>
      <c r="D72" s="134" t="s">
        <v>411</v>
      </c>
      <c r="E72" s="149" t="s">
        <v>283</v>
      </c>
      <c r="F72" s="149" t="s">
        <v>276</v>
      </c>
      <c r="G72" s="149" t="s">
        <v>36</v>
      </c>
      <c r="H72" s="149" t="s">
        <v>157</v>
      </c>
      <c r="I72" s="149" t="s">
        <v>155</v>
      </c>
      <c r="J72" s="149" t="s">
        <v>38</v>
      </c>
      <c r="K72" s="149" t="s">
        <v>156</v>
      </c>
      <c r="L72" s="149">
        <v>2</v>
      </c>
      <c r="N72" s="149">
        <v>4</v>
      </c>
      <c r="O72" s="149">
        <v>0.7</v>
      </c>
      <c r="P72" s="149">
        <v>0.75</v>
      </c>
      <c r="Q72" s="186">
        <f t="shared" si="2"/>
        <v>0.72499999999999998</v>
      </c>
      <c r="R72" s="149">
        <v>14.5</v>
      </c>
      <c r="S72" s="149">
        <v>85</v>
      </c>
      <c r="T72" s="158">
        <f t="shared" si="0"/>
        <v>36</v>
      </c>
      <c r="U72" s="149">
        <v>321</v>
      </c>
      <c r="V72" s="158">
        <f t="shared" si="1"/>
        <v>16</v>
      </c>
      <c r="W72" s="149">
        <v>9</v>
      </c>
      <c r="X72" s="149" t="s">
        <v>46</v>
      </c>
      <c r="Y72" s="149" t="s">
        <v>69</v>
      </c>
      <c r="Z72" s="149" t="s">
        <v>86</v>
      </c>
      <c r="AA72" s="149" t="s">
        <v>55</v>
      </c>
      <c r="AB72" s="178" t="s">
        <v>432</v>
      </c>
    </row>
    <row r="73" spans="1:28" x14ac:dyDescent="0.15">
      <c r="A73" s="149" t="s">
        <v>59</v>
      </c>
      <c r="B73" s="178" t="s">
        <v>410</v>
      </c>
      <c r="C73" s="133">
        <v>2018</v>
      </c>
      <c r="D73" s="134" t="s">
        <v>411</v>
      </c>
      <c r="E73" s="149" t="s">
        <v>283</v>
      </c>
      <c r="F73" s="149" t="s">
        <v>276</v>
      </c>
      <c r="G73" s="149" t="s">
        <v>36</v>
      </c>
      <c r="H73" s="149" t="s">
        <v>157</v>
      </c>
      <c r="I73" s="149" t="s">
        <v>155</v>
      </c>
      <c r="J73" s="149" t="s">
        <v>38</v>
      </c>
      <c r="K73" s="149" t="s">
        <v>156</v>
      </c>
      <c r="L73" s="149">
        <v>3</v>
      </c>
      <c r="N73" s="149">
        <v>4</v>
      </c>
      <c r="O73" s="149">
        <v>0.7</v>
      </c>
      <c r="P73" s="149">
        <v>0.7</v>
      </c>
      <c r="Q73" s="186">
        <f t="shared" si="2"/>
        <v>0.7</v>
      </c>
      <c r="R73" s="149">
        <v>16.399999999999999</v>
      </c>
      <c r="S73" s="149">
        <v>100</v>
      </c>
      <c r="T73" s="158">
        <f t="shared" si="0"/>
        <v>33</v>
      </c>
      <c r="U73" s="149">
        <v>321</v>
      </c>
      <c r="V73" s="158">
        <v>16</v>
      </c>
      <c r="W73" s="149">
        <v>9</v>
      </c>
      <c r="X73" s="149" t="s">
        <v>46</v>
      </c>
      <c r="Y73" s="149" t="s">
        <v>69</v>
      </c>
      <c r="Z73" s="149" t="s">
        <v>86</v>
      </c>
      <c r="AA73" s="149" t="s">
        <v>55</v>
      </c>
      <c r="AB73" s="178" t="s">
        <v>432</v>
      </c>
    </row>
    <row r="74" spans="1:28" x14ac:dyDescent="0.15">
      <c r="B74" s="178"/>
      <c r="C74" s="133"/>
      <c r="D74" s="134"/>
      <c r="Q74" s="186"/>
      <c r="AB74" s="178"/>
    </row>
    <row r="75" spans="1:28" x14ac:dyDescent="0.15">
      <c r="B75" s="178"/>
      <c r="C75" s="133"/>
      <c r="D75" s="134"/>
      <c r="Q75" s="186"/>
      <c r="AB75" s="178"/>
    </row>
    <row r="76" spans="1:28" x14ac:dyDescent="0.15">
      <c r="B76" s="178"/>
      <c r="C76" s="133"/>
      <c r="D76" s="134"/>
      <c r="Q76" s="186"/>
      <c r="AB76" s="178"/>
    </row>
    <row r="77" spans="1:28" x14ac:dyDescent="0.15">
      <c r="B77" s="178"/>
      <c r="C77" s="133"/>
      <c r="D77" s="134"/>
      <c r="Q77" s="186"/>
      <c r="AB77" s="178"/>
    </row>
    <row r="78" spans="1:28" x14ac:dyDescent="0.15">
      <c r="B78" s="178"/>
      <c r="C78" s="133"/>
      <c r="D78" s="134"/>
      <c r="Q78" s="186"/>
      <c r="AB78" s="178"/>
    </row>
    <row r="79" spans="1:28" x14ac:dyDescent="0.15">
      <c r="B79" s="178"/>
      <c r="C79" s="133"/>
      <c r="D79" s="134"/>
      <c r="Q79" s="186"/>
      <c r="AB79" s="178"/>
    </row>
    <row r="80" spans="1:28" x14ac:dyDescent="0.15">
      <c r="B80" s="178"/>
      <c r="C80" s="133"/>
      <c r="D80" s="134"/>
      <c r="Q80" s="186"/>
      <c r="AB80" s="178"/>
    </row>
    <row r="81" spans="2:28" x14ac:dyDescent="0.15">
      <c r="B81" s="178"/>
      <c r="C81" s="133"/>
      <c r="D81" s="134"/>
      <c r="Q81" s="186"/>
      <c r="AB81" s="178"/>
    </row>
    <row r="82" spans="2:28" x14ac:dyDescent="0.15">
      <c r="B82" s="178"/>
      <c r="C82" s="133"/>
      <c r="D82" s="134"/>
      <c r="Q82" s="186"/>
      <c r="AB82" s="178"/>
    </row>
    <row r="83" spans="2:28" x14ac:dyDescent="0.15">
      <c r="B83" s="178"/>
      <c r="C83" s="133"/>
      <c r="Q83" s="186"/>
      <c r="AB83" s="178"/>
    </row>
    <row r="84" spans="2:28" x14ac:dyDescent="0.15">
      <c r="B84" s="178"/>
      <c r="C84" s="133"/>
      <c r="Q84" s="186"/>
      <c r="AB84" s="178"/>
    </row>
    <row r="85" spans="2:28" x14ac:dyDescent="0.15">
      <c r="B85" s="178"/>
      <c r="C85" s="133"/>
      <c r="Q85" s="186"/>
      <c r="AB85" s="178"/>
    </row>
    <row r="86" spans="2:28" x14ac:dyDescent="0.15">
      <c r="B86" s="178"/>
      <c r="C86" s="133"/>
      <c r="Q86" s="186"/>
      <c r="AB86" s="178"/>
    </row>
    <row r="87" spans="2:28" x14ac:dyDescent="0.15">
      <c r="B87" s="178"/>
      <c r="C87" s="133"/>
      <c r="Q87" s="186"/>
      <c r="AB87" s="178"/>
    </row>
    <row r="88" spans="2:28" x14ac:dyDescent="0.15">
      <c r="B88" s="178"/>
      <c r="C88" s="133"/>
      <c r="Q88" s="186"/>
      <c r="AB88" s="178"/>
    </row>
    <row r="89" spans="2:28" x14ac:dyDescent="0.15">
      <c r="B89" s="178"/>
      <c r="C89" s="133"/>
      <c r="Q89" s="186"/>
      <c r="AB89" s="178"/>
    </row>
    <row r="90" spans="2:28" x14ac:dyDescent="0.15">
      <c r="B90" s="178"/>
      <c r="C90" s="133"/>
      <c r="Q90" s="186"/>
      <c r="AB90" s="178"/>
    </row>
    <row r="91" spans="2:28" x14ac:dyDescent="0.15">
      <c r="B91" s="178"/>
      <c r="C91" s="133"/>
      <c r="Q91" s="186"/>
      <c r="AB91" s="178"/>
    </row>
    <row r="92" spans="2:28" x14ac:dyDescent="0.15">
      <c r="B92" s="178"/>
      <c r="C92" s="133"/>
      <c r="Q92" s="186"/>
      <c r="AB92" s="178"/>
    </row>
    <row r="93" spans="2:28" x14ac:dyDescent="0.15">
      <c r="B93" s="178"/>
      <c r="C93" s="133"/>
      <c r="Q93" s="186"/>
      <c r="AB93" s="178"/>
    </row>
    <row r="94" spans="2:28" x14ac:dyDescent="0.15">
      <c r="B94" s="178"/>
      <c r="C94" s="133"/>
      <c r="Q94" s="186"/>
      <c r="AB94" s="178"/>
    </row>
    <row r="95" spans="2:28" x14ac:dyDescent="0.15">
      <c r="B95" s="178"/>
      <c r="C95" s="133"/>
      <c r="Q95" s="186"/>
      <c r="AB95" s="178"/>
    </row>
    <row r="96" spans="2:28" x14ac:dyDescent="0.15">
      <c r="B96" s="178"/>
      <c r="C96" s="133"/>
      <c r="Q96" s="186"/>
      <c r="AB96" s="178"/>
    </row>
    <row r="97" spans="2:28" x14ac:dyDescent="0.15">
      <c r="B97" s="178"/>
      <c r="C97" s="133"/>
      <c r="Q97" s="186"/>
      <c r="AB97" s="178"/>
    </row>
    <row r="98" spans="2:28" x14ac:dyDescent="0.15">
      <c r="B98" s="178"/>
      <c r="C98" s="133"/>
      <c r="Q98" s="186"/>
      <c r="AB98" s="178"/>
    </row>
    <row r="99" spans="2:28" x14ac:dyDescent="0.15">
      <c r="B99" s="178"/>
      <c r="C99" s="133"/>
      <c r="AB99" s="178"/>
    </row>
    <row r="100" spans="2:28" x14ac:dyDescent="0.15">
      <c r="B100" s="178"/>
      <c r="C100" s="133"/>
      <c r="AB100" s="178"/>
    </row>
    <row r="101" spans="2:28" x14ac:dyDescent="0.15">
      <c r="Q101" s="158" t="str">
        <f t="shared" ref="Q101:Q152" si="3">IF(OR(O101="",P101=""),"",AVERAGE(O101,P101))</f>
        <v/>
      </c>
      <c r="T101" s="158" t="str">
        <f t="shared" ref="T101:T152" si="4">IF(H101="","",IF(OR(H101="GREEN",H101="GK"),IF(S101&gt;=$AX$2,VLOOKUP(S101,$AX$2:$AY$12,2,1),""),IF(S101&gt;=$AZ$2,VLOOKUP(S101,$AZ$2:$BA$12,2,1),"")))</f>
        <v/>
      </c>
      <c r="V101" s="158" t="str">
        <f t="shared" ref="V101:V152" si="5">IF(J101="","",IF(OR(J101="GREEN",J101="GK"),IF(U101&gt;=$AX$2,VLOOKUP(U101,$AX$2:$AY$12,2,1),""),IF(U101&gt;=$AZ$2,VLOOKUP(U101,$AZ$2:$BA$12,2,1),"")))</f>
        <v/>
      </c>
      <c r="AB101" s="178"/>
    </row>
    <row r="102" spans="2:28" x14ac:dyDescent="0.15">
      <c r="Q102" s="158" t="str">
        <f t="shared" si="3"/>
        <v/>
      </c>
      <c r="T102" s="158" t="str">
        <f t="shared" si="4"/>
        <v/>
      </c>
      <c r="V102" s="158" t="str">
        <f t="shared" si="5"/>
        <v/>
      </c>
    </row>
    <row r="103" spans="2:28" x14ac:dyDescent="0.15">
      <c r="Q103" s="158" t="str">
        <f t="shared" si="3"/>
        <v/>
      </c>
      <c r="T103" s="158" t="str">
        <f t="shared" si="4"/>
        <v/>
      </c>
      <c r="V103" s="158" t="str">
        <f t="shared" si="5"/>
        <v/>
      </c>
    </row>
    <row r="104" spans="2:28" x14ac:dyDescent="0.15">
      <c r="Q104" s="158" t="str">
        <f t="shared" si="3"/>
        <v/>
      </c>
      <c r="T104" s="158" t="str">
        <f t="shared" si="4"/>
        <v/>
      </c>
      <c r="V104" s="158" t="str">
        <f t="shared" si="5"/>
        <v/>
      </c>
    </row>
    <row r="105" spans="2:28" x14ac:dyDescent="0.15">
      <c r="Q105" s="158" t="str">
        <f t="shared" si="3"/>
        <v/>
      </c>
      <c r="T105" s="158" t="str">
        <f t="shared" si="4"/>
        <v/>
      </c>
      <c r="V105" s="158" t="str">
        <f t="shared" si="5"/>
        <v/>
      </c>
    </row>
    <row r="106" spans="2:28" x14ac:dyDescent="0.15">
      <c r="Q106" s="158" t="str">
        <f t="shared" si="3"/>
        <v/>
      </c>
      <c r="T106" s="158" t="str">
        <f t="shared" si="4"/>
        <v/>
      </c>
      <c r="V106" s="158" t="str">
        <f t="shared" si="5"/>
        <v/>
      </c>
    </row>
    <row r="107" spans="2:28" x14ac:dyDescent="0.15">
      <c r="Q107" s="158" t="str">
        <f t="shared" si="3"/>
        <v/>
      </c>
      <c r="T107" s="158" t="str">
        <f t="shared" si="4"/>
        <v/>
      </c>
      <c r="V107" s="158" t="str">
        <f t="shared" si="5"/>
        <v/>
      </c>
    </row>
    <row r="108" spans="2:28" x14ac:dyDescent="0.15">
      <c r="Q108" s="158" t="str">
        <f t="shared" si="3"/>
        <v/>
      </c>
      <c r="T108" s="158" t="str">
        <f t="shared" si="4"/>
        <v/>
      </c>
      <c r="V108" s="158" t="str">
        <f t="shared" si="5"/>
        <v/>
      </c>
    </row>
    <row r="109" spans="2:28" x14ac:dyDescent="0.15">
      <c r="Q109" s="158" t="str">
        <f t="shared" si="3"/>
        <v/>
      </c>
      <c r="T109" s="158" t="str">
        <f t="shared" si="4"/>
        <v/>
      </c>
      <c r="V109" s="158" t="str">
        <f t="shared" si="5"/>
        <v/>
      </c>
    </row>
    <row r="110" spans="2:28" x14ac:dyDescent="0.15">
      <c r="Q110" s="158" t="str">
        <f t="shared" si="3"/>
        <v/>
      </c>
      <c r="T110" s="158" t="str">
        <f t="shared" si="4"/>
        <v/>
      </c>
      <c r="V110" s="158" t="str">
        <f t="shared" si="5"/>
        <v/>
      </c>
    </row>
    <row r="111" spans="2:28" x14ac:dyDescent="0.15">
      <c r="Q111" s="158" t="str">
        <f t="shared" si="3"/>
        <v/>
      </c>
      <c r="T111" s="158" t="str">
        <f t="shared" si="4"/>
        <v/>
      </c>
      <c r="V111" s="158" t="str">
        <f t="shared" si="5"/>
        <v/>
      </c>
    </row>
    <row r="112" spans="2:28" x14ac:dyDescent="0.15">
      <c r="Q112" s="158" t="str">
        <f t="shared" si="3"/>
        <v/>
      </c>
      <c r="T112" s="158" t="str">
        <f t="shared" si="4"/>
        <v/>
      </c>
      <c r="V112" s="158" t="str">
        <f t="shared" si="5"/>
        <v/>
      </c>
    </row>
    <row r="113" spans="17:22" x14ac:dyDescent="0.15">
      <c r="Q113" s="158" t="str">
        <f t="shared" si="3"/>
        <v/>
      </c>
      <c r="T113" s="158" t="str">
        <f t="shared" si="4"/>
        <v/>
      </c>
      <c r="V113" s="158" t="str">
        <f t="shared" si="5"/>
        <v/>
      </c>
    </row>
    <row r="114" spans="17:22" x14ac:dyDescent="0.15">
      <c r="Q114" s="158" t="str">
        <f t="shared" si="3"/>
        <v/>
      </c>
      <c r="T114" s="158" t="str">
        <f t="shared" si="4"/>
        <v/>
      </c>
      <c r="V114" s="158" t="str">
        <f t="shared" si="5"/>
        <v/>
      </c>
    </row>
    <row r="115" spans="17:22" x14ac:dyDescent="0.15">
      <c r="Q115" s="158" t="str">
        <f t="shared" si="3"/>
        <v/>
      </c>
      <c r="T115" s="158" t="str">
        <f t="shared" si="4"/>
        <v/>
      </c>
      <c r="V115" s="158" t="str">
        <f t="shared" si="5"/>
        <v/>
      </c>
    </row>
    <row r="116" spans="17:22" x14ac:dyDescent="0.15">
      <c r="Q116" s="158" t="str">
        <f t="shared" si="3"/>
        <v/>
      </c>
      <c r="T116" s="158" t="str">
        <f t="shared" si="4"/>
        <v/>
      </c>
      <c r="V116" s="158" t="str">
        <f t="shared" si="5"/>
        <v/>
      </c>
    </row>
    <row r="117" spans="17:22" x14ac:dyDescent="0.15">
      <c r="Q117" s="158" t="str">
        <f t="shared" si="3"/>
        <v/>
      </c>
      <c r="T117" s="158" t="str">
        <f t="shared" si="4"/>
        <v/>
      </c>
      <c r="V117" s="158" t="str">
        <f t="shared" si="5"/>
        <v/>
      </c>
    </row>
    <row r="118" spans="17:22" x14ac:dyDescent="0.15">
      <c r="Q118" s="158" t="str">
        <f t="shared" si="3"/>
        <v/>
      </c>
      <c r="T118" s="158" t="str">
        <f t="shared" si="4"/>
        <v/>
      </c>
      <c r="V118" s="158" t="str">
        <f t="shared" si="5"/>
        <v/>
      </c>
    </row>
    <row r="119" spans="17:22" x14ac:dyDescent="0.15">
      <c r="Q119" s="158" t="str">
        <f t="shared" si="3"/>
        <v/>
      </c>
      <c r="T119" s="158" t="str">
        <f t="shared" si="4"/>
        <v/>
      </c>
      <c r="V119" s="158" t="str">
        <f t="shared" si="5"/>
        <v/>
      </c>
    </row>
    <row r="120" spans="17:22" x14ac:dyDescent="0.15">
      <c r="Q120" s="158" t="str">
        <f t="shared" si="3"/>
        <v/>
      </c>
      <c r="T120" s="158" t="str">
        <f t="shared" si="4"/>
        <v/>
      </c>
      <c r="V120" s="158" t="str">
        <f t="shared" si="5"/>
        <v/>
      </c>
    </row>
    <row r="121" spans="17:22" x14ac:dyDescent="0.15">
      <c r="Q121" s="158" t="str">
        <f t="shared" si="3"/>
        <v/>
      </c>
      <c r="T121" s="158" t="str">
        <f t="shared" si="4"/>
        <v/>
      </c>
      <c r="V121" s="158" t="str">
        <f t="shared" si="5"/>
        <v/>
      </c>
    </row>
    <row r="122" spans="17:22" x14ac:dyDescent="0.15">
      <c r="Q122" s="158" t="str">
        <f t="shared" si="3"/>
        <v/>
      </c>
      <c r="T122" s="158" t="str">
        <f t="shared" si="4"/>
        <v/>
      </c>
      <c r="V122" s="158" t="str">
        <f t="shared" si="5"/>
        <v/>
      </c>
    </row>
    <row r="123" spans="17:22" x14ac:dyDescent="0.15">
      <c r="Q123" s="158" t="str">
        <f t="shared" si="3"/>
        <v/>
      </c>
      <c r="T123" s="158" t="str">
        <f t="shared" si="4"/>
        <v/>
      </c>
      <c r="V123" s="158" t="str">
        <f t="shared" si="5"/>
        <v/>
      </c>
    </row>
    <row r="124" spans="17:22" x14ac:dyDescent="0.15">
      <c r="Q124" s="158" t="str">
        <f t="shared" si="3"/>
        <v/>
      </c>
      <c r="T124" s="158" t="str">
        <f t="shared" si="4"/>
        <v/>
      </c>
      <c r="V124" s="158" t="str">
        <f t="shared" si="5"/>
        <v/>
      </c>
    </row>
    <row r="125" spans="17:22" x14ac:dyDescent="0.15">
      <c r="Q125" s="158" t="str">
        <f t="shared" si="3"/>
        <v/>
      </c>
      <c r="T125" s="158" t="str">
        <f t="shared" si="4"/>
        <v/>
      </c>
      <c r="V125" s="158" t="str">
        <f t="shared" si="5"/>
        <v/>
      </c>
    </row>
    <row r="126" spans="17:22" x14ac:dyDescent="0.15">
      <c r="Q126" s="158" t="str">
        <f t="shared" si="3"/>
        <v/>
      </c>
      <c r="T126" s="158" t="str">
        <f t="shared" si="4"/>
        <v/>
      </c>
      <c r="V126" s="158" t="str">
        <f t="shared" si="5"/>
        <v/>
      </c>
    </row>
    <row r="127" spans="17:22" x14ac:dyDescent="0.15">
      <c r="Q127" s="158" t="str">
        <f t="shared" si="3"/>
        <v/>
      </c>
      <c r="T127" s="158" t="str">
        <f t="shared" si="4"/>
        <v/>
      </c>
      <c r="V127" s="158" t="str">
        <f t="shared" si="5"/>
        <v/>
      </c>
    </row>
    <row r="128" spans="17:22" x14ac:dyDescent="0.15">
      <c r="Q128" s="158" t="str">
        <f t="shared" si="3"/>
        <v/>
      </c>
      <c r="T128" s="158" t="str">
        <f t="shared" si="4"/>
        <v/>
      </c>
      <c r="V128" s="158" t="str">
        <f t="shared" si="5"/>
        <v/>
      </c>
    </row>
    <row r="129" spans="17:22" x14ac:dyDescent="0.15">
      <c r="Q129" s="158" t="str">
        <f t="shared" si="3"/>
        <v/>
      </c>
      <c r="T129" s="158" t="str">
        <f t="shared" si="4"/>
        <v/>
      </c>
      <c r="V129" s="158" t="str">
        <f t="shared" si="5"/>
        <v/>
      </c>
    </row>
    <row r="130" spans="17:22" x14ac:dyDescent="0.15">
      <c r="Q130" s="158" t="str">
        <f t="shared" si="3"/>
        <v/>
      </c>
      <c r="T130" s="158" t="str">
        <f t="shared" si="4"/>
        <v/>
      </c>
      <c r="V130" s="158" t="str">
        <f t="shared" si="5"/>
        <v/>
      </c>
    </row>
    <row r="131" spans="17:22" x14ac:dyDescent="0.15">
      <c r="Q131" s="158" t="str">
        <f t="shared" si="3"/>
        <v/>
      </c>
      <c r="T131" s="158" t="str">
        <f t="shared" si="4"/>
        <v/>
      </c>
      <c r="V131" s="158" t="str">
        <f t="shared" si="5"/>
        <v/>
      </c>
    </row>
    <row r="132" spans="17:22" x14ac:dyDescent="0.15">
      <c r="Q132" s="158" t="str">
        <f t="shared" si="3"/>
        <v/>
      </c>
      <c r="T132" s="158" t="str">
        <f t="shared" si="4"/>
        <v/>
      </c>
      <c r="V132" s="158" t="str">
        <f t="shared" si="5"/>
        <v/>
      </c>
    </row>
    <row r="133" spans="17:22" x14ac:dyDescent="0.15">
      <c r="Q133" s="158" t="str">
        <f t="shared" si="3"/>
        <v/>
      </c>
      <c r="T133" s="158" t="str">
        <f t="shared" si="4"/>
        <v/>
      </c>
      <c r="V133" s="158" t="str">
        <f t="shared" si="5"/>
        <v/>
      </c>
    </row>
    <row r="134" spans="17:22" x14ac:dyDescent="0.15">
      <c r="Q134" s="158" t="str">
        <f t="shared" si="3"/>
        <v/>
      </c>
      <c r="T134" s="158" t="str">
        <f t="shared" si="4"/>
        <v/>
      </c>
      <c r="V134" s="158" t="str">
        <f t="shared" si="5"/>
        <v/>
      </c>
    </row>
    <row r="135" spans="17:22" x14ac:dyDescent="0.15">
      <c r="Q135" s="158" t="str">
        <f t="shared" si="3"/>
        <v/>
      </c>
      <c r="T135" s="158" t="str">
        <f t="shared" si="4"/>
        <v/>
      </c>
      <c r="V135" s="158" t="str">
        <f t="shared" si="5"/>
        <v/>
      </c>
    </row>
    <row r="136" spans="17:22" x14ac:dyDescent="0.15">
      <c r="Q136" s="158" t="str">
        <f t="shared" si="3"/>
        <v/>
      </c>
      <c r="T136" s="158" t="str">
        <f t="shared" si="4"/>
        <v/>
      </c>
      <c r="V136" s="158" t="str">
        <f t="shared" si="5"/>
        <v/>
      </c>
    </row>
    <row r="137" spans="17:22" x14ac:dyDescent="0.15">
      <c r="Q137" s="158" t="str">
        <f t="shared" si="3"/>
        <v/>
      </c>
      <c r="T137" s="158" t="str">
        <f t="shared" si="4"/>
        <v/>
      </c>
      <c r="V137" s="158" t="str">
        <f t="shared" si="5"/>
        <v/>
      </c>
    </row>
    <row r="138" spans="17:22" x14ac:dyDescent="0.15">
      <c r="Q138" s="158" t="str">
        <f t="shared" si="3"/>
        <v/>
      </c>
      <c r="T138" s="158" t="str">
        <f t="shared" si="4"/>
        <v/>
      </c>
      <c r="V138" s="158" t="str">
        <f t="shared" si="5"/>
        <v/>
      </c>
    </row>
    <row r="139" spans="17:22" x14ac:dyDescent="0.15">
      <c r="Q139" s="158" t="str">
        <f t="shared" si="3"/>
        <v/>
      </c>
      <c r="T139" s="158" t="str">
        <f t="shared" si="4"/>
        <v/>
      </c>
      <c r="V139" s="158" t="str">
        <f t="shared" si="5"/>
        <v/>
      </c>
    </row>
    <row r="140" spans="17:22" x14ac:dyDescent="0.15">
      <c r="Q140" s="158" t="str">
        <f t="shared" si="3"/>
        <v/>
      </c>
      <c r="T140" s="158" t="str">
        <f t="shared" si="4"/>
        <v/>
      </c>
      <c r="V140" s="158" t="str">
        <f t="shared" si="5"/>
        <v/>
      </c>
    </row>
    <row r="141" spans="17:22" x14ac:dyDescent="0.15">
      <c r="Q141" s="158" t="str">
        <f t="shared" si="3"/>
        <v/>
      </c>
      <c r="T141" s="158" t="str">
        <f t="shared" si="4"/>
        <v/>
      </c>
      <c r="V141" s="158" t="str">
        <f t="shared" si="5"/>
        <v/>
      </c>
    </row>
    <row r="142" spans="17:22" x14ac:dyDescent="0.15">
      <c r="Q142" s="158" t="str">
        <f t="shared" si="3"/>
        <v/>
      </c>
      <c r="T142" s="158" t="str">
        <f t="shared" si="4"/>
        <v/>
      </c>
      <c r="V142" s="158" t="str">
        <f t="shared" si="5"/>
        <v/>
      </c>
    </row>
    <row r="143" spans="17:22" x14ac:dyDescent="0.15">
      <c r="Q143" s="158" t="str">
        <f t="shared" si="3"/>
        <v/>
      </c>
      <c r="T143" s="158" t="str">
        <f t="shared" si="4"/>
        <v/>
      </c>
      <c r="V143" s="158" t="str">
        <f t="shared" si="5"/>
        <v/>
      </c>
    </row>
    <row r="144" spans="17:22" x14ac:dyDescent="0.15">
      <c r="Q144" s="158" t="str">
        <f t="shared" si="3"/>
        <v/>
      </c>
      <c r="T144" s="158" t="str">
        <f t="shared" si="4"/>
        <v/>
      </c>
      <c r="V144" s="158" t="str">
        <f t="shared" si="5"/>
        <v/>
      </c>
    </row>
    <row r="145" spans="17:22" x14ac:dyDescent="0.15">
      <c r="Q145" s="158" t="str">
        <f t="shared" si="3"/>
        <v/>
      </c>
      <c r="T145" s="158" t="str">
        <f t="shared" si="4"/>
        <v/>
      </c>
      <c r="V145" s="158" t="str">
        <f t="shared" si="5"/>
        <v/>
      </c>
    </row>
    <row r="146" spans="17:22" x14ac:dyDescent="0.15">
      <c r="Q146" s="158" t="str">
        <f t="shared" si="3"/>
        <v/>
      </c>
      <c r="T146" s="158" t="str">
        <f t="shared" si="4"/>
        <v/>
      </c>
      <c r="V146" s="158" t="str">
        <f t="shared" si="5"/>
        <v/>
      </c>
    </row>
    <row r="147" spans="17:22" x14ac:dyDescent="0.15">
      <c r="Q147" s="158" t="str">
        <f t="shared" si="3"/>
        <v/>
      </c>
      <c r="T147" s="158" t="str">
        <f t="shared" si="4"/>
        <v/>
      </c>
      <c r="V147" s="158" t="str">
        <f t="shared" si="5"/>
        <v/>
      </c>
    </row>
    <row r="148" spans="17:22" x14ac:dyDescent="0.15">
      <c r="Q148" s="158" t="str">
        <f t="shared" si="3"/>
        <v/>
      </c>
      <c r="T148" s="158" t="str">
        <f t="shared" si="4"/>
        <v/>
      </c>
      <c r="V148" s="158" t="str">
        <f t="shared" si="5"/>
        <v/>
      </c>
    </row>
    <row r="149" spans="17:22" x14ac:dyDescent="0.15">
      <c r="Q149" s="158" t="str">
        <f t="shared" si="3"/>
        <v/>
      </c>
      <c r="T149" s="158" t="str">
        <f t="shared" si="4"/>
        <v/>
      </c>
      <c r="V149" s="158" t="str">
        <f t="shared" si="5"/>
        <v/>
      </c>
    </row>
    <row r="150" spans="17:22" x14ac:dyDescent="0.15">
      <c r="Q150" s="158" t="str">
        <f t="shared" si="3"/>
        <v/>
      </c>
      <c r="T150" s="158" t="str">
        <f t="shared" si="4"/>
        <v/>
      </c>
      <c r="V150" s="158" t="str">
        <f t="shared" si="5"/>
        <v/>
      </c>
    </row>
    <row r="151" spans="17:22" x14ac:dyDescent="0.15">
      <c r="Q151" s="158" t="str">
        <f t="shared" si="3"/>
        <v/>
      </c>
      <c r="T151" s="158" t="str">
        <f t="shared" si="4"/>
        <v/>
      </c>
      <c r="V151" s="158" t="str">
        <f t="shared" si="5"/>
        <v/>
      </c>
    </row>
    <row r="152" spans="17:22" x14ac:dyDescent="0.15">
      <c r="Q152" s="158" t="str">
        <f t="shared" si="3"/>
        <v/>
      </c>
      <c r="T152" s="158" t="str">
        <f t="shared" si="4"/>
        <v/>
      </c>
      <c r="V152" s="158"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65530:K65595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K131066:K131131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K196602:K196667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K262138:K262203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K327674:K32773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K393210:K393275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K458746:K458811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K524282:K524347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K589818:K589883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K655354:K65541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K720890:K720955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K786426:K786491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K851962:K852027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K917498:K917563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K983034:K98309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FAY2:FAY59 ERC2:ERC59 EHG2:EHG59 DXK2:DXK59 DNO2:DNO59 DDS2:DDS59 CTW2:CTW59 CKA2:CKA59 CAE2:CAE59 BQI2:BQI59 BGM2:BGM59 AWQ2:AWQ59 AMU2:AMU59 ACY2:ACY59 TC2:TC59 K435:K492">
      <formula1>$AR$2:$AR$25</formula1>
    </dataValidation>
    <dataValidation type="list" allowBlank="1" showInputMessage="1" showErrorMessage="1" sqref="WVR983034:WVR983099 J65530:J65595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J131066:J131131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J196602:J196667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J262138:J262203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J327674:J32773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J393210:J393275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J458746:J458811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J524282:J524347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J589818:J589883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J655354:J65541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J720890:J720955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J786426:J786491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J851962:J852027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J917498:J917563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983034:J98309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ERB2:ERB59 EHF2:EHF59 DXJ2:DXJ59 DNN2:DNN59 DDR2:DDR59 CTV2:CTV59 CJZ2:CJZ59 CAD2:CAD59 BQH2:BQH59 BGL2:BGL59 AWP2:AWP59 AMT2:AMT59 ACX2:ACX59 TB2:TB59 JF2:JF59 J44:J492">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formula1>$AN$5:$AN$6</formula1>
    </dataValidation>
    <dataValidation type="list" allowBlank="1" showInputMessage="1" showErrorMessage="1" sqref="J64355:J6442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J129891:J129956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J195427:J195492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J260963:J261028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J326499:J326564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J392035:J39210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J457571:J457636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J523107:J523172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J588643:J588708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J654179:J654244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J719715:J71978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J785251:J785316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J850787:J850852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J916323:J916388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J981859:J981924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J1047395:J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RDZ1047395:RDZ1047460 RNV1047395:RNV1047460 RXR1047395:RXR1047460 SHN1047395:SHN1047460 SRJ1047395:SRJ1047460 TBF1047395:TBF1047460 TLB1047395:TLB1047460 TUX1047395:TUX1047460 UET1047395:UET1047460 UOP1047395:UOP1047460 UYL1047395:UYL1047460 VIH1047395:VIH1047460 VSD1047395:VSD1047460 WBZ1047395:WBZ1047460 WLV1047395:WLV1047460 WVR1047395:WVR1047460">
      <formula1>$AP$2:$AP$15</formula1>
    </dataValidation>
    <dataValidation type="list" allowBlank="1" showInputMessage="1" showErrorMessage="1" sqref="K64355:K6442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K129891:K129956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K195427:K195492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K260963:K261028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K326499:K326564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K392035:K39210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K457571:K457636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K523107:K523172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K588643:K588708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K654179:K654244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K719715:K71978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K785251:K785316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K850787:K850852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K916323:K916388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K981859:K981924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K1047395:K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REA1047395:REA1047460 RNW1047395:RNW1047460 RXS1047395:RXS1047460 SHO1047395:SHO1047460 SRK1047395:SRK1047460 TBG1047395:TBG1047460 TLC1047395:TLC1047460 TUY1047395:TUY1047460 UEU1047395:UEU1047460 UOQ1047395:UOQ1047460 UYM1047395:UYM1047460 VII1047395:VII1047460 VSE1047395:VSE1047460 WCA1047395:WCA1047460 WLW1047395:WLW1047460 WVS1047395:WVS1047460">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topLeftCell="A25" zoomScale="85" zoomScaleNormal="85" zoomScaleSheetLayoutView="100" workbookViewId="0">
      <selection activeCell="I38" sqref="I38"/>
    </sheetView>
  </sheetViews>
  <sheetFormatPr defaultRowHeight="13.5" x14ac:dyDescent="0.15"/>
  <cols>
    <col min="1" max="3" width="9" style="149"/>
    <col min="4" max="4" width="10.5" style="149" bestFit="1" customWidth="1"/>
    <col min="5" max="16" width="9" style="149"/>
    <col min="17" max="17" width="9" style="158"/>
    <col min="18" max="19" width="9" style="149"/>
    <col min="20" max="20" width="9" style="158"/>
    <col min="21" max="21" width="9" style="149"/>
    <col min="22" max="22" width="9" style="158"/>
    <col min="23" max="32" width="9" style="149"/>
    <col min="33" max="33" width="16.875" style="149" bestFit="1" customWidth="1"/>
    <col min="34" max="34" width="15.625" style="149" customWidth="1"/>
    <col min="35" max="39" width="9" style="211"/>
    <col min="40" max="16384" width="9" style="149"/>
  </cols>
  <sheetData>
    <row r="1" spans="1:53" ht="45" x14ac:dyDescent="0.15">
      <c r="A1" s="181" t="s">
        <v>0</v>
      </c>
      <c r="B1" s="143" t="s">
        <v>1</v>
      </c>
      <c r="C1" s="143" t="s">
        <v>511</v>
      </c>
      <c r="D1" s="144" t="s">
        <v>3</v>
      </c>
      <c r="E1" s="182" t="s">
        <v>4</v>
      </c>
      <c r="F1" s="182" t="s">
        <v>5</v>
      </c>
      <c r="G1" s="182" t="s">
        <v>6</v>
      </c>
      <c r="H1" s="182" t="s">
        <v>7</v>
      </c>
      <c r="I1" s="182" t="s">
        <v>8</v>
      </c>
      <c r="J1" s="182" t="s">
        <v>9</v>
      </c>
      <c r="K1" s="220" t="s">
        <v>10</v>
      </c>
      <c r="L1" s="144" t="s">
        <v>512</v>
      </c>
      <c r="M1" s="144" t="s">
        <v>12</v>
      </c>
      <c r="N1" s="144" t="s">
        <v>13</v>
      </c>
      <c r="O1" s="144" t="s">
        <v>513</v>
      </c>
      <c r="P1" s="144" t="s">
        <v>514</v>
      </c>
      <c r="Q1" s="145" t="s">
        <v>16</v>
      </c>
      <c r="R1" s="144" t="s">
        <v>515</v>
      </c>
      <c r="S1" s="144" t="s">
        <v>516</v>
      </c>
      <c r="T1" s="145" t="s">
        <v>19</v>
      </c>
      <c r="U1" s="146" t="s">
        <v>108</v>
      </c>
      <c r="V1" s="147" t="s">
        <v>20</v>
      </c>
      <c r="W1" s="144" t="s">
        <v>21</v>
      </c>
      <c r="X1" s="182" t="s">
        <v>22</v>
      </c>
      <c r="Y1" s="182" t="s">
        <v>23</v>
      </c>
      <c r="Z1" s="182" t="s">
        <v>24</v>
      </c>
      <c r="AA1" s="183" t="s">
        <v>25</v>
      </c>
      <c r="AB1" s="148" t="s">
        <v>517</v>
      </c>
      <c r="AE1" s="150" t="s">
        <v>0</v>
      </c>
      <c r="AF1" s="151"/>
      <c r="AG1" s="150" t="s">
        <v>4</v>
      </c>
      <c r="AH1" s="150" t="s">
        <v>5</v>
      </c>
      <c r="AI1" s="221"/>
      <c r="AJ1" s="222" t="s">
        <v>6</v>
      </c>
      <c r="AK1" s="221"/>
      <c r="AL1" s="223" t="s">
        <v>7</v>
      </c>
      <c r="AM1" s="221"/>
      <c r="AN1" s="152" t="s">
        <v>8</v>
      </c>
      <c r="AO1" s="151"/>
      <c r="AP1" s="152" t="s">
        <v>27</v>
      </c>
      <c r="AQ1" s="151"/>
      <c r="AR1" s="152" t="s">
        <v>10</v>
      </c>
      <c r="AS1" s="151"/>
      <c r="AT1" s="153" t="s">
        <v>28</v>
      </c>
      <c r="AU1" s="151"/>
      <c r="AV1" s="152" t="s">
        <v>29</v>
      </c>
      <c r="AX1" s="154" t="s">
        <v>518</v>
      </c>
      <c r="AY1" s="155" t="s">
        <v>519</v>
      </c>
      <c r="AZ1" s="155" t="s">
        <v>520</v>
      </c>
      <c r="BA1" s="156" t="s">
        <v>521</v>
      </c>
    </row>
    <row r="2" spans="1:53" x14ac:dyDescent="0.15">
      <c r="A2" s="224" t="s">
        <v>34</v>
      </c>
      <c r="B2" s="224" t="s">
        <v>522</v>
      </c>
      <c r="C2" s="224">
        <v>2018</v>
      </c>
      <c r="D2" s="225" t="s">
        <v>523</v>
      </c>
      <c r="E2" s="224" t="s">
        <v>524</v>
      </c>
      <c r="F2" s="224" t="s">
        <v>525</v>
      </c>
      <c r="G2" s="226" t="s">
        <v>36</v>
      </c>
      <c r="H2" s="227" t="s">
        <v>211</v>
      </c>
      <c r="I2" s="205" t="s">
        <v>155</v>
      </c>
      <c r="J2" s="228" t="s">
        <v>38</v>
      </c>
      <c r="K2" s="205" t="s">
        <v>156</v>
      </c>
      <c r="L2" s="229">
        <v>1</v>
      </c>
      <c r="M2" s="230"/>
      <c r="N2" s="230">
        <v>5</v>
      </c>
      <c r="O2" s="230">
        <v>0.35</v>
      </c>
      <c r="P2" s="230">
        <v>0.3</v>
      </c>
      <c r="Q2" s="231">
        <f t="shared" ref="Q2:Q65" si="0">IF(OR(O2="",P2=""),"",AVERAGE(O2,P2))</f>
        <v>0.32499999999999996</v>
      </c>
      <c r="R2" s="232">
        <v>17.8</v>
      </c>
      <c r="S2" s="227">
        <v>74</v>
      </c>
      <c r="T2" s="233">
        <f t="shared" ref="T2:T65" si="1">IF(H2="","",IF(OR(H2="GREEN",H2="GK"),IF(S2&gt;=$AX$2,VLOOKUP(S2,$AX$2:$AY$7,2,1),""),IF(S2&gt;=$AZ$2,VLOOKUP(S2,$AZ$2:$BA$7,2,1),"")))</f>
        <v>42</v>
      </c>
      <c r="U2" s="205">
        <v>398</v>
      </c>
      <c r="V2" s="233">
        <f t="shared" ref="V2:V65" si="2">IF(OR(N2="",U2="",T2=""),"",U2/N2*T2)</f>
        <v>3343.2</v>
      </c>
      <c r="W2" s="234">
        <v>4</v>
      </c>
      <c r="X2" s="235" t="s">
        <v>46</v>
      </c>
      <c r="Y2" s="235" t="s">
        <v>69</v>
      </c>
      <c r="Z2" s="235" t="s">
        <v>88</v>
      </c>
      <c r="AA2" s="236" t="s">
        <v>86</v>
      </c>
      <c r="AB2" s="55" t="s">
        <v>526</v>
      </c>
      <c r="AE2" s="159" t="s">
        <v>35</v>
      </c>
      <c r="AG2" s="184" t="s">
        <v>527</v>
      </c>
      <c r="AH2" s="184" t="s">
        <v>528</v>
      </c>
      <c r="AJ2" s="212" t="s">
        <v>36</v>
      </c>
      <c r="AL2" s="160" t="s">
        <v>127</v>
      </c>
      <c r="AN2" s="160" t="s">
        <v>37</v>
      </c>
      <c r="AO2" s="157"/>
      <c r="AP2" s="160" t="s">
        <v>38</v>
      </c>
      <c r="AQ2" s="157"/>
      <c r="AR2" s="160" t="s">
        <v>529</v>
      </c>
      <c r="AS2" s="157"/>
      <c r="AT2" s="160" t="s">
        <v>39</v>
      </c>
      <c r="AU2" s="157"/>
      <c r="AV2" s="189" t="s">
        <v>40</v>
      </c>
      <c r="AW2" s="157"/>
      <c r="AX2" s="161">
        <v>1</v>
      </c>
      <c r="AY2" s="162">
        <v>50</v>
      </c>
      <c r="AZ2" s="162">
        <v>1</v>
      </c>
      <c r="BA2" s="163">
        <v>50</v>
      </c>
    </row>
    <row r="3" spans="1:53" x14ac:dyDescent="0.15">
      <c r="A3" s="237" t="s">
        <v>34</v>
      </c>
      <c r="B3" s="237" t="s">
        <v>313</v>
      </c>
      <c r="C3" s="238">
        <v>2018</v>
      </c>
      <c r="D3" s="239" t="s">
        <v>530</v>
      </c>
      <c r="E3" s="237" t="s">
        <v>524</v>
      </c>
      <c r="F3" s="237" t="s">
        <v>525</v>
      </c>
      <c r="G3" s="240" t="s">
        <v>36</v>
      </c>
      <c r="H3" s="205" t="s">
        <v>211</v>
      </c>
      <c r="I3" s="205" t="s">
        <v>155</v>
      </c>
      <c r="J3" s="205" t="s">
        <v>38</v>
      </c>
      <c r="K3" s="205" t="s">
        <v>156</v>
      </c>
      <c r="L3" s="149">
        <v>2</v>
      </c>
      <c r="N3" s="149">
        <v>5</v>
      </c>
      <c r="O3" s="149">
        <v>0.4</v>
      </c>
      <c r="P3" s="176">
        <v>0.35</v>
      </c>
      <c r="Q3" s="241">
        <f t="shared" si="0"/>
        <v>0.375</v>
      </c>
      <c r="R3" s="242">
        <v>18.2</v>
      </c>
      <c r="S3" s="242">
        <v>78</v>
      </c>
      <c r="T3" s="158">
        <f t="shared" si="1"/>
        <v>39</v>
      </c>
      <c r="U3" s="243">
        <v>398</v>
      </c>
      <c r="V3" s="244">
        <f t="shared" si="2"/>
        <v>3104.3999999999996</v>
      </c>
      <c r="W3" s="245">
        <v>4</v>
      </c>
      <c r="X3" s="246" t="s">
        <v>46</v>
      </c>
      <c r="Y3" s="246" t="s">
        <v>69</v>
      </c>
      <c r="Z3" s="246" t="s">
        <v>88</v>
      </c>
      <c r="AA3" s="236" t="s">
        <v>86</v>
      </c>
      <c r="AB3" s="55" t="s">
        <v>315</v>
      </c>
      <c r="AE3" s="164" t="s">
        <v>41</v>
      </c>
      <c r="AG3" s="184" t="s">
        <v>531</v>
      </c>
      <c r="AH3" s="184" t="s">
        <v>532</v>
      </c>
      <c r="AJ3" s="247" t="s">
        <v>42</v>
      </c>
      <c r="AL3" s="165" t="s">
        <v>128</v>
      </c>
      <c r="AN3" s="165" t="s">
        <v>43</v>
      </c>
      <c r="AP3" s="165" t="s">
        <v>44</v>
      </c>
      <c r="AR3" s="179" t="s">
        <v>45</v>
      </c>
      <c r="AT3" s="165" t="s">
        <v>46</v>
      </c>
      <c r="AV3" s="165" t="s">
        <v>47</v>
      </c>
      <c r="AX3" s="166">
        <v>72</v>
      </c>
      <c r="AY3" s="167">
        <v>46</v>
      </c>
      <c r="AZ3" s="167">
        <v>71</v>
      </c>
      <c r="BA3" s="168">
        <v>42</v>
      </c>
    </row>
    <row r="4" spans="1:53" x14ac:dyDescent="0.15">
      <c r="A4" s="237" t="s">
        <v>34</v>
      </c>
      <c r="B4" s="237" t="s">
        <v>313</v>
      </c>
      <c r="C4" s="237">
        <v>2018</v>
      </c>
      <c r="D4" s="239" t="s">
        <v>530</v>
      </c>
      <c r="E4" s="237" t="s">
        <v>524</v>
      </c>
      <c r="F4" s="237" t="s">
        <v>525</v>
      </c>
      <c r="G4" s="240" t="s">
        <v>36</v>
      </c>
      <c r="H4" s="205" t="s">
        <v>211</v>
      </c>
      <c r="I4" s="205" t="s">
        <v>155</v>
      </c>
      <c r="J4" s="205" t="s">
        <v>38</v>
      </c>
      <c r="K4" s="205" t="s">
        <v>156</v>
      </c>
      <c r="L4" s="149">
        <v>3</v>
      </c>
      <c r="N4" s="149">
        <v>5</v>
      </c>
      <c r="O4" s="149">
        <v>0.3</v>
      </c>
      <c r="P4" s="176">
        <v>0.3</v>
      </c>
      <c r="Q4" s="186">
        <f t="shared" si="0"/>
        <v>0.3</v>
      </c>
      <c r="R4" s="248">
        <v>17.399999999999999</v>
      </c>
      <c r="S4" s="248">
        <v>75</v>
      </c>
      <c r="T4" s="158">
        <f t="shared" si="1"/>
        <v>42</v>
      </c>
      <c r="U4" s="249">
        <v>398</v>
      </c>
      <c r="V4" s="244">
        <f t="shared" si="2"/>
        <v>3343.2</v>
      </c>
      <c r="W4" s="250">
        <v>4</v>
      </c>
      <c r="X4" s="246" t="s">
        <v>46</v>
      </c>
      <c r="Y4" s="246" t="s">
        <v>69</v>
      </c>
      <c r="Z4" s="246" t="s">
        <v>88</v>
      </c>
      <c r="AA4" s="236" t="s">
        <v>86</v>
      </c>
      <c r="AB4" s="55" t="s">
        <v>315</v>
      </c>
      <c r="AE4" s="164" t="s">
        <v>34</v>
      </c>
      <c r="AG4" s="184" t="s">
        <v>533</v>
      </c>
      <c r="AH4" s="184" t="s">
        <v>534</v>
      </c>
      <c r="AJ4" s="251" t="s">
        <v>48</v>
      </c>
      <c r="AL4" s="169" t="s">
        <v>129</v>
      </c>
      <c r="AN4" s="170" t="s">
        <v>49</v>
      </c>
      <c r="AP4" s="165" t="s">
        <v>535</v>
      </c>
      <c r="AR4" s="179" t="s">
        <v>536</v>
      </c>
      <c r="AT4" s="170"/>
      <c r="AV4" s="165" t="s">
        <v>50</v>
      </c>
      <c r="AX4" s="166">
        <v>75</v>
      </c>
      <c r="AY4" s="167">
        <v>42</v>
      </c>
      <c r="AZ4" s="167">
        <v>76</v>
      </c>
      <c r="BA4" s="168">
        <v>39</v>
      </c>
    </row>
    <row r="5" spans="1:53" x14ac:dyDescent="0.15">
      <c r="A5" s="237" t="s">
        <v>34</v>
      </c>
      <c r="B5" s="237" t="s">
        <v>313</v>
      </c>
      <c r="C5" s="238">
        <v>2018</v>
      </c>
      <c r="D5" s="239" t="s">
        <v>530</v>
      </c>
      <c r="E5" s="237" t="s">
        <v>524</v>
      </c>
      <c r="F5" s="237" t="s">
        <v>525</v>
      </c>
      <c r="G5" s="240" t="s">
        <v>36</v>
      </c>
      <c r="H5" s="205" t="s">
        <v>162</v>
      </c>
      <c r="I5" s="205" t="s">
        <v>155</v>
      </c>
      <c r="J5" s="205" t="s">
        <v>38</v>
      </c>
      <c r="K5" s="205" t="s">
        <v>156</v>
      </c>
      <c r="L5" s="149">
        <v>1</v>
      </c>
      <c r="N5" s="149">
        <v>4</v>
      </c>
      <c r="O5" s="149">
        <v>0.35</v>
      </c>
      <c r="P5" s="178">
        <v>0.35</v>
      </c>
      <c r="Q5" s="186">
        <f t="shared" si="0"/>
        <v>0.35</v>
      </c>
      <c r="R5" s="248">
        <v>15.9</v>
      </c>
      <c r="S5" s="248">
        <v>135</v>
      </c>
      <c r="T5" s="158">
        <f t="shared" si="1"/>
        <v>30</v>
      </c>
      <c r="U5" s="249">
        <v>498</v>
      </c>
      <c r="V5" s="244">
        <f t="shared" si="2"/>
        <v>3735</v>
      </c>
      <c r="W5" s="250">
        <v>4</v>
      </c>
      <c r="X5" s="246" t="s">
        <v>46</v>
      </c>
      <c r="Y5" s="246" t="s">
        <v>69</v>
      </c>
      <c r="Z5" s="246" t="s">
        <v>88</v>
      </c>
      <c r="AA5" s="236" t="s">
        <v>86</v>
      </c>
      <c r="AB5" s="55" t="s">
        <v>315</v>
      </c>
      <c r="AE5" s="164" t="s">
        <v>51</v>
      </c>
      <c r="AG5" s="184" t="s">
        <v>537</v>
      </c>
      <c r="AH5" s="184" t="s">
        <v>538</v>
      </c>
      <c r="AJ5" s="252"/>
      <c r="AL5" s="171" t="s">
        <v>539</v>
      </c>
      <c r="AN5" s="171" t="s">
        <v>540</v>
      </c>
      <c r="AP5" s="165" t="s">
        <v>541</v>
      </c>
      <c r="AR5" s="179" t="s">
        <v>54</v>
      </c>
      <c r="AT5" s="188"/>
      <c r="AV5" s="165" t="s">
        <v>55</v>
      </c>
      <c r="AX5" s="166">
        <v>84</v>
      </c>
      <c r="AY5" s="167">
        <v>39</v>
      </c>
      <c r="AZ5" s="167">
        <v>84</v>
      </c>
      <c r="BA5" s="168">
        <v>36</v>
      </c>
    </row>
    <row r="6" spans="1:53" x14ac:dyDescent="0.15">
      <c r="A6" s="237" t="s">
        <v>34</v>
      </c>
      <c r="B6" s="237" t="s">
        <v>313</v>
      </c>
      <c r="C6" s="237">
        <v>2018</v>
      </c>
      <c r="D6" s="239" t="s">
        <v>530</v>
      </c>
      <c r="E6" s="237" t="s">
        <v>524</v>
      </c>
      <c r="F6" s="237" t="s">
        <v>525</v>
      </c>
      <c r="G6" s="240" t="s">
        <v>36</v>
      </c>
      <c r="H6" s="205" t="s">
        <v>162</v>
      </c>
      <c r="I6" s="205" t="s">
        <v>155</v>
      </c>
      <c r="J6" s="205" t="s">
        <v>38</v>
      </c>
      <c r="K6" s="205" t="s">
        <v>156</v>
      </c>
      <c r="L6" s="149">
        <v>2</v>
      </c>
      <c r="N6" s="149">
        <v>4</v>
      </c>
      <c r="O6" s="149">
        <v>0.4</v>
      </c>
      <c r="P6" s="178">
        <v>0.35</v>
      </c>
      <c r="Q6" s="186">
        <f t="shared" si="0"/>
        <v>0.375</v>
      </c>
      <c r="R6" s="248">
        <v>15.5</v>
      </c>
      <c r="S6" s="248">
        <v>132</v>
      </c>
      <c r="T6" s="158">
        <f t="shared" si="1"/>
        <v>30</v>
      </c>
      <c r="U6" s="249">
        <v>498</v>
      </c>
      <c r="V6" s="244">
        <f t="shared" si="2"/>
        <v>3735</v>
      </c>
      <c r="W6" s="250">
        <v>4</v>
      </c>
      <c r="X6" s="246" t="s">
        <v>46</v>
      </c>
      <c r="Y6" s="246" t="s">
        <v>69</v>
      </c>
      <c r="Z6" s="246" t="s">
        <v>88</v>
      </c>
      <c r="AA6" s="236" t="s">
        <v>86</v>
      </c>
      <c r="AB6" s="55" t="s">
        <v>315</v>
      </c>
      <c r="AE6" s="164" t="s">
        <v>56</v>
      </c>
      <c r="AG6" s="184" t="s">
        <v>542</v>
      </c>
      <c r="AH6" s="184" t="s">
        <v>543</v>
      </c>
      <c r="AL6" s="171" t="s">
        <v>544</v>
      </c>
      <c r="AN6" s="171" t="s">
        <v>545</v>
      </c>
      <c r="AP6" s="165" t="s">
        <v>53</v>
      </c>
      <c r="AR6" s="179" t="s">
        <v>59</v>
      </c>
      <c r="AV6" s="165" t="s">
        <v>60</v>
      </c>
      <c r="AX6" s="166">
        <v>97</v>
      </c>
      <c r="AY6" s="167">
        <v>36</v>
      </c>
      <c r="AZ6" s="167">
        <v>99</v>
      </c>
      <c r="BA6" s="168">
        <v>33</v>
      </c>
    </row>
    <row r="7" spans="1:53" x14ac:dyDescent="0.15">
      <c r="A7" s="237" t="s">
        <v>34</v>
      </c>
      <c r="B7" s="237" t="s">
        <v>313</v>
      </c>
      <c r="C7" s="238">
        <v>2018</v>
      </c>
      <c r="D7" s="239" t="s">
        <v>530</v>
      </c>
      <c r="E7" s="237" t="s">
        <v>524</v>
      </c>
      <c r="F7" s="237" t="s">
        <v>525</v>
      </c>
      <c r="G7" s="240" t="s">
        <v>36</v>
      </c>
      <c r="H7" s="205" t="s">
        <v>162</v>
      </c>
      <c r="I7" s="205" t="s">
        <v>155</v>
      </c>
      <c r="J7" s="205" t="s">
        <v>38</v>
      </c>
      <c r="K7" s="205" t="s">
        <v>156</v>
      </c>
      <c r="L7" s="149">
        <v>3</v>
      </c>
      <c r="N7" s="149">
        <v>4</v>
      </c>
      <c r="O7" s="149">
        <v>0.4</v>
      </c>
      <c r="P7" s="178">
        <v>0.4</v>
      </c>
      <c r="Q7" s="186">
        <f t="shared" si="0"/>
        <v>0.4</v>
      </c>
      <c r="R7" s="248">
        <v>15.4</v>
      </c>
      <c r="S7" s="248">
        <v>133</v>
      </c>
      <c r="T7" s="158">
        <f t="shared" si="1"/>
        <v>30</v>
      </c>
      <c r="U7" s="249">
        <v>498</v>
      </c>
      <c r="V7" s="244">
        <f t="shared" si="2"/>
        <v>3735</v>
      </c>
      <c r="W7" s="250">
        <v>4</v>
      </c>
      <c r="X7" s="246" t="s">
        <v>46</v>
      </c>
      <c r="Y7" s="246" t="s">
        <v>69</v>
      </c>
      <c r="Z7" s="246" t="s">
        <v>88</v>
      </c>
      <c r="AA7" s="236" t="s">
        <v>86</v>
      </c>
      <c r="AB7" s="55" t="s">
        <v>315</v>
      </c>
      <c r="AE7" s="164" t="s">
        <v>61</v>
      </c>
      <c r="AG7" s="184" t="s">
        <v>546</v>
      </c>
      <c r="AH7" s="184" t="s">
        <v>525</v>
      </c>
      <c r="AL7" s="176" t="s">
        <v>547</v>
      </c>
      <c r="AP7" s="165" t="s">
        <v>58</v>
      </c>
      <c r="AR7" s="172" t="s">
        <v>122</v>
      </c>
      <c r="AV7" s="165" t="s">
        <v>64</v>
      </c>
      <c r="AX7" s="166">
        <v>109</v>
      </c>
      <c r="AY7" s="167">
        <v>33</v>
      </c>
      <c r="AZ7" s="167">
        <v>113</v>
      </c>
      <c r="BA7" s="168">
        <v>30</v>
      </c>
    </row>
    <row r="8" spans="1:53" x14ac:dyDescent="0.15">
      <c r="A8" s="237" t="s">
        <v>34</v>
      </c>
      <c r="B8" s="237" t="s">
        <v>313</v>
      </c>
      <c r="C8" s="237">
        <v>2018</v>
      </c>
      <c r="D8" s="239" t="s">
        <v>530</v>
      </c>
      <c r="E8" s="238" t="s">
        <v>546</v>
      </c>
      <c r="F8" s="237" t="s">
        <v>543</v>
      </c>
      <c r="G8" s="240" t="s">
        <v>36</v>
      </c>
      <c r="H8" s="205" t="s">
        <v>211</v>
      </c>
      <c r="I8" s="205" t="s">
        <v>155</v>
      </c>
      <c r="J8" s="205" t="s">
        <v>38</v>
      </c>
      <c r="K8" s="205" t="s">
        <v>156</v>
      </c>
      <c r="L8" s="149">
        <v>1</v>
      </c>
      <c r="N8" s="149">
        <v>5</v>
      </c>
      <c r="O8" s="149">
        <v>0.3</v>
      </c>
      <c r="P8" s="149">
        <v>0.35</v>
      </c>
      <c r="Q8" s="186">
        <f t="shared" si="0"/>
        <v>0.32499999999999996</v>
      </c>
      <c r="R8" s="248">
        <v>17.399999999999999</v>
      </c>
      <c r="S8" s="248">
        <v>101</v>
      </c>
      <c r="T8" s="158">
        <f t="shared" si="1"/>
        <v>33</v>
      </c>
      <c r="U8" s="253">
        <v>398</v>
      </c>
      <c r="V8" s="244">
        <f t="shared" si="2"/>
        <v>2626.7999999999997</v>
      </c>
      <c r="W8" s="250">
        <v>4</v>
      </c>
      <c r="X8" s="246" t="s">
        <v>46</v>
      </c>
      <c r="Y8" s="254" t="s">
        <v>64</v>
      </c>
      <c r="Z8" s="246" t="s">
        <v>97</v>
      </c>
      <c r="AA8" s="236" t="s">
        <v>86</v>
      </c>
      <c r="AB8" s="55" t="s">
        <v>315</v>
      </c>
      <c r="AE8" s="164" t="s">
        <v>59</v>
      </c>
      <c r="AG8" s="184" t="s">
        <v>548</v>
      </c>
      <c r="AH8" s="184" t="s">
        <v>549</v>
      </c>
      <c r="AL8" s="176" t="s">
        <v>477</v>
      </c>
      <c r="AP8" s="165" t="s">
        <v>62</v>
      </c>
      <c r="AR8" s="179" t="s">
        <v>81</v>
      </c>
      <c r="AV8" s="165" t="s">
        <v>97</v>
      </c>
      <c r="AX8" s="166">
        <v>151</v>
      </c>
      <c r="AY8" s="167">
        <v>22</v>
      </c>
      <c r="AZ8" s="167">
        <v>152</v>
      </c>
      <c r="BA8" s="168">
        <v>18</v>
      </c>
    </row>
    <row r="9" spans="1:53" x14ac:dyDescent="0.15">
      <c r="A9" s="237" t="s">
        <v>34</v>
      </c>
      <c r="B9" s="237" t="s">
        <v>313</v>
      </c>
      <c r="C9" s="238">
        <v>2018</v>
      </c>
      <c r="D9" s="239" t="s">
        <v>530</v>
      </c>
      <c r="E9" s="238" t="s">
        <v>546</v>
      </c>
      <c r="F9" s="237" t="s">
        <v>543</v>
      </c>
      <c r="G9" s="240" t="s">
        <v>36</v>
      </c>
      <c r="H9" s="205" t="s">
        <v>211</v>
      </c>
      <c r="I9" s="205" t="s">
        <v>155</v>
      </c>
      <c r="J9" s="205" t="s">
        <v>38</v>
      </c>
      <c r="K9" s="205" t="s">
        <v>156</v>
      </c>
      <c r="L9" s="149">
        <v>2</v>
      </c>
      <c r="N9" s="149">
        <v>5</v>
      </c>
      <c r="O9" s="149">
        <v>0.35</v>
      </c>
      <c r="P9" s="149">
        <v>0.4</v>
      </c>
      <c r="Q9" s="186">
        <f t="shared" si="0"/>
        <v>0.375</v>
      </c>
      <c r="R9" s="248">
        <v>18</v>
      </c>
      <c r="S9" s="248">
        <v>100</v>
      </c>
      <c r="T9" s="158">
        <f t="shared" si="1"/>
        <v>33</v>
      </c>
      <c r="U9" s="253">
        <v>398</v>
      </c>
      <c r="V9" s="244">
        <f t="shared" si="2"/>
        <v>2626.7999999999997</v>
      </c>
      <c r="W9" s="250">
        <v>4</v>
      </c>
      <c r="X9" s="246" t="s">
        <v>46</v>
      </c>
      <c r="Y9" s="254" t="s">
        <v>64</v>
      </c>
      <c r="Z9" s="246" t="s">
        <v>97</v>
      </c>
      <c r="AA9" s="236" t="s">
        <v>86</v>
      </c>
      <c r="AB9" s="55" t="s">
        <v>315</v>
      </c>
      <c r="AE9" s="164" t="s">
        <v>98</v>
      </c>
      <c r="AG9" s="184" t="s">
        <v>550</v>
      </c>
      <c r="AH9" s="184" t="s">
        <v>551</v>
      </c>
      <c r="AL9" s="171"/>
      <c r="AP9" s="165" t="s">
        <v>95</v>
      </c>
      <c r="AR9" s="172" t="s">
        <v>89</v>
      </c>
      <c r="AV9" s="165" t="s">
        <v>102</v>
      </c>
      <c r="AX9" s="173">
        <v>180</v>
      </c>
      <c r="AY9" s="174">
        <v>18</v>
      </c>
      <c r="AZ9" s="174">
        <v>181</v>
      </c>
      <c r="BA9" s="175">
        <v>16</v>
      </c>
    </row>
    <row r="10" spans="1:53" x14ac:dyDescent="0.15">
      <c r="A10" s="237" t="s">
        <v>34</v>
      </c>
      <c r="B10" s="237" t="s">
        <v>313</v>
      </c>
      <c r="C10" s="237">
        <v>2018</v>
      </c>
      <c r="D10" s="239" t="s">
        <v>530</v>
      </c>
      <c r="E10" s="238" t="s">
        <v>546</v>
      </c>
      <c r="F10" s="237" t="s">
        <v>543</v>
      </c>
      <c r="G10" s="240" t="s">
        <v>36</v>
      </c>
      <c r="H10" s="205" t="s">
        <v>211</v>
      </c>
      <c r="I10" s="205" t="s">
        <v>155</v>
      </c>
      <c r="J10" s="205" t="s">
        <v>38</v>
      </c>
      <c r="K10" s="205" t="s">
        <v>156</v>
      </c>
      <c r="L10" s="149">
        <v>3</v>
      </c>
      <c r="N10" s="149">
        <v>5</v>
      </c>
      <c r="O10" s="149">
        <v>0.4</v>
      </c>
      <c r="P10" s="149">
        <v>0.35</v>
      </c>
      <c r="Q10" s="186">
        <f t="shared" si="0"/>
        <v>0.375</v>
      </c>
      <c r="R10" s="248">
        <v>17.399999999999999</v>
      </c>
      <c r="S10" s="248">
        <v>100</v>
      </c>
      <c r="T10" s="158">
        <f t="shared" si="1"/>
        <v>33</v>
      </c>
      <c r="U10" s="253">
        <v>398</v>
      </c>
      <c r="V10" s="244">
        <f t="shared" si="2"/>
        <v>2626.7999999999997</v>
      </c>
      <c r="W10" s="250">
        <v>4</v>
      </c>
      <c r="X10" s="246" t="s">
        <v>46</v>
      </c>
      <c r="Y10" s="254" t="s">
        <v>64</v>
      </c>
      <c r="Z10" s="246" t="s">
        <v>97</v>
      </c>
      <c r="AA10" s="236" t="s">
        <v>86</v>
      </c>
      <c r="AB10" s="55" t="s">
        <v>315</v>
      </c>
      <c r="AE10" s="164" t="s">
        <v>103</v>
      </c>
      <c r="AG10" s="184" t="s">
        <v>552</v>
      </c>
      <c r="AH10" s="184" t="s">
        <v>553</v>
      </c>
      <c r="AL10" s="176"/>
      <c r="AP10" s="165" t="s">
        <v>100</v>
      </c>
      <c r="AR10" s="172" t="s">
        <v>123</v>
      </c>
      <c r="AV10" s="165" t="s">
        <v>106</v>
      </c>
    </row>
    <row r="11" spans="1:53" x14ac:dyDescent="0.15">
      <c r="A11" s="237" t="s">
        <v>34</v>
      </c>
      <c r="B11" s="237" t="s">
        <v>313</v>
      </c>
      <c r="C11" s="238">
        <v>2018</v>
      </c>
      <c r="D11" s="239" t="s">
        <v>530</v>
      </c>
      <c r="E11" s="238" t="s">
        <v>546</v>
      </c>
      <c r="F11" s="237" t="s">
        <v>543</v>
      </c>
      <c r="G11" s="240" t="s">
        <v>36</v>
      </c>
      <c r="H11" s="205" t="s">
        <v>162</v>
      </c>
      <c r="I11" s="205" t="s">
        <v>155</v>
      </c>
      <c r="J11" s="205" t="s">
        <v>38</v>
      </c>
      <c r="K11" s="205" t="s">
        <v>156</v>
      </c>
      <c r="L11" s="149">
        <v>1</v>
      </c>
      <c r="N11" s="149">
        <v>1</v>
      </c>
      <c r="O11" s="149">
        <v>0.3</v>
      </c>
      <c r="P11" s="149">
        <v>0.3</v>
      </c>
      <c r="Q11" s="186">
        <f t="shared" si="0"/>
        <v>0.3</v>
      </c>
      <c r="R11" s="248">
        <v>15.8</v>
      </c>
      <c r="S11" s="248">
        <v>135</v>
      </c>
      <c r="T11" s="158">
        <f t="shared" si="1"/>
        <v>30</v>
      </c>
      <c r="U11" s="253">
        <v>148</v>
      </c>
      <c r="V11" s="244">
        <f t="shared" si="2"/>
        <v>4440</v>
      </c>
      <c r="W11" s="250">
        <v>4</v>
      </c>
      <c r="X11" s="246" t="s">
        <v>46</v>
      </c>
      <c r="Y11" s="254" t="s">
        <v>64</v>
      </c>
      <c r="Z11" s="246" t="s">
        <v>97</v>
      </c>
      <c r="AA11" s="255" t="s">
        <v>86</v>
      </c>
      <c r="AB11" s="55" t="s">
        <v>315</v>
      </c>
      <c r="AE11" s="164" t="s">
        <v>65</v>
      </c>
      <c r="AG11" s="179"/>
      <c r="AH11" s="179"/>
      <c r="AL11" s="176"/>
      <c r="AP11" s="165" t="s">
        <v>104</v>
      </c>
      <c r="AR11" s="172" t="s">
        <v>87</v>
      </c>
      <c r="AV11" s="165" t="s">
        <v>69</v>
      </c>
    </row>
    <row r="12" spans="1:53" x14ac:dyDescent="0.15">
      <c r="A12" s="237" t="s">
        <v>34</v>
      </c>
      <c r="B12" s="237" t="s">
        <v>313</v>
      </c>
      <c r="C12" s="237">
        <v>2018</v>
      </c>
      <c r="D12" s="239" t="s">
        <v>530</v>
      </c>
      <c r="E12" s="238" t="s">
        <v>546</v>
      </c>
      <c r="F12" s="237" t="s">
        <v>543</v>
      </c>
      <c r="G12" s="240" t="s">
        <v>36</v>
      </c>
      <c r="H12" s="205" t="s">
        <v>162</v>
      </c>
      <c r="I12" s="205" t="s">
        <v>155</v>
      </c>
      <c r="J12" s="205" t="s">
        <v>38</v>
      </c>
      <c r="K12" s="205" t="s">
        <v>156</v>
      </c>
      <c r="L12" s="149">
        <v>2</v>
      </c>
      <c r="N12" s="149">
        <v>1</v>
      </c>
      <c r="O12" s="149">
        <v>0.3</v>
      </c>
      <c r="P12" s="149">
        <v>0.35</v>
      </c>
      <c r="Q12" s="186">
        <f t="shared" si="0"/>
        <v>0.32499999999999996</v>
      </c>
      <c r="R12" s="248">
        <v>16.100000000000001</v>
      </c>
      <c r="S12" s="248">
        <v>137</v>
      </c>
      <c r="T12" s="158">
        <f t="shared" si="1"/>
        <v>30</v>
      </c>
      <c r="U12" s="253">
        <v>148</v>
      </c>
      <c r="V12" s="244">
        <f t="shared" si="2"/>
        <v>4440</v>
      </c>
      <c r="W12" s="250">
        <v>4</v>
      </c>
      <c r="X12" s="246" t="s">
        <v>46</v>
      </c>
      <c r="Y12" s="254" t="s">
        <v>64</v>
      </c>
      <c r="Z12" s="246" t="s">
        <v>97</v>
      </c>
      <c r="AA12" s="255" t="s">
        <v>86</v>
      </c>
      <c r="AB12" s="55" t="s">
        <v>315</v>
      </c>
      <c r="AE12" s="164" t="s">
        <v>70</v>
      </c>
      <c r="AG12" s="179"/>
      <c r="AH12" s="179"/>
      <c r="AL12" s="176"/>
      <c r="AP12" s="165" t="s">
        <v>67</v>
      </c>
      <c r="AR12" s="172" t="s">
        <v>124</v>
      </c>
      <c r="AV12" s="165" t="s">
        <v>72</v>
      </c>
    </row>
    <row r="13" spans="1:53" x14ac:dyDescent="0.15">
      <c r="A13" s="237" t="s">
        <v>34</v>
      </c>
      <c r="B13" s="237" t="s">
        <v>313</v>
      </c>
      <c r="C13" s="238">
        <v>2018</v>
      </c>
      <c r="D13" s="239" t="s">
        <v>530</v>
      </c>
      <c r="E13" s="238" t="s">
        <v>546</v>
      </c>
      <c r="F13" s="237" t="s">
        <v>543</v>
      </c>
      <c r="G13" s="240" t="s">
        <v>36</v>
      </c>
      <c r="H13" s="205" t="s">
        <v>162</v>
      </c>
      <c r="I13" s="205" t="s">
        <v>155</v>
      </c>
      <c r="J13" s="205" t="s">
        <v>38</v>
      </c>
      <c r="K13" s="205" t="s">
        <v>156</v>
      </c>
      <c r="L13" s="149">
        <v>3</v>
      </c>
      <c r="N13" s="149">
        <v>1</v>
      </c>
      <c r="O13" s="149">
        <v>0.35</v>
      </c>
      <c r="P13" s="149">
        <v>0.3</v>
      </c>
      <c r="Q13" s="186">
        <f t="shared" si="0"/>
        <v>0.32499999999999996</v>
      </c>
      <c r="R13" s="248">
        <v>15.8</v>
      </c>
      <c r="S13" s="248">
        <v>139</v>
      </c>
      <c r="T13" s="158">
        <f t="shared" si="1"/>
        <v>30</v>
      </c>
      <c r="U13" s="253">
        <v>148</v>
      </c>
      <c r="V13" s="244">
        <f t="shared" si="2"/>
        <v>4440</v>
      </c>
      <c r="W13" s="250">
        <v>4</v>
      </c>
      <c r="X13" s="246" t="s">
        <v>46</v>
      </c>
      <c r="Y13" s="254" t="s">
        <v>64</v>
      </c>
      <c r="Z13" s="246" t="s">
        <v>97</v>
      </c>
      <c r="AA13" s="255" t="s">
        <v>86</v>
      </c>
      <c r="AB13" s="55" t="s">
        <v>315</v>
      </c>
      <c r="AE13" s="164" t="s">
        <v>73</v>
      </c>
      <c r="AG13" s="256"/>
      <c r="AH13" s="256"/>
      <c r="AP13" s="165" t="s">
        <v>71</v>
      </c>
      <c r="AR13" s="172" t="s">
        <v>103</v>
      </c>
      <c r="AV13" s="165" t="s">
        <v>75</v>
      </c>
    </row>
    <row r="14" spans="1:53" x14ac:dyDescent="0.15">
      <c r="A14" s="237" t="s">
        <v>34</v>
      </c>
      <c r="B14" s="237" t="s">
        <v>313</v>
      </c>
      <c r="C14" s="237">
        <v>2018</v>
      </c>
      <c r="D14" s="239" t="s">
        <v>530</v>
      </c>
      <c r="E14" s="238" t="s">
        <v>257</v>
      </c>
      <c r="F14" s="237" t="s">
        <v>543</v>
      </c>
      <c r="G14" s="240" t="s">
        <v>36</v>
      </c>
      <c r="H14" s="205" t="s">
        <v>157</v>
      </c>
      <c r="I14" s="205" t="s">
        <v>155</v>
      </c>
      <c r="J14" s="205" t="s">
        <v>38</v>
      </c>
      <c r="K14" s="205" t="s">
        <v>156</v>
      </c>
      <c r="L14" s="149">
        <v>1</v>
      </c>
      <c r="N14" s="149">
        <v>4</v>
      </c>
      <c r="O14" s="149">
        <v>0.4</v>
      </c>
      <c r="P14" s="149">
        <v>0.35</v>
      </c>
      <c r="Q14" s="186">
        <f t="shared" si="0"/>
        <v>0.375</v>
      </c>
      <c r="R14" s="248">
        <v>16.3</v>
      </c>
      <c r="S14" s="248">
        <v>98</v>
      </c>
      <c r="T14" s="158">
        <f t="shared" si="1"/>
        <v>36</v>
      </c>
      <c r="U14" s="253">
        <v>398</v>
      </c>
      <c r="V14" s="244">
        <f t="shared" si="2"/>
        <v>3582</v>
      </c>
      <c r="W14" s="250">
        <v>4</v>
      </c>
      <c r="X14" s="246" t="s">
        <v>46</v>
      </c>
      <c r="Y14" s="254" t="s">
        <v>78</v>
      </c>
      <c r="Z14" s="254" t="s">
        <v>97</v>
      </c>
      <c r="AA14" s="255" t="s">
        <v>47</v>
      </c>
      <c r="AB14" s="55" t="s">
        <v>315</v>
      </c>
      <c r="AC14" s="176"/>
      <c r="AE14" s="164" t="s">
        <v>76</v>
      </c>
      <c r="AG14" s="188"/>
      <c r="AH14" s="188"/>
      <c r="AP14" s="165" t="s">
        <v>74</v>
      </c>
      <c r="AR14" s="172" t="s">
        <v>125</v>
      </c>
      <c r="AV14" s="165" t="s">
        <v>78</v>
      </c>
    </row>
    <row r="15" spans="1:53" x14ac:dyDescent="0.15">
      <c r="A15" s="237" t="s">
        <v>34</v>
      </c>
      <c r="B15" s="237" t="s">
        <v>313</v>
      </c>
      <c r="C15" s="238">
        <v>2018</v>
      </c>
      <c r="D15" s="239" t="s">
        <v>530</v>
      </c>
      <c r="E15" s="238" t="s">
        <v>257</v>
      </c>
      <c r="F15" s="237" t="s">
        <v>543</v>
      </c>
      <c r="G15" s="240" t="s">
        <v>36</v>
      </c>
      <c r="H15" s="205" t="s">
        <v>157</v>
      </c>
      <c r="I15" s="205" t="s">
        <v>155</v>
      </c>
      <c r="J15" s="205" t="s">
        <v>38</v>
      </c>
      <c r="K15" s="205" t="s">
        <v>156</v>
      </c>
      <c r="L15" s="149">
        <v>2</v>
      </c>
      <c r="N15" s="149">
        <v>4</v>
      </c>
      <c r="O15" s="149">
        <v>0.35</v>
      </c>
      <c r="P15" s="149">
        <v>0.4</v>
      </c>
      <c r="Q15" s="186">
        <f t="shared" si="0"/>
        <v>0.375</v>
      </c>
      <c r="R15" s="248">
        <v>15.7</v>
      </c>
      <c r="S15" s="248">
        <v>94</v>
      </c>
      <c r="T15" s="158">
        <f t="shared" si="1"/>
        <v>36</v>
      </c>
      <c r="U15" s="253">
        <v>398</v>
      </c>
      <c r="V15" s="244">
        <f t="shared" si="2"/>
        <v>3582</v>
      </c>
      <c r="W15" s="250">
        <v>4</v>
      </c>
      <c r="X15" s="246" t="s">
        <v>46</v>
      </c>
      <c r="Y15" s="254" t="s">
        <v>78</v>
      </c>
      <c r="Z15" s="254" t="s">
        <v>97</v>
      </c>
      <c r="AA15" s="255" t="s">
        <v>47</v>
      </c>
      <c r="AB15" s="55" t="s">
        <v>315</v>
      </c>
      <c r="AC15" s="176"/>
      <c r="AE15" s="164" t="s">
        <v>79</v>
      </c>
      <c r="AP15" s="165" t="s">
        <v>77</v>
      </c>
      <c r="AR15" s="172" t="s">
        <v>94</v>
      </c>
      <c r="AV15" s="165" t="s">
        <v>107</v>
      </c>
    </row>
    <row r="16" spans="1:53" x14ac:dyDescent="0.15">
      <c r="A16" s="237" t="s">
        <v>34</v>
      </c>
      <c r="B16" s="237" t="s">
        <v>313</v>
      </c>
      <c r="C16" s="237">
        <v>2018</v>
      </c>
      <c r="D16" s="239" t="s">
        <v>530</v>
      </c>
      <c r="E16" s="238" t="s">
        <v>257</v>
      </c>
      <c r="F16" s="237" t="s">
        <v>543</v>
      </c>
      <c r="G16" s="240" t="s">
        <v>36</v>
      </c>
      <c r="H16" s="205" t="s">
        <v>157</v>
      </c>
      <c r="I16" s="205" t="s">
        <v>155</v>
      </c>
      <c r="J16" s="205" t="s">
        <v>38</v>
      </c>
      <c r="K16" s="205" t="s">
        <v>156</v>
      </c>
      <c r="L16" s="149">
        <v>3</v>
      </c>
      <c r="N16" s="149">
        <v>4</v>
      </c>
      <c r="O16" s="149">
        <v>0.4</v>
      </c>
      <c r="P16" s="149">
        <v>0.35</v>
      </c>
      <c r="Q16" s="186">
        <f t="shared" si="0"/>
        <v>0.375</v>
      </c>
      <c r="R16" s="248">
        <v>15.8</v>
      </c>
      <c r="S16" s="248">
        <v>104</v>
      </c>
      <c r="T16" s="158">
        <f t="shared" si="1"/>
        <v>33</v>
      </c>
      <c r="U16" s="253">
        <v>398</v>
      </c>
      <c r="V16" s="244">
        <f t="shared" si="2"/>
        <v>3283.5</v>
      </c>
      <c r="W16" s="250">
        <v>4</v>
      </c>
      <c r="X16" s="246" t="s">
        <v>46</v>
      </c>
      <c r="Y16" s="254" t="s">
        <v>78</v>
      </c>
      <c r="Z16" s="254" t="s">
        <v>97</v>
      </c>
      <c r="AA16" s="255" t="s">
        <v>47</v>
      </c>
      <c r="AB16" s="55" t="s">
        <v>315</v>
      </c>
      <c r="AC16" s="176"/>
      <c r="AE16" s="164" t="s">
        <v>82</v>
      </c>
      <c r="AP16" s="165" t="s">
        <v>80</v>
      </c>
      <c r="AR16" s="179" t="s">
        <v>63</v>
      </c>
      <c r="AV16" s="165" t="s">
        <v>84</v>
      </c>
    </row>
    <row r="17" spans="1:48" x14ac:dyDescent="0.15">
      <c r="A17" s="237" t="s">
        <v>34</v>
      </c>
      <c r="B17" s="237" t="s">
        <v>313</v>
      </c>
      <c r="C17" s="238">
        <v>2018</v>
      </c>
      <c r="D17" s="239" t="s">
        <v>530</v>
      </c>
      <c r="E17" s="238" t="s">
        <v>257</v>
      </c>
      <c r="F17" s="237" t="s">
        <v>543</v>
      </c>
      <c r="G17" s="240" t="s">
        <v>36</v>
      </c>
      <c r="H17" s="205" t="s">
        <v>162</v>
      </c>
      <c r="I17" s="205" t="s">
        <v>155</v>
      </c>
      <c r="J17" s="205" t="s">
        <v>38</v>
      </c>
      <c r="K17" s="205" t="s">
        <v>156</v>
      </c>
      <c r="L17" s="149">
        <v>1</v>
      </c>
      <c r="N17" s="149">
        <v>4</v>
      </c>
      <c r="O17" s="149">
        <v>0.4</v>
      </c>
      <c r="P17" s="149">
        <v>0.35</v>
      </c>
      <c r="Q17" s="186">
        <f t="shared" si="0"/>
        <v>0.375</v>
      </c>
      <c r="R17" s="248">
        <v>16.3</v>
      </c>
      <c r="S17" s="248">
        <v>110</v>
      </c>
      <c r="T17" s="158">
        <f t="shared" si="1"/>
        <v>33</v>
      </c>
      <c r="U17" s="253">
        <v>498</v>
      </c>
      <c r="V17" s="244">
        <f t="shared" si="2"/>
        <v>4108.5</v>
      </c>
      <c r="W17" s="250">
        <v>4</v>
      </c>
      <c r="X17" s="246" t="s">
        <v>46</v>
      </c>
      <c r="Y17" s="254" t="s">
        <v>78</v>
      </c>
      <c r="Z17" s="254" t="s">
        <v>97</v>
      </c>
      <c r="AA17" s="255" t="s">
        <v>47</v>
      </c>
      <c r="AB17" s="55" t="s">
        <v>315</v>
      </c>
      <c r="AC17" s="176"/>
      <c r="AE17" s="164" t="s">
        <v>85</v>
      </c>
      <c r="AP17" s="180" t="s">
        <v>110</v>
      </c>
      <c r="AR17" s="179" t="s">
        <v>96</v>
      </c>
      <c r="AV17" s="165" t="s">
        <v>86</v>
      </c>
    </row>
    <row r="18" spans="1:48" x14ac:dyDescent="0.15">
      <c r="A18" s="237" t="s">
        <v>34</v>
      </c>
      <c r="B18" s="237" t="s">
        <v>313</v>
      </c>
      <c r="C18" s="237">
        <v>2018</v>
      </c>
      <c r="D18" s="239" t="s">
        <v>530</v>
      </c>
      <c r="E18" s="238" t="s">
        <v>257</v>
      </c>
      <c r="F18" s="237" t="s">
        <v>543</v>
      </c>
      <c r="G18" s="240" t="s">
        <v>36</v>
      </c>
      <c r="H18" s="205" t="s">
        <v>162</v>
      </c>
      <c r="I18" s="205" t="s">
        <v>155</v>
      </c>
      <c r="J18" s="205" t="s">
        <v>38</v>
      </c>
      <c r="K18" s="205" t="s">
        <v>156</v>
      </c>
      <c r="L18" s="149">
        <v>2</v>
      </c>
      <c r="N18" s="149">
        <v>4</v>
      </c>
      <c r="O18" s="149">
        <v>0.35</v>
      </c>
      <c r="P18" s="149">
        <v>0.35</v>
      </c>
      <c r="Q18" s="186">
        <f t="shared" si="0"/>
        <v>0.35</v>
      </c>
      <c r="R18" s="248">
        <v>16.399999999999999</v>
      </c>
      <c r="S18" s="248">
        <v>114</v>
      </c>
      <c r="T18" s="158">
        <f t="shared" si="1"/>
        <v>30</v>
      </c>
      <c r="U18" s="253">
        <v>498</v>
      </c>
      <c r="V18" s="244">
        <f t="shared" si="2"/>
        <v>3735</v>
      </c>
      <c r="W18" s="250">
        <v>4</v>
      </c>
      <c r="X18" s="246" t="s">
        <v>46</v>
      </c>
      <c r="Y18" s="254" t="s">
        <v>78</v>
      </c>
      <c r="Z18" s="254" t="s">
        <v>97</v>
      </c>
      <c r="AA18" s="255" t="s">
        <v>47</v>
      </c>
      <c r="AB18" s="55" t="s">
        <v>315</v>
      </c>
      <c r="AC18" s="176"/>
      <c r="AE18" s="164" t="s">
        <v>87</v>
      </c>
      <c r="AP18" s="180" t="s">
        <v>111</v>
      </c>
      <c r="AR18" s="179" t="s">
        <v>101</v>
      </c>
      <c r="AV18" s="165" t="s">
        <v>88</v>
      </c>
    </row>
    <row r="19" spans="1:48" x14ac:dyDescent="0.15">
      <c r="A19" s="237" t="s">
        <v>34</v>
      </c>
      <c r="B19" s="237" t="s">
        <v>313</v>
      </c>
      <c r="C19" s="238">
        <v>2018</v>
      </c>
      <c r="D19" s="239" t="s">
        <v>530</v>
      </c>
      <c r="E19" s="238" t="s">
        <v>257</v>
      </c>
      <c r="F19" s="237" t="s">
        <v>543</v>
      </c>
      <c r="G19" s="240" t="s">
        <v>36</v>
      </c>
      <c r="H19" s="205" t="s">
        <v>162</v>
      </c>
      <c r="I19" s="205" t="s">
        <v>155</v>
      </c>
      <c r="J19" s="205" t="s">
        <v>38</v>
      </c>
      <c r="K19" s="205" t="s">
        <v>156</v>
      </c>
      <c r="L19" s="149">
        <v>3</v>
      </c>
      <c r="N19" s="149">
        <v>4</v>
      </c>
      <c r="O19" s="149">
        <v>0.4</v>
      </c>
      <c r="P19" s="149">
        <v>0.35</v>
      </c>
      <c r="Q19" s="186">
        <f t="shared" si="0"/>
        <v>0.375</v>
      </c>
      <c r="R19" s="248">
        <v>16.7</v>
      </c>
      <c r="S19" s="248">
        <v>108</v>
      </c>
      <c r="T19" s="158">
        <f t="shared" si="1"/>
        <v>33</v>
      </c>
      <c r="U19" s="253">
        <v>498</v>
      </c>
      <c r="V19" s="244">
        <f t="shared" si="2"/>
        <v>4108.5</v>
      </c>
      <c r="W19" s="250">
        <v>4</v>
      </c>
      <c r="X19" s="246" t="s">
        <v>46</v>
      </c>
      <c r="Y19" s="254" t="s">
        <v>78</v>
      </c>
      <c r="Z19" s="254" t="s">
        <v>97</v>
      </c>
      <c r="AA19" s="255" t="s">
        <v>47</v>
      </c>
      <c r="AB19" s="55" t="s">
        <v>315</v>
      </c>
      <c r="AC19" s="176"/>
      <c r="AE19" s="177" t="s">
        <v>89</v>
      </c>
      <c r="AP19" s="180" t="s">
        <v>112</v>
      </c>
      <c r="AR19" s="172" t="s">
        <v>126</v>
      </c>
      <c r="AV19" s="165" t="s">
        <v>90</v>
      </c>
    </row>
    <row r="20" spans="1:48" x14ac:dyDescent="0.15">
      <c r="A20" s="237" t="s">
        <v>34</v>
      </c>
      <c r="B20" s="237" t="s">
        <v>313</v>
      </c>
      <c r="C20" s="237">
        <v>2018</v>
      </c>
      <c r="D20" s="239" t="s">
        <v>530</v>
      </c>
      <c r="E20" s="238" t="s">
        <v>524</v>
      </c>
      <c r="F20" s="237" t="s">
        <v>554</v>
      </c>
      <c r="G20" s="240" t="s">
        <v>36</v>
      </c>
      <c r="H20" s="205" t="s">
        <v>211</v>
      </c>
      <c r="I20" s="205" t="s">
        <v>155</v>
      </c>
      <c r="J20" s="205" t="s">
        <v>38</v>
      </c>
      <c r="K20" s="205" t="s">
        <v>156</v>
      </c>
      <c r="L20" s="149">
        <v>1</v>
      </c>
      <c r="N20" s="149">
        <v>5</v>
      </c>
      <c r="O20" s="149">
        <v>0.3</v>
      </c>
      <c r="P20" s="149">
        <v>0.3</v>
      </c>
      <c r="Q20" s="186">
        <f t="shared" si="0"/>
        <v>0.3</v>
      </c>
      <c r="R20" s="248">
        <v>17.399999999999999</v>
      </c>
      <c r="S20" s="257">
        <v>78</v>
      </c>
      <c r="T20" s="158">
        <f t="shared" si="1"/>
        <v>39</v>
      </c>
      <c r="U20" s="253">
        <v>398</v>
      </c>
      <c r="V20" s="244">
        <f t="shared" si="2"/>
        <v>3104.3999999999996</v>
      </c>
      <c r="W20" s="250">
        <v>6</v>
      </c>
      <c r="X20" s="246" t="s">
        <v>46</v>
      </c>
      <c r="Y20" s="254" t="s">
        <v>69</v>
      </c>
      <c r="Z20" s="254" t="s">
        <v>86</v>
      </c>
      <c r="AA20" s="255" t="s">
        <v>97</v>
      </c>
      <c r="AB20" s="55" t="s">
        <v>315</v>
      </c>
      <c r="AE20" s="177"/>
      <c r="AP20" s="180" t="s">
        <v>113</v>
      </c>
      <c r="AR20" s="179" t="s">
        <v>105</v>
      </c>
      <c r="AV20" s="169" t="s">
        <v>504</v>
      </c>
    </row>
    <row r="21" spans="1:48" x14ac:dyDescent="0.15">
      <c r="A21" s="237" t="s">
        <v>34</v>
      </c>
      <c r="B21" s="237" t="s">
        <v>313</v>
      </c>
      <c r="C21" s="238">
        <v>2018</v>
      </c>
      <c r="D21" s="239" t="s">
        <v>530</v>
      </c>
      <c r="E21" s="238" t="s">
        <v>524</v>
      </c>
      <c r="F21" s="237" t="s">
        <v>554</v>
      </c>
      <c r="G21" s="240" t="s">
        <v>36</v>
      </c>
      <c r="H21" s="205" t="s">
        <v>211</v>
      </c>
      <c r="I21" s="205" t="s">
        <v>155</v>
      </c>
      <c r="J21" s="205" t="s">
        <v>38</v>
      </c>
      <c r="K21" s="205" t="s">
        <v>156</v>
      </c>
      <c r="L21" s="149">
        <v>2</v>
      </c>
      <c r="N21" s="149">
        <v>5</v>
      </c>
      <c r="O21" s="149">
        <v>0.3</v>
      </c>
      <c r="P21" s="149">
        <v>0.25</v>
      </c>
      <c r="Q21" s="186">
        <f t="shared" si="0"/>
        <v>0.27500000000000002</v>
      </c>
      <c r="R21" s="257">
        <v>18</v>
      </c>
      <c r="S21" s="248">
        <v>79</v>
      </c>
      <c r="T21" s="158">
        <f t="shared" si="1"/>
        <v>39</v>
      </c>
      <c r="U21" s="253">
        <v>398</v>
      </c>
      <c r="V21" s="244">
        <f t="shared" si="2"/>
        <v>3104.3999999999996</v>
      </c>
      <c r="W21" s="250">
        <v>6</v>
      </c>
      <c r="X21" s="246" t="s">
        <v>46</v>
      </c>
      <c r="Y21" s="254" t="s">
        <v>69</v>
      </c>
      <c r="Z21" s="254" t="s">
        <v>86</v>
      </c>
      <c r="AA21" s="255" t="s">
        <v>97</v>
      </c>
      <c r="AB21" s="55" t="s">
        <v>315</v>
      </c>
      <c r="AE21" s="170"/>
      <c r="AP21" s="180" t="s">
        <v>114</v>
      </c>
      <c r="AR21" s="179" t="s">
        <v>68</v>
      </c>
      <c r="AV21" s="169" t="s">
        <v>555</v>
      </c>
    </row>
    <row r="22" spans="1:48" x14ac:dyDescent="0.15">
      <c r="A22" s="237" t="s">
        <v>34</v>
      </c>
      <c r="B22" s="237" t="s">
        <v>313</v>
      </c>
      <c r="C22" s="237">
        <v>2018</v>
      </c>
      <c r="D22" s="239" t="s">
        <v>530</v>
      </c>
      <c r="E22" s="238" t="s">
        <v>524</v>
      </c>
      <c r="F22" s="237" t="s">
        <v>554</v>
      </c>
      <c r="G22" s="240" t="s">
        <v>36</v>
      </c>
      <c r="H22" s="205" t="s">
        <v>211</v>
      </c>
      <c r="I22" s="205" t="s">
        <v>155</v>
      </c>
      <c r="J22" s="205" t="s">
        <v>38</v>
      </c>
      <c r="K22" s="205" t="s">
        <v>156</v>
      </c>
      <c r="L22" s="149">
        <v>3</v>
      </c>
      <c r="N22" s="149">
        <v>5</v>
      </c>
      <c r="O22" s="149">
        <v>0.25</v>
      </c>
      <c r="P22" s="176">
        <v>0.3</v>
      </c>
      <c r="Q22" s="186">
        <f t="shared" si="0"/>
        <v>0.27500000000000002</v>
      </c>
      <c r="R22" s="248">
        <v>17.5</v>
      </c>
      <c r="S22" s="248">
        <v>84</v>
      </c>
      <c r="T22" s="158">
        <f t="shared" si="1"/>
        <v>36</v>
      </c>
      <c r="U22" s="253">
        <v>398</v>
      </c>
      <c r="V22" s="244">
        <f t="shared" si="2"/>
        <v>2865.6</v>
      </c>
      <c r="W22" s="250">
        <v>6</v>
      </c>
      <c r="X22" s="246" t="s">
        <v>46</v>
      </c>
      <c r="Y22" s="254" t="s">
        <v>69</v>
      </c>
      <c r="Z22" s="254" t="s">
        <v>86</v>
      </c>
      <c r="AA22" s="255" t="s">
        <v>97</v>
      </c>
      <c r="AB22" s="55" t="s">
        <v>315</v>
      </c>
      <c r="AP22" s="180" t="s">
        <v>115</v>
      </c>
      <c r="AR22" s="179" t="s">
        <v>83</v>
      </c>
      <c r="AV22" s="165"/>
    </row>
    <row r="23" spans="1:48" x14ac:dyDescent="0.15">
      <c r="A23" s="237" t="s">
        <v>34</v>
      </c>
      <c r="B23" s="237" t="s">
        <v>313</v>
      </c>
      <c r="C23" s="238">
        <v>2018</v>
      </c>
      <c r="D23" s="239" t="s">
        <v>530</v>
      </c>
      <c r="E23" s="238" t="s">
        <v>524</v>
      </c>
      <c r="F23" s="237" t="s">
        <v>554</v>
      </c>
      <c r="G23" s="240" t="s">
        <v>36</v>
      </c>
      <c r="H23" s="205" t="s">
        <v>162</v>
      </c>
      <c r="I23" s="205" t="s">
        <v>155</v>
      </c>
      <c r="J23" s="205" t="s">
        <v>38</v>
      </c>
      <c r="K23" s="205" t="s">
        <v>156</v>
      </c>
      <c r="L23" s="149">
        <v>1</v>
      </c>
      <c r="N23" s="149">
        <v>4</v>
      </c>
      <c r="O23" s="149">
        <v>0.4</v>
      </c>
      <c r="P23" s="176">
        <v>0.35</v>
      </c>
      <c r="Q23" s="186">
        <f t="shared" si="0"/>
        <v>0.375</v>
      </c>
      <c r="R23" s="248">
        <v>15.4</v>
      </c>
      <c r="S23" s="248">
        <v>119</v>
      </c>
      <c r="T23" s="158">
        <f t="shared" si="1"/>
        <v>30</v>
      </c>
      <c r="U23" s="253">
        <v>498</v>
      </c>
      <c r="V23" s="244">
        <f t="shared" si="2"/>
        <v>3735</v>
      </c>
      <c r="W23" s="250">
        <v>6</v>
      </c>
      <c r="X23" s="246" t="s">
        <v>46</v>
      </c>
      <c r="Y23" s="254" t="s">
        <v>69</v>
      </c>
      <c r="Z23" s="254" t="s">
        <v>86</v>
      </c>
      <c r="AA23" s="255" t="s">
        <v>97</v>
      </c>
      <c r="AB23" s="55" t="s">
        <v>315</v>
      </c>
      <c r="AP23" s="180" t="s">
        <v>508</v>
      </c>
      <c r="AR23" s="179" t="s">
        <v>61</v>
      </c>
      <c r="AV23" s="165"/>
    </row>
    <row r="24" spans="1:48" x14ac:dyDescent="0.15">
      <c r="A24" s="237" t="s">
        <v>34</v>
      </c>
      <c r="B24" s="237" t="s">
        <v>313</v>
      </c>
      <c r="C24" s="237">
        <v>2018</v>
      </c>
      <c r="D24" s="239" t="s">
        <v>530</v>
      </c>
      <c r="E24" s="238" t="s">
        <v>524</v>
      </c>
      <c r="F24" s="237" t="s">
        <v>554</v>
      </c>
      <c r="G24" s="240" t="s">
        <v>36</v>
      </c>
      <c r="H24" s="205" t="s">
        <v>162</v>
      </c>
      <c r="I24" s="205" t="s">
        <v>155</v>
      </c>
      <c r="J24" s="205" t="s">
        <v>38</v>
      </c>
      <c r="K24" s="205" t="s">
        <v>156</v>
      </c>
      <c r="L24" s="149">
        <v>2</v>
      </c>
      <c r="N24" s="149">
        <v>4</v>
      </c>
      <c r="O24" s="149">
        <v>0.3</v>
      </c>
      <c r="P24" s="176">
        <v>0.35</v>
      </c>
      <c r="Q24" s="186">
        <f t="shared" si="0"/>
        <v>0.32499999999999996</v>
      </c>
      <c r="R24" s="248">
        <v>15.5</v>
      </c>
      <c r="S24" s="248">
        <v>117</v>
      </c>
      <c r="T24" s="158">
        <f t="shared" si="1"/>
        <v>30</v>
      </c>
      <c r="U24" s="253">
        <v>498</v>
      </c>
      <c r="V24" s="244">
        <f t="shared" si="2"/>
        <v>3735</v>
      </c>
      <c r="W24" s="250">
        <v>6</v>
      </c>
      <c r="X24" s="246" t="s">
        <v>46</v>
      </c>
      <c r="Y24" s="254" t="s">
        <v>69</v>
      </c>
      <c r="Z24" s="254" t="s">
        <v>86</v>
      </c>
      <c r="AA24" s="255" t="s">
        <v>97</v>
      </c>
      <c r="AB24" s="55" t="s">
        <v>315</v>
      </c>
      <c r="AP24" s="180" t="s">
        <v>509</v>
      </c>
      <c r="AR24" s="179" t="s">
        <v>91</v>
      </c>
      <c r="AV24" s="165"/>
    </row>
    <row r="25" spans="1:48" x14ac:dyDescent="0.15">
      <c r="A25" s="237" t="s">
        <v>34</v>
      </c>
      <c r="B25" s="237" t="s">
        <v>313</v>
      </c>
      <c r="C25" s="238">
        <v>2018</v>
      </c>
      <c r="D25" s="239" t="s">
        <v>530</v>
      </c>
      <c r="E25" s="238" t="s">
        <v>524</v>
      </c>
      <c r="F25" s="237" t="s">
        <v>554</v>
      </c>
      <c r="G25" s="240" t="s">
        <v>36</v>
      </c>
      <c r="H25" s="205" t="s">
        <v>162</v>
      </c>
      <c r="I25" s="205" t="s">
        <v>155</v>
      </c>
      <c r="J25" s="205" t="s">
        <v>38</v>
      </c>
      <c r="K25" s="205" t="s">
        <v>156</v>
      </c>
      <c r="L25" s="149">
        <v>3</v>
      </c>
      <c r="N25" s="149">
        <v>4</v>
      </c>
      <c r="O25" s="149">
        <v>0.35</v>
      </c>
      <c r="P25" s="176">
        <v>0.4</v>
      </c>
      <c r="Q25" s="186">
        <f t="shared" si="0"/>
        <v>0.375</v>
      </c>
      <c r="R25" s="248">
        <v>15.6</v>
      </c>
      <c r="S25" s="248">
        <v>121</v>
      </c>
      <c r="T25" s="158">
        <f t="shared" si="1"/>
        <v>30</v>
      </c>
      <c r="U25" s="253">
        <v>498</v>
      </c>
      <c r="V25" s="244">
        <f t="shared" si="2"/>
        <v>3735</v>
      </c>
      <c r="W25" s="250">
        <v>6</v>
      </c>
      <c r="X25" s="246" t="s">
        <v>46</v>
      </c>
      <c r="Y25" s="254" t="s">
        <v>69</v>
      </c>
      <c r="Z25" s="254" t="s">
        <v>86</v>
      </c>
      <c r="AA25" s="255" t="s">
        <v>97</v>
      </c>
      <c r="AB25" s="55" t="s">
        <v>315</v>
      </c>
      <c r="AP25" s="180" t="s">
        <v>116</v>
      </c>
      <c r="AR25" s="42" t="s">
        <v>92</v>
      </c>
      <c r="AV25" s="165"/>
    </row>
    <row r="26" spans="1:48" x14ac:dyDescent="0.15">
      <c r="A26" s="237" t="s">
        <v>34</v>
      </c>
      <c r="B26" s="237" t="s">
        <v>313</v>
      </c>
      <c r="C26" s="237">
        <v>2018</v>
      </c>
      <c r="D26" s="239" t="s">
        <v>530</v>
      </c>
      <c r="E26" s="238" t="s">
        <v>531</v>
      </c>
      <c r="F26" s="237" t="s">
        <v>532</v>
      </c>
      <c r="G26" s="240" t="s">
        <v>42</v>
      </c>
      <c r="H26" s="205" t="s">
        <v>157</v>
      </c>
      <c r="I26" s="205" t="s">
        <v>155</v>
      </c>
      <c r="J26" s="205" t="s">
        <v>38</v>
      </c>
      <c r="K26" s="205" t="s">
        <v>156</v>
      </c>
      <c r="L26" s="149">
        <v>1</v>
      </c>
      <c r="N26" s="149">
        <v>1</v>
      </c>
      <c r="O26" s="149">
        <v>0.25</v>
      </c>
      <c r="P26" s="178">
        <v>0.3</v>
      </c>
      <c r="Q26" s="186">
        <f t="shared" si="0"/>
        <v>0.27500000000000002</v>
      </c>
      <c r="R26" s="248">
        <v>14.5</v>
      </c>
      <c r="S26" s="248">
        <v>138</v>
      </c>
      <c r="T26" s="158">
        <f t="shared" si="1"/>
        <v>30</v>
      </c>
      <c r="U26" s="253">
        <v>127</v>
      </c>
      <c r="V26" s="244">
        <f t="shared" si="2"/>
        <v>3810</v>
      </c>
      <c r="W26" s="250">
        <v>18</v>
      </c>
      <c r="X26" s="246" t="s">
        <v>46</v>
      </c>
      <c r="Y26" s="255" t="s">
        <v>55</v>
      </c>
      <c r="Z26" s="254" t="s">
        <v>60</v>
      </c>
      <c r="AA26" s="255" t="s">
        <v>97</v>
      </c>
      <c r="AB26" s="55" t="s">
        <v>315</v>
      </c>
      <c r="AP26" s="180" t="s">
        <v>117</v>
      </c>
      <c r="AR26" s="165" t="s">
        <v>259</v>
      </c>
      <c r="AV26" s="169"/>
    </row>
    <row r="27" spans="1:48" x14ac:dyDescent="0.15">
      <c r="A27" s="237" t="s">
        <v>34</v>
      </c>
      <c r="B27" s="237" t="s">
        <v>313</v>
      </c>
      <c r="C27" s="238">
        <v>2018</v>
      </c>
      <c r="D27" s="239" t="s">
        <v>530</v>
      </c>
      <c r="E27" s="238" t="s">
        <v>531</v>
      </c>
      <c r="F27" s="237" t="s">
        <v>532</v>
      </c>
      <c r="G27" s="240" t="s">
        <v>42</v>
      </c>
      <c r="H27" s="205" t="s">
        <v>157</v>
      </c>
      <c r="I27" s="205" t="s">
        <v>155</v>
      </c>
      <c r="J27" s="205" t="s">
        <v>38</v>
      </c>
      <c r="K27" s="205" t="s">
        <v>156</v>
      </c>
      <c r="L27" s="149">
        <v>2</v>
      </c>
      <c r="N27" s="149">
        <v>1</v>
      </c>
      <c r="O27" s="176">
        <v>0.3</v>
      </c>
      <c r="P27" s="178">
        <v>0.3</v>
      </c>
      <c r="Q27" s="186">
        <f t="shared" si="0"/>
        <v>0.3</v>
      </c>
      <c r="R27" s="248">
        <v>15.1</v>
      </c>
      <c r="S27" s="248">
        <v>139</v>
      </c>
      <c r="T27" s="158">
        <f t="shared" si="1"/>
        <v>30</v>
      </c>
      <c r="U27" s="253">
        <v>127</v>
      </c>
      <c r="V27" s="244">
        <f t="shared" si="2"/>
        <v>3810</v>
      </c>
      <c r="W27" s="250">
        <v>18</v>
      </c>
      <c r="X27" s="246" t="s">
        <v>46</v>
      </c>
      <c r="Y27" s="255" t="s">
        <v>55</v>
      </c>
      <c r="Z27" s="254" t="s">
        <v>60</v>
      </c>
      <c r="AA27" s="255" t="s">
        <v>97</v>
      </c>
      <c r="AB27" s="55" t="s">
        <v>315</v>
      </c>
      <c r="AP27" s="180" t="s">
        <v>118</v>
      </c>
      <c r="AR27" s="165"/>
    </row>
    <row r="28" spans="1:48" x14ac:dyDescent="0.15">
      <c r="A28" s="237" t="s">
        <v>34</v>
      </c>
      <c r="B28" s="237" t="s">
        <v>313</v>
      </c>
      <c r="C28" s="237">
        <v>2018</v>
      </c>
      <c r="D28" s="239" t="s">
        <v>530</v>
      </c>
      <c r="E28" s="238" t="s">
        <v>531</v>
      </c>
      <c r="F28" s="237" t="s">
        <v>532</v>
      </c>
      <c r="G28" s="240" t="s">
        <v>42</v>
      </c>
      <c r="H28" s="205" t="s">
        <v>157</v>
      </c>
      <c r="I28" s="205" t="s">
        <v>155</v>
      </c>
      <c r="J28" s="205" t="s">
        <v>38</v>
      </c>
      <c r="K28" s="205" t="s">
        <v>156</v>
      </c>
      <c r="L28" s="149">
        <v>3</v>
      </c>
      <c r="N28" s="149">
        <v>1</v>
      </c>
      <c r="O28" s="176">
        <v>0.3</v>
      </c>
      <c r="P28" s="149">
        <v>0.35</v>
      </c>
      <c r="Q28" s="186">
        <f t="shared" si="0"/>
        <v>0.32499999999999996</v>
      </c>
      <c r="R28" s="248">
        <v>14.6</v>
      </c>
      <c r="S28" s="248">
        <v>132</v>
      </c>
      <c r="T28" s="158">
        <f t="shared" si="1"/>
        <v>30</v>
      </c>
      <c r="U28" s="253">
        <v>127</v>
      </c>
      <c r="V28" s="244">
        <f t="shared" si="2"/>
        <v>3810</v>
      </c>
      <c r="W28" s="250">
        <v>18</v>
      </c>
      <c r="X28" s="246" t="s">
        <v>46</v>
      </c>
      <c r="Y28" s="255" t="s">
        <v>55</v>
      </c>
      <c r="Z28" s="254" t="s">
        <v>60</v>
      </c>
      <c r="AA28" s="255" t="s">
        <v>97</v>
      </c>
      <c r="AB28" s="55" t="s">
        <v>315</v>
      </c>
      <c r="AR28" s="165"/>
    </row>
    <row r="29" spans="1:48" x14ac:dyDescent="0.15">
      <c r="A29" s="237" t="s">
        <v>34</v>
      </c>
      <c r="B29" s="237" t="s">
        <v>313</v>
      </c>
      <c r="C29" s="237">
        <v>2018</v>
      </c>
      <c r="D29" s="239" t="s">
        <v>530</v>
      </c>
      <c r="E29" s="238" t="s">
        <v>531</v>
      </c>
      <c r="F29" s="237" t="s">
        <v>532</v>
      </c>
      <c r="G29" s="240" t="s">
        <v>42</v>
      </c>
      <c r="H29" s="205" t="s">
        <v>162</v>
      </c>
      <c r="I29" s="205" t="s">
        <v>155</v>
      </c>
      <c r="J29" s="205" t="s">
        <v>38</v>
      </c>
      <c r="K29" s="205" t="s">
        <v>156</v>
      </c>
      <c r="L29" s="149">
        <v>1</v>
      </c>
      <c r="N29" s="149">
        <v>1</v>
      </c>
      <c r="O29" s="149">
        <v>0.35</v>
      </c>
      <c r="P29" s="149">
        <v>0.4</v>
      </c>
      <c r="Q29" s="186">
        <f t="shared" si="0"/>
        <v>0.375</v>
      </c>
      <c r="R29" s="248">
        <v>15.9</v>
      </c>
      <c r="S29" s="248">
        <v>177</v>
      </c>
      <c r="T29" s="158">
        <f t="shared" si="1"/>
        <v>30</v>
      </c>
      <c r="U29" s="253">
        <v>127</v>
      </c>
      <c r="V29" s="244">
        <f t="shared" si="2"/>
        <v>3810</v>
      </c>
      <c r="W29" s="250">
        <v>18</v>
      </c>
      <c r="X29" s="246" t="s">
        <v>46</v>
      </c>
      <c r="Y29" s="255" t="s">
        <v>55</v>
      </c>
      <c r="Z29" s="254" t="s">
        <v>60</v>
      </c>
      <c r="AA29" s="255" t="s">
        <v>97</v>
      </c>
      <c r="AB29" s="55" t="s">
        <v>315</v>
      </c>
      <c r="AR29" s="170"/>
    </row>
    <row r="30" spans="1:48" x14ac:dyDescent="0.15">
      <c r="A30" s="237" t="s">
        <v>34</v>
      </c>
      <c r="B30" s="237" t="s">
        <v>313</v>
      </c>
      <c r="C30" s="238">
        <v>2018</v>
      </c>
      <c r="D30" s="239" t="s">
        <v>530</v>
      </c>
      <c r="E30" s="238" t="s">
        <v>531</v>
      </c>
      <c r="F30" s="237" t="s">
        <v>532</v>
      </c>
      <c r="G30" s="240" t="s">
        <v>42</v>
      </c>
      <c r="H30" s="205" t="s">
        <v>162</v>
      </c>
      <c r="I30" s="205" t="s">
        <v>155</v>
      </c>
      <c r="J30" s="205" t="s">
        <v>38</v>
      </c>
      <c r="K30" s="205" t="s">
        <v>156</v>
      </c>
      <c r="L30" s="149">
        <v>2</v>
      </c>
      <c r="N30" s="149">
        <v>1</v>
      </c>
      <c r="O30" s="149">
        <v>0.4</v>
      </c>
      <c r="P30" s="149">
        <v>0.35</v>
      </c>
      <c r="Q30" s="186">
        <f t="shared" si="0"/>
        <v>0.375</v>
      </c>
      <c r="R30" s="248">
        <v>15.3</v>
      </c>
      <c r="S30" s="248">
        <v>149</v>
      </c>
      <c r="T30" s="158">
        <f t="shared" si="1"/>
        <v>30</v>
      </c>
      <c r="U30" s="253">
        <v>127</v>
      </c>
      <c r="V30" s="244">
        <f t="shared" si="2"/>
        <v>3810</v>
      </c>
      <c r="W30" s="250">
        <v>18</v>
      </c>
      <c r="X30" s="246" t="s">
        <v>46</v>
      </c>
      <c r="Y30" s="255" t="s">
        <v>55</v>
      </c>
      <c r="Z30" s="254" t="s">
        <v>60</v>
      </c>
      <c r="AA30" s="255" t="s">
        <v>97</v>
      </c>
      <c r="AB30" s="55" t="s">
        <v>315</v>
      </c>
    </row>
    <row r="31" spans="1:48" x14ac:dyDescent="0.15">
      <c r="A31" s="237" t="s">
        <v>34</v>
      </c>
      <c r="B31" s="237" t="s">
        <v>313</v>
      </c>
      <c r="C31" s="237">
        <v>2018</v>
      </c>
      <c r="D31" s="239" t="s">
        <v>530</v>
      </c>
      <c r="E31" s="238" t="s">
        <v>531</v>
      </c>
      <c r="F31" s="237" t="s">
        <v>532</v>
      </c>
      <c r="G31" s="240" t="s">
        <v>42</v>
      </c>
      <c r="H31" s="205" t="s">
        <v>162</v>
      </c>
      <c r="I31" s="205" t="s">
        <v>155</v>
      </c>
      <c r="J31" s="205" t="s">
        <v>38</v>
      </c>
      <c r="K31" s="205" t="s">
        <v>156</v>
      </c>
      <c r="L31" s="149">
        <v>3</v>
      </c>
      <c r="N31" s="149">
        <v>1</v>
      </c>
      <c r="O31" s="149">
        <v>0.4</v>
      </c>
      <c r="P31" s="149">
        <v>0.4</v>
      </c>
      <c r="Q31" s="186">
        <f t="shared" si="0"/>
        <v>0.4</v>
      </c>
      <c r="R31" s="248">
        <v>15.5</v>
      </c>
      <c r="S31" s="248">
        <v>154</v>
      </c>
      <c r="T31" s="158">
        <f t="shared" si="1"/>
        <v>30</v>
      </c>
      <c r="U31" s="253">
        <v>127</v>
      </c>
      <c r="V31" s="244">
        <f t="shared" si="2"/>
        <v>3810</v>
      </c>
      <c r="W31" s="250">
        <v>18</v>
      </c>
      <c r="X31" s="246" t="s">
        <v>46</v>
      </c>
      <c r="Y31" s="255" t="s">
        <v>55</v>
      </c>
      <c r="Z31" s="254" t="s">
        <v>60</v>
      </c>
      <c r="AA31" s="255" t="s">
        <v>97</v>
      </c>
      <c r="AB31" s="55" t="s">
        <v>315</v>
      </c>
    </row>
    <row r="32" spans="1:48" ht="14.25" customHeight="1" x14ac:dyDescent="0.15">
      <c r="A32" s="237" t="s">
        <v>34</v>
      </c>
      <c r="B32" s="237" t="s">
        <v>313</v>
      </c>
      <c r="C32" s="238">
        <v>2018</v>
      </c>
      <c r="D32" s="239" t="s">
        <v>530</v>
      </c>
      <c r="E32" s="238" t="s">
        <v>556</v>
      </c>
      <c r="F32" s="237" t="s">
        <v>532</v>
      </c>
      <c r="G32" s="240" t="s">
        <v>42</v>
      </c>
      <c r="H32" s="205" t="s">
        <v>157</v>
      </c>
      <c r="I32" s="205" t="s">
        <v>155</v>
      </c>
      <c r="J32" s="205" t="s">
        <v>38</v>
      </c>
      <c r="K32" s="205" t="s">
        <v>156</v>
      </c>
      <c r="L32" s="149">
        <v>1</v>
      </c>
      <c r="N32" s="149">
        <v>1</v>
      </c>
      <c r="O32" s="149">
        <v>0.3</v>
      </c>
      <c r="P32" s="149">
        <v>0.3</v>
      </c>
      <c r="Q32" s="186">
        <f t="shared" si="0"/>
        <v>0.3</v>
      </c>
      <c r="R32" s="248">
        <v>14.8</v>
      </c>
      <c r="S32" s="248">
        <v>147</v>
      </c>
      <c r="T32" s="158">
        <f t="shared" si="1"/>
        <v>30</v>
      </c>
      <c r="U32" s="253">
        <v>109</v>
      </c>
      <c r="V32" s="244">
        <f t="shared" si="2"/>
        <v>3270</v>
      </c>
      <c r="W32" s="250">
        <v>2</v>
      </c>
      <c r="X32" s="246" t="s">
        <v>46</v>
      </c>
      <c r="Y32" s="255" t="s">
        <v>97</v>
      </c>
      <c r="Z32" s="254" t="s">
        <v>40</v>
      </c>
      <c r="AA32" s="254" t="s">
        <v>75</v>
      </c>
      <c r="AB32" s="55" t="s">
        <v>315</v>
      </c>
    </row>
    <row r="33" spans="1:28" x14ac:dyDescent="0.15">
      <c r="A33" s="237" t="s">
        <v>34</v>
      </c>
      <c r="B33" s="237" t="s">
        <v>313</v>
      </c>
      <c r="C33" s="237">
        <v>2018</v>
      </c>
      <c r="D33" s="239" t="s">
        <v>530</v>
      </c>
      <c r="E33" s="238" t="s">
        <v>556</v>
      </c>
      <c r="F33" s="237" t="s">
        <v>532</v>
      </c>
      <c r="G33" s="240" t="s">
        <v>42</v>
      </c>
      <c r="H33" s="205" t="s">
        <v>157</v>
      </c>
      <c r="I33" s="205" t="s">
        <v>155</v>
      </c>
      <c r="J33" s="205" t="s">
        <v>38</v>
      </c>
      <c r="K33" s="205" t="s">
        <v>156</v>
      </c>
      <c r="L33" s="149">
        <v>2</v>
      </c>
      <c r="N33" s="149">
        <v>1</v>
      </c>
      <c r="O33" s="149">
        <v>0.3</v>
      </c>
      <c r="P33" s="149">
        <v>0.25</v>
      </c>
      <c r="Q33" s="186">
        <f t="shared" si="0"/>
        <v>0.27500000000000002</v>
      </c>
      <c r="R33" s="248">
        <v>15.1</v>
      </c>
      <c r="S33" s="248">
        <v>146</v>
      </c>
      <c r="T33" s="158">
        <f t="shared" si="1"/>
        <v>30</v>
      </c>
      <c r="U33" s="253">
        <v>109</v>
      </c>
      <c r="V33" s="244">
        <f t="shared" si="2"/>
        <v>3270</v>
      </c>
      <c r="W33" s="250">
        <v>2</v>
      </c>
      <c r="X33" s="246" t="s">
        <v>46</v>
      </c>
      <c r="Y33" s="255" t="s">
        <v>97</v>
      </c>
      <c r="Z33" s="254" t="s">
        <v>40</v>
      </c>
      <c r="AA33" s="254" t="s">
        <v>75</v>
      </c>
      <c r="AB33" s="55" t="s">
        <v>315</v>
      </c>
    </row>
    <row r="34" spans="1:28" x14ac:dyDescent="0.15">
      <c r="A34" s="237" t="s">
        <v>34</v>
      </c>
      <c r="B34" s="237" t="s">
        <v>313</v>
      </c>
      <c r="C34" s="238">
        <v>2018</v>
      </c>
      <c r="D34" s="239" t="s">
        <v>530</v>
      </c>
      <c r="E34" s="238" t="s">
        <v>556</v>
      </c>
      <c r="F34" s="237" t="s">
        <v>532</v>
      </c>
      <c r="G34" s="240" t="s">
        <v>42</v>
      </c>
      <c r="H34" s="205" t="s">
        <v>157</v>
      </c>
      <c r="I34" s="205" t="s">
        <v>155</v>
      </c>
      <c r="J34" s="205" t="s">
        <v>38</v>
      </c>
      <c r="K34" s="205" t="s">
        <v>156</v>
      </c>
      <c r="L34" s="149">
        <v>3</v>
      </c>
      <c r="N34" s="149">
        <v>1</v>
      </c>
      <c r="O34" s="149">
        <v>0.3</v>
      </c>
      <c r="P34" s="176">
        <v>0.3</v>
      </c>
      <c r="Q34" s="186">
        <f t="shared" si="0"/>
        <v>0.3</v>
      </c>
      <c r="R34" s="248">
        <v>15.4</v>
      </c>
      <c r="S34" s="248">
        <v>145</v>
      </c>
      <c r="T34" s="158">
        <f t="shared" si="1"/>
        <v>30</v>
      </c>
      <c r="U34" s="253">
        <v>109</v>
      </c>
      <c r="V34" s="244">
        <f t="shared" si="2"/>
        <v>3270</v>
      </c>
      <c r="W34" s="250">
        <v>2</v>
      </c>
      <c r="X34" s="246" t="s">
        <v>46</v>
      </c>
      <c r="Y34" s="255" t="s">
        <v>97</v>
      </c>
      <c r="Z34" s="254" t="s">
        <v>40</v>
      </c>
      <c r="AA34" s="254" t="s">
        <v>75</v>
      </c>
      <c r="AB34" s="55" t="s">
        <v>315</v>
      </c>
    </row>
    <row r="35" spans="1:28" x14ac:dyDescent="0.15">
      <c r="A35" s="237" t="s">
        <v>34</v>
      </c>
      <c r="B35" s="237" t="s">
        <v>313</v>
      </c>
      <c r="C35" s="237">
        <v>2018</v>
      </c>
      <c r="D35" s="239" t="s">
        <v>530</v>
      </c>
      <c r="E35" s="238" t="s">
        <v>556</v>
      </c>
      <c r="F35" s="237" t="s">
        <v>532</v>
      </c>
      <c r="G35" s="240" t="s">
        <v>42</v>
      </c>
      <c r="H35" s="205" t="s">
        <v>162</v>
      </c>
      <c r="I35" s="205" t="s">
        <v>155</v>
      </c>
      <c r="J35" s="205" t="s">
        <v>38</v>
      </c>
      <c r="K35" s="205" t="s">
        <v>156</v>
      </c>
      <c r="L35" s="149">
        <v>1</v>
      </c>
      <c r="N35" s="149">
        <v>1</v>
      </c>
      <c r="O35" s="149">
        <v>0.3</v>
      </c>
      <c r="P35" s="149">
        <v>0.35</v>
      </c>
      <c r="Q35" s="186">
        <f t="shared" si="0"/>
        <v>0.32499999999999996</v>
      </c>
      <c r="R35" s="248">
        <v>15.9</v>
      </c>
      <c r="S35" s="248">
        <v>137</v>
      </c>
      <c r="T35" s="158">
        <f t="shared" si="1"/>
        <v>30</v>
      </c>
      <c r="U35" s="253">
        <v>109</v>
      </c>
      <c r="V35" s="244">
        <f t="shared" si="2"/>
        <v>3270</v>
      </c>
      <c r="W35" s="250">
        <v>2</v>
      </c>
      <c r="X35" s="246" t="s">
        <v>46</v>
      </c>
      <c r="Y35" s="254" t="s">
        <v>97</v>
      </c>
      <c r="Z35" s="254" t="s">
        <v>40</v>
      </c>
      <c r="AA35" s="254" t="s">
        <v>75</v>
      </c>
      <c r="AB35" s="55" t="s">
        <v>315</v>
      </c>
    </row>
    <row r="36" spans="1:28" x14ac:dyDescent="0.15">
      <c r="A36" s="237" t="s">
        <v>34</v>
      </c>
      <c r="B36" s="237" t="s">
        <v>313</v>
      </c>
      <c r="C36" s="238">
        <v>2018</v>
      </c>
      <c r="D36" s="239" t="s">
        <v>530</v>
      </c>
      <c r="E36" s="238" t="s">
        <v>556</v>
      </c>
      <c r="F36" s="237" t="s">
        <v>532</v>
      </c>
      <c r="G36" s="240" t="s">
        <v>42</v>
      </c>
      <c r="H36" s="205" t="s">
        <v>162</v>
      </c>
      <c r="I36" s="205" t="s">
        <v>155</v>
      </c>
      <c r="J36" s="205" t="s">
        <v>38</v>
      </c>
      <c r="K36" s="205" t="s">
        <v>156</v>
      </c>
      <c r="L36" s="149">
        <v>2</v>
      </c>
      <c r="N36" s="149">
        <v>1</v>
      </c>
      <c r="O36" s="149">
        <v>0.35</v>
      </c>
      <c r="P36" s="149">
        <v>0.3</v>
      </c>
      <c r="Q36" s="186">
        <f t="shared" si="0"/>
        <v>0.32499999999999996</v>
      </c>
      <c r="R36" s="248">
        <v>16.3</v>
      </c>
      <c r="S36" s="248">
        <v>136</v>
      </c>
      <c r="T36" s="158">
        <f t="shared" si="1"/>
        <v>30</v>
      </c>
      <c r="U36" s="253">
        <v>109</v>
      </c>
      <c r="V36" s="244">
        <f t="shared" si="2"/>
        <v>3270</v>
      </c>
      <c r="W36" s="250">
        <v>2</v>
      </c>
      <c r="X36" s="246" t="s">
        <v>46</v>
      </c>
      <c r="Y36" s="254" t="s">
        <v>97</v>
      </c>
      <c r="Z36" s="254" t="s">
        <v>40</v>
      </c>
      <c r="AA36" s="254" t="s">
        <v>75</v>
      </c>
      <c r="AB36" s="55" t="s">
        <v>315</v>
      </c>
    </row>
    <row r="37" spans="1:28" x14ac:dyDescent="0.15">
      <c r="A37" s="237" t="s">
        <v>34</v>
      </c>
      <c r="B37" s="237" t="s">
        <v>313</v>
      </c>
      <c r="C37" s="237">
        <v>2018</v>
      </c>
      <c r="D37" s="239" t="s">
        <v>530</v>
      </c>
      <c r="E37" s="238" t="s">
        <v>556</v>
      </c>
      <c r="F37" s="237" t="s">
        <v>532</v>
      </c>
      <c r="G37" s="240" t="s">
        <v>42</v>
      </c>
      <c r="H37" s="205" t="s">
        <v>162</v>
      </c>
      <c r="I37" s="205" t="s">
        <v>155</v>
      </c>
      <c r="J37" s="205" t="s">
        <v>38</v>
      </c>
      <c r="K37" s="205" t="s">
        <v>156</v>
      </c>
      <c r="L37" s="149">
        <v>3</v>
      </c>
      <c r="N37" s="149">
        <v>1</v>
      </c>
      <c r="O37" s="149">
        <v>0.3</v>
      </c>
      <c r="P37" s="149">
        <v>0.3</v>
      </c>
      <c r="Q37" s="186">
        <f t="shared" si="0"/>
        <v>0.3</v>
      </c>
      <c r="R37" s="248">
        <v>16.399999999999999</v>
      </c>
      <c r="S37" s="248">
        <v>147</v>
      </c>
      <c r="T37" s="158">
        <f t="shared" si="1"/>
        <v>30</v>
      </c>
      <c r="U37" s="253">
        <v>109</v>
      </c>
      <c r="V37" s="244">
        <f t="shared" si="2"/>
        <v>3270</v>
      </c>
      <c r="W37" s="250">
        <v>2</v>
      </c>
      <c r="X37" s="246" t="s">
        <v>46</v>
      </c>
      <c r="Y37" s="254" t="s">
        <v>97</v>
      </c>
      <c r="Z37" s="254" t="s">
        <v>40</v>
      </c>
      <c r="AA37" s="254" t="s">
        <v>75</v>
      </c>
      <c r="AB37" s="55" t="s">
        <v>315</v>
      </c>
    </row>
    <row r="38" spans="1:28" x14ac:dyDescent="0.15">
      <c r="A38" s="237" t="s">
        <v>34</v>
      </c>
      <c r="B38" s="237" t="s">
        <v>313</v>
      </c>
      <c r="C38" s="238">
        <v>2018</v>
      </c>
      <c r="D38" s="239" t="s">
        <v>530</v>
      </c>
      <c r="E38" s="238" t="s">
        <v>531</v>
      </c>
      <c r="F38" s="237" t="s">
        <v>551</v>
      </c>
      <c r="G38" s="240" t="s">
        <v>42</v>
      </c>
      <c r="H38" s="205" t="s">
        <v>157</v>
      </c>
      <c r="I38" s="205" t="s">
        <v>155</v>
      </c>
      <c r="J38" s="205" t="s">
        <v>38</v>
      </c>
      <c r="K38" s="205" t="s">
        <v>156</v>
      </c>
      <c r="L38" s="149">
        <v>1</v>
      </c>
      <c r="N38" s="149">
        <v>1</v>
      </c>
      <c r="O38" s="149">
        <v>0.3</v>
      </c>
      <c r="P38" s="149">
        <v>0.3</v>
      </c>
      <c r="Q38" s="186">
        <f t="shared" si="0"/>
        <v>0.3</v>
      </c>
      <c r="R38" s="248">
        <v>15.3</v>
      </c>
      <c r="S38" s="248">
        <v>141</v>
      </c>
      <c r="T38" s="158">
        <f t="shared" si="1"/>
        <v>30</v>
      </c>
      <c r="U38" s="253">
        <v>127</v>
      </c>
      <c r="V38" s="244">
        <f t="shared" si="2"/>
        <v>3810</v>
      </c>
      <c r="W38" s="250">
        <v>18</v>
      </c>
      <c r="X38" s="246" t="s">
        <v>46</v>
      </c>
      <c r="Y38" s="254" t="s">
        <v>55</v>
      </c>
      <c r="Z38" s="254" t="s">
        <v>86</v>
      </c>
      <c r="AA38" s="254" t="s">
        <v>97</v>
      </c>
      <c r="AB38" s="55" t="s">
        <v>315</v>
      </c>
    </row>
    <row r="39" spans="1:28" x14ac:dyDescent="0.15">
      <c r="A39" s="237" t="s">
        <v>34</v>
      </c>
      <c r="B39" s="237" t="s">
        <v>313</v>
      </c>
      <c r="C39" s="237">
        <v>2018</v>
      </c>
      <c r="D39" s="239" t="s">
        <v>530</v>
      </c>
      <c r="E39" s="238" t="s">
        <v>531</v>
      </c>
      <c r="F39" s="237" t="s">
        <v>551</v>
      </c>
      <c r="G39" s="240" t="s">
        <v>42</v>
      </c>
      <c r="H39" s="205" t="s">
        <v>157</v>
      </c>
      <c r="I39" s="205" t="s">
        <v>155</v>
      </c>
      <c r="J39" s="205" t="s">
        <v>38</v>
      </c>
      <c r="K39" s="205" t="s">
        <v>156</v>
      </c>
      <c r="L39" s="149">
        <v>2</v>
      </c>
      <c r="N39" s="149">
        <v>1</v>
      </c>
      <c r="O39" s="149">
        <v>0.25</v>
      </c>
      <c r="P39" s="149">
        <v>0.3</v>
      </c>
      <c r="Q39" s="186">
        <f t="shared" si="0"/>
        <v>0.27500000000000002</v>
      </c>
      <c r="R39" s="248">
        <v>14.7</v>
      </c>
      <c r="S39" s="248">
        <v>137</v>
      </c>
      <c r="T39" s="158">
        <f t="shared" si="1"/>
        <v>30</v>
      </c>
      <c r="U39" s="253">
        <v>127</v>
      </c>
      <c r="V39" s="244">
        <f t="shared" si="2"/>
        <v>3810</v>
      </c>
      <c r="W39" s="250">
        <v>18</v>
      </c>
      <c r="X39" s="246" t="s">
        <v>46</v>
      </c>
      <c r="Y39" s="254" t="s">
        <v>55</v>
      </c>
      <c r="Z39" s="254" t="s">
        <v>86</v>
      </c>
      <c r="AA39" s="254" t="s">
        <v>97</v>
      </c>
      <c r="AB39" s="55" t="s">
        <v>315</v>
      </c>
    </row>
    <row r="40" spans="1:28" ht="12.75" customHeight="1" x14ac:dyDescent="0.15">
      <c r="A40" s="237" t="s">
        <v>34</v>
      </c>
      <c r="B40" s="237" t="s">
        <v>313</v>
      </c>
      <c r="C40" s="238">
        <v>2018</v>
      </c>
      <c r="D40" s="239" t="s">
        <v>530</v>
      </c>
      <c r="E40" s="238" t="s">
        <v>531</v>
      </c>
      <c r="F40" s="237" t="s">
        <v>551</v>
      </c>
      <c r="G40" s="240" t="s">
        <v>42</v>
      </c>
      <c r="H40" s="205" t="s">
        <v>157</v>
      </c>
      <c r="I40" s="205" t="s">
        <v>155</v>
      </c>
      <c r="J40" s="205" t="s">
        <v>38</v>
      </c>
      <c r="K40" s="205" t="s">
        <v>156</v>
      </c>
      <c r="L40" s="149">
        <v>3</v>
      </c>
      <c r="N40" s="149">
        <v>1</v>
      </c>
      <c r="O40" s="149">
        <v>0.3</v>
      </c>
      <c r="P40" s="149">
        <v>0.3</v>
      </c>
      <c r="Q40" s="186">
        <f t="shared" si="0"/>
        <v>0.3</v>
      </c>
      <c r="R40" s="248">
        <v>15</v>
      </c>
      <c r="S40" s="248">
        <v>142</v>
      </c>
      <c r="T40" s="158">
        <f t="shared" si="1"/>
        <v>30</v>
      </c>
      <c r="U40" s="253">
        <v>127</v>
      </c>
      <c r="V40" s="244">
        <f t="shared" si="2"/>
        <v>3810</v>
      </c>
      <c r="W40" s="250">
        <v>18</v>
      </c>
      <c r="X40" s="246" t="s">
        <v>46</v>
      </c>
      <c r="Y40" s="254" t="s">
        <v>55</v>
      </c>
      <c r="Z40" s="254" t="s">
        <v>86</v>
      </c>
      <c r="AA40" s="254" t="s">
        <v>97</v>
      </c>
      <c r="AB40" s="55" t="s">
        <v>315</v>
      </c>
    </row>
    <row r="41" spans="1:28" ht="12.75" customHeight="1" x14ac:dyDescent="0.15">
      <c r="A41" s="205" t="s">
        <v>34</v>
      </c>
      <c r="B41" s="237" t="s">
        <v>313</v>
      </c>
      <c r="C41" s="238">
        <v>2018</v>
      </c>
      <c r="D41" s="239" t="s">
        <v>530</v>
      </c>
      <c r="E41" s="238" t="s">
        <v>531</v>
      </c>
      <c r="F41" s="237" t="s">
        <v>551</v>
      </c>
      <c r="G41" s="240" t="s">
        <v>42</v>
      </c>
      <c r="H41" s="205" t="s">
        <v>162</v>
      </c>
      <c r="I41" s="205" t="s">
        <v>155</v>
      </c>
      <c r="J41" s="205" t="s">
        <v>38</v>
      </c>
      <c r="K41" s="205" t="s">
        <v>156</v>
      </c>
      <c r="L41" s="149">
        <v>1</v>
      </c>
      <c r="N41" s="149">
        <v>1</v>
      </c>
      <c r="O41" s="149">
        <v>0.35</v>
      </c>
      <c r="P41" s="149">
        <v>0.4</v>
      </c>
      <c r="Q41" s="186">
        <f t="shared" si="0"/>
        <v>0.375</v>
      </c>
      <c r="R41" s="248">
        <v>16.100000000000001</v>
      </c>
      <c r="S41" s="248">
        <v>162</v>
      </c>
      <c r="T41" s="158">
        <f t="shared" si="1"/>
        <v>30</v>
      </c>
      <c r="U41" s="253">
        <v>127</v>
      </c>
      <c r="V41" s="244">
        <f t="shared" si="2"/>
        <v>3810</v>
      </c>
      <c r="W41" s="188">
        <v>18</v>
      </c>
      <c r="X41" s="246" t="s">
        <v>46</v>
      </c>
      <c r="Y41" s="258" t="s">
        <v>55</v>
      </c>
      <c r="Z41" s="258" t="s">
        <v>86</v>
      </c>
      <c r="AA41" s="258" t="s">
        <v>97</v>
      </c>
      <c r="AB41" s="55" t="s">
        <v>315</v>
      </c>
    </row>
    <row r="42" spans="1:28" ht="12.75" customHeight="1" x14ac:dyDescent="0.15">
      <c r="A42" s="205" t="s">
        <v>34</v>
      </c>
      <c r="B42" s="237" t="s">
        <v>313</v>
      </c>
      <c r="C42" s="238">
        <v>2018</v>
      </c>
      <c r="D42" s="239" t="s">
        <v>530</v>
      </c>
      <c r="E42" s="238" t="s">
        <v>531</v>
      </c>
      <c r="F42" s="237" t="s">
        <v>551</v>
      </c>
      <c r="G42" s="240" t="s">
        <v>42</v>
      </c>
      <c r="H42" s="205" t="s">
        <v>162</v>
      </c>
      <c r="I42" s="205" t="s">
        <v>155</v>
      </c>
      <c r="J42" s="205" t="s">
        <v>38</v>
      </c>
      <c r="K42" s="205" t="s">
        <v>156</v>
      </c>
      <c r="L42" s="149">
        <v>2</v>
      </c>
      <c r="N42" s="149">
        <v>1</v>
      </c>
      <c r="O42" s="149">
        <v>0.4</v>
      </c>
      <c r="P42" s="149">
        <v>0.35</v>
      </c>
      <c r="Q42" s="186">
        <f t="shared" si="0"/>
        <v>0.375</v>
      </c>
      <c r="R42" s="248">
        <v>15.4</v>
      </c>
      <c r="S42" s="248">
        <v>159</v>
      </c>
      <c r="T42" s="158">
        <f t="shared" si="1"/>
        <v>30</v>
      </c>
      <c r="U42" s="253">
        <v>127</v>
      </c>
      <c r="V42" s="244">
        <f t="shared" si="2"/>
        <v>3810</v>
      </c>
      <c r="W42" s="188">
        <v>18</v>
      </c>
      <c r="X42" s="246" t="s">
        <v>46</v>
      </c>
      <c r="Y42" s="258" t="s">
        <v>55</v>
      </c>
      <c r="Z42" s="258" t="s">
        <v>86</v>
      </c>
      <c r="AA42" s="258" t="s">
        <v>97</v>
      </c>
      <c r="AB42" s="55" t="s">
        <v>315</v>
      </c>
    </row>
    <row r="43" spans="1:28" ht="12.75" customHeight="1" x14ac:dyDescent="0.15">
      <c r="A43" s="205" t="s">
        <v>34</v>
      </c>
      <c r="B43" s="237" t="s">
        <v>313</v>
      </c>
      <c r="C43" s="238">
        <v>2018</v>
      </c>
      <c r="D43" s="239" t="s">
        <v>530</v>
      </c>
      <c r="E43" s="238" t="s">
        <v>531</v>
      </c>
      <c r="F43" s="237" t="s">
        <v>551</v>
      </c>
      <c r="G43" s="240" t="s">
        <v>42</v>
      </c>
      <c r="H43" s="205" t="s">
        <v>162</v>
      </c>
      <c r="I43" s="205" t="s">
        <v>155</v>
      </c>
      <c r="J43" s="205" t="s">
        <v>38</v>
      </c>
      <c r="K43" s="205" t="s">
        <v>156</v>
      </c>
      <c r="L43" s="149">
        <v>3</v>
      </c>
      <c r="N43" s="149">
        <v>1</v>
      </c>
      <c r="O43" s="149">
        <v>0.4</v>
      </c>
      <c r="P43" s="149">
        <v>0.4</v>
      </c>
      <c r="Q43" s="186">
        <f t="shared" si="0"/>
        <v>0.4</v>
      </c>
      <c r="R43" s="248">
        <v>15.5</v>
      </c>
      <c r="S43" s="248">
        <v>168</v>
      </c>
      <c r="T43" s="158">
        <f t="shared" si="1"/>
        <v>30</v>
      </c>
      <c r="U43" s="253">
        <v>127</v>
      </c>
      <c r="V43" s="244">
        <f t="shared" si="2"/>
        <v>3810</v>
      </c>
      <c r="W43" s="188">
        <v>18</v>
      </c>
      <c r="X43" s="246" t="s">
        <v>46</v>
      </c>
      <c r="Y43" s="258" t="s">
        <v>55</v>
      </c>
      <c r="Z43" s="258" t="s">
        <v>86</v>
      </c>
      <c r="AA43" s="258" t="s">
        <v>97</v>
      </c>
      <c r="AB43" s="55" t="s">
        <v>315</v>
      </c>
    </row>
    <row r="44" spans="1:28" x14ac:dyDescent="0.15">
      <c r="A44" s="149" t="s">
        <v>34</v>
      </c>
      <c r="B44" s="237" t="s">
        <v>313</v>
      </c>
      <c r="C44" s="238">
        <v>2018</v>
      </c>
      <c r="D44" s="239" t="s">
        <v>530</v>
      </c>
      <c r="E44" s="238" t="s">
        <v>139</v>
      </c>
      <c r="F44" s="237" t="s">
        <v>551</v>
      </c>
      <c r="G44" s="240" t="s">
        <v>36</v>
      </c>
      <c r="H44" s="205" t="s">
        <v>157</v>
      </c>
      <c r="I44" s="205" t="s">
        <v>155</v>
      </c>
      <c r="J44" s="188" t="s">
        <v>38</v>
      </c>
      <c r="K44" s="205" t="s">
        <v>156</v>
      </c>
      <c r="L44" s="149">
        <v>1</v>
      </c>
      <c r="N44" s="149">
        <v>1</v>
      </c>
      <c r="O44" s="149">
        <v>0.35</v>
      </c>
      <c r="P44" s="149">
        <v>0.4</v>
      </c>
      <c r="Q44" s="186">
        <f t="shared" si="0"/>
        <v>0.375</v>
      </c>
      <c r="R44" s="248">
        <v>15.1</v>
      </c>
      <c r="S44" s="248">
        <v>144</v>
      </c>
      <c r="T44" s="158">
        <f t="shared" si="1"/>
        <v>30</v>
      </c>
      <c r="U44" s="253">
        <v>149</v>
      </c>
      <c r="V44" s="158">
        <f t="shared" si="2"/>
        <v>4470</v>
      </c>
      <c r="W44" s="149">
        <v>12</v>
      </c>
      <c r="X44" s="246" t="s">
        <v>46</v>
      </c>
      <c r="Y44" s="258" t="s">
        <v>78</v>
      </c>
      <c r="Z44" s="258" t="s">
        <v>97</v>
      </c>
      <c r="AA44" s="258" t="s">
        <v>86</v>
      </c>
      <c r="AB44" s="55" t="s">
        <v>315</v>
      </c>
    </row>
    <row r="45" spans="1:28" x14ac:dyDescent="0.15">
      <c r="A45" s="149" t="s">
        <v>34</v>
      </c>
      <c r="B45" s="237" t="s">
        <v>313</v>
      </c>
      <c r="C45" s="237">
        <v>2018</v>
      </c>
      <c r="D45" s="239" t="s">
        <v>530</v>
      </c>
      <c r="E45" s="238" t="s">
        <v>139</v>
      </c>
      <c r="F45" s="237" t="s">
        <v>551</v>
      </c>
      <c r="G45" s="240" t="s">
        <v>36</v>
      </c>
      <c r="H45" s="205" t="s">
        <v>157</v>
      </c>
      <c r="I45" s="205" t="s">
        <v>155</v>
      </c>
      <c r="J45" s="188" t="s">
        <v>38</v>
      </c>
      <c r="K45" s="205" t="s">
        <v>156</v>
      </c>
      <c r="L45" s="149">
        <v>2</v>
      </c>
      <c r="N45" s="149">
        <v>1</v>
      </c>
      <c r="O45" s="149">
        <v>0.5</v>
      </c>
      <c r="P45" s="149">
        <v>0.45</v>
      </c>
      <c r="Q45" s="186">
        <f t="shared" si="0"/>
        <v>0.47499999999999998</v>
      </c>
      <c r="R45" s="248">
        <v>14.8</v>
      </c>
      <c r="S45" s="248">
        <v>144</v>
      </c>
      <c r="T45" s="158">
        <f t="shared" si="1"/>
        <v>30</v>
      </c>
      <c r="U45" s="253">
        <v>149</v>
      </c>
      <c r="V45" s="158">
        <f t="shared" si="2"/>
        <v>4470</v>
      </c>
      <c r="W45" s="149">
        <v>12</v>
      </c>
      <c r="X45" s="246" t="s">
        <v>46</v>
      </c>
      <c r="Y45" s="258" t="s">
        <v>78</v>
      </c>
      <c r="Z45" s="258" t="s">
        <v>97</v>
      </c>
      <c r="AA45" s="258" t="s">
        <v>86</v>
      </c>
      <c r="AB45" s="55" t="s">
        <v>315</v>
      </c>
    </row>
    <row r="46" spans="1:28" x14ac:dyDescent="0.15">
      <c r="A46" s="149" t="s">
        <v>34</v>
      </c>
      <c r="B46" s="237" t="s">
        <v>313</v>
      </c>
      <c r="C46" s="238">
        <v>2018</v>
      </c>
      <c r="D46" s="239" t="s">
        <v>530</v>
      </c>
      <c r="E46" s="238" t="s">
        <v>139</v>
      </c>
      <c r="F46" s="237" t="s">
        <v>551</v>
      </c>
      <c r="G46" s="240" t="s">
        <v>36</v>
      </c>
      <c r="H46" s="205" t="s">
        <v>157</v>
      </c>
      <c r="I46" s="205" t="s">
        <v>155</v>
      </c>
      <c r="J46" s="188" t="s">
        <v>38</v>
      </c>
      <c r="K46" s="205" t="s">
        <v>156</v>
      </c>
      <c r="L46" s="149">
        <v>3</v>
      </c>
      <c r="N46" s="149">
        <v>1</v>
      </c>
      <c r="O46" s="149">
        <v>0.45</v>
      </c>
      <c r="P46" s="149">
        <v>0.5</v>
      </c>
      <c r="Q46" s="186">
        <f t="shared" si="0"/>
        <v>0.47499999999999998</v>
      </c>
      <c r="R46" s="248">
        <v>15.3</v>
      </c>
      <c r="S46" s="248">
        <v>137</v>
      </c>
      <c r="T46" s="158">
        <f t="shared" si="1"/>
        <v>30</v>
      </c>
      <c r="U46" s="253">
        <v>149</v>
      </c>
      <c r="V46" s="158">
        <f t="shared" si="2"/>
        <v>4470</v>
      </c>
      <c r="W46" s="149">
        <v>12</v>
      </c>
      <c r="X46" s="246" t="s">
        <v>46</v>
      </c>
      <c r="Y46" s="258" t="s">
        <v>78</v>
      </c>
      <c r="Z46" s="258" t="s">
        <v>97</v>
      </c>
      <c r="AA46" s="258" t="s">
        <v>86</v>
      </c>
      <c r="AB46" s="55" t="s">
        <v>315</v>
      </c>
    </row>
    <row r="47" spans="1:28" x14ac:dyDescent="0.15">
      <c r="A47" s="149" t="s">
        <v>34</v>
      </c>
      <c r="B47" s="176" t="s">
        <v>313</v>
      </c>
      <c r="C47" s="149">
        <v>2018</v>
      </c>
      <c r="D47" s="259" t="s">
        <v>530</v>
      </c>
      <c r="E47" s="149" t="s">
        <v>139</v>
      </c>
      <c r="F47" s="237" t="s">
        <v>551</v>
      </c>
      <c r="G47" s="240" t="s">
        <v>36</v>
      </c>
      <c r="H47" s="205" t="s">
        <v>162</v>
      </c>
      <c r="I47" s="205" t="s">
        <v>155</v>
      </c>
      <c r="J47" s="188" t="s">
        <v>38</v>
      </c>
      <c r="K47" s="205" t="s">
        <v>156</v>
      </c>
      <c r="L47" s="149">
        <v>1</v>
      </c>
      <c r="N47" s="149">
        <v>1</v>
      </c>
      <c r="O47" s="149">
        <v>0.45</v>
      </c>
      <c r="P47" s="149">
        <v>0.35</v>
      </c>
      <c r="Q47" s="186">
        <f t="shared" si="0"/>
        <v>0.4</v>
      </c>
      <c r="R47" s="248">
        <v>16.2</v>
      </c>
      <c r="S47" s="248">
        <v>170</v>
      </c>
      <c r="T47" s="158">
        <f t="shared" si="1"/>
        <v>30</v>
      </c>
      <c r="U47" s="149">
        <v>149</v>
      </c>
      <c r="V47" s="158">
        <f t="shared" si="2"/>
        <v>4470</v>
      </c>
      <c r="W47" s="149">
        <v>12</v>
      </c>
      <c r="X47" s="246" t="s">
        <v>46</v>
      </c>
      <c r="Y47" s="149" t="s">
        <v>78</v>
      </c>
      <c r="Z47" s="149" t="s">
        <v>97</v>
      </c>
      <c r="AA47" s="149" t="s">
        <v>86</v>
      </c>
      <c r="AB47" s="55" t="s">
        <v>315</v>
      </c>
    </row>
    <row r="48" spans="1:28" x14ac:dyDescent="0.15">
      <c r="A48" s="149" t="s">
        <v>34</v>
      </c>
      <c r="B48" s="176" t="s">
        <v>313</v>
      </c>
      <c r="C48" s="149">
        <v>2018</v>
      </c>
      <c r="D48" s="259" t="s">
        <v>530</v>
      </c>
      <c r="E48" s="149" t="s">
        <v>139</v>
      </c>
      <c r="F48" s="237" t="s">
        <v>551</v>
      </c>
      <c r="G48" s="240" t="s">
        <v>36</v>
      </c>
      <c r="H48" s="205" t="s">
        <v>162</v>
      </c>
      <c r="I48" s="205" t="s">
        <v>155</v>
      </c>
      <c r="J48" s="188" t="s">
        <v>38</v>
      </c>
      <c r="K48" s="205" t="s">
        <v>156</v>
      </c>
      <c r="L48" s="149">
        <v>2</v>
      </c>
      <c r="N48" s="149">
        <v>1</v>
      </c>
      <c r="O48" s="149">
        <v>0.35</v>
      </c>
      <c r="P48" s="149">
        <v>0.4</v>
      </c>
      <c r="Q48" s="186">
        <f t="shared" si="0"/>
        <v>0.375</v>
      </c>
      <c r="R48" s="248">
        <v>15.8</v>
      </c>
      <c r="S48" s="248">
        <v>162</v>
      </c>
      <c r="T48" s="158">
        <f t="shared" si="1"/>
        <v>30</v>
      </c>
      <c r="U48" s="149">
        <v>149</v>
      </c>
      <c r="V48" s="158">
        <f t="shared" si="2"/>
        <v>4470</v>
      </c>
      <c r="W48" s="149">
        <v>12</v>
      </c>
      <c r="X48" s="246" t="s">
        <v>46</v>
      </c>
      <c r="Y48" s="149" t="s">
        <v>78</v>
      </c>
      <c r="Z48" s="149" t="s">
        <v>97</v>
      </c>
      <c r="AA48" s="149" t="s">
        <v>86</v>
      </c>
      <c r="AB48" s="55" t="s">
        <v>315</v>
      </c>
    </row>
    <row r="49" spans="1:28" x14ac:dyDescent="0.15">
      <c r="A49" s="149" t="s">
        <v>34</v>
      </c>
      <c r="B49" s="176" t="s">
        <v>313</v>
      </c>
      <c r="C49" s="149">
        <v>2018</v>
      </c>
      <c r="D49" s="259" t="s">
        <v>530</v>
      </c>
      <c r="E49" s="149" t="s">
        <v>139</v>
      </c>
      <c r="F49" s="237" t="s">
        <v>551</v>
      </c>
      <c r="G49" s="240" t="s">
        <v>36</v>
      </c>
      <c r="H49" s="205" t="s">
        <v>162</v>
      </c>
      <c r="I49" s="205" t="s">
        <v>155</v>
      </c>
      <c r="J49" s="188" t="s">
        <v>38</v>
      </c>
      <c r="K49" s="205" t="s">
        <v>156</v>
      </c>
      <c r="L49" s="149">
        <v>3</v>
      </c>
      <c r="N49" s="149">
        <v>1</v>
      </c>
      <c r="O49" s="149">
        <v>0.3</v>
      </c>
      <c r="P49" s="149">
        <v>0.3</v>
      </c>
      <c r="Q49" s="186">
        <f t="shared" si="0"/>
        <v>0.3</v>
      </c>
      <c r="R49" s="248">
        <v>16.2</v>
      </c>
      <c r="S49" s="248">
        <v>152</v>
      </c>
      <c r="T49" s="158">
        <f t="shared" si="1"/>
        <v>30</v>
      </c>
      <c r="U49" s="149">
        <v>149</v>
      </c>
      <c r="V49" s="158">
        <f t="shared" si="2"/>
        <v>4470</v>
      </c>
      <c r="W49" s="149">
        <v>12</v>
      </c>
      <c r="X49" s="246" t="s">
        <v>46</v>
      </c>
      <c r="Y49" s="149" t="s">
        <v>78</v>
      </c>
      <c r="Z49" s="149" t="s">
        <v>97</v>
      </c>
      <c r="AA49" s="149" t="s">
        <v>86</v>
      </c>
      <c r="AB49" s="55" t="s">
        <v>315</v>
      </c>
    </row>
    <row r="50" spans="1:28" x14ac:dyDescent="0.15">
      <c r="A50" s="149" t="s">
        <v>34</v>
      </c>
      <c r="B50" s="149" t="s">
        <v>313</v>
      </c>
      <c r="C50" s="149">
        <v>2018</v>
      </c>
      <c r="D50" s="259" t="s">
        <v>530</v>
      </c>
      <c r="E50" s="149" t="s">
        <v>133</v>
      </c>
      <c r="F50" s="237" t="s">
        <v>534</v>
      </c>
      <c r="G50" s="240" t="s">
        <v>36</v>
      </c>
      <c r="H50" s="188" t="s">
        <v>211</v>
      </c>
      <c r="I50" s="188" t="s">
        <v>155</v>
      </c>
      <c r="J50" s="188" t="s">
        <v>38</v>
      </c>
      <c r="K50" s="205" t="s">
        <v>156</v>
      </c>
      <c r="L50" s="149">
        <v>1</v>
      </c>
      <c r="N50" s="149">
        <v>1</v>
      </c>
      <c r="O50" s="149">
        <v>0.35</v>
      </c>
      <c r="P50" s="149">
        <v>0.3</v>
      </c>
      <c r="Q50" s="186">
        <f t="shared" si="0"/>
        <v>0.32499999999999996</v>
      </c>
      <c r="R50" s="149">
        <v>18.600000000000001</v>
      </c>
      <c r="S50" s="149">
        <v>117</v>
      </c>
      <c r="T50" s="158">
        <f t="shared" si="1"/>
        <v>30</v>
      </c>
      <c r="U50" s="149">
        <v>84</v>
      </c>
      <c r="V50" s="158">
        <f t="shared" si="2"/>
        <v>2520</v>
      </c>
      <c r="W50" s="149">
        <v>10</v>
      </c>
      <c r="X50" s="246" t="s">
        <v>46</v>
      </c>
      <c r="Y50" s="149" t="s">
        <v>86</v>
      </c>
      <c r="Z50" s="149" t="s">
        <v>107</v>
      </c>
      <c r="AA50" s="149" t="s">
        <v>97</v>
      </c>
      <c r="AB50" s="149" t="s">
        <v>315</v>
      </c>
    </row>
    <row r="51" spans="1:28" x14ac:dyDescent="0.15">
      <c r="A51" s="149" t="s">
        <v>34</v>
      </c>
      <c r="B51" s="149" t="s">
        <v>313</v>
      </c>
      <c r="C51" s="149">
        <v>2018</v>
      </c>
      <c r="D51" s="259" t="s">
        <v>530</v>
      </c>
      <c r="E51" s="149" t="s">
        <v>133</v>
      </c>
      <c r="F51" s="237" t="s">
        <v>534</v>
      </c>
      <c r="G51" s="240" t="s">
        <v>36</v>
      </c>
      <c r="H51" s="188" t="s">
        <v>211</v>
      </c>
      <c r="I51" s="188" t="s">
        <v>155</v>
      </c>
      <c r="J51" s="188" t="s">
        <v>38</v>
      </c>
      <c r="K51" s="205" t="s">
        <v>156</v>
      </c>
      <c r="L51" s="149">
        <v>2</v>
      </c>
      <c r="N51" s="149">
        <v>1</v>
      </c>
      <c r="O51" s="149">
        <v>0.3</v>
      </c>
      <c r="P51" s="149">
        <v>0.35</v>
      </c>
      <c r="Q51" s="186">
        <f t="shared" si="0"/>
        <v>0.32499999999999996</v>
      </c>
      <c r="R51" s="149">
        <v>17.8</v>
      </c>
      <c r="S51" s="149">
        <v>117</v>
      </c>
      <c r="T51" s="158">
        <f t="shared" si="1"/>
        <v>30</v>
      </c>
      <c r="U51" s="149">
        <v>84</v>
      </c>
      <c r="V51" s="158">
        <f t="shared" si="2"/>
        <v>2520</v>
      </c>
      <c r="W51" s="149">
        <v>10</v>
      </c>
      <c r="X51" s="246" t="s">
        <v>46</v>
      </c>
      <c r="Y51" s="149" t="s">
        <v>86</v>
      </c>
      <c r="Z51" s="149" t="s">
        <v>107</v>
      </c>
      <c r="AA51" s="149" t="s">
        <v>97</v>
      </c>
      <c r="AB51" s="149" t="s">
        <v>315</v>
      </c>
    </row>
    <row r="52" spans="1:28" x14ac:dyDescent="0.15">
      <c r="A52" s="149" t="s">
        <v>34</v>
      </c>
      <c r="B52" s="149" t="s">
        <v>313</v>
      </c>
      <c r="C52" s="149">
        <v>2018</v>
      </c>
      <c r="D52" s="259" t="s">
        <v>530</v>
      </c>
      <c r="E52" s="149" t="s">
        <v>133</v>
      </c>
      <c r="F52" s="237" t="s">
        <v>534</v>
      </c>
      <c r="G52" s="240" t="s">
        <v>36</v>
      </c>
      <c r="H52" s="188" t="s">
        <v>211</v>
      </c>
      <c r="I52" s="188" t="s">
        <v>155</v>
      </c>
      <c r="J52" s="188" t="s">
        <v>38</v>
      </c>
      <c r="K52" s="205" t="s">
        <v>156</v>
      </c>
      <c r="L52" s="149">
        <v>3</v>
      </c>
      <c r="N52" s="149">
        <v>1</v>
      </c>
      <c r="O52" s="149">
        <v>0.3</v>
      </c>
      <c r="P52" s="149">
        <v>0.3</v>
      </c>
      <c r="Q52" s="186">
        <f t="shared" si="0"/>
        <v>0.3</v>
      </c>
      <c r="R52" s="149">
        <v>17.399999999999999</v>
      </c>
      <c r="S52" s="149">
        <v>117</v>
      </c>
      <c r="T52" s="158">
        <f t="shared" si="1"/>
        <v>30</v>
      </c>
      <c r="U52" s="149">
        <v>84</v>
      </c>
      <c r="V52" s="158">
        <f t="shared" si="2"/>
        <v>2520</v>
      </c>
      <c r="W52" s="149">
        <v>10</v>
      </c>
      <c r="X52" s="246" t="s">
        <v>46</v>
      </c>
      <c r="Y52" s="149" t="s">
        <v>86</v>
      </c>
      <c r="Z52" s="149" t="s">
        <v>107</v>
      </c>
      <c r="AA52" s="149" t="s">
        <v>97</v>
      </c>
      <c r="AB52" s="149" t="s">
        <v>315</v>
      </c>
    </row>
    <row r="53" spans="1:28" x14ac:dyDescent="0.15">
      <c r="A53" s="149" t="s">
        <v>34</v>
      </c>
      <c r="B53" s="149" t="s">
        <v>313</v>
      </c>
      <c r="C53" s="149">
        <v>2018</v>
      </c>
      <c r="D53" s="259" t="s">
        <v>530</v>
      </c>
      <c r="E53" s="149" t="s">
        <v>133</v>
      </c>
      <c r="F53" s="237" t="s">
        <v>534</v>
      </c>
      <c r="G53" s="240" t="s">
        <v>36</v>
      </c>
      <c r="H53" s="188" t="s">
        <v>162</v>
      </c>
      <c r="I53" s="188" t="s">
        <v>155</v>
      </c>
      <c r="J53" s="188" t="s">
        <v>38</v>
      </c>
      <c r="K53" s="205" t="s">
        <v>156</v>
      </c>
      <c r="L53" s="149">
        <v>1</v>
      </c>
      <c r="N53" s="149">
        <v>1</v>
      </c>
      <c r="O53" s="149">
        <v>0.4</v>
      </c>
      <c r="P53" s="149">
        <v>0.4</v>
      </c>
      <c r="Q53" s="186">
        <f t="shared" si="0"/>
        <v>0.4</v>
      </c>
      <c r="R53" s="149">
        <v>16.100000000000001</v>
      </c>
      <c r="S53" s="149">
        <v>163</v>
      </c>
      <c r="T53" s="158">
        <f t="shared" si="1"/>
        <v>30</v>
      </c>
      <c r="U53" s="149">
        <v>105</v>
      </c>
      <c r="V53" s="158">
        <f t="shared" si="2"/>
        <v>3150</v>
      </c>
      <c r="W53" s="149">
        <v>10</v>
      </c>
      <c r="X53" s="246" t="s">
        <v>46</v>
      </c>
      <c r="Y53" s="149" t="s">
        <v>86</v>
      </c>
      <c r="Z53" s="149" t="s">
        <v>107</v>
      </c>
      <c r="AA53" s="149" t="s">
        <v>97</v>
      </c>
      <c r="AB53" s="149" t="s">
        <v>315</v>
      </c>
    </row>
    <row r="54" spans="1:28" x14ac:dyDescent="0.15">
      <c r="A54" s="149" t="s">
        <v>34</v>
      </c>
      <c r="B54" s="149" t="s">
        <v>313</v>
      </c>
      <c r="C54" s="149">
        <v>2018</v>
      </c>
      <c r="D54" s="259" t="s">
        <v>530</v>
      </c>
      <c r="E54" s="149" t="s">
        <v>133</v>
      </c>
      <c r="F54" s="237" t="s">
        <v>534</v>
      </c>
      <c r="G54" s="240" t="s">
        <v>36</v>
      </c>
      <c r="H54" s="188" t="s">
        <v>162</v>
      </c>
      <c r="I54" s="188" t="s">
        <v>155</v>
      </c>
      <c r="J54" s="188" t="s">
        <v>38</v>
      </c>
      <c r="K54" s="205" t="s">
        <v>156</v>
      </c>
      <c r="L54" s="149">
        <v>2</v>
      </c>
      <c r="N54" s="149">
        <v>1</v>
      </c>
      <c r="O54" s="149">
        <v>0.35</v>
      </c>
      <c r="P54" s="149">
        <v>0.4</v>
      </c>
      <c r="Q54" s="186">
        <f t="shared" si="0"/>
        <v>0.375</v>
      </c>
      <c r="R54" s="149">
        <v>15.7</v>
      </c>
      <c r="S54" s="149">
        <v>155</v>
      </c>
      <c r="T54" s="158">
        <f t="shared" si="1"/>
        <v>30</v>
      </c>
      <c r="U54" s="149">
        <v>105</v>
      </c>
      <c r="V54" s="158">
        <f t="shared" si="2"/>
        <v>3150</v>
      </c>
      <c r="W54" s="149">
        <v>10</v>
      </c>
      <c r="X54" s="246" t="s">
        <v>46</v>
      </c>
      <c r="Y54" s="149" t="s">
        <v>86</v>
      </c>
      <c r="Z54" s="149" t="s">
        <v>107</v>
      </c>
      <c r="AA54" s="149" t="s">
        <v>97</v>
      </c>
      <c r="AB54" s="149" t="s">
        <v>315</v>
      </c>
    </row>
    <row r="55" spans="1:28" x14ac:dyDescent="0.15">
      <c r="A55" s="149" t="s">
        <v>34</v>
      </c>
      <c r="B55" s="149" t="s">
        <v>313</v>
      </c>
      <c r="C55" s="149">
        <v>2018</v>
      </c>
      <c r="D55" s="259" t="s">
        <v>530</v>
      </c>
      <c r="E55" s="149" t="s">
        <v>133</v>
      </c>
      <c r="F55" s="237" t="s">
        <v>534</v>
      </c>
      <c r="G55" s="240" t="s">
        <v>36</v>
      </c>
      <c r="H55" s="188" t="s">
        <v>162</v>
      </c>
      <c r="I55" s="188" t="s">
        <v>155</v>
      </c>
      <c r="J55" s="188" t="s">
        <v>38</v>
      </c>
      <c r="K55" s="205" t="s">
        <v>156</v>
      </c>
      <c r="L55" s="149">
        <v>3</v>
      </c>
      <c r="N55" s="149">
        <v>1</v>
      </c>
      <c r="O55" s="149">
        <v>0.35</v>
      </c>
      <c r="P55" s="149">
        <v>0.3</v>
      </c>
      <c r="Q55" s="186">
        <f t="shared" si="0"/>
        <v>0.32499999999999996</v>
      </c>
      <c r="R55" s="149">
        <v>16.2</v>
      </c>
      <c r="S55" s="149">
        <v>165</v>
      </c>
      <c r="T55" s="158">
        <f t="shared" si="1"/>
        <v>30</v>
      </c>
      <c r="U55" s="149">
        <v>105</v>
      </c>
      <c r="V55" s="158">
        <f t="shared" si="2"/>
        <v>3150</v>
      </c>
      <c r="W55" s="149">
        <v>10</v>
      </c>
      <c r="X55" s="246" t="s">
        <v>46</v>
      </c>
      <c r="Y55" s="149" t="s">
        <v>86</v>
      </c>
      <c r="Z55" s="149" t="s">
        <v>107</v>
      </c>
      <c r="AA55" s="149" t="s">
        <v>97</v>
      </c>
      <c r="AB55" s="149" t="s">
        <v>315</v>
      </c>
    </row>
    <row r="56" spans="1:28" x14ac:dyDescent="0.15">
      <c r="A56" s="149" t="s">
        <v>34</v>
      </c>
      <c r="B56" s="149" t="s">
        <v>313</v>
      </c>
      <c r="C56" s="149">
        <v>2018</v>
      </c>
      <c r="D56" s="259" t="s">
        <v>530</v>
      </c>
      <c r="E56" s="149" t="s">
        <v>205</v>
      </c>
      <c r="F56" s="237" t="s">
        <v>538</v>
      </c>
      <c r="G56" s="240" t="s">
        <v>36</v>
      </c>
      <c r="H56" s="188" t="s">
        <v>211</v>
      </c>
      <c r="I56" s="188" t="s">
        <v>155</v>
      </c>
      <c r="J56" s="188" t="s">
        <v>38</v>
      </c>
      <c r="K56" s="205" t="s">
        <v>156</v>
      </c>
      <c r="L56" s="149">
        <v>1</v>
      </c>
      <c r="N56" s="149">
        <v>5</v>
      </c>
      <c r="O56" s="149">
        <v>0.3</v>
      </c>
      <c r="P56" s="149">
        <v>0.3</v>
      </c>
      <c r="Q56" s="186">
        <f t="shared" si="0"/>
        <v>0.3</v>
      </c>
      <c r="R56" s="149">
        <v>18.8</v>
      </c>
      <c r="S56" s="149">
        <v>104</v>
      </c>
      <c r="T56" s="158">
        <f t="shared" si="1"/>
        <v>33</v>
      </c>
      <c r="U56" s="149">
        <v>398</v>
      </c>
      <c r="V56" s="158">
        <f t="shared" si="2"/>
        <v>2626.7999999999997</v>
      </c>
      <c r="W56" s="149">
        <v>10</v>
      </c>
      <c r="X56" s="246" t="s">
        <v>46</v>
      </c>
      <c r="Y56" s="149" t="s">
        <v>86</v>
      </c>
      <c r="Z56" s="149" t="s">
        <v>97</v>
      </c>
      <c r="AA56" s="149" t="s">
        <v>55</v>
      </c>
      <c r="AB56" s="149" t="s">
        <v>315</v>
      </c>
    </row>
    <row r="57" spans="1:28" x14ac:dyDescent="0.15">
      <c r="A57" s="149" t="s">
        <v>34</v>
      </c>
      <c r="B57" s="149" t="s">
        <v>313</v>
      </c>
      <c r="C57" s="149">
        <v>2018</v>
      </c>
      <c r="D57" s="259" t="s">
        <v>530</v>
      </c>
      <c r="E57" s="149" t="s">
        <v>205</v>
      </c>
      <c r="F57" s="237" t="s">
        <v>538</v>
      </c>
      <c r="G57" s="240" t="s">
        <v>36</v>
      </c>
      <c r="H57" s="188" t="s">
        <v>211</v>
      </c>
      <c r="I57" s="188" t="s">
        <v>155</v>
      </c>
      <c r="J57" s="188" t="s">
        <v>38</v>
      </c>
      <c r="K57" s="205" t="s">
        <v>156</v>
      </c>
      <c r="L57" s="149">
        <v>2</v>
      </c>
      <c r="N57" s="149">
        <v>5</v>
      </c>
      <c r="O57" s="149">
        <v>0.3</v>
      </c>
      <c r="P57" s="149">
        <v>0.25</v>
      </c>
      <c r="Q57" s="186">
        <f t="shared" si="0"/>
        <v>0.27500000000000002</v>
      </c>
      <c r="R57" s="149">
        <v>17.5</v>
      </c>
      <c r="S57" s="149">
        <v>99</v>
      </c>
      <c r="T57" s="158">
        <f t="shared" si="1"/>
        <v>33</v>
      </c>
      <c r="U57" s="149">
        <v>398</v>
      </c>
      <c r="V57" s="158">
        <f t="shared" si="2"/>
        <v>2626.7999999999997</v>
      </c>
      <c r="W57" s="149">
        <v>10</v>
      </c>
      <c r="X57" s="246" t="s">
        <v>46</v>
      </c>
      <c r="Y57" s="149" t="s">
        <v>86</v>
      </c>
      <c r="Z57" s="149" t="s">
        <v>97</v>
      </c>
      <c r="AA57" s="149" t="s">
        <v>55</v>
      </c>
      <c r="AB57" s="149" t="s">
        <v>315</v>
      </c>
    </row>
    <row r="58" spans="1:28" x14ac:dyDescent="0.15">
      <c r="A58" s="149" t="s">
        <v>34</v>
      </c>
      <c r="B58" s="149" t="s">
        <v>313</v>
      </c>
      <c r="C58" s="149">
        <v>2018</v>
      </c>
      <c r="D58" s="259" t="s">
        <v>530</v>
      </c>
      <c r="E58" s="149" t="s">
        <v>205</v>
      </c>
      <c r="F58" s="237" t="s">
        <v>538</v>
      </c>
      <c r="G58" s="240" t="s">
        <v>36</v>
      </c>
      <c r="H58" s="188" t="s">
        <v>211</v>
      </c>
      <c r="I58" s="188" t="s">
        <v>155</v>
      </c>
      <c r="J58" s="188" t="s">
        <v>38</v>
      </c>
      <c r="K58" s="205" t="s">
        <v>156</v>
      </c>
      <c r="L58" s="149">
        <v>3</v>
      </c>
      <c r="N58" s="149">
        <v>5</v>
      </c>
      <c r="O58" s="149">
        <v>0.25</v>
      </c>
      <c r="P58" s="149">
        <v>0.3</v>
      </c>
      <c r="Q58" s="186">
        <f t="shared" si="0"/>
        <v>0.27500000000000002</v>
      </c>
      <c r="R58" s="149">
        <v>17.7</v>
      </c>
      <c r="S58" s="149">
        <v>104</v>
      </c>
      <c r="T58" s="158">
        <f t="shared" si="1"/>
        <v>33</v>
      </c>
      <c r="U58" s="149">
        <v>398</v>
      </c>
      <c r="V58" s="158">
        <f t="shared" si="2"/>
        <v>2626.7999999999997</v>
      </c>
      <c r="W58" s="149">
        <v>10</v>
      </c>
      <c r="X58" s="246" t="s">
        <v>46</v>
      </c>
      <c r="Y58" s="149" t="s">
        <v>86</v>
      </c>
      <c r="Z58" s="149" t="s">
        <v>97</v>
      </c>
      <c r="AA58" s="149" t="s">
        <v>55</v>
      </c>
      <c r="AB58" s="149" t="s">
        <v>315</v>
      </c>
    </row>
    <row r="59" spans="1:28" x14ac:dyDescent="0.15">
      <c r="A59" s="149" t="s">
        <v>34</v>
      </c>
      <c r="B59" s="149" t="s">
        <v>313</v>
      </c>
      <c r="C59" s="149">
        <v>2018</v>
      </c>
      <c r="D59" s="259" t="s">
        <v>530</v>
      </c>
      <c r="E59" s="149" t="s">
        <v>205</v>
      </c>
      <c r="F59" s="237" t="s">
        <v>538</v>
      </c>
      <c r="G59" s="240" t="s">
        <v>36</v>
      </c>
      <c r="H59" s="188" t="s">
        <v>162</v>
      </c>
      <c r="I59" s="188" t="s">
        <v>155</v>
      </c>
      <c r="J59" s="188" t="s">
        <v>38</v>
      </c>
      <c r="K59" s="205" t="s">
        <v>156</v>
      </c>
      <c r="L59" s="149">
        <v>1</v>
      </c>
      <c r="N59" s="149">
        <v>1</v>
      </c>
      <c r="O59" s="149">
        <v>0.3</v>
      </c>
      <c r="P59" s="149">
        <v>0.3</v>
      </c>
      <c r="Q59" s="186">
        <f t="shared" si="0"/>
        <v>0.3</v>
      </c>
      <c r="R59" s="149">
        <v>16.3</v>
      </c>
      <c r="S59" s="149">
        <v>159</v>
      </c>
      <c r="T59" s="158">
        <f t="shared" si="1"/>
        <v>30</v>
      </c>
      <c r="U59" s="149">
        <v>148</v>
      </c>
      <c r="V59" s="158">
        <f t="shared" si="2"/>
        <v>4440</v>
      </c>
      <c r="W59" s="149">
        <v>10</v>
      </c>
      <c r="X59" s="246" t="s">
        <v>46</v>
      </c>
      <c r="Y59" s="149" t="s">
        <v>86</v>
      </c>
      <c r="Z59" s="149" t="s">
        <v>97</v>
      </c>
      <c r="AA59" s="149" t="s">
        <v>55</v>
      </c>
      <c r="AB59" s="149" t="s">
        <v>315</v>
      </c>
    </row>
    <row r="60" spans="1:28" x14ac:dyDescent="0.15">
      <c r="A60" s="149" t="s">
        <v>34</v>
      </c>
      <c r="B60" s="149" t="s">
        <v>313</v>
      </c>
      <c r="C60" s="149">
        <v>2018</v>
      </c>
      <c r="D60" s="259" t="s">
        <v>530</v>
      </c>
      <c r="E60" s="149" t="s">
        <v>205</v>
      </c>
      <c r="F60" s="237" t="s">
        <v>538</v>
      </c>
      <c r="G60" s="240" t="s">
        <v>36</v>
      </c>
      <c r="H60" s="188" t="s">
        <v>162</v>
      </c>
      <c r="I60" s="188" t="s">
        <v>155</v>
      </c>
      <c r="J60" s="188" t="s">
        <v>38</v>
      </c>
      <c r="K60" s="205" t="s">
        <v>156</v>
      </c>
      <c r="L60" s="149">
        <v>2</v>
      </c>
      <c r="N60" s="149">
        <v>1</v>
      </c>
      <c r="O60" s="149">
        <v>0.3</v>
      </c>
      <c r="P60" s="149">
        <v>0.3</v>
      </c>
      <c r="Q60" s="186">
        <f t="shared" si="0"/>
        <v>0.3</v>
      </c>
      <c r="R60" s="149">
        <v>15.7</v>
      </c>
      <c r="S60" s="149">
        <v>164</v>
      </c>
      <c r="T60" s="158">
        <f t="shared" si="1"/>
        <v>30</v>
      </c>
      <c r="U60" s="149">
        <v>148</v>
      </c>
      <c r="V60" s="158">
        <f t="shared" si="2"/>
        <v>4440</v>
      </c>
      <c r="W60" s="149">
        <v>10</v>
      </c>
      <c r="X60" s="246" t="s">
        <v>46</v>
      </c>
      <c r="Y60" s="149" t="s">
        <v>86</v>
      </c>
      <c r="Z60" s="149" t="s">
        <v>97</v>
      </c>
      <c r="AA60" s="149" t="s">
        <v>55</v>
      </c>
      <c r="AB60" s="149" t="s">
        <v>315</v>
      </c>
    </row>
    <row r="61" spans="1:28" x14ac:dyDescent="0.15">
      <c r="A61" s="149" t="s">
        <v>34</v>
      </c>
      <c r="B61" s="149" t="s">
        <v>313</v>
      </c>
      <c r="C61" s="149">
        <v>2018</v>
      </c>
      <c r="D61" s="259" t="s">
        <v>530</v>
      </c>
      <c r="E61" s="149" t="s">
        <v>205</v>
      </c>
      <c r="F61" s="237" t="s">
        <v>538</v>
      </c>
      <c r="G61" s="240" t="s">
        <v>36</v>
      </c>
      <c r="H61" s="188" t="s">
        <v>162</v>
      </c>
      <c r="I61" s="188" t="s">
        <v>155</v>
      </c>
      <c r="J61" s="188" t="s">
        <v>38</v>
      </c>
      <c r="K61" s="205" t="s">
        <v>156</v>
      </c>
      <c r="L61" s="149">
        <v>3</v>
      </c>
      <c r="N61" s="149">
        <v>1</v>
      </c>
      <c r="O61" s="149">
        <v>0.35</v>
      </c>
      <c r="P61" s="149">
        <v>0.3</v>
      </c>
      <c r="Q61" s="186">
        <f t="shared" si="0"/>
        <v>0.32499999999999996</v>
      </c>
      <c r="R61" s="149">
        <v>16.2</v>
      </c>
      <c r="S61" s="149">
        <v>151</v>
      </c>
      <c r="T61" s="158">
        <f t="shared" si="1"/>
        <v>30</v>
      </c>
      <c r="U61" s="149">
        <v>148</v>
      </c>
      <c r="V61" s="158">
        <f t="shared" si="2"/>
        <v>4440</v>
      </c>
      <c r="W61" s="149">
        <v>10</v>
      </c>
      <c r="X61" s="246" t="s">
        <v>46</v>
      </c>
      <c r="Y61" s="149" t="s">
        <v>86</v>
      </c>
      <c r="Z61" s="149" t="s">
        <v>97</v>
      </c>
      <c r="AA61" s="149" t="s">
        <v>55</v>
      </c>
      <c r="AB61" s="149" t="s">
        <v>315</v>
      </c>
    </row>
    <row r="62" spans="1:28" x14ac:dyDescent="0.15">
      <c r="D62" s="259"/>
      <c r="F62" s="237"/>
      <c r="G62" s="240"/>
      <c r="H62" s="188"/>
      <c r="I62" s="188"/>
      <c r="J62" s="188"/>
      <c r="K62" s="205"/>
      <c r="Q62" s="186" t="str">
        <f t="shared" si="0"/>
        <v/>
      </c>
      <c r="T62" s="158" t="str">
        <f t="shared" si="1"/>
        <v/>
      </c>
      <c r="V62" s="158" t="str">
        <f t="shared" si="2"/>
        <v/>
      </c>
      <c r="X62" s="246"/>
    </row>
    <row r="63" spans="1:28" x14ac:dyDescent="0.15">
      <c r="D63" s="259"/>
      <c r="F63" s="237"/>
      <c r="G63" s="240"/>
      <c r="H63" s="188"/>
      <c r="I63" s="188"/>
      <c r="J63" s="188"/>
      <c r="K63" s="205"/>
      <c r="Q63" s="186" t="str">
        <f t="shared" si="0"/>
        <v/>
      </c>
      <c r="T63" s="158" t="str">
        <f t="shared" si="1"/>
        <v/>
      </c>
      <c r="V63" s="158" t="str">
        <f t="shared" si="2"/>
        <v/>
      </c>
      <c r="X63" s="246"/>
    </row>
    <row r="64" spans="1:28" x14ac:dyDescent="0.15">
      <c r="D64" s="259"/>
      <c r="F64" s="237"/>
      <c r="G64" s="240"/>
      <c r="H64" s="188"/>
      <c r="I64" s="188"/>
      <c r="J64" s="188"/>
      <c r="K64" s="205"/>
      <c r="Q64" s="186" t="str">
        <f t="shared" si="0"/>
        <v/>
      </c>
      <c r="T64" s="158" t="str">
        <f t="shared" si="1"/>
        <v/>
      </c>
      <c r="V64" s="158" t="str">
        <f t="shared" si="2"/>
        <v/>
      </c>
      <c r="X64" s="246"/>
    </row>
    <row r="65" spans="4:24" x14ac:dyDescent="0.15">
      <c r="D65" s="259"/>
      <c r="F65" s="237"/>
      <c r="G65" s="240"/>
      <c r="H65" s="188"/>
      <c r="I65" s="188"/>
      <c r="J65" s="188"/>
      <c r="K65" s="205"/>
      <c r="Q65" s="186" t="str">
        <f t="shared" si="0"/>
        <v/>
      </c>
      <c r="T65" s="158" t="str">
        <f t="shared" si="1"/>
        <v/>
      </c>
      <c r="V65" s="158" t="str">
        <f t="shared" si="2"/>
        <v/>
      </c>
      <c r="X65" s="246"/>
    </row>
    <row r="66" spans="4:24" x14ac:dyDescent="0.15">
      <c r="D66" s="259"/>
      <c r="F66" s="237"/>
      <c r="G66" s="240"/>
      <c r="H66" s="188"/>
      <c r="I66" s="188"/>
      <c r="J66" s="188"/>
      <c r="K66" s="205"/>
      <c r="Q66" s="186" t="str">
        <f t="shared" ref="Q66:Q91" si="3">IF(OR(O66="",P66=""),"",AVERAGE(O66,P66))</f>
        <v/>
      </c>
      <c r="T66" s="158" t="str">
        <f t="shared" ref="T66:T91" si="4">IF(H66="","",IF(OR(H66="GREEN",H66="GK"),IF(S66&gt;=$AX$2,VLOOKUP(S66,$AX$2:$AY$7,2,1),""),IF(S66&gt;=$AZ$2,VLOOKUP(S66,$AZ$2:$BA$7,2,1),"")))</f>
        <v/>
      </c>
      <c r="V66" s="158" t="str">
        <f t="shared" ref="V66:V91" si="5">IF(OR(N66="",U66="",T66=""),"",U66/N66*T66)</f>
        <v/>
      </c>
      <c r="X66" s="246"/>
    </row>
    <row r="67" spans="4:24" x14ac:dyDescent="0.15">
      <c r="D67" s="259"/>
      <c r="F67" s="237"/>
      <c r="G67" s="240"/>
      <c r="H67" s="188"/>
      <c r="I67" s="188"/>
      <c r="J67" s="188"/>
      <c r="K67" s="205"/>
      <c r="Q67" s="186" t="str">
        <f t="shared" si="3"/>
        <v/>
      </c>
      <c r="T67" s="158" t="str">
        <f t="shared" si="4"/>
        <v/>
      </c>
      <c r="V67" s="158" t="str">
        <f t="shared" si="5"/>
        <v/>
      </c>
      <c r="X67" s="246"/>
    </row>
    <row r="68" spans="4:24" x14ac:dyDescent="0.15">
      <c r="D68" s="259"/>
      <c r="F68" s="237"/>
      <c r="G68" s="240"/>
      <c r="H68" s="188"/>
      <c r="I68" s="188"/>
      <c r="J68" s="188"/>
      <c r="K68" s="205"/>
      <c r="Q68" s="186" t="str">
        <f t="shared" si="3"/>
        <v/>
      </c>
      <c r="T68" s="158" t="str">
        <f t="shared" si="4"/>
        <v/>
      </c>
      <c r="V68" s="158" t="str">
        <f t="shared" si="5"/>
        <v/>
      </c>
      <c r="X68" s="246"/>
    </row>
    <row r="69" spans="4:24" x14ac:dyDescent="0.15">
      <c r="D69" s="259"/>
      <c r="F69" s="237"/>
      <c r="G69" s="240"/>
      <c r="H69" s="188"/>
      <c r="I69" s="188"/>
      <c r="J69" s="188"/>
      <c r="K69" s="205"/>
      <c r="Q69" s="186" t="str">
        <f t="shared" si="3"/>
        <v/>
      </c>
      <c r="T69" s="158" t="str">
        <f t="shared" si="4"/>
        <v/>
      </c>
      <c r="V69" s="158" t="str">
        <f t="shared" si="5"/>
        <v/>
      </c>
      <c r="X69" s="246"/>
    </row>
    <row r="70" spans="4:24" x14ac:dyDescent="0.15">
      <c r="D70" s="259"/>
      <c r="F70" s="237"/>
      <c r="G70" s="240"/>
      <c r="H70" s="188"/>
      <c r="I70" s="188"/>
      <c r="J70" s="188"/>
      <c r="K70" s="205"/>
      <c r="Q70" s="186" t="str">
        <f t="shared" si="3"/>
        <v/>
      </c>
      <c r="T70" s="158" t="str">
        <f t="shared" si="4"/>
        <v/>
      </c>
      <c r="V70" s="158" t="str">
        <f t="shared" si="5"/>
        <v/>
      </c>
      <c r="X70" s="246"/>
    </row>
    <row r="71" spans="4:24" x14ac:dyDescent="0.15">
      <c r="D71" s="259"/>
      <c r="F71" s="237"/>
      <c r="G71" s="240"/>
      <c r="H71" s="188"/>
      <c r="I71" s="188"/>
      <c r="J71" s="188"/>
      <c r="K71" s="205"/>
      <c r="Q71" s="186" t="str">
        <f t="shared" si="3"/>
        <v/>
      </c>
      <c r="T71" s="158" t="str">
        <f t="shared" si="4"/>
        <v/>
      </c>
      <c r="V71" s="158" t="str">
        <f t="shared" si="5"/>
        <v/>
      </c>
      <c r="X71" s="246"/>
    </row>
    <row r="72" spans="4:24" x14ac:dyDescent="0.15">
      <c r="D72" s="259"/>
      <c r="F72" s="237"/>
      <c r="G72" s="240"/>
      <c r="H72" s="188"/>
      <c r="I72" s="188"/>
      <c r="J72" s="188"/>
      <c r="K72" s="205"/>
      <c r="Q72" s="186" t="str">
        <f t="shared" si="3"/>
        <v/>
      </c>
      <c r="T72" s="158" t="str">
        <f t="shared" si="4"/>
        <v/>
      </c>
      <c r="V72" s="158" t="str">
        <f t="shared" si="5"/>
        <v/>
      </c>
      <c r="X72" s="246"/>
    </row>
    <row r="73" spans="4:24" x14ac:dyDescent="0.15">
      <c r="D73" s="259"/>
      <c r="F73" s="237"/>
      <c r="G73" s="240"/>
      <c r="H73" s="188"/>
      <c r="I73" s="188"/>
      <c r="J73" s="188"/>
      <c r="K73" s="205"/>
      <c r="Q73" s="186" t="str">
        <f t="shared" si="3"/>
        <v/>
      </c>
      <c r="T73" s="158" t="str">
        <f t="shared" si="4"/>
        <v/>
      </c>
      <c r="V73" s="158" t="str">
        <f t="shared" si="5"/>
        <v/>
      </c>
      <c r="X73" s="246"/>
    </row>
    <row r="74" spans="4:24" x14ac:dyDescent="0.15">
      <c r="D74" s="259"/>
      <c r="F74" s="237"/>
      <c r="G74" s="240"/>
      <c r="H74" s="188"/>
      <c r="I74" s="188"/>
      <c r="J74" s="188"/>
      <c r="K74" s="205"/>
      <c r="Q74" s="186" t="str">
        <f t="shared" si="3"/>
        <v/>
      </c>
      <c r="T74" s="158" t="str">
        <f t="shared" si="4"/>
        <v/>
      </c>
      <c r="V74" s="158" t="str">
        <f t="shared" si="5"/>
        <v/>
      </c>
      <c r="X74" s="246"/>
    </row>
    <row r="75" spans="4:24" x14ac:dyDescent="0.15">
      <c r="D75" s="259"/>
      <c r="F75" s="237"/>
      <c r="G75" s="240"/>
      <c r="H75" s="188"/>
      <c r="I75" s="188"/>
      <c r="J75" s="188"/>
      <c r="K75" s="205"/>
      <c r="Q75" s="186" t="str">
        <f t="shared" si="3"/>
        <v/>
      </c>
      <c r="T75" s="158" t="str">
        <f t="shared" si="4"/>
        <v/>
      </c>
      <c r="V75" s="158" t="str">
        <f t="shared" si="5"/>
        <v/>
      </c>
      <c r="X75" s="246"/>
    </row>
    <row r="76" spans="4:24" x14ac:dyDescent="0.15">
      <c r="D76" s="259"/>
      <c r="F76" s="237"/>
      <c r="G76" s="240"/>
      <c r="H76" s="188"/>
      <c r="I76" s="188"/>
      <c r="J76" s="188"/>
      <c r="K76" s="205"/>
      <c r="Q76" s="186" t="str">
        <f t="shared" si="3"/>
        <v/>
      </c>
      <c r="T76" s="158" t="str">
        <f t="shared" si="4"/>
        <v/>
      </c>
      <c r="V76" s="158" t="str">
        <f t="shared" si="5"/>
        <v/>
      </c>
      <c r="X76" s="246"/>
    </row>
    <row r="77" spans="4:24" x14ac:dyDescent="0.15">
      <c r="D77" s="259"/>
      <c r="F77" s="237"/>
      <c r="G77" s="240"/>
      <c r="H77" s="188"/>
      <c r="I77" s="188"/>
      <c r="J77" s="188"/>
      <c r="K77" s="205"/>
      <c r="Q77" s="186" t="str">
        <f t="shared" si="3"/>
        <v/>
      </c>
      <c r="T77" s="158" t="str">
        <f t="shared" si="4"/>
        <v/>
      </c>
      <c r="V77" s="158" t="str">
        <f t="shared" si="5"/>
        <v/>
      </c>
      <c r="X77" s="246"/>
    </row>
    <row r="78" spans="4:24" x14ac:dyDescent="0.15">
      <c r="D78" s="259"/>
      <c r="F78" s="237"/>
      <c r="G78" s="240"/>
      <c r="H78" s="188"/>
      <c r="I78" s="188"/>
      <c r="J78" s="188"/>
      <c r="K78" s="205"/>
      <c r="Q78" s="186" t="str">
        <f t="shared" si="3"/>
        <v/>
      </c>
      <c r="T78" s="158" t="str">
        <f t="shared" si="4"/>
        <v/>
      </c>
      <c r="V78" s="158" t="str">
        <f t="shared" si="5"/>
        <v/>
      </c>
      <c r="X78" s="246"/>
    </row>
    <row r="79" spans="4:24" x14ac:dyDescent="0.15">
      <c r="D79" s="259"/>
      <c r="F79" s="237"/>
      <c r="G79" s="240"/>
      <c r="H79" s="188"/>
      <c r="I79" s="188"/>
      <c r="J79" s="188"/>
      <c r="K79" s="205"/>
      <c r="Q79" s="186" t="str">
        <f t="shared" si="3"/>
        <v/>
      </c>
      <c r="T79" s="158" t="str">
        <f t="shared" si="4"/>
        <v/>
      </c>
      <c r="V79" s="158" t="str">
        <f t="shared" si="5"/>
        <v/>
      </c>
      <c r="X79" s="246"/>
    </row>
    <row r="80" spans="4:24" x14ac:dyDescent="0.15">
      <c r="H80" s="188"/>
      <c r="I80" s="188"/>
      <c r="J80" s="188"/>
      <c r="K80" s="205"/>
      <c r="Q80" s="186" t="str">
        <f t="shared" si="3"/>
        <v/>
      </c>
      <c r="T80" s="158" t="str">
        <f t="shared" si="4"/>
        <v/>
      </c>
      <c r="V80" s="158" t="str">
        <f t="shared" si="5"/>
        <v/>
      </c>
    </row>
    <row r="81" spans="8:22" x14ac:dyDescent="0.15">
      <c r="H81" s="188"/>
      <c r="I81" s="188"/>
      <c r="J81" s="188"/>
      <c r="K81" s="205"/>
      <c r="Q81" s="186" t="str">
        <f t="shared" si="3"/>
        <v/>
      </c>
      <c r="T81" s="158" t="str">
        <f t="shared" si="4"/>
        <v/>
      </c>
      <c r="V81" s="158" t="str">
        <f t="shared" si="5"/>
        <v/>
      </c>
    </row>
    <row r="82" spans="8:22" x14ac:dyDescent="0.15">
      <c r="H82" s="188"/>
      <c r="I82" s="188"/>
      <c r="J82" s="188"/>
      <c r="K82" s="205"/>
      <c r="Q82" s="186" t="str">
        <f t="shared" si="3"/>
        <v/>
      </c>
      <c r="T82" s="158" t="str">
        <f t="shared" si="4"/>
        <v/>
      </c>
      <c r="V82" s="158" t="str">
        <f t="shared" si="5"/>
        <v/>
      </c>
    </row>
    <row r="83" spans="8:22" x14ac:dyDescent="0.15">
      <c r="H83" s="188"/>
      <c r="I83" s="188"/>
      <c r="J83" s="188"/>
      <c r="K83" s="205"/>
      <c r="Q83" s="186" t="str">
        <f t="shared" si="3"/>
        <v/>
      </c>
      <c r="T83" s="158" t="str">
        <f t="shared" si="4"/>
        <v/>
      </c>
      <c r="V83" s="158" t="str">
        <f t="shared" si="5"/>
        <v/>
      </c>
    </row>
    <row r="84" spans="8:22" x14ac:dyDescent="0.15">
      <c r="H84" s="188"/>
      <c r="I84" s="188"/>
      <c r="J84" s="188"/>
      <c r="K84" s="205"/>
      <c r="Q84" s="186" t="str">
        <f t="shared" si="3"/>
        <v/>
      </c>
      <c r="T84" s="158" t="str">
        <f t="shared" si="4"/>
        <v/>
      </c>
      <c r="V84" s="158" t="str">
        <f t="shared" si="5"/>
        <v/>
      </c>
    </row>
    <row r="85" spans="8:22" x14ac:dyDescent="0.15">
      <c r="H85" s="188"/>
      <c r="I85" s="188"/>
      <c r="J85" s="188"/>
      <c r="K85" s="205"/>
      <c r="Q85" s="186" t="str">
        <f t="shared" si="3"/>
        <v/>
      </c>
      <c r="T85" s="158" t="str">
        <f t="shared" si="4"/>
        <v/>
      </c>
      <c r="V85" s="158" t="str">
        <f t="shared" si="5"/>
        <v/>
      </c>
    </row>
    <row r="86" spans="8:22" x14ac:dyDescent="0.15">
      <c r="H86" s="188"/>
      <c r="I86" s="188"/>
      <c r="J86" s="188"/>
      <c r="K86" s="205"/>
      <c r="Q86" s="186" t="str">
        <f t="shared" si="3"/>
        <v/>
      </c>
      <c r="T86" s="158" t="str">
        <f t="shared" si="4"/>
        <v/>
      </c>
      <c r="V86" s="158" t="str">
        <f t="shared" si="5"/>
        <v/>
      </c>
    </row>
    <row r="87" spans="8:22" x14ac:dyDescent="0.15">
      <c r="H87" s="188"/>
      <c r="I87" s="188"/>
      <c r="J87" s="188"/>
      <c r="K87" s="205"/>
      <c r="Q87" s="186" t="str">
        <f t="shared" si="3"/>
        <v/>
      </c>
      <c r="T87" s="158" t="str">
        <f t="shared" si="4"/>
        <v/>
      </c>
      <c r="V87" s="158" t="str">
        <f t="shared" si="5"/>
        <v/>
      </c>
    </row>
    <row r="88" spans="8:22" x14ac:dyDescent="0.15">
      <c r="H88" s="188"/>
      <c r="I88" s="188"/>
      <c r="J88" s="188"/>
      <c r="K88" s="205"/>
      <c r="Q88" s="186" t="str">
        <f t="shared" si="3"/>
        <v/>
      </c>
      <c r="T88" s="158" t="str">
        <f t="shared" si="4"/>
        <v/>
      </c>
      <c r="V88" s="158" t="str">
        <f t="shared" si="5"/>
        <v/>
      </c>
    </row>
    <row r="89" spans="8:22" x14ac:dyDescent="0.15">
      <c r="H89" s="188"/>
      <c r="I89" s="188"/>
      <c r="J89" s="188"/>
      <c r="K89" s="205"/>
      <c r="Q89" s="186" t="str">
        <f t="shared" si="3"/>
        <v/>
      </c>
      <c r="T89" s="158" t="str">
        <f t="shared" si="4"/>
        <v/>
      </c>
      <c r="V89" s="158" t="str">
        <f t="shared" si="5"/>
        <v/>
      </c>
    </row>
    <row r="90" spans="8:22" x14ac:dyDescent="0.15">
      <c r="H90" s="188"/>
      <c r="I90" s="188"/>
      <c r="J90" s="188"/>
      <c r="K90" s="205"/>
      <c r="Q90" s="186" t="str">
        <f t="shared" si="3"/>
        <v/>
      </c>
      <c r="T90" s="158" t="str">
        <f t="shared" si="4"/>
        <v/>
      </c>
      <c r="V90" s="158" t="str">
        <f t="shared" si="5"/>
        <v/>
      </c>
    </row>
    <row r="91" spans="8:22" x14ac:dyDescent="0.15">
      <c r="H91" s="188"/>
      <c r="I91" s="188"/>
      <c r="J91" s="188"/>
      <c r="K91" s="205"/>
      <c r="Q91" s="186" t="str">
        <f t="shared" si="3"/>
        <v/>
      </c>
      <c r="T91" s="158" t="str">
        <f t="shared" si="4"/>
        <v/>
      </c>
      <c r="V91" s="158" t="str">
        <f t="shared" si="5"/>
        <v/>
      </c>
    </row>
    <row r="92" spans="8:22" x14ac:dyDescent="0.15">
      <c r="H92" s="188"/>
      <c r="I92" s="188"/>
      <c r="J92" s="188"/>
      <c r="K92" s="205"/>
      <c r="Q92" s="186"/>
    </row>
    <row r="93" spans="8:22" x14ac:dyDescent="0.15">
      <c r="H93" s="188"/>
      <c r="I93" s="188"/>
      <c r="J93" s="188"/>
      <c r="K93" s="205"/>
      <c r="Q93" s="186"/>
    </row>
    <row r="94" spans="8:22" x14ac:dyDescent="0.15">
      <c r="H94" s="188"/>
      <c r="I94" s="188"/>
      <c r="J94" s="188"/>
      <c r="K94" s="205"/>
      <c r="Q94" s="186"/>
    </row>
    <row r="95" spans="8:22" x14ac:dyDescent="0.15">
      <c r="H95" s="188"/>
      <c r="I95" s="188"/>
      <c r="J95" s="188"/>
      <c r="K95" s="205"/>
      <c r="Q95" s="186"/>
    </row>
    <row r="96" spans="8:22" x14ac:dyDescent="0.15">
      <c r="H96" s="188"/>
      <c r="I96" s="188"/>
      <c r="J96" s="188"/>
      <c r="K96" s="205"/>
      <c r="Q96" s="186"/>
    </row>
    <row r="97" spans="8:17" x14ac:dyDescent="0.15">
      <c r="H97" s="188"/>
      <c r="I97" s="188"/>
      <c r="J97" s="188"/>
      <c r="K97" s="205"/>
      <c r="Q97" s="186"/>
    </row>
    <row r="98" spans="8:17" x14ac:dyDescent="0.15">
      <c r="H98" s="188"/>
      <c r="I98" s="188"/>
      <c r="J98" s="188"/>
      <c r="K98" s="205"/>
      <c r="Q98" s="186"/>
    </row>
    <row r="99" spans="8:17" x14ac:dyDescent="0.15">
      <c r="H99" s="188"/>
      <c r="I99" s="188"/>
      <c r="J99" s="188"/>
      <c r="K99" s="205"/>
      <c r="Q99" s="186"/>
    </row>
    <row r="100" spans="8:17" x14ac:dyDescent="0.15">
      <c r="H100" s="188"/>
      <c r="I100" s="188"/>
      <c r="J100" s="188"/>
      <c r="K100" s="205"/>
      <c r="Q100" s="186"/>
    </row>
    <row r="101" spans="8:17" x14ac:dyDescent="0.15">
      <c r="H101" s="188"/>
      <c r="I101" s="188"/>
      <c r="J101" s="188"/>
      <c r="K101" s="205"/>
      <c r="Q101" s="186"/>
    </row>
    <row r="102" spans="8:17" x14ac:dyDescent="0.15">
      <c r="H102" s="188"/>
      <c r="I102" s="188"/>
      <c r="J102" s="188"/>
      <c r="K102" s="205"/>
      <c r="Q102" s="186"/>
    </row>
    <row r="103" spans="8:17" x14ac:dyDescent="0.15">
      <c r="H103" s="188"/>
      <c r="I103" s="188"/>
      <c r="J103" s="188"/>
      <c r="K103" s="205"/>
      <c r="Q103" s="186"/>
    </row>
    <row r="104" spans="8:17" x14ac:dyDescent="0.15">
      <c r="H104" s="188"/>
      <c r="I104" s="188"/>
      <c r="J104" s="188"/>
      <c r="K104" s="205"/>
      <c r="Q104" s="186"/>
    </row>
    <row r="105" spans="8:17" x14ac:dyDescent="0.15">
      <c r="H105" s="188"/>
      <c r="I105" s="188"/>
      <c r="J105" s="188"/>
      <c r="K105" s="205"/>
      <c r="Q105" s="186"/>
    </row>
    <row r="106" spans="8:17" x14ac:dyDescent="0.15">
      <c r="H106" s="188"/>
      <c r="I106" s="188"/>
      <c r="J106" s="188"/>
      <c r="K106" s="205"/>
      <c r="Q106" s="186"/>
    </row>
    <row r="107" spans="8:17" x14ac:dyDescent="0.15">
      <c r="H107" s="188"/>
      <c r="I107" s="188"/>
      <c r="J107" s="188"/>
      <c r="K107" s="205"/>
      <c r="Q107" s="186"/>
    </row>
    <row r="108" spans="8:17" x14ac:dyDescent="0.15">
      <c r="H108" s="188"/>
      <c r="I108" s="188"/>
      <c r="J108" s="188"/>
      <c r="K108" s="205"/>
      <c r="Q108" s="186"/>
    </row>
    <row r="109" spans="8:17" x14ac:dyDescent="0.15">
      <c r="H109" s="188"/>
      <c r="I109" s="188"/>
      <c r="J109" s="188"/>
      <c r="K109" s="205"/>
      <c r="Q109" s="186"/>
    </row>
    <row r="110" spans="8:17" x14ac:dyDescent="0.15">
      <c r="H110" s="188"/>
      <c r="I110" s="188"/>
      <c r="J110" s="188"/>
      <c r="K110" s="205"/>
      <c r="Q110" s="186"/>
    </row>
    <row r="111" spans="8:17" x14ac:dyDescent="0.15">
      <c r="H111" s="188"/>
      <c r="I111" s="188"/>
      <c r="J111" s="188"/>
      <c r="K111" s="205"/>
      <c r="Q111" s="186"/>
    </row>
    <row r="112" spans="8:17" x14ac:dyDescent="0.15">
      <c r="H112" s="188"/>
      <c r="I112" s="188"/>
      <c r="J112" s="188"/>
      <c r="K112" s="205"/>
      <c r="Q112" s="186"/>
    </row>
    <row r="113" spans="8:17" x14ac:dyDescent="0.15">
      <c r="H113" s="188"/>
      <c r="I113" s="188"/>
      <c r="J113" s="188"/>
      <c r="K113" s="205"/>
      <c r="Q113" s="186"/>
    </row>
    <row r="114" spans="8:17" x14ac:dyDescent="0.15">
      <c r="H114" s="188"/>
      <c r="I114" s="188"/>
      <c r="J114" s="188"/>
      <c r="K114" s="205"/>
      <c r="Q114" s="186"/>
    </row>
    <row r="115" spans="8:17" x14ac:dyDescent="0.15">
      <c r="H115" s="188"/>
      <c r="I115" s="188"/>
      <c r="J115" s="188"/>
      <c r="K115" s="205"/>
      <c r="Q115" s="186"/>
    </row>
    <row r="116" spans="8:17" x14ac:dyDescent="0.15">
      <c r="H116" s="188"/>
      <c r="I116" s="188"/>
      <c r="J116" s="188"/>
      <c r="K116" s="205"/>
      <c r="Q116" s="186"/>
    </row>
    <row r="117" spans="8:17" x14ac:dyDescent="0.15">
      <c r="H117" s="188"/>
      <c r="I117" s="188"/>
      <c r="J117" s="188"/>
      <c r="K117" s="205"/>
      <c r="Q117" s="186"/>
    </row>
    <row r="118" spans="8:17" x14ac:dyDescent="0.15">
      <c r="H118" s="188"/>
      <c r="I118" s="188"/>
      <c r="J118" s="188"/>
      <c r="K118" s="205"/>
      <c r="Q118" s="186"/>
    </row>
    <row r="119" spans="8:17" x14ac:dyDescent="0.15">
      <c r="H119" s="188"/>
      <c r="I119" s="188"/>
      <c r="J119" s="188"/>
      <c r="K119" s="205"/>
      <c r="Q119" s="186"/>
    </row>
    <row r="120" spans="8:17" x14ac:dyDescent="0.15">
      <c r="H120" s="188"/>
      <c r="I120" s="188"/>
      <c r="J120" s="188"/>
      <c r="K120" s="205"/>
      <c r="Q120" s="186"/>
    </row>
    <row r="121" spans="8:17" x14ac:dyDescent="0.15">
      <c r="H121" s="188"/>
      <c r="I121" s="188"/>
      <c r="J121" s="188"/>
      <c r="K121" s="205"/>
      <c r="Q121" s="186"/>
    </row>
    <row r="122" spans="8:17" x14ac:dyDescent="0.15">
      <c r="H122" s="188"/>
      <c r="I122" s="188"/>
      <c r="J122" s="188"/>
      <c r="K122" s="205"/>
      <c r="Q122" s="186"/>
    </row>
    <row r="123" spans="8:17" x14ac:dyDescent="0.15">
      <c r="H123" s="188"/>
      <c r="I123" s="188"/>
      <c r="J123" s="188"/>
      <c r="K123" s="205"/>
      <c r="Q123" s="186"/>
    </row>
    <row r="124" spans="8:17" x14ac:dyDescent="0.15">
      <c r="H124" s="188"/>
      <c r="I124" s="188"/>
      <c r="J124" s="188"/>
      <c r="K124" s="205"/>
      <c r="Q124" s="186"/>
    </row>
    <row r="125" spans="8:17" x14ac:dyDescent="0.15">
      <c r="H125" s="188"/>
      <c r="I125" s="188"/>
      <c r="J125" s="188"/>
      <c r="K125" s="205"/>
      <c r="Q125" s="186"/>
    </row>
    <row r="126" spans="8:17" x14ac:dyDescent="0.15">
      <c r="H126" s="188"/>
      <c r="I126" s="188"/>
      <c r="J126" s="188"/>
      <c r="K126" s="205"/>
      <c r="Q126" s="186"/>
    </row>
    <row r="127" spans="8:17" x14ac:dyDescent="0.15">
      <c r="H127" s="188"/>
      <c r="I127" s="188"/>
      <c r="J127" s="188"/>
      <c r="K127" s="205"/>
      <c r="Q127" s="186"/>
    </row>
    <row r="128" spans="8:17" x14ac:dyDescent="0.15">
      <c r="H128" s="188"/>
      <c r="I128" s="188"/>
      <c r="J128" s="188"/>
      <c r="K128" s="205"/>
      <c r="Q128" s="186"/>
    </row>
    <row r="129" spans="8:17" x14ac:dyDescent="0.15">
      <c r="H129" s="188"/>
      <c r="I129" s="188"/>
      <c r="J129" s="188"/>
      <c r="K129" s="205"/>
      <c r="Q129" s="186"/>
    </row>
    <row r="130" spans="8:17" x14ac:dyDescent="0.15">
      <c r="H130" s="188"/>
      <c r="I130" s="188"/>
      <c r="J130" s="188"/>
      <c r="K130" s="205"/>
      <c r="Q130" s="186"/>
    </row>
    <row r="131" spans="8:17" x14ac:dyDescent="0.15">
      <c r="H131" s="188"/>
      <c r="I131" s="188"/>
      <c r="J131" s="188"/>
      <c r="K131" s="205"/>
      <c r="Q131" s="186"/>
    </row>
    <row r="132" spans="8:17" x14ac:dyDescent="0.15">
      <c r="H132" s="188"/>
      <c r="I132" s="188"/>
      <c r="J132" s="188"/>
      <c r="K132" s="205"/>
      <c r="Q132" s="186"/>
    </row>
    <row r="133" spans="8:17" x14ac:dyDescent="0.15">
      <c r="H133" s="188"/>
      <c r="I133" s="188"/>
      <c r="J133" s="188"/>
      <c r="K133" s="205"/>
      <c r="Q133" s="186"/>
    </row>
    <row r="134" spans="8:17" x14ac:dyDescent="0.15">
      <c r="H134" s="188"/>
      <c r="I134" s="188"/>
      <c r="J134" s="188"/>
      <c r="K134" s="205"/>
      <c r="Q134" s="186"/>
    </row>
    <row r="135" spans="8:17" x14ac:dyDescent="0.15">
      <c r="H135" s="188"/>
      <c r="I135" s="188"/>
      <c r="J135" s="188"/>
      <c r="K135" s="205"/>
      <c r="Q135" s="186"/>
    </row>
    <row r="136" spans="8:17" x14ac:dyDescent="0.15">
      <c r="H136" s="188"/>
      <c r="I136" s="188"/>
      <c r="J136" s="188"/>
      <c r="K136" s="205"/>
      <c r="Q136" s="186"/>
    </row>
    <row r="137" spans="8:17" x14ac:dyDescent="0.15">
      <c r="H137" s="188"/>
      <c r="I137" s="188"/>
      <c r="J137" s="188"/>
      <c r="K137" s="205"/>
      <c r="Q137" s="186"/>
    </row>
    <row r="138" spans="8:17" x14ac:dyDescent="0.15">
      <c r="H138" s="188"/>
      <c r="I138" s="188"/>
      <c r="J138" s="188"/>
      <c r="K138" s="205"/>
      <c r="Q138" s="186"/>
    </row>
    <row r="139" spans="8:17" x14ac:dyDescent="0.15">
      <c r="H139" s="188"/>
      <c r="I139" s="188"/>
      <c r="J139" s="188"/>
      <c r="K139" s="205"/>
      <c r="Q139" s="186"/>
    </row>
    <row r="140" spans="8:17" x14ac:dyDescent="0.15">
      <c r="H140" s="188"/>
      <c r="I140" s="188"/>
      <c r="J140" s="188"/>
      <c r="K140" s="205"/>
      <c r="Q140" s="186"/>
    </row>
    <row r="141" spans="8:17" x14ac:dyDescent="0.15">
      <c r="H141" s="188"/>
      <c r="I141" s="188"/>
      <c r="J141" s="188"/>
      <c r="K141" s="205"/>
      <c r="Q141" s="186"/>
    </row>
    <row r="142" spans="8:17" x14ac:dyDescent="0.15">
      <c r="K142" s="205"/>
      <c r="Q142" s="186"/>
    </row>
    <row r="143" spans="8:17" x14ac:dyDescent="0.15">
      <c r="K143" s="205"/>
      <c r="Q143" s="186"/>
    </row>
    <row r="144" spans="8:17" x14ac:dyDescent="0.15">
      <c r="K144" s="205"/>
      <c r="Q144" s="186"/>
    </row>
    <row r="145" spans="11:17" x14ac:dyDescent="0.15">
      <c r="K145" s="205"/>
      <c r="Q145" s="186"/>
    </row>
    <row r="146" spans="11:17" x14ac:dyDescent="0.15">
      <c r="K146" s="205"/>
      <c r="Q146" s="186"/>
    </row>
    <row r="147" spans="11:17" x14ac:dyDescent="0.15">
      <c r="K147" s="205"/>
      <c r="Q147" s="186"/>
    </row>
    <row r="148" spans="11:17" x14ac:dyDescent="0.15">
      <c r="K148" s="205"/>
      <c r="Q148" s="186"/>
    </row>
    <row r="149" spans="11:17" x14ac:dyDescent="0.15">
      <c r="K149" s="205"/>
      <c r="Q149" s="186"/>
    </row>
    <row r="150" spans="11:17" x14ac:dyDescent="0.15">
      <c r="K150" s="205"/>
      <c r="Q150" s="186"/>
    </row>
    <row r="151" spans="11:17" x14ac:dyDescent="0.15">
      <c r="K151" s="205"/>
      <c r="Q151" s="186"/>
    </row>
    <row r="152" spans="11:17" x14ac:dyDescent="0.15">
      <c r="K152" s="205"/>
      <c r="Q152" s="186"/>
    </row>
    <row r="153" spans="11:17" x14ac:dyDescent="0.15">
      <c r="K153" s="205"/>
      <c r="Q153" s="186"/>
    </row>
    <row r="154" spans="11:17" x14ac:dyDescent="0.15">
      <c r="K154" s="205"/>
      <c r="Q154" s="186"/>
    </row>
    <row r="155" spans="11:17" x14ac:dyDescent="0.15">
      <c r="K155" s="205"/>
      <c r="Q155" s="186"/>
    </row>
    <row r="156" spans="11:17" x14ac:dyDescent="0.15">
      <c r="K156" s="205"/>
      <c r="Q156" s="186"/>
    </row>
    <row r="157" spans="11:17" x14ac:dyDescent="0.15">
      <c r="K157" s="205"/>
      <c r="Q157" s="186"/>
    </row>
    <row r="158" spans="11:17" x14ac:dyDescent="0.15">
      <c r="K158" s="205"/>
      <c r="Q158" s="186"/>
    </row>
    <row r="159" spans="11:17" x14ac:dyDescent="0.15">
      <c r="K159" s="205"/>
      <c r="Q159" s="186"/>
    </row>
    <row r="160" spans="11:17" x14ac:dyDescent="0.15">
      <c r="K160" s="205"/>
      <c r="Q160" s="186"/>
    </row>
    <row r="161" spans="11:17" x14ac:dyDescent="0.15">
      <c r="K161" s="205"/>
      <c r="Q161" s="186"/>
    </row>
    <row r="162" spans="11:17" x14ac:dyDescent="0.15">
      <c r="K162" s="205"/>
      <c r="Q162" s="186"/>
    </row>
    <row r="163" spans="11:17" x14ac:dyDescent="0.15">
      <c r="K163" s="205"/>
      <c r="Q163" s="186"/>
    </row>
    <row r="164" spans="11:17" x14ac:dyDescent="0.15">
      <c r="K164" s="205"/>
      <c r="Q164" s="186"/>
    </row>
    <row r="165" spans="11:17" x14ac:dyDescent="0.15">
      <c r="K165" s="205"/>
      <c r="Q165" s="186"/>
    </row>
    <row r="166" spans="11:17" x14ac:dyDescent="0.15">
      <c r="K166" s="205"/>
      <c r="Q166" s="186"/>
    </row>
    <row r="167" spans="11:17" x14ac:dyDescent="0.15">
      <c r="K167" s="205"/>
      <c r="Q167" s="186"/>
    </row>
    <row r="168" spans="11:17" x14ac:dyDescent="0.15">
      <c r="K168" s="205"/>
      <c r="Q168" s="186"/>
    </row>
    <row r="169" spans="11:17" x14ac:dyDescent="0.15">
      <c r="K169" s="205"/>
      <c r="Q169" s="186"/>
    </row>
    <row r="170" spans="11:17" x14ac:dyDescent="0.15">
      <c r="K170" s="205"/>
      <c r="Q170" s="186"/>
    </row>
    <row r="171" spans="11:17" x14ac:dyDescent="0.15">
      <c r="K171" s="205"/>
      <c r="Q171" s="186"/>
    </row>
    <row r="172" spans="11:17" x14ac:dyDescent="0.15">
      <c r="K172" s="205"/>
      <c r="Q172" s="186"/>
    </row>
    <row r="173" spans="11:17" x14ac:dyDescent="0.15">
      <c r="K173" s="205"/>
      <c r="Q173" s="186"/>
    </row>
    <row r="174" spans="11:17" x14ac:dyDescent="0.15">
      <c r="K174" s="205"/>
      <c r="Q174" s="186"/>
    </row>
    <row r="175" spans="11:17" x14ac:dyDescent="0.15">
      <c r="K175" s="205"/>
      <c r="Q175" s="186"/>
    </row>
    <row r="176" spans="11:17" x14ac:dyDescent="0.15">
      <c r="K176" s="205"/>
      <c r="Q176" s="186"/>
    </row>
    <row r="177" spans="11:17" x14ac:dyDescent="0.15">
      <c r="K177" s="205"/>
      <c r="Q177" s="186"/>
    </row>
    <row r="178" spans="11:17" x14ac:dyDescent="0.15">
      <c r="K178" s="205"/>
      <c r="Q178" s="186"/>
    </row>
    <row r="179" spans="11:17" x14ac:dyDescent="0.15">
      <c r="K179" s="205"/>
      <c r="Q179" s="186"/>
    </row>
    <row r="180" spans="11:17" x14ac:dyDescent="0.15">
      <c r="K180" s="205"/>
      <c r="Q180" s="186"/>
    </row>
    <row r="181" spans="11:17" x14ac:dyDescent="0.15">
      <c r="K181" s="205"/>
      <c r="Q181" s="186"/>
    </row>
    <row r="182" spans="11:17" x14ac:dyDescent="0.15">
      <c r="K182" s="205"/>
      <c r="Q182" s="186"/>
    </row>
    <row r="183" spans="11:17" x14ac:dyDescent="0.15">
      <c r="K183" s="205"/>
      <c r="Q183" s="186"/>
    </row>
    <row r="184" spans="11:17" x14ac:dyDescent="0.15">
      <c r="K184" s="205"/>
      <c r="Q184" s="186"/>
    </row>
    <row r="185" spans="11:17" x14ac:dyDescent="0.15">
      <c r="K185" s="205"/>
      <c r="Q185" s="186"/>
    </row>
    <row r="186" spans="11:17" x14ac:dyDescent="0.15">
      <c r="K186" s="205"/>
      <c r="Q186" s="186"/>
    </row>
    <row r="187" spans="11:17" x14ac:dyDescent="0.15">
      <c r="K187" s="205"/>
      <c r="Q187" s="186"/>
    </row>
    <row r="188" spans="11:17" x14ac:dyDescent="0.15">
      <c r="K188" s="205"/>
      <c r="Q188" s="186"/>
    </row>
    <row r="189" spans="11:17" x14ac:dyDescent="0.15">
      <c r="K189" s="205"/>
      <c r="Q189" s="186"/>
    </row>
    <row r="190" spans="11:17" x14ac:dyDescent="0.15">
      <c r="K190" s="205"/>
      <c r="Q190" s="186"/>
    </row>
    <row r="191" spans="11:17" x14ac:dyDescent="0.15">
      <c r="K191" s="205"/>
      <c r="Q191" s="186"/>
    </row>
    <row r="192" spans="11:17" x14ac:dyDescent="0.15">
      <c r="K192" s="205"/>
      <c r="Q192" s="186"/>
    </row>
    <row r="193" spans="11:17" x14ac:dyDescent="0.15">
      <c r="K193" s="205"/>
      <c r="Q193" s="186"/>
    </row>
    <row r="194" spans="11:17" x14ac:dyDescent="0.15">
      <c r="K194" s="205"/>
      <c r="Q194" s="186"/>
    </row>
    <row r="195" spans="11:17" x14ac:dyDescent="0.15">
      <c r="K195" s="205"/>
      <c r="Q195" s="186"/>
    </row>
    <row r="196" spans="11:17" x14ac:dyDescent="0.15">
      <c r="K196" s="205"/>
      <c r="Q196" s="186"/>
    </row>
    <row r="197" spans="11:17" x14ac:dyDescent="0.15">
      <c r="K197" s="205"/>
      <c r="Q197" s="186"/>
    </row>
    <row r="198" spans="11:17" x14ac:dyDescent="0.15">
      <c r="K198" s="205"/>
      <c r="Q198" s="186"/>
    </row>
    <row r="199" spans="11:17" x14ac:dyDescent="0.15">
      <c r="K199" s="205"/>
      <c r="Q199" s="186"/>
    </row>
    <row r="200" spans="11:17" x14ac:dyDescent="0.15">
      <c r="K200" s="205"/>
      <c r="Q200" s="186"/>
    </row>
    <row r="201" spans="11:17" x14ac:dyDescent="0.15">
      <c r="K201" s="205"/>
      <c r="Q201" s="186"/>
    </row>
    <row r="202" spans="11:17" x14ac:dyDescent="0.15">
      <c r="K202" s="205"/>
      <c r="Q202" s="186"/>
    </row>
    <row r="203" spans="11:17" x14ac:dyDescent="0.15">
      <c r="K203" s="205"/>
      <c r="Q203" s="186"/>
    </row>
    <row r="204" spans="11:17" x14ac:dyDescent="0.15">
      <c r="K204" s="205"/>
      <c r="Q204" s="186"/>
    </row>
    <row r="205" spans="11:17" x14ac:dyDescent="0.15">
      <c r="K205" s="205"/>
      <c r="Q205" s="186"/>
    </row>
    <row r="206" spans="11:17" x14ac:dyDescent="0.15">
      <c r="K206" s="205"/>
      <c r="Q206" s="186"/>
    </row>
    <row r="207" spans="11:17" x14ac:dyDescent="0.15">
      <c r="K207" s="205"/>
      <c r="Q207" s="186"/>
    </row>
    <row r="208" spans="11:17" x14ac:dyDescent="0.15">
      <c r="K208" s="205"/>
      <c r="Q208" s="186"/>
    </row>
    <row r="209" spans="11:17" x14ac:dyDescent="0.15">
      <c r="K209" s="205"/>
      <c r="Q209" s="186"/>
    </row>
    <row r="210" spans="11:17" x14ac:dyDescent="0.15">
      <c r="K210" s="205"/>
      <c r="Q210" s="186"/>
    </row>
    <row r="211" spans="11:17" x14ac:dyDescent="0.15">
      <c r="K211" s="205"/>
      <c r="Q211" s="186"/>
    </row>
    <row r="212" spans="11:17" x14ac:dyDescent="0.15">
      <c r="K212" s="205"/>
      <c r="Q212" s="186"/>
    </row>
    <row r="213" spans="11:17" x14ac:dyDescent="0.15">
      <c r="K213" s="205"/>
      <c r="Q213" s="186"/>
    </row>
    <row r="214" spans="11:17" x14ac:dyDescent="0.15">
      <c r="K214" s="205"/>
      <c r="Q214" s="186"/>
    </row>
    <row r="215" spans="11:17" x14ac:dyDescent="0.15">
      <c r="K215" s="205"/>
      <c r="Q215" s="186"/>
    </row>
    <row r="216" spans="11:17" x14ac:dyDescent="0.15">
      <c r="K216" s="205"/>
      <c r="Q216" s="186"/>
    </row>
    <row r="217" spans="11:17" x14ac:dyDescent="0.15">
      <c r="K217" s="205"/>
      <c r="Q217" s="186"/>
    </row>
    <row r="218" spans="11:17" x14ac:dyDescent="0.15">
      <c r="K218" s="205"/>
      <c r="Q218" s="186"/>
    </row>
    <row r="219" spans="11:17" x14ac:dyDescent="0.15">
      <c r="K219" s="205"/>
      <c r="Q219" s="186"/>
    </row>
    <row r="220" spans="11:17" x14ac:dyDescent="0.15">
      <c r="K220" s="205"/>
      <c r="Q220" s="186"/>
    </row>
    <row r="221" spans="11:17" x14ac:dyDescent="0.15">
      <c r="K221" s="205"/>
      <c r="Q221" s="186"/>
    </row>
    <row r="222" spans="11:17" x14ac:dyDescent="0.15">
      <c r="K222" s="205"/>
      <c r="Q222" s="186"/>
    </row>
    <row r="223" spans="11:17" x14ac:dyDescent="0.15">
      <c r="K223" s="205"/>
      <c r="Q223" s="186"/>
    </row>
    <row r="224" spans="11:17" x14ac:dyDescent="0.15">
      <c r="K224" s="205"/>
      <c r="Q224" s="186"/>
    </row>
    <row r="225" spans="11:17" x14ac:dyDescent="0.15">
      <c r="K225" s="205"/>
      <c r="Q225" s="186"/>
    </row>
    <row r="226" spans="11:17" x14ac:dyDescent="0.15">
      <c r="K226" s="205"/>
      <c r="Q226" s="186"/>
    </row>
    <row r="227" spans="11:17" x14ac:dyDescent="0.15">
      <c r="K227" s="205"/>
      <c r="Q227" s="186"/>
    </row>
    <row r="228" spans="11:17" x14ac:dyDescent="0.15">
      <c r="K228" s="205"/>
      <c r="Q228" s="186"/>
    </row>
    <row r="229" spans="11:17" x14ac:dyDescent="0.15">
      <c r="K229" s="205"/>
      <c r="Q229" s="186"/>
    </row>
    <row r="230" spans="11:17" x14ac:dyDescent="0.15">
      <c r="K230" s="205"/>
      <c r="Q230" s="186"/>
    </row>
    <row r="231" spans="11:17" x14ac:dyDescent="0.15">
      <c r="K231" s="205"/>
      <c r="Q231" s="186"/>
    </row>
    <row r="232" spans="11:17" x14ac:dyDescent="0.15">
      <c r="K232" s="205"/>
      <c r="Q232" s="186"/>
    </row>
    <row r="233" spans="11:17" x14ac:dyDescent="0.15">
      <c r="K233" s="205"/>
      <c r="Q233" s="186"/>
    </row>
    <row r="234" spans="11:17" x14ac:dyDescent="0.15">
      <c r="K234" s="205"/>
      <c r="Q234" s="186"/>
    </row>
    <row r="235" spans="11:17" x14ac:dyDescent="0.15">
      <c r="K235" s="205"/>
      <c r="Q235" s="186"/>
    </row>
    <row r="236" spans="11:17" x14ac:dyDescent="0.15">
      <c r="K236" s="205"/>
      <c r="Q236" s="186"/>
    </row>
    <row r="237" spans="11:17" x14ac:dyDescent="0.15">
      <c r="K237" s="205"/>
      <c r="Q237" s="186"/>
    </row>
    <row r="238" spans="11:17" x14ac:dyDescent="0.15">
      <c r="K238" s="205"/>
      <c r="Q238" s="186"/>
    </row>
    <row r="239" spans="11:17" x14ac:dyDescent="0.15">
      <c r="K239" s="205"/>
      <c r="Q239" s="186"/>
    </row>
    <row r="240" spans="11:17" x14ac:dyDescent="0.15">
      <c r="K240" s="205"/>
      <c r="Q240" s="186"/>
    </row>
    <row r="241" spans="11:17" x14ac:dyDescent="0.15">
      <c r="K241" s="205"/>
      <c r="Q241" s="186"/>
    </row>
    <row r="242" spans="11:17" x14ac:dyDescent="0.15">
      <c r="K242" s="205"/>
      <c r="Q242" s="186"/>
    </row>
    <row r="243" spans="11:17" x14ac:dyDescent="0.15">
      <c r="K243" s="205"/>
      <c r="Q243" s="186"/>
    </row>
    <row r="244" spans="11:17" x14ac:dyDescent="0.15">
      <c r="K244" s="205"/>
      <c r="Q244" s="186"/>
    </row>
    <row r="245" spans="11:17" x14ac:dyDescent="0.15">
      <c r="K245" s="205"/>
      <c r="Q245" s="186"/>
    </row>
    <row r="246" spans="11:17" x14ac:dyDescent="0.15">
      <c r="K246" s="205"/>
      <c r="Q246" s="186"/>
    </row>
    <row r="247" spans="11:17" x14ac:dyDescent="0.15">
      <c r="K247" s="205"/>
      <c r="Q247" s="186"/>
    </row>
    <row r="248" spans="11:17" x14ac:dyDescent="0.15">
      <c r="K248" s="205"/>
      <c r="Q248" s="186"/>
    </row>
    <row r="249" spans="11:17" x14ac:dyDescent="0.15">
      <c r="K249" s="205"/>
      <c r="Q249" s="186"/>
    </row>
    <row r="250" spans="11:17" x14ac:dyDescent="0.15">
      <c r="K250" s="205"/>
      <c r="Q250" s="186"/>
    </row>
    <row r="251" spans="11:17" x14ac:dyDescent="0.15">
      <c r="K251" s="205"/>
      <c r="Q251" s="186"/>
    </row>
    <row r="252" spans="11:17" x14ac:dyDescent="0.15">
      <c r="K252" s="205"/>
      <c r="Q252" s="186"/>
    </row>
    <row r="253" spans="11:17" x14ac:dyDescent="0.15">
      <c r="K253" s="205"/>
      <c r="Q253" s="186"/>
    </row>
    <row r="254" spans="11:17" x14ac:dyDescent="0.15">
      <c r="K254" s="205"/>
      <c r="Q254" s="186"/>
    </row>
    <row r="255" spans="11:17" x14ac:dyDescent="0.15">
      <c r="K255" s="205"/>
      <c r="Q255" s="186"/>
    </row>
    <row r="256" spans="11:17" x14ac:dyDescent="0.15">
      <c r="K256" s="205"/>
      <c r="Q256" s="186"/>
    </row>
    <row r="257" spans="11:17" x14ac:dyDescent="0.15">
      <c r="K257" s="205"/>
      <c r="Q257" s="186"/>
    </row>
    <row r="258" spans="11:17" x14ac:dyDescent="0.15">
      <c r="K258" s="205"/>
      <c r="Q258" s="186"/>
    </row>
    <row r="259" spans="11:17" x14ac:dyDescent="0.15">
      <c r="K259" s="205"/>
      <c r="Q259" s="186"/>
    </row>
    <row r="260" spans="11:17" x14ac:dyDescent="0.15">
      <c r="K260" s="205"/>
      <c r="Q260" s="186"/>
    </row>
    <row r="261" spans="11:17" x14ac:dyDescent="0.15">
      <c r="K261" s="205"/>
      <c r="Q261" s="186"/>
    </row>
    <row r="262" spans="11:17" x14ac:dyDescent="0.15">
      <c r="K262" s="205"/>
      <c r="Q262" s="186"/>
    </row>
    <row r="263" spans="11:17" x14ac:dyDescent="0.15">
      <c r="K263" s="205"/>
      <c r="Q263" s="186"/>
    </row>
    <row r="264" spans="11:17" x14ac:dyDescent="0.15">
      <c r="K264" s="205"/>
      <c r="Q264" s="186"/>
    </row>
    <row r="265" spans="11:17" x14ac:dyDescent="0.15">
      <c r="K265" s="205"/>
      <c r="Q265" s="186"/>
    </row>
    <row r="266" spans="11:17" x14ac:dyDescent="0.15">
      <c r="K266" s="205"/>
      <c r="Q266" s="186"/>
    </row>
    <row r="267" spans="11:17" x14ac:dyDescent="0.15">
      <c r="K267" s="205"/>
      <c r="Q267" s="186"/>
    </row>
    <row r="268" spans="11:17" x14ac:dyDescent="0.15">
      <c r="K268" s="205"/>
      <c r="Q268" s="186"/>
    </row>
    <row r="269" spans="11:17" x14ac:dyDescent="0.15">
      <c r="K269" s="205"/>
      <c r="Q269" s="186"/>
    </row>
    <row r="270" spans="11:17" x14ac:dyDescent="0.15">
      <c r="K270" s="205"/>
      <c r="Q270" s="186"/>
    </row>
    <row r="271" spans="11:17" x14ac:dyDescent="0.15">
      <c r="K271" s="205"/>
      <c r="Q271" s="186"/>
    </row>
    <row r="272" spans="11:17" x14ac:dyDescent="0.15">
      <c r="K272" s="205"/>
      <c r="Q272" s="186"/>
    </row>
    <row r="273" spans="11:17" x14ac:dyDescent="0.15">
      <c r="K273" s="205"/>
      <c r="Q273" s="186"/>
    </row>
    <row r="274" spans="11:17" x14ac:dyDescent="0.15">
      <c r="K274" s="205"/>
      <c r="Q274" s="186"/>
    </row>
    <row r="275" spans="11:17" x14ac:dyDescent="0.15">
      <c r="K275" s="205"/>
      <c r="Q275" s="186"/>
    </row>
    <row r="276" spans="11:17" x14ac:dyDescent="0.15">
      <c r="K276" s="205"/>
      <c r="Q276" s="186"/>
    </row>
    <row r="277" spans="11:17" x14ac:dyDescent="0.15">
      <c r="K277" s="205"/>
      <c r="Q277" s="186"/>
    </row>
    <row r="278" spans="11:17" x14ac:dyDescent="0.15">
      <c r="K278" s="205"/>
      <c r="Q278" s="186"/>
    </row>
    <row r="279" spans="11:17" x14ac:dyDescent="0.15">
      <c r="K279" s="205"/>
      <c r="Q279" s="186"/>
    </row>
    <row r="280" spans="11:17" x14ac:dyDescent="0.15">
      <c r="K280" s="205"/>
      <c r="Q280" s="186"/>
    </row>
    <row r="281" spans="11:17" x14ac:dyDescent="0.15">
      <c r="K281" s="205"/>
      <c r="Q281" s="186"/>
    </row>
    <row r="282" spans="11:17" x14ac:dyDescent="0.15">
      <c r="K282" s="205"/>
      <c r="Q282" s="186"/>
    </row>
    <row r="283" spans="11:17" x14ac:dyDescent="0.15">
      <c r="K283" s="205"/>
      <c r="Q283" s="186"/>
    </row>
    <row r="284" spans="11:17" x14ac:dyDescent="0.15">
      <c r="K284" s="205"/>
      <c r="Q284" s="186"/>
    </row>
    <row r="285" spans="11:17" x14ac:dyDescent="0.15">
      <c r="K285" s="205"/>
      <c r="Q285" s="186"/>
    </row>
    <row r="286" spans="11:17" x14ac:dyDescent="0.15">
      <c r="K286" s="205"/>
      <c r="Q286" s="186"/>
    </row>
    <row r="287" spans="11:17" x14ac:dyDescent="0.15">
      <c r="K287" s="205"/>
      <c r="Q287" s="186"/>
    </row>
    <row r="288" spans="11:17" x14ac:dyDescent="0.15">
      <c r="K288" s="205"/>
      <c r="Q288" s="186"/>
    </row>
    <row r="289" spans="11:17" x14ac:dyDescent="0.15">
      <c r="K289" s="205"/>
      <c r="Q289" s="186"/>
    </row>
    <row r="290" spans="11:17" x14ac:dyDescent="0.15">
      <c r="K290" s="205"/>
      <c r="Q290" s="186"/>
    </row>
    <row r="291" spans="11:17" x14ac:dyDescent="0.15">
      <c r="K291" s="205"/>
      <c r="Q291" s="186"/>
    </row>
    <row r="292" spans="11:17" x14ac:dyDescent="0.15">
      <c r="K292" s="205"/>
    </row>
    <row r="293" spans="11:17" x14ac:dyDescent="0.15">
      <c r="K293" s="205"/>
    </row>
    <row r="294" spans="11:17" x14ac:dyDescent="0.15">
      <c r="K294" s="205"/>
    </row>
    <row r="295" spans="11:17" x14ac:dyDescent="0.15">
      <c r="K295" s="205"/>
    </row>
    <row r="296" spans="11:17" x14ac:dyDescent="0.15">
      <c r="K296" s="205"/>
    </row>
    <row r="297" spans="11:17" x14ac:dyDescent="0.15">
      <c r="K297" s="205"/>
    </row>
    <row r="298" spans="11:17" x14ac:dyDescent="0.15">
      <c r="K298" s="205"/>
    </row>
    <row r="299" spans="11:17" x14ac:dyDescent="0.15">
      <c r="K299" s="205"/>
    </row>
    <row r="300" spans="11:17" x14ac:dyDescent="0.15">
      <c r="K300" s="205"/>
    </row>
    <row r="301" spans="11:17" x14ac:dyDescent="0.15">
      <c r="K301" s="205"/>
    </row>
    <row r="302" spans="11:17" x14ac:dyDescent="0.15">
      <c r="K302" s="205"/>
    </row>
    <row r="303" spans="11:17" x14ac:dyDescent="0.15">
      <c r="K303" s="205"/>
    </row>
    <row r="304" spans="11:17" x14ac:dyDescent="0.15">
      <c r="K304" s="205"/>
    </row>
    <row r="305" spans="11:11" x14ac:dyDescent="0.15">
      <c r="K305" s="205"/>
    </row>
    <row r="306" spans="11:11" x14ac:dyDescent="0.15">
      <c r="K306" s="205"/>
    </row>
    <row r="307" spans="11:11" x14ac:dyDescent="0.15">
      <c r="K307" s="205"/>
    </row>
    <row r="308" spans="11:11" x14ac:dyDescent="0.15">
      <c r="K308" s="205"/>
    </row>
    <row r="309" spans="11:11" x14ac:dyDescent="0.15">
      <c r="K309" s="205"/>
    </row>
    <row r="310" spans="11:11" x14ac:dyDescent="0.15">
      <c r="K310" s="205"/>
    </row>
    <row r="311" spans="11:11" x14ac:dyDescent="0.15">
      <c r="K311" s="205"/>
    </row>
    <row r="312" spans="11:11" x14ac:dyDescent="0.15">
      <c r="K312" s="205"/>
    </row>
    <row r="313" spans="11:11" x14ac:dyDescent="0.15">
      <c r="K313" s="205"/>
    </row>
    <row r="314" spans="11:11" x14ac:dyDescent="0.15">
      <c r="K314" s="205"/>
    </row>
    <row r="315" spans="11:11" x14ac:dyDescent="0.15">
      <c r="K315" s="205"/>
    </row>
    <row r="316" spans="11:11" x14ac:dyDescent="0.15">
      <c r="K316" s="205"/>
    </row>
    <row r="317" spans="11:11" x14ac:dyDescent="0.15">
      <c r="K317" s="205"/>
    </row>
    <row r="318" spans="11:11" x14ac:dyDescent="0.15">
      <c r="K318" s="205"/>
    </row>
    <row r="319" spans="11:11" x14ac:dyDescent="0.15">
      <c r="K319" s="205"/>
    </row>
    <row r="320" spans="11:11" x14ac:dyDescent="0.15">
      <c r="K320" s="205"/>
    </row>
    <row r="321" spans="11:11" x14ac:dyDescent="0.15">
      <c r="K321" s="205"/>
    </row>
    <row r="322" spans="11:11" x14ac:dyDescent="0.15">
      <c r="K322" s="205"/>
    </row>
    <row r="323" spans="11:11" x14ac:dyDescent="0.15">
      <c r="K323" s="205"/>
    </row>
    <row r="324" spans="11:11" x14ac:dyDescent="0.15">
      <c r="K324" s="205"/>
    </row>
    <row r="325" spans="11:11" x14ac:dyDescent="0.15">
      <c r="K325" s="205"/>
    </row>
    <row r="326" spans="11:11" x14ac:dyDescent="0.15">
      <c r="K326" s="205"/>
    </row>
    <row r="327" spans="11:11" x14ac:dyDescent="0.15">
      <c r="K327" s="205"/>
    </row>
    <row r="328" spans="11:11" x14ac:dyDescent="0.15">
      <c r="K328" s="205"/>
    </row>
    <row r="329" spans="11:11" x14ac:dyDescent="0.15">
      <c r="K329" s="205"/>
    </row>
    <row r="330" spans="11:11" x14ac:dyDescent="0.15">
      <c r="K330" s="205"/>
    </row>
    <row r="331" spans="11:11" x14ac:dyDescent="0.15">
      <c r="K331" s="205"/>
    </row>
    <row r="332" spans="11:11" x14ac:dyDescent="0.15">
      <c r="K332" s="205"/>
    </row>
    <row r="333" spans="11:11" x14ac:dyDescent="0.15">
      <c r="K333" s="205"/>
    </row>
    <row r="334" spans="11:11" x14ac:dyDescent="0.15">
      <c r="K334" s="205"/>
    </row>
    <row r="335" spans="11:11" x14ac:dyDescent="0.15">
      <c r="K335" s="205"/>
    </row>
    <row r="336" spans="11:11" x14ac:dyDescent="0.15">
      <c r="K336" s="205"/>
    </row>
    <row r="337" spans="11:11" x14ac:dyDescent="0.15">
      <c r="K337" s="205"/>
    </row>
    <row r="338" spans="11:11" x14ac:dyDescent="0.15">
      <c r="K338" s="205"/>
    </row>
    <row r="339" spans="11:11" x14ac:dyDescent="0.15">
      <c r="K339" s="205"/>
    </row>
    <row r="340" spans="11:11" x14ac:dyDescent="0.15">
      <c r="K340" s="205"/>
    </row>
    <row r="341" spans="11:11" x14ac:dyDescent="0.15">
      <c r="K341" s="205"/>
    </row>
    <row r="342" spans="11:11" x14ac:dyDescent="0.15">
      <c r="K342" s="205"/>
    </row>
    <row r="343" spans="11:11" x14ac:dyDescent="0.15">
      <c r="K343" s="205"/>
    </row>
    <row r="344" spans="11:11" x14ac:dyDescent="0.15">
      <c r="K344" s="205"/>
    </row>
    <row r="345" spans="11:11" x14ac:dyDescent="0.15">
      <c r="K345" s="205"/>
    </row>
    <row r="346" spans="11:11" x14ac:dyDescent="0.15">
      <c r="K346" s="205"/>
    </row>
    <row r="347" spans="11:11" x14ac:dyDescent="0.15">
      <c r="K347" s="205"/>
    </row>
    <row r="348" spans="11:11" x14ac:dyDescent="0.15">
      <c r="K348" s="205"/>
    </row>
    <row r="349" spans="11:11" x14ac:dyDescent="0.15">
      <c r="K349" s="205"/>
    </row>
    <row r="350" spans="11:11" x14ac:dyDescent="0.15">
      <c r="K350" s="205"/>
    </row>
    <row r="351" spans="11:11" x14ac:dyDescent="0.15">
      <c r="K351" s="205"/>
    </row>
    <row r="352" spans="11:11" x14ac:dyDescent="0.15">
      <c r="K352" s="205"/>
    </row>
    <row r="353" spans="11:11" x14ac:dyDescent="0.15">
      <c r="K353" s="205"/>
    </row>
    <row r="354" spans="11:11" x14ac:dyDescent="0.15">
      <c r="K354" s="205"/>
    </row>
    <row r="355" spans="11:11" x14ac:dyDescent="0.15">
      <c r="K355" s="205"/>
    </row>
    <row r="356" spans="11:11" x14ac:dyDescent="0.15">
      <c r="K356" s="205"/>
    </row>
    <row r="357" spans="11:11" x14ac:dyDescent="0.15">
      <c r="K357" s="205"/>
    </row>
    <row r="358" spans="11:11" x14ac:dyDescent="0.15">
      <c r="K358" s="205"/>
    </row>
    <row r="359" spans="11:11" x14ac:dyDescent="0.15">
      <c r="K359" s="205"/>
    </row>
    <row r="360" spans="11:11" x14ac:dyDescent="0.15">
      <c r="K360" s="205"/>
    </row>
    <row r="361" spans="11:11" x14ac:dyDescent="0.15">
      <c r="K361" s="205"/>
    </row>
    <row r="362" spans="11:11" x14ac:dyDescent="0.15">
      <c r="K362" s="205"/>
    </row>
    <row r="363" spans="11:11" x14ac:dyDescent="0.15">
      <c r="K363" s="205"/>
    </row>
    <row r="364" spans="11:11" x14ac:dyDescent="0.15">
      <c r="K364" s="205"/>
    </row>
    <row r="365" spans="11:11" x14ac:dyDescent="0.15">
      <c r="K365" s="205"/>
    </row>
    <row r="366" spans="11:11" x14ac:dyDescent="0.15">
      <c r="K366" s="205"/>
    </row>
    <row r="367" spans="11:11" x14ac:dyDescent="0.15">
      <c r="K367" s="205"/>
    </row>
    <row r="368" spans="11:11" x14ac:dyDescent="0.15">
      <c r="K368" s="205"/>
    </row>
    <row r="369" spans="11:11" x14ac:dyDescent="0.15">
      <c r="K369" s="205"/>
    </row>
    <row r="370" spans="11:11" x14ac:dyDescent="0.15">
      <c r="K370" s="205"/>
    </row>
    <row r="371" spans="11:11" x14ac:dyDescent="0.15">
      <c r="K371" s="205"/>
    </row>
    <row r="372" spans="11:11" x14ac:dyDescent="0.15">
      <c r="K372" s="205"/>
    </row>
    <row r="373" spans="11:11" x14ac:dyDescent="0.15">
      <c r="K373" s="205"/>
    </row>
    <row r="374" spans="11:11" x14ac:dyDescent="0.15">
      <c r="K374" s="205"/>
    </row>
    <row r="375" spans="11:11" x14ac:dyDescent="0.15">
      <c r="K375" s="205"/>
    </row>
    <row r="376" spans="11:11" x14ac:dyDescent="0.15">
      <c r="K376" s="205"/>
    </row>
    <row r="377" spans="11:11" x14ac:dyDescent="0.15">
      <c r="K377" s="205"/>
    </row>
    <row r="378" spans="11:11" x14ac:dyDescent="0.15">
      <c r="K378" s="205"/>
    </row>
    <row r="379" spans="11:11" x14ac:dyDescent="0.15">
      <c r="K379" s="205"/>
    </row>
    <row r="380" spans="11:11" x14ac:dyDescent="0.15">
      <c r="K380" s="205"/>
    </row>
    <row r="381" spans="11:11" x14ac:dyDescent="0.15">
      <c r="K381" s="205"/>
    </row>
    <row r="382" spans="11:11" x14ac:dyDescent="0.15">
      <c r="K382" s="205"/>
    </row>
    <row r="383" spans="11:11" x14ac:dyDescent="0.15">
      <c r="K383" s="205"/>
    </row>
    <row r="384" spans="11:11" x14ac:dyDescent="0.15">
      <c r="K384" s="205"/>
    </row>
    <row r="385" spans="11:11" x14ac:dyDescent="0.15">
      <c r="K385" s="205"/>
    </row>
    <row r="386" spans="11:11" x14ac:dyDescent="0.15">
      <c r="K386" s="205"/>
    </row>
    <row r="387" spans="11:11" x14ac:dyDescent="0.15">
      <c r="K387" s="205"/>
    </row>
    <row r="388" spans="11:11" x14ac:dyDescent="0.15">
      <c r="K388" s="205"/>
    </row>
    <row r="389" spans="11:11" x14ac:dyDescent="0.15">
      <c r="K389" s="205"/>
    </row>
    <row r="390" spans="11:11" x14ac:dyDescent="0.15">
      <c r="K390" s="205"/>
    </row>
    <row r="391" spans="11:11" x14ac:dyDescent="0.15">
      <c r="K391" s="205"/>
    </row>
    <row r="392" spans="11:11" x14ac:dyDescent="0.15">
      <c r="K392" s="205"/>
    </row>
    <row r="393" spans="11:11" x14ac:dyDescent="0.15">
      <c r="K393" s="205"/>
    </row>
    <row r="394" spans="11:11" x14ac:dyDescent="0.15">
      <c r="K394" s="205"/>
    </row>
    <row r="395" spans="11:11" x14ac:dyDescent="0.15">
      <c r="K395" s="205"/>
    </row>
    <row r="396" spans="11:11" x14ac:dyDescent="0.15">
      <c r="K396" s="205"/>
    </row>
    <row r="397" spans="11:11" x14ac:dyDescent="0.15">
      <c r="K397" s="205"/>
    </row>
    <row r="398" spans="11:11" x14ac:dyDescent="0.15">
      <c r="K398" s="205"/>
    </row>
    <row r="399" spans="11:11" x14ac:dyDescent="0.15">
      <c r="K399" s="205"/>
    </row>
    <row r="400" spans="11:11" x14ac:dyDescent="0.15">
      <c r="K400" s="205"/>
    </row>
    <row r="401" spans="11:11" x14ac:dyDescent="0.15">
      <c r="K401" s="205"/>
    </row>
    <row r="402" spans="11:11" x14ac:dyDescent="0.15">
      <c r="K402" s="205"/>
    </row>
    <row r="403" spans="11:11" x14ac:dyDescent="0.15">
      <c r="K403" s="205"/>
    </row>
    <row r="404" spans="11:11" x14ac:dyDescent="0.15">
      <c r="K404" s="205"/>
    </row>
    <row r="405" spans="11:11" x14ac:dyDescent="0.15">
      <c r="K405" s="205"/>
    </row>
    <row r="406" spans="11:11" x14ac:dyDescent="0.15">
      <c r="K406" s="205"/>
    </row>
    <row r="407" spans="11:11" x14ac:dyDescent="0.15">
      <c r="K407" s="205"/>
    </row>
    <row r="408" spans="11:11" x14ac:dyDescent="0.15">
      <c r="K408" s="205"/>
    </row>
    <row r="409" spans="11:11" x14ac:dyDescent="0.15">
      <c r="K409" s="205"/>
    </row>
    <row r="410" spans="11:11" x14ac:dyDescent="0.15">
      <c r="K410" s="205"/>
    </row>
    <row r="411" spans="11:11" x14ac:dyDescent="0.15">
      <c r="K411" s="205"/>
    </row>
    <row r="412" spans="11:11" x14ac:dyDescent="0.15">
      <c r="K412" s="205"/>
    </row>
    <row r="413" spans="11:11" x14ac:dyDescent="0.15">
      <c r="K413" s="205"/>
    </row>
    <row r="414" spans="11:11" x14ac:dyDescent="0.15">
      <c r="K414" s="205"/>
    </row>
    <row r="415" spans="11:11" x14ac:dyDescent="0.15">
      <c r="K415" s="205"/>
    </row>
    <row r="416" spans="11:11" x14ac:dyDescent="0.15">
      <c r="K416" s="205"/>
    </row>
    <row r="417" spans="11:11" x14ac:dyDescent="0.15">
      <c r="K417" s="205"/>
    </row>
    <row r="418" spans="11:11" x14ac:dyDescent="0.15">
      <c r="K418" s="205"/>
    </row>
    <row r="419" spans="11:11" x14ac:dyDescent="0.15">
      <c r="K419" s="205"/>
    </row>
    <row r="420" spans="11:11" x14ac:dyDescent="0.15">
      <c r="K420" s="205"/>
    </row>
    <row r="421" spans="11:11" x14ac:dyDescent="0.15">
      <c r="K421" s="205"/>
    </row>
    <row r="422" spans="11:11" x14ac:dyDescent="0.15">
      <c r="K422" s="205"/>
    </row>
    <row r="423" spans="11:11" x14ac:dyDescent="0.15">
      <c r="K423" s="205"/>
    </row>
    <row r="424" spans="11:11" x14ac:dyDescent="0.15">
      <c r="K424" s="205"/>
    </row>
    <row r="425" spans="11:11" x14ac:dyDescent="0.15">
      <c r="K425" s="205"/>
    </row>
    <row r="426" spans="11:11" x14ac:dyDescent="0.15">
      <c r="K426" s="205"/>
    </row>
    <row r="427" spans="11:11" x14ac:dyDescent="0.15">
      <c r="K427" s="205"/>
    </row>
    <row r="428" spans="11:11" x14ac:dyDescent="0.15">
      <c r="K428" s="205"/>
    </row>
    <row r="429" spans="11:11" x14ac:dyDescent="0.15">
      <c r="K429" s="205"/>
    </row>
    <row r="430" spans="11:11" x14ac:dyDescent="0.15">
      <c r="K430" s="205"/>
    </row>
    <row r="431" spans="11:11" x14ac:dyDescent="0.15">
      <c r="K431" s="205"/>
    </row>
    <row r="432" spans="11:11" x14ac:dyDescent="0.15">
      <c r="K432" s="205"/>
    </row>
    <row r="433" spans="11:11" x14ac:dyDescent="0.15">
      <c r="K433" s="205"/>
    </row>
    <row r="434" spans="11:11" x14ac:dyDescent="0.15">
      <c r="K434" s="205"/>
    </row>
    <row r="435" spans="11:11" x14ac:dyDescent="0.15">
      <c r="K435" s="205"/>
    </row>
    <row r="436" spans="11:11" x14ac:dyDescent="0.15">
      <c r="K436" s="205"/>
    </row>
    <row r="437" spans="11:11" x14ac:dyDescent="0.15">
      <c r="K437" s="205"/>
    </row>
    <row r="438" spans="11:11" x14ac:dyDescent="0.15">
      <c r="K438" s="205"/>
    </row>
    <row r="439" spans="11:11" x14ac:dyDescent="0.15">
      <c r="K439" s="205"/>
    </row>
    <row r="440" spans="11:11" x14ac:dyDescent="0.15">
      <c r="K440" s="205"/>
    </row>
    <row r="441" spans="11:11" x14ac:dyDescent="0.15">
      <c r="K441" s="205"/>
    </row>
    <row r="442" spans="11:11" x14ac:dyDescent="0.15">
      <c r="K442" s="205"/>
    </row>
    <row r="443" spans="11:11" x14ac:dyDescent="0.15">
      <c r="K443" s="205"/>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55"/>
  <sheetViews>
    <sheetView zoomScale="70" zoomScaleNormal="70" workbookViewId="0">
      <pane ySplit="1" topLeftCell="A2" activePane="bottomLeft" state="frozen"/>
      <selection pane="bottomLeft" activeCell="Q123" sqref="Q123"/>
    </sheetView>
  </sheetViews>
  <sheetFormatPr defaultRowHeight="13.5" x14ac:dyDescent="0.15"/>
  <cols>
    <col min="1" max="3" width="9" style="149"/>
    <col min="4" max="4" width="10.5" style="149" bestFit="1" customWidth="1"/>
    <col min="5" max="5" width="10.875" style="149" bestFit="1" customWidth="1"/>
    <col min="6" max="6" width="18.875" style="149" bestFit="1" customWidth="1"/>
    <col min="7" max="9" width="9" style="149"/>
    <col min="10" max="10" width="9.25" style="149" customWidth="1"/>
    <col min="11" max="16" width="9" style="149"/>
    <col min="17" max="17" width="9" style="158"/>
    <col min="18" max="19" width="9" style="149"/>
    <col min="20" max="20" width="9" style="158"/>
    <col min="21" max="21" width="9" style="149"/>
    <col min="22" max="22" width="14.25" style="158" customWidth="1"/>
    <col min="23" max="23" width="9" style="149"/>
    <col min="24" max="24" width="9.625" style="149" customWidth="1"/>
    <col min="25" max="26" width="9" style="149"/>
    <col min="27" max="27" width="12.125" style="149" customWidth="1"/>
    <col min="28" max="32" width="9" style="149"/>
    <col min="33" max="33" width="15.125" style="149" bestFit="1" customWidth="1"/>
    <col min="34" max="34" width="19.625" style="149" bestFit="1" customWidth="1"/>
    <col min="35" max="16384" width="9" style="149"/>
  </cols>
  <sheetData>
    <row r="1" spans="1:53" ht="45" x14ac:dyDescent="0.15">
      <c r="A1" s="181" t="s">
        <v>0</v>
      </c>
      <c r="B1" s="143" t="s">
        <v>1</v>
      </c>
      <c r="C1" s="143" t="s">
        <v>289</v>
      </c>
      <c r="D1" s="144" t="s">
        <v>3</v>
      </c>
      <c r="E1" s="182" t="s">
        <v>4</v>
      </c>
      <c r="F1" s="182" t="s">
        <v>5</v>
      </c>
      <c r="G1" s="182" t="s">
        <v>6</v>
      </c>
      <c r="H1" s="182" t="s">
        <v>7</v>
      </c>
      <c r="I1" s="182" t="s">
        <v>8</v>
      </c>
      <c r="J1" s="182" t="s">
        <v>9</v>
      </c>
      <c r="K1" s="182" t="s">
        <v>10</v>
      </c>
      <c r="L1" s="144" t="s">
        <v>159</v>
      </c>
      <c r="M1" s="144" t="s">
        <v>12</v>
      </c>
      <c r="N1" s="144" t="s">
        <v>13</v>
      </c>
      <c r="O1" s="144" t="s">
        <v>290</v>
      </c>
      <c r="P1" s="144" t="s">
        <v>15</v>
      </c>
      <c r="Q1" s="145" t="s">
        <v>16</v>
      </c>
      <c r="R1" s="144" t="s">
        <v>291</v>
      </c>
      <c r="S1" s="144" t="s">
        <v>160</v>
      </c>
      <c r="T1" s="145" t="s">
        <v>19</v>
      </c>
      <c r="U1" s="146" t="s">
        <v>292</v>
      </c>
      <c r="V1" s="147" t="s">
        <v>20</v>
      </c>
      <c r="W1" s="144" t="s">
        <v>21</v>
      </c>
      <c r="X1" s="182" t="s">
        <v>22</v>
      </c>
      <c r="Y1" s="182" t="s">
        <v>23</v>
      </c>
      <c r="Z1" s="182" t="s">
        <v>293</v>
      </c>
      <c r="AA1" s="183" t="s">
        <v>25</v>
      </c>
      <c r="AB1" s="148" t="s">
        <v>26</v>
      </c>
      <c r="AE1" s="150" t="s">
        <v>0</v>
      </c>
      <c r="AF1" s="151"/>
      <c r="AG1" s="190" t="s">
        <v>4</v>
      </c>
      <c r="AH1" s="150" t="s">
        <v>5</v>
      </c>
      <c r="AI1" s="151"/>
      <c r="AJ1" s="150" t="s">
        <v>6</v>
      </c>
      <c r="AK1" s="151"/>
      <c r="AL1" s="152" t="s">
        <v>7</v>
      </c>
      <c r="AM1" s="151"/>
      <c r="AN1" s="152" t="s">
        <v>8</v>
      </c>
      <c r="AO1" s="151"/>
      <c r="AP1" s="152" t="s">
        <v>27</v>
      </c>
      <c r="AQ1" s="151"/>
      <c r="AR1" s="152" t="s">
        <v>10</v>
      </c>
      <c r="AS1" s="151"/>
      <c r="AT1" s="153" t="s">
        <v>28</v>
      </c>
      <c r="AU1" s="151"/>
      <c r="AV1" s="152" t="s">
        <v>29</v>
      </c>
      <c r="AX1" s="154" t="s">
        <v>30</v>
      </c>
      <c r="AY1" s="155" t="s">
        <v>31</v>
      </c>
      <c r="AZ1" s="155" t="s">
        <v>32</v>
      </c>
      <c r="BA1" s="156" t="s">
        <v>161</v>
      </c>
    </row>
    <row r="2" spans="1:53" s="157" customFormat="1" x14ac:dyDescent="0.15">
      <c r="A2" s="157" t="s">
        <v>34</v>
      </c>
      <c r="B2" s="149" t="s">
        <v>313</v>
      </c>
      <c r="C2" s="149">
        <v>2018</v>
      </c>
      <c r="D2" s="191" t="s">
        <v>433</v>
      </c>
      <c r="E2" s="178" t="s">
        <v>258</v>
      </c>
      <c r="F2" s="178" t="s">
        <v>308</v>
      </c>
      <c r="G2" s="157" t="s">
        <v>36</v>
      </c>
      <c r="H2" s="149" t="s">
        <v>157</v>
      </c>
      <c r="I2" s="157" t="s">
        <v>155</v>
      </c>
      <c r="J2" s="157" t="s">
        <v>38</v>
      </c>
      <c r="K2" s="157" t="s">
        <v>156</v>
      </c>
      <c r="L2" s="157">
        <v>1</v>
      </c>
      <c r="N2" s="157">
        <v>1</v>
      </c>
      <c r="O2" s="157">
        <v>0.2</v>
      </c>
      <c r="P2" s="157">
        <v>0.2</v>
      </c>
      <c r="Q2" s="186">
        <f t="shared" ref="Q2:Q82" si="0">IF(OR(O2="",P2=""),"",AVERAGE(O2,P2))</f>
        <v>0.2</v>
      </c>
      <c r="R2" s="157">
        <v>14.3</v>
      </c>
      <c r="S2" s="157">
        <v>130</v>
      </c>
      <c r="T2" s="158">
        <f t="shared" ref="T2:T82" si="1">IF(H2="","",IF(OR(H2="GREEN",H2="GK"),IF(S2&gt;=$AX$2,VLOOKUP(S2,$AX$2:$AY$9,2,1),""),IF(S2&gt;=$AZ$2,VLOOKUP(S2,$AZ$2:$BA$9,2,1),"")))</f>
        <v>30</v>
      </c>
      <c r="U2" s="157">
        <v>116</v>
      </c>
      <c r="V2" s="158">
        <f t="shared" ref="V2:V83" si="2">IF(OR(N2="",U2="",T2=""),"",U2/N2*T2)</f>
        <v>3480</v>
      </c>
      <c r="W2" s="157">
        <v>3</v>
      </c>
      <c r="X2" s="157" t="s">
        <v>46</v>
      </c>
      <c r="Y2" s="157" t="s">
        <v>55</v>
      </c>
      <c r="Z2" s="157" t="s">
        <v>69</v>
      </c>
      <c r="AA2" s="157" t="s">
        <v>47</v>
      </c>
      <c r="AB2" s="157" t="s">
        <v>315</v>
      </c>
      <c r="AE2" s="159" t="s">
        <v>35</v>
      </c>
      <c r="AG2" s="192" t="s">
        <v>257</v>
      </c>
      <c r="AH2" s="184" t="s">
        <v>294</v>
      </c>
      <c r="AJ2" s="160" t="s">
        <v>36</v>
      </c>
      <c r="AL2" s="160" t="s">
        <v>127</v>
      </c>
      <c r="AN2" s="160" t="s">
        <v>37</v>
      </c>
      <c r="AP2" s="160" t="s">
        <v>38</v>
      </c>
      <c r="AR2" s="160" t="s">
        <v>120</v>
      </c>
      <c r="AT2" s="160" t="s">
        <v>39</v>
      </c>
      <c r="AV2" s="189" t="s">
        <v>40</v>
      </c>
      <c r="AX2" s="161">
        <v>1</v>
      </c>
      <c r="AY2" s="162">
        <v>50</v>
      </c>
      <c r="AZ2" s="162">
        <v>1</v>
      </c>
      <c r="BA2" s="163">
        <v>50</v>
      </c>
    </row>
    <row r="3" spans="1:53" x14ac:dyDescent="0.15">
      <c r="A3" s="157" t="s">
        <v>34</v>
      </c>
      <c r="B3" s="149" t="s">
        <v>313</v>
      </c>
      <c r="C3" s="149">
        <v>2018</v>
      </c>
      <c r="D3" s="191" t="s">
        <v>433</v>
      </c>
      <c r="E3" s="178" t="s">
        <v>258</v>
      </c>
      <c r="F3" s="178" t="s">
        <v>308</v>
      </c>
      <c r="G3" s="157" t="s">
        <v>36</v>
      </c>
      <c r="H3" s="149" t="s">
        <v>157</v>
      </c>
      <c r="I3" s="157" t="s">
        <v>155</v>
      </c>
      <c r="J3" s="157" t="s">
        <v>38</v>
      </c>
      <c r="K3" s="157" t="s">
        <v>156</v>
      </c>
      <c r="L3" s="149">
        <v>2</v>
      </c>
      <c r="N3" s="149">
        <v>1</v>
      </c>
      <c r="O3" s="149">
        <v>0.2</v>
      </c>
      <c r="P3" s="149">
        <v>0.2</v>
      </c>
      <c r="Q3" s="186">
        <f t="shared" si="0"/>
        <v>0.2</v>
      </c>
      <c r="R3" s="149">
        <v>13.9</v>
      </c>
      <c r="S3" s="149">
        <v>129</v>
      </c>
      <c r="T3" s="158">
        <f t="shared" si="1"/>
        <v>30</v>
      </c>
      <c r="U3" s="149">
        <v>116</v>
      </c>
      <c r="V3" s="158">
        <f t="shared" si="2"/>
        <v>3480</v>
      </c>
      <c r="W3" s="157">
        <v>3</v>
      </c>
      <c r="X3" s="157" t="s">
        <v>46</v>
      </c>
      <c r="Y3" s="157" t="s">
        <v>55</v>
      </c>
      <c r="Z3" s="157" t="s">
        <v>69</v>
      </c>
      <c r="AA3" s="157" t="s">
        <v>47</v>
      </c>
      <c r="AB3" s="157" t="s">
        <v>315</v>
      </c>
      <c r="AC3" s="157"/>
      <c r="AE3" s="164" t="s">
        <v>41</v>
      </c>
      <c r="AG3" s="193" t="s">
        <v>295</v>
      </c>
      <c r="AH3" s="184" t="s">
        <v>296</v>
      </c>
      <c r="AJ3" s="165" t="s">
        <v>42</v>
      </c>
      <c r="AL3" s="165" t="s">
        <v>128</v>
      </c>
      <c r="AN3" s="165" t="s">
        <v>43</v>
      </c>
      <c r="AP3" s="165" t="s">
        <v>44</v>
      </c>
      <c r="AR3" s="179" t="s">
        <v>45</v>
      </c>
      <c r="AT3" s="165" t="s">
        <v>46</v>
      </c>
      <c r="AV3" s="165" t="s">
        <v>47</v>
      </c>
      <c r="AX3" s="166">
        <v>72</v>
      </c>
      <c r="AY3" s="167">
        <v>46</v>
      </c>
      <c r="AZ3" s="167">
        <v>71</v>
      </c>
      <c r="BA3" s="168">
        <v>42</v>
      </c>
    </row>
    <row r="4" spans="1:53" x14ac:dyDescent="0.15">
      <c r="A4" s="157" t="s">
        <v>34</v>
      </c>
      <c r="B4" s="149" t="s">
        <v>313</v>
      </c>
      <c r="C4" s="149">
        <v>2018</v>
      </c>
      <c r="D4" s="191" t="s">
        <v>433</v>
      </c>
      <c r="E4" s="178" t="s">
        <v>258</v>
      </c>
      <c r="F4" s="178" t="s">
        <v>308</v>
      </c>
      <c r="G4" s="157" t="s">
        <v>36</v>
      </c>
      <c r="H4" s="149" t="s">
        <v>157</v>
      </c>
      <c r="I4" s="157" t="s">
        <v>155</v>
      </c>
      <c r="J4" s="157" t="s">
        <v>38</v>
      </c>
      <c r="K4" s="157" t="s">
        <v>156</v>
      </c>
      <c r="L4" s="149">
        <v>3</v>
      </c>
      <c r="N4" s="149">
        <v>1</v>
      </c>
      <c r="O4" s="149">
        <v>0.2</v>
      </c>
      <c r="P4" s="149">
        <v>0.2</v>
      </c>
      <c r="Q4" s="186">
        <f t="shared" si="0"/>
        <v>0.2</v>
      </c>
      <c r="R4" s="149">
        <v>14.5</v>
      </c>
      <c r="S4" s="149">
        <v>135</v>
      </c>
      <c r="T4" s="158">
        <f t="shared" si="1"/>
        <v>30</v>
      </c>
      <c r="U4" s="149">
        <v>116</v>
      </c>
      <c r="V4" s="158">
        <f t="shared" si="2"/>
        <v>3480</v>
      </c>
      <c r="W4" s="149">
        <v>3</v>
      </c>
      <c r="X4" s="157" t="s">
        <v>46</v>
      </c>
      <c r="Y4" s="157" t="s">
        <v>55</v>
      </c>
      <c r="Z4" s="157" t="s">
        <v>69</v>
      </c>
      <c r="AA4" s="157" t="s">
        <v>47</v>
      </c>
      <c r="AB4" s="157" t="s">
        <v>315</v>
      </c>
      <c r="AC4" s="157"/>
      <c r="AE4" s="164" t="s">
        <v>34</v>
      </c>
      <c r="AG4" s="193" t="s">
        <v>297</v>
      </c>
      <c r="AH4" s="184" t="s">
        <v>298</v>
      </c>
      <c r="AJ4" s="169" t="s">
        <v>48</v>
      </c>
      <c r="AL4" s="169" t="s">
        <v>129</v>
      </c>
      <c r="AN4" s="170" t="s">
        <v>49</v>
      </c>
      <c r="AP4" s="165" t="s">
        <v>93</v>
      </c>
      <c r="AR4" s="179" t="s">
        <v>299</v>
      </c>
      <c r="AT4" s="170"/>
      <c r="AV4" s="165" t="s">
        <v>50</v>
      </c>
      <c r="AX4" s="166">
        <v>75</v>
      </c>
      <c r="AY4" s="167">
        <v>42</v>
      </c>
      <c r="AZ4" s="167">
        <v>76</v>
      </c>
      <c r="BA4" s="168">
        <v>39</v>
      </c>
    </row>
    <row r="5" spans="1:53" x14ac:dyDescent="0.15">
      <c r="A5" s="157" t="s">
        <v>34</v>
      </c>
      <c r="B5" s="149" t="s">
        <v>313</v>
      </c>
      <c r="C5" s="149">
        <v>2018</v>
      </c>
      <c r="D5" s="191" t="s">
        <v>433</v>
      </c>
      <c r="E5" s="178" t="s">
        <v>258</v>
      </c>
      <c r="F5" s="178" t="s">
        <v>308</v>
      </c>
      <c r="G5" s="157" t="s">
        <v>36</v>
      </c>
      <c r="H5" s="149" t="s">
        <v>157</v>
      </c>
      <c r="I5" s="157" t="s">
        <v>155</v>
      </c>
      <c r="J5" s="157" t="s">
        <v>38</v>
      </c>
      <c r="K5" s="157" t="s">
        <v>156</v>
      </c>
      <c r="L5" s="157">
        <v>1</v>
      </c>
      <c r="N5" s="149">
        <v>4</v>
      </c>
      <c r="O5" s="149">
        <v>0.55000000000000004</v>
      </c>
      <c r="P5" s="149">
        <v>0.5</v>
      </c>
      <c r="Q5" s="186">
        <f t="shared" si="0"/>
        <v>0.52500000000000002</v>
      </c>
      <c r="R5" s="149">
        <v>11.1</v>
      </c>
      <c r="S5" s="149">
        <v>104</v>
      </c>
      <c r="T5" s="158">
        <f t="shared" si="1"/>
        <v>33</v>
      </c>
      <c r="U5" s="149">
        <v>429</v>
      </c>
      <c r="V5" s="158">
        <f t="shared" si="2"/>
        <v>3539.25</v>
      </c>
      <c r="W5" s="149">
        <v>3</v>
      </c>
      <c r="X5" s="157" t="s">
        <v>46</v>
      </c>
      <c r="Y5" s="157" t="s">
        <v>55</v>
      </c>
      <c r="Z5" s="157" t="s">
        <v>69</v>
      </c>
      <c r="AA5" s="157" t="s">
        <v>47</v>
      </c>
      <c r="AB5" s="157" t="s">
        <v>315</v>
      </c>
      <c r="AE5" s="164" t="s">
        <v>51</v>
      </c>
      <c r="AG5" s="193" t="s">
        <v>300</v>
      </c>
      <c r="AH5" s="184" t="s">
        <v>301</v>
      </c>
      <c r="AJ5" s="170"/>
      <c r="AL5" s="171" t="s">
        <v>171</v>
      </c>
      <c r="AN5" s="171" t="s">
        <v>52</v>
      </c>
      <c r="AP5" s="165" t="s">
        <v>119</v>
      </c>
      <c r="AR5" s="179" t="s">
        <v>54</v>
      </c>
      <c r="AV5" s="165" t="s">
        <v>55</v>
      </c>
      <c r="AX5" s="166">
        <v>84</v>
      </c>
      <c r="AY5" s="167">
        <v>39</v>
      </c>
      <c r="AZ5" s="167">
        <v>84</v>
      </c>
      <c r="BA5" s="168">
        <v>36</v>
      </c>
    </row>
    <row r="6" spans="1:53" x14ac:dyDescent="0.15">
      <c r="A6" s="157" t="s">
        <v>34</v>
      </c>
      <c r="B6" s="149" t="s">
        <v>313</v>
      </c>
      <c r="C6" s="149">
        <v>2018</v>
      </c>
      <c r="D6" s="191" t="s">
        <v>433</v>
      </c>
      <c r="E6" s="178" t="s">
        <v>258</v>
      </c>
      <c r="F6" s="178" t="s">
        <v>308</v>
      </c>
      <c r="G6" s="157" t="s">
        <v>36</v>
      </c>
      <c r="H6" s="149" t="s">
        <v>157</v>
      </c>
      <c r="I6" s="157" t="s">
        <v>155</v>
      </c>
      <c r="J6" s="157" t="s">
        <v>38</v>
      </c>
      <c r="K6" s="157" t="s">
        <v>156</v>
      </c>
      <c r="L6" s="149">
        <v>2</v>
      </c>
      <c r="N6" s="149">
        <v>4</v>
      </c>
      <c r="O6" s="149">
        <v>0.75</v>
      </c>
      <c r="P6" s="149">
        <v>0.75</v>
      </c>
      <c r="Q6" s="186">
        <f t="shared" si="0"/>
        <v>0.75</v>
      </c>
      <c r="R6" s="149">
        <v>14.4</v>
      </c>
      <c r="S6" s="149">
        <v>99</v>
      </c>
      <c r="T6" s="158">
        <f t="shared" si="1"/>
        <v>33</v>
      </c>
      <c r="U6" s="149">
        <v>429</v>
      </c>
      <c r="V6" s="158">
        <f t="shared" si="2"/>
        <v>3539.25</v>
      </c>
      <c r="W6" s="149">
        <v>3</v>
      </c>
      <c r="X6" s="157" t="s">
        <v>46</v>
      </c>
      <c r="Y6" s="157" t="s">
        <v>55</v>
      </c>
      <c r="Z6" s="157" t="s">
        <v>69</v>
      </c>
      <c r="AA6" s="157" t="s">
        <v>47</v>
      </c>
      <c r="AB6" s="157" t="s">
        <v>315</v>
      </c>
      <c r="AE6" s="164" t="s">
        <v>56</v>
      </c>
      <c r="AG6" s="193" t="s">
        <v>302</v>
      </c>
      <c r="AH6" s="184" t="s">
        <v>303</v>
      </c>
      <c r="AL6" s="171" t="s">
        <v>304</v>
      </c>
      <c r="AN6" s="171" t="s">
        <v>57</v>
      </c>
      <c r="AP6" s="165" t="s">
        <v>53</v>
      </c>
      <c r="AR6" s="179" t="s">
        <v>59</v>
      </c>
      <c r="AV6" s="165" t="s">
        <v>60</v>
      </c>
      <c r="AX6" s="166">
        <v>97</v>
      </c>
      <c r="AY6" s="167">
        <v>36</v>
      </c>
      <c r="AZ6" s="167">
        <v>99</v>
      </c>
      <c r="BA6" s="168">
        <v>33</v>
      </c>
    </row>
    <row r="7" spans="1:53" x14ac:dyDescent="0.15">
      <c r="A7" s="157" t="s">
        <v>34</v>
      </c>
      <c r="B7" s="149" t="s">
        <v>313</v>
      </c>
      <c r="C7" s="149">
        <v>2018</v>
      </c>
      <c r="D7" s="191" t="s">
        <v>433</v>
      </c>
      <c r="E7" s="178" t="s">
        <v>258</v>
      </c>
      <c r="F7" s="178" t="s">
        <v>308</v>
      </c>
      <c r="G7" s="157" t="s">
        <v>36</v>
      </c>
      <c r="H7" s="149" t="s">
        <v>157</v>
      </c>
      <c r="I7" s="157" t="s">
        <v>155</v>
      </c>
      <c r="J7" s="157" t="s">
        <v>38</v>
      </c>
      <c r="K7" s="157" t="s">
        <v>156</v>
      </c>
      <c r="L7" s="149">
        <v>3</v>
      </c>
      <c r="N7" s="149">
        <v>4</v>
      </c>
      <c r="O7" s="149">
        <v>0.65</v>
      </c>
      <c r="P7" s="149">
        <v>0.95</v>
      </c>
      <c r="Q7" s="186">
        <f t="shared" si="0"/>
        <v>0.8</v>
      </c>
      <c r="R7" s="149">
        <v>11.7</v>
      </c>
      <c r="S7" s="149">
        <v>101</v>
      </c>
      <c r="T7" s="158">
        <f t="shared" si="1"/>
        <v>33</v>
      </c>
      <c r="U7" s="149">
        <v>429</v>
      </c>
      <c r="V7" s="158">
        <f t="shared" si="2"/>
        <v>3539.25</v>
      </c>
      <c r="W7" s="149">
        <v>3</v>
      </c>
      <c r="X7" s="157" t="s">
        <v>46</v>
      </c>
      <c r="Y7" s="157" t="s">
        <v>55</v>
      </c>
      <c r="Z7" s="157" t="s">
        <v>69</v>
      </c>
      <c r="AA7" s="157" t="s">
        <v>47</v>
      </c>
      <c r="AB7" s="157" t="s">
        <v>315</v>
      </c>
      <c r="AE7" s="164" t="s">
        <v>61</v>
      </c>
      <c r="AG7" s="193" t="s">
        <v>205</v>
      </c>
      <c r="AH7" s="184" t="s">
        <v>305</v>
      </c>
      <c r="AL7" s="176" t="s">
        <v>241</v>
      </c>
      <c r="AP7" s="165" t="s">
        <v>58</v>
      </c>
      <c r="AR7" s="172" t="s">
        <v>122</v>
      </c>
      <c r="AV7" s="165" t="s">
        <v>64</v>
      </c>
      <c r="AX7" s="166">
        <v>109</v>
      </c>
      <c r="AY7" s="167">
        <v>33</v>
      </c>
      <c r="AZ7" s="167">
        <v>113</v>
      </c>
      <c r="BA7" s="168">
        <v>30</v>
      </c>
    </row>
    <row r="8" spans="1:53" x14ac:dyDescent="0.15">
      <c r="A8" s="157" t="s">
        <v>34</v>
      </c>
      <c r="B8" s="149" t="s">
        <v>313</v>
      </c>
      <c r="C8" s="149">
        <v>2018</v>
      </c>
      <c r="D8" s="191" t="s">
        <v>433</v>
      </c>
      <c r="E8" s="178" t="s">
        <v>258</v>
      </c>
      <c r="F8" s="178" t="s">
        <v>308</v>
      </c>
      <c r="G8" s="157" t="s">
        <v>36</v>
      </c>
      <c r="H8" s="149" t="s">
        <v>211</v>
      </c>
      <c r="I8" s="157" t="s">
        <v>155</v>
      </c>
      <c r="J8" s="157" t="s">
        <v>38</v>
      </c>
      <c r="K8" s="157" t="s">
        <v>156</v>
      </c>
      <c r="L8" s="157">
        <v>1</v>
      </c>
      <c r="N8" s="149">
        <v>5</v>
      </c>
      <c r="O8" s="149">
        <v>0.45</v>
      </c>
      <c r="P8" s="149">
        <v>0.5</v>
      </c>
      <c r="Q8" s="186">
        <f t="shared" si="0"/>
        <v>0.47499999999999998</v>
      </c>
      <c r="R8" s="149">
        <v>14</v>
      </c>
      <c r="S8" s="149">
        <v>76</v>
      </c>
      <c r="T8" s="158">
        <f t="shared" si="1"/>
        <v>39</v>
      </c>
      <c r="U8" s="149">
        <v>429</v>
      </c>
      <c r="V8" s="158">
        <f t="shared" si="2"/>
        <v>3346.2</v>
      </c>
      <c r="W8" s="149">
        <v>2</v>
      </c>
      <c r="X8" s="157" t="s">
        <v>46</v>
      </c>
      <c r="Y8" s="157" t="s">
        <v>55</v>
      </c>
      <c r="Z8" s="157" t="s">
        <v>69</v>
      </c>
      <c r="AA8" s="157" t="s">
        <v>47</v>
      </c>
      <c r="AB8" s="157" t="s">
        <v>315</v>
      </c>
      <c r="AE8" s="164" t="s">
        <v>59</v>
      </c>
      <c r="AG8" s="193" t="s">
        <v>306</v>
      </c>
      <c r="AH8" s="184" t="s">
        <v>307</v>
      </c>
      <c r="AL8" s="176" t="s">
        <v>341</v>
      </c>
      <c r="AP8" s="165" t="s">
        <v>62</v>
      </c>
      <c r="AR8" s="179" t="s">
        <v>81</v>
      </c>
      <c r="AV8" s="165" t="s">
        <v>97</v>
      </c>
      <c r="AX8" s="166">
        <v>151</v>
      </c>
      <c r="AY8" s="167">
        <v>22</v>
      </c>
      <c r="AZ8" s="167">
        <v>152</v>
      </c>
      <c r="BA8" s="168">
        <v>18</v>
      </c>
    </row>
    <row r="9" spans="1:53" x14ac:dyDescent="0.15">
      <c r="A9" s="157" t="s">
        <v>34</v>
      </c>
      <c r="B9" s="149" t="s">
        <v>313</v>
      </c>
      <c r="C9" s="149">
        <v>2018</v>
      </c>
      <c r="D9" s="191" t="s">
        <v>433</v>
      </c>
      <c r="E9" s="178" t="s">
        <v>258</v>
      </c>
      <c r="F9" s="178" t="s">
        <v>308</v>
      </c>
      <c r="G9" s="157" t="s">
        <v>36</v>
      </c>
      <c r="H9" s="149" t="s">
        <v>211</v>
      </c>
      <c r="I9" s="157" t="s">
        <v>155</v>
      </c>
      <c r="J9" s="157" t="s">
        <v>38</v>
      </c>
      <c r="K9" s="157" t="s">
        <v>156</v>
      </c>
      <c r="L9" s="149">
        <v>2</v>
      </c>
      <c r="N9" s="149">
        <v>5</v>
      </c>
      <c r="O9" s="149">
        <v>0.2</v>
      </c>
      <c r="P9" s="149">
        <v>0.5</v>
      </c>
      <c r="Q9" s="186">
        <f t="shared" si="0"/>
        <v>0.35</v>
      </c>
      <c r="R9" s="149">
        <v>16.100000000000001</v>
      </c>
      <c r="S9" s="149">
        <v>72</v>
      </c>
      <c r="T9" s="158">
        <f t="shared" si="1"/>
        <v>42</v>
      </c>
      <c r="U9" s="149">
        <v>429</v>
      </c>
      <c r="V9" s="158">
        <f t="shared" si="2"/>
        <v>3603.6</v>
      </c>
      <c r="W9" s="149">
        <v>2</v>
      </c>
      <c r="X9" s="157" t="s">
        <v>46</v>
      </c>
      <c r="Y9" s="157" t="s">
        <v>55</v>
      </c>
      <c r="Z9" s="157" t="s">
        <v>69</v>
      </c>
      <c r="AA9" s="157" t="s">
        <v>47</v>
      </c>
      <c r="AB9" s="157" t="s">
        <v>315</v>
      </c>
      <c r="AE9" s="164" t="s">
        <v>98</v>
      </c>
      <c r="AG9" s="193" t="s">
        <v>258</v>
      </c>
      <c r="AH9" s="184" t="s">
        <v>308</v>
      </c>
      <c r="AL9" s="171"/>
      <c r="AP9" s="165" t="s">
        <v>95</v>
      </c>
      <c r="AR9" s="172" t="s">
        <v>89</v>
      </c>
      <c r="AV9" s="165" t="s">
        <v>102</v>
      </c>
      <c r="AX9" s="173">
        <v>180</v>
      </c>
      <c r="AY9" s="174">
        <v>18</v>
      </c>
      <c r="AZ9" s="174">
        <v>181</v>
      </c>
      <c r="BA9" s="175">
        <v>16</v>
      </c>
    </row>
    <row r="10" spans="1:53" x14ac:dyDescent="0.15">
      <c r="A10" s="157" t="s">
        <v>34</v>
      </c>
      <c r="B10" s="149" t="s">
        <v>313</v>
      </c>
      <c r="C10" s="149">
        <v>2018</v>
      </c>
      <c r="D10" s="191" t="s">
        <v>433</v>
      </c>
      <c r="E10" s="178" t="s">
        <v>258</v>
      </c>
      <c r="F10" s="178" t="s">
        <v>308</v>
      </c>
      <c r="G10" s="157" t="s">
        <v>36</v>
      </c>
      <c r="H10" s="149" t="s">
        <v>211</v>
      </c>
      <c r="I10" s="157" t="s">
        <v>155</v>
      </c>
      <c r="J10" s="157" t="s">
        <v>38</v>
      </c>
      <c r="K10" s="157" t="s">
        <v>156</v>
      </c>
      <c r="L10" s="149">
        <v>3</v>
      </c>
      <c r="N10" s="149">
        <v>5</v>
      </c>
      <c r="O10" s="149">
        <v>0.7</v>
      </c>
      <c r="P10" s="149">
        <v>0.95</v>
      </c>
      <c r="Q10" s="186">
        <f t="shared" si="0"/>
        <v>0.82499999999999996</v>
      </c>
      <c r="R10" s="149">
        <v>11.5</v>
      </c>
      <c r="S10" s="149">
        <v>80</v>
      </c>
      <c r="T10" s="158">
        <f t="shared" si="1"/>
        <v>39</v>
      </c>
      <c r="U10" s="149">
        <v>429</v>
      </c>
      <c r="V10" s="158">
        <f t="shared" si="2"/>
        <v>3346.2</v>
      </c>
      <c r="W10" s="149">
        <v>2</v>
      </c>
      <c r="X10" s="157" t="s">
        <v>46</v>
      </c>
      <c r="Y10" s="157" t="s">
        <v>55</v>
      </c>
      <c r="Z10" s="157" t="s">
        <v>69</v>
      </c>
      <c r="AA10" s="157" t="s">
        <v>47</v>
      </c>
      <c r="AB10" s="157" t="s">
        <v>315</v>
      </c>
      <c r="AE10" s="164" t="s">
        <v>103</v>
      </c>
      <c r="AG10" s="193" t="s">
        <v>309</v>
      </c>
      <c r="AH10" s="184" t="s">
        <v>310</v>
      </c>
      <c r="AL10" s="176"/>
      <c r="AP10" s="165" t="s">
        <v>100</v>
      </c>
      <c r="AR10" s="172" t="s">
        <v>123</v>
      </c>
      <c r="AV10" s="165" t="s">
        <v>106</v>
      </c>
    </row>
    <row r="11" spans="1:53" x14ac:dyDescent="0.15">
      <c r="A11" s="157" t="s">
        <v>34</v>
      </c>
      <c r="B11" s="149" t="s">
        <v>313</v>
      </c>
      <c r="C11" s="149">
        <v>2018</v>
      </c>
      <c r="D11" s="191" t="s">
        <v>433</v>
      </c>
      <c r="E11" s="178" t="s">
        <v>258</v>
      </c>
      <c r="F11" s="178" t="s">
        <v>308</v>
      </c>
      <c r="G11" s="157" t="s">
        <v>36</v>
      </c>
      <c r="H11" s="149" t="s">
        <v>162</v>
      </c>
      <c r="I11" s="157" t="s">
        <v>155</v>
      </c>
      <c r="J11" s="157" t="s">
        <v>38</v>
      </c>
      <c r="K11" s="157" t="s">
        <v>156</v>
      </c>
      <c r="L11" s="157">
        <v>1</v>
      </c>
      <c r="N11" s="149">
        <v>1</v>
      </c>
      <c r="O11" s="149">
        <v>0.7</v>
      </c>
      <c r="P11" s="149">
        <v>0.6</v>
      </c>
      <c r="Q11" s="186">
        <f t="shared" si="0"/>
        <v>0.64999999999999991</v>
      </c>
      <c r="R11" s="149">
        <v>14.6</v>
      </c>
      <c r="S11" s="149">
        <v>158</v>
      </c>
      <c r="T11" s="158">
        <f t="shared" si="1"/>
        <v>18</v>
      </c>
      <c r="U11" s="149">
        <v>158</v>
      </c>
      <c r="V11" s="158">
        <f t="shared" si="2"/>
        <v>2844</v>
      </c>
      <c r="W11" s="149">
        <v>6</v>
      </c>
      <c r="X11" s="157" t="s">
        <v>46</v>
      </c>
      <c r="Y11" s="157" t="s">
        <v>55</v>
      </c>
      <c r="Z11" s="157" t="s">
        <v>69</v>
      </c>
      <c r="AA11" s="157" t="s">
        <v>47</v>
      </c>
      <c r="AB11" s="157" t="s">
        <v>315</v>
      </c>
      <c r="AE11" s="164" t="s">
        <v>65</v>
      </c>
      <c r="AG11" s="193" t="s">
        <v>165</v>
      </c>
      <c r="AH11" s="184" t="s">
        <v>311</v>
      </c>
      <c r="AL11" s="176"/>
      <c r="AP11" s="165" t="s">
        <v>104</v>
      </c>
      <c r="AR11" s="172" t="s">
        <v>87</v>
      </c>
      <c r="AV11" s="165" t="s">
        <v>69</v>
      </c>
    </row>
    <row r="12" spans="1:53" x14ac:dyDescent="0.15">
      <c r="A12" s="157" t="s">
        <v>34</v>
      </c>
      <c r="B12" s="149" t="s">
        <v>313</v>
      </c>
      <c r="C12" s="149">
        <v>2018</v>
      </c>
      <c r="D12" s="191" t="s">
        <v>433</v>
      </c>
      <c r="E12" s="178" t="s">
        <v>258</v>
      </c>
      <c r="F12" s="178" t="s">
        <v>308</v>
      </c>
      <c r="G12" s="157" t="s">
        <v>36</v>
      </c>
      <c r="H12" s="149" t="s">
        <v>162</v>
      </c>
      <c r="I12" s="157" t="s">
        <v>155</v>
      </c>
      <c r="J12" s="157" t="s">
        <v>38</v>
      </c>
      <c r="K12" s="157" t="s">
        <v>156</v>
      </c>
      <c r="L12" s="149">
        <v>2</v>
      </c>
      <c r="N12" s="149">
        <v>1</v>
      </c>
      <c r="O12" s="149">
        <v>0.65</v>
      </c>
      <c r="P12" s="149">
        <v>0.65</v>
      </c>
      <c r="Q12" s="186">
        <f t="shared" si="0"/>
        <v>0.65</v>
      </c>
      <c r="R12" s="149">
        <v>14.4</v>
      </c>
      <c r="S12" s="149">
        <v>152</v>
      </c>
      <c r="T12" s="158">
        <f t="shared" si="1"/>
        <v>18</v>
      </c>
      <c r="U12" s="149">
        <v>158</v>
      </c>
      <c r="V12" s="158">
        <f t="shared" si="2"/>
        <v>2844</v>
      </c>
      <c r="W12" s="149">
        <v>6</v>
      </c>
      <c r="X12" s="157" t="s">
        <v>46</v>
      </c>
      <c r="Y12" s="157" t="s">
        <v>55</v>
      </c>
      <c r="Z12" s="157" t="s">
        <v>69</v>
      </c>
      <c r="AA12" s="157" t="s">
        <v>47</v>
      </c>
      <c r="AB12" s="157" t="s">
        <v>315</v>
      </c>
      <c r="AE12" s="164" t="s">
        <v>70</v>
      </c>
      <c r="AG12" s="185"/>
      <c r="AH12" s="165"/>
      <c r="AL12" s="176"/>
      <c r="AP12" s="165" t="s">
        <v>67</v>
      </c>
      <c r="AR12" s="172" t="s">
        <v>124</v>
      </c>
      <c r="AV12" s="165" t="s">
        <v>72</v>
      </c>
    </row>
    <row r="13" spans="1:53" x14ac:dyDescent="0.15">
      <c r="A13" s="157" t="s">
        <v>34</v>
      </c>
      <c r="B13" s="149" t="s">
        <v>313</v>
      </c>
      <c r="C13" s="149">
        <v>2018</v>
      </c>
      <c r="D13" s="191" t="s">
        <v>433</v>
      </c>
      <c r="E13" s="178" t="s">
        <v>258</v>
      </c>
      <c r="F13" s="178" t="s">
        <v>308</v>
      </c>
      <c r="G13" s="157" t="s">
        <v>36</v>
      </c>
      <c r="H13" s="149" t="s">
        <v>162</v>
      </c>
      <c r="I13" s="157" t="s">
        <v>155</v>
      </c>
      <c r="J13" s="157" t="s">
        <v>38</v>
      </c>
      <c r="K13" s="157" t="s">
        <v>156</v>
      </c>
      <c r="L13" s="149">
        <v>3</v>
      </c>
      <c r="N13" s="149">
        <v>1</v>
      </c>
      <c r="O13" s="149">
        <v>0.6</v>
      </c>
      <c r="P13" s="149">
        <v>0.65</v>
      </c>
      <c r="Q13" s="186">
        <f t="shared" si="0"/>
        <v>0.625</v>
      </c>
      <c r="R13" s="149">
        <v>16</v>
      </c>
      <c r="S13" s="149">
        <v>157</v>
      </c>
      <c r="T13" s="158">
        <f t="shared" si="1"/>
        <v>18</v>
      </c>
      <c r="U13" s="149">
        <v>158</v>
      </c>
      <c r="V13" s="158">
        <f t="shared" si="2"/>
        <v>2844</v>
      </c>
      <c r="W13" s="149">
        <v>6</v>
      </c>
      <c r="X13" s="157" t="s">
        <v>46</v>
      </c>
      <c r="Y13" s="157" t="s">
        <v>55</v>
      </c>
      <c r="Z13" s="157" t="s">
        <v>69</v>
      </c>
      <c r="AA13" s="157" t="s">
        <v>47</v>
      </c>
      <c r="AB13" s="157" t="s">
        <v>315</v>
      </c>
      <c r="AE13" s="164" t="s">
        <v>73</v>
      </c>
      <c r="AG13" s="194"/>
      <c r="AH13" s="170"/>
      <c r="AP13" s="165" t="s">
        <v>71</v>
      </c>
      <c r="AR13" s="172" t="s">
        <v>103</v>
      </c>
      <c r="AV13" s="165" t="s">
        <v>75</v>
      </c>
    </row>
    <row r="14" spans="1:53" x14ac:dyDescent="0.15">
      <c r="A14" s="157" t="s">
        <v>34</v>
      </c>
      <c r="B14" s="149" t="s">
        <v>313</v>
      </c>
      <c r="C14" s="149">
        <v>2018</v>
      </c>
      <c r="D14" s="191" t="s">
        <v>433</v>
      </c>
      <c r="E14" s="178" t="s">
        <v>309</v>
      </c>
      <c r="F14" s="178" t="s">
        <v>310</v>
      </c>
      <c r="G14" s="157" t="s">
        <v>36</v>
      </c>
      <c r="H14" s="149" t="s">
        <v>157</v>
      </c>
      <c r="I14" s="157" t="s">
        <v>155</v>
      </c>
      <c r="J14" s="157" t="s">
        <v>38</v>
      </c>
      <c r="K14" s="157" t="s">
        <v>156</v>
      </c>
      <c r="L14" s="157">
        <v>1</v>
      </c>
      <c r="N14" s="149">
        <v>4</v>
      </c>
      <c r="O14" s="149">
        <v>0.85</v>
      </c>
      <c r="P14" s="149">
        <v>1</v>
      </c>
      <c r="Q14" s="186">
        <f t="shared" si="0"/>
        <v>0.92500000000000004</v>
      </c>
      <c r="R14" s="149">
        <v>11.6</v>
      </c>
      <c r="S14" s="149">
        <v>128</v>
      </c>
      <c r="T14" s="158">
        <f t="shared" si="1"/>
        <v>30</v>
      </c>
      <c r="U14" s="149">
        <v>399</v>
      </c>
      <c r="V14" s="158">
        <f t="shared" si="2"/>
        <v>2992.5</v>
      </c>
      <c r="W14" s="149">
        <v>1</v>
      </c>
      <c r="X14" s="157" t="s">
        <v>46</v>
      </c>
      <c r="Y14" s="157" t="s">
        <v>69</v>
      </c>
      <c r="Z14" s="157" t="s">
        <v>47</v>
      </c>
      <c r="AA14" s="157" t="s">
        <v>55</v>
      </c>
      <c r="AB14" s="157" t="s">
        <v>315</v>
      </c>
      <c r="AE14" s="164" t="s">
        <v>76</v>
      </c>
      <c r="AG14" s="195"/>
      <c r="AL14" s="188"/>
      <c r="AP14" s="165" t="s">
        <v>74</v>
      </c>
      <c r="AR14" s="172" t="s">
        <v>125</v>
      </c>
      <c r="AV14" s="165" t="s">
        <v>78</v>
      </c>
    </row>
    <row r="15" spans="1:53" x14ac:dyDescent="0.15">
      <c r="A15" s="157" t="s">
        <v>34</v>
      </c>
      <c r="B15" s="149" t="s">
        <v>313</v>
      </c>
      <c r="C15" s="149">
        <v>2018</v>
      </c>
      <c r="D15" s="191" t="s">
        <v>433</v>
      </c>
      <c r="E15" s="178" t="s">
        <v>309</v>
      </c>
      <c r="F15" s="178" t="s">
        <v>310</v>
      </c>
      <c r="G15" s="157" t="s">
        <v>36</v>
      </c>
      <c r="H15" s="149" t="s">
        <v>157</v>
      </c>
      <c r="I15" s="157" t="s">
        <v>155</v>
      </c>
      <c r="J15" s="157" t="s">
        <v>38</v>
      </c>
      <c r="K15" s="157" t="s">
        <v>156</v>
      </c>
      <c r="L15" s="149">
        <v>2</v>
      </c>
      <c r="N15" s="149">
        <v>4</v>
      </c>
      <c r="O15" s="149">
        <v>1.4</v>
      </c>
      <c r="P15" s="149">
        <v>1.4</v>
      </c>
      <c r="Q15" s="186">
        <f t="shared" si="0"/>
        <v>1.4</v>
      </c>
      <c r="R15" s="149">
        <v>13.3</v>
      </c>
      <c r="S15" s="149">
        <v>125</v>
      </c>
      <c r="T15" s="158">
        <f t="shared" si="1"/>
        <v>30</v>
      </c>
      <c r="U15" s="149">
        <v>399</v>
      </c>
      <c r="V15" s="158">
        <f t="shared" si="2"/>
        <v>2992.5</v>
      </c>
      <c r="W15" s="149">
        <v>1</v>
      </c>
      <c r="X15" s="157" t="s">
        <v>46</v>
      </c>
      <c r="Y15" s="157" t="s">
        <v>69</v>
      </c>
      <c r="Z15" s="157" t="s">
        <v>47</v>
      </c>
      <c r="AA15" s="157" t="s">
        <v>55</v>
      </c>
      <c r="AB15" s="157" t="s">
        <v>315</v>
      </c>
      <c r="AE15" s="164" t="s">
        <v>79</v>
      </c>
      <c r="AL15" s="196"/>
      <c r="AP15" s="165" t="s">
        <v>77</v>
      </c>
      <c r="AR15" s="172" t="s">
        <v>94</v>
      </c>
      <c r="AV15" s="165" t="s">
        <v>107</v>
      </c>
    </row>
    <row r="16" spans="1:53" x14ac:dyDescent="0.15">
      <c r="A16" s="157" t="s">
        <v>34</v>
      </c>
      <c r="B16" s="149" t="s">
        <v>313</v>
      </c>
      <c r="C16" s="149">
        <v>2018</v>
      </c>
      <c r="D16" s="191" t="s">
        <v>433</v>
      </c>
      <c r="E16" s="178" t="s">
        <v>309</v>
      </c>
      <c r="F16" s="178" t="s">
        <v>310</v>
      </c>
      <c r="G16" s="157" t="s">
        <v>36</v>
      </c>
      <c r="H16" s="149" t="s">
        <v>157</v>
      </c>
      <c r="I16" s="157" t="s">
        <v>155</v>
      </c>
      <c r="J16" s="157" t="s">
        <v>38</v>
      </c>
      <c r="K16" s="157" t="s">
        <v>156</v>
      </c>
      <c r="L16" s="149">
        <v>3</v>
      </c>
      <c r="N16" s="149">
        <v>4</v>
      </c>
      <c r="O16" s="149">
        <v>1.1000000000000001</v>
      </c>
      <c r="P16" s="149">
        <v>1.1000000000000001</v>
      </c>
      <c r="Q16" s="186">
        <f t="shared" si="0"/>
        <v>1.1000000000000001</v>
      </c>
      <c r="R16" s="149">
        <v>13.9</v>
      </c>
      <c r="S16" s="149">
        <v>131</v>
      </c>
      <c r="T16" s="158">
        <f t="shared" si="1"/>
        <v>30</v>
      </c>
      <c r="U16" s="149">
        <v>399</v>
      </c>
      <c r="V16" s="158">
        <f t="shared" si="2"/>
        <v>2992.5</v>
      </c>
      <c r="W16" s="149">
        <v>1</v>
      </c>
      <c r="X16" s="157" t="s">
        <v>46</v>
      </c>
      <c r="Y16" s="157" t="s">
        <v>69</v>
      </c>
      <c r="Z16" s="157" t="s">
        <v>47</v>
      </c>
      <c r="AA16" s="157" t="s">
        <v>55</v>
      </c>
      <c r="AB16" s="157" t="s">
        <v>315</v>
      </c>
      <c r="AE16" s="164" t="s">
        <v>82</v>
      </c>
      <c r="AL16" s="196"/>
      <c r="AP16" s="165" t="s">
        <v>80</v>
      </c>
      <c r="AR16" s="179" t="s">
        <v>63</v>
      </c>
      <c r="AV16" s="165" t="s">
        <v>84</v>
      </c>
    </row>
    <row r="17" spans="1:48" x14ac:dyDescent="0.15">
      <c r="A17" s="157" t="s">
        <v>34</v>
      </c>
      <c r="B17" s="149" t="s">
        <v>313</v>
      </c>
      <c r="C17" s="149">
        <v>2018</v>
      </c>
      <c r="D17" s="191" t="s">
        <v>433</v>
      </c>
      <c r="E17" s="178" t="s">
        <v>309</v>
      </c>
      <c r="F17" s="178" t="s">
        <v>310</v>
      </c>
      <c r="G17" s="157" t="s">
        <v>36</v>
      </c>
      <c r="H17" s="149" t="s">
        <v>162</v>
      </c>
      <c r="I17" s="157" t="s">
        <v>155</v>
      </c>
      <c r="J17" s="157" t="s">
        <v>38</v>
      </c>
      <c r="K17" s="157" t="s">
        <v>156</v>
      </c>
      <c r="L17" s="157">
        <v>1</v>
      </c>
      <c r="N17" s="149">
        <v>1</v>
      </c>
      <c r="O17" s="149">
        <v>0.6</v>
      </c>
      <c r="P17" s="149">
        <v>0.55000000000000004</v>
      </c>
      <c r="Q17" s="186">
        <f t="shared" si="0"/>
        <v>0.57499999999999996</v>
      </c>
      <c r="R17" s="149">
        <v>14.6</v>
      </c>
      <c r="S17" s="149">
        <v>164</v>
      </c>
      <c r="T17" s="158">
        <f t="shared" si="1"/>
        <v>18</v>
      </c>
      <c r="U17" s="149">
        <v>117</v>
      </c>
      <c r="V17" s="158">
        <f t="shared" si="2"/>
        <v>2106</v>
      </c>
      <c r="W17" s="149">
        <v>3</v>
      </c>
      <c r="X17" s="157" t="s">
        <v>46</v>
      </c>
      <c r="Y17" s="157" t="s">
        <v>69</v>
      </c>
      <c r="Z17" s="157" t="s">
        <v>47</v>
      </c>
      <c r="AA17" s="157" t="s">
        <v>55</v>
      </c>
      <c r="AB17" s="157" t="s">
        <v>315</v>
      </c>
      <c r="AE17" s="164" t="s">
        <v>85</v>
      </c>
      <c r="AL17" s="196"/>
      <c r="AP17" s="180" t="s">
        <v>110</v>
      </c>
      <c r="AR17" s="179" t="s">
        <v>96</v>
      </c>
      <c r="AV17" s="165" t="s">
        <v>86</v>
      </c>
    </row>
    <row r="18" spans="1:48" x14ac:dyDescent="0.15">
      <c r="A18" s="157" t="s">
        <v>34</v>
      </c>
      <c r="B18" s="149" t="s">
        <v>313</v>
      </c>
      <c r="C18" s="149">
        <v>2018</v>
      </c>
      <c r="D18" s="191" t="s">
        <v>433</v>
      </c>
      <c r="E18" s="178" t="s">
        <v>309</v>
      </c>
      <c r="F18" s="178" t="s">
        <v>310</v>
      </c>
      <c r="G18" s="157" t="s">
        <v>36</v>
      </c>
      <c r="H18" s="149" t="s">
        <v>162</v>
      </c>
      <c r="I18" s="157" t="s">
        <v>155</v>
      </c>
      <c r="J18" s="157" t="s">
        <v>38</v>
      </c>
      <c r="K18" s="157" t="s">
        <v>156</v>
      </c>
      <c r="L18" s="149">
        <v>2</v>
      </c>
      <c r="N18" s="149">
        <v>1</v>
      </c>
      <c r="O18" s="149">
        <v>0.2</v>
      </c>
      <c r="P18" s="149">
        <v>0.5</v>
      </c>
      <c r="Q18" s="186">
        <f t="shared" si="0"/>
        <v>0.35</v>
      </c>
      <c r="R18" s="149">
        <v>16.2</v>
      </c>
      <c r="S18" s="149">
        <v>164</v>
      </c>
      <c r="T18" s="158">
        <f t="shared" si="1"/>
        <v>18</v>
      </c>
      <c r="U18" s="149">
        <v>117</v>
      </c>
      <c r="V18" s="158">
        <f t="shared" si="2"/>
        <v>2106</v>
      </c>
      <c r="W18" s="149">
        <v>3</v>
      </c>
      <c r="X18" s="157" t="s">
        <v>46</v>
      </c>
      <c r="Y18" s="157" t="s">
        <v>69</v>
      </c>
      <c r="Z18" s="157" t="s">
        <v>47</v>
      </c>
      <c r="AA18" s="157" t="s">
        <v>55</v>
      </c>
      <c r="AB18" s="157" t="s">
        <v>315</v>
      </c>
      <c r="AE18" s="164" t="s">
        <v>87</v>
      </c>
      <c r="AL18" s="157"/>
      <c r="AP18" s="180" t="s">
        <v>111</v>
      </c>
      <c r="AR18" s="179" t="s">
        <v>101</v>
      </c>
      <c r="AV18" s="165" t="s">
        <v>88</v>
      </c>
    </row>
    <row r="19" spans="1:48" x14ac:dyDescent="0.15">
      <c r="A19" s="157" t="s">
        <v>34</v>
      </c>
      <c r="B19" s="149" t="s">
        <v>313</v>
      </c>
      <c r="C19" s="149">
        <v>2018</v>
      </c>
      <c r="D19" s="191" t="s">
        <v>433</v>
      </c>
      <c r="E19" s="178" t="s">
        <v>309</v>
      </c>
      <c r="F19" s="178" t="s">
        <v>310</v>
      </c>
      <c r="G19" s="157" t="s">
        <v>36</v>
      </c>
      <c r="H19" s="149" t="s">
        <v>162</v>
      </c>
      <c r="I19" s="157" t="s">
        <v>155</v>
      </c>
      <c r="J19" s="157" t="s">
        <v>38</v>
      </c>
      <c r="K19" s="157" t="s">
        <v>156</v>
      </c>
      <c r="L19" s="149">
        <v>3</v>
      </c>
      <c r="N19" s="149">
        <v>1</v>
      </c>
      <c r="O19" s="149">
        <v>0.55000000000000004</v>
      </c>
      <c r="P19" s="149">
        <v>0.5</v>
      </c>
      <c r="Q19" s="186">
        <f t="shared" si="0"/>
        <v>0.52500000000000002</v>
      </c>
      <c r="R19" s="149">
        <v>16</v>
      </c>
      <c r="S19" s="149">
        <v>158</v>
      </c>
      <c r="T19" s="158">
        <f t="shared" si="1"/>
        <v>18</v>
      </c>
      <c r="U19" s="149">
        <v>117</v>
      </c>
      <c r="V19" s="158">
        <f t="shared" si="2"/>
        <v>2106</v>
      </c>
      <c r="W19" s="149">
        <v>3</v>
      </c>
      <c r="X19" s="157" t="s">
        <v>46</v>
      </c>
      <c r="Y19" s="157" t="s">
        <v>69</v>
      </c>
      <c r="Z19" s="157" t="s">
        <v>47</v>
      </c>
      <c r="AA19" s="157" t="s">
        <v>55</v>
      </c>
      <c r="AB19" s="157" t="s">
        <v>315</v>
      </c>
      <c r="AE19" s="177" t="s">
        <v>89</v>
      </c>
      <c r="AP19" s="180" t="s">
        <v>112</v>
      </c>
      <c r="AR19" s="172" t="s">
        <v>126</v>
      </c>
      <c r="AV19" s="165" t="s">
        <v>90</v>
      </c>
    </row>
    <row r="20" spans="1:48" x14ac:dyDescent="0.15">
      <c r="A20" s="157" t="s">
        <v>34</v>
      </c>
      <c r="B20" s="149" t="s">
        <v>313</v>
      </c>
      <c r="C20" s="149">
        <v>2018</v>
      </c>
      <c r="D20" s="191" t="s">
        <v>433</v>
      </c>
      <c r="E20" s="178" t="s">
        <v>306</v>
      </c>
      <c r="F20" s="178" t="s">
        <v>307</v>
      </c>
      <c r="G20" s="157" t="s">
        <v>36</v>
      </c>
      <c r="H20" s="149" t="s">
        <v>162</v>
      </c>
      <c r="I20" s="157" t="s">
        <v>158</v>
      </c>
      <c r="J20" s="157" t="s">
        <v>38</v>
      </c>
      <c r="K20" s="157" t="s">
        <v>156</v>
      </c>
      <c r="L20" s="157">
        <v>1</v>
      </c>
      <c r="N20" s="149">
        <v>1</v>
      </c>
      <c r="O20" s="149">
        <v>0.65</v>
      </c>
      <c r="P20" s="149">
        <v>0.55000000000000004</v>
      </c>
      <c r="Q20" s="186">
        <f t="shared" si="0"/>
        <v>0.60000000000000009</v>
      </c>
      <c r="R20" s="149">
        <v>15.3</v>
      </c>
      <c r="S20" s="149">
        <v>140</v>
      </c>
      <c r="T20" s="158">
        <f t="shared" si="1"/>
        <v>30</v>
      </c>
      <c r="U20" s="149">
        <v>138</v>
      </c>
      <c r="V20" s="158">
        <f t="shared" si="2"/>
        <v>4140</v>
      </c>
      <c r="W20" s="149">
        <v>5</v>
      </c>
      <c r="X20" s="157" t="s">
        <v>46</v>
      </c>
      <c r="Y20" s="157" t="s">
        <v>69</v>
      </c>
      <c r="Z20" s="157" t="s">
        <v>47</v>
      </c>
      <c r="AA20" s="157" t="s">
        <v>55</v>
      </c>
      <c r="AB20" s="157" t="s">
        <v>315</v>
      </c>
      <c r="AP20" s="180" t="s">
        <v>113</v>
      </c>
      <c r="AR20" s="179" t="s">
        <v>105</v>
      </c>
      <c r="AV20" s="169" t="s">
        <v>342</v>
      </c>
    </row>
    <row r="21" spans="1:48" x14ac:dyDescent="0.15">
      <c r="A21" s="157" t="s">
        <v>34</v>
      </c>
      <c r="B21" s="149" t="s">
        <v>313</v>
      </c>
      <c r="C21" s="149">
        <v>2018</v>
      </c>
      <c r="D21" s="191" t="s">
        <v>433</v>
      </c>
      <c r="E21" s="178" t="s">
        <v>306</v>
      </c>
      <c r="F21" s="178" t="s">
        <v>307</v>
      </c>
      <c r="G21" s="157" t="s">
        <v>36</v>
      </c>
      <c r="H21" s="149" t="s">
        <v>162</v>
      </c>
      <c r="I21" s="157" t="s">
        <v>158</v>
      </c>
      <c r="J21" s="157" t="s">
        <v>38</v>
      </c>
      <c r="K21" s="157" t="s">
        <v>156</v>
      </c>
      <c r="L21" s="149">
        <v>2</v>
      </c>
      <c r="N21" s="149">
        <v>1</v>
      </c>
      <c r="O21" s="149">
        <v>0.6</v>
      </c>
      <c r="P21" s="149">
        <v>0.6</v>
      </c>
      <c r="Q21" s="186">
        <f t="shared" si="0"/>
        <v>0.6</v>
      </c>
      <c r="R21" s="149">
        <v>17.899999999999999</v>
      </c>
      <c r="S21" s="149">
        <v>150</v>
      </c>
      <c r="T21" s="158">
        <f t="shared" si="1"/>
        <v>30</v>
      </c>
      <c r="U21" s="149">
        <v>138</v>
      </c>
      <c r="V21" s="158">
        <f t="shared" si="2"/>
        <v>4140</v>
      </c>
      <c r="W21" s="149">
        <v>5</v>
      </c>
      <c r="X21" s="157" t="s">
        <v>46</v>
      </c>
      <c r="Y21" s="157" t="s">
        <v>69</v>
      </c>
      <c r="Z21" s="157" t="s">
        <v>47</v>
      </c>
      <c r="AA21" s="157" t="s">
        <v>55</v>
      </c>
      <c r="AB21" s="157" t="s">
        <v>315</v>
      </c>
      <c r="AP21" s="180" t="s">
        <v>114</v>
      </c>
      <c r="AR21" s="179" t="s">
        <v>68</v>
      </c>
      <c r="AV21" s="169" t="s">
        <v>343</v>
      </c>
    </row>
    <row r="22" spans="1:48" x14ac:dyDescent="0.15">
      <c r="A22" s="157" t="s">
        <v>34</v>
      </c>
      <c r="B22" s="149" t="s">
        <v>313</v>
      </c>
      <c r="C22" s="149">
        <v>2018</v>
      </c>
      <c r="D22" s="191" t="s">
        <v>433</v>
      </c>
      <c r="E22" s="178" t="s">
        <v>306</v>
      </c>
      <c r="F22" s="178" t="s">
        <v>307</v>
      </c>
      <c r="G22" s="157" t="s">
        <v>36</v>
      </c>
      <c r="H22" s="149" t="s">
        <v>162</v>
      </c>
      <c r="I22" s="157" t="s">
        <v>158</v>
      </c>
      <c r="J22" s="157" t="s">
        <v>38</v>
      </c>
      <c r="K22" s="157" t="s">
        <v>156</v>
      </c>
      <c r="L22" s="149">
        <v>3</v>
      </c>
      <c r="N22" s="149">
        <v>1</v>
      </c>
      <c r="O22" s="149">
        <v>0.45</v>
      </c>
      <c r="P22" s="149">
        <v>0.55000000000000004</v>
      </c>
      <c r="Q22" s="186">
        <f t="shared" si="0"/>
        <v>0.5</v>
      </c>
      <c r="R22" s="149">
        <v>17.100000000000001</v>
      </c>
      <c r="S22" s="149">
        <v>148</v>
      </c>
      <c r="T22" s="158">
        <f t="shared" si="1"/>
        <v>30</v>
      </c>
      <c r="U22" s="149">
        <v>138</v>
      </c>
      <c r="V22" s="158">
        <f t="shared" si="2"/>
        <v>4140</v>
      </c>
      <c r="W22" s="149">
        <v>5</v>
      </c>
      <c r="X22" s="157" t="s">
        <v>46</v>
      </c>
      <c r="Y22" s="157" t="s">
        <v>69</v>
      </c>
      <c r="Z22" s="157" t="s">
        <v>47</v>
      </c>
      <c r="AA22" s="157" t="s">
        <v>55</v>
      </c>
      <c r="AB22" s="157" t="s">
        <v>315</v>
      </c>
      <c r="AP22" s="180" t="s">
        <v>115</v>
      </c>
      <c r="AR22" s="179" t="s">
        <v>83</v>
      </c>
      <c r="AV22" s="169"/>
    </row>
    <row r="23" spans="1:48" x14ac:dyDescent="0.15">
      <c r="A23" s="157" t="s">
        <v>34</v>
      </c>
      <c r="B23" s="149" t="s">
        <v>313</v>
      </c>
      <c r="C23" s="149">
        <v>2018</v>
      </c>
      <c r="D23" s="191" t="s">
        <v>433</v>
      </c>
      <c r="E23" s="178" t="s">
        <v>165</v>
      </c>
      <c r="F23" s="178" t="s">
        <v>311</v>
      </c>
      <c r="G23" s="157" t="s">
        <v>36</v>
      </c>
      <c r="H23" s="149" t="s">
        <v>157</v>
      </c>
      <c r="I23" s="157" t="s">
        <v>155</v>
      </c>
      <c r="J23" s="157" t="s">
        <v>38</v>
      </c>
      <c r="K23" s="157" t="s">
        <v>156</v>
      </c>
      <c r="L23" s="157">
        <v>1</v>
      </c>
      <c r="N23" s="149">
        <v>1</v>
      </c>
      <c r="O23" s="149">
        <v>0.2</v>
      </c>
      <c r="P23" s="149">
        <v>0.45</v>
      </c>
      <c r="Q23" s="186">
        <f t="shared" si="0"/>
        <v>0.32500000000000001</v>
      </c>
      <c r="R23" s="149">
        <v>15.5</v>
      </c>
      <c r="S23" s="149">
        <v>135</v>
      </c>
      <c r="T23" s="158">
        <f t="shared" si="1"/>
        <v>30</v>
      </c>
      <c r="U23" s="149">
        <v>137</v>
      </c>
      <c r="V23" s="158">
        <f t="shared" si="2"/>
        <v>4110</v>
      </c>
      <c r="W23" s="149">
        <v>6</v>
      </c>
      <c r="X23" s="157" t="s">
        <v>46</v>
      </c>
      <c r="Y23" s="157" t="s">
        <v>55</v>
      </c>
      <c r="Z23" s="157" t="s">
        <v>69</v>
      </c>
      <c r="AA23" s="157" t="s">
        <v>47</v>
      </c>
      <c r="AB23" s="157" t="s">
        <v>315</v>
      </c>
      <c r="AP23" s="180" t="s">
        <v>117</v>
      </c>
      <c r="AR23" s="179" t="s">
        <v>259</v>
      </c>
    </row>
    <row r="24" spans="1:48" x14ac:dyDescent="0.15">
      <c r="A24" s="157" t="s">
        <v>34</v>
      </c>
      <c r="B24" s="149" t="s">
        <v>313</v>
      </c>
      <c r="C24" s="149">
        <v>2018</v>
      </c>
      <c r="D24" s="191" t="s">
        <v>433</v>
      </c>
      <c r="E24" s="178" t="s">
        <v>165</v>
      </c>
      <c r="F24" s="178" t="s">
        <v>311</v>
      </c>
      <c r="G24" s="157" t="s">
        <v>36</v>
      </c>
      <c r="H24" s="149" t="s">
        <v>157</v>
      </c>
      <c r="I24" s="157" t="s">
        <v>155</v>
      </c>
      <c r="J24" s="157" t="s">
        <v>38</v>
      </c>
      <c r="K24" s="157" t="s">
        <v>156</v>
      </c>
      <c r="L24" s="149">
        <v>2</v>
      </c>
      <c r="N24" s="149">
        <v>1</v>
      </c>
      <c r="O24" s="149">
        <v>0.55000000000000004</v>
      </c>
      <c r="P24" s="149">
        <v>0.6</v>
      </c>
      <c r="Q24" s="186">
        <f t="shared" si="0"/>
        <v>0.57499999999999996</v>
      </c>
      <c r="R24" s="149">
        <v>14.1</v>
      </c>
      <c r="S24" s="149">
        <v>139</v>
      </c>
      <c r="T24" s="158">
        <f t="shared" si="1"/>
        <v>30</v>
      </c>
      <c r="U24" s="149">
        <v>137</v>
      </c>
      <c r="V24" s="158">
        <f t="shared" si="2"/>
        <v>4110</v>
      </c>
      <c r="W24" s="149">
        <v>6</v>
      </c>
      <c r="X24" s="157" t="s">
        <v>46</v>
      </c>
      <c r="Y24" s="157" t="s">
        <v>55</v>
      </c>
      <c r="Z24" s="157" t="s">
        <v>69</v>
      </c>
      <c r="AA24" s="157" t="s">
        <v>47</v>
      </c>
      <c r="AB24" s="157" t="s">
        <v>315</v>
      </c>
      <c r="AP24" s="180" t="s">
        <v>118</v>
      </c>
    </row>
    <row r="25" spans="1:48" x14ac:dyDescent="0.15">
      <c r="A25" s="157" t="s">
        <v>34</v>
      </c>
      <c r="B25" s="149" t="s">
        <v>313</v>
      </c>
      <c r="C25" s="149">
        <v>2018</v>
      </c>
      <c r="D25" s="191" t="s">
        <v>433</v>
      </c>
      <c r="E25" s="178" t="s">
        <v>165</v>
      </c>
      <c r="F25" s="178" t="s">
        <v>311</v>
      </c>
      <c r="G25" s="157" t="s">
        <v>36</v>
      </c>
      <c r="H25" s="149" t="s">
        <v>157</v>
      </c>
      <c r="I25" s="157" t="s">
        <v>155</v>
      </c>
      <c r="J25" s="157" t="s">
        <v>38</v>
      </c>
      <c r="K25" s="157" t="s">
        <v>156</v>
      </c>
      <c r="L25" s="149">
        <v>3</v>
      </c>
      <c r="N25" s="149">
        <v>1</v>
      </c>
      <c r="O25" s="149">
        <v>0.5</v>
      </c>
      <c r="P25" s="149">
        <v>0.6</v>
      </c>
      <c r="Q25" s="186">
        <f t="shared" si="0"/>
        <v>0.55000000000000004</v>
      </c>
      <c r="R25" s="149">
        <v>14.7</v>
      </c>
      <c r="S25" s="149">
        <v>137</v>
      </c>
      <c r="T25" s="158">
        <f t="shared" si="1"/>
        <v>30</v>
      </c>
      <c r="U25" s="149">
        <v>137</v>
      </c>
      <c r="V25" s="158">
        <f t="shared" si="2"/>
        <v>4110</v>
      </c>
      <c r="W25" s="149">
        <v>6</v>
      </c>
      <c r="X25" s="157" t="s">
        <v>46</v>
      </c>
      <c r="Y25" s="157" t="s">
        <v>55</v>
      </c>
      <c r="Z25" s="157" t="s">
        <v>69</v>
      </c>
      <c r="AA25" s="157" t="s">
        <v>47</v>
      </c>
      <c r="AB25" s="157" t="s">
        <v>315</v>
      </c>
    </row>
    <row r="26" spans="1:48" x14ac:dyDescent="0.15">
      <c r="A26" s="157" t="s">
        <v>34</v>
      </c>
      <c r="B26" s="149" t="s">
        <v>313</v>
      </c>
      <c r="C26" s="149">
        <v>2018</v>
      </c>
      <c r="D26" s="191" t="s">
        <v>433</v>
      </c>
      <c r="E26" s="178" t="s">
        <v>165</v>
      </c>
      <c r="F26" s="178" t="s">
        <v>311</v>
      </c>
      <c r="G26" s="157" t="s">
        <v>36</v>
      </c>
      <c r="H26" s="149" t="s">
        <v>157</v>
      </c>
      <c r="I26" s="157" t="s">
        <v>155</v>
      </c>
      <c r="J26" s="157" t="s">
        <v>38</v>
      </c>
      <c r="K26" s="157" t="s">
        <v>156</v>
      </c>
      <c r="L26" s="157">
        <v>1</v>
      </c>
      <c r="N26" s="149">
        <v>3</v>
      </c>
      <c r="O26" s="149">
        <v>0.2</v>
      </c>
      <c r="P26" s="149">
        <v>0.2</v>
      </c>
      <c r="Q26" s="186">
        <f t="shared" si="0"/>
        <v>0.2</v>
      </c>
      <c r="R26" s="149">
        <v>15</v>
      </c>
      <c r="S26" s="149">
        <v>114</v>
      </c>
      <c r="T26" s="158">
        <f t="shared" si="1"/>
        <v>30</v>
      </c>
      <c r="U26" s="149">
        <v>471</v>
      </c>
      <c r="V26" s="158">
        <f t="shared" si="2"/>
        <v>4710</v>
      </c>
      <c r="W26" s="149">
        <v>6</v>
      </c>
      <c r="X26" s="157" t="s">
        <v>46</v>
      </c>
      <c r="Y26" s="157" t="s">
        <v>55</v>
      </c>
      <c r="Z26" s="157" t="s">
        <v>69</v>
      </c>
      <c r="AA26" s="157" t="s">
        <v>47</v>
      </c>
      <c r="AB26" s="157" t="s">
        <v>315</v>
      </c>
    </row>
    <row r="27" spans="1:48" x14ac:dyDescent="0.15">
      <c r="A27" s="157" t="s">
        <v>34</v>
      </c>
      <c r="B27" s="149" t="s">
        <v>313</v>
      </c>
      <c r="C27" s="149">
        <v>2018</v>
      </c>
      <c r="D27" s="191" t="s">
        <v>433</v>
      </c>
      <c r="E27" s="178" t="s">
        <v>165</v>
      </c>
      <c r="F27" s="178" t="s">
        <v>311</v>
      </c>
      <c r="G27" s="157" t="s">
        <v>36</v>
      </c>
      <c r="H27" s="149" t="s">
        <v>157</v>
      </c>
      <c r="I27" s="157" t="s">
        <v>155</v>
      </c>
      <c r="J27" s="157" t="s">
        <v>38</v>
      </c>
      <c r="K27" s="157" t="s">
        <v>156</v>
      </c>
      <c r="L27" s="149">
        <v>2</v>
      </c>
      <c r="N27" s="149">
        <v>3</v>
      </c>
      <c r="O27" s="149">
        <v>0.2</v>
      </c>
      <c r="P27" s="149">
        <v>0.2</v>
      </c>
      <c r="Q27" s="186">
        <f t="shared" si="0"/>
        <v>0.2</v>
      </c>
      <c r="R27" s="149">
        <v>15</v>
      </c>
      <c r="S27" s="149">
        <v>106</v>
      </c>
      <c r="T27" s="158">
        <f t="shared" si="1"/>
        <v>33</v>
      </c>
      <c r="U27" s="149">
        <v>471</v>
      </c>
      <c r="V27" s="158">
        <f t="shared" si="2"/>
        <v>5181</v>
      </c>
      <c r="W27" s="149">
        <v>6</v>
      </c>
      <c r="X27" s="157" t="s">
        <v>46</v>
      </c>
      <c r="Y27" s="157" t="s">
        <v>55</v>
      </c>
      <c r="Z27" s="157" t="s">
        <v>69</v>
      </c>
      <c r="AA27" s="157" t="s">
        <v>47</v>
      </c>
      <c r="AB27" s="157" t="s">
        <v>315</v>
      </c>
    </row>
    <row r="28" spans="1:48" x14ac:dyDescent="0.15">
      <c r="A28" s="157" t="s">
        <v>34</v>
      </c>
      <c r="B28" s="149" t="s">
        <v>313</v>
      </c>
      <c r="C28" s="149">
        <v>2018</v>
      </c>
      <c r="D28" s="191" t="s">
        <v>433</v>
      </c>
      <c r="E28" s="178" t="s">
        <v>165</v>
      </c>
      <c r="F28" s="178" t="s">
        <v>311</v>
      </c>
      <c r="G28" s="157" t="s">
        <v>36</v>
      </c>
      <c r="H28" s="149" t="s">
        <v>157</v>
      </c>
      <c r="I28" s="157" t="s">
        <v>155</v>
      </c>
      <c r="J28" s="157" t="s">
        <v>38</v>
      </c>
      <c r="K28" s="157" t="s">
        <v>156</v>
      </c>
      <c r="L28" s="149">
        <v>3</v>
      </c>
      <c r="N28" s="149">
        <v>3</v>
      </c>
      <c r="O28" s="149">
        <v>0.45</v>
      </c>
      <c r="P28" s="149">
        <v>0.5</v>
      </c>
      <c r="Q28" s="186">
        <f t="shared" si="0"/>
        <v>0.47499999999999998</v>
      </c>
      <c r="R28" s="149">
        <v>14.2</v>
      </c>
      <c r="S28" s="149">
        <v>114</v>
      </c>
      <c r="T28" s="158">
        <f t="shared" si="1"/>
        <v>30</v>
      </c>
      <c r="U28" s="149">
        <v>471</v>
      </c>
      <c r="V28" s="158">
        <f t="shared" si="2"/>
        <v>4710</v>
      </c>
      <c r="W28" s="149">
        <v>6</v>
      </c>
      <c r="X28" s="157" t="s">
        <v>46</v>
      </c>
      <c r="Y28" s="157" t="s">
        <v>55</v>
      </c>
      <c r="Z28" s="157" t="s">
        <v>69</v>
      </c>
      <c r="AA28" s="157" t="s">
        <v>47</v>
      </c>
      <c r="AB28" s="157" t="s">
        <v>315</v>
      </c>
    </row>
    <row r="29" spans="1:48" x14ac:dyDescent="0.15">
      <c r="A29" s="157" t="s">
        <v>34</v>
      </c>
      <c r="B29" s="149" t="s">
        <v>313</v>
      </c>
      <c r="C29" s="149">
        <v>2018</v>
      </c>
      <c r="D29" s="191" t="s">
        <v>433</v>
      </c>
      <c r="E29" s="178" t="s">
        <v>165</v>
      </c>
      <c r="F29" s="178" t="s">
        <v>311</v>
      </c>
      <c r="G29" s="157" t="s">
        <v>36</v>
      </c>
      <c r="H29" s="149" t="s">
        <v>211</v>
      </c>
      <c r="I29" s="157" t="s">
        <v>155</v>
      </c>
      <c r="J29" s="157" t="s">
        <v>38</v>
      </c>
      <c r="K29" s="157" t="s">
        <v>156</v>
      </c>
      <c r="L29" s="157">
        <v>1</v>
      </c>
      <c r="N29" s="149">
        <v>5</v>
      </c>
      <c r="O29" s="149">
        <v>0.6</v>
      </c>
      <c r="P29" s="149">
        <v>0.65</v>
      </c>
      <c r="Q29" s="186">
        <f t="shared" si="0"/>
        <v>0.625</v>
      </c>
      <c r="R29" s="149">
        <v>12.1</v>
      </c>
      <c r="S29" s="149">
        <v>83</v>
      </c>
      <c r="T29" s="158">
        <f t="shared" si="1"/>
        <v>39</v>
      </c>
      <c r="U29" s="149">
        <v>428</v>
      </c>
      <c r="V29" s="158">
        <f t="shared" si="2"/>
        <v>3338.3999999999996</v>
      </c>
      <c r="W29" s="149">
        <v>4</v>
      </c>
      <c r="X29" s="157" t="s">
        <v>46</v>
      </c>
      <c r="Y29" s="157" t="s">
        <v>55</v>
      </c>
      <c r="Z29" s="157" t="s">
        <v>69</v>
      </c>
      <c r="AA29" s="157" t="s">
        <v>47</v>
      </c>
      <c r="AB29" s="157" t="s">
        <v>315</v>
      </c>
    </row>
    <row r="30" spans="1:48" x14ac:dyDescent="0.15">
      <c r="A30" s="157" t="s">
        <v>34</v>
      </c>
      <c r="B30" s="149" t="s">
        <v>313</v>
      </c>
      <c r="C30" s="149">
        <v>2018</v>
      </c>
      <c r="D30" s="191" t="s">
        <v>433</v>
      </c>
      <c r="E30" s="178" t="s">
        <v>165</v>
      </c>
      <c r="F30" s="178" t="s">
        <v>311</v>
      </c>
      <c r="G30" s="157" t="s">
        <v>36</v>
      </c>
      <c r="H30" s="149" t="s">
        <v>211</v>
      </c>
      <c r="I30" s="157" t="s">
        <v>155</v>
      </c>
      <c r="J30" s="157" t="s">
        <v>38</v>
      </c>
      <c r="K30" s="157" t="s">
        <v>156</v>
      </c>
      <c r="L30" s="149">
        <v>2</v>
      </c>
      <c r="N30" s="149">
        <v>5</v>
      </c>
      <c r="O30" s="149">
        <v>0.65</v>
      </c>
      <c r="P30" s="149">
        <v>0.65</v>
      </c>
      <c r="Q30" s="186">
        <f t="shared" si="0"/>
        <v>0.65</v>
      </c>
      <c r="R30" s="149">
        <v>13.8</v>
      </c>
      <c r="S30" s="149">
        <v>87</v>
      </c>
      <c r="T30" s="158">
        <f t="shared" si="1"/>
        <v>36</v>
      </c>
      <c r="U30" s="149">
        <v>428</v>
      </c>
      <c r="V30" s="158">
        <f t="shared" si="2"/>
        <v>3081.6</v>
      </c>
      <c r="W30" s="149">
        <v>4</v>
      </c>
      <c r="X30" s="157" t="s">
        <v>46</v>
      </c>
      <c r="Y30" s="157" t="s">
        <v>55</v>
      </c>
      <c r="Z30" s="157" t="s">
        <v>69</v>
      </c>
      <c r="AA30" s="157" t="s">
        <v>47</v>
      </c>
      <c r="AB30" s="157" t="s">
        <v>315</v>
      </c>
    </row>
    <row r="31" spans="1:48" x14ac:dyDescent="0.15">
      <c r="A31" s="157" t="s">
        <v>34</v>
      </c>
      <c r="B31" s="149" t="s">
        <v>313</v>
      </c>
      <c r="C31" s="149">
        <v>2018</v>
      </c>
      <c r="D31" s="191" t="s">
        <v>433</v>
      </c>
      <c r="E31" s="178" t="s">
        <v>165</v>
      </c>
      <c r="F31" s="178" t="s">
        <v>311</v>
      </c>
      <c r="G31" s="157" t="s">
        <v>36</v>
      </c>
      <c r="H31" s="149" t="s">
        <v>211</v>
      </c>
      <c r="I31" s="157" t="s">
        <v>155</v>
      </c>
      <c r="J31" s="157" t="s">
        <v>38</v>
      </c>
      <c r="K31" s="157" t="s">
        <v>156</v>
      </c>
      <c r="L31" s="149">
        <v>3</v>
      </c>
      <c r="N31" s="149">
        <v>5</v>
      </c>
      <c r="O31" s="149">
        <v>0.65</v>
      </c>
      <c r="P31" s="149">
        <v>0.75</v>
      </c>
      <c r="Q31" s="186">
        <f t="shared" si="0"/>
        <v>0.7</v>
      </c>
      <c r="R31" s="149">
        <v>13.9</v>
      </c>
      <c r="S31" s="149">
        <v>92</v>
      </c>
      <c r="T31" s="158">
        <f t="shared" si="1"/>
        <v>36</v>
      </c>
      <c r="U31" s="149">
        <v>428</v>
      </c>
      <c r="V31" s="158">
        <f t="shared" si="2"/>
        <v>3081.6</v>
      </c>
      <c r="W31" s="149">
        <v>4</v>
      </c>
      <c r="X31" s="157" t="s">
        <v>46</v>
      </c>
      <c r="Y31" s="157" t="s">
        <v>55</v>
      </c>
      <c r="Z31" s="157" t="s">
        <v>69</v>
      </c>
      <c r="AA31" s="157" t="s">
        <v>47</v>
      </c>
      <c r="AB31" s="157" t="s">
        <v>315</v>
      </c>
    </row>
    <row r="32" spans="1:48" x14ac:dyDescent="0.15">
      <c r="A32" s="157" t="s">
        <v>34</v>
      </c>
      <c r="B32" s="149" t="s">
        <v>313</v>
      </c>
      <c r="C32" s="149">
        <v>2018</v>
      </c>
      <c r="D32" s="191" t="s">
        <v>433</v>
      </c>
      <c r="E32" s="178" t="s">
        <v>165</v>
      </c>
      <c r="F32" s="178" t="s">
        <v>311</v>
      </c>
      <c r="G32" s="157" t="s">
        <v>36</v>
      </c>
      <c r="H32" s="149" t="s">
        <v>162</v>
      </c>
      <c r="I32" s="157" t="s">
        <v>155</v>
      </c>
      <c r="J32" s="157" t="s">
        <v>38</v>
      </c>
      <c r="K32" s="157" t="s">
        <v>156</v>
      </c>
      <c r="L32" s="157">
        <v>1</v>
      </c>
      <c r="N32" s="149">
        <v>1</v>
      </c>
      <c r="O32" s="149">
        <v>0.7</v>
      </c>
      <c r="P32" s="149">
        <v>0.75</v>
      </c>
      <c r="Q32" s="186">
        <f t="shared" si="0"/>
        <v>0.72499999999999998</v>
      </c>
      <c r="R32" s="149">
        <v>15.1</v>
      </c>
      <c r="S32" s="149">
        <v>158</v>
      </c>
      <c r="T32" s="158">
        <f t="shared" si="1"/>
        <v>18</v>
      </c>
      <c r="U32" s="149">
        <v>137</v>
      </c>
      <c r="V32" s="158">
        <f t="shared" si="2"/>
        <v>2466</v>
      </c>
      <c r="W32" s="149">
        <v>11</v>
      </c>
      <c r="X32" s="157" t="s">
        <v>46</v>
      </c>
      <c r="Y32" s="157" t="s">
        <v>55</v>
      </c>
      <c r="Z32" s="157" t="s">
        <v>69</v>
      </c>
      <c r="AA32" s="157" t="s">
        <v>47</v>
      </c>
      <c r="AB32" s="157" t="s">
        <v>315</v>
      </c>
    </row>
    <row r="33" spans="1:28" x14ac:dyDescent="0.15">
      <c r="A33" s="157" t="s">
        <v>34</v>
      </c>
      <c r="B33" s="149" t="s">
        <v>313</v>
      </c>
      <c r="C33" s="149">
        <v>2018</v>
      </c>
      <c r="D33" s="191" t="s">
        <v>433</v>
      </c>
      <c r="E33" s="178" t="s">
        <v>165</v>
      </c>
      <c r="F33" s="178" t="s">
        <v>311</v>
      </c>
      <c r="G33" s="157" t="s">
        <v>36</v>
      </c>
      <c r="H33" s="149" t="s">
        <v>162</v>
      </c>
      <c r="I33" s="157" t="s">
        <v>155</v>
      </c>
      <c r="J33" s="157" t="s">
        <v>38</v>
      </c>
      <c r="K33" s="157" t="s">
        <v>156</v>
      </c>
      <c r="L33" s="149">
        <v>2</v>
      </c>
      <c r="N33" s="149">
        <v>1</v>
      </c>
      <c r="O33" s="149">
        <v>0.9</v>
      </c>
      <c r="P33" s="149">
        <v>0.65</v>
      </c>
      <c r="Q33" s="186">
        <f t="shared" si="0"/>
        <v>0.77500000000000002</v>
      </c>
      <c r="R33" s="149">
        <v>14.8</v>
      </c>
      <c r="S33" s="149">
        <v>167</v>
      </c>
      <c r="T33" s="158">
        <f t="shared" si="1"/>
        <v>18</v>
      </c>
      <c r="U33" s="149">
        <v>137</v>
      </c>
      <c r="V33" s="158">
        <f t="shared" si="2"/>
        <v>2466</v>
      </c>
      <c r="W33" s="149">
        <v>11</v>
      </c>
      <c r="X33" s="157" t="s">
        <v>46</v>
      </c>
      <c r="Y33" s="157" t="s">
        <v>55</v>
      </c>
      <c r="Z33" s="157" t="s">
        <v>69</v>
      </c>
      <c r="AA33" s="157" t="s">
        <v>47</v>
      </c>
      <c r="AB33" s="157" t="s">
        <v>315</v>
      </c>
    </row>
    <row r="34" spans="1:28" x14ac:dyDescent="0.15">
      <c r="A34" s="157" t="s">
        <v>34</v>
      </c>
      <c r="B34" s="149" t="s">
        <v>313</v>
      </c>
      <c r="C34" s="149">
        <v>2018</v>
      </c>
      <c r="D34" s="191" t="s">
        <v>433</v>
      </c>
      <c r="E34" s="178" t="s">
        <v>165</v>
      </c>
      <c r="F34" s="178" t="s">
        <v>311</v>
      </c>
      <c r="G34" s="157" t="s">
        <v>36</v>
      </c>
      <c r="H34" s="149" t="s">
        <v>162</v>
      </c>
      <c r="I34" s="157" t="s">
        <v>155</v>
      </c>
      <c r="J34" s="157" t="s">
        <v>38</v>
      </c>
      <c r="K34" s="157" t="s">
        <v>156</v>
      </c>
      <c r="L34" s="149">
        <v>3</v>
      </c>
      <c r="N34" s="149">
        <v>1</v>
      </c>
      <c r="O34" s="149">
        <v>0.6</v>
      </c>
      <c r="P34" s="149">
        <v>0.75</v>
      </c>
      <c r="Q34" s="186">
        <f>IF(OR(O34="",P34=""),"",AVERAGE(O34,P34))</f>
        <v>0.67500000000000004</v>
      </c>
      <c r="R34" s="149">
        <v>14.9</v>
      </c>
      <c r="S34" s="149">
        <v>154</v>
      </c>
      <c r="T34" s="158">
        <f t="shared" si="1"/>
        <v>18</v>
      </c>
      <c r="U34" s="149">
        <v>137</v>
      </c>
      <c r="V34" s="158">
        <f t="shared" si="2"/>
        <v>2466</v>
      </c>
      <c r="W34" s="149">
        <v>11</v>
      </c>
      <c r="X34" s="157" t="s">
        <v>46</v>
      </c>
      <c r="Y34" s="157" t="s">
        <v>55</v>
      </c>
      <c r="Z34" s="157" t="s">
        <v>69</v>
      </c>
      <c r="AA34" s="157" t="s">
        <v>47</v>
      </c>
      <c r="AB34" s="157" t="s">
        <v>315</v>
      </c>
    </row>
    <row r="35" spans="1:28" x14ac:dyDescent="0.15">
      <c r="A35" s="157" t="s">
        <v>34</v>
      </c>
      <c r="B35" s="149" t="s">
        <v>313</v>
      </c>
      <c r="C35" s="149">
        <v>2018</v>
      </c>
      <c r="D35" s="191" t="s">
        <v>433</v>
      </c>
      <c r="E35" s="178" t="s">
        <v>165</v>
      </c>
      <c r="F35" s="178" t="s">
        <v>311</v>
      </c>
      <c r="G35" s="157" t="s">
        <v>36</v>
      </c>
      <c r="H35" s="149" t="s">
        <v>162</v>
      </c>
      <c r="I35" s="157" t="s">
        <v>155</v>
      </c>
      <c r="J35" s="157" t="s">
        <v>38</v>
      </c>
      <c r="K35" s="157" t="s">
        <v>156</v>
      </c>
      <c r="L35" s="157">
        <v>1</v>
      </c>
      <c r="N35" s="149">
        <v>2</v>
      </c>
      <c r="O35" s="149">
        <v>0.2</v>
      </c>
      <c r="P35" s="149">
        <v>0.5</v>
      </c>
      <c r="Q35" s="186">
        <f t="shared" ref="Q35:Q36" si="3">IF(OR(O35="",P35=""),"",AVERAGE(O35,P35))</f>
        <v>0.35</v>
      </c>
      <c r="R35" s="149">
        <v>22.2</v>
      </c>
      <c r="S35" s="149">
        <v>169</v>
      </c>
      <c r="T35" s="158">
        <f t="shared" si="1"/>
        <v>18</v>
      </c>
      <c r="U35" s="149">
        <v>320</v>
      </c>
      <c r="V35" s="158">
        <f t="shared" si="2"/>
        <v>2880</v>
      </c>
      <c r="W35" s="149">
        <v>11</v>
      </c>
      <c r="X35" s="157" t="s">
        <v>46</v>
      </c>
      <c r="Y35" s="157" t="s">
        <v>55</v>
      </c>
      <c r="Z35" s="157" t="s">
        <v>69</v>
      </c>
      <c r="AA35" s="157" t="s">
        <v>47</v>
      </c>
      <c r="AB35" s="157" t="s">
        <v>315</v>
      </c>
    </row>
    <row r="36" spans="1:28" x14ac:dyDescent="0.15">
      <c r="A36" s="157" t="s">
        <v>34</v>
      </c>
      <c r="B36" s="149" t="s">
        <v>313</v>
      </c>
      <c r="C36" s="149">
        <v>2018</v>
      </c>
      <c r="D36" s="191" t="s">
        <v>433</v>
      </c>
      <c r="E36" s="178" t="s">
        <v>165</v>
      </c>
      <c r="F36" s="178" t="s">
        <v>311</v>
      </c>
      <c r="G36" s="157" t="s">
        <v>36</v>
      </c>
      <c r="H36" s="149" t="s">
        <v>162</v>
      </c>
      <c r="I36" s="157" t="s">
        <v>155</v>
      </c>
      <c r="J36" s="157" t="s">
        <v>38</v>
      </c>
      <c r="K36" s="157" t="s">
        <v>156</v>
      </c>
      <c r="L36" s="149">
        <v>2</v>
      </c>
      <c r="N36" s="149">
        <v>2</v>
      </c>
      <c r="O36" s="149">
        <v>0.5</v>
      </c>
      <c r="P36" s="149">
        <v>0.5</v>
      </c>
      <c r="Q36" s="186">
        <f t="shared" si="3"/>
        <v>0.5</v>
      </c>
      <c r="R36" s="149">
        <v>18</v>
      </c>
      <c r="S36" s="149">
        <v>143</v>
      </c>
      <c r="T36" s="158">
        <f t="shared" si="1"/>
        <v>30</v>
      </c>
      <c r="U36" s="149">
        <v>320</v>
      </c>
      <c r="V36" s="158">
        <f t="shared" si="2"/>
        <v>4800</v>
      </c>
      <c r="W36" s="149">
        <v>11</v>
      </c>
      <c r="X36" s="157" t="s">
        <v>46</v>
      </c>
      <c r="Y36" s="157" t="s">
        <v>55</v>
      </c>
      <c r="Z36" s="157" t="s">
        <v>69</v>
      </c>
      <c r="AA36" s="157" t="s">
        <v>47</v>
      </c>
      <c r="AB36" s="157" t="s">
        <v>315</v>
      </c>
    </row>
    <row r="37" spans="1:28" x14ac:dyDescent="0.15">
      <c r="A37" s="157" t="s">
        <v>34</v>
      </c>
      <c r="B37" s="149" t="s">
        <v>313</v>
      </c>
      <c r="C37" s="149">
        <v>2018</v>
      </c>
      <c r="D37" s="191" t="s">
        <v>433</v>
      </c>
      <c r="E37" s="178" t="s">
        <v>165</v>
      </c>
      <c r="F37" s="178" t="s">
        <v>311</v>
      </c>
      <c r="G37" s="157" t="s">
        <v>36</v>
      </c>
      <c r="H37" s="149" t="s">
        <v>162</v>
      </c>
      <c r="I37" s="157" t="s">
        <v>155</v>
      </c>
      <c r="J37" s="157" t="s">
        <v>38</v>
      </c>
      <c r="K37" s="157" t="s">
        <v>156</v>
      </c>
      <c r="L37" s="149">
        <v>3</v>
      </c>
      <c r="N37" s="149">
        <v>2</v>
      </c>
      <c r="O37" s="149">
        <v>0.2</v>
      </c>
      <c r="P37" s="149">
        <v>0.2</v>
      </c>
      <c r="Q37" s="186">
        <f>IF(OR(O37="",P37=""),"",AVERAGE(O37,P37))</f>
        <v>0.2</v>
      </c>
      <c r="R37" s="149">
        <v>16.7</v>
      </c>
      <c r="S37" s="149">
        <v>160</v>
      </c>
      <c r="T37" s="158">
        <f t="shared" si="1"/>
        <v>18</v>
      </c>
      <c r="U37" s="149">
        <v>320</v>
      </c>
      <c r="V37" s="158">
        <f t="shared" si="2"/>
        <v>2880</v>
      </c>
      <c r="W37" s="149">
        <v>11</v>
      </c>
      <c r="X37" s="157" t="s">
        <v>46</v>
      </c>
      <c r="Y37" s="157" t="s">
        <v>55</v>
      </c>
      <c r="Z37" s="157" t="s">
        <v>69</v>
      </c>
      <c r="AA37" s="157" t="s">
        <v>47</v>
      </c>
      <c r="AB37" s="157" t="s">
        <v>315</v>
      </c>
    </row>
    <row r="38" spans="1:28" x14ac:dyDescent="0.15">
      <c r="A38" s="157" t="s">
        <v>34</v>
      </c>
      <c r="B38" s="149" t="s">
        <v>313</v>
      </c>
      <c r="C38" s="149">
        <v>2018</v>
      </c>
      <c r="D38" s="191" t="s">
        <v>433</v>
      </c>
      <c r="E38" s="178" t="s">
        <v>165</v>
      </c>
      <c r="F38" s="178" t="s">
        <v>311</v>
      </c>
      <c r="G38" s="157" t="s">
        <v>36</v>
      </c>
      <c r="H38" s="149" t="s">
        <v>162</v>
      </c>
      <c r="I38" s="157" t="s">
        <v>155</v>
      </c>
      <c r="J38" s="157" t="s">
        <v>38</v>
      </c>
      <c r="K38" s="157" t="s">
        <v>156</v>
      </c>
      <c r="L38" s="157">
        <v>1</v>
      </c>
      <c r="N38" s="149">
        <v>4</v>
      </c>
      <c r="O38" s="149">
        <v>0.55000000000000004</v>
      </c>
      <c r="P38" s="149">
        <v>0.65</v>
      </c>
      <c r="Q38" s="186">
        <f t="shared" ref="Q38:Q39" si="4">IF(OR(O38="",P38=""),"",AVERAGE(O38,P38))</f>
        <v>0.60000000000000009</v>
      </c>
      <c r="R38" s="149">
        <v>14.2</v>
      </c>
      <c r="S38" s="149">
        <v>140</v>
      </c>
      <c r="T38" s="158">
        <f t="shared" si="1"/>
        <v>30</v>
      </c>
      <c r="U38" s="149">
        <v>471</v>
      </c>
      <c r="V38" s="158">
        <f t="shared" si="2"/>
        <v>3532.5</v>
      </c>
      <c r="W38" s="149">
        <v>11</v>
      </c>
      <c r="X38" s="157" t="s">
        <v>46</v>
      </c>
      <c r="Y38" s="157" t="s">
        <v>55</v>
      </c>
      <c r="Z38" s="157" t="s">
        <v>69</v>
      </c>
      <c r="AA38" s="157" t="s">
        <v>47</v>
      </c>
      <c r="AB38" s="157" t="s">
        <v>315</v>
      </c>
    </row>
    <row r="39" spans="1:28" x14ac:dyDescent="0.15">
      <c r="A39" s="157" t="s">
        <v>34</v>
      </c>
      <c r="B39" s="149" t="s">
        <v>313</v>
      </c>
      <c r="C39" s="149">
        <v>2018</v>
      </c>
      <c r="D39" s="191" t="s">
        <v>433</v>
      </c>
      <c r="E39" s="178" t="s">
        <v>165</v>
      </c>
      <c r="F39" s="178" t="s">
        <v>311</v>
      </c>
      <c r="G39" s="157" t="s">
        <v>36</v>
      </c>
      <c r="H39" s="149" t="s">
        <v>162</v>
      </c>
      <c r="I39" s="157" t="s">
        <v>155</v>
      </c>
      <c r="J39" s="157" t="s">
        <v>38</v>
      </c>
      <c r="K39" s="157" t="s">
        <v>156</v>
      </c>
      <c r="L39" s="149">
        <v>2</v>
      </c>
      <c r="N39" s="149">
        <v>4</v>
      </c>
      <c r="O39" s="149">
        <v>0.5</v>
      </c>
      <c r="P39" s="149">
        <v>0.5</v>
      </c>
      <c r="Q39" s="186">
        <f t="shared" si="4"/>
        <v>0.5</v>
      </c>
      <c r="R39" s="149">
        <v>15.6</v>
      </c>
      <c r="S39" s="149">
        <v>138</v>
      </c>
      <c r="T39" s="158">
        <f t="shared" si="1"/>
        <v>30</v>
      </c>
      <c r="U39" s="149">
        <v>471</v>
      </c>
      <c r="V39" s="158">
        <f t="shared" si="2"/>
        <v>3532.5</v>
      </c>
      <c r="W39" s="149">
        <v>11</v>
      </c>
      <c r="X39" s="157" t="s">
        <v>46</v>
      </c>
      <c r="Y39" s="157" t="s">
        <v>55</v>
      </c>
      <c r="Z39" s="157" t="s">
        <v>69</v>
      </c>
      <c r="AA39" s="157" t="s">
        <v>47</v>
      </c>
      <c r="AB39" s="157" t="s">
        <v>315</v>
      </c>
    </row>
    <row r="40" spans="1:28" x14ac:dyDescent="0.15">
      <c r="A40" s="157" t="s">
        <v>34</v>
      </c>
      <c r="B40" s="149" t="s">
        <v>313</v>
      </c>
      <c r="C40" s="149">
        <v>2018</v>
      </c>
      <c r="D40" s="191" t="s">
        <v>433</v>
      </c>
      <c r="E40" s="178" t="s">
        <v>165</v>
      </c>
      <c r="F40" s="178" t="s">
        <v>311</v>
      </c>
      <c r="G40" s="157" t="s">
        <v>36</v>
      </c>
      <c r="H40" s="149" t="s">
        <v>162</v>
      </c>
      <c r="I40" s="157" t="s">
        <v>155</v>
      </c>
      <c r="J40" s="157" t="s">
        <v>38</v>
      </c>
      <c r="K40" s="157" t="s">
        <v>156</v>
      </c>
      <c r="L40" s="149">
        <v>3</v>
      </c>
      <c r="N40" s="149">
        <v>4</v>
      </c>
      <c r="O40" s="149">
        <v>0.2</v>
      </c>
      <c r="P40" s="149">
        <v>0.2</v>
      </c>
      <c r="Q40" s="186">
        <f>IF(OR(O40="",P40=""),"",AVERAGE(O40,P40))</f>
        <v>0.2</v>
      </c>
      <c r="R40" s="149">
        <v>17</v>
      </c>
      <c r="S40" s="149">
        <v>138</v>
      </c>
      <c r="T40" s="158">
        <f t="shared" si="1"/>
        <v>30</v>
      </c>
      <c r="U40" s="149">
        <v>471</v>
      </c>
      <c r="V40" s="158">
        <f t="shared" si="2"/>
        <v>3532.5</v>
      </c>
      <c r="W40" s="149">
        <v>11</v>
      </c>
      <c r="X40" s="157" t="s">
        <v>46</v>
      </c>
      <c r="Y40" s="157" t="s">
        <v>55</v>
      </c>
      <c r="Z40" s="157" t="s">
        <v>69</v>
      </c>
      <c r="AA40" s="157" t="s">
        <v>47</v>
      </c>
      <c r="AB40" s="157" t="s">
        <v>315</v>
      </c>
    </row>
    <row r="41" spans="1:28" x14ac:dyDescent="0.15">
      <c r="A41" s="157" t="s">
        <v>34</v>
      </c>
      <c r="B41" s="149" t="s">
        <v>313</v>
      </c>
      <c r="C41" s="149">
        <v>2018</v>
      </c>
      <c r="D41" s="191" t="s">
        <v>433</v>
      </c>
      <c r="E41" s="178" t="s">
        <v>257</v>
      </c>
      <c r="F41" s="178" t="s">
        <v>294</v>
      </c>
      <c r="G41" s="157" t="s">
        <v>36</v>
      </c>
      <c r="H41" s="149" t="s">
        <v>157</v>
      </c>
      <c r="I41" s="157" t="s">
        <v>155</v>
      </c>
      <c r="J41" s="157" t="s">
        <v>38</v>
      </c>
      <c r="K41" s="157" t="s">
        <v>156</v>
      </c>
      <c r="L41" s="157">
        <v>1</v>
      </c>
      <c r="N41" s="149">
        <v>1</v>
      </c>
      <c r="O41" s="149">
        <v>0.7</v>
      </c>
      <c r="P41" s="149">
        <v>0.75</v>
      </c>
      <c r="Q41" s="186">
        <f t="shared" si="0"/>
        <v>0.72499999999999998</v>
      </c>
      <c r="R41" s="149">
        <v>12.2</v>
      </c>
      <c r="S41" s="149">
        <v>130</v>
      </c>
      <c r="T41" s="158">
        <f t="shared" si="1"/>
        <v>30</v>
      </c>
      <c r="U41" s="149">
        <v>101</v>
      </c>
      <c r="V41" s="158">
        <f t="shared" si="2"/>
        <v>3030</v>
      </c>
      <c r="W41" s="149">
        <v>2</v>
      </c>
      <c r="X41" s="157" t="s">
        <v>46</v>
      </c>
      <c r="Y41" s="157" t="s">
        <v>55</v>
      </c>
      <c r="Z41" s="157" t="s">
        <v>97</v>
      </c>
      <c r="AA41" s="157" t="s">
        <v>69</v>
      </c>
      <c r="AB41" s="157" t="s">
        <v>315</v>
      </c>
    </row>
    <row r="42" spans="1:28" x14ac:dyDescent="0.15">
      <c r="A42" s="157" t="s">
        <v>34</v>
      </c>
      <c r="B42" s="149" t="s">
        <v>313</v>
      </c>
      <c r="C42" s="149">
        <v>2018</v>
      </c>
      <c r="D42" s="191" t="s">
        <v>433</v>
      </c>
      <c r="E42" s="178" t="s">
        <v>257</v>
      </c>
      <c r="F42" s="178" t="s">
        <v>294</v>
      </c>
      <c r="G42" s="157" t="s">
        <v>36</v>
      </c>
      <c r="H42" s="149" t="s">
        <v>157</v>
      </c>
      <c r="I42" s="157" t="s">
        <v>155</v>
      </c>
      <c r="J42" s="157" t="s">
        <v>38</v>
      </c>
      <c r="K42" s="157" t="s">
        <v>156</v>
      </c>
      <c r="L42" s="149">
        <v>2</v>
      </c>
      <c r="N42" s="149">
        <v>1</v>
      </c>
      <c r="O42" s="149">
        <v>0.55000000000000004</v>
      </c>
      <c r="P42" s="149">
        <v>0.6</v>
      </c>
      <c r="Q42" s="186">
        <f t="shared" si="0"/>
        <v>0.57499999999999996</v>
      </c>
      <c r="R42" s="149">
        <v>13.1</v>
      </c>
      <c r="S42" s="149">
        <v>129</v>
      </c>
      <c r="T42" s="158">
        <f t="shared" si="1"/>
        <v>30</v>
      </c>
      <c r="U42" s="149">
        <v>101</v>
      </c>
      <c r="V42" s="158">
        <f t="shared" si="2"/>
        <v>3030</v>
      </c>
      <c r="W42" s="149">
        <v>2</v>
      </c>
      <c r="X42" s="157" t="s">
        <v>46</v>
      </c>
      <c r="Y42" s="157" t="s">
        <v>55</v>
      </c>
      <c r="Z42" s="157" t="s">
        <v>97</v>
      </c>
      <c r="AA42" s="157" t="s">
        <v>69</v>
      </c>
      <c r="AB42" s="157" t="s">
        <v>315</v>
      </c>
    </row>
    <row r="43" spans="1:28" x14ac:dyDescent="0.15">
      <c r="A43" s="157" t="s">
        <v>34</v>
      </c>
      <c r="B43" s="149" t="s">
        <v>313</v>
      </c>
      <c r="C43" s="149">
        <v>2018</v>
      </c>
      <c r="D43" s="191" t="s">
        <v>433</v>
      </c>
      <c r="E43" s="178" t="s">
        <v>257</v>
      </c>
      <c r="F43" s="178" t="s">
        <v>294</v>
      </c>
      <c r="G43" s="157" t="s">
        <v>36</v>
      </c>
      <c r="H43" s="149" t="s">
        <v>157</v>
      </c>
      <c r="I43" s="157" t="s">
        <v>155</v>
      </c>
      <c r="J43" s="157" t="s">
        <v>38</v>
      </c>
      <c r="K43" s="157" t="s">
        <v>156</v>
      </c>
      <c r="L43" s="149">
        <v>3</v>
      </c>
      <c r="N43" s="149">
        <v>1</v>
      </c>
      <c r="O43" s="149">
        <v>0.8</v>
      </c>
      <c r="P43" s="149">
        <v>0.65</v>
      </c>
      <c r="Q43" s="186">
        <f t="shared" si="0"/>
        <v>0.72500000000000009</v>
      </c>
      <c r="R43" s="149">
        <v>14</v>
      </c>
      <c r="S43" s="149">
        <v>135</v>
      </c>
      <c r="T43" s="158">
        <f t="shared" si="1"/>
        <v>30</v>
      </c>
      <c r="U43" s="149">
        <v>101</v>
      </c>
      <c r="V43" s="158">
        <f t="shared" si="2"/>
        <v>3030</v>
      </c>
      <c r="W43" s="149">
        <v>2</v>
      </c>
      <c r="X43" s="157" t="s">
        <v>46</v>
      </c>
      <c r="Y43" s="157" t="s">
        <v>55</v>
      </c>
      <c r="Z43" s="157" t="s">
        <v>97</v>
      </c>
      <c r="AA43" s="157" t="s">
        <v>69</v>
      </c>
      <c r="AB43" s="157" t="s">
        <v>315</v>
      </c>
    </row>
    <row r="44" spans="1:28" x14ac:dyDescent="0.15">
      <c r="A44" s="157" t="s">
        <v>34</v>
      </c>
      <c r="B44" s="149" t="s">
        <v>313</v>
      </c>
      <c r="C44" s="149">
        <v>2018</v>
      </c>
      <c r="D44" s="191" t="s">
        <v>433</v>
      </c>
      <c r="E44" s="178" t="s">
        <v>257</v>
      </c>
      <c r="F44" s="178" t="s">
        <v>294</v>
      </c>
      <c r="G44" s="157" t="s">
        <v>36</v>
      </c>
      <c r="H44" s="149" t="s">
        <v>162</v>
      </c>
      <c r="I44" s="157" t="s">
        <v>155</v>
      </c>
      <c r="J44" s="157" t="s">
        <v>38</v>
      </c>
      <c r="K44" s="157" t="s">
        <v>156</v>
      </c>
      <c r="L44" s="157">
        <v>1</v>
      </c>
      <c r="N44" s="149">
        <v>1</v>
      </c>
      <c r="O44" s="149">
        <v>0.55000000000000004</v>
      </c>
      <c r="P44" s="149">
        <v>0.55000000000000004</v>
      </c>
      <c r="Q44" s="186">
        <f t="shared" si="0"/>
        <v>0.55000000000000004</v>
      </c>
      <c r="R44" s="149">
        <v>14.9</v>
      </c>
      <c r="S44" s="149">
        <v>144</v>
      </c>
      <c r="T44" s="158">
        <f t="shared" si="1"/>
        <v>30</v>
      </c>
      <c r="U44" s="149">
        <v>101</v>
      </c>
      <c r="V44" s="158">
        <f t="shared" si="2"/>
        <v>3030</v>
      </c>
      <c r="W44" s="149">
        <v>6</v>
      </c>
      <c r="X44" s="157" t="s">
        <v>46</v>
      </c>
      <c r="Y44" s="157" t="s">
        <v>55</v>
      </c>
      <c r="Z44" s="157" t="s">
        <v>97</v>
      </c>
      <c r="AA44" s="157" t="s">
        <v>69</v>
      </c>
      <c r="AB44" s="157" t="s">
        <v>315</v>
      </c>
    </row>
    <row r="45" spans="1:28" x14ac:dyDescent="0.15">
      <c r="A45" s="157" t="s">
        <v>34</v>
      </c>
      <c r="B45" s="149" t="s">
        <v>313</v>
      </c>
      <c r="C45" s="149">
        <v>2018</v>
      </c>
      <c r="D45" s="191" t="s">
        <v>433</v>
      </c>
      <c r="E45" s="178" t="s">
        <v>257</v>
      </c>
      <c r="F45" s="178" t="s">
        <v>294</v>
      </c>
      <c r="G45" s="157" t="s">
        <v>36</v>
      </c>
      <c r="H45" s="149" t="s">
        <v>162</v>
      </c>
      <c r="I45" s="157" t="s">
        <v>155</v>
      </c>
      <c r="J45" s="157" t="s">
        <v>38</v>
      </c>
      <c r="K45" s="157" t="s">
        <v>156</v>
      </c>
      <c r="L45" s="149">
        <v>2</v>
      </c>
      <c r="N45" s="149">
        <v>1</v>
      </c>
      <c r="O45" s="149">
        <v>0.6</v>
      </c>
      <c r="P45" s="149">
        <v>0.5</v>
      </c>
      <c r="Q45" s="186">
        <f t="shared" si="0"/>
        <v>0.55000000000000004</v>
      </c>
      <c r="R45" s="149">
        <v>18</v>
      </c>
      <c r="S45" s="149">
        <v>147</v>
      </c>
      <c r="T45" s="158">
        <f t="shared" si="1"/>
        <v>30</v>
      </c>
      <c r="U45" s="149">
        <v>101</v>
      </c>
      <c r="V45" s="158">
        <f t="shared" si="2"/>
        <v>3030</v>
      </c>
      <c r="W45" s="149">
        <v>6</v>
      </c>
      <c r="X45" s="157" t="s">
        <v>46</v>
      </c>
      <c r="Y45" s="157" t="s">
        <v>55</v>
      </c>
      <c r="Z45" s="157" t="s">
        <v>97</v>
      </c>
      <c r="AA45" s="157" t="s">
        <v>69</v>
      </c>
      <c r="AB45" s="157" t="s">
        <v>315</v>
      </c>
    </row>
    <row r="46" spans="1:28" x14ac:dyDescent="0.15">
      <c r="A46" s="157" t="s">
        <v>34</v>
      </c>
      <c r="B46" s="149" t="s">
        <v>313</v>
      </c>
      <c r="C46" s="149">
        <v>2018</v>
      </c>
      <c r="D46" s="191" t="s">
        <v>433</v>
      </c>
      <c r="E46" s="178" t="s">
        <v>257</v>
      </c>
      <c r="F46" s="178" t="s">
        <v>294</v>
      </c>
      <c r="G46" s="157" t="s">
        <v>36</v>
      </c>
      <c r="H46" s="149" t="s">
        <v>162</v>
      </c>
      <c r="I46" s="157" t="s">
        <v>155</v>
      </c>
      <c r="J46" s="157" t="s">
        <v>38</v>
      </c>
      <c r="K46" s="157" t="s">
        <v>156</v>
      </c>
      <c r="L46" s="149">
        <v>3</v>
      </c>
      <c r="N46" s="149">
        <v>1</v>
      </c>
      <c r="O46" s="149">
        <v>0.6</v>
      </c>
      <c r="P46" s="149">
        <v>0.6</v>
      </c>
      <c r="Q46" s="186">
        <f t="shared" si="0"/>
        <v>0.6</v>
      </c>
      <c r="R46" s="149">
        <v>18.100000000000001</v>
      </c>
      <c r="S46" s="149">
        <v>136</v>
      </c>
      <c r="T46" s="158">
        <f t="shared" si="1"/>
        <v>30</v>
      </c>
      <c r="U46" s="149">
        <v>101</v>
      </c>
      <c r="V46" s="158">
        <f t="shared" si="2"/>
        <v>3030</v>
      </c>
      <c r="W46" s="149">
        <v>6</v>
      </c>
      <c r="X46" s="157" t="s">
        <v>46</v>
      </c>
      <c r="Y46" s="157" t="s">
        <v>55</v>
      </c>
      <c r="Z46" s="157" t="s">
        <v>97</v>
      </c>
      <c r="AA46" s="157" t="s">
        <v>69</v>
      </c>
      <c r="AB46" s="157" t="s">
        <v>315</v>
      </c>
    </row>
    <row r="47" spans="1:28" x14ac:dyDescent="0.15">
      <c r="A47" s="157" t="s">
        <v>34</v>
      </c>
      <c r="B47" s="149" t="s">
        <v>313</v>
      </c>
      <c r="C47" s="149">
        <v>2018</v>
      </c>
      <c r="D47" s="191" t="s">
        <v>433</v>
      </c>
      <c r="E47" s="178" t="s">
        <v>295</v>
      </c>
      <c r="F47" s="178" t="s">
        <v>296</v>
      </c>
      <c r="G47" s="157" t="s">
        <v>36</v>
      </c>
      <c r="H47" s="149" t="s">
        <v>157</v>
      </c>
      <c r="I47" s="157" t="s">
        <v>155</v>
      </c>
      <c r="J47" s="157" t="s">
        <v>38</v>
      </c>
      <c r="K47" s="157" t="s">
        <v>156</v>
      </c>
      <c r="L47" s="157">
        <v>1</v>
      </c>
      <c r="N47" s="149">
        <v>1</v>
      </c>
      <c r="O47" s="149">
        <v>0.2</v>
      </c>
      <c r="P47" s="149">
        <v>0.2</v>
      </c>
      <c r="Q47" s="186">
        <f t="shared" si="0"/>
        <v>0.2</v>
      </c>
      <c r="R47" s="149">
        <v>14.7</v>
      </c>
      <c r="S47" s="149">
        <v>122</v>
      </c>
      <c r="T47" s="158">
        <f t="shared" si="1"/>
        <v>30</v>
      </c>
      <c r="U47" s="149">
        <v>138</v>
      </c>
      <c r="V47" s="158">
        <f t="shared" si="2"/>
        <v>4140</v>
      </c>
      <c r="W47" s="149">
        <v>1</v>
      </c>
      <c r="X47" s="157" t="s">
        <v>46</v>
      </c>
      <c r="Y47" s="157" t="s">
        <v>55</v>
      </c>
      <c r="Z47" s="157" t="s">
        <v>69</v>
      </c>
      <c r="AA47" s="157" t="s">
        <v>47</v>
      </c>
      <c r="AB47" s="157" t="s">
        <v>315</v>
      </c>
    </row>
    <row r="48" spans="1:28" x14ac:dyDescent="0.15">
      <c r="A48" s="157" t="s">
        <v>34</v>
      </c>
      <c r="B48" s="149" t="s">
        <v>313</v>
      </c>
      <c r="C48" s="149">
        <v>2018</v>
      </c>
      <c r="D48" s="191" t="s">
        <v>433</v>
      </c>
      <c r="E48" s="178" t="s">
        <v>295</v>
      </c>
      <c r="F48" s="178" t="s">
        <v>296</v>
      </c>
      <c r="G48" s="157" t="s">
        <v>36</v>
      </c>
      <c r="H48" s="149" t="s">
        <v>157</v>
      </c>
      <c r="I48" s="157" t="s">
        <v>155</v>
      </c>
      <c r="J48" s="157" t="s">
        <v>38</v>
      </c>
      <c r="K48" s="157" t="s">
        <v>156</v>
      </c>
      <c r="L48" s="149">
        <v>2</v>
      </c>
      <c r="N48" s="149">
        <v>1</v>
      </c>
      <c r="O48" s="149">
        <v>0.6</v>
      </c>
      <c r="P48" s="149">
        <v>0.55000000000000004</v>
      </c>
      <c r="Q48" s="186">
        <f t="shared" si="0"/>
        <v>0.57499999999999996</v>
      </c>
      <c r="R48" s="149">
        <v>12.7</v>
      </c>
      <c r="S48" s="149">
        <v>122</v>
      </c>
      <c r="T48" s="158">
        <f t="shared" si="1"/>
        <v>30</v>
      </c>
      <c r="U48" s="149">
        <v>138</v>
      </c>
      <c r="V48" s="158">
        <f t="shared" si="2"/>
        <v>4140</v>
      </c>
      <c r="W48" s="149">
        <v>1</v>
      </c>
      <c r="X48" s="157" t="s">
        <v>46</v>
      </c>
      <c r="Y48" s="157" t="s">
        <v>55</v>
      </c>
      <c r="Z48" s="157" t="s">
        <v>69</v>
      </c>
      <c r="AA48" s="157" t="s">
        <v>47</v>
      </c>
      <c r="AB48" s="157" t="s">
        <v>315</v>
      </c>
    </row>
    <row r="49" spans="1:28" x14ac:dyDescent="0.15">
      <c r="A49" s="157" t="s">
        <v>34</v>
      </c>
      <c r="B49" s="149" t="s">
        <v>313</v>
      </c>
      <c r="C49" s="149">
        <v>2018</v>
      </c>
      <c r="D49" s="191" t="s">
        <v>433</v>
      </c>
      <c r="E49" s="178" t="s">
        <v>295</v>
      </c>
      <c r="F49" s="178" t="s">
        <v>296</v>
      </c>
      <c r="G49" s="157" t="s">
        <v>36</v>
      </c>
      <c r="H49" s="149" t="s">
        <v>157</v>
      </c>
      <c r="I49" s="157" t="s">
        <v>155</v>
      </c>
      <c r="J49" s="157" t="s">
        <v>38</v>
      </c>
      <c r="K49" s="157" t="s">
        <v>156</v>
      </c>
      <c r="L49" s="149">
        <v>3</v>
      </c>
      <c r="N49" s="149">
        <v>1</v>
      </c>
      <c r="O49" s="149">
        <v>0.2</v>
      </c>
      <c r="P49" s="149">
        <v>0.45</v>
      </c>
      <c r="Q49" s="186">
        <f t="shared" si="0"/>
        <v>0.32500000000000001</v>
      </c>
      <c r="R49" s="149">
        <v>14.1</v>
      </c>
      <c r="S49" s="149">
        <v>127</v>
      </c>
      <c r="T49" s="158">
        <f t="shared" si="1"/>
        <v>30</v>
      </c>
      <c r="U49" s="149">
        <v>138</v>
      </c>
      <c r="V49" s="158">
        <f t="shared" si="2"/>
        <v>4140</v>
      </c>
      <c r="W49" s="149">
        <v>1</v>
      </c>
      <c r="X49" s="157" t="s">
        <v>46</v>
      </c>
      <c r="Y49" s="157" t="s">
        <v>55</v>
      </c>
      <c r="Z49" s="157" t="s">
        <v>69</v>
      </c>
      <c r="AA49" s="157" t="s">
        <v>47</v>
      </c>
      <c r="AB49" s="157" t="s">
        <v>315</v>
      </c>
    </row>
    <row r="50" spans="1:28" x14ac:dyDescent="0.15">
      <c r="A50" s="157" t="s">
        <v>34</v>
      </c>
      <c r="B50" s="149" t="s">
        <v>313</v>
      </c>
      <c r="C50" s="149">
        <v>2018</v>
      </c>
      <c r="D50" s="191" t="s">
        <v>433</v>
      </c>
      <c r="E50" s="178" t="s">
        <v>295</v>
      </c>
      <c r="F50" s="178" t="s">
        <v>296</v>
      </c>
      <c r="G50" s="157" t="s">
        <v>36</v>
      </c>
      <c r="H50" s="149" t="s">
        <v>211</v>
      </c>
      <c r="I50" s="157" t="s">
        <v>155</v>
      </c>
      <c r="J50" s="157" t="s">
        <v>38</v>
      </c>
      <c r="K50" s="157" t="s">
        <v>156</v>
      </c>
      <c r="L50" s="157">
        <v>1</v>
      </c>
      <c r="N50" s="149">
        <v>6</v>
      </c>
      <c r="O50" s="149">
        <v>0.5</v>
      </c>
      <c r="P50" s="149">
        <v>0.6</v>
      </c>
      <c r="Q50" s="186">
        <f t="shared" si="0"/>
        <v>0.55000000000000004</v>
      </c>
      <c r="R50" s="149">
        <v>14.8</v>
      </c>
      <c r="S50" s="149">
        <v>87</v>
      </c>
      <c r="T50" s="158">
        <f t="shared" si="1"/>
        <v>36</v>
      </c>
      <c r="U50" s="149">
        <v>495</v>
      </c>
      <c r="V50" s="158">
        <f t="shared" si="2"/>
        <v>2970</v>
      </c>
      <c r="W50" s="149">
        <v>3</v>
      </c>
      <c r="X50" s="157" t="s">
        <v>46</v>
      </c>
      <c r="Y50" s="157" t="s">
        <v>55</v>
      </c>
      <c r="Z50" s="157" t="s">
        <v>69</v>
      </c>
      <c r="AA50" s="157" t="s">
        <v>47</v>
      </c>
      <c r="AB50" s="157" t="s">
        <v>315</v>
      </c>
    </row>
    <row r="51" spans="1:28" x14ac:dyDescent="0.15">
      <c r="A51" s="157" t="s">
        <v>34</v>
      </c>
      <c r="B51" s="149" t="s">
        <v>313</v>
      </c>
      <c r="C51" s="149">
        <v>2018</v>
      </c>
      <c r="D51" s="191" t="s">
        <v>433</v>
      </c>
      <c r="E51" s="178" t="s">
        <v>295</v>
      </c>
      <c r="F51" s="178" t="s">
        <v>296</v>
      </c>
      <c r="G51" s="157" t="s">
        <v>36</v>
      </c>
      <c r="H51" s="149" t="s">
        <v>211</v>
      </c>
      <c r="I51" s="157" t="s">
        <v>155</v>
      </c>
      <c r="J51" s="157" t="s">
        <v>38</v>
      </c>
      <c r="K51" s="157" t="s">
        <v>156</v>
      </c>
      <c r="L51" s="149">
        <v>2</v>
      </c>
      <c r="N51" s="149">
        <v>6</v>
      </c>
      <c r="O51" s="149">
        <v>0.65</v>
      </c>
      <c r="P51" s="149">
        <v>0.7</v>
      </c>
      <c r="Q51" s="186">
        <f t="shared" si="0"/>
        <v>0.67500000000000004</v>
      </c>
      <c r="R51" s="149">
        <v>17.5</v>
      </c>
      <c r="S51" s="149">
        <v>92</v>
      </c>
      <c r="T51" s="158">
        <f t="shared" si="1"/>
        <v>36</v>
      </c>
      <c r="U51" s="149">
        <v>495</v>
      </c>
      <c r="V51" s="158">
        <f t="shared" si="2"/>
        <v>2970</v>
      </c>
      <c r="W51" s="149">
        <v>3</v>
      </c>
      <c r="X51" s="157" t="s">
        <v>46</v>
      </c>
      <c r="Y51" s="157" t="s">
        <v>55</v>
      </c>
      <c r="Z51" s="157" t="s">
        <v>69</v>
      </c>
      <c r="AA51" s="157" t="s">
        <v>47</v>
      </c>
      <c r="AB51" s="157" t="s">
        <v>315</v>
      </c>
    </row>
    <row r="52" spans="1:28" x14ac:dyDescent="0.15">
      <c r="A52" s="157" t="s">
        <v>34</v>
      </c>
      <c r="B52" s="149" t="s">
        <v>313</v>
      </c>
      <c r="C52" s="149">
        <v>2018</v>
      </c>
      <c r="D52" s="191" t="s">
        <v>433</v>
      </c>
      <c r="E52" s="178" t="s">
        <v>295</v>
      </c>
      <c r="F52" s="178" t="s">
        <v>296</v>
      </c>
      <c r="G52" s="157" t="s">
        <v>36</v>
      </c>
      <c r="H52" s="149" t="s">
        <v>211</v>
      </c>
      <c r="I52" s="157" t="s">
        <v>155</v>
      </c>
      <c r="J52" s="157" t="s">
        <v>38</v>
      </c>
      <c r="K52" s="157" t="s">
        <v>156</v>
      </c>
      <c r="L52" s="149">
        <v>3</v>
      </c>
      <c r="N52" s="149">
        <v>6</v>
      </c>
      <c r="O52" s="149">
        <v>0.8</v>
      </c>
      <c r="P52" s="149">
        <v>0.75</v>
      </c>
      <c r="Q52" s="186">
        <f t="shared" si="0"/>
        <v>0.77500000000000002</v>
      </c>
      <c r="R52" s="149">
        <v>16.7</v>
      </c>
      <c r="S52" s="149">
        <v>89</v>
      </c>
      <c r="T52" s="158">
        <f t="shared" si="1"/>
        <v>36</v>
      </c>
      <c r="U52" s="149">
        <v>495</v>
      </c>
      <c r="V52" s="158">
        <f t="shared" si="2"/>
        <v>2970</v>
      </c>
      <c r="W52" s="149">
        <v>3</v>
      </c>
      <c r="X52" s="157" t="s">
        <v>46</v>
      </c>
      <c r="Y52" s="157" t="s">
        <v>55</v>
      </c>
      <c r="Z52" s="157" t="s">
        <v>69</v>
      </c>
      <c r="AA52" s="157" t="s">
        <v>47</v>
      </c>
      <c r="AB52" s="157" t="s">
        <v>315</v>
      </c>
    </row>
    <row r="53" spans="1:28" x14ac:dyDescent="0.15">
      <c r="A53" s="157" t="s">
        <v>34</v>
      </c>
      <c r="B53" s="149" t="s">
        <v>313</v>
      </c>
      <c r="C53" s="149">
        <v>2018</v>
      </c>
      <c r="D53" s="191" t="s">
        <v>433</v>
      </c>
      <c r="E53" s="178" t="s">
        <v>295</v>
      </c>
      <c r="F53" s="178" t="s">
        <v>296</v>
      </c>
      <c r="G53" s="157" t="s">
        <v>36</v>
      </c>
      <c r="H53" s="149" t="s">
        <v>162</v>
      </c>
      <c r="I53" s="157" t="s">
        <v>155</v>
      </c>
      <c r="J53" s="157" t="s">
        <v>38</v>
      </c>
      <c r="K53" s="157" t="s">
        <v>156</v>
      </c>
      <c r="L53" s="157">
        <v>1</v>
      </c>
      <c r="N53" s="149">
        <v>1</v>
      </c>
      <c r="O53" s="149">
        <v>0.9</v>
      </c>
      <c r="P53" s="149">
        <v>0.95</v>
      </c>
      <c r="Q53" s="186">
        <f t="shared" si="0"/>
        <v>0.92500000000000004</v>
      </c>
      <c r="R53" s="149">
        <v>14.9</v>
      </c>
      <c r="S53" s="149">
        <v>135</v>
      </c>
      <c r="T53" s="158">
        <f t="shared" si="1"/>
        <v>30</v>
      </c>
      <c r="U53" s="149">
        <v>171</v>
      </c>
      <c r="V53" s="158">
        <f t="shared" si="2"/>
        <v>5130</v>
      </c>
      <c r="W53" s="149">
        <v>8</v>
      </c>
      <c r="X53" s="157" t="s">
        <v>46</v>
      </c>
      <c r="Y53" s="157" t="s">
        <v>55</v>
      </c>
      <c r="Z53" s="157" t="s">
        <v>69</v>
      </c>
      <c r="AA53" s="157" t="s">
        <v>47</v>
      </c>
      <c r="AB53" s="157" t="s">
        <v>315</v>
      </c>
    </row>
    <row r="54" spans="1:28" x14ac:dyDescent="0.15">
      <c r="A54" s="157" t="s">
        <v>34</v>
      </c>
      <c r="B54" s="149" t="s">
        <v>313</v>
      </c>
      <c r="C54" s="149">
        <v>2018</v>
      </c>
      <c r="D54" s="191" t="s">
        <v>433</v>
      </c>
      <c r="E54" s="178" t="s">
        <v>295</v>
      </c>
      <c r="F54" s="178" t="s">
        <v>296</v>
      </c>
      <c r="G54" s="157" t="s">
        <v>36</v>
      </c>
      <c r="H54" s="149" t="s">
        <v>162</v>
      </c>
      <c r="I54" s="157" t="s">
        <v>155</v>
      </c>
      <c r="J54" s="157" t="s">
        <v>38</v>
      </c>
      <c r="K54" s="157" t="s">
        <v>156</v>
      </c>
      <c r="L54" s="149">
        <v>2</v>
      </c>
      <c r="N54" s="149">
        <v>1</v>
      </c>
      <c r="O54" s="149">
        <v>0.6</v>
      </c>
      <c r="P54" s="149">
        <v>0.6</v>
      </c>
      <c r="Q54" s="186">
        <f t="shared" si="0"/>
        <v>0.6</v>
      </c>
      <c r="R54" s="149">
        <v>15.2</v>
      </c>
      <c r="S54" s="149">
        <v>140</v>
      </c>
      <c r="T54" s="158">
        <f t="shared" si="1"/>
        <v>30</v>
      </c>
      <c r="U54" s="149">
        <v>171</v>
      </c>
      <c r="V54" s="158">
        <f t="shared" si="2"/>
        <v>5130</v>
      </c>
      <c r="W54" s="149">
        <v>8</v>
      </c>
      <c r="X54" s="157" t="s">
        <v>46</v>
      </c>
      <c r="Y54" s="157" t="s">
        <v>55</v>
      </c>
      <c r="Z54" s="157" t="s">
        <v>69</v>
      </c>
      <c r="AA54" s="157" t="s">
        <v>47</v>
      </c>
      <c r="AB54" s="157" t="s">
        <v>315</v>
      </c>
    </row>
    <row r="55" spans="1:28" x14ac:dyDescent="0.15">
      <c r="A55" s="157" t="s">
        <v>34</v>
      </c>
      <c r="B55" s="149" t="s">
        <v>313</v>
      </c>
      <c r="C55" s="149">
        <v>2018</v>
      </c>
      <c r="D55" s="191" t="s">
        <v>433</v>
      </c>
      <c r="E55" s="178" t="s">
        <v>295</v>
      </c>
      <c r="F55" s="178" t="s">
        <v>296</v>
      </c>
      <c r="G55" s="157" t="s">
        <v>36</v>
      </c>
      <c r="H55" s="149" t="s">
        <v>162</v>
      </c>
      <c r="I55" s="157" t="s">
        <v>155</v>
      </c>
      <c r="J55" s="157" t="s">
        <v>38</v>
      </c>
      <c r="K55" s="157" t="s">
        <v>156</v>
      </c>
      <c r="L55" s="149">
        <v>3</v>
      </c>
      <c r="N55" s="149">
        <v>1</v>
      </c>
      <c r="O55" s="149">
        <v>0.6</v>
      </c>
      <c r="P55" s="149">
        <v>0.5</v>
      </c>
      <c r="Q55" s="186">
        <f t="shared" si="0"/>
        <v>0.55000000000000004</v>
      </c>
      <c r="R55" s="149">
        <v>17.3</v>
      </c>
      <c r="S55" s="149">
        <v>140</v>
      </c>
      <c r="T55" s="158">
        <f t="shared" si="1"/>
        <v>30</v>
      </c>
      <c r="U55" s="149">
        <v>171</v>
      </c>
      <c r="V55" s="158">
        <f t="shared" si="2"/>
        <v>5130</v>
      </c>
      <c r="W55" s="149">
        <v>8</v>
      </c>
      <c r="X55" s="157" t="s">
        <v>46</v>
      </c>
      <c r="Y55" s="157" t="s">
        <v>55</v>
      </c>
      <c r="Z55" s="157" t="s">
        <v>69</v>
      </c>
      <c r="AA55" s="157" t="s">
        <v>47</v>
      </c>
      <c r="AB55" s="157" t="s">
        <v>315</v>
      </c>
    </row>
    <row r="56" spans="1:28" x14ac:dyDescent="0.15">
      <c r="A56" s="157" t="s">
        <v>34</v>
      </c>
      <c r="B56" s="149" t="s">
        <v>313</v>
      </c>
      <c r="C56" s="149">
        <v>2018</v>
      </c>
      <c r="D56" s="191" t="s">
        <v>433</v>
      </c>
      <c r="E56" s="178" t="s">
        <v>295</v>
      </c>
      <c r="F56" s="178" t="s">
        <v>296</v>
      </c>
      <c r="G56" s="157" t="s">
        <v>36</v>
      </c>
      <c r="H56" s="149" t="s">
        <v>162</v>
      </c>
      <c r="I56" s="157" t="s">
        <v>155</v>
      </c>
      <c r="J56" s="157" t="s">
        <v>38</v>
      </c>
      <c r="K56" s="157" t="s">
        <v>156</v>
      </c>
      <c r="L56" s="157">
        <v>1</v>
      </c>
      <c r="N56" s="149">
        <v>3</v>
      </c>
      <c r="O56" s="149">
        <v>0.55000000000000004</v>
      </c>
      <c r="P56" s="149">
        <v>0.2</v>
      </c>
      <c r="Q56" s="186">
        <f t="shared" si="0"/>
        <v>0.375</v>
      </c>
      <c r="R56" s="149">
        <v>15.8</v>
      </c>
      <c r="S56" s="149">
        <v>173</v>
      </c>
      <c r="T56" s="158">
        <f t="shared" si="1"/>
        <v>18</v>
      </c>
      <c r="U56" s="149">
        <v>538</v>
      </c>
      <c r="V56" s="158">
        <f t="shared" si="2"/>
        <v>3228</v>
      </c>
      <c r="W56" s="149">
        <v>8</v>
      </c>
      <c r="X56" s="157" t="s">
        <v>46</v>
      </c>
      <c r="Y56" s="157" t="s">
        <v>55</v>
      </c>
      <c r="Z56" s="157" t="s">
        <v>69</v>
      </c>
      <c r="AA56" s="157" t="s">
        <v>47</v>
      </c>
      <c r="AB56" s="157" t="s">
        <v>315</v>
      </c>
    </row>
    <row r="57" spans="1:28" x14ac:dyDescent="0.15">
      <c r="A57" s="157" t="s">
        <v>34</v>
      </c>
      <c r="B57" s="149" t="s">
        <v>313</v>
      </c>
      <c r="C57" s="149">
        <v>2018</v>
      </c>
      <c r="D57" s="191" t="s">
        <v>433</v>
      </c>
      <c r="E57" s="178" t="s">
        <v>295</v>
      </c>
      <c r="F57" s="178" t="s">
        <v>296</v>
      </c>
      <c r="G57" s="157" t="s">
        <v>36</v>
      </c>
      <c r="H57" s="149" t="s">
        <v>162</v>
      </c>
      <c r="I57" s="157" t="s">
        <v>155</v>
      </c>
      <c r="J57" s="157" t="s">
        <v>38</v>
      </c>
      <c r="K57" s="157" t="s">
        <v>156</v>
      </c>
      <c r="L57" s="149">
        <v>2</v>
      </c>
      <c r="N57" s="149">
        <v>3</v>
      </c>
      <c r="O57" s="149">
        <v>0.2</v>
      </c>
      <c r="P57" s="149">
        <v>0.2</v>
      </c>
      <c r="Q57" s="186">
        <f t="shared" si="0"/>
        <v>0.2</v>
      </c>
      <c r="R57" s="149">
        <v>17.100000000000001</v>
      </c>
      <c r="S57" s="149">
        <v>170</v>
      </c>
      <c r="T57" s="158">
        <f t="shared" si="1"/>
        <v>18</v>
      </c>
      <c r="U57" s="149">
        <v>538</v>
      </c>
      <c r="V57" s="158">
        <f t="shared" si="2"/>
        <v>3228</v>
      </c>
      <c r="W57" s="149">
        <v>8</v>
      </c>
      <c r="X57" s="157" t="s">
        <v>46</v>
      </c>
      <c r="Y57" s="157" t="s">
        <v>55</v>
      </c>
      <c r="Z57" s="157" t="s">
        <v>69</v>
      </c>
      <c r="AA57" s="157" t="s">
        <v>47</v>
      </c>
      <c r="AB57" s="157" t="s">
        <v>315</v>
      </c>
    </row>
    <row r="58" spans="1:28" x14ac:dyDescent="0.15">
      <c r="A58" s="157" t="s">
        <v>34</v>
      </c>
      <c r="B58" s="149" t="s">
        <v>313</v>
      </c>
      <c r="C58" s="149">
        <v>2018</v>
      </c>
      <c r="D58" s="191" t="s">
        <v>433</v>
      </c>
      <c r="E58" s="178" t="s">
        <v>295</v>
      </c>
      <c r="F58" s="178" t="s">
        <v>296</v>
      </c>
      <c r="G58" s="157" t="s">
        <v>36</v>
      </c>
      <c r="H58" s="149" t="s">
        <v>162</v>
      </c>
      <c r="I58" s="157" t="s">
        <v>155</v>
      </c>
      <c r="J58" s="157" t="s">
        <v>38</v>
      </c>
      <c r="K58" s="157" t="s">
        <v>156</v>
      </c>
      <c r="L58" s="149">
        <v>3</v>
      </c>
      <c r="N58" s="149">
        <v>3</v>
      </c>
      <c r="O58" s="149">
        <v>0.2</v>
      </c>
      <c r="P58" s="149">
        <v>0.2</v>
      </c>
      <c r="Q58" s="186">
        <f t="shared" si="0"/>
        <v>0.2</v>
      </c>
      <c r="R58" s="149">
        <v>17.600000000000001</v>
      </c>
      <c r="S58" s="149">
        <v>183</v>
      </c>
      <c r="T58" s="158">
        <f t="shared" si="1"/>
        <v>16</v>
      </c>
      <c r="U58" s="149">
        <v>538</v>
      </c>
      <c r="V58" s="158">
        <f t="shared" si="2"/>
        <v>2869.3333333333335</v>
      </c>
      <c r="W58" s="149">
        <v>8</v>
      </c>
      <c r="X58" s="157" t="s">
        <v>46</v>
      </c>
      <c r="Y58" s="157" t="s">
        <v>55</v>
      </c>
      <c r="Z58" s="157" t="s">
        <v>69</v>
      </c>
      <c r="AA58" s="157" t="s">
        <v>47</v>
      </c>
      <c r="AB58" s="157" t="s">
        <v>315</v>
      </c>
    </row>
    <row r="59" spans="1:28" x14ac:dyDescent="0.15">
      <c r="A59" s="157" t="s">
        <v>34</v>
      </c>
      <c r="B59" s="149" t="s">
        <v>313</v>
      </c>
      <c r="C59" s="149">
        <v>2018</v>
      </c>
      <c r="D59" s="191" t="s">
        <v>433</v>
      </c>
      <c r="E59" s="178" t="s">
        <v>295</v>
      </c>
      <c r="F59" s="178" t="s">
        <v>296</v>
      </c>
      <c r="G59" s="157" t="s">
        <v>36</v>
      </c>
      <c r="H59" s="149" t="s">
        <v>162</v>
      </c>
      <c r="I59" s="157" t="s">
        <v>155</v>
      </c>
      <c r="J59" s="157" t="s">
        <v>38</v>
      </c>
      <c r="K59" s="157" t="s">
        <v>156</v>
      </c>
      <c r="L59" s="157">
        <v>1</v>
      </c>
      <c r="N59" s="149">
        <v>4</v>
      </c>
      <c r="O59" s="149">
        <v>0.2</v>
      </c>
      <c r="P59" s="149">
        <v>0.2</v>
      </c>
      <c r="Q59" s="186">
        <f t="shared" si="0"/>
        <v>0.2</v>
      </c>
      <c r="R59" s="149">
        <v>16.899999999999999</v>
      </c>
      <c r="S59" s="149">
        <v>130</v>
      </c>
      <c r="T59" s="158">
        <f t="shared" si="1"/>
        <v>30</v>
      </c>
      <c r="U59" s="149">
        <v>538</v>
      </c>
      <c r="V59" s="158">
        <f t="shared" si="2"/>
        <v>4035</v>
      </c>
      <c r="W59" s="149">
        <v>8</v>
      </c>
      <c r="X59" s="157" t="s">
        <v>46</v>
      </c>
      <c r="Y59" s="157" t="s">
        <v>55</v>
      </c>
      <c r="Z59" s="157" t="s">
        <v>69</v>
      </c>
      <c r="AA59" s="157" t="s">
        <v>47</v>
      </c>
      <c r="AB59" s="157" t="s">
        <v>315</v>
      </c>
    </row>
    <row r="60" spans="1:28" x14ac:dyDescent="0.15">
      <c r="A60" s="157" t="s">
        <v>34</v>
      </c>
      <c r="B60" s="149" t="s">
        <v>313</v>
      </c>
      <c r="C60" s="149">
        <v>2018</v>
      </c>
      <c r="D60" s="191" t="s">
        <v>433</v>
      </c>
      <c r="E60" s="178" t="s">
        <v>295</v>
      </c>
      <c r="F60" s="178" t="s">
        <v>296</v>
      </c>
      <c r="G60" s="157" t="s">
        <v>36</v>
      </c>
      <c r="H60" s="149" t="s">
        <v>162</v>
      </c>
      <c r="I60" s="157" t="s">
        <v>155</v>
      </c>
      <c r="J60" s="157" t="s">
        <v>38</v>
      </c>
      <c r="K60" s="157" t="s">
        <v>156</v>
      </c>
      <c r="L60" s="149">
        <v>2</v>
      </c>
      <c r="N60" s="149">
        <v>4</v>
      </c>
      <c r="O60" s="149">
        <v>0.2</v>
      </c>
      <c r="P60" s="149">
        <v>0.2</v>
      </c>
      <c r="Q60" s="186">
        <f t="shared" si="0"/>
        <v>0.2</v>
      </c>
      <c r="R60" s="149">
        <v>16.5</v>
      </c>
      <c r="S60" s="149">
        <v>130</v>
      </c>
      <c r="T60" s="158">
        <f t="shared" si="1"/>
        <v>30</v>
      </c>
      <c r="U60" s="149">
        <v>538</v>
      </c>
      <c r="V60" s="158">
        <f t="shared" si="2"/>
        <v>4035</v>
      </c>
      <c r="W60" s="149">
        <v>8</v>
      </c>
      <c r="X60" s="157" t="s">
        <v>46</v>
      </c>
      <c r="Y60" s="157" t="s">
        <v>55</v>
      </c>
      <c r="Z60" s="157" t="s">
        <v>69</v>
      </c>
      <c r="AA60" s="157" t="s">
        <v>47</v>
      </c>
      <c r="AB60" s="157" t="s">
        <v>315</v>
      </c>
    </row>
    <row r="61" spans="1:28" x14ac:dyDescent="0.15">
      <c r="A61" s="157" t="s">
        <v>34</v>
      </c>
      <c r="B61" s="149" t="s">
        <v>313</v>
      </c>
      <c r="C61" s="149">
        <v>2018</v>
      </c>
      <c r="D61" s="191" t="s">
        <v>433</v>
      </c>
      <c r="E61" s="178" t="s">
        <v>295</v>
      </c>
      <c r="F61" s="178" t="s">
        <v>296</v>
      </c>
      <c r="G61" s="157" t="s">
        <v>36</v>
      </c>
      <c r="H61" s="149" t="s">
        <v>162</v>
      </c>
      <c r="I61" s="157" t="s">
        <v>155</v>
      </c>
      <c r="J61" s="157" t="s">
        <v>38</v>
      </c>
      <c r="K61" s="157" t="s">
        <v>156</v>
      </c>
      <c r="L61" s="149">
        <v>3</v>
      </c>
      <c r="N61" s="149">
        <v>4</v>
      </c>
      <c r="O61" s="149">
        <v>0.2</v>
      </c>
      <c r="P61" s="149">
        <v>0.2</v>
      </c>
      <c r="Q61" s="186">
        <f t="shared" si="0"/>
        <v>0.2</v>
      </c>
      <c r="R61" s="149">
        <v>17.7</v>
      </c>
      <c r="S61" s="149">
        <v>134</v>
      </c>
      <c r="T61" s="158">
        <f t="shared" si="1"/>
        <v>30</v>
      </c>
      <c r="U61" s="149">
        <v>538</v>
      </c>
      <c r="V61" s="158">
        <f t="shared" si="2"/>
        <v>4035</v>
      </c>
      <c r="W61" s="149">
        <v>8</v>
      </c>
      <c r="X61" s="157" t="s">
        <v>46</v>
      </c>
      <c r="Y61" s="157" t="s">
        <v>55</v>
      </c>
      <c r="Z61" s="157" t="s">
        <v>69</v>
      </c>
      <c r="AA61" s="157" t="s">
        <v>47</v>
      </c>
      <c r="AB61" s="157" t="s">
        <v>315</v>
      </c>
    </row>
    <row r="62" spans="1:28" x14ac:dyDescent="0.15">
      <c r="A62" s="157" t="s">
        <v>34</v>
      </c>
      <c r="B62" s="149" t="s">
        <v>313</v>
      </c>
      <c r="C62" s="149">
        <v>2018</v>
      </c>
      <c r="D62" s="191" t="s">
        <v>433</v>
      </c>
      <c r="E62" s="178" t="s">
        <v>297</v>
      </c>
      <c r="F62" s="178" t="s">
        <v>298</v>
      </c>
      <c r="G62" s="157" t="s">
        <v>36</v>
      </c>
      <c r="H62" s="149" t="s">
        <v>157</v>
      </c>
      <c r="I62" s="157" t="s">
        <v>155</v>
      </c>
      <c r="J62" s="157" t="s">
        <v>38</v>
      </c>
      <c r="K62" s="157" t="s">
        <v>156</v>
      </c>
      <c r="L62" s="157">
        <v>1</v>
      </c>
      <c r="N62" s="149">
        <v>1</v>
      </c>
      <c r="O62" s="149">
        <v>0.7</v>
      </c>
      <c r="P62" s="149">
        <v>0.8</v>
      </c>
      <c r="Q62" s="186">
        <f t="shared" si="0"/>
        <v>0.75</v>
      </c>
      <c r="R62" s="149">
        <v>15.2</v>
      </c>
      <c r="S62" s="149">
        <v>149</v>
      </c>
      <c r="T62" s="158">
        <f t="shared" si="1"/>
        <v>30</v>
      </c>
      <c r="U62" s="149">
        <v>105</v>
      </c>
      <c r="V62" s="158">
        <f t="shared" si="2"/>
        <v>3150</v>
      </c>
      <c r="W62" s="149">
        <v>6</v>
      </c>
      <c r="X62" s="157" t="s">
        <v>46</v>
      </c>
      <c r="Y62" s="157" t="s">
        <v>55</v>
      </c>
      <c r="Z62" s="157" t="s">
        <v>78</v>
      </c>
      <c r="AA62" s="157" t="s">
        <v>69</v>
      </c>
      <c r="AB62" s="157" t="s">
        <v>315</v>
      </c>
    </row>
    <row r="63" spans="1:28" x14ac:dyDescent="0.15">
      <c r="A63" s="157" t="s">
        <v>34</v>
      </c>
      <c r="B63" s="149" t="s">
        <v>313</v>
      </c>
      <c r="C63" s="149">
        <v>2018</v>
      </c>
      <c r="D63" s="191" t="s">
        <v>433</v>
      </c>
      <c r="E63" s="178" t="s">
        <v>297</v>
      </c>
      <c r="F63" s="178" t="s">
        <v>298</v>
      </c>
      <c r="G63" s="157" t="s">
        <v>36</v>
      </c>
      <c r="H63" s="149" t="s">
        <v>157</v>
      </c>
      <c r="I63" s="157" t="s">
        <v>155</v>
      </c>
      <c r="J63" s="157" t="s">
        <v>38</v>
      </c>
      <c r="K63" s="157" t="s">
        <v>156</v>
      </c>
      <c r="L63" s="149">
        <v>2</v>
      </c>
      <c r="N63" s="149">
        <v>1</v>
      </c>
      <c r="O63" s="149">
        <v>1.05</v>
      </c>
      <c r="P63" s="149">
        <v>1.2</v>
      </c>
      <c r="Q63" s="186">
        <f t="shared" si="0"/>
        <v>1.125</v>
      </c>
      <c r="R63" s="149">
        <v>14.1</v>
      </c>
      <c r="S63" s="149">
        <v>164</v>
      </c>
      <c r="T63" s="158">
        <f t="shared" si="1"/>
        <v>18</v>
      </c>
      <c r="U63" s="149">
        <v>105</v>
      </c>
      <c r="V63" s="158">
        <f t="shared" si="2"/>
        <v>1890</v>
      </c>
      <c r="W63" s="149">
        <v>6</v>
      </c>
      <c r="X63" s="157" t="s">
        <v>46</v>
      </c>
      <c r="Y63" s="157" t="s">
        <v>55</v>
      </c>
      <c r="Z63" s="157" t="s">
        <v>78</v>
      </c>
      <c r="AA63" s="157" t="s">
        <v>69</v>
      </c>
      <c r="AB63" s="157" t="s">
        <v>315</v>
      </c>
    </row>
    <row r="64" spans="1:28" x14ac:dyDescent="0.15">
      <c r="A64" s="157" t="s">
        <v>34</v>
      </c>
      <c r="B64" s="149" t="s">
        <v>313</v>
      </c>
      <c r="C64" s="149">
        <v>2018</v>
      </c>
      <c r="D64" s="191" t="s">
        <v>433</v>
      </c>
      <c r="E64" s="178" t="s">
        <v>297</v>
      </c>
      <c r="F64" s="178" t="s">
        <v>298</v>
      </c>
      <c r="G64" s="157" t="s">
        <v>36</v>
      </c>
      <c r="H64" s="149" t="s">
        <v>157</v>
      </c>
      <c r="I64" s="157" t="s">
        <v>155</v>
      </c>
      <c r="J64" s="157" t="s">
        <v>38</v>
      </c>
      <c r="K64" s="157" t="s">
        <v>156</v>
      </c>
      <c r="L64" s="149">
        <v>3</v>
      </c>
      <c r="N64" s="149">
        <v>1</v>
      </c>
      <c r="O64" s="149">
        <v>0.8</v>
      </c>
      <c r="P64" s="149">
        <v>0.8</v>
      </c>
      <c r="Q64" s="186">
        <f t="shared" si="0"/>
        <v>0.8</v>
      </c>
      <c r="R64" s="149">
        <v>15.9</v>
      </c>
      <c r="S64" s="149">
        <v>166</v>
      </c>
      <c r="T64" s="158">
        <f t="shared" si="1"/>
        <v>18</v>
      </c>
      <c r="U64" s="149">
        <v>105</v>
      </c>
      <c r="V64" s="158">
        <f t="shared" si="2"/>
        <v>1890</v>
      </c>
      <c r="W64" s="149">
        <v>6</v>
      </c>
      <c r="X64" s="157" t="s">
        <v>46</v>
      </c>
      <c r="Y64" s="157" t="s">
        <v>55</v>
      </c>
      <c r="Z64" s="157" t="s">
        <v>78</v>
      </c>
      <c r="AA64" s="157" t="s">
        <v>69</v>
      </c>
      <c r="AB64" s="157" t="s">
        <v>315</v>
      </c>
    </row>
    <row r="65" spans="1:28" x14ac:dyDescent="0.15">
      <c r="A65" s="157" t="s">
        <v>34</v>
      </c>
      <c r="B65" s="149" t="s">
        <v>313</v>
      </c>
      <c r="C65" s="149">
        <v>2018</v>
      </c>
      <c r="D65" s="191" t="s">
        <v>433</v>
      </c>
      <c r="E65" s="178" t="s">
        <v>297</v>
      </c>
      <c r="F65" s="178" t="s">
        <v>298</v>
      </c>
      <c r="G65" s="157" t="s">
        <v>36</v>
      </c>
      <c r="H65" s="149" t="s">
        <v>162</v>
      </c>
      <c r="I65" s="157" t="s">
        <v>155</v>
      </c>
      <c r="J65" s="157" t="s">
        <v>38</v>
      </c>
      <c r="K65" s="157" t="s">
        <v>156</v>
      </c>
      <c r="L65" s="157">
        <v>1</v>
      </c>
      <c r="N65" s="149">
        <v>1</v>
      </c>
      <c r="O65" s="149">
        <v>0.55000000000000004</v>
      </c>
      <c r="P65" s="149">
        <v>0.55000000000000004</v>
      </c>
      <c r="Q65" s="186">
        <f t="shared" si="0"/>
        <v>0.55000000000000004</v>
      </c>
      <c r="R65" s="149">
        <v>14.4</v>
      </c>
      <c r="S65" s="149">
        <v>151</v>
      </c>
      <c r="T65" s="158">
        <f t="shared" si="1"/>
        <v>30</v>
      </c>
      <c r="U65" s="149">
        <v>105</v>
      </c>
      <c r="V65" s="158">
        <f t="shared" si="2"/>
        <v>3150</v>
      </c>
      <c r="W65" s="149">
        <v>11</v>
      </c>
      <c r="X65" s="157" t="s">
        <v>46</v>
      </c>
      <c r="Y65" s="157" t="s">
        <v>55</v>
      </c>
      <c r="Z65" s="157" t="s">
        <v>78</v>
      </c>
      <c r="AA65" s="157" t="s">
        <v>69</v>
      </c>
      <c r="AB65" s="157" t="s">
        <v>315</v>
      </c>
    </row>
    <row r="66" spans="1:28" x14ac:dyDescent="0.15">
      <c r="A66" s="157" t="s">
        <v>34</v>
      </c>
      <c r="B66" s="149" t="s">
        <v>313</v>
      </c>
      <c r="C66" s="149">
        <v>2018</v>
      </c>
      <c r="D66" s="191" t="s">
        <v>433</v>
      </c>
      <c r="E66" s="178" t="s">
        <v>297</v>
      </c>
      <c r="F66" s="178" t="s">
        <v>298</v>
      </c>
      <c r="G66" s="157" t="s">
        <v>36</v>
      </c>
      <c r="H66" s="149" t="s">
        <v>162</v>
      </c>
      <c r="I66" s="157" t="s">
        <v>155</v>
      </c>
      <c r="J66" s="157" t="s">
        <v>38</v>
      </c>
      <c r="K66" s="157" t="s">
        <v>156</v>
      </c>
      <c r="L66" s="149">
        <v>2</v>
      </c>
      <c r="N66" s="149">
        <v>1</v>
      </c>
      <c r="O66" s="149">
        <v>0.2</v>
      </c>
      <c r="P66" s="149">
        <v>0.45</v>
      </c>
      <c r="Q66" s="186">
        <f t="shared" si="0"/>
        <v>0.32500000000000001</v>
      </c>
      <c r="R66" s="149">
        <v>14.8</v>
      </c>
      <c r="S66" s="149">
        <v>151</v>
      </c>
      <c r="T66" s="158">
        <f t="shared" si="1"/>
        <v>30</v>
      </c>
      <c r="U66" s="149">
        <v>105</v>
      </c>
      <c r="V66" s="158">
        <f t="shared" si="2"/>
        <v>3150</v>
      </c>
      <c r="W66" s="149">
        <v>11</v>
      </c>
      <c r="X66" s="157" t="s">
        <v>46</v>
      </c>
      <c r="Y66" s="157" t="s">
        <v>55</v>
      </c>
      <c r="Z66" s="157" t="s">
        <v>78</v>
      </c>
      <c r="AA66" s="157" t="s">
        <v>69</v>
      </c>
      <c r="AB66" s="157" t="s">
        <v>315</v>
      </c>
    </row>
    <row r="67" spans="1:28" x14ac:dyDescent="0.15">
      <c r="A67" s="157" t="s">
        <v>34</v>
      </c>
      <c r="B67" s="149" t="s">
        <v>313</v>
      </c>
      <c r="C67" s="149">
        <v>2018</v>
      </c>
      <c r="D67" s="191" t="s">
        <v>433</v>
      </c>
      <c r="E67" s="178" t="s">
        <v>297</v>
      </c>
      <c r="F67" s="178" t="s">
        <v>298</v>
      </c>
      <c r="G67" s="157" t="s">
        <v>36</v>
      </c>
      <c r="H67" s="149" t="s">
        <v>162</v>
      </c>
      <c r="I67" s="157" t="s">
        <v>155</v>
      </c>
      <c r="J67" s="157" t="s">
        <v>38</v>
      </c>
      <c r="K67" s="157" t="s">
        <v>156</v>
      </c>
      <c r="L67" s="149">
        <v>3</v>
      </c>
      <c r="N67" s="149">
        <v>1</v>
      </c>
      <c r="O67" s="149">
        <v>0.55000000000000004</v>
      </c>
      <c r="P67" s="149">
        <v>0.45</v>
      </c>
      <c r="Q67" s="186">
        <f t="shared" si="0"/>
        <v>0.5</v>
      </c>
      <c r="R67" s="149">
        <v>16.899999999999999</v>
      </c>
      <c r="S67" s="149">
        <v>148</v>
      </c>
      <c r="T67" s="158">
        <f t="shared" si="1"/>
        <v>30</v>
      </c>
      <c r="U67" s="149">
        <v>105</v>
      </c>
      <c r="V67" s="158">
        <f t="shared" si="2"/>
        <v>3150</v>
      </c>
      <c r="W67" s="149">
        <v>11</v>
      </c>
      <c r="X67" s="157" t="s">
        <v>46</v>
      </c>
      <c r="Y67" s="157" t="s">
        <v>55</v>
      </c>
      <c r="Z67" s="157" t="s">
        <v>78</v>
      </c>
      <c r="AA67" s="157" t="s">
        <v>69</v>
      </c>
      <c r="AB67" s="157" t="s">
        <v>315</v>
      </c>
    </row>
    <row r="68" spans="1:28" x14ac:dyDescent="0.15">
      <c r="A68" s="157" t="s">
        <v>34</v>
      </c>
      <c r="B68" s="149" t="s">
        <v>313</v>
      </c>
      <c r="C68" s="149">
        <v>2018</v>
      </c>
      <c r="D68" s="191" t="s">
        <v>433</v>
      </c>
      <c r="E68" s="178" t="s">
        <v>297</v>
      </c>
      <c r="F68" s="178" t="s">
        <v>298</v>
      </c>
      <c r="G68" s="157" t="s">
        <v>36</v>
      </c>
      <c r="H68" s="149" t="s">
        <v>162</v>
      </c>
      <c r="I68" s="157" t="s">
        <v>155</v>
      </c>
      <c r="J68" s="157" t="s">
        <v>38</v>
      </c>
      <c r="K68" s="157" t="s">
        <v>156</v>
      </c>
      <c r="L68" s="157">
        <v>1</v>
      </c>
      <c r="N68" s="149">
        <v>2</v>
      </c>
      <c r="O68" s="149">
        <v>0.5</v>
      </c>
      <c r="P68" s="149">
        <v>0.45</v>
      </c>
      <c r="Q68" s="186">
        <f t="shared" si="0"/>
        <v>0.47499999999999998</v>
      </c>
      <c r="R68" s="149">
        <v>15.4</v>
      </c>
      <c r="S68" s="149">
        <v>214</v>
      </c>
      <c r="T68" s="158">
        <f t="shared" si="1"/>
        <v>16</v>
      </c>
      <c r="U68" s="149">
        <v>429</v>
      </c>
      <c r="V68" s="158">
        <f t="shared" si="2"/>
        <v>3432</v>
      </c>
      <c r="W68" s="149">
        <v>11</v>
      </c>
      <c r="X68" s="157" t="s">
        <v>46</v>
      </c>
      <c r="Y68" s="157" t="s">
        <v>55</v>
      </c>
      <c r="Z68" s="157" t="s">
        <v>78</v>
      </c>
      <c r="AA68" s="157" t="s">
        <v>69</v>
      </c>
      <c r="AB68" s="157" t="s">
        <v>315</v>
      </c>
    </row>
    <row r="69" spans="1:28" x14ac:dyDescent="0.15">
      <c r="A69" s="157" t="s">
        <v>34</v>
      </c>
      <c r="B69" s="149" t="s">
        <v>313</v>
      </c>
      <c r="C69" s="149">
        <v>2018</v>
      </c>
      <c r="D69" s="191" t="s">
        <v>433</v>
      </c>
      <c r="E69" s="178" t="s">
        <v>297</v>
      </c>
      <c r="F69" s="178" t="s">
        <v>298</v>
      </c>
      <c r="G69" s="157" t="s">
        <v>36</v>
      </c>
      <c r="H69" s="149" t="s">
        <v>162</v>
      </c>
      <c r="I69" s="157" t="s">
        <v>155</v>
      </c>
      <c r="J69" s="157" t="s">
        <v>38</v>
      </c>
      <c r="K69" s="157" t="s">
        <v>156</v>
      </c>
      <c r="L69" s="149">
        <v>2</v>
      </c>
      <c r="N69" s="149">
        <v>2</v>
      </c>
      <c r="O69" s="149">
        <v>0.2</v>
      </c>
      <c r="P69" s="149">
        <v>0.2</v>
      </c>
      <c r="Q69" s="186">
        <f t="shared" si="0"/>
        <v>0.2</v>
      </c>
      <c r="R69" s="149">
        <v>18.3</v>
      </c>
      <c r="S69" s="149">
        <v>197</v>
      </c>
      <c r="T69" s="158">
        <f t="shared" si="1"/>
        <v>16</v>
      </c>
      <c r="U69" s="149">
        <v>429</v>
      </c>
      <c r="V69" s="158">
        <f t="shared" si="2"/>
        <v>3432</v>
      </c>
      <c r="W69" s="149">
        <v>11</v>
      </c>
      <c r="X69" s="157" t="s">
        <v>46</v>
      </c>
      <c r="Y69" s="157" t="s">
        <v>55</v>
      </c>
      <c r="Z69" s="157" t="s">
        <v>78</v>
      </c>
      <c r="AA69" s="157" t="s">
        <v>69</v>
      </c>
      <c r="AB69" s="157" t="s">
        <v>315</v>
      </c>
    </row>
    <row r="70" spans="1:28" x14ac:dyDescent="0.15">
      <c r="A70" s="157" t="s">
        <v>34</v>
      </c>
      <c r="B70" s="149" t="s">
        <v>313</v>
      </c>
      <c r="C70" s="149">
        <v>2018</v>
      </c>
      <c r="D70" s="191" t="s">
        <v>433</v>
      </c>
      <c r="E70" s="178" t="s">
        <v>297</v>
      </c>
      <c r="F70" s="178" t="s">
        <v>298</v>
      </c>
      <c r="G70" s="157" t="s">
        <v>36</v>
      </c>
      <c r="H70" s="149" t="s">
        <v>162</v>
      </c>
      <c r="I70" s="157" t="s">
        <v>155</v>
      </c>
      <c r="J70" s="157" t="s">
        <v>38</v>
      </c>
      <c r="K70" s="157" t="s">
        <v>156</v>
      </c>
      <c r="L70" s="149">
        <v>3</v>
      </c>
      <c r="N70" s="149">
        <v>2</v>
      </c>
      <c r="O70" s="149">
        <v>0.2</v>
      </c>
      <c r="P70" s="149">
        <v>0.2</v>
      </c>
      <c r="Q70" s="186">
        <f t="shared" si="0"/>
        <v>0.2</v>
      </c>
      <c r="R70" s="149">
        <v>17.7</v>
      </c>
      <c r="S70" s="149">
        <v>199</v>
      </c>
      <c r="T70" s="158">
        <f t="shared" si="1"/>
        <v>16</v>
      </c>
      <c r="U70" s="149">
        <v>429</v>
      </c>
      <c r="V70" s="158">
        <f t="shared" si="2"/>
        <v>3432</v>
      </c>
      <c r="W70" s="149">
        <v>11</v>
      </c>
      <c r="X70" s="157" t="s">
        <v>46</v>
      </c>
      <c r="Y70" s="157" t="s">
        <v>55</v>
      </c>
      <c r="Z70" s="157" t="s">
        <v>78</v>
      </c>
      <c r="AA70" s="157" t="s">
        <v>69</v>
      </c>
      <c r="AB70" s="157" t="s">
        <v>315</v>
      </c>
    </row>
    <row r="71" spans="1:28" x14ac:dyDescent="0.15">
      <c r="A71" s="157" t="s">
        <v>34</v>
      </c>
      <c r="B71" s="149" t="s">
        <v>313</v>
      </c>
      <c r="C71" s="149">
        <v>2018</v>
      </c>
      <c r="D71" s="191" t="s">
        <v>433</v>
      </c>
      <c r="E71" s="178" t="s">
        <v>300</v>
      </c>
      <c r="F71" s="178" t="s">
        <v>301</v>
      </c>
      <c r="G71" s="157" t="s">
        <v>36</v>
      </c>
      <c r="H71" s="149" t="s">
        <v>157</v>
      </c>
      <c r="I71" s="157" t="s">
        <v>155</v>
      </c>
      <c r="J71" s="157" t="s">
        <v>38</v>
      </c>
      <c r="K71" s="157" t="s">
        <v>156</v>
      </c>
      <c r="L71" s="157">
        <v>1</v>
      </c>
      <c r="N71" s="149">
        <v>1</v>
      </c>
      <c r="O71" s="149">
        <v>0.55000000000000004</v>
      </c>
      <c r="P71" s="149">
        <v>0.55000000000000004</v>
      </c>
      <c r="Q71" s="186">
        <f t="shared" si="0"/>
        <v>0.55000000000000004</v>
      </c>
      <c r="R71" s="149">
        <v>15</v>
      </c>
      <c r="S71" s="149">
        <v>143</v>
      </c>
      <c r="T71" s="158">
        <f t="shared" si="1"/>
        <v>30</v>
      </c>
      <c r="U71" s="149">
        <v>139</v>
      </c>
      <c r="V71" s="158">
        <f t="shared" si="2"/>
        <v>4170</v>
      </c>
      <c r="W71" s="149">
        <v>3</v>
      </c>
      <c r="X71" s="157" t="s">
        <v>46</v>
      </c>
      <c r="Y71" s="157" t="s">
        <v>55</v>
      </c>
      <c r="Z71" s="157" t="s">
        <v>69</v>
      </c>
      <c r="AA71" s="157" t="s">
        <v>47</v>
      </c>
      <c r="AB71" s="157" t="s">
        <v>315</v>
      </c>
    </row>
    <row r="72" spans="1:28" x14ac:dyDescent="0.15">
      <c r="A72" s="157" t="s">
        <v>34</v>
      </c>
      <c r="B72" s="149" t="s">
        <v>313</v>
      </c>
      <c r="C72" s="149">
        <v>2018</v>
      </c>
      <c r="D72" s="191" t="s">
        <v>433</v>
      </c>
      <c r="E72" s="178" t="s">
        <v>300</v>
      </c>
      <c r="F72" s="178" t="s">
        <v>301</v>
      </c>
      <c r="G72" s="157" t="s">
        <v>36</v>
      </c>
      <c r="H72" s="149" t="s">
        <v>157</v>
      </c>
      <c r="I72" s="157" t="s">
        <v>155</v>
      </c>
      <c r="J72" s="157" t="s">
        <v>38</v>
      </c>
      <c r="K72" s="157" t="s">
        <v>156</v>
      </c>
      <c r="L72" s="149">
        <v>2</v>
      </c>
      <c r="N72" s="149">
        <v>1</v>
      </c>
      <c r="O72" s="149">
        <v>0.2</v>
      </c>
      <c r="P72" s="149">
        <v>0.55000000000000004</v>
      </c>
      <c r="Q72" s="186">
        <f t="shared" si="0"/>
        <v>0.375</v>
      </c>
      <c r="R72" s="149">
        <v>14</v>
      </c>
      <c r="S72" s="149">
        <v>137</v>
      </c>
      <c r="T72" s="158">
        <f t="shared" si="1"/>
        <v>30</v>
      </c>
      <c r="U72" s="149">
        <v>139</v>
      </c>
      <c r="V72" s="158">
        <f t="shared" si="2"/>
        <v>4170</v>
      </c>
      <c r="W72" s="149">
        <v>3</v>
      </c>
      <c r="X72" s="157" t="s">
        <v>46</v>
      </c>
      <c r="Y72" s="157" t="s">
        <v>55</v>
      </c>
      <c r="Z72" s="157" t="s">
        <v>69</v>
      </c>
      <c r="AA72" s="157" t="s">
        <v>47</v>
      </c>
      <c r="AB72" s="157" t="s">
        <v>315</v>
      </c>
    </row>
    <row r="73" spans="1:28" x14ac:dyDescent="0.15">
      <c r="A73" s="157" t="s">
        <v>34</v>
      </c>
      <c r="B73" s="149" t="s">
        <v>313</v>
      </c>
      <c r="C73" s="149">
        <v>2018</v>
      </c>
      <c r="D73" s="191" t="s">
        <v>433</v>
      </c>
      <c r="E73" s="178" t="s">
        <v>300</v>
      </c>
      <c r="F73" s="178" t="s">
        <v>301</v>
      </c>
      <c r="G73" s="157" t="s">
        <v>36</v>
      </c>
      <c r="H73" s="149" t="s">
        <v>157</v>
      </c>
      <c r="I73" s="157" t="s">
        <v>155</v>
      </c>
      <c r="J73" s="157" t="s">
        <v>38</v>
      </c>
      <c r="K73" s="157" t="s">
        <v>156</v>
      </c>
      <c r="L73" s="149">
        <v>3</v>
      </c>
      <c r="N73" s="149">
        <v>1</v>
      </c>
      <c r="O73" s="149">
        <v>0.75</v>
      </c>
      <c r="P73" s="149">
        <v>0.8</v>
      </c>
      <c r="Q73" s="186">
        <f t="shared" si="0"/>
        <v>0.77500000000000002</v>
      </c>
      <c r="R73" s="149">
        <v>14.7</v>
      </c>
      <c r="S73" s="149">
        <v>139</v>
      </c>
      <c r="T73" s="158">
        <f t="shared" si="1"/>
        <v>30</v>
      </c>
      <c r="U73" s="149">
        <v>139</v>
      </c>
      <c r="V73" s="158">
        <f t="shared" si="2"/>
        <v>4170</v>
      </c>
      <c r="W73" s="149">
        <v>3</v>
      </c>
      <c r="X73" s="157" t="s">
        <v>46</v>
      </c>
      <c r="Y73" s="157" t="s">
        <v>55</v>
      </c>
      <c r="Z73" s="157" t="s">
        <v>69</v>
      </c>
      <c r="AA73" s="157" t="s">
        <v>47</v>
      </c>
      <c r="AB73" s="157" t="s">
        <v>315</v>
      </c>
    </row>
    <row r="74" spans="1:28" x14ac:dyDescent="0.15">
      <c r="A74" s="157" t="s">
        <v>34</v>
      </c>
      <c r="B74" s="149" t="s">
        <v>313</v>
      </c>
      <c r="C74" s="149">
        <v>2018</v>
      </c>
      <c r="D74" s="191" t="s">
        <v>433</v>
      </c>
      <c r="E74" s="178" t="s">
        <v>300</v>
      </c>
      <c r="F74" s="178" t="s">
        <v>301</v>
      </c>
      <c r="G74" s="157" t="s">
        <v>36</v>
      </c>
      <c r="H74" s="149" t="s">
        <v>157</v>
      </c>
      <c r="I74" s="157" t="s">
        <v>155</v>
      </c>
      <c r="J74" s="157" t="s">
        <v>38</v>
      </c>
      <c r="K74" s="157" t="s">
        <v>156</v>
      </c>
      <c r="L74" s="157">
        <v>1</v>
      </c>
      <c r="N74" s="149">
        <v>4</v>
      </c>
      <c r="O74" s="149">
        <v>0.6</v>
      </c>
      <c r="P74" s="149">
        <v>0.55000000000000004</v>
      </c>
      <c r="Q74" s="186">
        <f t="shared" si="0"/>
        <v>0.57499999999999996</v>
      </c>
      <c r="R74" s="149">
        <v>11</v>
      </c>
      <c r="S74" s="149">
        <v>90</v>
      </c>
      <c r="T74" s="158">
        <f t="shared" si="1"/>
        <v>36</v>
      </c>
      <c r="U74" s="149">
        <v>322</v>
      </c>
      <c r="V74" s="158">
        <f t="shared" si="2"/>
        <v>2898</v>
      </c>
      <c r="W74" s="149">
        <v>3</v>
      </c>
      <c r="X74" s="157" t="s">
        <v>46</v>
      </c>
      <c r="Y74" s="157" t="s">
        <v>55</v>
      </c>
      <c r="Z74" s="157" t="s">
        <v>69</v>
      </c>
      <c r="AA74" s="157" t="s">
        <v>47</v>
      </c>
      <c r="AB74" s="157" t="s">
        <v>315</v>
      </c>
    </row>
    <row r="75" spans="1:28" x14ac:dyDescent="0.15">
      <c r="A75" s="157" t="s">
        <v>34</v>
      </c>
      <c r="B75" s="149" t="s">
        <v>313</v>
      </c>
      <c r="C75" s="149">
        <v>2018</v>
      </c>
      <c r="D75" s="191" t="s">
        <v>433</v>
      </c>
      <c r="E75" s="178" t="s">
        <v>300</v>
      </c>
      <c r="F75" s="178" t="s">
        <v>301</v>
      </c>
      <c r="G75" s="157" t="s">
        <v>36</v>
      </c>
      <c r="H75" s="149" t="s">
        <v>157</v>
      </c>
      <c r="I75" s="157" t="s">
        <v>155</v>
      </c>
      <c r="J75" s="157" t="s">
        <v>38</v>
      </c>
      <c r="K75" s="157" t="s">
        <v>156</v>
      </c>
      <c r="L75" s="149">
        <v>2</v>
      </c>
      <c r="N75" s="149">
        <v>4</v>
      </c>
      <c r="O75" s="149">
        <v>0.2</v>
      </c>
      <c r="P75" s="149">
        <v>0.2</v>
      </c>
      <c r="Q75" s="186">
        <f t="shared" si="0"/>
        <v>0.2</v>
      </c>
      <c r="R75" s="149">
        <v>12.5</v>
      </c>
      <c r="S75" s="149">
        <v>84</v>
      </c>
      <c r="T75" s="158">
        <f t="shared" si="1"/>
        <v>36</v>
      </c>
      <c r="U75" s="149">
        <v>322</v>
      </c>
      <c r="V75" s="158">
        <f t="shared" si="2"/>
        <v>2898</v>
      </c>
      <c r="W75" s="149">
        <v>3</v>
      </c>
      <c r="X75" s="157" t="s">
        <v>46</v>
      </c>
      <c r="Y75" s="157" t="s">
        <v>55</v>
      </c>
      <c r="Z75" s="157" t="s">
        <v>69</v>
      </c>
      <c r="AA75" s="157" t="s">
        <v>47</v>
      </c>
      <c r="AB75" s="157" t="s">
        <v>315</v>
      </c>
    </row>
    <row r="76" spans="1:28" x14ac:dyDescent="0.15">
      <c r="A76" s="157" t="s">
        <v>34</v>
      </c>
      <c r="B76" s="149" t="s">
        <v>313</v>
      </c>
      <c r="C76" s="149">
        <v>2018</v>
      </c>
      <c r="D76" s="191" t="s">
        <v>433</v>
      </c>
      <c r="E76" s="178" t="s">
        <v>300</v>
      </c>
      <c r="F76" s="178" t="s">
        <v>301</v>
      </c>
      <c r="G76" s="157" t="s">
        <v>36</v>
      </c>
      <c r="H76" s="149" t="s">
        <v>157</v>
      </c>
      <c r="I76" s="157" t="s">
        <v>155</v>
      </c>
      <c r="J76" s="157" t="s">
        <v>38</v>
      </c>
      <c r="K76" s="157" t="s">
        <v>156</v>
      </c>
      <c r="L76" s="149">
        <v>3</v>
      </c>
      <c r="N76" s="149">
        <v>4</v>
      </c>
      <c r="O76" s="149">
        <v>0.45</v>
      </c>
      <c r="P76" s="149">
        <v>0.5</v>
      </c>
      <c r="Q76" s="186">
        <f t="shared" si="0"/>
        <v>0.47499999999999998</v>
      </c>
      <c r="R76" s="149">
        <v>11</v>
      </c>
      <c r="S76" s="149">
        <v>84</v>
      </c>
      <c r="T76" s="158">
        <f t="shared" si="1"/>
        <v>36</v>
      </c>
      <c r="U76" s="149">
        <v>322</v>
      </c>
      <c r="V76" s="158">
        <f t="shared" si="2"/>
        <v>2898</v>
      </c>
      <c r="W76" s="149">
        <v>3</v>
      </c>
      <c r="X76" s="157" t="s">
        <v>46</v>
      </c>
      <c r="Y76" s="157" t="s">
        <v>55</v>
      </c>
      <c r="Z76" s="157" t="s">
        <v>69</v>
      </c>
      <c r="AA76" s="157" t="s">
        <v>47</v>
      </c>
      <c r="AB76" s="157" t="s">
        <v>315</v>
      </c>
    </row>
    <row r="77" spans="1:28" x14ac:dyDescent="0.15">
      <c r="A77" s="157" t="s">
        <v>34</v>
      </c>
      <c r="B77" s="149" t="s">
        <v>313</v>
      </c>
      <c r="C77" s="149">
        <v>2018</v>
      </c>
      <c r="D77" s="191" t="s">
        <v>433</v>
      </c>
      <c r="E77" s="178" t="s">
        <v>300</v>
      </c>
      <c r="F77" s="178" t="s">
        <v>301</v>
      </c>
      <c r="G77" s="157" t="s">
        <v>36</v>
      </c>
      <c r="H77" s="149" t="s">
        <v>211</v>
      </c>
      <c r="I77" s="157" t="s">
        <v>155</v>
      </c>
      <c r="J77" s="157" t="s">
        <v>38</v>
      </c>
      <c r="K77" s="157" t="s">
        <v>156</v>
      </c>
      <c r="L77" s="157">
        <v>1</v>
      </c>
      <c r="N77" s="149">
        <v>1</v>
      </c>
      <c r="O77" s="149">
        <v>0.55000000000000004</v>
      </c>
      <c r="P77" s="149">
        <v>0.6</v>
      </c>
      <c r="Q77" s="186">
        <f t="shared" si="0"/>
        <v>0.57499999999999996</v>
      </c>
      <c r="R77" s="149">
        <v>18.5</v>
      </c>
      <c r="S77" s="149">
        <v>109</v>
      </c>
      <c r="T77" s="158">
        <f t="shared" si="1"/>
        <v>33</v>
      </c>
      <c r="U77" s="149">
        <v>139</v>
      </c>
      <c r="V77" s="158">
        <f t="shared" si="2"/>
        <v>4587</v>
      </c>
      <c r="W77" s="149">
        <v>1</v>
      </c>
      <c r="X77" s="157" t="s">
        <v>46</v>
      </c>
      <c r="Y77" s="157" t="s">
        <v>55</v>
      </c>
      <c r="Z77" s="157" t="s">
        <v>69</v>
      </c>
      <c r="AA77" s="157" t="s">
        <v>47</v>
      </c>
      <c r="AB77" s="157" t="s">
        <v>315</v>
      </c>
    </row>
    <row r="78" spans="1:28" x14ac:dyDescent="0.15">
      <c r="A78" s="157" t="s">
        <v>34</v>
      </c>
      <c r="B78" s="149" t="s">
        <v>313</v>
      </c>
      <c r="C78" s="149">
        <v>2018</v>
      </c>
      <c r="D78" s="191" t="s">
        <v>433</v>
      </c>
      <c r="E78" s="178" t="s">
        <v>300</v>
      </c>
      <c r="F78" s="178" t="s">
        <v>301</v>
      </c>
      <c r="G78" s="157" t="s">
        <v>36</v>
      </c>
      <c r="H78" s="149" t="s">
        <v>211</v>
      </c>
      <c r="I78" s="157" t="s">
        <v>155</v>
      </c>
      <c r="J78" s="157" t="s">
        <v>38</v>
      </c>
      <c r="K78" s="157" t="s">
        <v>156</v>
      </c>
      <c r="L78" s="149">
        <v>2</v>
      </c>
      <c r="N78" s="149">
        <v>1</v>
      </c>
      <c r="O78" s="149">
        <v>0.55000000000000004</v>
      </c>
      <c r="P78" s="149">
        <v>0.7</v>
      </c>
      <c r="Q78" s="186">
        <f t="shared" si="0"/>
        <v>0.625</v>
      </c>
      <c r="R78" s="149">
        <v>16.3</v>
      </c>
      <c r="S78" s="149">
        <v>109</v>
      </c>
      <c r="T78" s="158">
        <f t="shared" si="1"/>
        <v>33</v>
      </c>
      <c r="U78" s="149">
        <v>139</v>
      </c>
      <c r="V78" s="158">
        <f t="shared" si="2"/>
        <v>4587</v>
      </c>
      <c r="W78" s="149">
        <v>1</v>
      </c>
      <c r="X78" s="157" t="s">
        <v>46</v>
      </c>
      <c r="Y78" s="157" t="s">
        <v>55</v>
      </c>
      <c r="Z78" s="157" t="s">
        <v>69</v>
      </c>
      <c r="AA78" s="157" t="s">
        <v>47</v>
      </c>
      <c r="AB78" s="157" t="s">
        <v>315</v>
      </c>
    </row>
    <row r="79" spans="1:28" x14ac:dyDescent="0.15">
      <c r="A79" s="157" t="s">
        <v>34</v>
      </c>
      <c r="B79" s="149" t="s">
        <v>313</v>
      </c>
      <c r="C79" s="149">
        <v>2018</v>
      </c>
      <c r="D79" s="191" t="s">
        <v>433</v>
      </c>
      <c r="E79" s="178" t="s">
        <v>300</v>
      </c>
      <c r="F79" s="178" t="s">
        <v>301</v>
      </c>
      <c r="G79" s="157" t="s">
        <v>36</v>
      </c>
      <c r="H79" s="149" t="s">
        <v>211</v>
      </c>
      <c r="I79" s="157" t="s">
        <v>155</v>
      </c>
      <c r="J79" s="157" t="s">
        <v>38</v>
      </c>
      <c r="K79" s="157" t="s">
        <v>156</v>
      </c>
      <c r="L79" s="149">
        <v>3</v>
      </c>
      <c r="N79" s="149">
        <v>1</v>
      </c>
      <c r="O79" s="149">
        <v>0.65</v>
      </c>
      <c r="P79" s="149">
        <v>0.7</v>
      </c>
      <c r="Q79" s="186">
        <f t="shared" si="0"/>
        <v>0.67500000000000004</v>
      </c>
      <c r="R79" s="149">
        <v>14.6</v>
      </c>
      <c r="S79" s="149">
        <v>106</v>
      </c>
      <c r="T79" s="158">
        <f t="shared" si="1"/>
        <v>33</v>
      </c>
      <c r="U79" s="149">
        <v>139</v>
      </c>
      <c r="V79" s="158">
        <f t="shared" si="2"/>
        <v>4587</v>
      </c>
      <c r="W79" s="149">
        <v>1</v>
      </c>
      <c r="X79" s="157" t="s">
        <v>46</v>
      </c>
      <c r="Y79" s="157" t="s">
        <v>55</v>
      </c>
      <c r="Z79" s="157" t="s">
        <v>69</v>
      </c>
      <c r="AA79" s="157" t="s">
        <v>47</v>
      </c>
      <c r="AB79" s="157" t="s">
        <v>315</v>
      </c>
    </row>
    <row r="80" spans="1:28" x14ac:dyDescent="0.15">
      <c r="A80" s="157" t="s">
        <v>34</v>
      </c>
      <c r="B80" s="149" t="s">
        <v>313</v>
      </c>
      <c r="C80" s="149">
        <v>2018</v>
      </c>
      <c r="D80" s="191" t="s">
        <v>433</v>
      </c>
      <c r="E80" s="178" t="s">
        <v>300</v>
      </c>
      <c r="F80" s="178" t="s">
        <v>301</v>
      </c>
      <c r="G80" s="157" t="s">
        <v>36</v>
      </c>
      <c r="H80" s="149" t="s">
        <v>162</v>
      </c>
      <c r="I80" s="157" t="s">
        <v>155</v>
      </c>
      <c r="J80" s="157" t="s">
        <v>38</v>
      </c>
      <c r="K80" s="157" t="s">
        <v>156</v>
      </c>
      <c r="L80" s="157">
        <v>1</v>
      </c>
      <c r="N80" s="149">
        <v>1</v>
      </c>
      <c r="O80" s="149">
        <v>0.65</v>
      </c>
      <c r="P80" s="149">
        <v>0.75</v>
      </c>
      <c r="Q80" s="186">
        <f t="shared" si="0"/>
        <v>0.7</v>
      </c>
      <c r="R80" s="149">
        <v>15.3</v>
      </c>
      <c r="S80" s="149">
        <v>143</v>
      </c>
      <c r="T80" s="158">
        <f t="shared" si="1"/>
        <v>30</v>
      </c>
      <c r="U80" s="149">
        <v>139</v>
      </c>
      <c r="V80" s="158">
        <f t="shared" si="2"/>
        <v>4170</v>
      </c>
      <c r="W80" s="149">
        <v>6</v>
      </c>
      <c r="X80" s="157" t="s">
        <v>46</v>
      </c>
      <c r="Y80" s="157" t="s">
        <v>55</v>
      </c>
      <c r="Z80" s="157" t="s">
        <v>69</v>
      </c>
      <c r="AA80" s="157" t="s">
        <v>47</v>
      </c>
      <c r="AB80" s="157" t="s">
        <v>315</v>
      </c>
    </row>
    <row r="81" spans="1:28" x14ac:dyDescent="0.15">
      <c r="A81" s="157" t="s">
        <v>34</v>
      </c>
      <c r="B81" s="149" t="s">
        <v>313</v>
      </c>
      <c r="C81" s="149">
        <v>2018</v>
      </c>
      <c r="D81" s="191" t="s">
        <v>433</v>
      </c>
      <c r="E81" s="178" t="s">
        <v>300</v>
      </c>
      <c r="F81" s="178" t="s">
        <v>301</v>
      </c>
      <c r="G81" s="157" t="s">
        <v>36</v>
      </c>
      <c r="H81" s="149" t="s">
        <v>162</v>
      </c>
      <c r="I81" s="157" t="s">
        <v>155</v>
      </c>
      <c r="J81" s="157" t="s">
        <v>38</v>
      </c>
      <c r="K81" s="157" t="s">
        <v>156</v>
      </c>
      <c r="L81" s="149">
        <v>2</v>
      </c>
      <c r="N81" s="149">
        <v>1</v>
      </c>
      <c r="O81" s="149">
        <v>0.9</v>
      </c>
      <c r="P81" s="149">
        <v>0.8</v>
      </c>
      <c r="Q81" s="186">
        <f t="shared" si="0"/>
        <v>0.85000000000000009</v>
      </c>
      <c r="R81" s="149">
        <v>14.6</v>
      </c>
      <c r="S81" s="149">
        <v>141</v>
      </c>
      <c r="T81" s="158">
        <f t="shared" si="1"/>
        <v>30</v>
      </c>
      <c r="U81" s="149">
        <v>139</v>
      </c>
      <c r="V81" s="158">
        <f t="shared" si="2"/>
        <v>4170</v>
      </c>
      <c r="W81" s="149">
        <v>6</v>
      </c>
      <c r="X81" s="157" t="s">
        <v>46</v>
      </c>
      <c r="Y81" s="157" t="s">
        <v>55</v>
      </c>
      <c r="Z81" s="157" t="s">
        <v>69</v>
      </c>
      <c r="AA81" s="157" t="s">
        <v>47</v>
      </c>
      <c r="AB81" s="157" t="s">
        <v>315</v>
      </c>
    </row>
    <row r="82" spans="1:28" x14ac:dyDescent="0.15">
      <c r="A82" s="157" t="s">
        <v>34</v>
      </c>
      <c r="B82" s="149" t="s">
        <v>313</v>
      </c>
      <c r="C82" s="149">
        <v>2018</v>
      </c>
      <c r="D82" s="191" t="s">
        <v>433</v>
      </c>
      <c r="E82" s="178" t="s">
        <v>300</v>
      </c>
      <c r="F82" s="178" t="s">
        <v>301</v>
      </c>
      <c r="G82" s="157" t="s">
        <v>36</v>
      </c>
      <c r="H82" s="149" t="s">
        <v>162</v>
      </c>
      <c r="I82" s="157" t="s">
        <v>155</v>
      </c>
      <c r="J82" s="157" t="s">
        <v>38</v>
      </c>
      <c r="K82" s="157" t="s">
        <v>156</v>
      </c>
      <c r="L82" s="149">
        <v>3</v>
      </c>
      <c r="N82" s="149">
        <v>1</v>
      </c>
      <c r="O82" s="149">
        <v>0.5</v>
      </c>
      <c r="P82" s="149">
        <v>0.65</v>
      </c>
      <c r="Q82" s="186">
        <f t="shared" si="0"/>
        <v>0.57499999999999996</v>
      </c>
      <c r="R82" s="149">
        <v>15.7</v>
      </c>
      <c r="S82" s="149">
        <v>145</v>
      </c>
      <c r="T82" s="158">
        <f t="shared" si="1"/>
        <v>30</v>
      </c>
      <c r="U82" s="149">
        <v>139</v>
      </c>
      <c r="V82" s="158">
        <f t="shared" si="2"/>
        <v>4170</v>
      </c>
      <c r="W82" s="149">
        <v>6</v>
      </c>
      <c r="X82" s="157" t="s">
        <v>46</v>
      </c>
      <c r="Y82" s="157" t="s">
        <v>55</v>
      </c>
      <c r="Z82" s="157" t="s">
        <v>69</v>
      </c>
      <c r="AA82" s="157" t="s">
        <v>47</v>
      </c>
      <c r="AB82" s="157" t="s">
        <v>315</v>
      </c>
    </row>
    <row r="83" spans="1:28" x14ac:dyDescent="0.15">
      <c r="A83" s="157" t="s">
        <v>34</v>
      </c>
      <c r="B83" s="149" t="s">
        <v>313</v>
      </c>
      <c r="C83" s="149">
        <v>2018</v>
      </c>
      <c r="D83" s="191" t="s">
        <v>433</v>
      </c>
      <c r="E83" s="178" t="s">
        <v>300</v>
      </c>
      <c r="F83" s="178" t="s">
        <v>301</v>
      </c>
      <c r="G83" s="157" t="s">
        <v>36</v>
      </c>
      <c r="H83" s="149" t="s">
        <v>162</v>
      </c>
      <c r="I83" s="157" t="s">
        <v>155</v>
      </c>
      <c r="J83" s="157" t="s">
        <v>38</v>
      </c>
      <c r="K83" s="157" t="s">
        <v>156</v>
      </c>
      <c r="L83" s="157">
        <v>1</v>
      </c>
      <c r="N83" s="149">
        <v>3</v>
      </c>
      <c r="O83" s="149">
        <v>0.55000000000000004</v>
      </c>
      <c r="P83" s="149">
        <v>0.55000000000000004</v>
      </c>
      <c r="Q83" s="186">
        <f t="shared" ref="Q83:Q117" si="5">IF(OR(O83="",P83=""),"",AVERAGE(O83,P83))</f>
        <v>0.55000000000000004</v>
      </c>
      <c r="R83" s="149">
        <v>15.1</v>
      </c>
      <c r="S83" s="149">
        <v>194</v>
      </c>
      <c r="T83" s="158">
        <f t="shared" ref="T83:T123" si="6">IF(H83="","",IF(OR(H83="GREEN",H83="GK"),IF(S83&gt;=$AX$2,VLOOKUP(S83,$AX$2:$AY$9,2,1),""),IF(S83&gt;=$AZ$2,VLOOKUP(S83,$AZ$2:$BA$9,2,1),"")))</f>
        <v>16</v>
      </c>
      <c r="U83" s="149">
        <v>538</v>
      </c>
      <c r="V83" s="158">
        <f t="shared" si="2"/>
        <v>2869.3333333333335</v>
      </c>
      <c r="W83" s="149">
        <v>6</v>
      </c>
      <c r="X83" s="157" t="s">
        <v>46</v>
      </c>
      <c r="Y83" s="157" t="s">
        <v>55</v>
      </c>
      <c r="Z83" s="157" t="s">
        <v>69</v>
      </c>
      <c r="AA83" s="157" t="s">
        <v>47</v>
      </c>
      <c r="AB83" s="157" t="s">
        <v>315</v>
      </c>
    </row>
    <row r="84" spans="1:28" x14ac:dyDescent="0.15">
      <c r="A84" s="157" t="s">
        <v>34</v>
      </c>
      <c r="B84" s="149" t="s">
        <v>313</v>
      </c>
      <c r="C84" s="149">
        <v>2018</v>
      </c>
      <c r="D84" s="191" t="s">
        <v>433</v>
      </c>
      <c r="E84" s="178" t="s">
        <v>300</v>
      </c>
      <c r="F84" s="178" t="s">
        <v>301</v>
      </c>
      <c r="G84" s="157" t="s">
        <v>36</v>
      </c>
      <c r="H84" s="149" t="s">
        <v>162</v>
      </c>
      <c r="I84" s="157" t="s">
        <v>155</v>
      </c>
      <c r="J84" s="157" t="s">
        <v>38</v>
      </c>
      <c r="K84" s="157" t="s">
        <v>156</v>
      </c>
      <c r="L84" s="149">
        <v>2</v>
      </c>
      <c r="N84" s="149">
        <v>3</v>
      </c>
      <c r="O84" s="149">
        <v>0.55000000000000004</v>
      </c>
      <c r="P84" s="149">
        <v>0.5</v>
      </c>
      <c r="Q84" s="186">
        <f t="shared" si="5"/>
        <v>0.52500000000000002</v>
      </c>
      <c r="R84" s="149">
        <v>18.3</v>
      </c>
      <c r="S84" s="149">
        <v>177</v>
      </c>
      <c r="T84" s="158">
        <f t="shared" si="6"/>
        <v>18</v>
      </c>
      <c r="U84" s="149">
        <v>538</v>
      </c>
      <c r="V84" s="158">
        <f t="shared" ref="V84:V119" si="7">IF(OR(N84="",U84="",T84=""),"",U84/N84*T84)</f>
        <v>3228</v>
      </c>
      <c r="W84" s="149">
        <v>6</v>
      </c>
      <c r="X84" s="157" t="s">
        <v>46</v>
      </c>
      <c r="Y84" s="157" t="s">
        <v>55</v>
      </c>
      <c r="Z84" s="157" t="s">
        <v>69</v>
      </c>
      <c r="AA84" s="157" t="s">
        <v>47</v>
      </c>
      <c r="AB84" s="157" t="s">
        <v>315</v>
      </c>
    </row>
    <row r="85" spans="1:28" x14ac:dyDescent="0.15">
      <c r="A85" s="157" t="s">
        <v>34</v>
      </c>
      <c r="B85" s="149" t="s">
        <v>313</v>
      </c>
      <c r="C85" s="149">
        <v>2018</v>
      </c>
      <c r="D85" s="191" t="s">
        <v>433</v>
      </c>
      <c r="E85" s="178" t="s">
        <v>300</v>
      </c>
      <c r="F85" s="178" t="s">
        <v>301</v>
      </c>
      <c r="G85" s="157" t="s">
        <v>36</v>
      </c>
      <c r="H85" s="149" t="s">
        <v>162</v>
      </c>
      <c r="I85" s="157" t="s">
        <v>155</v>
      </c>
      <c r="J85" s="157" t="s">
        <v>38</v>
      </c>
      <c r="K85" s="157" t="s">
        <v>156</v>
      </c>
      <c r="L85" s="149">
        <v>3</v>
      </c>
      <c r="N85" s="149">
        <v>3</v>
      </c>
      <c r="O85" s="149">
        <v>0.45</v>
      </c>
      <c r="P85" s="149">
        <v>0.5</v>
      </c>
      <c r="Q85" s="186">
        <f t="shared" si="5"/>
        <v>0.47499999999999998</v>
      </c>
      <c r="R85" s="149">
        <v>14.1</v>
      </c>
      <c r="S85" s="149">
        <v>186</v>
      </c>
      <c r="T85" s="158">
        <f t="shared" si="6"/>
        <v>16</v>
      </c>
      <c r="U85" s="149">
        <v>538</v>
      </c>
      <c r="V85" s="158">
        <f t="shared" si="7"/>
        <v>2869.3333333333335</v>
      </c>
      <c r="W85" s="149">
        <v>6</v>
      </c>
      <c r="X85" s="157" t="s">
        <v>46</v>
      </c>
      <c r="Y85" s="157" t="s">
        <v>55</v>
      </c>
      <c r="Z85" s="157" t="s">
        <v>69</v>
      </c>
      <c r="AA85" s="157" t="s">
        <v>47</v>
      </c>
      <c r="AB85" s="157" t="s">
        <v>315</v>
      </c>
    </row>
    <row r="86" spans="1:28" x14ac:dyDescent="0.15">
      <c r="A86" s="157" t="s">
        <v>34</v>
      </c>
      <c r="B86" s="149" t="s">
        <v>313</v>
      </c>
      <c r="C86" s="149">
        <v>2018</v>
      </c>
      <c r="D86" s="191" t="s">
        <v>433</v>
      </c>
      <c r="E86" s="178" t="s">
        <v>300</v>
      </c>
      <c r="F86" s="178" t="s">
        <v>301</v>
      </c>
      <c r="G86" s="157" t="s">
        <v>36</v>
      </c>
      <c r="H86" s="149" t="s">
        <v>195</v>
      </c>
      <c r="I86" s="157" t="s">
        <v>155</v>
      </c>
      <c r="J86" s="157" t="s">
        <v>239</v>
      </c>
      <c r="K86" s="157" t="s">
        <v>68</v>
      </c>
      <c r="L86" s="157">
        <v>1</v>
      </c>
      <c r="N86" s="149">
        <v>5</v>
      </c>
      <c r="O86" s="149">
        <v>0.2</v>
      </c>
      <c r="P86" s="149">
        <v>0.2</v>
      </c>
      <c r="Q86" s="186">
        <f t="shared" si="5"/>
        <v>0.2</v>
      </c>
      <c r="R86" s="149">
        <v>10.199999999999999</v>
      </c>
      <c r="S86" s="149">
        <v>97</v>
      </c>
      <c r="T86" s="158">
        <f t="shared" si="6"/>
        <v>36</v>
      </c>
      <c r="U86" s="149">
        <v>357</v>
      </c>
      <c r="V86" s="158">
        <f t="shared" si="7"/>
        <v>2570.4</v>
      </c>
      <c r="W86" s="149">
        <v>2</v>
      </c>
      <c r="X86" s="157" t="s">
        <v>46</v>
      </c>
      <c r="Y86" s="157" t="s">
        <v>55</v>
      </c>
      <c r="Z86" s="157" t="s">
        <v>69</v>
      </c>
      <c r="AA86" s="157" t="s">
        <v>47</v>
      </c>
      <c r="AB86" s="157" t="s">
        <v>315</v>
      </c>
    </row>
    <row r="87" spans="1:28" x14ac:dyDescent="0.15">
      <c r="A87" s="157" t="s">
        <v>34</v>
      </c>
      <c r="B87" s="149" t="s">
        <v>313</v>
      </c>
      <c r="C87" s="149">
        <v>2018</v>
      </c>
      <c r="D87" s="191" t="s">
        <v>433</v>
      </c>
      <c r="E87" s="178" t="s">
        <v>300</v>
      </c>
      <c r="F87" s="178" t="s">
        <v>301</v>
      </c>
      <c r="G87" s="157" t="s">
        <v>36</v>
      </c>
      <c r="H87" s="149" t="s">
        <v>195</v>
      </c>
      <c r="I87" s="157" t="s">
        <v>155</v>
      </c>
      <c r="J87" s="157" t="s">
        <v>239</v>
      </c>
      <c r="K87" s="157" t="s">
        <v>68</v>
      </c>
      <c r="L87" s="149">
        <v>2</v>
      </c>
      <c r="N87" s="149">
        <v>5</v>
      </c>
      <c r="O87" s="149">
        <v>0.2</v>
      </c>
      <c r="P87" s="149">
        <v>0.2</v>
      </c>
      <c r="Q87" s="186">
        <f t="shared" si="5"/>
        <v>0.2</v>
      </c>
      <c r="R87" s="149">
        <v>9.9</v>
      </c>
      <c r="S87" s="149">
        <v>97</v>
      </c>
      <c r="T87" s="158">
        <f t="shared" si="6"/>
        <v>36</v>
      </c>
      <c r="U87" s="149">
        <v>357</v>
      </c>
      <c r="V87" s="158">
        <f t="shared" si="7"/>
        <v>2570.4</v>
      </c>
      <c r="W87" s="149">
        <v>2</v>
      </c>
      <c r="X87" s="157" t="s">
        <v>46</v>
      </c>
      <c r="Y87" s="157" t="s">
        <v>55</v>
      </c>
      <c r="Z87" s="157" t="s">
        <v>69</v>
      </c>
      <c r="AA87" s="157" t="s">
        <v>47</v>
      </c>
      <c r="AB87" s="157" t="s">
        <v>315</v>
      </c>
    </row>
    <row r="88" spans="1:28" x14ac:dyDescent="0.15">
      <c r="A88" s="157" t="s">
        <v>34</v>
      </c>
      <c r="B88" s="149" t="s">
        <v>313</v>
      </c>
      <c r="C88" s="149">
        <v>2018</v>
      </c>
      <c r="D88" s="191" t="s">
        <v>433</v>
      </c>
      <c r="E88" s="178" t="s">
        <v>300</v>
      </c>
      <c r="F88" s="178" t="s">
        <v>301</v>
      </c>
      <c r="G88" s="157" t="s">
        <v>36</v>
      </c>
      <c r="H88" s="149" t="s">
        <v>195</v>
      </c>
      <c r="I88" s="157" t="s">
        <v>155</v>
      </c>
      <c r="J88" s="157" t="s">
        <v>239</v>
      </c>
      <c r="K88" s="157" t="s">
        <v>68</v>
      </c>
      <c r="L88" s="149">
        <v>3</v>
      </c>
      <c r="N88" s="149">
        <v>5</v>
      </c>
      <c r="O88" s="149">
        <v>0.2</v>
      </c>
      <c r="P88" s="149">
        <v>0.2</v>
      </c>
      <c r="Q88" s="186">
        <f t="shared" si="5"/>
        <v>0.2</v>
      </c>
      <c r="R88" s="149">
        <v>9.9</v>
      </c>
      <c r="S88" s="149">
        <v>91</v>
      </c>
      <c r="T88" s="158">
        <f t="shared" si="6"/>
        <v>36</v>
      </c>
      <c r="U88" s="149">
        <v>357</v>
      </c>
      <c r="V88" s="158">
        <f t="shared" si="7"/>
        <v>2570.4</v>
      </c>
      <c r="W88" s="149">
        <v>2</v>
      </c>
      <c r="X88" s="157" t="s">
        <v>46</v>
      </c>
      <c r="Y88" s="157" t="s">
        <v>55</v>
      </c>
      <c r="Z88" s="157" t="s">
        <v>69</v>
      </c>
      <c r="AA88" s="157" t="s">
        <v>47</v>
      </c>
      <c r="AB88" s="157" t="s">
        <v>315</v>
      </c>
    </row>
    <row r="89" spans="1:28" x14ac:dyDescent="0.15">
      <c r="A89" s="157" t="s">
        <v>34</v>
      </c>
      <c r="B89" s="149" t="s">
        <v>313</v>
      </c>
      <c r="C89" s="149">
        <v>2018</v>
      </c>
      <c r="D89" s="191" t="s">
        <v>433</v>
      </c>
      <c r="E89" s="178" t="s">
        <v>302</v>
      </c>
      <c r="F89" s="178" t="s">
        <v>303</v>
      </c>
      <c r="G89" s="157" t="s">
        <v>36</v>
      </c>
      <c r="H89" s="149" t="s">
        <v>157</v>
      </c>
      <c r="I89" s="157" t="s">
        <v>155</v>
      </c>
      <c r="J89" s="157" t="s">
        <v>38</v>
      </c>
      <c r="K89" s="157" t="s">
        <v>156</v>
      </c>
      <c r="L89" s="157">
        <v>1</v>
      </c>
      <c r="N89" s="149">
        <v>1</v>
      </c>
      <c r="O89" s="149">
        <v>0.55000000000000004</v>
      </c>
      <c r="P89" s="149">
        <v>0.6</v>
      </c>
      <c r="Q89" s="186">
        <f t="shared" si="5"/>
        <v>0.57499999999999996</v>
      </c>
      <c r="R89" s="149">
        <v>9.8000000000000007</v>
      </c>
      <c r="S89" s="149">
        <v>116</v>
      </c>
      <c r="T89" s="158">
        <f t="shared" si="6"/>
        <v>30</v>
      </c>
      <c r="U89" s="149">
        <v>75</v>
      </c>
      <c r="V89" s="158">
        <f t="shared" si="7"/>
        <v>2250</v>
      </c>
      <c r="W89" s="149">
        <v>7</v>
      </c>
      <c r="X89" s="157" t="s">
        <v>46</v>
      </c>
      <c r="Y89" s="149" t="s">
        <v>55</v>
      </c>
      <c r="Z89" s="149" t="s">
        <v>69</v>
      </c>
      <c r="AA89" s="149" t="s">
        <v>47</v>
      </c>
      <c r="AB89" s="157" t="s">
        <v>315</v>
      </c>
    </row>
    <row r="90" spans="1:28" x14ac:dyDescent="0.15">
      <c r="A90" s="157" t="s">
        <v>34</v>
      </c>
      <c r="B90" s="149" t="s">
        <v>313</v>
      </c>
      <c r="C90" s="149">
        <v>2018</v>
      </c>
      <c r="D90" s="191" t="s">
        <v>433</v>
      </c>
      <c r="E90" s="178" t="s">
        <v>302</v>
      </c>
      <c r="F90" s="178" t="s">
        <v>303</v>
      </c>
      <c r="G90" s="157" t="s">
        <v>36</v>
      </c>
      <c r="H90" s="149" t="s">
        <v>157</v>
      </c>
      <c r="I90" s="157" t="s">
        <v>155</v>
      </c>
      <c r="J90" s="157" t="s">
        <v>38</v>
      </c>
      <c r="K90" s="157" t="s">
        <v>156</v>
      </c>
      <c r="L90" s="149">
        <v>2</v>
      </c>
      <c r="N90" s="149">
        <v>1</v>
      </c>
      <c r="O90" s="149">
        <v>0.55000000000000004</v>
      </c>
      <c r="P90" s="149">
        <v>0.6</v>
      </c>
      <c r="Q90" s="186">
        <f t="shared" si="5"/>
        <v>0.57499999999999996</v>
      </c>
      <c r="R90" s="149">
        <v>15</v>
      </c>
      <c r="S90" s="149">
        <v>108</v>
      </c>
      <c r="T90" s="158">
        <f t="shared" si="6"/>
        <v>33</v>
      </c>
      <c r="U90" s="149">
        <v>75</v>
      </c>
      <c r="V90" s="158">
        <f t="shared" si="7"/>
        <v>2475</v>
      </c>
      <c r="W90" s="149">
        <v>7</v>
      </c>
      <c r="X90" s="157" t="s">
        <v>46</v>
      </c>
      <c r="Y90" s="149" t="s">
        <v>55</v>
      </c>
      <c r="Z90" s="149" t="s">
        <v>69</v>
      </c>
      <c r="AA90" s="149" t="s">
        <v>47</v>
      </c>
      <c r="AB90" s="157" t="s">
        <v>315</v>
      </c>
    </row>
    <row r="91" spans="1:28" x14ac:dyDescent="0.15">
      <c r="A91" s="157" t="s">
        <v>34</v>
      </c>
      <c r="B91" s="149" t="s">
        <v>313</v>
      </c>
      <c r="C91" s="149">
        <v>2018</v>
      </c>
      <c r="D91" s="191" t="s">
        <v>433</v>
      </c>
      <c r="E91" s="178" t="s">
        <v>302</v>
      </c>
      <c r="F91" s="178" t="s">
        <v>303</v>
      </c>
      <c r="G91" s="157" t="s">
        <v>36</v>
      </c>
      <c r="H91" s="149" t="s">
        <v>157</v>
      </c>
      <c r="I91" s="157" t="s">
        <v>155</v>
      </c>
      <c r="J91" s="157" t="s">
        <v>38</v>
      </c>
      <c r="K91" s="157" t="s">
        <v>156</v>
      </c>
      <c r="L91" s="149">
        <v>3</v>
      </c>
      <c r="N91" s="149">
        <v>1</v>
      </c>
      <c r="O91" s="149">
        <v>0.55000000000000004</v>
      </c>
      <c r="P91" s="149">
        <v>0.5</v>
      </c>
      <c r="Q91" s="186">
        <f t="shared" si="5"/>
        <v>0.52500000000000002</v>
      </c>
      <c r="R91" s="149">
        <v>12.5</v>
      </c>
      <c r="S91" s="149">
        <v>115</v>
      </c>
      <c r="T91" s="158">
        <f t="shared" si="6"/>
        <v>30</v>
      </c>
      <c r="U91" s="149">
        <v>75</v>
      </c>
      <c r="V91" s="158">
        <f t="shared" si="7"/>
        <v>2250</v>
      </c>
      <c r="W91" s="149">
        <v>7</v>
      </c>
      <c r="X91" s="157" t="s">
        <v>46</v>
      </c>
      <c r="Y91" s="149" t="s">
        <v>55</v>
      </c>
      <c r="Z91" s="149" t="s">
        <v>69</v>
      </c>
      <c r="AA91" s="149" t="s">
        <v>47</v>
      </c>
      <c r="AB91" s="157" t="s">
        <v>315</v>
      </c>
    </row>
    <row r="92" spans="1:28" x14ac:dyDescent="0.15">
      <c r="A92" s="157" t="s">
        <v>34</v>
      </c>
      <c r="B92" s="149" t="s">
        <v>313</v>
      </c>
      <c r="C92" s="149">
        <v>2018</v>
      </c>
      <c r="D92" s="191" t="s">
        <v>433</v>
      </c>
      <c r="E92" s="178" t="s">
        <v>302</v>
      </c>
      <c r="F92" s="178" t="s">
        <v>303</v>
      </c>
      <c r="G92" s="157" t="s">
        <v>36</v>
      </c>
      <c r="H92" s="149" t="s">
        <v>157</v>
      </c>
      <c r="I92" s="157" t="s">
        <v>155</v>
      </c>
      <c r="J92" s="157" t="s">
        <v>38</v>
      </c>
      <c r="K92" s="157" t="s">
        <v>156</v>
      </c>
      <c r="L92" s="157">
        <v>1</v>
      </c>
      <c r="N92" s="149">
        <v>8</v>
      </c>
      <c r="O92" s="149">
        <v>0.2</v>
      </c>
      <c r="P92" s="149">
        <v>0.2</v>
      </c>
      <c r="Q92" s="186">
        <f t="shared" si="5"/>
        <v>0.2</v>
      </c>
      <c r="R92" s="149">
        <v>12.9</v>
      </c>
      <c r="S92" s="149">
        <v>87</v>
      </c>
      <c r="T92" s="158">
        <f t="shared" si="6"/>
        <v>36</v>
      </c>
      <c r="U92" s="149">
        <v>429</v>
      </c>
      <c r="V92" s="158">
        <f t="shared" si="7"/>
        <v>1930.5</v>
      </c>
      <c r="W92" s="149">
        <v>7</v>
      </c>
      <c r="X92" s="157" t="s">
        <v>46</v>
      </c>
      <c r="Y92" s="149" t="s">
        <v>55</v>
      </c>
      <c r="Z92" s="149" t="s">
        <v>69</v>
      </c>
      <c r="AA92" s="149" t="s">
        <v>47</v>
      </c>
      <c r="AB92" s="157" t="s">
        <v>315</v>
      </c>
    </row>
    <row r="93" spans="1:28" x14ac:dyDescent="0.15">
      <c r="A93" s="157" t="s">
        <v>34</v>
      </c>
      <c r="B93" s="149" t="s">
        <v>313</v>
      </c>
      <c r="C93" s="149">
        <v>2018</v>
      </c>
      <c r="D93" s="191" t="s">
        <v>433</v>
      </c>
      <c r="E93" s="178" t="s">
        <v>302</v>
      </c>
      <c r="F93" s="178" t="s">
        <v>303</v>
      </c>
      <c r="G93" s="157" t="s">
        <v>36</v>
      </c>
      <c r="H93" s="149" t="s">
        <v>157</v>
      </c>
      <c r="I93" s="157" t="s">
        <v>155</v>
      </c>
      <c r="J93" s="157" t="s">
        <v>38</v>
      </c>
      <c r="K93" s="157" t="s">
        <v>156</v>
      </c>
      <c r="L93" s="149">
        <v>2</v>
      </c>
      <c r="N93" s="149">
        <v>8</v>
      </c>
      <c r="O93" s="149">
        <v>0.6</v>
      </c>
      <c r="P93" s="149">
        <v>0.6</v>
      </c>
      <c r="Q93" s="186">
        <f t="shared" si="5"/>
        <v>0.6</v>
      </c>
      <c r="R93" s="149">
        <v>13.6</v>
      </c>
      <c r="S93" s="149">
        <v>89</v>
      </c>
      <c r="T93" s="158">
        <f t="shared" si="6"/>
        <v>36</v>
      </c>
      <c r="U93" s="149">
        <v>429</v>
      </c>
      <c r="V93" s="158">
        <f t="shared" si="7"/>
        <v>1930.5</v>
      </c>
      <c r="W93" s="149">
        <v>7</v>
      </c>
      <c r="X93" s="157" t="s">
        <v>46</v>
      </c>
      <c r="Y93" s="149" t="s">
        <v>55</v>
      </c>
      <c r="Z93" s="149" t="s">
        <v>69</v>
      </c>
      <c r="AA93" s="149" t="s">
        <v>47</v>
      </c>
      <c r="AB93" s="157" t="s">
        <v>315</v>
      </c>
    </row>
    <row r="94" spans="1:28" x14ac:dyDescent="0.15">
      <c r="A94" s="157" t="s">
        <v>34</v>
      </c>
      <c r="B94" s="149" t="s">
        <v>313</v>
      </c>
      <c r="C94" s="149">
        <v>2018</v>
      </c>
      <c r="D94" s="191" t="s">
        <v>433</v>
      </c>
      <c r="E94" s="178" t="s">
        <v>302</v>
      </c>
      <c r="F94" s="178" t="s">
        <v>303</v>
      </c>
      <c r="G94" s="157" t="s">
        <v>36</v>
      </c>
      <c r="H94" s="149" t="s">
        <v>157</v>
      </c>
      <c r="I94" s="157" t="s">
        <v>155</v>
      </c>
      <c r="J94" s="157" t="s">
        <v>38</v>
      </c>
      <c r="K94" s="157" t="s">
        <v>156</v>
      </c>
      <c r="L94" s="149">
        <v>3</v>
      </c>
      <c r="N94" s="149">
        <v>8</v>
      </c>
      <c r="O94" s="149">
        <v>0.6</v>
      </c>
      <c r="P94" s="149">
        <v>0.6</v>
      </c>
      <c r="Q94" s="186">
        <f t="shared" si="5"/>
        <v>0.6</v>
      </c>
      <c r="R94" s="149">
        <v>13.6</v>
      </c>
      <c r="S94" s="149">
        <v>91</v>
      </c>
      <c r="T94" s="158">
        <f t="shared" si="6"/>
        <v>36</v>
      </c>
      <c r="U94" s="149">
        <v>429</v>
      </c>
      <c r="V94" s="158">
        <f t="shared" si="7"/>
        <v>1930.5</v>
      </c>
      <c r="W94" s="149">
        <v>7</v>
      </c>
      <c r="X94" s="157" t="s">
        <v>46</v>
      </c>
      <c r="Y94" s="149" t="s">
        <v>55</v>
      </c>
      <c r="Z94" s="149" t="s">
        <v>69</v>
      </c>
      <c r="AA94" s="149" t="s">
        <v>47</v>
      </c>
      <c r="AB94" s="157" t="s">
        <v>315</v>
      </c>
    </row>
    <row r="95" spans="1:28" x14ac:dyDescent="0.15">
      <c r="A95" s="157" t="s">
        <v>34</v>
      </c>
      <c r="B95" s="149" t="s">
        <v>313</v>
      </c>
      <c r="C95" s="149">
        <v>2018</v>
      </c>
      <c r="D95" s="191" t="s">
        <v>433</v>
      </c>
      <c r="E95" s="178" t="s">
        <v>302</v>
      </c>
      <c r="F95" s="178" t="s">
        <v>303</v>
      </c>
      <c r="G95" s="157" t="s">
        <v>36</v>
      </c>
      <c r="H95" s="149" t="s">
        <v>162</v>
      </c>
      <c r="I95" s="157" t="s">
        <v>155</v>
      </c>
      <c r="J95" s="157" t="s">
        <v>38</v>
      </c>
      <c r="K95" s="157" t="s">
        <v>156</v>
      </c>
      <c r="L95" s="157">
        <v>1</v>
      </c>
      <c r="N95" s="149">
        <v>1</v>
      </c>
      <c r="O95" s="149">
        <v>0.55000000000000004</v>
      </c>
      <c r="P95" s="149">
        <v>0.55000000000000004</v>
      </c>
      <c r="Q95" s="186">
        <f t="shared" si="5"/>
        <v>0.55000000000000004</v>
      </c>
      <c r="R95" s="149">
        <v>15</v>
      </c>
      <c r="S95" s="149">
        <v>116</v>
      </c>
      <c r="T95" s="158">
        <f t="shared" si="6"/>
        <v>30</v>
      </c>
      <c r="U95" s="149">
        <v>105</v>
      </c>
      <c r="V95" s="158">
        <f t="shared" si="7"/>
        <v>3150</v>
      </c>
      <c r="W95" s="149">
        <v>5</v>
      </c>
      <c r="X95" s="157" t="s">
        <v>46</v>
      </c>
      <c r="Y95" s="149" t="s">
        <v>55</v>
      </c>
      <c r="Z95" s="149" t="s">
        <v>69</v>
      </c>
      <c r="AA95" s="149" t="s">
        <v>47</v>
      </c>
      <c r="AB95" s="157" t="s">
        <v>315</v>
      </c>
    </row>
    <row r="96" spans="1:28" x14ac:dyDescent="0.15">
      <c r="A96" s="157" t="s">
        <v>34</v>
      </c>
      <c r="B96" s="149" t="s">
        <v>313</v>
      </c>
      <c r="C96" s="149">
        <v>2018</v>
      </c>
      <c r="D96" s="191" t="s">
        <v>433</v>
      </c>
      <c r="E96" s="178" t="s">
        <v>302</v>
      </c>
      <c r="F96" s="178" t="s">
        <v>303</v>
      </c>
      <c r="G96" s="157" t="s">
        <v>36</v>
      </c>
      <c r="H96" s="149" t="s">
        <v>162</v>
      </c>
      <c r="I96" s="157" t="s">
        <v>155</v>
      </c>
      <c r="J96" s="157" t="s">
        <v>38</v>
      </c>
      <c r="K96" s="157" t="s">
        <v>156</v>
      </c>
      <c r="L96" s="149">
        <v>2</v>
      </c>
      <c r="N96" s="149">
        <v>1</v>
      </c>
      <c r="O96" s="149">
        <v>0.6</v>
      </c>
      <c r="P96" s="149">
        <v>0.5</v>
      </c>
      <c r="Q96" s="186">
        <f t="shared" si="5"/>
        <v>0.55000000000000004</v>
      </c>
      <c r="R96" s="149">
        <v>14.7</v>
      </c>
      <c r="S96" s="149">
        <v>121</v>
      </c>
      <c r="T96" s="158">
        <f t="shared" si="6"/>
        <v>30</v>
      </c>
      <c r="U96" s="149">
        <v>105</v>
      </c>
      <c r="V96" s="158">
        <f t="shared" si="7"/>
        <v>3150</v>
      </c>
      <c r="W96" s="149">
        <v>5</v>
      </c>
      <c r="X96" s="157" t="s">
        <v>46</v>
      </c>
      <c r="Y96" s="149" t="s">
        <v>55</v>
      </c>
      <c r="Z96" s="149" t="s">
        <v>69</v>
      </c>
      <c r="AA96" s="149" t="s">
        <v>47</v>
      </c>
      <c r="AB96" s="157" t="s">
        <v>315</v>
      </c>
    </row>
    <row r="97" spans="1:28" x14ac:dyDescent="0.15">
      <c r="A97" s="157" t="s">
        <v>34</v>
      </c>
      <c r="B97" s="149" t="s">
        <v>313</v>
      </c>
      <c r="C97" s="149">
        <v>2018</v>
      </c>
      <c r="D97" s="191" t="s">
        <v>433</v>
      </c>
      <c r="E97" s="178" t="s">
        <v>302</v>
      </c>
      <c r="F97" s="178" t="s">
        <v>303</v>
      </c>
      <c r="G97" s="157" t="s">
        <v>36</v>
      </c>
      <c r="H97" s="149" t="s">
        <v>162</v>
      </c>
      <c r="I97" s="157" t="s">
        <v>155</v>
      </c>
      <c r="J97" s="157" t="s">
        <v>38</v>
      </c>
      <c r="K97" s="157" t="s">
        <v>156</v>
      </c>
      <c r="L97" s="149">
        <v>3</v>
      </c>
      <c r="N97" s="149">
        <v>1</v>
      </c>
      <c r="O97" s="149">
        <v>0.7</v>
      </c>
      <c r="P97" s="149">
        <v>0.5</v>
      </c>
      <c r="Q97" s="186">
        <f t="shared" si="5"/>
        <v>0.6</v>
      </c>
      <c r="R97" s="149">
        <v>14.8</v>
      </c>
      <c r="S97" s="149">
        <v>117</v>
      </c>
      <c r="T97" s="158">
        <f t="shared" si="6"/>
        <v>30</v>
      </c>
      <c r="U97" s="149">
        <v>105</v>
      </c>
      <c r="V97" s="158">
        <f t="shared" si="7"/>
        <v>3150</v>
      </c>
      <c r="W97" s="149">
        <v>5</v>
      </c>
      <c r="X97" s="157" t="s">
        <v>46</v>
      </c>
      <c r="Y97" s="149" t="s">
        <v>55</v>
      </c>
      <c r="Z97" s="149" t="s">
        <v>69</v>
      </c>
      <c r="AA97" s="149" t="s">
        <v>47</v>
      </c>
      <c r="AB97" s="157" t="s">
        <v>315</v>
      </c>
    </row>
    <row r="98" spans="1:28" x14ac:dyDescent="0.15">
      <c r="A98" s="157" t="s">
        <v>34</v>
      </c>
      <c r="B98" s="149" t="s">
        <v>313</v>
      </c>
      <c r="C98" s="149">
        <v>2018</v>
      </c>
      <c r="D98" s="191" t="s">
        <v>433</v>
      </c>
      <c r="E98" s="178" t="s">
        <v>302</v>
      </c>
      <c r="F98" s="178" t="s">
        <v>303</v>
      </c>
      <c r="G98" s="157" t="s">
        <v>36</v>
      </c>
      <c r="H98" s="149" t="s">
        <v>162</v>
      </c>
      <c r="I98" s="157" t="s">
        <v>155</v>
      </c>
      <c r="J98" s="157" t="s">
        <v>38</v>
      </c>
      <c r="K98" s="157" t="s">
        <v>156</v>
      </c>
      <c r="L98" s="157">
        <v>1</v>
      </c>
      <c r="N98" s="149">
        <v>4</v>
      </c>
      <c r="O98" s="149">
        <v>0.45</v>
      </c>
      <c r="P98" s="149">
        <v>0.5</v>
      </c>
      <c r="Q98" s="186">
        <f t="shared" si="5"/>
        <v>0.47499999999999998</v>
      </c>
      <c r="R98" s="149">
        <v>15.1</v>
      </c>
      <c r="S98" s="149">
        <v>116</v>
      </c>
      <c r="T98" s="158">
        <f t="shared" si="6"/>
        <v>30</v>
      </c>
      <c r="U98" s="149">
        <v>410</v>
      </c>
      <c r="V98" s="158">
        <f t="shared" si="7"/>
        <v>3075</v>
      </c>
      <c r="W98" s="149">
        <v>5</v>
      </c>
      <c r="X98" s="157" t="s">
        <v>46</v>
      </c>
      <c r="Y98" s="149" t="s">
        <v>55</v>
      </c>
      <c r="Z98" s="149" t="s">
        <v>69</v>
      </c>
      <c r="AA98" s="149" t="s">
        <v>47</v>
      </c>
      <c r="AB98" s="157" t="s">
        <v>315</v>
      </c>
    </row>
    <row r="99" spans="1:28" x14ac:dyDescent="0.15">
      <c r="A99" s="157" t="s">
        <v>34</v>
      </c>
      <c r="B99" s="149" t="s">
        <v>313</v>
      </c>
      <c r="C99" s="149">
        <v>2018</v>
      </c>
      <c r="D99" s="191" t="s">
        <v>433</v>
      </c>
      <c r="E99" s="178" t="s">
        <v>302</v>
      </c>
      <c r="F99" s="178" t="s">
        <v>303</v>
      </c>
      <c r="G99" s="157" t="s">
        <v>36</v>
      </c>
      <c r="H99" s="149" t="s">
        <v>162</v>
      </c>
      <c r="I99" s="157" t="s">
        <v>155</v>
      </c>
      <c r="J99" s="157" t="s">
        <v>38</v>
      </c>
      <c r="K99" s="157" t="s">
        <v>156</v>
      </c>
      <c r="L99" s="149">
        <v>2</v>
      </c>
      <c r="N99" s="149">
        <v>4</v>
      </c>
      <c r="O99" s="149">
        <v>0.55000000000000004</v>
      </c>
      <c r="P99" s="149">
        <v>0.6</v>
      </c>
      <c r="Q99" s="186">
        <f t="shared" si="5"/>
        <v>0.57499999999999996</v>
      </c>
      <c r="R99" s="149">
        <v>15.7</v>
      </c>
      <c r="S99" s="149">
        <v>125</v>
      </c>
      <c r="T99" s="158">
        <f t="shared" si="6"/>
        <v>30</v>
      </c>
      <c r="U99" s="149">
        <v>410</v>
      </c>
      <c r="V99" s="158">
        <f t="shared" si="7"/>
        <v>3075</v>
      </c>
      <c r="W99" s="149">
        <v>5</v>
      </c>
      <c r="X99" s="157" t="s">
        <v>46</v>
      </c>
      <c r="Y99" s="149" t="s">
        <v>55</v>
      </c>
      <c r="Z99" s="149" t="s">
        <v>69</v>
      </c>
      <c r="AA99" s="149" t="s">
        <v>47</v>
      </c>
      <c r="AB99" s="157" t="s">
        <v>315</v>
      </c>
    </row>
    <row r="100" spans="1:28" x14ac:dyDescent="0.15">
      <c r="A100" s="157" t="s">
        <v>34</v>
      </c>
      <c r="B100" s="149" t="s">
        <v>313</v>
      </c>
      <c r="C100" s="149">
        <v>2018</v>
      </c>
      <c r="D100" s="191" t="s">
        <v>433</v>
      </c>
      <c r="E100" s="178" t="s">
        <v>302</v>
      </c>
      <c r="F100" s="178" t="s">
        <v>303</v>
      </c>
      <c r="G100" s="157" t="s">
        <v>36</v>
      </c>
      <c r="H100" s="149" t="s">
        <v>162</v>
      </c>
      <c r="I100" s="157" t="s">
        <v>155</v>
      </c>
      <c r="J100" s="157" t="s">
        <v>38</v>
      </c>
      <c r="K100" s="157" t="s">
        <v>156</v>
      </c>
      <c r="L100" s="149">
        <v>3</v>
      </c>
      <c r="N100" s="149">
        <v>4</v>
      </c>
      <c r="O100" s="149">
        <v>0.55000000000000004</v>
      </c>
      <c r="P100" s="149">
        <v>0.6</v>
      </c>
      <c r="Q100" s="186">
        <f t="shared" si="5"/>
        <v>0.57499999999999996</v>
      </c>
      <c r="R100" s="149">
        <v>15.7</v>
      </c>
      <c r="S100" s="149">
        <v>117</v>
      </c>
      <c r="T100" s="158">
        <f t="shared" si="6"/>
        <v>30</v>
      </c>
      <c r="U100" s="149">
        <v>410</v>
      </c>
      <c r="V100" s="158">
        <f t="shared" si="7"/>
        <v>3075</v>
      </c>
      <c r="W100" s="149">
        <v>5</v>
      </c>
      <c r="X100" s="157" t="s">
        <v>46</v>
      </c>
      <c r="Y100" s="149" t="s">
        <v>55</v>
      </c>
      <c r="Z100" s="149" t="s">
        <v>69</v>
      </c>
      <c r="AA100" s="149" t="s">
        <v>47</v>
      </c>
      <c r="AB100" s="157" t="s">
        <v>315</v>
      </c>
    </row>
    <row r="101" spans="1:28" x14ac:dyDescent="0.15">
      <c r="A101" s="157" t="s">
        <v>34</v>
      </c>
      <c r="B101" s="149" t="s">
        <v>313</v>
      </c>
      <c r="C101" s="149">
        <v>2018</v>
      </c>
      <c r="D101" s="191" t="s">
        <v>433</v>
      </c>
      <c r="E101" s="149" t="s">
        <v>205</v>
      </c>
      <c r="F101" s="149" t="s">
        <v>305</v>
      </c>
      <c r="G101" s="157" t="s">
        <v>36</v>
      </c>
      <c r="H101" s="149" t="s">
        <v>157</v>
      </c>
      <c r="I101" s="157" t="s">
        <v>155</v>
      </c>
      <c r="J101" s="157" t="s">
        <v>38</v>
      </c>
      <c r="K101" s="157" t="s">
        <v>156</v>
      </c>
      <c r="L101" s="157">
        <v>1</v>
      </c>
      <c r="N101" s="149">
        <v>1</v>
      </c>
      <c r="O101" s="149">
        <v>0.2</v>
      </c>
      <c r="P101" s="149">
        <v>0.2</v>
      </c>
      <c r="Q101" s="186">
        <f t="shared" si="5"/>
        <v>0.2</v>
      </c>
      <c r="R101" s="149">
        <v>14.6</v>
      </c>
      <c r="S101" s="149">
        <v>128</v>
      </c>
      <c r="T101" s="158">
        <f t="shared" si="6"/>
        <v>30</v>
      </c>
      <c r="U101" s="149">
        <v>105</v>
      </c>
      <c r="V101" s="158">
        <f t="shared" si="7"/>
        <v>3150</v>
      </c>
      <c r="W101" s="149">
        <v>7</v>
      </c>
      <c r="X101" s="157" t="s">
        <v>46</v>
      </c>
      <c r="Y101" s="149" t="s">
        <v>55</v>
      </c>
      <c r="Z101" s="149" t="s">
        <v>69</v>
      </c>
      <c r="AA101" s="149" t="s">
        <v>47</v>
      </c>
      <c r="AB101" s="157" t="s">
        <v>315</v>
      </c>
    </row>
    <row r="102" spans="1:28" x14ac:dyDescent="0.15">
      <c r="A102" s="157" t="s">
        <v>34</v>
      </c>
      <c r="B102" s="149" t="s">
        <v>313</v>
      </c>
      <c r="C102" s="149">
        <v>2018</v>
      </c>
      <c r="D102" s="191" t="s">
        <v>433</v>
      </c>
      <c r="E102" s="149" t="s">
        <v>205</v>
      </c>
      <c r="F102" s="149" t="s">
        <v>305</v>
      </c>
      <c r="G102" s="157" t="s">
        <v>36</v>
      </c>
      <c r="H102" s="149" t="s">
        <v>157</v>
      </c>
      <c r="I102" s="157" t="s">
        <v>155</v>
      </c>
      <c r="J102" s="157" t="s">
        <v>38</v>
      </c>
      <c r="K102" s="157" t="s">
        <v>156</v>
      </c>
      <c r="L102" s="149">
        <v>2</v>
      </c>
      <c r="N102" s="149">
        <v>1</v>
      </c>
      <c r="O102" s="149">
        <v>0.45</v>
      </c>
      <c r="P102" s="149">
        <v>0.5</v>
      </c>
      <c r="Q102" s="186">
        <f t="shared" si="5"/>
        <v>0.47499999999999998</v>
      </c>
      <c r="R102" s="149">
        <v>14.3</v>
      </c>
      <c r="S102" s="149">
        <v>125</v>
      </c>
      <c r="T102" s="158">
        <f t="shared" si="6"/>
        <v>30</v>
      </c>
      <c r="U102" s="149">
        <v>105</v>
      </c>
      <c r="V102" s="158">
        <f t="shared" si="7"/>
        <v>3150</v>
      </c>
      <c r="W102" s="149">
        <v>7</v>
      </c>
      <c r="X102" s="157" t="s">
        <v>46</v>
      </c>
      <c r="Y102" s="149" t="s">
        <v>55</v>
      </c>
      <c r="Z102" s="149" t="s">
        <v>69</v>
      </c>
      <c r="AA102" s="149" t="s">
        <v>47</v>
      </c>
      <c r="AB102" s="157" t="s">
        <v>315</v>
      </c>
    </row>
    <row r="103" spans="1:28" x14ac:dyDescent="0.15">
      <c r="A103" s="157" t="s">
        <v>34</v>
      </c>
      <c r="B103" s="149" t="s">
        <v>313</v>
      </c>
      <c r="C103" s="149">
        <v>2018</v>
      </c>
      <c r="D103" s="191" t="s">
        <v>433</v>
      </c>
      <c r="E103" s="149" t="s">
        <v>205</v>
      </c>
      <c r="F103" s="149" t="s">
        <v>305</v>
      </c>
      <c r="G103" s="157" t="s">
        <v>36</v>
      </c>
      <c r="H103" s="149" t="s">
        <v>157</v>
      </c>
      <c r="I103" s="157" t="s">
        <v>155</v>
      </c>
      <c r="J103" s="157" t="s">
        <v>38</v>
      </c>
      <c r="K103" s="157" t="s">
        <v>156</v>
      </c>
      <c r="L103" s="149">
        <v>3</v>
      </c>
      <c r="N103" s="149">
        <v>1</v>
      </c>
      <c r="O103" s="149">
        <v>0.6</v>
      </c>
      <c r="P103" s="149">
        <v>0.6</v>
      </c>
      <c r="Q103" s="186">
        <f t="shared" si="5"/>
        <v>0.6</v>
      </c>
      <c r="R103" s="149">
        <v>11.3</v>
      </c>
      <c r="S103" s="149">
        <v>130</v>
      </c>
      <c r="T103" s="158">
        <f t="shared" si="6"/>
        <v>30</v>
      </c>
      <c r="U103" s="149">
        <v>105</v>
      </c>
      <c r="V103" s="158">
        <f t="shared" si="7"/>
        <v>3150</v>
      </c>
      <c r="W103" s="149">
        <v>7</v>
      </c>
      <c r="X103" s="157" t="s">
        <v>46</v>
      </c>
      <c r="Y103" s="149" t="s">
        <v>55</v>
      </c>
      <c r="Z103" s="149" t="s">
        <v>69</v>
      </c>
      <c r="AA103" s="149" t="s">
        <v>47</v>
      </c>
      <c r="AB103" s="157" t="s">
        <v>315</v>
      </c>
    </row>
    <row r="104" spans="1:28" x14ac:dyDescent="0.15">
      <c r="A104" s="157" t="s">
        <v>34</v>
      </c>
      <c r="B104" s="149" t="s">
        <v>313</v>
      </c>
      <c r="C104" s="149">
        <v>2018</v>
      </c>
      <c r="D104" s="191" t="s">
        <v>433</v>
      </c>
      <c r="E104" s="149" t="s">
        <v>205</v>
      </c>
      <c r="F104" s="149" t="s">
        <v>305</v>
      </c>
      <c r="G104" s="157" t="s">
        <v>36</v>
      </c>
      <c r="H104" s="149" t="s">
        <v>157</v>
      </c>
      <c r="I104" s="157" t="s">
        <v>155</v>
      </c>
      <c r="J104" s="157" t="s">
        <v>38</v>
      </c>
      <c r="K104" s="157" t="s">
        <v>156</v>
      </c>
      <c r="L104" s="157">
        <v>1</v>
      </c>
      <c r="N104" s="149">
        <v>5</v>
      </c>
      <c r="O104" s="149">
        <v>0.2</v>
      </c>
      <c r="P104" s="149">
        <v>0.2</v>
      </c>
      <c r="Q104" s="186">
        <f t="shared" si="5"/>
        <v>0.2</v>
      </c>
      <c r="R104" s="149">
        <v>13.7</v>
      </c>
      <c r="S104" s="149">
        <v>102</v>
      </c>
      <c r="T104" s="158">
        <f t="shared" si="6"/>
        <v>33</v>
      </c>
      <c r="U104" s="149">
        <v>429</v>
      </c>
      <c r="V104" s="158">
        <f t="shared" si="7"/>
        <v>2831.4</v>
      </c>
      <c r="W104" s="149">
        <v>7</v>
      </c>
      <c r="X104" s="157" t="s">
        <v>46</v>
      </c>
      <c r="Y104" s="149" t="s">
        <v>55</v>
      </c>
      <c r="Z104" s="149" t="s">
        <v>69</v>
      </c>
      <c r="AA104" s="149" t="s">
        <v>47</v>
      </c>
      <c r="AB104" s="157" t="s">
        <v>315</v>
      </c>
    </row>
    <row r="105" spans="1:28" x14ac:dyDescent="0.15">
      <c r="A105" s="157" t="s">
        <v>34</v>
      </c>
      <c r="B105" s="149" t="s">
        <v>313</v>
      </c>
      <c r="C105" s="149">
        <v>2018</v>
      </c>
      <c r="D105" s="191" t="s">
        <v>433</v>
      </c>
      <c r="E105" s="149" t="s">
        <v>205</v>
      </c>
      <c r="F105" s="149" t="s">
        <v>305</v>
      </c>
      <c r="G105" s="157" t="s">
        <v>36</v>
      </c>
      <c r="H105" s="149" t="s">
        <v>157</v>
      </c>
      <c r="I105" s="157" t="s">
        <v>155</v>
      </c>
      <c r="J105" s="157" t="s">
        <v>38</v>
      </c>
      <c r="K105" s="157" t="s">
        <v>156</v>
      </c>
      <c r="L105" s="149">
        <v>2</v>
      </c>
      <c r="N105" s="149">
        <v>5</v>
      </c>
      <c r="O105" s="149">
        <v>0.2</v>
      </c>
      <c r="P105" s="149">
        <v>0.2</v>
      </c>
      <c r="Q105" s="186">
        <f t="shared" si="5"/>
        <v>0.2</v>
      </c>
      <c r="R105" s="149">
        <v>12.4</v>
      </c>
      <c r="S105" s="149">
        <v>102</v>
      </c>
      <c r="T105" s="158">
        <f t="shared" si="6"/>
        <v>33</v>
      </c>
      <c r="U105" s="149">
        <v>429</v>
      </c>
      <c r="V105" s="158">
        <f t="shared" si="7"/>
        <v>2831.4</v>
      </c>
      <c r="W105" s="149">
        <v>7</v>
      </c>
      <c r="X105" s="157" t="s">
        <v>46</v>
      </c>
      <c r="Y105" s="149" t="s">
        <v>55</v>
      </c>
      <c r="Z105" s="149" t="s">
        <v>69</v>
      </c>
      <c r="AA105" s="149" t="s">
        <v>47</v>
      </c>
      <c r="AB105" s="157" t="s">
        <v>315</v>
      </c>
    </row>
    <row r="106" spans="1:28" x14ac:dyDescent="0.15">
      <c r="A106" s="157" t="s">
        <v>34</v>
      </c>
      <c r="B106" s="149" t="s">
        <v>313</v>
      </c>
      <c r="C106" s="149">
        <v>2018</v>
      </c>
      <c r="D106" s="191" t="s">
        <v>433</v>
      </c>
      <c r="E106" s="149" t="s">
        <v>205</v>
      </c>
      <c r="F106" s="149" t="s">
        <v>305</v>
      </c>
      <c r="G106" s="157" t="s">
        <v>36</v>
      </c>
      <c r="H106" s="149" t="s">
        <v>157</v>
      </c>
      <c r="I106" s="157" t="s">
        <v>155</v>
      </c>
      <c r="J106" s="157" t="s">
        <v>38</v>
      </c>
      <c r="K106" s="157" t="s">
        <v>156</v>
      </c>
      <c r="L106" s="149">
        <v>3</v>
      </c>
      <c r="N106" s="149">
        <v>5</v>
      </c>
      <c r="O106" s="149">
        <v>0.2</v>
      </c>
      <c r="P106" s="149">
        <v>0.2</v>
      </c>
      <c r="Q106" s="186">
        <f t="shared" si="5"/>
        <v>0.2</v>
      </c>
      <c r="R106" s="149">
        <v>9.9</v>
      </c>
      <c r="S106" s="149">
        <v>103</v>
      </c>
      <c r="T106" s="158">
        <f t="shared" si="6"/>
        <v>33</v>
      </c>
      <c r="U106" s="149">
        <v>429</v>
      </c>
      <c r="V106" s="158">
        <f t="shared" si="7"/>
        <v>2831.4</v>
      </c>
      <c r="W106" s="149">
        <v>7</v>
      </c>
      <c r="X106" s="157" t="s">
        <v>46</v>
      </c>
      <c r="Y106" s="149" t="s">
        <v>55</v>
      </c>
      <c r="Z106" s="149" t="s">
        <v>69</v>
      </c>
      <c r="AA106" s="149" t="s">
        <v>47</v>
      </c>
      <c r="AB106" s="157" t="s">
        <v>315</v>
      </c>
    </row>
    <row r="107" spans="1:28" x14ac:dyDescent="0.15">
      <c r="A107" s="157" t="s">
        <v>34</v>
      </c>
      <c r="B107" s="149" t="s">
        <v>313</v>
      </c>
      <c r="C107" s="149">
        <v>2018</v>
      </c>
      <c r="D107" s="191" t="s">
        <v>433</v>
      </c>
      <c r="E107" s="149" t="s">
        <v>205</v>
      </c>
      <c r="F107" s="149" t="s">
        <v>305</v>
      </c>
      <c r="G107" s="157" t="s">
        <v>36</v>
      </c>
      <c r="H107" s="149" t="s">
        <v>211</v>
      </c>
      <c r="I107" s="157" t="s">
        <v>155</v>
      </c>
      <c r="J107" s="157" t="s">
        <v>38</v>
      </c>
      <c r="K107" s="157" t="s">
        <v>156</v>
      </c>
      <c r="L107" s="157">
        <v>1</v>
      </c>
      <c r="N107" s="149">
        <v>5</v>
      </c>
      <c r="O107" s="149">
        <v>0.6</v>
      </c>
      <c r="P107" s="149">
        <v>0.55000000000000004</v>
      </c>
      <c r="Q107" s="186">
        <f t="shared" si="5"/>
        <v>0.57499999999999996</v>
      </c>
      <c r="R107" s="149">
        <v>18.2</v>
      </c>
      <c r="S107" s="149">
        <v>82</v>
      </c>
      <c r="T107" s="158">
        <f t="shared" si="6"/>
        <v>39</v>
      </c>
      <c r="U107" s="149">
        <v>429</v>
      </c>
      <c r="V107" s="158">
        <f t="shared" si="7"/>
        <v>3346.2</v>
      </c>
      <c r="W107" s="149">
        <v>2</v>
      </c>
      <c r="X107" s="157" t="s">
        <v>46</v>
      </c>
      <c r="Y107" s="149" t="s">
        <v>55</v>
      </c>
      <c r="Z107" s="149" t="s">
        <v>69</v>
      </c>
      <c r="AA107" s="149" t="s">
        <v>47</v>
      </c>
      <c r="AB107" s="157" t="s">
        <v>315</v>
      </c>
    </row>
    <row r="108" spans="1:28" x14ac:dyDescent="0.15">
      <c r="A108" s="157" t="s">
        <v>34</v>
      </c>
      <c r="B108" s="149" t="s">
        <v>313</v>
      </c>
      <c r="C108" s="149">
        <v>2018</v>
      </c>
      <c r="D108" s="191" t="s">
        <v>433</v>
      </c>
      <c r="E108" s="149" t="s">
        <v>205</v>
      </c>
      <c r="F108" s="149" t="s">
        <v>305</v>
      </c>
      <c r="G108" s="157" t="s">
        <v>36</v>
      </c>
      <c r="H108" s="149" t="s">
        <v>211</v>
      </c>
      <c r="I108" s="157" t="s">
        <v>155</v>
      </c>
      <c r="J108" s="157" t="s">
        <v>38</v>
      </c>
      <c r="K108" s="157" t="s">
        <v>156</v>
      </c>
      <c r="L108" s="149">
        <v>2</v>
      </c>
      <c r="N108" s="149">
        <v>5</v>
      </c>
      <c r="O108" s="149">
        <v>0.7</v>
      </c>
      <c r="P108" s="149">
        <v>0.55000000000000004</v>
      </c>
      <c r="Q108" s="186">
        <f t="shared" si="5"/>
        <v>0.625</v>
      </c>
      <c r="R108" s="149">
        <v>16</v>
      </c>
      <c r="S108" s="149">
        <v>82</v>
      </c>
      <c r="T108" s="158">
        <f t="shared" si="6"/>
        <v>39</v>
      </c>
      <c r="U108" s="149">
        <v>429</v>
      </c>
      <c r="V108" s="158">
        <f t="shared" si="7"/>
        <v>3346.2</v>
      </c>
      <c r="W108" s="149">
        <v>2</v>
      </c>
      <c r="X108" s="157" t="s">
        <v>46</v>
      </c>
      <c r="Y108" s="149" t="s">
        <v>55</v>
      </c>
      <c r="Z108" s="149" t="s">
        <v>69</v>
      </c>
      <c r="AA108" s="149" t="s">
        <v>47</v>
      </c>
      <c r="AB108" s="157" t="s">
        <v>315</v>
      </c>
    </row>
    <row r="109" spans="1:28" x14ac:dyDescent="0.15">
      <c r="A109" s="157" t="s">
        <v>34</v>
      </c>
      <c r="B109" s="149" t="s">
        <v>313</v>
      </c>
      <c r="C109" s="149">
        <v>2018</v>
      </c>
      <c r="D109" s="191" t="s">
        <v>433</v>
      </c>
      <c r="E109" s="149" t="s">
        <v>205</v>
      </c>
      <c r="F109" s="149" t="s">
        <v>305</v>
      </c>
      <c r="G109" s="157" t="s">
        <v>36</v>
      </c>
      <c r="H109" s="149" t="s">
        <v>211</v>
      </c>
      <c r="I109" s="157" t="s">
        <v>155</v>
      </c>
      <c r="J109" s="157" t="s">
        <v>38</v>
      </c>
      <c r="K109" s="157" t="s">
        <v>156</v>
      </c>
      <c r="L109" s="149">
        <v>3</v>
      </c>
      <c r="N109" s="149">
        <v>5</v>
      </c>
      <c r="O109" s="149">
        <v>0.7</v>
      </c>
      <c r="P109" s="149">
        <v>0.65</v>
      </c>
      <c r="Q109" s="186">
        <f t="shared" si="5"/>
        <v>0.67500000000000004</v>
      </c>
      <c r="R109" s="149">
        <v>15.8</v>
      </c>
      <c r="S109" s="149">
        <v>90</v>
      </c>
      <c r="T109" s="158">
        <f t="shared" si="6"/>
        <v>36</v>
      </c>
      <c r="U109" s="149">
        <v>429</v>
      </c>
      <c r="V109" s="158">
        <f t="shared" si="7"/>
        <v>3088.7999999999997</v>
      </c>
      <c r="W109" s="149">
        <v>2</v>
      </c>
      <c r="X109" s="157" t="s">
        <v>46</v>
      </c>
      <c r="Y109" s="149" t="s">
        <v>55</v>
      </c>
      <c r="Z109" s="149" t="s">
        <v>69</v>
      </c>
      <c r="AA109" s="149" t="s">
        <v>47</v>
      </c>
      <c r="AB109" s="157" t="s">
        <v>315</v>
      </c>
    </row>
    <row r="110" spans="1:28" x14ac:dyDescent="0.15">
      <c r="A110" s="157" t="s">
        <v>34</v>
      </c>
      <c r="B110" s="149" t="s">
        <v>313</v>
      </c>
      <c r="C110" s="149">
        <v>2018</v>
      </c>
      <c r="D110" s="191" t="s">
        <v>433</v>
      </c>
      <c r="E110" s="149" t="s">
        <v>205</v>
      </c>
      <c r="F110" s="149" t="s">
        <v>305</v>
      </c>
      <c r="G110" s="157" t="s">
        <v>36</v>
      </c>
      <c r="H110" s="149" t="s">
        <v>162</v>
      </c>
      <c r="I110" s="157" t="s">
        <v>155</v>
      </c>
      <c r="J110" s="157" t="s">
        <v>38</v>
      </c>
      <c r="K110" s="157" t="s">
        <v>156</v>
      </c>
      <c r="L110" s="157">
        <v>1</v>
      </c>
      <c r="N110" s="149">
        <v>1</v>
      </c>
      <c r="O110" s="149">
        <v>0.75</v>
      </c>
      <c r="P110" s="149">
        <v>0.75</v>
      </c>
      <c r="Q110" s="186">
        <f t="shared" si="5"/>
        <v>0.75</v>
      </c>
      <c r="R110" s="149">
        <v>15</v>
      </c>
      <c r="S110" s="149">
        <v>160</v>
      </c>
      <c r="T110" s="158">
        <f t="shared" si="6"/>
        <v>18</v>
      </c>
      <c r="U110" s="149">
        <v>138</v>
      </c>
      <c r="V110" s="158">
        <f t="shared" si="7"/>
        <v>2484</v>
      </c>
      <c r="W110" s="149">
        <v>7</v>
      </c>
      <c r="X110" s="157" t="s">
        <v>46</v>
      </c>
      <c r="Y110" s="149" t="s">
        <v>55</v>
      </c>
      <c r="Z110" s="149" t="s">
        <v>69</v>
      </c>
      <c r="AA110" s="149" t="s">
        <v>47</v>
      </c>
      <c r="AB110" s="157" t="s">
        <v>315</v>
      </c>
    </row>
    <row r="111" spans="1:28" x14ac:dyDescent="0.15">
      <c r="A111" s="157" t="s">
        <v>34</v>
      </c>
      <c r="B111" s="149" t="s">
        <v>313</v>
      </c>
      <c r="C111" s="149">
        <v>2018</v>
      </c>
      <c r="D111" s="191" t="s">
        <v>433</v>
      </c>
      <c r="E111" s="149" t="s">
        <v>205</v>
      </c>
      <c r="F111" s="149" t="s">
        <v>305</v>
      </c>
      <c r="G111" s="157" t="s">
        <v>36</v>
      </c>
      <c r="H111" s="149" t="s">
        <v>162</v>
      </c>
      <c r="I111" s="157" t="s">
        <v>155</v>
      </c>
      <c r="J111" s="157" t="s">
        <v>38</v>
      </c>
      <c r="K111" s="157" t="s">
        <v>156</v>
      </c>
      <c r="L111" s="149">
        <v>2</v>
      </c>
      <c r="N111" s="149">
        <v>1</v>
      </c>
      <c r="O111" s="149">
        <v>0.65</v>
      </c>
      <c r="P111" s="149">
        <v>0.65</v>
      </c>
      <c r="Q111" s="186">
        <f t="shared" si="5"/>
        <v>0.65</v>
      </c>
      <c r="R111" s="149">
        <v>14.3</v>
      </c>
      <c r="S111" s="149">
        <v>152</v>
      </c>
      <c r="T111" s="158">
        <f t="shared" si="6"/>
        <v>18</v>
      </c>
      <c r="U111" s="149">
        <v>138</v>
      </c>
      <c r="V111" s="158">
        <f t="shared" si="7"/>
        <v>2484</v>
      </c>
      <c r="W111" s="149">
        <v>7</v>
      </c>
      <c r="X111" s="157" t="s">
        <v>46</v>
      </c>
      <c r="Y111" s="149" t="s">
        <v>55</v>
      </c>
      <c r="Z111" s="149" t="s">
        <v>69</v>
      </c>
      <c r="AA111" s="149" t="s">
        <v>47</v>
      </c>
      <c r="AB111" s="157" t="s">
        <v>315</v>
      </c>
    </row>
    <row r="112" spans="1:28" x14ac:dyDescent="0.15">
      <c r="A112" s="157" t="s">
        <v>34</v>
      </c>
      <c r="B112" s="149" t="s">
        <v>313</v>
      </c>
      <c r="C112" s="149">
        <v>2018</v>
      </c>
      <c r="D112" s="191" t="s">
        <v>433</v>
      </c>
      <c r="E112" s="149" t="s">
        <v>205</v>
      </c>
      <c r="F112" s="149" t="s">
        <v>305</v>
      </c>
      <c r="G112" s="157" t="s">
        <v>36</v>
      </c>
      <c r="H112" s="149" t="s">
        <v>162</v>
      </c>
      <c r="I112" s="157" t="s">
        <v>155</v>
      </c>
      <c r="J112" s="157" t="s">
        <v>38</v>
      </c>
      <c r="K112" s="157" t="s">
        <v>156</v>
      </c>
      <c r="L112" s="149">
        <v>3</v>
      </c>
      <c r="N112" s="149">
        <v>1</v>
      </c>
      <c r="O112" s="149">
        <v>0.55000000000000004</v>
      </c>
      <c r="P112" s="149">
        <v>0.65</v>
      </c>
      <c r="Q112" s="186">
        <f t="shared" si="5"/>
        <v>0.60000000000000009</v>
      </c>
      <c r="R112" s="149">
        <v>18.600000000000001</v>
      </c>
      <c r="S112" s="149">
        <v>151</v>
      </c>
      <c r="T112" s="158">
        <f t="shared" si="6"/>
        <v>30</v>
      </c>
      <c r="U112" s="149">
        <v>138</v>
      </c>
      <c r="V112" s="158">
        <f t="shared" si="7"/>
        <v>4140</v>
      </c>
      <c r="W112" s="149">
        <v>7</v>
      </c>
      <c r="X112" s="157" t="s">
        <v>46</v>
      </c>
      <c r="Y112" s="149" t="s">
        <v>55</v>
      </c>
      <c r="Z112" s="149" t="s">
        <v>69</v>
      </c>
      <c r="AA112" s="149" t="s">
        <v>47</v>
      </c>
      <c r="AB112" s="157" t="s">
        <v>315</v>
      </c>
    </row>
    <row r="113" spans="1:28" x14ac:dyDescent="0.15">
      <c r="A113" s="157" t="s">
        <v>34</v>
      </c>
      <c r="B113" s="149" t="s">
        <v>313</v>
      </c>
      <c r="C113" s="149">
        <v>2018</v>
      </c>
      <c r="D113" s="191" t="s">
        <v>433</v>
      </c>
      <c r="E113" s="149" t="s">
        <v>205</v>
      </c>
      <c r="F113" s="149" t="s">
        <v>305</v>
      </c>
      <c r="G113" s="157" t="s">
        <v>36</v>
      </c>
      <c r="H113" s="149" t="s">
        <v>162</v>
      </c>
      <c r="I113" s="157" t="s">
        <v>155</v>
      </c>
      <c r="J113" s="157" t="s">
        <v>38</v>
      </c>
      <c r="K113" s="157" t="s">
        <v>156</v>
      </c>
      <c r="L113" s="157">
        <v>1</v>
      </c>
      <c r="N113" s="149">
        <v>6</v>
      </c>
      <c r="O113" s="149">
        <v>0.7</v>
      </c>
      <c r="P113" s="149">
        <v>0.55000000000000004</v>
      </c>
      <c r="Q113" s="186">
        <f t="shared" si="5"/>
        <v>0.625</v>
      </c>
      <c r="R113" s="149">
        <v>15.2</v>
      </c>
      <c r="S113" s="149">
        <v>159</v>
      </c>
      <c r="T113" s="158">
        <f t="shared" si="6"/>
        <v>18</v>
      </c>
      <c r="U113" s="149">
        <v>861</v>
      </c>
      <c r="V113" s="158">
        <f t="shared" si="7"/>
        <v>2583</v>
      </c>
      <c r="W113" s="149">
        <v>7</v>
      </c>
      <c r="X113" s="157" t="s">
        <v>46</v>
      </c>
      <c r="Y113" s="149" t="s">
        <v>55</v>
      </c>
      <c r="Z113" s="149" t="s">
        <v>69</v>
      </c>
      <c r="AA113" s="149" t="s">
        <v>47</v>
      </c>
      <c r="AB113" s="157" t="s">
        <v>315</v>
      </c>
    </row>
    <row r="114" spans="1:28" x14ac:dyDescent="0.15">
      <c r="A114" s="157" t="s">
        <v>34</v>
      </c>
      <c r="B114" s="149" t="s">
        <v>313</v>
      </c>
      <c r="C114" s="149">
        <v>2018</v>
      </c>
      <c r="D114" s="191" t="s">
        <v>433</v>
      </c>
      <c r="E114" s="149" t="s">
        <v>205</v>
      </c>
      <c r="F114" s="149" t="s">
        <v>305</v>
      </c>
      <c r="G114" s="157" t="s">
        <v>36</v>
      </c>
      <c r="H114" s="149" t="s">
        <v>162</v>
      </c>
      <c r="I114" s="157" t="s">
        <v>155</v>
      </c>
      <c r="J114" s="157" t="s">
        <v>38</v>
      </c>
      <c r="K114" s="157" t="s">
        <v>156</v>
      </c>
      <c r="L114" s="149">
        <v>2</v>
      </c>
      <c r="N114" s="149">
        <v>6</v>
      </c>
      <c r="O114" s="149">
        <v>0.6</v>
      </c>
      <c r="P114" s="149">
        <v>0.6</v>
      </c>
      <c r="Q114" s="186">
        <f t="shared" si="5"/>
        <v>0.6</v>
      </c>
      <c r="R114" s="149">
        <v>14.8</v>
      </c>
      <c r="S114" s="149">
        <v>159</v>
      </c>
      <c r="T114" s="158">
        <f t="shared" si="6"/>
        <v>18</v>
      </c>
      <c r="U114" s="149">
        <v>861</v>
      </c>
      <c r="V114" s="158">
        <f t="shared" si="7"/>
        <v>2583</v>
      </c>
      <c r="W114" s="149">
        <v>7</v>
      </c>
      <c r="X114" s="157" t="s">
        <v>46</v>
      </c>
      <c r="Y114" s="149" t="s">
        <v>55</v>
      </c>
      <c r="Z114" s="149" t="s">
        <v>69</v>
      </c>
      <c r="AA114" s="149" t="s">
        <v>47</v>
      </c>
      <c r="AB114" s="157" t="s">
        <v>315</v>
      </c>
    </row>
    <row r="115" spans="1:28" x14ac:dyDescent="0.15">
      <c r="A115" s="157" t="s">
        <v>34</v>
      </c>
      <c r="B115" s="149" t="s">
        <v>313</v>
      </c>
      <c r="C115" s="149">
        <v>2018</v>
      </c>
      <c r="D115" s="191" t="s">
        <v>433</v>
      </c>
      <c r="E115" s="149" t="s">
        <v>205</v>
      </c>
      <c r="F115" s="149" t="s">
        <v>305</v>
      </c>
      <c r="G115" s="157" t="s">
        <v>36</v>
      </c>
      <c r="H115" s="149" t="s">
        <v>162</v>
      </c>
      <c r="I115" s="157" t="s">
        <v>155</v>
      </c>
      <c r="J115" s="157" t="s">
        <v>38</v>
      </c>
      <c r="K115" s="157" t="s">
        <v>156</v>
      </c>
      <c r="L115" s="149">
        <v>3</v>
      </c>
      <c r="N115" s="149">
        <v>6</v>
      </c>
      <c r="O115" s="149">
        <v>0.6</v>
      </c>
      <c r="P115" s="149">
        <v>0.6</v>
      </c>
      <c r="Q115" s="186">
        <f t="shared" si="5"/>
        <v>0.6</v>
      </c>
      <c r="R115" s="149">
        <v>14.7</v>
      </c>
      <c r="S115" s="149">
        <v>157</v>
      </c>
      <c r="T115" s="158">
        <f t="shared" si="6"/>
        <v>18</v>
      </c>
      <c r="U115" s="149">
        <v>861</v>
      </c>
      <c r="V115" s="158">
        <f t="shared" si="7"/>
        <v>2583</v>
      </c>
      <c r="W115" s="149">
        <v>7</v>
      </c>
      <c r="X115" s="157" t="s">
        <v>46</v>
      </c>
      <c r="Y115" s="149" t="s">
        <v>55</v>
      </c>
      <c r="Z115" s="149" t="s">
        <v>69</v>
      </c>
      <c r="AA115" s="149" t="s">
        <v>47</v>
      </c>
      <c r="AB115" s="157" t="s">
        <v>315</v>
      </c>
    </row>
    <row r="116" spans="1:28" x14ac:dyDescent="0.15">
      <c r="K116" s="157"/>
      <c r="Q116" s="186" t="str">
        <f t="shared" si="5"/>
        <v/>
      </c>
      <c r="T116" s="158" t="str">
        <f t="shared" si="6"/>
        <v/>
      </c>
      <c r="V116" s="158" t="str">
        <f t="shared" si="7"/>
        <v/>
      </c>
    </row>
    <row r="117" spans="1:28" x14ac:dyDescent="0.15">
      <c r="K117" s="157"/>
      <c r="Q117" s="186" t="str">
        <f t="shared" si="5"/>
        <v/>
      </c>
      <c r="T117" s="158" t="str">
        <f t="shared" si="6"/>
        <v/>
      </c>
      <c r="V117" s="158" t="str">
        <f t="shared" si="7"/>
        <v/>
      </c>
    </row>
    <row r="118" spans="1:28" x14ac:dyDescent="0.15">
      <c r="K118" s="157"/>
      <c r="T118" s="158" t="str">
        <f t="shared" si="6"/>
        <v/>
      </c>
      <c r="V118" s="158" t="str">
        <f t="shared" si="7"/>
        <v/>
      </c>
    </row>
    <row r="119" spans="1:28" x14ac:dyDescent="0.15">
      <c r="K119" s="157"/>
      <c r="T119" s="158" t="str">
        <f t="shared" si="6"/>
        <v/>
      </c>
      <c r="V119" s="158" t="str">
        <f t="shared" si="7"/>
        <v/>
      </c>
    </row>
    <row r="120" spans="1:28" x14ac:dyDescent="0.15">
      <c r="K120" s="157"/>
      <c r="T120" s="158" t="str">
        <f t="shared" si="6"/>
        <v/>
      </c>
    </row>
    <row r="121" spans="1:28" x14ac:dyDescent="0.15">
      <c r="K121" s="157"/>
      <c r="T121" s="158" t="str">
        <f t="shared" si="6"/>
        <v/>
      </c>
    </row>
    <row r="122" spans="1:28" x14ac:dyDescent="0.15">
      <c r="K122" s="157"/>
      <c r="T122" s="158" t="str">
        <f t="shared" si="6"/>
        <v/>
      </c>
    </row>
    <row r="123" spans="1:28" x14ac:dyDescent="0.15">
      <c r="K123" s="157"/>
      <c r="T123" s="158" t="str">
        <f t="shared" si="6"/>
        <v/>
      </c>
    </row>
    <row r="124" spans="1:28" x14ac:dyDescent="0.15">
      <c r="K124" s="157"/>
    </row>
    <row r="125" spans="1:28" x14ac:dyDescent="0.15">
      <c r="K125" s="157"/>
    </row>
    <row r="126" spans="1:28" x14ac:dyDescent="0.15">
      <c r="K126" s="157"/>
    </row>
    <row r="127" spans="1:28" x14ac:dyDescent="0.15">
      <c r="K127" s="157"/>
    </row>
    <row r="128" spans="1:28" x14ac:dyDescent="0.15">
      <c r="K128" s="157"/>
    </row>
    <row r="129" spans="11:11" x14ac:dyDescent="0.15">
      <c r="K129" s="157"/>
    </row>
    <row r="130" spans="11:11" x14ac:dyDescent="0.15">
      <c r="K130" s="157"/>
    </row>
    <row r="131" spans="11:11" x14ac:dyDescent="0.15">
      <c r="K131" s="157"/>
    </row>
    <row r="132" spans="11:11" x14ac:dyDescent="0.15">
      <c r="K132" s="157"/>
    </row>
    <row r="133" spans="11:11" x14ac:dyDescent="0.15">
      <c r="K133" s="157"/>
    </row>
    <row r="134" spans="11:11" x14ac:dyDescent="0.15">
      <c r="K134" s="157"/>
    </row>
    <row r="135" spans="11:11" x14ac:dyDescent="0.15">
      <c r="K135" s="157"/>
    </row>
    <row r="136" spans="11:11" x14ac:dyDescent="0.15">
      <c r="K136" s="157"/>
    </row>
    <row r="137" spans="11:11" x14ac:dyDescent="0.15">
      <c r="K137" s="157"/>
    </row>
    <row r="138" spans="11:11" x14ac:dyDescent="0.15">
      <c r="K138" s="157"/>
    </row>
    <row r="139" spans="11:11" x14ac:dyDescent="0.15">
      <c r="K139" s="157"/>
    </row>
    <row r="140" spans="11:11" x14ac:dyDescent="0.15">
      <c r="K140" s="157"/>
    </row>
    <row r="141" spans="11:11" x14ac:dyDescent="0.15">
      <c r="K141" s="157"/>
    </row>
    <row r="142" spans="11:11" x14ac:dyDescent="0.15">
      <c r="K142" s="157"/>
    </row>
    <row r="143" spans="11:11" x14ac:dyDescent="0.15">
      <c r="K143" s="157"/>
    </row>
    <row r="144" spans="11:11" x14ac:dyDescent="0.15">
      <c r="K144" s="157"/>
    </row>
    <row r="145" spans="11:11" x14ac:dyDescent="0.15">
      <c r="K145" s="157"/>
    </row>
    <row r="146" spans="11:11" x14ac:dyDescent="0.15">
      <c r="K146" s="157"/>
    </row>
    <row r="147" spans="11:11" x14ac:dyDescent="0.15">
      <c r="K147" s="157"/>
    </row>
    <row r="148" spans="11:11" x14ac:dyDescent="0.15">
      <c r="K148" s="157"/>
    </row>
    <row r="149" spans="11:11" x14ac:dyDescent="0.15">
      <c r="K149" s="157"/>
    </row>
    <row r="150" spans="11:11" x14ac:dyDescent="0.15">
      <c r="K150" s="157"/>
    </row>
    <row r="151" spans="11:11" x14ac:dyDescent="0.15">
      <c r="K151" s="157"/>
    </row>
    <row r="152" spans="11:11" x14ac:dyDescent="0.15">
      <c r="K152" s="157"/>
    </row>
    <row r="153" spans="11:11" x14ac:dyDescent="0.15">
      <c r="K153" s="157"/>
    </row>
    <row r="154" spans="11:11" x14ac:dyDescent="0.15">
      <c r="K154" s="157"/>
    </row>
    <row r="155" spans="11:11" x14ac:dyDescent="0.15">
      <c r="K155" s="157"/>
    </row>
    <row r="156" spans="11:11" x14ac:dyDescent="0.15">
      <c r="K156" s="157"/>
    </row>
    <row r="157" spans="11:11" x14ac:dyDescent="0.15">
      <c r="K157" s="157"/>
    </row>
    <row r="158" spans="11:11" x14ac:dyDescent="0.15">
      <c r="K158" s="157"/>
    </row>
    <row r="159" spans="11:11" x14ac:dyDescent="0.15">
      <c r="K159" s="157"/>
    </row>
    <row r="160" spans="11:11" x14ac:dyDescent="0.15">
      <c r="K160" s="157"/>
    </row>
    <row r="161" spans="11:11" x14ac:dyDescent="0.15">
      <c r="K161" s="157"/>
    </row>
    <row r="162" spans="11:11" x14ac:dyDescent="0.15">
      <c r="K162" s="157"/>
    </row>
    <row r="163" spans="11:11" x14ac:dyDescent="0.15">
      <c r="K163" s="157"/>
    </row>
    <row r="164" spans="11:11" x14ac:dyDescent="0.15">
      <c r="K164" s="157"/>
    </row>
    <row r="165" spans="11:11" x14ac:dyDescent="0.15">
      <c r="K165" s="157"/>
    </row>
    <row r="166" spans="11:11" x14ac:dyDescent="0.15">
      <c r="K166" s="157"/>
    </row>
    <row r="167" spans="11:11" x14ac:dyDescent="0.15">
      <c r="K167" s="157"/>
    </row>
    <row r="168" spans="11:11" x14ac:dyDescent="0.15">
      <c r="K168" s="157"/>
    </row>
    <row r="169" spans="11:11" x14ac:dyDescent="0.15">
      <c r="K169" s="157"/>
    </row>
    <row r="170" spans="11:11" x14ac:dyDescent="0.15">
      <c r="K170" s="157"/>
    </row>
    <row r="171" spans="11:11" x14ac:dyDescent="0.15">
      <c r="K171" s="157"/>
    </row>
    <row r="172" spans="11:11" x14ac:dyDescent="0.15">
      <c r="K172" s="157"/>
    </row>
    <row r="173" spans="11:11" x14ac:dyDescent="0.15">
      <c r="K173" s="157"/>
    </row>
    <row r="174" spans="11:11" x14ac:dyDescent="0.15">
      <c r="K174" s="157"/>
    </row>
    <row r="175" spans="11:11" x14ac:dyDescent="0.15">
      <c r="K175" s="157"/>
    </row>
    <row r="176" spans="11:11" x14ac:dyDescent="0.15">
      <c r="K176" s="157"/>
    </row>
    <row r="177" spans="11:11" x14ac:dyDescent="0.15">
      <c r="K177" s="157"/>
    </row>
    <row r="178" spans="11:11" x14ac:dyDescent="0.15">
      <c r="K178" s="157"/>
    </row>
    <row r="179" spans="11:11" x14ac:dyDescent="0.15">
      <c r="K179" s="157"/>
    </row>
    <row r="180" spans="11:11" x14ac:dyDescent="0.15">
      <c r="K180" s="157"/>
    </row>
    <row r="181" spans="11:11" x14ac:dyDescent="0.15">
      <c r="K181" s="157"/>
    </row>
    <row r="182" spans="11:11" x14ac:dyDescent="0.15">
      <c r="K182" s="157"/>
    </row>
    <row r="183" spans="11:11" x14ac:dyDescent="0.15">
      <c r="K183" s="157"/>
    </row>
    <row r="184" spans="11:11" x14ac:dyDescent="0.15">
      <c r="K184" s="157"/>
    </row>
    <row r="185" spans="11:11" x14ac:dyDescent="0.15">
      <c r="K185" s="157"/>
    </row>
    <row r="186" spans="11:11" x14ac:dyDescent="0.15">
      <c r="K186" s="157"/>
    </row>
    <row r="187" spans="11:11" x14ac:dyDescent="0.15">
      <c r="K187" s="157"/>
    </row>
    <row r="188" spans="11:11" x14ac:dyDescent="0.15">
      <c r="K188" s="157"/>
    </row>
    <row r="189" spans="11:11" x14ac:dyDescent="0.15">
      <c r="K189" s="157"/>
    </row>
    <row r="190" spans="11:11" x14ac:dyDescent="0.15">
      <c r="K190" s="157"/>
    </row>
    <row r="191" spans="11:11" x14ac:dyDescent="0.15">
      <c r="K191" s="157"/>
    </row>
    <row r="192" spans="11:11" x14ac:dyDescent="0.15">
      <c r="K192" s="157"/>
    </row>
    <row r="193" spans="11:11" x14ac:dyDescent="0.15">
      <c r="K193" s="157"/>
    </row>
    <row r="194" spans="11:11" x14ac:dyDescent="0.15">
      <c r="K194" s="157"/>
    </row>
    <row r="195" spans="11:11" x14ac:dyDescent="0.15">
      <c r="K195" s="157"/>
    </row>
    <row r="196" spans="11:11" x14ac:dyDescent="0.15">
      <c r="K196" s="157"/>
    </row>
    <row r="197" spans="11:11" x14ac:dyDescent="0.15">
      <c r="K197" s="157"/>
    </row>
    <row r="198" spans="11:11" x14ac:dyDescent="0.15">
      <c r="K198" s="157"/>
    </row>
    <row r="199" spans="11:11" x14ac:dyDescent="0.15">
      <c r="K199" s="157"/>
    </row>
    <row r="200" spans="11:11" x14ac:dyDescent="0.15">
      <c r="K200" s="157"/>
    </row>
    <row r="201" spans="11:11" x14ac:dyDescent="0.15">
      <c r="K201" s="157"/>
    </row>
    <row r="202" spans="11:11" x14ac:dyDescent="0.15">
      <c r="K202" s="157"/>
    </row>
    <row r="203" spans="11:11" x14ac:dyDescent="0.15">
      <c r="K203" s="157"/>
    </row>
    <row r="204" spans="11:11" x14ac:dyDescent="0.15">
      <c r="K204" s="157"/>
    </row>
    <row r="205" spans="11:11" x14ac:dyDescent="0.15">
      <c r="K205" s="157"/>
    </row>
    <row r="206" spans="11:11" x14ac:dyDescent="0.15">
      <c r="K206" s="157"/>
    </row>
    <row r="207" spans="11:11" x14ac:dyDescent="0.15">
      <c r="K207" s="157"/>
    </row>
    <row r="208" spans="11:11" x14ac:dyDescent="0.15">
      <c r="K208" s="157"/>
    </row>
    <row r="209" spans="11:11" x14ac:dyDescent="0.15">
      <c r="K209" s="157"/>
    </row>
    <row r="210" spans="11:11" x14ac:dyDescent="0.15">
      <c r="K210" s="157"/>
    </row>
    <row r="211" spans="11:11" x14ac:dyDescent="0.15">
      <c r="K211" s="157"/>
    </row>
    <row r="212" spans="11:11" x14ac:dyDescent="0.15">
      <c r="K212" s="157"/>
    </row>
    <row r="213" spans="11:11" x14ac:dyDescent="0.15">
      <c r="K213" s="157"/>
    </row>
    <row r="214" spans="11:11" x14ac:dyDescent="0.15">
      <c r="K214" s="157"/>
    </row>
    <row r="215" spans="11:11" x14ac:dyDescent="0.15">
      <c r="K215" s="157"/>
    </row>
    <row r="216" spans="11:11" x14ac:dyDescent="0.15">
      <c r="K216" s="157"/>
    </row>
    <row r="217" spans="11:11" x14ac:dyDescent="0.15">
      <c r="K217" s="157"/>
    </row>
    <row r="218" spans="11:11" x14ac:dyDescent="0.15">
      <c r="K218" s="157"/>
    </row>
    <row r="219" spans="11:11" x14ac:dyDescent="0.15">
      <c r="K219" s="157"/>
    </row>
    <row r="220" spans="11:11" x14ac:dyDescent="0.15">
      <c r="K220" s="157"/>
    </row>
    <row r="221" spans="11:11" x14ac:dyDescent="0.15">
      <c r="K221" s="157"/>
    </row>
    <row r="222" spans="11:11" x14ac:dyDescent="0.15">
      <c r="K222" s="157"/>
    </row>
    <row r="223" spans="11:11" x14ac:dyDescent="0.15">
      <c r="K223" s="157"/>
    </row>
    <row r="224" spans="11:11" x14ac:dyDescent="0.15">
      <c r="K224" s="157"/>
    </row>
    <row r="225" spans="11:11" x14ac:dyDescent="0.15">
      <c r="K225" s="157"/>
    </row>
    <row r="226" spans="11:11" x14ac:dyDescent="0.15">
      <c r="K226" s="157"/>
    </row>
    <row r="227" spans="11:11" x14ac:dyDescent="0.15">
      <c r="K227" s="157"/>
    </row>
    <row r="228" spans="11:11" x14ac:dyDescent="0.15">
      <c r="K228" s="157"/>
    </row>
    <row r="229" spans="11:11" x14ac:dyDescent="0.15">
      <c r="K229" s="157"/>
    </row>
    <row r="230" spans="11:11" x14ac:dyDescent="0.15">
      <c r="K230" s="157"/>
    </row>
    <row r="231" spans="11:11" x14ac:dyDescent="0.15">
      <c r="K231" s="157"/>
    </row>
    <row r="232" spans="11:11" x14ac:dyDescent="0.15">
      <c r="K232" s="157"/>
    </row>
    <row r="233" spans="11:11" x14ac:dyDescent="0.15">
      <c r="K233" s="157"/>
    </row>
    <row r="234" spans="11:11" x14ac:dyDescent="0.15">
      <c r="K234" s="157"/>
    </row>
    <row r="235" spans="11:11" x14ac:dyDescent="0.15">
      <c r="K235" s="157"/>
    </row>
    <row r="236" spans="11:11" x14ac:dyDescent="0.15">
      <c r="K236" s="157"/>
    </row>
    <row r="237" spans="11:11" x14ac:dyDescent="0.15">
      <c r="K237" s="157"/>
    </row>
    <row r="238" spans="11:11" x14ac:dyDescent="0.15">
      <c r="K238" s="157"/>
    </row>
    <row r="239" spans="11:11" x14ac:dyDescent="0.15">
      <c r="K239" s="157"/>
    </row>
    <row r="240" spans="11:11" x14ac:dyDescent="0.15">
      <c r="K240" s="157"/>
    </row>
    <row r="241" spans="11:11" x14ac:dyDescent="0.15">
      <c r="K241" s="157"/>
    </row>
    <row r="242" spans="11:11" x14ac:dyDescent="0.15">
      <c r="K242" s="157"/>
    </row>
    <row r="243" spans="11:11" x14ac:dyDescent="0.15">
      <c r="K243" s="157"/>
    </row>
    <row r="244" spans="11:11" x14ac:dyDescent="0.15">
      <c r="K244" s="157"/>
    </row>
    <row r="245" spans="11:11" x14ac:dyDescent="0.15">
      <c r="K245" s="157"/>
    </row>
    <row r="246" spans="11:11" x14ac:dyDescent="0.15">
      <c r="K246" s="157"/>
    </row>
    <row r="247" spans="11:11" x14ac:dyDescent="0.15">
      <c r="K247" s="157"/>
    </row>
    <row r="248" spans="11:11" x14ac:dyDescent="0.15">
      <c r="K248" s="157"/>
    </row>
    <row r="249" spans="11:11" x14ac:dyDescent="0.15">
      <c r="K249" s="157"/>
    </row>
    <row r="250" spans="11:11" x14ac:dyDescent="0.15">
      <c r="K250" s="157"/>
    </row>
    <row r="251" spans="11:11" x14ac:dyDescent="0.15">
      <c r="K251" s="157"/>
    </row>
    <row r="252" spans="11:11" x14ac:dyDescent="0.15">
      <c r="K252" s="157"/>
    </row>
    <row r="253" spans="11:11" x14ac:dyDescent="0.15">
      <c r="K253" s="157"/>
    </row>
    <row r="254" spans="11:11" x14ac:dyDescent="0.15">
      <c r="K254" s="157"/>
    </row>
    <row r="255" spans="11:11" x14ac:dyDescent="0.15">
      <c r="K255" s="157"/>
    </row>
    <row r="256" spans="11:11" x14ac:dyDescent="0.15">
      <c r="K256" s="157"/>
    </row>
    <row r="257" spans="11:11" x14ac:dyDescent="0.15">
      <c r="K257" s="157"/>
    </row>
    <row r="258" spans="11:11" x14ac:dyDescent="0.15">
      <c r="K258" s="157"/>
    </row>
    <row r="259" spans="11:11" x14ac:dyDescent="0.15">
      <c r="K259" s="157"/>
    </row>
    <row r="260" spans="11:11" x14ac:dyDescent="0.15">
      <c r="K260" s="157"/>
    </row>
    <row r="261" spans="11:11" x14ac:dyDescent="0.15">
      <c r="K261" s="157"/>
    </row>
    <row r="262" spans="11:11" x14ac:dyDescent="0.15">
      <c r="K262" s="157"/>
    </row>
    <row r="263" spans="11:11" x14ac:dyDescent="0.15">
      <c r="K263" s="157"/>
    </row>
    <row r="264" spans="11:11" x14ac:dyDescent="0.15">
      <c r="K264" s="157"/>
    </row>
    <row r="265" spans="11:11" x14ac:dyDescent="0.15">
      <c r="K265" s="157"/>
    </row>
    <row r="266" spans="11:11" x14ac:dyDescent="0.15">
      <c r="K266" s="157"/>
    </row>
    <row r="267" spans="11:11" x14ac:dyDescent="0.15">
      <c r="K267" s="157"/>
    </row>
    <row r="268" spans="11:11" x14ac:dyDescent="0.15">
      <c r="K268" s="157"/>
    </row>
    <row r="269" spans="11:11" x14ac:dyDescent="0.15">
      <c r="K269" s="157"/>
    </row>
    <row r="270" spans="11:11" x14ac:dyDescent="0.15">
      <c r="K270" s="157"/>
    </row>
    <row r="271" spans="11:11" x14ac:dyDescent="0.15">
      <c r="K271" s="157"/>
    </row>
    <row r="272" spans="11:11" x14ac:dyDescent="0.15">
      <c r="K272" s="157"/>
    </row>
    <row r="273" spans="11:11" x14ac:dyDescent="0.15">
      <c r="K273" s="157"/>
    </row>
    <row r="274" spans="11:11" x14ac:dyDescent="0.15">
      <c r="K274" s="157"/>
    </row>
    <row r="275" spans="11:11" x14ac:dyDescent="0.15">
      <c r="K275" s="157"/>
    </row>
    <row r="276" spans="11:11" x14ac:dyDescent="0.15">
      <c r="K276" s="157"/>
    </row>
    <row r="277" spans="11:11" x14ac:dyDescent="0.15">
      <c r="K277" s="157"/>
    </row>
    <row r="278" spans="11:11" x14ac:dyDescent="0.15">
      <c r="K278" s="157"/>
    </row>
    <row r="279" spans="11:11" x14ac:dyDescent="0.15">
      <c r="K279" s="157"/>
    </row>
    <row r="280" spans="11:11" x14ac:dyDescent="0.15">
      <c r="K280" s="157"/>
    </row>
    <row r="281" spans="11:11" x14ac:dyDescent="0.15">
      <c r="K281" s="157"/>
    </row>
    <row r="282" spans="11:11" x14ac:dyDescent="0.15">
      <c r="K282" s="157"/>
    </row>
    <row r="283" spans="11:11" x14ac:dyDescent="0.15">
      <c r="K283" s="157"/>
    </row>
    <row r="284" spans="11:11" x14ac:dyDescent="0.15">
      <c r="K284" s="157"/>
    </row>
    <row r="285" spans="11:11" x14ac:dyDescent="0.15">
      <c r="K285" s="157"/>
    </row>
    <row r="286" spans="11:11" x14ac:dyDescent="0.15">
      <c r="K286" s="157"/>
    </row>
    <row r="287" spans="11:11" x14ac:dyDescent="0.15">
      <c r="K287" s="157"/>
    </row>
    <row r="288" spans="11:11" x14ac:dyDescent="0.15">
      <c r="K288" s="157"/>
    </row>
    <row r="289" spans="11:11" x14ac:dyDescent="0.15">
      <c r="K289" s="157"/>
    </row>
    <row r="290" spans="11:11" x14ac:dyDescent="0.15">
      <c r="K290" s="157"/>
    </row>
    <row r="291" spans="11:11" x14ac:dyDescent="0.15">
      <c r="K291" s="157"/>
    </row>
    <row r="292" spans="11:11" x14ac:dyDescent="0.15">
      <c r="K292" s="157"/>
    </row>
    <row r="293" spans="11:11" x14ac:dyDescent="0.15">
      <c r="K293" s="157"/>
    </row>
    <row r="294" spans="11:11" x14ac:dyDescent="0.15">
      <c r="K294" s="157"/>
    </row>
    <row r="295" spans="11:11" x14ac:dyDescent="0.15">
      <c r="K295" s="157"/>
    </row>
    <row r="296" spans="11:11" x14ac:dyDescent="0.15">
      <c r="K296" s="157"/>
    </row>
    <row r="297" spans="11:11" x14ac:dyDescent="0.15">
      <c r="K297" s="157"/>
    </row>
    <row r="298" spans="11:11" x14ac:dyDescent="0.15">
      <c r="K298" s="157"/>
    </row>
    <row r="299" spans="11:11" x14ac:dyDescent="0.15">
      <c r="K299" s="157"/>
    </row>
    <row r="300" spans="11:11" x14ac:dyDescent="0.15">
      <c r="K300" s="157"/>
    </row>
    <row r="301" spans="11:11" x14ac:dyDescent="0.15">
      <c r="K301" s="157"/>
    </row>
    <row r="302" spans="11:11" x14ac:dyDescent="0.15">
      <c r="K302" s="157"/>
    </row>
    <row r="303" spans="11:11" x14ac:dyDescent="0.15">
      <c r="K303" s="157"/>
    </row>
    <row r="304" spans="11:11" x14ac:dyDescent="0.15">
      <c r="K304" s="157"/>
    </row>
    <row r="305" spans="11:11" x14ac:dyDescent="0.15">
      <c r="K305" s="157"/>
    </row>
    <row r="306" spans="11:11" x14ac:dyDescent="0.15">
      <c r="K306" s="157"/>
    </row>
    <row r="307" spans="11:11" x14ac:dyDescent="0.15">
      <c r="K307" s="157"/>
    </row>
    <row r="308" spans="11:11" x14ac:dyDescent="0.15">
      <c r="K308" s="157"/>
    </row>
    <row r="309" spans="11:11" x14ac:dyDescent="0.15">
      <c r="K309" s="157"/>
    </row>
    <row r="310" spans="11:11" x14ac:dyDescent="0.15">
      <c r="K310" s="157"/>
    </row>
    <row r="311" spans="11:11" x14ac:dyDescent="0.15">
      <c r="K311" s="157"/>
    </row>
    <row r="312" spans="11:11" x14ac:dyDescent="0.15">
      <c r="K312" s="157"/>
    </row>
    <row r="313" spans="11:11" x14ac:dyDescent="0.15">
      <c r="K313" s="157"/>
    </row>
    <row r="314" spans="11:11" x14ac:dyDescent="0.15">
      <c r="K314" s="157"/>
    </row>
    <row r="315" spans="11:11" x14ac:dyDescent="0.15">
      <c r="K315" s="157"/>
    </row>
    <row r="316" spans="11:11" x14ac:dyDescent="0.15">
      <c r="K316" s="157"/>
    </row>
    <row r="317" spans="11:11" x14ac:dyDescent="0.15">
      <c r="K317" s="157"/>
    </row>
    <row r="318" spans="11:11" x14ac:dyDescent="0.15">
      <c r="K318" s="157"/>
    </row>
    <row r="319" spans="11:11" x14ac:dyDescent="0.15">
      <c r="K319" s="157"/>
    </row>
    <row r="320" spans="11:11" x14ac:dyDescent="0.15">
      <c r="K320" s="157"/>
    </row>
    <row r="321" spans="11:11" x14ac:dyDescent="0.15">
      <c r="K321" s="157"/>
    </row>
    <row r="322" spans="11:11" x14ac:dyDescent="0.15">
      <c r="K322" s="157"/>
    </row>
    <row r="323" spans="11:11" x14ac:dyDescent="0.15">
      <c r="K323" s="157"/>
    </row>
    <row r="324" spans="11:11" x14ac:dyDescent="0.15">
      <c r="K324" s="157"/>
    </row>
    <row r="325" spans="11:11" x14ac:dyDescent="0.15">
      <c r="K325" s="157"/>
    </row>
    <row r="326" spans="11:11" x14ac:dyDescent="0.15">
      <c r="K326" s="157"/>
    </row>
    <row r="327" spans="11:11" x14ac:dyDescent="0.15">
      <c r="K327" s="157"/>
    </row>
    <row r="328" spans="11:11" x14ac:dyDescent="0.15">
      <c r="K328" s="157"/>
    </row>
    <row r="329" spans="11:11" x14ac:dyDescent="0.15">
      <c r="K329" s="157"/>
    </row>
    <row r="330" spans="11:11" x14ac:dyDescent="0.15">
      <c r="K330" s="157"/>
    </row>
    <row r="331" spans="11:11" x14ac:dyDescent="0.15">
      <c r="K331" s="157"/>
    </row>
    <row r="332" spans="11:11" x14ac:dyDescent="0.15">
      <c r="K332" s="157"/>
    </row>
    <row r="333" spans="11:11" x14ac:dyDescent="0.15">
      <c r="K333" s="157"/>
    </row>
    <row r="334" spans="11:11" x14ac:dyDescent="0.15">
      <c r="K334" s="157"/>
    </row>
    <row r="335" spans="11:11" x14ac:dyDescent="0.15">
      <c r="K335" s="157"/>
    </row>
    <row r="336" spans="11:11" x14ac:dyDescent="0.15">
      <c r="K336" s="157"/>
    </row>
    <row r="337" spans="11:11" x14ac:dyDescent="0.15">
      <c r="K337" s="157"/>
    </row>
    <row r="338" spans="11:11" x14ac:dyDescent="0.15">
      <c r="K338" s="157"/>
    </row>
    <row r="339" spans="11:11" x14ac:dyDescent="0.15">
      <c r="K339" s="157"/>
    </row>
    <row r="340" spans="11:11" x14ac:dyDescent="0.15">
      <c r="K340" s="157"/>
    </row>
    <row r="341" spans="11:11" x14ac:dyDescent="0.15">
      <c r="K341" s="157"/>
    </row>
    <row r="342" spans="11:11" x14ac:dyDescent="0.15">
      <c r="K342" s="157"/>
    </row>
    <row r="343" spans="11:11" x14ac:dyDescent="0.15">
      <c r="K343" s="157"/>
    </row>
    <row r="344" spans="11:11" x14ac:dyDescent="0.15">
      <c r="K344" s="157"/>
    </row>
    <row r="345" spans="11:11" x14ac:dyDescent="0.15">
      <c r="K345" s="157"/>
    </row>
    <row r="346" spans="11:11" x14ac:dyDescent="0.15">
      <c r="K346" s="157"/>
    </row>
    <row r="347" spans="11:11" x14ac:dyDescent="0.15">
      <c r="K347" s="157"/>
    </row>
    <row r="348" spans="11:11" x14ac:dyDescent="0.15">
      <c r="K348" s="157"/>
    </row>
    <row r="349" spans="11:11" x14ac:dyDescent="0.15">
      <c r="K349" s="157"/>
    </row>
    <row r="350" spans="11:11" x14ac:dyDescent="0.15">
      <c r="K350" s="157"/>
    </row>
    <row r="351" spans="11:11" x14ac:dyDescent="0.15">
      <c r="K351" s="157"/>
    </row>
    <row r="352" spans="11:11" x14ac:dyDescent="0.15">
      <c r="K352" s="157"/>
    </row>
    <row r="353" spans="11:11" x14ac:dyDescent="0.15">
      <c r="K353" s="157"/>
    </row>
    <row r="354" spans="11:11" x14ac:dyDescent="0.15">
      <c r="K354" s="157"/>
    </row>
    <row r="355" spans="11:11" x14ac:dyDescent="0.15">
      <c r="K355" s="157"/>
    </row>
    <row r="356" spans="11:11" x14ac:dyDescent="0.15">
      <c r="K356" s="157"/>
    </row>
    <row r="357" spans="11:11" x14ac:dyDescent="0.15">
      <c r="K357" s="157"/>
    </row>
    <row r="358" spans="11:11" x14ac:dyDescent="0.15">
      <c r="K358" s="157"/>
    </row>
    <row r="359" spans="11:11" x14ac:dyDescent="0.15">
      <c r="K359" s="157"/>
    </row>
    <row r="360" spans="11:11" x14ac:dyDescent="0.15">
      <c r="K360" s="157"/>
    </row>
    <row r="361" spans="11:11" x14ac:dyDescent="0.15">
      <c r="K361" s="157"/>
    </row>
    <row r="362" spans="11:11" x14ac:dyDescent="0.15">
      <c r="K362" s="157"/>
    </row>
    <row r="363" spans="11:11" x14ac:dyDescent="0.15">
      <c r="K363" s="157"/>
    </row>
    <row r="364" spans="11:11" x14ac:dyDescent="0.15">
      <c r="K364" s="157"/>
    </row>
    <row r="365" spans="11:11" x14ac:dyDescent="0.15">
      <c r="K365" s="157"/>
    </row>
    <row r="366" spans="11:11" x14ac:dyDescent="0.15">
      <c r="K366" s="157"/>
    </row>
    <row r="367" spans="11:11" x14ac:dyDescent="0.15">
      <c r="K367" s="157"/>
    </row>
    <row r="368" spans="11:11" x14ac:dyDescent="0.15">
      <c r="K368" s="157"/>
    </row>
    <row r="369" spans="11:11" x14ac:dyDescent="0.15">
      <c r="K369" s="157"/>
    </row>
    <row r="370" spans="11:11" x14ac:dyDescent="0.15">
      <c r="K370" s="157"/>
    </row>
    <row r="371" spans="11:11" x14ac:dyDescent="0.15">
      <c r="K371" s="157"/>
    </row>
    <row r="372" spans="11:11" x14ac:dyDescent="0.15">
      <c r="K372" s="157"/>
    </row>
    <row r="373" spans="11:11" x14ac:dyDescent="0.15">
      <c r="K373" s="157"/>
    </row>
    <row r="374" spans="11:11" x14ac:dyDescent="0.15">
      <c r="K374" s="157"/>
    </row>
    <row r="375" spans="11:11" x14ac:dyDescent="0.15">
      <c r="K375" s="157"/>
    </row>
    <row r="376" spans="11:11" x14ac:dyDescent="0.15">
      <c r="K376" s="157"/>
    </row>
    <row r="377" spans="11:11" x14ac:dyDescent="0.15">
      <c r="K377" s="157"/>
    </row>
    <row r="378" spans="11:11" x14ac:dyDescent="0.15">
      <c r="K378" s="157"/>
    </row>
    <row r="379" spans="11:11" x14ac:dyDescent="0.15">
      <c r="K379" s="157"/>
    </row>
    <row r="380" spans="11:11" x14ac:dyDescent="0.15">
      <c r="K380" s="157"/>
    </row>
    <row r="381" spans="11:11" x14ac:dyDescent="0.15">
      <c r="K381" s="157"/>
    </row>
    <row r="382" spans="11:11" x14ac:dyDescent="0.15">
      <c r="K382" s="157"/>
    </row>
    <row r="383" spans="11:11" x14ac:dyDescent="0.15">
      <c r="K383" s="157"/>
    </row>
    <row r="384" spans="11:11" x14ac:dyDescent="0.15">
      <c r="K384" s="157"/>
    </row>
    <row r="385" spans="11:11" x14ac:dyDescent="0.15">
      <c r="K385" s="157"/>
    </row>
    <row r="386" spans="11:11" x14ac:dyDescent="0.15">
      <c r="K386" s="157"/>
    </row>
    <row r="387" spans="11:11" x14ac:dyDescent="0.15">
      <c r="K387" s="157"/>
    </row>
    <row r="388" spans="11:11" x14ac:dyDescent="0.15">
      <c r="K388" s="157"/>
    </row>
    <row r="389" spans="11:11" x14ac:dyDescent="0.15">
      <c r="K389" s="157"/>
    </row>
    <row r="390" spans="11:11" x14ac:dyDescent="0.15">
      <c r="K390" s="157"/>
    </row>
    <row r="391" spans="11:11" x14ac:dyDescent="0.15">
      <c r="K391" s="157"/>
    </row>
    <row r="392" spans="11:11" x14ac:dyDescent="0.15">
      <c r="K392" s="157"/>
    </row>
    <row r="393" spans="11:11" x14ac:dyDescent="0.15">
      <c r="K393" s="157"/>
    </row>
    <row r="394" spans="11:11" x14ac:dyDescent="0.15">
      <c r="K394" s="157"/>
    </row>
    <row r="395" spans="11:11" x14ac:dyDescent="0.15">
      <c r="K395" s="157"/>
    </row>
    <row r="396" spans="11:11" x14ac:dyDescent="0.15">
      <c r="K396" s="157"/>
    </row>
    <row r="397" spans="11:11" x14ac:dyDescent="0.15">
      <c r="K397" s="157"/>
    </row>
    <row r="398" spans="11:11" x14ac:dyDescent="0.15">
      <c r="K398" s="157"/>
    </row>
    <row r="399" spans="11:11" x14ac:dyDescent="0.15">
      <c r="K399" s="157"/>
    </row>
    <row r="400" spans="11:11" x14ac:dyDescent="0.15">
      <c r="K400" s="157"/>
    </row>
    <row r="401" spans="11:11" x14ac:dyDescent="0.15">
      <c r="K401" s="157"/>
    </row>
    <row r="402" spans="11:11" x14ac:dyDescent="0.15">
      <c r="K402" s="157"/>
    </row>
    <row r="403" spans="11:11" x14ac:dyDescent="0.15">
      <c r="K403" s="157"/>
    </row>
    <row r="404" spans="11:11" x14ac:dyDescent="0.15">
      <c r="K404" s="157"/>
    </row>
    <row r="405" spans="11:11" x14ac:dyDescent="0.15">
      <c r="K405" s="157"/>
    </row>
    <row r="406" spans="11:11" x14ac:dyDescent="0.15">
      <c r="K406" s="157"/>
    </row>
    <row r="407" spans="11:11" x14ac:dyDescent="0.15">
      <c r="K407" s="157"/>
    </row>
    <row r="408" spans="11:11" x14ac:dyDescent="0.15">
      <c r="K408" s="157"/>
    </row>
    <row r="409" spans="11:11" x14ac:dyDescent="0.15">
      <c r="K409" s="157"/>
    </row>
    <row r="410" spans="11:11" x14ac:dyDescent="0.15">
      <c r="K410" s="157"/>
    </row>
    <row r="411" spans="11:11" x14ac:dyDescent="0.15">
      <c r="K411" s="157"/>
    </row>
    <row r="412" spans="11:11" x14ac:dyDescent="0.15">
      <c r="K412" s="157"/>
    </row>
    <row r="413" spans="11:11" x14ac:dyDescent="0.15">
      <c r="K413" s="157"/>
    </row>
    <row r="414" spans="11:11" x14ac:dyDescent="0.15">
      <c r="K414" s="157"/>
    </row>
    <row r="415" spans="11:11" x14ac:dyDescent="0.15">
      <c r="K415" s="157"/>
    </row>
    <row r="416" spans="11:11" x14ac:dyDescent="0.15">
      <c r="K416" s="157"/>
    </row>
    <row r="417" spans="11:11" x14ac:dyDescent="0.15">
      <c r="K417" s="157"/>
    </row>
    <row r="418" spans="11:11" x14ac:dyDescent="0.15">
      <c r="K418" s="157"/>
    </row>
    <row r="419" spans="11:11" x14ac:dyDescent="0.15">
      <c r="K419" s="157"/>
    </row>
    <row r="420" spans="11:11" x14ac:dyDescent="0.15">
      <c r="K420" s="157"/>
    </row>
    <row r="421" spans="11:11" x14ac:dyDescent="0.15">
      <c r="K421" s="157"/>
    </row>
    <row r="422" spans="11:11" x14ac:dyDescent="0.15">
      <c r="K422" s="157"/>
    </row>
    <row r="423" spans="11:11" x14ac:dyDescent="0.15">
      <c r="K423" s="157"/>
    </row>
    <row r="424" spans="11:11" x14ac:dyDescent="0.15">
      <c r="K424" s="157"/>
    </row>
    <row r="425" spans="11:11" x14ac:dyDescent="0.15">
      <c r="K425" s="157"/>
    </row>
    <row r="426" spans="11:11" x14ac:dyDescent="0.15">
      <c r="K426" s="157"/>
    </row>
    <row r="427" spans="11:11" x14ac:dyDescent="0.15">
      <c r="K427" s="157"/>
    </row>
    <row r="428" spans="11:11" x14ac:dyDescent="0.15">
      <c r="K428" s="157"/>
    </row>
    <row r="429" spans="11:11" x14ac:dyDescent="0.15">
      <c r="K429" s="157"/>
    </row>
    <row r="430" spans="11:11" x14ac:dyDescent="0.15">
      <c r="K430" s="157"/>
    </row>
    <row r="431" spans="11:11" x14ac:dyDescent="0.15">
      <c r="K431" s="157"/>
    </row>
    <row r="432" spans="11:11" x14ac:dyDescent="0.15">
      <c r="K432" s="157"/>
    </row>
    <row r="433" spans="11:11" x14ac:dyDescent="0.15">
      <c r="K433" s="157"/>
    </row>
    <row r="434" spans="11:11" x14ac:dyDescent="0.15">
      <c r="K434" s="157"/>
    </row>
    <row r="435" spans="11:11" x14ac:dyDescent="0.15">
      <c r="K435" s="157"/>
    </row>
    <row r="436" spans="11:11" x14ac:dyDescent="0.15">
      <c r="K436" s="157"/>
    </row>
    <row r="437" spans="11:11" x14ac:dyDescent="0.15">
      <c r="K437" s="157"/>
    </row>
    <row r="438" spans="11:11" x14ac:dyDescent="0.15">
      <c r="K438" s="157"/>
    </row>
    <row r="439" spans="11:11" x14ac:dyDescent="0.15">
      <c r="K439" s="157"/>
    </row>
    <row r="440" spans="11:11" x14ac:dyDescent="0.15">
      <c r="K440" s="157"/>
    </row>
    <row r="441" spans="11:11" x14ac:dyDescent="0.15">
      <c r="K441" s="157"/>
    </row>
    <row r="442" spans="11:11" x14ac:dyDescent="0.15">
      <c r="K442" s="157"/>
    </row>
    <row r="443" spans="11:11" x14ac:dyDescent="0.15">
      <c r="K443" s="157"/>
    </row>
    <row r="444" spans="11:11" x14ac:dyDescent="0.15">
      <c r="K444" s="157"/>
    </row>
    <row r="445" spans="11:11" x14ac:dyDescent="0.15">
      <c r="K445" s="157"/>
    </row>
    <row r="446" spans="11:11" x14ac:dyDescent="0.15">
      <c r="K446" s="157"/>
    </row>
    <row r="447" spans="11:11" x14ac:dyDescent="0.15">
      <c r="K447" s="157"/>
    </row>
    <row r="448" spans="11:11" x14ac:dyDescent="0.15">
      <c r="K448" s="157"/>
    </row>
    <row r="449" spans="11:11" x14ac:dyDescent="0.15">
      <c r="K449" s="157"/>
    </row>
    <row r="450" spans="11:11" x14ac:dyDescent="0.15">
      <c r="K450" s="157"/>
    </row>
    <row r="451" spans="11:11" x14ac:dyDescent="0.15">
      <c r="K451" s="157"/>
    </row>
    <row r="452" spans="11:11" x14ac:dyDescent="0.15">
      <c r="K452" s="157"/>
    </row>
    <row r="453" spans="11:11" x14ac:dyDescent="0.15">
      <c r="K453" s="157"/>
    </row>
    <row r="454" spans="11:11" x14ac:dyDescent="0.15">
      <c r="K454" s="157"/>
    </row>
    <row r="455" spans="11:11" x14ac:dyDescent="0.15">
      <c r="K455" s="157"/>
    </row>
    <row r="456" spans="11:11" x14ac:dyDescent="0.15">
      <c r="K456" s="157"/>
    </row>
    <row r="457" spans="11:11" x14ac:dyDescent="0.15">
      <c r="K457" s="157"/>
    </row>
    <row r="458" spans="11:11" x14ac:dyDescent="0.15">
      <c r="K458" s="157"/>
    </row>
    <row r="459" spans="11:11" x14ac:dyDescent="0.15">
      <c r="K459" s="157"/>
    </row>
    <row r="460" spans="11:11" x14ac:dyDescent="0.15">
      <c r="K460" s="157"/>
    </row>
    <row r="461" spans="11:11" x14ac:dyDescent="0.15">
      <c r="K461" s="157"/>
    </row>
    <row r="462" spans="11:11" x14ac:dyDescent="0.15">
      <c r="K462" s="157"/>
    </row>
    <row r="463" spans="11:11" x14ac:dyDescent="0.15">
      <c r="K463" s="157"/>
    </row>
    <row r="464" spans="11:11" x14ac:dyDescent="0.15">
      <c r="K464" s="157"/>
    </row>
    <row r="465" spans="11:11" x14ac:dyDescent="0.15">
      <c r="K465" s="157"/>
    </row>
    <row r="466" spans="11:11" x14ac:dyDescent="0.15">
      <c r="K466" s="157"/>
    </row>
    <row r="467" spans="11:11" x14ac:dyDescent="0.15">
      <c r="K467" s="157"/>
    </row>
    <row r="468" spans="11:11" x14ac:dyDescent="0.15">
      <c r="K468" s="157"/>
    </row>
    <row r="469" spans="11:11" x14ac:dyDescent="0.15">
      <c r="K469" s="157"/>
    </row>
    <row r="470" spans="11:11" x14ac:dyDescent="0.15">
      <c r="K470" s="157"/>
    </row>
    <row r="471" spans="11:11" x14ac:dyDescent="0.15">
      <c r="K471" s="157"/>
    </row>
    <row r="472" spans="11:11" x14ac:dyDescent="0.15">
      <c r="K472" s="157"/>
    </row>
    <row r="473" spans="11:11" x14ac:dyDescent="0.15">
      <c r="K473" s="157"/>
    </row>
    <row r="474" spans="11:11" x14ac:dyDescent="0.15">
      <c r="K474" s="157"/>
    </row>
    <row r="475" spans="11:11" x14ac:dyDescent="0.15">
      <c r="K475" s="157"/>
    </row>
    <row r="476" spans="11:11" x14ac:dyDescent="0.15">
      <c r="K476" s="157"/>
    </row>
    <row r="477" spans="11:11" x14ac:dyDescent="0.15">
      <c r="K477" s="157"/>
    </row>
    <row r="478" spans="11:11" x14ac:dyDescent="0.15">
      <c r="K478" s="157"/>
    </row>
    <row r="479" spans="11:11" x14ac:dyDescent="0.15">
      <c r="K479" s="157"/>
    </row>
    <row r="480" spans="11:11" x14ac:dyDescent="0.15">
      <c r="K480" s="157"/>
    </row>
    <row r="481" spans="11:11" x14ac:dyDescent="0.15">
      <c r="K481" s="157"/>
    </row>
    <row r="482" spans="11:11" x14ac:dyDescent="0.15">
      <c r="K482" s="157"/>
    </row>
    <row r="483" spans="11:11" x14ac:dyDescent="0.15">
      <c r="K483" s="157"/>
    </row>
    <row r="484" spans="11:11" x14ac:dyDescent="0.15">
      <c r="K484" s="157"/>
    </row>
    <row r="485" spans="11:11" x14ac:dyDescent="0.15">
      <c r="K485" s="157"/>
    </row>
    <row r="486" spans="11:11" x14ac:dyDescent="0.15">
      <c r="K486" s="157"/>
    </row>
    <row r="487" spans="11:11" x14ac:dyDescent="0.15">
      <c r="K487" s="157"/>
    </row>
    <row r="488" spans="11:11" x14ac:dyDescent="0.15">
      <c r="K488" s="157"/>
    </row>
    <row r="489" spans="11:11" x14ac:dyDescent="0.15">
      <c r="K489" s="157"/>
    </row>
    <row r="490" spans="11:11" x14ac:dyDescent="0.15">
      <c r="K490" s="157"/>
    </row>
    <row r="491" spans="11:11" x14ac:dyDescent="0.15">
      <c r="K491" s="157"/>
    </row>
    <row r="492" spans="11:11" x14ac:dyDescent="0.15">
      <c r="K492" s="157"/>
    </row>
    <row r="493" spans="11:11" x14ac:dyDescent="0.15">
      <c r="K493" s="157"/>
    </row>
    <row r="494" spans="11:11" x14ac:dyDescent="0.15">
      <c r="K494" s="157"/>
    </row>
    <row r="495" spans="11:11" x14ac:dyDescent="0.15">
      <c r="K495" s="157"/>
    </row>
    <row r="496" spans="11:11" x14ac:dyDescent="0.15">
      <c r="K496" s="157"/>
    </row>
    <row r="497" spans="11:11" x14ac:dyDescent="0.15">
      <c r="K497" s="157"/>
    </row>
    <row r="498" spans="11:11" x14ac:dyDescent="0.15">
      <c r="K498" s="157"/>
    </row>
    <row r="499" spans="11:11" x14ac:dyDescent="0.15">
      <c r="K499" s="157"/>
    </row>
    <row r="500" spans="11:11" x14ac:dyDescent="0.15">
      <c r="K500" s="157"/>
    </row>
    <row r="501" spans="11:11" x14ac:dyDescent="0.15">
      <c r="K501" s="157"/>
    </row>
    <row r="502" spans="11:11" x14ac:dyDescent="0.15">
      <c r="K502" s="157"/>
    </row>
    <row r="503" spans="11:11" x14ac:dyDescent="0.15">
      <c r="K503" s="157"/>
    </row>
    <row r="504" spans="11:11" x14ac:dyDescent="0.15">
      <c r="K504" s="157"/>
    </row>
    <row r="505" spans="11:11" x14ac:dyDescent="0.15">
      <c r="K505" s="157"/>
    </row>
    <row r="506" spans="11:11" x14ac:dyDescent="0.15">
      <c r="K506" s="157"/>
    </row>
    <row r="507" spans="11:11" x14ac:dyDescent="0.15">
      <c r="K507" s="157"/>
    </row>
    <row r="508" spans="11:11" x14ac:dyDescent="0.15">
      <c r="K508" s="157"/>
    </row>
    <row r="509" spans="11:11" x14ac:dyDescent="0.15">
      <c r="K509" s="157"/>
    </row>
    <row r="510" spans="11:11" x14ac:dyDescent="0.15">
      <c r="K510" s="157"/>
    </row>
    <row r="511" spans="11:11" x14ac:dyDescent="0.15">
      <c r="K511" s="157"/>
    </row>
    <row r="512" spans="11:11" x14ac:dyDescent="0.15">
      <c r="K512" s="157"/>
    </row>
    <row r="513" spans="11:11" x14ac:dyDescent="0.15">
      <c r="K513" s="157"/>
    </row>
    <row r="514" spans="11:11" x14ac:dyDescent="0.15">
      <c r="K514" s="157"/>
    </row>
    <row r="515" spans="11:11" x14ac:dyDescent="0.15">
      <c r="K515" s="157"/>
    </row>
    <row r="516" spans="11:11" x14ac:dyDescent="0.15">
      <c r="K516" s="157"/>
    </row>
    <row r="517" spans="11:11" x14ac:dyDescent="0.15">
      <c r="K517" s="157"/>
    </row>
    <row r="518" spans="11:11" x14ac:dyDescent="0.15">
      <c r="K518" s="157"/>
    </row>
    <row r="519" spans="11:11" x14ac:dyDescent="0.15">
      <c r="K519" s="157"/>
    </row>
    <row r="520" spans="11:11" x14ac:dyDescent="0.15">
      <c r="K520" s="157"/>
    </row>
    <row r="521" spans="11:11" x14ac:dyDescent="0.15">
      <c r="K521" s="157"/>
    </row>
    <row r="522" spans="11:11" x14ac:dyDescent="0.15">
      <c r="K522" s="157"/>
    </row>
    <row r="523" spans="11:11" x14ac:dyDescent="0.15">
      <c r="K523" s="157"/>
    </row>
    <row r="524" spans="11:11" x14ac:dyDescent="0.15">
      <c r="K524" s="157"/>
    </row>
    <row r="525" spans="11:11" x14ac:dyDescent="0.15">
      <c r="K525" s="157"/>
    </row>
    <row r="526" spans="11:11" x14ac:dyDescent="0.15">
      <c r="K526" s="157"/>
    </row>
    <row r="527" spans="11:11" x14ac:dyDescent="0.15">
      <c r="K527" s="157"/>
    </row>
    <row r="528" spans="11:11" x14ac:dyDescent="0.15">
      <c r="K528" s="157"/>
    </row>
    <row r="529" spans="11:11" x14ac:dyDescent="0.15">
      <c r="K529" s="157"/>
    </row>
    <row r="530" spans="11:11" x14ac:dyDescent="0.15">
      <c r="K530" s="157"/>
    </row>
    <row r="531" spans="11:11" x14ac:dyDescent="0.15">
      <c r="K531" s="157"/>
    </row>
    <row r="532" spans="11:11" x14ac:dyDescent="0.15">
      <c r="K532" s="157"/>
    </row>
    <row r="533" spans="11:11" x14ac:dyDescent="0.15">
      <c r="K533" s="157"/>
    </row>
    <row r="534" spans="11:11" x14ac:dyDescent="0.15">
      <c r="K534" s="157"/>
    </row>
    <row r="535" spans="11:11" x14ac:dyDescent="0.15">
      <c r="K535" s="157"/>
    </row>
    <row r="536" spans="11:11" x14ac:dyDescent="0.15">
      <c r="K536" s="157"/>
    </row>
    <row r="537" spans="11:11" x14ac:dyDescent="0.15">
      <c r="K537" s="157"/>
    </row>
    <row r="538" spans="11:11" x14ac:dyDescent="0.15">
      <c r="K538" s="157"/>
    </row>
    <row r="539" spans="11:11" x14ac:dyDescent="0.15">
      <c r="K539" s="157"/>
    </row>
    <row r="540" spans="11:11" x14ac:dyDescent="0.15">
      <c r="K540" s="157"/>
    </row>
    <row r="541" spans="11:11" x14ac:dyDescent="0.15">
      <c r="K541" s="157"/>
    </row>
    <row r="542" spans="11:11" x14ac:dyDescent="0.15">
      <c r="K542" s="157"/>
    </row>
    <row r="543" spans="11:11" x14ac:dyDescent="0.15">
      <c r="K543" s="157"/>
    </row>
    <row r="544" spans="11:11" x14ac:dyDescent="0.15">
      <c r="K544" s="157"/>
    </row>
    <row r="545" spans="11:11" x14ac:dyDescent="0.15">
      <c r="K545" s="157"/>
    </row>
    <row r="546" spans="11:11" x14ac:dyDescent="0.15">
      <c r="K546" s="157"/>
    </row>
    <row r="547" spans="11:11" x14ac:dyDescent="0.15">
      <c r="K547" s="157"/>
    </row>
    <row r="548" spans="11:11" x14ac:dyDescent="0.15">
      <c r="K548" s="157"/>
    </row>
    <row r="549" spans="11:11" x14ac:dyDescent="0.15">
      <c r="K549" s="157"/>
    </row>
    <row r="550" spans="11:11" x14ac:dyDescent="0.15">
      <c r="K550" s="157"/>
    </row>
    <row r="551" spans="11:11" x14ac:dyDescent="0.15">
      <c r="K551" s="157"/>
    </row>
    <row r="552" spans="11:11" x14ac:dyDescent="0.15">
      <c r="K552" s="157"/>
    </row>
    <row r="553" spans="11:11" x14ac:dyDescent="0.15">
      <c r="K553" s="157"/>
    </row>
    <row r="554" spans="11:11" x14ac:dyDescent="0.15">
      <c r="K554" s="157"/>
    </row>
    <row r="555" spans="11:11" x14ac:dyDescent="0.15">
      <c r="K555" s="157"/>
    </row>
    <row r="556" spans="11:11" x14ac:dyDescent="0.15">
      <c r="K556" s="157"/>
    </row>
    <row r="557" spans="11:11" x14ac:dyDescent="0.15">
      <c r="K557" s="157"/>
    </row>
    <row r="558" spans="11:11" x14ac:dyDescent="0.15">
      <c r="K558" s="157"/>
    </row>
    <row r="559" spans="11:11" x14ac:dyDescent="0.15">
      <c r="K559" s="157"/>
    </row>
    <row r="560" spans="11:11" x14ac:dyDescent="0.15">
      <c r="K560" s="157"/>
    </row>
    <row r="561" spans="11:11" x14ac:dyDescent="0.15">
      <c r="K561" s="157"/>
    </row>
    <row r="562" spans="11:11" x14ac:dyDescent="0.15">
      <c r="K562" s="157"/>
    </row>
    <row r="563" spans="11:11" x14ac:dyDescent="0.15">
      <c r="K563" s="157"/>
    </row>
    <row r="564" spans="11:11" x14ac:dyDescent="0.15">
      <c r="K564" s="157"/>
    </row>
    <row r="565" spans="11:11" x14ac:dyDescent="0.15">
      <c r="K565" s="157"/>
    </row>
    <row r="566" spans="11:11" x14ac:dyDescent="0.15">
      <c r="K566" s="157"/>
    </row>
    <row r="567" spans="11:11" x14ac:dyDescent="0.15">
      <c r="K567" s="157"/>
    </row>
    <row r="568" spans="11:11" x14ac:dyDescent="0.15">
      <c r="K568" s="157"/>
    </row>
    <row r="569" spans="11:11" x14ac:dyDescent="0.15">
      <c r="K569" s="157"/>
    </row>
    <row r="570" spans="11:11" x14ac:dyDescent="0.15">
      <c r="K570" s="157"/>
    </row>
    <row r="571" spans="11:11" x14ac:dyDescent="0.15">
      <c r="K571" s="157"/>
    </row>
    <row r="572" spans="11:11" x14ac:dyDescent="0.15">
      <c r="K572" s="157"/>
    </row>
    <row r="573" spans="11:11" x14ac:dyDescent="0.15">
      <c r="K573" s="157"/>
    </row>
    <row r="574" spans="11:11" x14ac:dyDescent="0.15">
      <c r="K574" s="157"/>
    </row>
    <row r="575" spans="11:11" x14ac:dyDescent="0.15">
      <c r="K575" s="157"/>
    </row>
    <row r="576" spans="11:11" x14ac:dyDescent="0.15">
      <c r="K576" s="157"/>
    </row>
    <row r="577" spans="11:11" x14ac:dyDescent="0.15">
      <c r="K577" s="157"/>
    </row>
    <row r="578" spans="11:11" x14ac:dyDescent="0.15">
      <c r="K578" s="157"/>
    </row>
    <row r="579" spans="11:11" x14ac:dyDescent="0.15">
      <c r="K579" s="157"/>
    </row>
    <row r="580" spans="11:11" x14ac:dyDescent="0.15">
      <c r="K580" s="157"/>
    </row>
    <row r="581" spans="11:11" x14ac:dyDescent="0.15">
      <c r="K581" s="157"/>
    </row>
    <row r="582" spans="11:11" x14ac:dyDescent="0.15">
      <c r="K582" s="157"/>
    </row>
    <row r="583" spans="11:11" x14ac:dyDescent="0.15">
      <c r="K583" s="157"/>
    </row>
    <row r="584" spans="11:11" x14ac:dyDescent="0.15">
      <c r="K584" s="157"/>
    </row>
    <row r="585" spans="11:11" x14ac:dyDescent="0.15">
      <c r="K585" s="157"/>
    </row>
    <row r="586" spans="11:11" x14ac:dyDescent="0.15">
      <c r="K586" s="157"/>
    </row>
    <row r="587" spans="11:11" x14ac:dyDescent="0.15">
      <c r="K587" s="157"/>
    </row>
    <row r="588" spans="11:11" x14ac:dyDescent="0.15">
      <c r="K588" s="157"/>
    </row>
    <row r="589" spans="11:11" x14ac:dyDescent="0.15">
      <c r="K589" s="157"/>
    </row>
    <row r="590" spans="11:11" x14ac:dyDescent="0.15">
      <c r="K590" s="157"/>
    </row>
    <row r="591" spans="11:11" x14ac:dyDescent="0.15">
      <c r="K591" s="157"/>
    </row>
    <row r="592" spans="11:11" x14ac:dyDescent="0.15">
      <c r="K592" s="157"/>
    </row>
    <row r="593" spans="11:11" x14ac:dyDescent="0.15">
      <c r="K593" s="157"/>
    </row>
    <row r="594" spans="11:11" x14ac:dyDescent="0.15">
      <c r="K594" s="157"/>
    </row>
    <row r="595" spans="11:11" x14ac:dyDescent="0.15">
      <c r="K595" s="157"/>
    </row>
    <row r="596" spans="11:11" x14ac:dyDescent="0.15">
      <c r="K596" s="157"/>
    </row>
    <row r="597" spans="11:11" x14ac:dyDescent="0.15">
      <c r="K597" s="157"/>
    </row>
    <row r="598" spans="11:11" x14ac:dyDescent="0.15">
      <c r="K598" s="157"/>
    </row>
    <row r="599" spans="11:11" x14ac:dyDescent="0.15">
      <c r="K599" s="157"/>
    </row>
    <row r="600" spans="11:11" x14ac:dyDescent="0.15">
      <c r="K600" s="157"/>
    </row>
    <row r="601" spans="11:11" x14ac:dyDescent="0.15">
      <c r="K601" s="157"/>
    </row>
    <row r="602" spans="11:11" x14ac:dyDescent="0.15">
      <c r="K602" s="157"/>
    </row>
    <row r="603" spans="11:11" x14ac:dyDescent="0.15">
      <c r="K603" s="157"/>
    </row>
    <row r="604" spans="11:11" x14ac:dyDescent="0.15">
      <c r="K604" s="157"/>
    </row>
    <row r="605" spans="11:11" x14ac:dyDescent="0.15">
      <c r="K605" s="157"/>
    </row>
    <row r="606" spans="11:11" x14ac:dyDescent="0.15">
      <c r="K606" s="157"/>
    </row>
    <row r="607" spans="11:11" x14ac:dyDescent="0.15">
      <c r="K607" s="157"/>
    </row>
    <row r="608" spans="11:11" x14ac:dyDescent="0.15">
      <c r="K608" s="157"/>
    </row>
    <row r="609" spans="11:11" x14ac:dyDescent="0.15">
      <c r="K609" s="157"/>
    </row>
    <row r="610" spans="11:11" x14ac:dyDescent="0.15">
      <c r="K610" s="157"/>
    </row>
    <row r="611" spans="11:11" x14ac:dyDescent="0.15">
      <c r="K611" s="157"/>
    </row>
    <row r="612" spans="11:11" x14ac:dyDescent="0.15">
      <c r="K612" s="157"/>
    </row>
    <row r="613" spans="11:11" x14ac:dyDescent="0.15">
      <c r="K613" s="157"/>
    </row>
    <row r="614" spans="11:11" x14ac:dyDescent="0.15">
      <c r="K614" s="157"/>
    </row>
    <row r="615" spans="11:11" x14ac:dyDescent="0.15">
      <c r="K615" s="157"/>
    </row>
    <row r="616" spans="11:11" x14ac:dyDescent="0.15">
      <c r="K616" s="157"/>
    </row>
    <row r="617" spans="11:11" x14ac:dyDescent="0.15">
      <c r="K617" s="157"/>
    </row>
    <row r="618" spans="11:11" x14ac:dyDescent="0.15">
      <c r="K618" s="157"/>
    </row>
    <row r="619" spans="11:11" x14ac:dyDescent="0.15">
      <c r="K619" s="157"/>
    </row>
    <row r="620" spans="11:11" x14ac:dyDescent="0.15">
      <c r="K620" s="157"/>
    </row>
    <row r="621" spans="11:11" x14ac:dyDescent="0.15">
      <c r="K621" s="157"/>
    </row>
    <row r="622" spans="11:11" x14ac:dyDescent="0.15">
      <c r="K622" s="157"/>
    </row>
    <row r="623" spans="11:11" x14ac:dyDescent="0.15">
      <c r="K623" s="157"/>
    </row>
    <row r="624" spans="11:11" x14ac:dyDescent="0.15">
      <c r="K624" s="157"/>
    </row>
    <row r="625" spans="11:11" x14ac:dyDescent="0.15">
      <c r="K625" s="157"/>
    </row>
    <row r="626" spans="11:11" x14ac:dyDescent="0.15">
      <c r="K626" s="157"/>
    </row>
    <row r="627" spans="11:11" x14ac:dyDescent="0.15">
      <c r="K627" s="157"/>
    </row>
    <row r="628" spans="11:11" x14ac:dyDescent="0.15">
      <c r="K628" s="157"/>
    </row>
    <row r="629" spans="11:11" x14ac:dyDescent="0.15">
      <c r="K629" s="157"/>
    </row>
    <row r="630" spans="11:11" x14ac:dyDescent="0.15">
      <c r="K630" s="157"/>
    </row>
    <row r="631" spans="11:11" x14ac:dyDescent="0.15">
      <c r="K631" s="157"/>
    </row>
    <row r="632" spans="11:11" x14ac:dyDescent="0.15">
      <c r="K632" s="157"/>
    </row>
    <row r="633" spans="11:11" x14ac:dyDescent="0.15">
      <c r="K633" s="157"/>
    </row>
    <row r="634" spans="11:11" x14ac:dyDescent="0.15">
      <c r="K634" s="157"/>
    </row>
    <row r="635" spans="11:11" x14ac:dyDescent="0.15">
      <c r="K635" s="157"/>
    </row>
    <row r="636" spans="11:11" x14ac:dyDescent="0.15">
      <c r="K636" s="157"/>
    </row>
    <row r="637" spans="11:11" x14ac:dyDescent="0.15">
      <c r="K637" s="157"/>
    </row>
    <row r="638" spans="11:11" x14ac:dyDescent="0.15">
      <c r="K638" s="157"/>
    </row>
    <row r="639" spans="11:11" x14ac:dyDescent="0.15">
      <c r="K639" s="157"/>
    </row>
    <row r="640" spans="11:11" x14ac:dyDescent="0.15">
      <c r="K640" s="157"/>
    </row>
    <row r="641" spans="11:11" x14ac:dyDescent="0.15">
      <c r="K641" s="157"/>
    </row>
    <row r="642" spans="11:11" x14ac:dyDescent="0.15">
      <c r="K642" s="157"/>
    </row>
    <row r="643" spans="11:11" x14ac:dyDescent="0.15">
      <c r="K643" s="157"/>
    </row>
    <row r="644" spans="11:11" x14ac:dyDescent="0.15">
      <c r="K644" s="157"/>
    </row>
    <row r="645" spans="11:11" x14ac:dyDescent="0.15">
      <c r="K645" s="157"/>
    </row>
    <row r="646" spans="11:11" x14ac:dyDescent="0.15">
      <c r="K646" s="157"/>
    </row>
    <row r="647" spans="11:11" x14ac:dyDescent="0.15">
      <c r="K647" s="157"/>
    </row>
    <row r="648" spans="11:11" x14ac:dyDescent="0.15">
      <c r="K648" s="157"/>
    </row>
    <row r="649" spans="11:11" x14ac:dyDescent="0.15">
      <c r="K649" s="157"/>
    </row>
    <row r="650" spans="11:11" x14ac:dyDescent="0.15">
      <c r="K650" s="157"/>
    </row>
    <row r="651" spans="11:11" x14ac:dyDescent="0.15">
      <c r="K651" s="157"/>
    </row>
    <row r="652" spans="11:11" x14ac:dyDescent="0.15">
      <c r="K652" s="157"/>
    </row>
    <row r="653" spans="11:11" x14ac:dyDescent="0.15">
      <c r="K653" s="157"/>
    </row>
    <row r="654" spans="11:11" x14ac:dyDescent="0.15">
      <c r="K654" s="157"/>
    </row>
    <row r="655" spans="11:11" x14ac:dyDescent="0.15">
      <c r="K655" s="157"/>
    </row>
    <row r="656" spans="11:11" x14ac:dyDescent="0.15">
      <c r="K656" s="157"/>
    </row>
    <row r="657" spans="11:11" x14ac:dyDescent="0.15">
      <c r="K657" s="157"/>
    </row>
    <row r="658" spans="11:11" x14ac:dyDescent="0.15">
      <c r="K658" s="157"/>
    </row>
    <row r="659" spans="11:11" x14ac:dyDescent="0.15">
      <c r="K659" s="157"/>
    </row>
    <row r="660" spans="11:11" x14ac:dyDescent="0.15">
      <c r="K660" s="157"/>
    </row>
    <row r="661" spans="11:11" x14ac:dyDescent="0.15">
      <c r="K661" s="157"/>
    </row>
    <row r="662" spans="11:11" x14ac:dyDescent="0.15">
      <c r="K662" s="157"/>
    </row>
    <row r="663" spans="11:11" x14ac:dyDescent="0.15">
      <c r="K663" s="157"/>
    </row>
    <row r="664" spans="11:11" x14ac:dyDescent="0.15">
      <c r="K664" s="157"/>
    </row>
    <row r="665" spans="11:11" x14ac:dyDescent="0.15">
      <c r="K665" s="157"/>
    </row>
    <row r="666" spans="11:11" x14ac:dyDescent="0.15">
      <c r="K666" s="157"/>
    </row>
    <row r="667" spans="11:11" x14ac:dyDescent="0.15">
      <c r="K667" s="157"/>
    </row>
    <row r="668" spans="11:11" x14ac:dyDescent="0.15">
      <c r="K668" s="157"/>
    </row>
    <row r="669" spans="11:11" x14ac:dyDescent="0.15">
      <c r="K669" s="157"/>
    </row>
    <row r="670" spans="11:11" x14ac:dyDescent="0.15">
      <c r="K670" s="157"/>
    </row>
    <row r="671" spans="11:11" x14ac:dyDescent="0.15">
      <c r="K671" s="157"/>
    </row>
    <row r="672" spans="11:11" x14ac:dyDescent="0.15">
      <c r="K672" s="157"/>
    </row>
    <row r="673" spans="11:11" x14ac:dyDescent="0.15">
      <c r="K673" s="157"/>
    </row>
    <row r="674" spans="11:11" x14ac:dyDescent="0.15">
      <c r="K674" s="157"/>
    </row>
    <row r="675" spans="11:11" x14ac:dyDescent="0.15">
      <c r="K675" s="157"/>
    </row>
    <row r="676" spans="11:11" x14ac:dyDescent="0.15">
      <c r="K676" s="157"/>
    </row>
    <row r="677" spans="11:11" x14ac:dyDescent="0.15">
      <c r="K677" s="157"/>
    </row>
    <row r="678" spans="11:11" x14ac:dyDescent="0.15">
      <c r="K678" s="157"/>
    </row>
    <row r="679" spans="11:11" x14ac:dyDescent="0.15">
      <c r="K679" s="157"/>
    </row>
    <row r="680" spans="11:11" x14ac:dyDescent="0.15">
      <c r="K680" s="157"/>
    </row>
    <row r="681" spans="11:11" x14ac:dyDescent="0.15">
      <c r="K681" s="157"/>
    </row>
    <row r="682" spans="11:11" x14ac:dyDescent="0.15">
      <c r="K682" s="157"/>
    </row>
    <row r="683" spans="11:11" x14ac:dyDescent="0.15">
      <c r="K683" s="157"/>
    </row>
    <row r="684" spans="11:11" x14ac:dyDescent="0.15">
      <c r="K684" s="157"/>
    </row>
    <row r="685" spans="11:11" x14ac:dyDescent="0.15">
      <c r="K685" s="157"/>
    </row>
    <row r="686" spans="11:11" x14ac:dyDescent="0.15">
      <c r="K686" s="157"/>
    </row>
    <row r="687" spans="11:11" x14ac:dyDescent="0.15">
      <c r="K687" s="157"/>
    </row>
    <row r="688" spans="11:11" x14ac:dyDescent="0.15">
      <c r="K688" s="157"/>
    </row>
    <row r="689" spans="11:11" x14ac:dyDescent="0.15">
      <c r="K689" s="157"/>
    </row>
    <row r="690" spans="11:11" x14ac:dyDescent="0.15">
      <c r="K690" s="157"/>
    </row>
    <row r="691" spans="11:11" x14ac:dyDescent="0.15">
      <c r="K691" s="157"/>
    </row>
    <row r="692" spans="11:11" x14ac:dyDescent="0.15">
      <c r="K692" s="157"/>
    </row>
    <row r="693" spans="11:11" x14ac:dyDescent="0.15">
      <c r="K693" s="157"/>
    </row>
    <row r="694" spans="11:11" x14ac:dyDescent="0.15">
      <c r="K694" s="157"/>
    </row>
    <row r="695" spans="11:11" x14ac:dyDescent="0.15">
      <c r="K695" s="157"/>
    </row>
    <row r="696" spans="11:11" x14ac:dyDescent="0.15">
      <c r="K696" s="157"/>
    </row>
    <row r="697" spans="11:11" x14ac:dyDescent="0.15">
      <c r="K697" s="157"/>
    </row>
    <row r="698" spans="11:11" x14ac:dyDescent="0.15">
      <c r="K698" s="157"/>
    </row>
    <row r="699" spans="11:11" x14ac:dyDescent="0.15">
      <c r="K699" s="157"/>
    </row>
    <row r="700" spans="11:11" x14ac:dyDescent="0.15">
      <c r="K700" s="157"/>
    </row>
    <row r="701" spans="11:11" x14ac:dyDescent="0.15">
      <c r="K701" s="157"/>
    </row>
    <row r="702" spans="11:11" x14ac:dyDescent="0.15">
      <c r="K702" s="157"/>
    </row>
    <row r="703" spans="11:11" x14ac:dyDescent="0.15">
      <c r="K703" s="157"/>
    </row>
    <row r="704" spans="11:11" x14ac:dyDescent="0.15">
      <c r="K704" s="157"/>
    </row>
    <row r="705" spans="11:11" x14ac:dyDescent="0.15">
      <c r="K705" s="157"/>
    </row>
    <row r="706" spans="11:11" x14ac:dyDescent="0.15">
      <c r="K706" s="157"/>
    </row>
    <row r="707" spans="11:11" x14ac:dyDescent="0.15">
      <c r="K707" s="157"/>
    </row>
    <row r="708" spans="11:11" x14ac:dyDescent="0.15">
      <c r="K708" s="157"/>
    </row>
    <row r="709" spans="11:11" x14ac:dyDescent="0.15">
      <c r="K709" s="157"/>
    </row>
    <row r="710" spans="11:11" x14ac:dyDescent="0.15">
      <c r="K710" s="157"/>
    </row>
    <row r="711" spans="11:11" x14ac:dyDescent="0.15">
      <c r="K711" s="157"/>
    </row>
    <row r="712" spans="11:11" x14ac:dyDescent="0.15">
      <c r="K712" s="157"/>
    </row>
    <row r="713" spans="11:11" x14ac:dyDescent="0.15">
      <c r="K713" s="157"/>
    </row>
    <row r="714" spans="11:11" x14ac:dyDescent="0.15">
      <c r="K714" s="157"/>
    </row>
    <row r="715" spans="11:11" x14ac:dyDescent="0.15">
      <c r="K715" s="157"/>
    </row>
    <row r="716" spans="11:11" x14ac:dyDescent="0.15">
      <c r="K716" s="157"/>
    </row>
    <row r="717" spans="11:11" x14ac:dyDescent="0.15">
      <c r="K717" s="157"/>
    </row>
    <row r="718" spans="11:11" x14ac:dyDescent="0.15">
      <c r="K718" s="157"/>
    </row>
    <row r="719" spans="11:11" x14ac:dyDescent="0.15">
      <c r="K719" s="157"/>
    </row>
    <row r="720" spans="11:11" x14ac:dyDescent="0.15">
      <c r="K720" s="157"/>
    </row>
    <row r="721" spans="11:11" x14ac:dyDescent="0.15">
      <c r="K721" s="157"/>
    </row>
    <row r="722" spans="11:11" x14ac:dyDescent="0.15">
      <c r="K722" s="157"/>
    </row>
    <row r="723" spans="11:11" x14ac:dyDescent="0.15">
      <c r="K723" s="157"/>
    </row>
    <row r="724" spans="11:11" x14ac:dyDescent="0.15">
      <c r="K724" s="157"/>
    </row>
    <row r="725" spans="11:11" x14ac:dyDescent="0.15">
      <c r="K725" s="157"/>
    </row>
    <row r="726" spans="11:11" x14ac:dyDescent="0.15">
      <c r="K726" s="157"/>
    </row>
    <row r="727" spans="11:11" x14ac:dyDescent="0.15">
      <c r="K727" s="157"/>
    </row>
    <row r="728" spans="11:11" x14ac:dyDescent="0.15">
      <c r="K728" s="157"/>
    </row>
    <row r="729" spans="11:11" x14ac:dyDescent="0.15">
      <c r="K729" s="157"/>
    </row>
    <row r="730" spans="11:11" x14ac:dyDescent="0.15">
      <c r="K730" s="157"/>
    </row>
    <row r="731" spans="11:11" x14ac:dyDescent="0.15">
      <c r="K731" s="157"/>
    </row>
    <row r="732" spans="11:11" x14ac:dyDescent="0.15">
      <c r="K732" s="157"/>
    </row>
    <row r="733" spans="11:11" x14ac:dyDescent="0.15">
      <c r="K733" s="157"/>
    </row>
    <row r="734" spans="11:11" x14ac:dyDescent="0.15">
      <c r="K734" s="157"/>
    </row>
    <row r="735" spans="11:11" x14ac:dyDescent="0.15">
      <c r="K735" s="157"/>
    </row>
    <row r="736" spans="11:11" x14ac:dyDescent="0.15">
      <c r="K736" s="157"/>
    </row>
    <row r="737" spans="11:11" x14ac:dyDescent="0.15">
      <c r="K737" s="157"/>
    </row>
    <row r="738" spans="11:11" x14ac:dyDescent="0.15">
      <c r="K738" s="157"/>
    </row>
    <row r="739" spans="11:11" x14ac:dyDescent="0.15">
      <c r="K739" s="157"/>
    </row>
    <row r="740" spans="11:11" x14ac:dyDescent="0.15">
      <c r="K740" s="157"/>
    </row>
    <row r="741" spans="11:11" x14ac:dyDescent="0.15">
      <c r="K741" s="157"/>
    </row>
    <row r="742" spans="11:11" x14ac:dyDescent="0.15">
      <c r="K742" s="157"/>
    </row>
    <row r="743" spans="11:11" x14ac:dyDescent="0.15">
      <c r="K743" s="157"/>
    </row>
    <row r="744" spans="11:11" x14ac:dyDescent="0.15">
      <c r="K744" s="157"/>
    </row>
    <row r="745" spans="11:11" x14ac:dyDescent="0.15">
      <c r="K745" s="157"/>
    </row>
    <row r="746" spans="11:11" x14ac:dyDescent="0.15">
      <c r="K746" s="157"/>
    </row>
    <row r="747" spans="11:11" x14ac:dyDescent="0.15">
      <c r="K747" s="157"/>
    </row>
    <row r="748" spans="11:11" x14ac:dyDescent="0.15">
      <c r="K748" s="157"/>
    </row>
    <row r="749" spans="11:11" x14ac:dyDescent="0.15">
      <c r="K749" s="157"/>
    </row>
    <row r="750" spans="11:11" x14ac:dyDescent="0.15">
      <c r="K750" s="157"/>
    </row>
    <row r="751" spans="11:11" x14ac:dyDescent="0.15">
      <c r="K751" s="157"/>
    </row>
    <row r="752" spans="11:11" x14ac:dyDescent="0.15">
      <c r="K752" s="157"/>
    </row>
    <row r="753" spans="11:11" x14ac:dyDescent="0.15">
      <c r="K753" s="157"/>
    </row>
    <row r="754" spans="11:11" x14ac:dyDescent="0.15">
      <c r="K754" s="157"/>
    </row>
    <row r="755" spans="11:11" x14ac:dyDescent="0.15">
      <c r="K755" s="157"/>
    </row>
  </sheetData>
  <autoFilter ref="A1:BA84"/>
  <phoneticPr fontId="3"/>
  <dataValidations count="12">
    <dataValidation type="list" allowBlank="1" showInputMessage="1" showErrorMessage="1" sqref="K2:K755">
      <formula1>$AR$2:$AR$23</formula1>
    </dataValidation>
    <dataValidation type="list" allowBlank="1" showInputMessage="1" showErrorMessage="1" sqref="A2:A442">
      <formula1>$AE$2:$AE$19</formula1>
    </dataValidation>
    <dataValidation type="list" allowBlank="1" showInputMessage="1" showErrorMessage="1" sqref="Y2:AA443">
      <formula1>$AV$2:$AV$21</formula1>
    </dataValidation>
    <dataValidation type="list" allowBlank="1" showInputMessage="1" showErrorMessage="1" sqref="H2:H443">
      <formula1>$AL$2:$AL$8</formula1>
    </dataValidation>
    <dataValidation type="list" allowBlank="1" showInputMessage="1" showErrorMessage="1" sqref="X2:X443">
      <formula1>$AT$2:$AT$3</formula1>
    </dataValidation>
    <dataValidation type="list" allowBlank="1" showInputMessage="1" showErrorMessage="1" sqref="G2:G443">
      <formula1>$AJ$2:$AJ$4</formula1>
    </dataValidation>
    <dataValidation type="list" allowBlank="1" showInputMessage="1" showErrorMessage="1" sqref="I2:I443">
      <formula1>$AN$5:$AN$6</formula1>
    </dataValidation>
    <dataValidation type="list" allowBlank="1" showInputMessage="1" showErrorMessage="1" sqref="J2:J443">
      <formula1>$AP$2:$AP$24</formula1>
    </dataValidation>
    <dataValidation type="list" allowBlank="1" showInputMessage="1" showErrorMessage="1" sqref="F2:F443">
      <formula1>$AH$2:$AH$11</formula1>
    </dataValidation>
    <dataValidation type="list" allowBlank="1" showInputMessage="1" showErrorMessage="1" sqref="E2:E443">
      <formula1>$AG$2:$AG$11</formula1>
    </dataValidation>
    <dataValidation type="decimal" allowBlank="1" showInputMessage="1" showErrorMessage="1" error="硬度を正しく入力して下さい。" sqref="O2:P49 O59:P443">
      <formula1>0</formula1>
      <formula2>7</formula2>
    </dataValidation>
    <dataValidation operator="equal" allowBlank="1" showInputMessage="1" showErrorMessage="1" sqref="B2:B115"/>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BED8B82-439E-4020-A733-65B23984D624}"/>
</file>

<file path=customXml/itemProps2.xml><?xml version="1.0" encoding="utf-8"?>
<ds:datastoreItem xmlns:ds="http://schemas.openxmlformats.org/officeDocument/2006/customXml" ds:itemID="{FF141749-AFBA-414A-94CA-7BFB3D4FC1B2}"/>
</file>

<file path=customXml/itemProps3.xml><?xml version="1.0" encoding="utf-8"?>
<ds:datastoreItem xmlns:ds="http://schemas.openxmlformats.org/officeDocument/2006/customXml" ds:itemID="{DCC25C8B-7D11-4256-B418-37CBBA320A2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2018-06-05T01:44:41Z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