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definedNames>
    <definedName name="_xlnm._FilterDatabase" localSheetId="5" hidden="1">fukuoka!$A$1:$BA$152</definedName>
    <definedName name="_xlnm._FilterDatabase" localSheetId="4" hidden="1">hiroshima!$A$1:$BA$1</definedName>
    <definedName name="_xlnm._FilterDatabase" localSheetId="1" hidden="1">miyagi!$A$1:$BA$128</definedName>
    <definedName name="_xlnm._FilterDatabase" localSheetId="2" hidden="1">nagoya!$A$1:$BA$52</definedName>
    <definedName name="_xlnm._FilterDatabase" localSheetId="3" hidden="1">osaka!$A$1:$BA$64</definedName>
    <definedName name="_xlnm._FilterDatabase" localSheetId="0" hidden="1">sapporo!$A$1:$BA$120</definedName>
    <definedName name="_xlnm._FilterDatabase" localSheetId="6" hidden="1">'tokyo-east(ota)'!$A$1:$BA$1</definedName>
    <definedName name="_xlnm._FilterDatabase" localSheetId="7" hidden="1">'tokyo-west(kato)'!$A$1:$BA$87</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00" i="32" l="1"/>
  <c r="V100" i="32" s="1"/>
  <c r="Q100" i="32"/>
  <c r="V99" i="32"/>
  <c r="T99" i="32"/>
  <c r="Q99" i="32"/>
  <c r="T98" i="32"/>
  <c r="V98" i="32" s="1"/>
  <c r="Q98" i="32"/>
  <c r="T97" i="32"/>
  <c r="V97" i="32" s="1"/>
  <c r="Q97" i="32"/>
  <c r="T96" i="32"/>
  <c r="V96" i="32" s="1"/>
  <c r="Q96" i="32"/>
  <c r="V95" i="32"/>
  <c r="T95" i="32"/>
  <c r="Q95" i="32"/>
  <c r="V94" i="32"/>
  <c r="T94" i="32"/>
  <c r="Q94" i="32"/>
  <c r="T93" i="32"/>
  <c r="V93" i="32" s="1"/>
  <c r="Q93" i="32"/>
  <c r="T92" i="32"/>
  <c r="V92" i="32" s="1"/>
  <c r="Q92" i="32"/>
  <c r="V91" i="32"/>
  <c r="T91" i="32"/>
  <c r="Q91" i="32"/>
  <c r="T90" i="32"/>
  <c r="V90" i="32" s="1"/>
  <c r="Q90" i="32"/>
  <c r="T89" i="32"/>
  <c r="V89" i="32" s="1"/>
  <c r="Q89" i="32"/>
  <c r="T88" i="32"/>
  <c r="V88" i="32" s="1"/>
  <c r="Q88" i="32"/>
  <c r="V87" i="32"/>
  <c r="T87" i="32"/>
  <c r="Q87" i="32"/>
  <c r="V86" i="32"/>
  <c r="T86" i="32"/>
  <c r="Q86" i="32"/>
  <c r="T85" i="32"/>
  <c r="V85" i="32" s="1"/>
  <c r="Q85" i="32"/>
  <c r="T84" i="32"/>
  <c r="V84" i="32" s="1"/>
  <c r="Q84" i="32"/>
  <c r="V83" i="32"/>
  <c r="T83" i="32"/>
  <c r="Q83" i="32"/>
  <c r="T82" i="32"/>
  <c r="V82" i="32" s="1"/>
  <c r="Q82" i="32"/>
  <c r="T81" i="32"/>
  <c r="V81" i="32" s="1"/>
  <c r="Q81" i="32"/>
  <c r="T80" i="32"/>
  <c r="V80" i="32" s="1"/>
  <c r="Q80" i="32"/>
  <c r="V79" i="32"/>
  <c r="T79" i="32"/>
  <c r="Q79" i="32"/>
  <c r="V78" i="32"/>
  <c r="T78" i="32"/>
  <c r="Q78" i="32"/>
  <c r="T77" i="32"/>
  <c r="V77" i="32" s="1"/>
  <c r="Q77" i="32"/>
  <c r="T76" i="32"/>
  <c r="V76" i="32" s="1"/>
  <c r="Q76" i="32"/>
  <c r="V75" i="32"/>
  <c r="T75" i="32"/>
  <c r="Q75" i="32"/>
  <c r="T74" i="32"/>
  <c r="V74" i="32" s="1"/>
  <c r="Q74" i="32"/>
  <c r="T73" i="32"/>
  <c r="V73" i="32" s="1"/>
  <c r="Q73" i="32"/>
  <c r="T72" i="32"/>
  <c r="V72" i="32" s="1"/>
  <c r="Q72" i="32"/>
  <c r="V71" i="32"/>
  <c r="T71" i="32"/>
  <c r="Q71" i="32"/>
  <c r="V70" i="32"/>
  <c r="T70" i="32"/>
  <c r="Q70" i="32"/>
  <c r="T69" i="32"/>
  <c r="V69" i="32" s="1"/>
  <c r="Q69" i="32"/>
  <c r="T68" i="32"/>
  <c r="V68" i="32" s="1"/>
  <c r="Q68" i="32"/>
  <c r="V67" i="32"/>
  <c r="T67" i="32"/>
  <c r="Q67" i="32"/>
  <c r="T66" i="32"/>
  <c r="V66" i="32" s="1"/>
  <c r="Q66" i="32"/>
  <c r="T65" i="32"/>
  <c r="V65" i="32" s="1"/>
  <c r="Q65" i="32"/>
  <c r="T64" i="32"/>
  <c r="V64" i="32" s="1"/>
  <c r="Q64" i="32"/>
  <c r="V63" i="32"/>
  <c r="T63" i="32"/>
  <c r="Q63" i="32"/>
  <c r="V62" i="32"/>
  <c r="T62" i="32"/>
  <c r="Q62" i="32"/>
  <c r="T61" i="32"/>
  <c r="V61" i="32" s="1"/>
  <c r="Q61" i="32"/>
  <c r="T60" i="32"/>
  <c r="V60" i="32" s="1"/>
  <c r="Q60" i="32"/>
  <c r="V59" i="32"/>
  <c r="T59" i="32"/>
  <c r="Q59" i="32"/>
  <c r="T58" i="32"/>
  <c r="V58" i="32" s="1"/>
  <c r="Q58" i="32"/>
  <c r="T57" i="32"/>
  <c r="V57" i="32" s="1"/>
  <c r="Q57" i="32"/>
  <c r="T56" i="32"/>
  <c r="V56" i="32" s="1"/>
  <c r="Q56" i="32"/>
  <c r="V55" i="32"/>
  <c r="T55" i="32"/>
  <c r="Q55" i="32"/>
  <c r="V54" i="32"/>
  <c r="T54" i="32"/>
  <c r="Q54" i="32"/>
  <c r="T53" i="32"/>
  <c r="V53" i="32" s="1"/>
  <c r="Q53" i="32"/>
  <c r="T52" i="32"/>
  <c r="V52" i="32" s="1"/>
  <c r="Q52" i="32"/>
  <c r="V51" i="32"/>
  <c r="T51" i="32"/>
  <c r="Q51" i="32"/>
  <c r="T50" i="32"/>
  <c r="V50" i="32" s="1"/>
  <c r="Q50" i="32"/>
  <c r="T49" i="32"/>
  <c r="V49" i="32" s="1"/>
  <c r="Q49" i="32"/>
  <c r="T48" i="32"/>
  <c r="V48" i="32" s="1"/>
  <c r="Q48" i="32"/>
  <c r="V47" i="32"/>
  <c r="T47" i="32"/>
  <c r="Q47" i="32"/>
  <c r="V46" i="32"/>
  <c r="T46" i="32"/>
  <c r="Q46" i="32"/>
  <c r="T45" i="32"/>
  <c r="V45" i="32" s="1"/>
  <c r="Q45" i="32"/>
  <c r="T44" i="32"/>
  <c r="V44" i="32" s="1"/>
  <c r="Q44" i="32"/>
  <c r="V43" i="32"/>
  <c r="T43" i="32"/>
  <c r="Q43" i="32"/>
  <c r="T42" i="32"/>
  <c r="V42" i="32" s="1"/>
  <c r="Q42" i="32"/>
  <c r="T41" i="32"/>
  <c r="V41" i="32" s="1"/>
  <c r="Q41" i="32"/>
  <c r="T40" i="32"/>
  <c r="V40" i="32" s="1"/>
  <c r="Q40" i="32"/>
  <c r="V39" i="32"/>
  <c r="T39" i="32"/>
  <c r="Q39" i="32"/>
  <c r="V38" i="32"/>
  <c r="T38" i="32"/>
  <c r="Q38" i="32"/>
  <c r="T37" i="32"/>
  <c r="V37" i="32" s="1"/>
  <c r="Q37" i="32"/>
  <c r="T36" i="32"/>
  <c r="V36" i="32" s="1"/>
  <c r="Q36" i="32"/>
  <c r="V35" i="32"/>
  <c r="T35" i="32"/>
  <c r="Q35" i="32"/>
  <c r="T34" i="32"/>
  <c r="V34" i="32" s="1"/>
  <c r="Q34" i="32"/>
  <c r="T33" i="32"/>
  <c r="V33" i="32" s="1"/>
  <c r="Q33" i="32"/>
  <c r="T32" i="32"/>
  <c r="V32" i="32" s="1"/>
  <c r="Q32" i="32"/>
  <c r="V31" i="32"/>
  <c r="T31" i="32"/>
  <c r="Q31" i="32"/>
  <c r="V30" i="32"/>
  <c r="T30" i="32"/>
  <c r="Q30" i="32"/>
  <c r="T29" i="32"/>
  <c r="V29" i="32" s="1"/>
  <c r="Q29" i="32"/>
  <c r="T28" i="32"/>
  <c r="V28" i="32" s="1"/>
  <c r="Q28" i="32"/>
  <c r="V27" i="32"/>
  <c r="T27" i="32"/>
  <c r="Q27" i="32"/>
  <c r="T26" i="32"/>
  <c r="V26" i="32" s="1"/>
  <c r="Q26" i="32"/>
  <c r="T25" i="32"/>
  <c r="V25" i="32" s="1"/>
  <c r="Q25" i="32"/>
  <c r="T24" i="32"/>
  <c r="V24" i="32" s="1"/>
  <c r="Q24" i="32"/>
  <c r="V23" i="32"/>
  <c r="T23" i="32"/>
  <c r="Q23" i="32"/>
  <c r="V22" i="32"/>
  <c r="T22" i="32"/>
  <c r="Q22" i="32"/>
  <c r="T21" i="32"/>
  <c r="V21" i="32" s="1"/>
  <c r="Q21" i="32"/>
  <c r="T20" i="32"/>
  <c r="V20" i="32" s="1"/>
  <c r="Q20" i="32"/>
  <c r="V19" i="32"/>
  <c r="T19" i="32"/>
  <c r="Q19" i="32"/>
  <c r="T18" i="32"/>
  <c r="V18" i="32" s="1"/>
  <c r="Q18" i="32"/>
  <c r="T17" i="32"/>
  <c r="V17" i="32" s="1"/>
  <c r="Q17" i="32"/>
  <c r="T16" i="32"/>
  <c r="V16" i="32" s="1"/>
  <c r="Q16" i="32"/>
  <c r="V15" i="32"/>
  <c r="T15" i="32"/>
  <c r="Q15" i="32"/>
  <c r="V14" i="32"/>
  <c r="T14" i="32"/>
  <c r="Q14" i="32"/>
  <c r="T13" i="32"/>
  <c r="V13" i="32" s="1"/>
  <c r="Q13" i="32"/>
  <c r="T12" i="32"/>
  <c r="V12" i="32" s="1"/>
  <c r="Q12" i="32"/>
  <c r="V11" i="32"/>
  <c r="T11" i="32"/>
  <c r="Q11" i="32"/>
  <c r="T10" i="32"/>
  <c r="V10" i="32" s="1"/>
  <c r="Q10" i="32"/>
  <c r="T9" i="32"/>
  <c r="V9" i="32" s="1"/>
  <c r="Q9" i="32"/>
  <c r="T8" i="32"/>
  <c r="V8" i="32" s="1"/>
  <c r="Q8" i="32"/>
  <c r="V7" i="32"/>
  <c r="T7" i="32"/>
  <c r="Q7" i="32"/>
  <c r="V6" i="32"/>
  <c r="T6" i="32"/>
  <c r="Q6" i="32"/>
  <c r="T5" i="32"/>
  <c r="V5" i="32" s="1"/>
  <c r="Q5" i="32"/>
  <c r="T4" i="32"/>
  <c r="V4" i="32" s="1"/>
  <c r="Q4" i="32"/>
  <c r="V3" i="32"/>
  <c r="T3" i="32"/>
  <c r="Q3" i="32"/>
  <c r="T2" i="32"/>
  <c r="V2" i="32" s="1"/>
  <c r="Q2" i="32"/>
  <c r="T91" i="31" l="1"/>
  <c r="V91" i="31" s="1"/>
  <c r="Q91" i="31"/>
  <c r="T90" i="31"/>
  <c r="V90" i="31" s="1"/>
  <c r="Q90" i="31"/>
  <c r="T89" i="31"/>
  <c r="V89" i="31" s="1"/>
  <c r="Q89" i="31"/>
  <c r="V88" i="31"/>
  <c r="T88" i="31"/>
  <c r="Q88" i="31"/>
  <c r="V87" i="31"/>
  <c r="T87" i="31"/>
  <c r="Q87" i="31"/>
  <c r="V86" i="31"/>
  <c r="T86" i="31"/>
  <c r="Q86" i="31"/>
  <c r="T85" i="31"/>
  <c r="V85" i="31" s="1"/>
  <c r="Q85" i="31"/>
  <c r="T84" i="31"/>
  <c r="V84" i="31" s="1"/>
  <c r="Q84" i="31"/>
  <c r="T83" i="31"/>
  <c r="V83" i="31" s="1"/>
  <c r="Q83" i="31"/>
  <c r="T82" i="31"/>
  <c r="V82" i="31" s="1"/>
  <c r="Q82" i="31"/>
  <c r="T81" i="31"/>
  <c r="V81" i="31" s="1"/>
  <c r="Q81" i="31"/>
  <c r="V80" i="31"/>
  <c r="T80" i="31"/>
  <c r="Q80" i="31"/>
  <c r="V79" i="31"/>
  <c r="T79" i="31"/>
  <c r="Q79" i="31"/>
  <c r="V78" i="31"/>
  <c r="T78" i="31"/>
  <c r="Q78" i="31"/>
  <c r="T77" i="31"/>
  <c r="V77" i="31" s="1"/>
  <c r="Q77" i="31"/>
  <c r="T76" i="31"/>
  <c r="V76" i="31" s="1"/>
  <c r="Q76" i="31"/>
  <c r="T75" i="31"/>
  <c r="V75" i="31" s="1"/>
  <c r="Q75" i="31"/>
  <c r="T74" i="31"/>
  <c r="V74" i="31" s="1"/>
  <c r="Q74" i="31"/>
  <c r="T73" i="31"/>
  <c r="V73" i="31" s="1"/>
  <c r="Q73" i="31"/>
  <c r="V72" i="31"/>
  <c r="T72" i="31"/>
  <c r="Q72" i="31"/>
  <c r="V71" i="31"/>
  <c r="T71" i="31"/>
  <c r="Q71" i="31"/>
  <c r="V70" i="31"/>
  <c r="T70" i="31"/>
  <c r="Q70" i="31"/>
  <c r="T69" i="31"/>
  <c r="V69" i="31" s="1"/>
  <c r="Q69" i="31"/>
  <c r="T68" i="31"/>
  <c r="V68" i="31" s="1"/>
  <c r="Q68" i="31"/>
  <c r="T67" i="31"/>
  <c r="V67" i="31" s="1"/>
  <c r="Q67" i="31"/>
  <c r="T66" i="31"/>
  <c r="V66" i="31" s="1"/>
  <c r="Q66" i="31"/>
  <c r="T65" i="31"/>
  <c r="V65" i="31" s="1"/>
  <c r="Q65" i="31"/>
  <c r="V64" i="31"/>
  <c r="T64" i="31"/>
  <c r="Q64" i="31"/>
  <c r="V63" i="31"/>
  <c r="T63" i="31"/>
  <c r="Q63" i="31"/>
  <c r="V62" i="31"/>
  <c r="T62" i="31"/>
  <c r="Q62" i="31"/>
  <c r="T58" i="31"/>
  <c r="V58" i="31" s="1"/>
  <c r="Q58" i="31"/>
  <c r="T57" i="31"/>
  <c r="V57" i="31" s="1"/>
  <c r="Q57" i="31"/>
  <c r="T56" i="31"/>
  <c r="V56" i="31" s="1"/>
  <c r="Q56" i="31"/>
  <c r="T55" i="31"/>
  <c r="V55" i="31" s="1"/>
  <c r="Q55" i="31"/>
  <c r="T54" i="31"/>
  <c r="V54" i="31" s="1"/>
  <c r="Q54" i="31"/>
  <c r="V53" i="31"/>
  <c r="T53" i="31"/>
  <c r="Q53" i="31"/>
  <c r="V52" i="31"/>
  <c r="T52" i="31"/>
  <c r="Q52" i="31"/>
  <c r="V51" i="31"/>
  <c r="T51" i="31"/>
  <c r="Q51" i="31"/>
  <c r="T50" i="31"/>
  <c r="V50" i="31" s="1"/>
  <c r="Q50" i="31"/>
  <c r="T49" i="31"/>
  <c r="V49" i="31" s="1"/>
  <c r="Q49" i="31"/>
  <c r="T48" i="31"/>
  <c r="V48" i="31" s="1"/>
  <c r="Q48" i="31"/>
  <c r="T47" i="31"/>
  <c r="V47" i="31" s="1"/>
  <c r="Q47" i="31"/>
  <c r="T46" i="31"/>
  <c r="V46" i="31" s="1"/>
  <c r="Q46" i="31"/>
  <c r="V45" i="31"/>
  <c r="T45" i="31"/>
  <c r="Q45" i="31"/>
  <c r="V44" i="31"/>
  <c r="T44" i="31"/>
  <c r="Q44" i="31"/>
  <c r="V43" i="31"/>
  <c r="T43" i="31"/>
  <c r="Q43" i="31"/>
  <c r="T42" i="31"/>
  <c r="V42" i="31" s="1"/>
  <c r="Q42" i="31"/>
  <c r="T41" i="31"/>
  <c r="V41" i="31" s="1"/>
  <c r="Q41" i="31"/>
  <c r="T40" i="31"/>
  <c r="V40" i="31" s="1"/>
  <c r="Q40" i="31"/>
  <c r="T39" i="31"/>
  <c r="V39" i="31" s="1"/>
  <c r="Q39" i="31"/>
  <c r="T38" i="31"/>
  <c r="V38" i="31" s="1"/>
  <c r="Q38" i="31"/>
  <c r="V37" i="31"/>
  <c r="T37" i="31"/>
  <c r="Q37" i="31"/>
  <c r="V36" i="31"/>
  <c r="T36" i="31"/>
  <c r="Q36" i="31"/>
  <c r="V35" i="31"/>
  <c r="T35" i="31"/>
  <c r="Q35" i="31"/>
  <c r="T34" i="31"/>
  <c r="V34" i="31" s="1"/>
  <c r="Q34" i="31"/>
  <c r="T33" i="31"/>
  <c r="V33" i="31" s="1"/>
  <c r="Q33" i="31"/>
  <c r="T32" i="31"/>
  <c r="V32" i="31" s="1"/>
  <c r="Q32" i="31"/>
  <c r="T31" i="31"/>
  <c r="V31" i="31" s="1"/>
  <c r="Q31" i="31"/>
  <c r="T30" i="31"/>
  <c r="V30" i="31" s="1"/>
  <c r="Q30" i="31"/>
  <c r="V29" i="31"/>
  <c r="T29" i="31"/>
  <c r="Q29" i="31"/>
  <c r="V28" i="31"/>
  <c r="T28" i="31"/>
  <c r="Q28" i="31"/>
  <c r="V27" i="31"/>
  <c r="T27" i="31"/>
  <c r="Q27" i="31"/>
  <c r="T26" i="31"/>
  <c r="V26" i="31" s="1"/>
  <c r="Q26" i="31"/>
  <c r="T25" i="31"/>
  <c r="V25" i="31" s="1"/>
  <c r="Q25" i="31"/>
  <c r="T24" i="31"/>
  <c r="V24" i="31" s="1"/>
  <c r="Q24" i="31"/>
  <c r="T23" i="31"/>
  <c r="V23" i="31" s="1"/>
  <c r="Q23" i="31"/>
  <c r="T22" i="31"/>
  <c r="V22" i="31" s="1"/>
  <c r="Q22" i="31"/>
  <c r="V21" i="31"/>
  <c r="T21" i="31"/>
  <c r="Q21" i="31"/>
  <c r="V20" i="31"/>
  <c r="T20" i="31"/>
  <c r="Q20" i="31"/>
  <c r="V19" i="31"/>
  <c r="T19" i="31"/>
  <c r="Q19" i="31"/>
  <c r="T18" i="31"/>
  <c r="V18" i="31" s="1"/>
  <c r="Q18" i="31"/>
  <c r="T17" i="31"/>
  <c r="V17" i="31" s="1"/>
  <c r="Q17" i="31"/>
  <c r="T16" i="31"/>
  <c r="V16" i="31" s="1"/>
  <c r="Q16" i="31"/>
  <c r="T15" i="31"/>
  <c r="V15" i="31" s="1"/>
  <c r="Q15" i="31"/>
  <c r="T14" i="31"/>
  <c r="Q14" i="31"/>
  <c r="T13" i="31"/>
  <c r="V13" i="31" s="1"/>
  <c r="Q13" i="31"/>
  <c r="T12" i="31"/>
  <c r="V12" i="31" s="1"/>
  <c r="Q12" i="31"/>
  <c r="T11" i="31"/>
  <c r="V11" i="31" s="1"/>
  <c r="Q11" i="31"/>
  <c r="V10" i="31"/>
  <c r="T10" i="31"/>
  <c r="Q10" i="31"/>
  <c r="V9" i="31"/>
  <c r="T9" i="31"/>
  <c r="Q9" i="31"/>
  <c r="V8" i="31"/>
  <c r="T8" i="31"/>
  <c r="Q8" i="31"/>
  <c r="T7" i="31"/>
  <c r="V7" i="31" s="1"/>
  <c r="Q7" i="31"/>
  <c r="T6" i="31"/>
  <c r="V6" i="31" s="1"/>
  <c r="Q6" i="31"/>
  <c r="T5" i="31"/>
  <c r="V5" i="31" s="1"/>
  <c r="Q5" i="31"/>
  <c r="T4" i="31"/>
  <c r="V4" i="31" s="1"/>
  <c r="Q4" i="31"/>
  <c r="T3" i="31"/>
  <c r="V3" i="31" s="1"/>
  <c r="Q3" i="31"/>
  <c r="V2" i="31"/>
  <c r="T2" i="3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T78" i="29"/>
  <c r="V78" i="29" s="1"/>
  <c r="Q78" i="29"/>
  <c r="T77" i="29"/>
  <c r="V77" i="29" s="1"/>
  <c r="Q77" i="29"/>
  <c r="T76" i="29"/>
  <c r="V76" i="29" s="1"/>
  <c r="Q76" i="29"/>
  <c r="T75" i="29"/>
  <c r="V75" i="29" s="1"/>
  <c r="Q75" i="29"/>
  <c r="V74" i="29"/>
  <c r="T74" i="29"/>
  <c r="Q74" i="29"/>
  <c r="V73" i="29"/>
  <c r="T73" i="29"/>
  <c r="Q73" i="29"/>
  <c r="T72" i="29"/>
  <c r="V72" i="29" s="1"/>
  <c r="Q72" i="29"/>
  <c r="T71" i="29"/>
  <c r="V71" i="29" s="1"/>
  <c r="Q71" i="29"/>
  <c r="T70" i="29"/>
  <c r="V70" i="29" s="1"/>
  <c r="Q70" i="29"/>
  <c r="T69" i="29"/>
  <c r="V69" i="29" s="1"/>
  <c r="Q69" i="29"/>
  <c r="T68" i="29"/>
  <c r="V68" i="29" s="1"/>
  <c r="Q68" i="29"/>
  <c r="T67" i="29"/>
  <c r="V67" i="29" s="1"/>
  <c r="Q67" i="29"/>
  <c r="V66" i="29"/>
  <c r="T66" i="29"/>
  <c r="Q66" i="29"/>
  <c r="V65" i="29"/>
  <c r="T65" i="29"/>
  <c r="Q65" i="29"/>
  <c r="T64" i="29"/>
  <c r="V64" i="29" s="1"/>
  <c r="Q64" i="29"/>
  <c r="T63" i="29"/>
  <c r="V63" i="29" s="1"/>
  <c r="Q63" i="29"/>
  <c r="T62" i="29"/>
  <c r="V62" i="29" s="1"/>
  <c r="Q62" i="29"/>
  <c r="T61" i="29"/>
  <c r="V61" i="29" s="1"/>
  <c r="Q61" i="29"/>
  <c r="T60" i="29"/>
  <c r="V60" i="29" s="1"/>
  <c r="Q60" i="29"/>
  <c r="T59" i="29"/>
  <c r="V59" i="29" s="1"/>
  <c r="Q59" i="29"/>
  <c r="V58" i="29"/>
  <c r="T58" i="29"/>
  <c r="Q58" i="29"/>
  <c r="V57" i="29"/>
  <c r="T57" i="29"/>
  <c r="Q57" i="29"/>
  <c r="T56" i="29"/>
  <c r="V56" i="29" s="1"/>
  <c r="Q56" i="29"/>
  <c r="T55" i="29"/>
  <c r="V55" i="29" s="1"/>
  <c r="Q55" i="29"/>
  <c r="T54" i="29"/>
  <c r="V54" i="29" s="1"/>
  <c r="Q54" i="29"/>
  <c r="T53" i="29"/>
  <c r="V53" i="29" s="1"/>
  <c r="Q53" i="29"/>
  <c r="T52" i="29"/>
  <c r="V52" i="29" s="1"/>
  <c r="Q52" i="29"/>
  <c r="T51" i="29"/>
  <c r="V51" i="29" s="1"/>
  <c r="Q51" i="29"/>
  <c r="V50" i="29"/>
  <c r="T50" i="29"/>
  <c r="Q50" i="29"/>
  <c r="V49" i="29"/>
  <c r="T49" i="29"/>
  <c r="Q49" i="29"/>
  <c r="T48" i="29"/>
  <c r="V48" i="29" s="1"/>
  <c r="Q48" i="29"/>
  <c r="T47" i="29"/>
  <c r="V47" i="29" s="1"/>
  <c r="Q47" i="29"/>
  <c r="T46" i="29"/>
  <c r="V46" i="29" s="1"/>
  <c r="Q46" i="29"/>
  <c r="T45" i="29"/>
  <c r="V45" i="29" s="1"/>
  <c r="Q45" i="29"/>
  <c r="T44" i="29"/>
  <c r="V44" i="29" s="1"/>
  <c r="Q44" i="29"/>
  <c r="T43" i="29"/>
  <c r="V43" i="29" s="1"/>
  <c r="Q43" i="29"/>
  <c r="V42" i="29"/>
  <c r="T42" i="29"/>
  <c r="Q42" i="29"/>
  <c r="V41" i="29"/>
  <c r="T41" i="29"/>
  <c r="Q41" i="29"/>
  <c r="T40" i="29"/>
  <c r="V40" i="29" s="1"/>
  <c r="Q40" i="29"/>
  <c r="T39" i="29"/>
  <c r="V39" i="29" s="1"/>
  <c r="Q39" i="29"/>
  <c r="T38" i="29"/>
  <c r="V38" i="29" s="1"/>
  <c r="Q38" i="29"/>
  <c r="T37" i="29"/>
  <c r="V37" i="29" s="1"/>
  <c r="Q37" i="29"/>
  <c r="T36" i="29"/>
  <c r="V36" i="29" s="1"/>
  <c r="Q36" i="29"/>
  <c r="T35" i="29"/>
  <c r="V35" i="29" s="1"/>
  <c r="Q35" i="29"/>
  <c r="V34" i="29"/>
  <c r="T34" i="29"/>
  <c r="Q34" i="29"/>
  <c r="V33" i="29"/>
  <c r="T33" i="29"/>
  <c r="Q33" i="29"/>
  <c r="T32" i="29"/>
  <c r="V32" i="29" s="1"/>
  <c r="Q32" i="29"/>
  <c r="T31" i="29"/>
  <c r="V31" i="29" s="1"/>
  <c r="Q31" i="29"/>
  <c r="T30" i="29"/>
  <c r="V30" i="29" s="1"/>
  <c r="Q30" i="29"/>
  <c r="T29" i="29"/>
  <c r="V29" i="29" s="1"/>
  <c r="Q29" i="29"/>
  <c r="T28" i="29"/>
  <c r="V28" i="29" s="1"/>
  <c r="Q28" i="29"/>
  <c r="T27" i="29"/>
  <c r="V27" i="29" s="1"/>
  <c r="Q27" i="29"/>
  <c r="V26" i="29"/>
  <c r="T26" i="29"/>
  <c r="Q26" i="29"/>
  <c r="V25" i="29"/>
  <c r="T25" i="29"/>
  <c r="Q25" i="29"/>
  <c r="T24" i="29"/>
  <c r="V24" i="29" s="1"/>
  <c r="Q24" i="29"/>
  <c r="T23" i="29"/>
  <c r="V23" i="29" s="1"/>
  <c r="Q23" i="29"/>
  <c r="T22" i="29"/>
  <c r="V22" i="29" s="1"/>
  <c r="Q22" i="29"/>
  <c r="T21" i="29"/>
  <c r="V21" i="29" s="1"/>
  <c r="Q21" i="29"/>
  <c r="T20" i="29"/>
  <c r="V20" i="29" s="1"/>
  <c r="Q20" i="29"/>
  <c r="T19" i="29"/>
  <c r="V19" i="29" s="1"/>
  <c r="Q19" i="29"/>
  <c r="V18" i="29"/>
  <c r="T18" i="29"/>
  <c r="Q18" i="29"/>
  <c r="V17" i="29"/>
  <c r="T17" i="29"/>
  <c r="Q17" i="29"/>
  <c r="T16" i="29"/>
  <c r="V16" i="29" s="1"/>
  <c r="Q16" i="29"/>
  <c r="T15" i="29"/>
  <c r="V15" i="29" s="1"/>
  <c r="Q15" i="29"/>
  <c r="T14" i="29"/>
  <c r="V14" i="29" s="1"/>
  <c r="Q14" i="29"/>
  <c r="T13" i="29"/>
  <c r="V13" i="29" s="1"/>
  <c r="Q13" i="29"/>
  <c r="T12" i="29"/>
  <c r="V12" i="29" s="1"/>
  <c r="Q12" i="29"/>
  <c r="T11" i="29"/>
  <c r="V11" i="29" s="1"/>
  <c r="Q11" i="29"/>
  <c r="V10" i="29"/>
  <c r="T10" i="29"/>
  <c r="Q10" i="29"/>
  <c r="V9" i="29"/>
  <c r="T9" i="29"/>
  <c r="Q9" i="29"/>
  <c r="T8" i="29"/>
  <c r="V8" i="29" s="1"/>
  <c r="Q8" i="29"/>
  <c r="T7" i="29"/>
  <c r="V7" i="29" s="1"/>
  <c r="Q7" i="29"/>
  <c r="T6" i="29"/>
  <c r="V6" i="29" s="1"/>
  <c r="Q6" i="29"/>
  <c r="T5" i="29"/>
  <c r="V5" i="29" s="1"/>
  <c r="Q5" i="29"/>
  <c r="T4" i="29"/>
  <c r="V4" i="29" s="1"/>
  <c r="Q4" i="29"/>
  <c r="T3" i="29"/>
  <c r="V3" i="29" s="1"/>
  <c r="Q3" i="29"/>
  <c r="V2" i="29"/>
  <c r="T2" i="29"/>
  <c r="Q2" i="29"/>
  <c r="T64" i="28" l="1"/>
  <c r="V64" i="28" s="1"/>
  <c r="Q64" i="28"/>
  <c r="V63" i="28"/>
  <c r="T63" i="28"/>
  <c r="Q63" i="28"/>
  <c r="T62" i="28"/>
  <c r="V62" i="28" s="1"/>
  <c r="Q62" i="28"/>
  <c r="T61" i="28"/>
  <c r="V61" i="28" s="1"/>
  <c r="Q61" i="28"/>
  <c r="T60" i="28"/>
  <c r="V60" i="28" s="1"/>
  <c r="Q60" i="28"/>
  <c r="V59" i="28"/>
  <c r="T59" i="28"/>
  <c r="Q59" i="28"/>
  <c r="T58" i="28"/>
  <c r="V58" i="28" s="1"/>
  <c r="Q58" i="28"/>
  <c r="T57" i="28"/>
  <c r="V57" i="28" s="1"/>
  <c r="Q57" i="28"/>
  <c r="T56" i="28"/>
  <c r="V56" i="28" s="1"/>
  <c r="Q56" i="28"/>
  <c r="V55" i="28"/>
  <c r="T55" i="28"/>
  <c r="Q55" i="28"/>
  <c r="T54" i="28"/>
  <c r="V54" i="28" s="1"/>
  <c r="Q54" i="28"/>
  <c r="T53" i="28"/>
  <c r="V53" i="28" s="1"/>
  <c r="Q53" i="28"/>
  <c r="T52" i="28"/>
  <c r="V52" i="28" s="1"/>
  <c r="Q52" i="28"/>
  <c r="V51" i="28"/>
  <c r="T51" i="28"/>
  <c r="Q51" i="28"/>
  <c r="T50" i="28"/>
  <c r="V50" i="28" s="1"/>
  <c r="Q50" i="28"/>
  <c r="T49" i="28"/>
  <c r="V49" i="28" s="1"/>
  <c r="Q49" i="28"/>
  <c r="T48" i="28"/>
  <c r="V48" i="28" s="1"/>
  <c r="Q48" i="28"/>
  <c r="V47" i="28"/>
  <c r="T47" i="28"/>
  <c r="Q47" i="28"/>
  <c r="T46" i="28"/>
  <c r="V46" i="28" s="1"/>
  <c r="Q46" i="28"/>
  <c r="T45" i="28"/>
  <c r="V45" i="28" s="1"/>
  <c r="Q45" i="28"/>
  <c r="T44" i="28"/>
  <c r="V44" i="28" s="1"/>
  <c r="Q44" i="28"/>
  <c r="V43" i="28"/>
  <c r="T43" i="28"/>
  <c r="Q43" i="28"/>
  <c r="T42" i="28"/>
  <c r="V42" i="28" s="1"/>
  <c r="Q42" i="28"/>
  <c r="T41" i="28"/>
  <c r="V41" i="28" s="1"/>
  <c r="Q41" i="28"/>
  <c r="T40" i="28"/>
  <c r="V40" i="28" s="1"/>
  <c r="Q40" i="28"/>
  <c r="V39" i="28"/>
  <c r="T39" i="28"/>
  <c r="Q39" i="28"/>
  <c r="T38" i="28"/>
  <c r="V38" i="28" s="1"/>
  <c r="Q38" i="28"/>
  <c r="T37" i="28"/>
  <c r="V37" i="28" s="1"/>
  <c r="Q37" i="28"/>
  <c r="T36" i="28"/>
  <c r="V36" i="28" s="1"/>
  <c r="Q36" i="28"/>
  <c r="V35" i="28"/>
  <c r="T35" i="28"/>
  <c r="Q35" i="28"/>
  <c r="T34" i="28"/>
  <c r="V34" i="28" s="1"/>
  <c r="Q34" i="28"/>
  <c r="T33" i="28"/>
  <c r="V33" i="28" s="1"/>
  <c r="Q33" i="28"/>
  <c r="T32" i="28"/>
  <c r="V32" i="28" s="1"/>
  <c r="Q32" i="28"/>
  <c r="V31" i="28"/>
  <c r="T31" i="28"/>
  <c r="Q31" i="28"/>
  <c r="T30" i="28"/>
  <c r="V30" i="28" s="1"/>
  <c r="Q30" i="28"/>
  <c r="T29" i="28"/>
  <c r="V29" i="28" s="1"/>
  <c r="Q29" i="28"/>
  <c r="T28" i="28"/>
  <c r="V28" i="28" s="1"/>
  <c r="Q28" i="28"/>
  <c r="V27" i="28"/>
  <c r="T27" i="28"/>
  <c r="Q27" i="28"/>
  <c r="T26" i="28"/>
  <c r="V26" i="28" s="1"/>
  <c r="Q26" i="28"/>
  <c r="T25" i="28"/>
  <c r="V25" i="28" s="1"/>
  <c r="Q25" i="28"/>
  <c r="T24" i="28"/>
  <c r="V24" i="28" s="1"/>
  <c r="Q24" i="28"/>
  <c r="V23" i="28"/>
  <c r="T23" i="28"/>
  <c r="Q23" i="28"/>
  <c r="T22" i="28"/>
  <c r="V22" i="28" s="1"/>
  <c r="Q22" i="28"/>
  <c r="T21" i="28"/>
  <c r="V21" i="28" s="1"/>
  <c r="Q21" i="28"/>
  <c r="T20" i="28"/>
  <c r="V20" i="28" s="1"/>
  <c r="Q20" i="28"/>
  <c r="V19" i="28"/>
  <c r="T19" i="28"/>
  <c r="Q19" i="28"/>
  <c r="T18" i="28"/>
  <c r="V18" i="28" s="1"/>
  <c r="Q18" i="28"/>
  <c r="T17" i="28"/>
  <c r="V17" i="28" s="1"/>
  <c r="Q17" i="28"/>
  <c r="T16" i="28"/>
  <c r="V16" i="28" s="1"/>
  <c r="Q16" i="28"/>
  <c r="V15" i="28"/>
  <c r="T15" i="28"/>
  <c r="Q15" i="28"/>
  <c r="T14" i="28"/>
  <c r="V14" i="28" s="1"/>
  <c r="Q14" i="28"/>
  <c r="T13" i="28"/>
  <c r="V13" i="28" s="1"/>
  <c r="Q13" i="28"/>
  <c r="T12" i="28"/>
  <c r="V12" i="28" s="1"/>
  <c r="Q12" i="28"/>
  <c r="V11" i="28"/>
  <c r="T11" i="28"/>
  <c r="Q11" i="28"/>
  <c r="T10" i="28"/>
  <c r="V10" i="28" s="1"/>
  <c r="Q10" i="28"/>
  <c r="T9" i="28"/>
  <c r="V9" i="28" s="1"/>
  <c r="Q9" i="28"/>
  <c r="T8" i="28"/>
  <c r="V8" i="28" s="1"/>
  <c r="Q8" i="28"/>
  <c r="V7" i="28"/>
  <c r="T7" i="28"/>
  <c r="Q7" i="28"/>
  <c r="T6" i="28"/>
  <c r="V6" i="28" s="1"/>
  <c r="Q6" i="28"/>
  <c r="T5" i="28"/>
  <c r="V5" i="28" s="1"/>
  <c r="Q5" i="28"/>
  <c r="T4" i="28"/>
  <c r="V4" i="28" s="1"/>
  <c r="Q4" i="28"/>
  <c r="V3" i="28"/>
  <c r="T3" i="28"/>
  <c r="Q3" i="28"/>
  <c r="T2" i="28"/>
  <c r="V2" i="28" s="1"/>
  <c r="Q2" i="28"/>
  <c r="T55" i="27"/>
  <c r="V55" i="27" s="1"/>
  <c r="Q55" i="27"/>
  <c r="T54" i="27"/>
  <c r="V54" i="27" s="1"/>
  <c r="Q54" i="27"/>
  <c r="T53" i="27"/>
  <c r="V53" i="27" s="1"/>
  <c r="Q53" i="27"/>
  <c r="T52" i="27"/>
  <c r="V52" i="27" s="1"/>
  <c r="Q52" i="27"/>
  <c r="T51" i="27"/>
  <c r="V51" i="27" s="1"/>
  <c r="Q51" i="27"/>
  <c r="V50" i="27"/>
  <c r="T50" i="27"/>
  <c r="Q50" i="27"/>
  <c r="V49" i="27"/>
  <c r="T49" i="27"/>
  <c r="Q49" i="27"/>
  <c r="T48" i="27"/>
  <c r="V48" i="27" s="1"/>
  <c r="Q48" i="27"/>
  <c r="T47" i="27"/>
  <c r="V47" i="27" s="1"/>
  <c r="Q47" i="27"/>
  <c r="T46" i="27"/>
  <c r="V46" i="27" s="1"/>
  <c r="Q46" i="27"/>
  <c r="T45" i="27"/>
  <c r="V45" i="27" s="1"/>
  <c r="Q45" i="27"/>
  <c r="T44" i="27"/>
  <c r="V44" i="27" s="1"/>
  <c r="Q44" i="27"/>
  <c r="T43" i="27"/>
  <c r="V43" i="27" s="1"/>
  <c r="Q43" i="27"/>
  <c r="V42" i="27"/>
  <c r="T42" i="27"/>
  <c r="Q42" i="27"/>
  <c r="V41" i="27"/>
  <c r="T41" i="27"/>
  <c r="Q41" i="27"/>
  <c r="T40" i="27"/>
  <c r="V40" i="27" s="1"/>
  <c r="Q40" i="27"/>
  <c r="T39" i="27"/>
  <c r="V39" i="27" s="1"/>
  <c r="Q39" i="27"/>
  <c r="T38" i="27"/>
  <c r="V38" i="27" s="1"/>
  <c r="Q38" i="27"/>
  <c r="T37" i="27"/>
  <c r="V37" i="27" s="1"/>
  <c r="Q37" i="27"/>
  <c r="T36" i="27"/>
  <c r="V36" i="27" s="1"/>
  <c r="Q36" i="27"/>
  <c r="T35" i="27"/>
  <c r="V35" i="27" s="1"/>
  <c r="Q35" i="27"/>
  <c r="V34" i="27"/>
  <c r="T34" i="27"/>
  <c r="Q34" i="27"/>
  <c r="V33" i="27"/>
  <c r="T33" i="27"/>
  <c r="Q33" i="27"/>
  <c r="T32" i="27"/>
  <c r="V32" i="27" s="1"/>
  <c r="Q32" i="27"/>
  <c r="T31" i="27"/>
  <c r="V31" i="27" s="1"/>
  <c r="Q31" i="27"/>
  <c r="T30" i="27"/>
  <c r="V30" i="27" s="1"/>
  <c r="Q30" i="27"/>
  <c r="T29" i="27"/>
  <c r="V29" i="27" s="1"/>
  <c r="Q29" i="27"/>
  <c r="T28" i="27"/>
  <c r="V28" i="27" s="1"/>
  <c r="Q28" i="27"/>
  <c r="T27" i="27"/>
  <c r="V27" i="27" s="1"/>
  <c r="Q27" i="27"/>
  <c r="V26" i="27"/>
  <c r="T26" i="27"/>
  <c r="Q26" i="27"/>
  <c r="V25" i="27"/>
  <c r="T25" i="27"/>
  <c r="Q25" i="27"/>
  <c r="T24" i="27"/>
  <c r="V24" i="27" s="1"/>
  <c r="Q24" i="27"/>
  <c r="T23" i="27"/>
  <c r="V23" i="27" s="1"/>
  <c r="Q23" i="27"/>
  <c r="T22" i="27"/>
  <c r="V22" i="27" s="1"/>
  <c r="Q22" i="27"/>
  <c r="T21" i="27"/>
  <c r="V21" i="27" s="1"/>
  <c r="Q21" i="27"/>
  <c r="T20" i="27"/>
  <c r="V20" i="27" s="1"/>
  <c r="Q20" i="27"/>
  <c r="T19" i="27"/>
  <c r="V19" i="27" s="1"/>
  <c r="Q19" i="27"/>
  <c r="V18" i="27"/>
  <c r="T18" i="27"/>
  <c r="Q18" i="27"/>
  <c r="V17" i="27"/>
  <c r="T17" i="27"/>
  <c r="Q17" i="27"/>
  <c r="T16" i="27"/>
  <c r="V16" i="27" s="1"/>
  <c r="Q16" i="27"/>
  <c r="T15" i="27"/>
  <c r="V15" i="27" s="1"/>
  <c r="Q15" i="27"/>
  <c r="T14" i="27"/>
  <c r="V14" i="27" s="1"/>
  <c r="Q14" i="27"/>
  <c r="T13" i="27"/>
  <c r="V13" i="27" s="1"/>
  <c r="Q13" i="27"/>
  <c r="T12" i="27"/>
  <c r="V12" i="27" s="1"/>
  <c r="Q12" i="27"/>
  <c r="T11" i="27"/>
  <c r="V11" i="27" s="1"/>
  <c r="Q11" i="27"/>
  <c r="V10" i="27"/>
  <c r="T10" i="27"/>
  <c r="Q10" i="27"/>
  <c r="V9" i="27"/>
  <c r="T9" i="27"/>
  <c r="Q9" i="27"/>
  <c r="T8" i="27"/>
  <c r="V8" i="27" s="1"/>
  <c r="Q8" i="27"/>
  <c r="T7" i="27"/>
  <c r="V7" i="27" s="1"/>
  <c r="Q7" i="27"/>
  <c r="T6" i="27"/>
  <c r="V6" i="27" s="1"/>
  <c r="Q6" i="27"/>
  <c r="T5" i="27"/>
  <c r="V5" i="27" s="1"/>
  <c r="Q5" i="27"/>
  <c r="T4" i="27"/>
  <c r="V4" i="27" s="1"/>
  <c r="Q4" i="27"/>
  <c r="T3" i="27"/>
  <c r="V3" i="27" s="1"/>
  <c r="Q3" i="27"/>
  <c r="V2" i="27"/>
  <c r="T2" i="27"/>
  <c r="Q2" i="27"/>
  <c r="T127" i="26" l="1"/>
  <c r="V127" i="26" s="1"/>
  <c r="Q127" i="26"/>
  <c r="T126" i="26"/>
  <c r="V126" i="26" s="1"/>
  <c r="Q126" i="26"/>
  <c r="T125" i="26"/>
  <c r="V125" i="26" s="1"/>
  <c r="Q125" i="26"/>
  <c r="V124" i="26"/>
  <c r="T124" i="26"/>
  <c r="Q124" i="26"/>
  <c r="T123" i="26"/>
  <c r="V123" i="26" s="1"/>
  <c r="Q123" i="26"/>
  <c r="V122" i="26"/>
  <c r="T122" i="26"/>
  <c r="Q122" i="26"/>
  <c r="T121" i="26"/>
  <c r="V121" i="26" s="1"/>
  <c r="Q121" i="26"/>
  <c r="V120" i="26"/>
  <c r="T120" i="26"/>
  <c r="Q120" i="26"/>
  <c r="T119" i="26"/>
  <c r="V119" i="26" s="1"/>
  <c r="Q119" i="26"/>
  <c r="T118" i="26"/>
  <c r="V118" i="26" s="1"/>
  <c r="Q118" i="26"/>
  <c r="T117" i="26"/>
  <c r="V117" i="26" s="1"/>
  <c r="Q117" i="26"/>
  <c r="V116" i="26"/>
  <c r="T116" i="26"/>
  <c r="Q116" i="26"/>
  <c r="T115" i="26"/>
  <c r="V115" i="26" s="1"/>
  <c r="Q115" i="26"/>
  <c r="V114" i="26"/>
  <c r="T114" i="26"/>
  <c r="Q114" i="26"/>
  <c r="T113" i="26"/>
  <c r="V113" i="26" s="1"/>
  <c r="Q113" i="26"/>
  <c r="V112" i="26"/>
  <c r="T112" i="26"/>
  <c r="Q112" i="26"/>
  <c r="T111" i="26"/>
  <c r="V111" i="26" s="1"/>
  <c r="Q111" i="26"/>
  <c r="T110" i="26"/>
  <c r="V110" i="26" s="1"/>
  <c r="Q110" i="26"/>
  <c r="T109" i="26"/>
  <c r="V109" i="26" s="1"/>
  <c r="Q109" i="26"/>
  <c r="V108" i="26"/>
  <c r="T108" i="26"/>
  <c r="Q108" i="26"/>
  <c r="T107" i="26"/>
  <c r="V107" i="26" s="1"/>
  <c r="Q107" i="26"/>
  <c r="V106" i="26"/>
  <c r="T106" i="26"/>
  <c r="Q106" i="26"/>
  <c r="T105" i="26"/>
  <c r="V105" i="26" s="1"/>
  <c r="Q105" i="26"/>
  <c r="V104" i="26"/>
  <c r="T104" i="26"/>
  <c r="Q104" i="26"/>
  <c r="T103" i="26"/>
  <c r="V103" i="26" s="1"/>
  <c r="Q103" i="26"/>
  <c r="T102" i="26"/>
  <c r="V102" i="26" s="1"/>
  <c r="Q102" i="26"/>
  <c r="T101" i="26"/>
  <c r="V101" i="26" s="1"/>
  <c r="Q101" i="26"/>
  <c r="V100" i="26"/>
  <c r="T100" i="26"/>
  <c r="Q100" i="26"/>
  <c r="T99" i="26"/>
  <c r="V99" i="26" s="1"/>
  <c r="Q99" i="26"/>
  <c r="V98" i="26"/>
  <c r="T98" i="26"/>
  <c r="Q98" i="26"/>
  <c r="T97" i="26"/>
  <c r="V97" i="26" s="1"/>
  <c r="Q97" i="26"/>
  <c r="V96" i="26"/>
  <c r="T96" i="26"/>
  <c r="Q96" i="26"/>
  <c r="T95" i="26"/>
  <c r="V95" i="26" s="1"/>
  <c r="Q95" i="26"/>
  <c r="T94" i="26"/>
  <c r="V94" i="26" s="1"/>
  <c r="Q94" i="26"/>
  <c r="T93" i="26"/>
  <c r="V93" i="26" s="1"/>
  <c r="Q93" i="26"/>
  <c r="V92" i="26"/>
  <c r="T92" i="26"/>
  <c r="Q92" i="26"/>
  <c r="T91" i="26"/>
  <c r="V91" i="26" s="1"/>
  <c r="Q91" i="26"/>
  <c r="V90" i="26"/>
  <c r="T90" i="26"/>
  <c r="Q90" i="26"/>
  <c r="T89" i="26"/>
  <c r="V89" i="26" s="1"/>
  <c r="Q89" i="26"/>
  <c r="V88" i="26"/>
  <c r="T88" i="26"/>
  <c r="Q88" i="26"/>
  <c r="T87" i="26"/>
  <c r="V87" i="26" s="1"/>
  <c r="Q87" i="26"/>
  <c r="T86" i="26"/>
  <c r="V86" i="26" s="1"/>
  <c r="Q86" i="26"/>
  <c r="T85" i="26"/>
  <c r="V85" i="26" s="1"/>
  <c r="Q85" i="26"/>
  <c r="V84" i="26"/>
  <c r="T84" i="26"/>
  <c r="Q84" i="26"/>
  <c r="T83" i="26"/>
  <c r="V83" i="26" s="1"/>
  <c r="Q83" i="26"/>
  <c r="V82" i="26"/>
  <c r="T82" i="26"/>
  <c r="Q82" i="26"/>
  <c r="T81" i="26"/>
  <c r="V81" i="26" s="1"/>
  <c r="Q81" i="26"/>
  <c r="V80" i="26"/>
  <c r="T80" i="26"/>
  <c r="Q80" i="26"/>
  <c r="T79" i="26"/>
  <c r="V79" i="26" s="1"/>
  <c r="Q79" i="26"/>
  <c r="T78" i="26"/>
  <c r="V78" i="26" s="1"/>
  <c r="Q78" i="26"/>
  <c r="T77" i="26"/>
  <c r="V77" i="26" s="1"/>
  <c r="Q77" i="26"/>
  <c r="V76" i="26"/>
  <c r="T76" i="26"/>
  <c r="Q76" i="26"/>
  <c r="T75" i="26"/>
  <c r="V75" i="26" s="1"/>
  <c r="Q75" i="26"/>
  <c r="V74" i="26"/>
  <c r="T74" i="26"/>
  <c r="Q74" i="26"/>
  <c r="T73" i="26"/>
  <c r="V73" i="26" s="1"/>
  <c r="Q73" i="26"/>
  <c r="V72" i="26"/>
  <c r="T72" i="26"/>
  <c r="Q72" i="26"/>
  <c r="T71" i="26"/>
  <c r="V71" i="26" s="1"/>
  <c r="Q71" i="26"/>
  <c r="T70" i="26"/>
  <c r="V70" i="26" s="1"/>
  <c r="Q70" i="26"/>
  <c r="T69" i="26"/>
  <c r="V69" i="26" s="1"/>
  <c r="Q69" i="26"/>
  <c r="V68" i="26"/>
  <c r="T68" i="26"/>
  <c r="Q68" i="26"/>
  <c r="T67" i="26"/>
  <c r="V67" i="26" s="1"/>
  <c r="Q67" i="26"/>
  <c r="V66" i="26"/>
  <c r="T66" i="26"/>
  <c r="Q66" i="26"/>
  <c r="T65" i="26"/>
  <c r="V65" i="26" s="1"/>
  <c r="Q65" i="26"/>
  <c r="V64" i="26"/>
  <c r="T64" i="26"/>
  <c r="Q64" i="26"/>
  <c r="T63" i="26"/>
  <c r="V63" i="26" s="1"/>
  <c r="Q63" i="26"/>
  <c r="T62" i="26"/>
  <c r="V62" i="26" s="1"/>
  <c r="Q62" i="26"/>
  <c r="T61" i="26"/>
  <c r="V61" i="26" s="1"/>
  <c r="Q61" i="26"/>
  <c r="V60" i="26"/>
  <c r="T60" i="26"/>
  <c r="Q60" i="26"/>
  <c r="T59" i="26"/>
  <c r="V59" i="26" s="1"/>
  <c r="Q59" i="26"/>
  <c r="V58" i="26"/>
  <c r="T58" i="26"/>
  <c r="Q58" i="26"/>
  <c r="T57" i="26"/>
  <c r="V57" i="26" s="1"/>
  <c r="Q57" i="26"/>
  <c r="V56" i="26"/>
  <c r="T56" i="26"/>
  <c r="Q56" i="26"/>
  <c r="T55" i="26"/>
  <c r="V55" i="26" s="1"/>
  <c r="Q55" i="26"/>
  <c r="T54" i="26"/>
  <c r="V54" i="26" s="1"/>
  <c r="Q54" i="26"/>
  <c r="T53" i="26"/>
  <c r="V53" i="26" s="1"/>
  <c r="Q53" i="26"/>
  <c r="V52" i="26"/>
  <c r="T52" i="26"/>
  <c r="Q52" i="26"/>
  <c r="T51" i="26"/>
  <c r="V51" i="26" s="1"/>
  <c r="Q51" i="26"/>
  <c r="V50" i="26"/>
  <c r="T50" i="26"/>
  <c r="Q50" i="26"/>
  <c r="T49" i="26"/>
  <c r="V49" i="26" s="1"/>
  <c r="Q49" i="26"/>
  <c r="V48" i="26"/>
  <c r="T48" i="26"/>
  <c r="Q48" i="26"/>
  <c r="T47" i="26"/>
  <c r="V47" i="26" s="1"/>
  <c r="Q47" i="26"/>
  <c r="T46" i="26"/>
  <c r="V46" i="26" s="1"/>
  <c r="Q46" i="26"/>
  <c r="T45" i="26"/>
  <c r="V45" i="26" s="1"/>
  <c r="Q45" i="26"/>
  <c r="V44" i="26"/>
  <c r="T44" i="26"/>
  <c r="Q44" i="26"/>
  <c r="T43" i="26"/>
  <c r="V43" i="26" s="1"/>
  <c r="Q43" i="26"/>
  <c r="V42" i="26"/>
  <c r="T42" i="26"/>
  <c r="Q42" i="26"/>
  <c r="T41" i="26"/>
  <c r="V41" i="26" s="1"/>
  <c r="Q41" i="26"/>
  <c r="V40" i="26"/>
  <c r="T40" i="26"/>
  <c r="Q40" i="26"/>
  <c r="T39" i="26"/>
  <c r="V39" i="26" s="1"/>
  <c r="Q39" i="26"/>
  <c r="T38" i="26"/>
  <c r="V38" i="26" s="1"/>
  <c r="Q38" i="26"/>
  <c r="T37" i="26"/>
  <c r="V37" i="26" s="1"/>
  <c r="Q37" i="26"/>
  <c r="V36" i="26"/>
  <c r="T36" i="26"/>
  <c r="Q36" i="26"/>
  <c r="T35" i="26"/>
  <c r="V35" i="26" s="1"/>
  <c r="Q35" i="26"/>
  <c r="V34" i="26"/>
  <c r="T34" i="26"/>
  <c r="Q34" i="26"/>
  <c r="T33" i="26"/>
  <c r="V33" i="26" s="1"/>
  <c r="Q33" i="26"/>
  <c r="V32" i="26"/>
  <c r="T32" i="26"/>
  <c r="Q32" i="26"/>
  <c r="T31" i="26"/>
  <c r="V31" i="26" s="1"/>
  <c r="Q31" i="26"/>
  <c r="T30" i="26"/>
  <c r="V30" i="26" s="1"/>
  <c r="Q30" i="26"/>
  <c r="T29" i="26"/>
  <c r="V29" i="26" s="1"/>
  <c r="Q29" i="26"/>
  <c r="V28" i="26"/>
  <c r="T28" i="26"/>
  <c r="Q28" i="26"/>
  <c r="T27" i="26"/>
  <c r="V27" i="26" s="1"/>
  <c r="Q27" i="26"/>
  <c r="V26" i="26"/>
  <c r="T26" i="26"/>
  <c r="Q26" i="26"/>
  <c r="T25" i="26"/>
  <c r="V25" i="26" s="1"/>
  <c r="Q25" i="26"/>
  <c r="V24" i="26"/>
  <c r="T24" i="26"/>
  <c r="Q24" i="26"/>
  <c r="T23" i="26"/>
  <c r="V23" i="26" s="1"/>
  <c r="Q23" i="26"/>
  <c r="T22" i="26"/>
  <c r="V22" i="26" s="1"/>
  <c r="Q22" i="26"/>
  <c r="T21" i="26"/>
  <c r="V21" i="26" s="1"/>
  <c r="Q21" i="26"/>
  <c r="V20" i="26"/>
  <c r="T20" i="26"/>
  <c r="Q20" i="26"/>
  <c r="T19" i="26"/>
  <c r="V19" i="26" s="1"/>
  <c r="Q19" i="26"/>
  <c r="V18" i="26"/>
  <c r="T18" i="26"/>
  <c r="Q18" i="26"/>
  <c r="T17" i="26"/>
  <c r="V17" i="26" s="1"/>
  <c r="Q17" i="26"/>
  <c r="V16" i="26"/>
  <c r="T16" i="26"/>
  <c r="Q16" i="26"/>
  <c r="T15" i="26"/>
  <c r="V15" i="26" s="1"/>
  <c r="Q15" i="26"/>
  <c r="T14" i="26"/>
  <c r="V14" i="26" s="1"/>
  <c r="Q14" i="26"/>
  <c r="T13" i="26"/>
  <c r="V13" i="26" s="1"/>
  <c r="Q13" i="26"/>
  <c r="V12" i="26"/>
  <c r="T12" i="26"/>
  <c r="Q12" i="26"/>
  <c r="T11" i="26"/>
  <c r="V11" i="26" s="1"/>
  <c r="Q11" i="26"/>
  <c r="V10" i="26"/>
  <c r="T10" i="26"/>
  <c r="Q10" i="26"/>
  <c r="T9" i="26"/>
  <c r="V9" i="26" s="1"/>
  <c r="Q9" i="26"/>
  <c r="V8" i="26"/>
  <c r="T8" i="26"/>
  <c r="Q8" i="26"/>
  <c r="T7" i="26"/>
  <c r="V7" i="26" s="1"/>
  <c r="Q7" i="26"/>
  <c r="T6" i="26"/>
  <c r="V6" i="26" s="1"/>
  <c r="Q6" i="26"/>
  <c r="T5" i="26"/>
  <c r="V5" i="26" s="1"/>
  <c r="Q5" i="26"/>
  <c r="V4" i="26"/>
  <c r="T4" i="26"/>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<sst xmlns="http://schemas.openxmlformats.org/spreadsheetml/2006/main" count="10327" uniqueCount="524">
  <si>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</si>
  <si>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</si>
  <si>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</si>
  <si>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</si>
  <si>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</si>
  <si>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</si>
  <si>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</si>
  <si>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</si>
  <si>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</si>
  <si>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</si>
  <si>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</si>
  <si>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</si>
  <si>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</si>
  <si>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</si>
  <si>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</si>
  <si>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</si>
  <si>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</si>
  <si>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</si>
  <si>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</si>
  <si>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</si>
  <si>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</si>
  <si>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</si>
  <si>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</si>
  <si>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</si>
  <si>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</si>
  <si>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</si>
  <si>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</si>
  <si>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</si>
  <si>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</si>
  <si>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</si>
  <si>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</si>
  <si>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</si>
  <si>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</si>
  <si>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</si>
  <si>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</si>
  <si>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</si>
  <si>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</si>
  <si>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</si>
  <si>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</si>
  <si>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</si>
  <si>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</si>
  <si>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</si>
  <si>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</si>
  <si>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</si>
  <si>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</si>
  <si>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</si>
  <si>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</si>
  <si>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</si>
  <si>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</si>
  <si>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</si>
  <si>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</si>
  <si>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</si>
  <si>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</si>
  <si>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</si>
  <si>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</si>
  <si>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</si>
  <si>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</si>
  <si>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</si>
  <si>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</si>
  <si>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</si>
  <si>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</si>
  <si>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</si>
  <si>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</si>
  <si>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</si>
  <si>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</si>
  <si>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</si>
  <si>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</si>
  <si>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</si>
  <si>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</si>
  <si>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</si>
  <si>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</si>
  <si>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</si>
  <si>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</si>
  <si>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</si>
  <si>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</si>
  <si>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</si>
  <si>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</si>
  <si>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</si>
  <si>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</si>
  <si>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</si>
  <si>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</si>
  <si>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</si>
  <si>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</si>
  <si>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</si>
  <si>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</si>
  <si>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</si>
  <si>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</si>
  <si>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</si>
  <si>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</si>
  <si>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</si>
  <si>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</si>
  <si>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</si>
  <si>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</si>
  <si>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</si>
  <si>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</si>
  <si>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</si>
  <si>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</si>
  <si>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</si>
  <si>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</si>
  <si>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</si>
  <si>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</si>
  <si>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</si>
  <si>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</si>
  <si>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</si>
  <si>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</si>
  <si>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</si>
  <si>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</si>
  <si>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</si>
  <si>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</si>
  <si>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</si>
  <si>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</si>
  <si>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</si>
  <si>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</si>
  <si>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</si>
  <si>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</si>
  <si>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</si>
  <si>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</si>
  <si>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</si>
  <si>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</si>
  <si>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</si>
  <si>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</si>
  <si>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</si>
  <si>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</si>
  <si>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</si>
  <si>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</si>
  <si>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</si>
  <si>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</si>
  <si>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</si>
  <si>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</si>
  <si>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</si>
  <si>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</si>
  <si>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</si>
  <si>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</si>
  <si>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</si>
  <si>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</si>
  <si>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</si>
  <si>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</si>
  <si>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</si>
  <si>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</si>
  <si>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</si>
  <si>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</si>
  <si>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</si>
  <si>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</si>
  <si>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</si>
  <si>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</si>
  <si>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</si>
  <si>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</si>
  <si>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</si>
  <si>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</si>
  <si>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</si>
  <si>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</si>
  <si>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</si>
  <si>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</si>
  <si>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</si>
  <si>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</si>
  <si>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</si>
  <si>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</si>
  <si>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</si>
  <si>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</si>
  <si>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</si>
  <si>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</si>
  <si>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</si>
  <si>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</si>
  <si>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</si>
  <si>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</si>
  <si>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GA</t>
  </si>
  <si>
    <t>HW</t>
    <phoneticPr fontId="4"/>
  </si>
  <si>
    <t>CK</t>
    <phoneticPr fontId="4"/>
  </si>
  <si>
    <t>OB</t>
    <phoneticPr fontId="4"/>
  </si>
  <si>
    <t>HE</t>
    <phoneticPr fontId="4"/>
  </si>
  <si>
    <t>佐賀</t>
    <rPh sb="0" eb="2">
      <t>サガ</t>
    </rPh>
    <phoneticPr fontId="3"/>
  </si>
  <si>
    <t>西友</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</si>
  <si>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</si>
  <si>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</si>
  <si>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</si>
  <si>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</si>
  <si>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</si>
  <si>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</si>
  <si>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</si>
  <si>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</si>
  <si>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</si>
  <si>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</si>
  <si>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</si>
  <si>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</si>
  <si>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</si>
  <si>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</si>
  <si>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</si>
  <si>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</si>
  <si>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</si>
  <si>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</si>
  <si>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</si>
  <si>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</si>
  <si>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</si>
  <si>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</si>
  <si>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</si>
  <si>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</si>
  <si>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</si>
  <si>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</si>
  <si>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</si>
  <si>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</si>
  <si>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</si>
  <si>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</si>
  <si>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</si>
  <si>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</si>
  <si>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</si>
  <si>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</si>
  <si>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</si>
  <si>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</si>
  <si>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</si>
  <si>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</si>
  <si>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</si>
  <si>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</si>
  <si>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</si>
  <si>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</si>
  <si>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</si>
  <si>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</si>
  <si>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</si>
  <si>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</si>
  <si>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</si>
  <si>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</si>
  <si>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</si>
  <si>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</si>
  <si>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</si>
  <si>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</si>
  <si>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</si>
  <si>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</si>
  <si>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</si>
  <si>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</si>
  <si>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</si>
  <si>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</si>
  <si>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</si>
  <si>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</si>
  <si>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</si>
  <si>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</si>
  <si>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</si>
  <si>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</si>
  <si>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</si>
  <si>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</si>
  <si>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</si>
  <si>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</si>
  <si>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</si>
  <si>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キラキラ</t>
  </si>
  <si>
    <t>グリーンアイ</t>
  </si>
  <si>
    <t>ＪＡ大阪</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</si>
  <si>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</si>
  <si>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</si>
  <si>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</si>
  <si>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</si>
  <si>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</si>
  <si>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</si>
  <si>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</si>
  <si>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</si>
  <si>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</si>
  <si>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</si>
  <si>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</si>
  <si>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</si>
  <si>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</si>
  <si>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</si>
  <si>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</si>
  <si>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</si>
  <si>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</si>
  <si>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</si>
  <si>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</si>
  <si>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</si>
  <si>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</si>
  <si>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</si>
  <si>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</si>
  <si>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</si>
  <si>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</si>
  <si>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</si>
  <si>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</si>
  <si>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</si>
  <si>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</si>
  <si>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</si>
  <si>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</si>
  <si>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</si>
  <si>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</si>
  <si>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</si>
  <si>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</si>
  <si>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</si>
  <si>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</si>
  <si>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</si>
  <si>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</si>
  <si>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</si>
  <si>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</si>
  <si>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</si>
  <si>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</si>
  <si>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</si>
  <si>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</si>
  <si>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</si>
  <si>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</si>
  <si>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</si>
  <si>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</si>
  <si>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</si>
  <si>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</si>
  <si>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</si>
  <si>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</si>
  <si>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</si>
  <si>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</si>
  <si>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</si>
  <si>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</si>
  <si>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</si>
  <si>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</si>
  <si>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</si>
  <si>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</si>
  <si>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</si>
  <si>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</si>
  <si>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</si>
  <si>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</si>
  <si>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</si>
  <si>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</si>
  <si>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</si>
  <si>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</si>
  <si>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</si>
  <si>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</si>
  <si>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</si>
  <si>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</si>
  <si>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</si>
  <si>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</si>
  <si>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</si>
  <si>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</si>
  <si>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</si>
  <si>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</si>
  <si>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</si>
  <si>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</si>
  <si>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</si>
  <si>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</si>
  <si>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</si>
  <si>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</si>
  <si>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</si>
  <si>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</si>
  <si>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</si>
  <si>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</si>
  <si>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</si>
  <si>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</si>
  <si>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</si>
  <si>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</si>
  <si>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</si>
  <si>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</si>
  <si>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</si>
  <si>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</si>
  <si>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</si>
  <si>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</si>
  <si>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</si>
  <si>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11.10.2018</t>
  </si>
  <si>
    <t>11.10.2018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</si>
  <si>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</si>
  <si>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</si>
  <si>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</si>
  <si>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</si>
  <si>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</si>
  <si>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</si>
  <si>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</si>
  <si>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</si>
  <si>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</si>
  <si>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</si>
  <si>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</si>
  <si>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08.10.2018</t>
    <phoneticPr fontId="3"/>
  </si>
  <si>
    <t>ﾆｭｰｼﾞｰﾗﾝﾄﾞ</t>
    <phoneticPr fontId="4"/>
  </si>
  <si>
    <t>08.10.2018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</si>
  <si>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</si>
  <si>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</si>
  <si>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</si>
  <si>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</si>
  <si>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</si>
  <si>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</si>
  <si>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</si>
  <si>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</si>
  <si>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</si>
  <si>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</si>
  <si>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</si>
  <si>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</si>
  <si>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12.10.2018</t>
    <phoneticPr fontId="3"/>
  </si>
  <si>
    <t>アオキスーパー</t>
  </si>
  <si>
    <t>JP</t>
    <phoneticPr fontId="3"/>
  </si>
  <si>
    <t>12.10.2018</t>
    <phoneticPr fontId="3"/>
  </si>
  <si>
    <t>カネトク</t>
    <phoneticPr fontId="4"/>
  </si>
  <si>
    <t>JP</t>
    <phoneticPr fontId="3"/>
  </si>
  <si>
    <t>12.10.2018</t>
    <phoneticPr fontId="3"/>
  </si>
  <si>
    <t>マックスバリュ</t>
    <phoneticPr fontId="4"/>
  </si>
  <si>
    <t>長久手店</t>
    <phoneticPr fontId="4"/>
  </si>
  <si>
    <t>ピアゴ</t>
  </si>
  <si>
    <t>長久手南店</t>
  </si>
  <si>
    <t>アピタ</t>
    <phoneticPr fontId="4"/>
  </si>
  <si>
    <t>JP</t>
    <phoneticPr fontId="3"/>
  </si>
  <si>
    <t>12.10.2018</t>
    <phoneticPr fontId="3"/>
  </si>
  <si>
    <t>アオキスーパー</t>
    <phoneticPr fontId="4"/>
  </si>
  <si>
    <t>長久手店</t>
    <phoneticPr fontId="4"/>
  </si>
  <si>
    <t>JP</t>
    <phoneticPr fontId="3"/>
  </si>
  <si>
    <t>12.10.2018</t>
    <phoneticPr fontId="3"/>
  </si>
  <si>
    <t>JP</t>
    <phoneticPr fontId="3"/>
  </si>
  <si>
    <t>12.10.2018</t>
    <phoneticPr fontId="3"/>
  </si>
  <si>
    <t>JP</t>
    <phoneticPr fontId="3"/>
  </si>
  <si>
    <t>12.10.2018</t>
    <phoneticPr fontId="3"/>
  </si>
  <si>
    <t>カネスエ</t>
  </si>
  <si>
    <t>長久手店</t>
  </si>
  <si>
    <t>ラフランス</t>
    <phoneticPr fontId="4"/>
  </si>
  <si>
    <t>キラキラ</t>
    <phoneticPr fontId="4"/>
  </si>
  <si>
    <t>グリーンアイ</t>
    <phoneticPr fontId="4"/>
  </si>
  <si>
    <t>カネトク</t>
  </si>
  <si>
    <t>アピタ</t>
  </si>
  <si>
    <t>13.10.2018</t>
  </si>
  <si>
    <t>津久野店</t>
  </si>
  <si>
    <t>県名</t>
    <phoneticPr fontId="3"/>
  </si>
  <si>
    <t>シーズン</t>
    <phoneticPr fontId="4"/>
  </si>
  <si>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</si>
  <si>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</si>
  <si>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</si>
  <si>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</si>
  <si>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</si>
  <si>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</si>
  <si>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</si>
  <si>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</si>
  <si>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</si>
  <si>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</si>
  <si>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</si>
  <si>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</si>
  <si>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</si>
  <si>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11.10.2018</t>
    <phoneticPr fontId="3"/>
  </si>
  <si>
    <t>JPY</t>
    <phoneticPr fontId="3"/>
  </si>
  <si>
    <t>ﾆｭｰｼﾞｰﾗﾝﾄﾞ</t>
    <phoneticPr fontId="4"/>
  </si>
  <si>
    <t>JP</t>
    <phoneticPr fontId="3"/>
  </si>
  <si>
    <t>D'lish</t>
    <phoneticPr fontId="4"/>
  </si>
  <si>
    <t>中国</t>
    <phoneticPr fontId="4"/>
  </si>
  <si>
    <t>HW</t>
    <phoneticPr fontId="4"/>
  </si>
  <si>
    <t>CK</t>
    <phoneticPr fontId="4"/>
  </si>
  <si>
    <t>Del Monte</t>
    <phoneticPr fontId="3"/>
  </si>
  <si>
    <t>GK</t>
    <phoneticPr fontId="4"/>
  </si>
  <si>
    <t>OB</t>
    <phoneticPr fontId="4"/>
  </si>
  <si>
    <t>HE</t>
    <phoneticPr fontId="4"/>
  </si>
  <si>
    <t>JPY</t>
    <phoneticPr fontId="3"/>
  </si>
  <si>
    <t>JPY</t>
    <phoneticPr fontId="3"/>
  </si>
  <si>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</si>
  <si>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</si>
  <si>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</si>
  <si>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</si>
  <si>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</si>
  <si>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</si>
  <si>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</si>
  <si>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</si>
  <si>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</si>
  <si>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</si>
  <si>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</si>
  <si>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</si>
  <si>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</si>
  <si>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</si>
  <si>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</si>
  <si>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10.10.2018</t>
    <phoneticPr fontId="3"/>
  </si>
  <si>
    <t>マルショク</t>
    <phoneticPr fontId="3"/>
  </si>
  <si>
    <t>JPY</t>
    <phoneticPr fontId="4"/>
  </si>
  <si>
    <t>一般栽培</t>
    <phoneticPr fontId="4"/>
  </si>
  <si>
    <t>ﾆｭｰｼﾞｰﾗﾝﾄﾞ</t>
    <phoneticPr fontId="4"/>
  </si>
  <si>
    <t>JP</t>
    <phoneticPr fontId="3"/>
  </si>
  <si>
    <t>10.10.2018</t>
    <phoneticPr fontId="3"/>
  </si>
  <si>
    <t>マルショク</t>
    <phoneticPr fontId="3"/>
  </si>
  <si>
    <t>バナナ</t>
    <phoneticPr fontId="3"/>
  </si>
  <si>
    <t>JP</t>
    <phoneticPr fontId="3"/>
  </si>
  <si>
    <t>10.10.2018</t>
    <phoneticPr fontId="3"/>
  </si>
  <si>
    <t>マルショク</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</si>
  <si>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</si>
  <si>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</si>
  <si>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</si>
  <si>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</si>
  <si>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</si>
  <si>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</si>
  <si>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</si>
  <si>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</si>
  <si>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</si>
  <si>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10.10.2018</t>
    <phoneticPr fontId="3"/>
  </si>
  <si>
    <t>マルショク</t>
    <phoneticPr fontId="3"/>
  </si>
  <si>
    <t>HW</t>
    <phoneticPr fontId="3"/>
  </si>
  <si>
    <t>HE</t>
    <phoneticPr fontId="4"/>
  </si>
  <si>
    <t>JP</t>
    <phoneticPr fontId="3"/>
  </si>
  <si>
    <t>10.10.2018</t>
    <phoneticPr fontId="3"/>
  </si>
  <si>
    <t>GA</t>
    <phoneticPr fontId="4"/>
  </si>
  <si>
    <t>10.10.2018</t>
    <phoneticPr fontId="3"/>
  </si>
  <si>
    <t>オレンジ</t>
    <phoneticPr fontId="3"/>
  </si>
  <si>
    <t>JP</t>
    <phoneticPr fontId="3"/>
  </si>
  <si>
    <t>10.10.2018</t>
    <phoneticPr fontId="3"/>
  </si>
  <si>
    <t>10.10.2018</t>
    <phoneticPr fontId="3"/>
  </si>
  <si>
    <t>10.10.2018</t>
    <phoneticPr fontId="3"/>
  </si>
  <si>
    <t>10.10.2018</t>
    <phoneticPr fontId="3"/>
  </si>
  <si>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</si>
  <si>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</si>
  <si>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</si>
  <si>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</si>
  <si>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</si>
  <si>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</si>
  <si>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</si>
  <si>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</si>
  <si>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</si>
  <si>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</si>
  <si>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</si>
  <si>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</si>
  <si>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</si>
  <si>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</si>
  <si>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</si>
  <si>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</si>
  <si>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</si>
  <si>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</si>
  <si>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</si>
  <si>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11.10.2018</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</si>
  <si>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</si>
  <si>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</si>
  <si>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</si>
  <si>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</si>
  <si>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</si>
  <si>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</si>
  <si>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</si>
  <si>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</si>
  <si>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</si>
  <si>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</si>
  <si>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</si>
  <si>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</si>
  <si>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</si>
  <si>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</si>
  <si>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</si>
  <si>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</si>
  <si>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</si>
  <si>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</si>
  <si>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</si>
  <si>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</si>
  <si>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</si>
  <si>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10.10.2018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</si>
</sst>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8">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14" fontId="0" fillId="4" borderId="45"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337</v>
      </c>
      <c r="B2" s="15" t="s">
        <v>339</v>
      </c>
      <c r="C2" s="15">
        <v>2018</v>
      </c>
      <c r="D2" s="50" t="s">
        <v>345</v>
      </c>
      <c r="E2" s="15" t="s">
        <v>141</v>
      </c>
      <c r="F2" s="15" t="s">
        <v>149</v>
      </c>
      <c r="G2" s="15" t="s">
        <v>36</v>
      </c>
      <c r="H2" s="15" t="s">
        <v>155</v>
      </c>
      <c r="I2" s="15" t="s">
        <v>153</v>
      </c>
      <c r="J2" s="15" t="s">
        <v>38</v>
      </c>
      <c r="K2" s="7" t="s">
        <v>154</v>
      </c>
      <c r="L2" s="7">
        <v>1</v>
      </c>
      <c r="N2" s="47">
        <v>1</v>
      </c>
      <c r="O2" s="15">
        <v>0.65</v>
      </c>
      <c r="P2" s="15">
        <v>0.5</v>
      </c>
      <c r="Q2" s="51">
        <f t="shared" ref="Q2:Q65" si="0">IF(OR(O2="",P2=""),"",AVERAGE(O2,P2))</f>
        <v>0.57499999999999996</v>
      </c>
      <c r="R2" s="15">
        <v>15</v>
      </c>
      <c r="S2" s="15">
        <v>124</v>
      </c>
      <c r="T2" s="38">
        <f t="shared" ref="T2:T59" si="1">IF(H2="","",IF(OR(H2="GREEN",H2="GK"),IF(S2&gt;=$AX$2,VLOOKUP(S2,$AX$2:$AY$12,2,1),""),IF(S2&gt;=$AZ$2,VLOOKUP(S2,$AZ$2:$BA$12,2,1),"")))</f>
        <v>27</v>
      </c>
      <c r="U2" s="15">
        <v>105</v>
      </c>
      <c r="V2" s="38">
        <f t="shared" ref="V2:V65" si="2">IF(OR(N2="",U2="",T2=""),"",U2/N2*T2)</f>
        <v>2835</v>
      </c>
      <c r="W2" s="15">
        <v>1</v>
      </c>
      <c r="X2" s="15" t="s">
        <v>39</v>
      </c>
      <c r="Y2" s="15" t="s">
        <v>50</v>
      </c>
      <c r="Z2" s="15" t="s">
        <v>84</v>
      </c>
      <c r="AA2" s="15" t="s">
        <v>90</v>
      </c>
      <c r="AB2" s="39" t="s">
        <v>341</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337</v>
      </c>
      <c r="B3" s="15" t="s">
        <v>338</v>
      </c>
      <c r="C3" s="15">
        <v>2018</v>
      </c>
      <c r="D3" s="37" t="s">
        <v>344</v>
      </c>
      <c r="E3" s="15" t="s">
        <v>141</v>
      </c>
      <c r="F3" s="7" t="s">
        <v>149</v>
      </c>
      <c r="G3" s="7" t="s">
        <v>36</v>
      </c>
      <c r="H3" s="15" t="s">
        <v>155</v>
      </c>
      <c r="I3" s="7" t="s">
        <v>153</v>
      </c>
      <c r="J3" s="15" t="s">
        <v>38</v>
      </c>
      <c r="K3" s="7" t="s">
        <v>154</v>
      </c>
      <c r="L3" s="7">
        <v>2</v>
      </c>
      <c r="N3" s="7">
        <v>1</v>
      </c>
      <c r="O3" s="34">
        <v>0.5</v>
      </c>
      <c r="P3" s="7">
        <v>0.5</v>
      </c>
      <c r="Q3" s="52">
        <f t="shared" si="0"/>
        <v>0.5</v>
      </c>
      <c r="R3" s="7">
        <v>14.4</v>
      </c>
      <c r="S3" s="7">
        <v>125</v>
      </c>
      <c r="T3" s="16">
        <f t="shared" si="1"/>
        <v>27</v>
      </c>
      <c r="U3" s="15">
        <v>105</v>
      </c>
      <c r="V3" s="16">
        <f t="shared" si="2"/>
        <v>2835</v>
      </c>
      <c r="W3" s="15">
        <v>1</v>
      </c>
      <c r="X3" s="15" t="s">
        <v>39</v>
      </c>
      <c r="Y3" s="215" t="s">
        <v>50</v>
      </c>
      <c r="Z3" s="215" t="s">
        <v>84</v>
      </c>
      <c r="AA3" s="215" t="s">
        <v>90</v>
      </c>
      <c r="AB3" s="39" t="s">
        <v>340</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337</v>
      </c>
      <c r="B4" s="15" t="s">
        <v>338</v>
      </c>
      <c r="C4" s="15">
        <v>2018</v>
      </c>
      <c r="D4" s="37" t="s">
        <v>344</v>
      </c>
      <c r="E4" s="15" t="s">
        <v>141</v>
      </c>
      <c r="F4" s="7" t="s">
        <v>149</v>
      </c>
      <c r="G4" s="7" t="s">
        <v>36</v>
      </c>
      <c r="H4" s="15" t="s">
        <v>155</v>
      </c>
      <c r="I4" s="207" t="s">
        <v>153</v>
      </c>
      <c r="J4" s="15" t="s">
        <v>38</v>
      </c>
      <c r="K4" s="7" t="s">
        <v>154</v>
      </c>
      <c r="L4" s="7">
        <v>3</v>
      </c>
      <c r="N4" s="7">
        <v>1</v>
      </c>
      <c r="O4" s="7">
        <v>0.5</v>
      </c>
      <c r="P4" s="7">
        <v>0.5</v>
      </c>
      <c r="Q4" s="52">
        <f t="shared" si="0"/>
        <v>0.5</v>
      </c>
      <c r="R4" s="7">
        <v>16</v>
      </c>
      <c r="S4" s="7">
        <v>123</v>
      </c>
      <c r="T4" s="16">
        <f t="shared" si="1"/>
        <v>27</v>
      </c>
      <c r="U4" s="15">
        <v>105</v>
      </c>
      <c r="V4" s="16">
        <f t="shared" si="2"/>
        <v>2835</v>
      </c>
      <c r="W4" s="15">
        <v>1</v>
      </c>
      <c r="X4" s="215" t="s">
        <v>39</v>
      </c>
      <c r="Y4" s="215" t="s">
        <v>50</v>
      </c>
      <c r="Z4" s="215" t="s">
        <v>84</v>
      </c>
      <c r="AA4" s="215" t="s">
        <v>90</v>
      </c>
      <c r="AB4" s="39" t="s">
        <v>340</v>
      </c>
      <c r="AE4" s="22" t="s">
        <v>34</v>
      </c>
      <c r="AG4" s="49" t="s">
        <v>342</v>
      </c>
      <c r="AH4" s="49" t="s">
        <v>343</v>
      </c>
      <c r="AJ4" s="27" t="s">
        <v>48</v>
      </c>
      <c r="AL4" s="27" t="s">
        <v>129</v>
      </c>
      <c r="AN4" s="28" t="s">
        <v>49</v>
      </c>
      <c r="AP4" s="23" t="s">
        <v>93</v>
      </c>
      <c r="AR4" s="41" t="s">
        <v>121</v>
      </c>
      <c r="AT4" s="28"/>
      <c r="AV4" s="23" t="s">
        <v>50</v>
      </c>
      <c r="AX4" s="24">
        <v>75</v>
      </c>
      <c r="AY4" s="25">
        <v>42</v>
      </c>
      <c r="AZ4" s="25">
        <v>76</v>
      </c>
      <c r="BA4" s="26">
        <v>39</v>
      </c>
    </row>
    <row r="5" spans="1:53" x14ac:dyDescent="0.15">
      <c r="A5" s="15" t="s">
        <v>337</v>
      </c>
      <c r="B5" s="15" t="s">
        <v>338</v>
      </c>
      <c r="C5" s="15">
        <v>2018</v>
      </c>
      <c r="D5" s="37" t="s">
        <v>344</v>
      </c>
      <c r="E5" s="15" t="s">
        <v>141</v>
      </c>
      <c r="F5" s="15" t="s">
        <v>149</v>
      </c>
      <c r="G5" s="7" t="s">
        <v>36</v>
      </c>
      <c r="H5" s="15" t="s">
        <v>165</v>
      </c>
      <c r="I5" s="207" t="s">
        <v>153</v>
      </c>
      <c r="J5" s="15" t="s">
        <v>38</v>
      </c>
      <c r="K5" s="7" t="s">
        <v>154</v>
      </c>
      <c r="L5" s="7">
        <v>1</v>
      </c>
      <c r="N5" s="7">
        <v>1</v>
      </c>
      <c r="O5" s="7">
        <v>0.7</v>
      </c>
      <c r="P5" s="7">
        <v>0.75</v>
      </c>
      <c r="Q5" s="52">
        <f t="shared" si="0"/>
        <v>0.72499999999999998</v>
      </c>
      <c r="R5" s="7">
        <v>15.8</v>
      </c>
      <c r="S5" s="7">
        <v>127</v>
      </c>
      <c r="T5" s="16">
        <f t="shared" si="1"/>
        <v>27</v>
      </c>
      <c r="U5" s="15">
        <v>145</v>
      </c>
      <c r="V5" s="16">
        <f t="shared" si="2"/>
        <v>3915</v>
      </c>
      <c r="W5" s="15">
        <v>4</v>
      </c>
      <c r="X5" s="215" t="s">
        <v>39</v>
      </c>
      <c r="Y5" s="215" t="s">
        <v>50</v>
      </c>
      <c r="Z5" s="215" t="s">
        <v>84</v>
      </c>
      <c r="AA5" s="215" t="s">
        <v>90</v>
      </c>
      <c r="AB5" s="39" t="s">
        <v>340</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337</v>
      </c>
      <c r="B6" s="15" t="s">
        <v>338</v>
      </c>
      <c r="C6" s="15">
        <v>2018</v>
      </c>
      <c r="D6" s="37" t="s">
        <v>344</v>
      </c>
      <c r="E6" s="15" t="s">
        <v>141</v>
      </c>
      <c r="F6" s="7" t="s">
        <v>149</v>
      </c>
      <c r="G6" s="7" t="s">
        <v>36</v>
      </c>
      <c r="H6" s="215" t="s">
        <v>165</v>
      </c>
      <c r="I6" s="207" t="s">
        <v>153</v>
      </c>
      <c r="J6" s="215" t="s">
        <v>38</v>
      </c>
      <c r="K6" s="207" t="s">
        <v>154</v>
      </c>
      <c r="L6" s="7">
        <v>2</v>
      </c>
      <c r="N6" s="7">
        <v>1</v>
      </c>
      <c r="O6" s="7">
        <v>0.85</v>
      </c>
      <c r="P6" s="7">
        <v>0.7</v>
      </c>
      <c r="Q6" s="52">
        <f t="shared" si="0"/>
        <v>0.77499999999999991</v>
      </c>
      <c r="R6" s="7">
        <v>15.4</v>
      </c>
      <c r="S6" s="7">
        <v>129</v>
      </c>
      <c r="T6" s="16">
        <f t="shared" si="1"/>
        <v>25</v>
      </c>
      <c r="U6" s="215">
        <v>145</v>
      </c>
      <c r="V6" s="16">
        <f t="shared" si="2"/>
        <v>3625</v>
      </c>
      <c r="W6" s="15">
        <v>4</v>
      </c>
      <c r="X6" s="215" t="s">
        <v>39</v>
      </c>
      <c r="Y6" s="215" t="s">
        <v>50</v>
      </c>
      <c r="Z6" s="215" t="s">
        <v>84</v>
      </c>
      <c r="AA6" s="215" t="s">
        <v>90</v>
      </c>
      <c r="AB6" s="39" t="s">
        <v>340</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337</v>
      </c>
      <c r="B7" s="15" t="s">
        <v>338</v>
      </c>
      <c r="C7" s="15">
        <v>2018</v>
      </c>
      <c r="D7" s="37" t="s">
        <v>344</v>
      </c>
      <c r="E7" s="15" t="s">
        <v>141</v>
      </c>
      <c r="F7" s="7" t="s">
        <v>149</v>
      </c>
      <c r="G7" s="7" t="s">
        <v>36</v>
      </c>
      <c r="H7" s="215" t="s">
        <v>165</v>
      </c>
      <c r="I7" s="207" t="s">
        <v>153</v>
      </c>
      <c r="J7" s="215" t="s">
        <v>38</v>
      </c>
      <c r="K7" s="207" t="s">
        <v>154</v>
      </c>
      <c r="L7" s="7">
        <v>3</v>
      </c>
      <c r="N7" s="7">
        <v>1</v>
      </c>
      <c r="O7" s="7">
        <v>0.5</v>
      </c>
      <c r="P7" s="7">
        <v>0.55000000000000004</v>
      </c>
      <c r="Q7" s="52">
        <f t="shared" si="0"/>
        <v>0.52500000000000002</v>
      </c>
      <c r="R7" s="34">
        <v>16.7</v>
      </c>
      <c r="S7" s="7">
        <v>128</v>
      </c>
      <c r="T7" s="16">
        <f t="shared" si="1"/>
        <v>27</v>
      </c>
      <c r="U7" s="215">
        <v>145</v>
      </c>
      <c r="V7" s="16">
        <f t="shared" si="2"/>
        <v>3915</v>
      </c>
      <c r="W7" s="15">
        <v>4</v>
      </c>
      <c r="X7" s="215" t="s">
        <v>39</v>
      </c>
      <c r="Y7" s="215" t="s">
        <v>50</v>
      </c>
      <c r="Z7" s="215" t="s">
        <v>84</v>
      </c>
      <c r="AA7" s="215" t="s">
        <v>90</v>
      </c>
      <c r="AB7" s="39" t="s">
        <v>340</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337</v>
      </c>
      <c r="B8" s="15" t="s">
        <v>338</v>
      </c>
      <c r="C8" s="15">
        <v>2018</v>
      </c>
      <c r="D8" s="37" t="s">
        <v>344</v>
      </c>
      <c r="E8" s="15" t="s">
        <v>133</v>
      </c>
      <c r="F8" s="7" t="s">
        <v>150</v>
      </c>
      <c r="G8" s="7" t="s">
        <v>36</v>
      </c>
      <c r="H8" s="15" t="s">
        <v>155</v>
      </c>
      <c r="I8" s="207" t="s">
        <v>153</v>
      </c>
      <c r="J8" s="15" t="s">
        <v>38</v>
      </c>
      <c r="K8" s="7" t="s">
        <v>154</v>
      </c>
      <c r="L8" s="7">
        <v>1</v>
      </c>
      <c r="N8" s="207">
        <v>1</v>
      </c>
      <c r="O8" s="7">
        <v>0.6</v>
      </c>
      <c r="P8" s="7">
        <v>0.55000000000000004</v>
      </c>
      <c r="Q8" s="52">
        <f t="shared" si="0"/>
        <v>0.57499999999999996</v>
      </c>
      <c r="R8" s="34">
        <v>14.2</v>
      </c>
      <c r="S8" s="7">
        <v>140</v>
      </c>
      <c r="T8" s="16">
        <f t="shared" si="1"/>
        <v>22</v>
      </c>
      <c r="U8" s="15">
        <v>105</v>
      </c>
      <c r="V8" s="16">
        <f t="shared" si="2"/>
        <v>2310</v>
      </c>
      <c r="W8" s="15">
        <v>6</v>
      </c>
      <c r="X8" s="15" t="s">
        <v>46</v>
      </c>
      <c r="Y8" s="215" t="s">
        <v>102</v>
      </c>
      <c r="Z8" s="215" t="s">
        <v>50</v>
      </c>
      <c r="AA8" s="215" t="s">
        <v>90</v>
      </c>
      <c r="AB8" s="39" t="s">
        <v>340</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337</v>
      </c>
      <c r="B9" s="15" t="s">
        <v>338</v>
      </c>
      <c r="C9" s="15">
        <v>2018</v>
      </c>
      <c r="D9" s="37" t="s">
        <v>344</v>
      </c>
      <c r="E9" s="15" t="s">
        <v>133</v>
      </c>
      <c r="F9" s="7" t="s">
        <v>150</v>
      </c>
      <c r="G9" s="7" t="s">
        <v>36</v>
      </c>
      <c r="H9" s="215" t="s">
        <v>155</v>
      </c>
      <c r="I9" s="207" t="s">
        <v>153</v>
      </c>
      <c r="J9" s="215" t="s">
        <v>38</v>
      </c>
      <c r="K9" s="207" t="s">
        <v>154</v>
      </c>
      <c r="L9" s="7">
        <v>2</v>
      </c>
      <c r="N9" s="207">
        <v>1</v>
      </c>
      <c r="O9" s="7">
        <v>0.75</v>
      </c>
      <c r="P9" s="7">
        <v>0.85</v>
      </c>
      <c r="Q9" s="52">
        <f t="shared" si="0"/>
        <v>0.8</v>
      </c>
      <c r="R9" s="7">
        <v>12.5</v>
      </c>
      <c r="S9" s="7">
        <v>148</v>
      </c>
      <c r="T9" s="16">
        <f t="shared" si="1"/>
        <v>22</v>
      </c>
      <c r="U9" s="215">
        <v>105</v>
      </c>
      <c r="V9" s="16">
        <f t="shared" si="2"/>
        <v>2310</v>
      </c>
      <c r="W9" s="15">
        <v>6</v>
      </c>
      <c r="X9" s="15" t="s">
        <v>46</v>
      </c>
      <c r="Y9" s="215" t="s">
        <v>102</v>
      </c>
      <c r="Z9" s="215" t="s">
        <v>50</v>
      </c>
      <c r="AA9" s="215" t="s">
        <v>90</v>
      </c>
      <c r="AB9" s="39" t="s">
        <v>340</v>
      </c>
      <c r="AE9" s="22" t="s">
        <v>98</v>
      </c>
      <c r="AG9" s="49" t="s">
        <v>133</v>
      </c>
      <c r="AH9" s="49" t="s">
        <v>150</v>
      </c>
      <c r="AL9" s="34"/>
      <c r="AP9" s="23" t="s">
        <v>95</v>
      </c>
      <c r="AR9" s="30" t="s">
        <v>89</v>
      </c>
      <c r="AV9" s="23" t="s">
        <v>102</v>
      </c>
      <c r="AX9" s="24">
        <v>128</v>
      </c>
      <c r="AY9" s="25">
        <v>27</v>
      </c>
      <c r="AZ9" s="25">
        <v>129</v>
      </c>
      <c r="BA9" s="26">
        <v>25</v>
      </c>
    </row>
    <row r="10" spans="1:53" x14ac:dyDescent="0.15">
      <c r="A10" s="15" t="s">
        <v>337</v>
      </c>
      <c r="B10" s="15" t="s">
        <v>338</v>
      </c>
      <c r="C10" s="15">
        <v>2018</v>
      </c>
      <c r="D10" s="37" t="s">
        <v>344</v>
      </c>
      <c r="E10" s="15" t="s">
        <v>133</v>
      </c>
      <c r="F10" s="7" t="s">
        <v>150</v>
      </c>
      <c r="G10" s="7" t="s">
        <v>36</v>
      </c>
      <c r="H10" s="215" t="s">
        <v>155</v>
      </c>
      <c r="I10" s="207" t="s">
        <v>153</v>
      </c>
      <c r="J10" s="215" t="s">
        <v>38</v>
      </c>
      <c r="K10" s="207" t="s">
        <v>154</v>
      </c>
      <c r="L10" s="7">
        <v>3</v>
      </c>
      <c r="N10" s="207">
        <v>1</v>
      </c>
      <c r="O10" s="7">
        <v>0.7</v>
      </c>
      <c r="P10" s="7">
        <v>0.75</v>
      </c>
      <c r="Q10" s="52">
        <f t="shared" si="0"/>
        <v>0.72499999999999998</v>
      </c>
      <c r="R10" s="7">
        <v>14.9</v>
      </c>
      <c r="S10" s="7">
        <v>136</v>
      </c>
      <c r="T10" s="16">
        <f t="shared" si="1"/>
        <v>25</v>
      </c>
      <c r="U10" s="215">
        <v>105</v>
      </c>
      <c r="V10" s="16">
        <f t="shared" si="2"/>
        <v>2625</v>
      </c>
      <c r="W10" s="15">
        <v>6</v>
      </c>
      <c r="X10" s="15" t="s">
        <v>46</v>
      </c>
      <c r="Y10" s="215" t="s">
        <v>102</v>
      </c>
      <c r="Z10" s="215" t="s">
        <v>50</v>
      </c>
      <c r="AA10" s="215" t="s">
        <v>90</v>
      </c>
      <c r="AB10" s="39" t="s">
        <v>340</v>
      </c>
      <c r="AE10" s="22" t="s">
        <v>103</v>
      </c>
      <c r="AG10" s="49" t="s">
        <v>142</v>
      </c>
      <c r="AH10" s="49" t="s">
        <v>151</v>
      </c>
      <c r="AP10" s="23" t="s">
        <v>100</v>
      </c>
      <c r="AR10" s="30" t="s">
        <v>123</v>
      </c>
      <c r="AV10" s="23" t="s">
        <v>106</v>
      </c>
      <c r="AX10" s="24">
        <v>138</v>
      </c>
      <c r="AY10" s="25">
        <v>25</v>
      </c>
      <c r="AZ10" s="25">
        <v>138</v>
      </c>
      <c r="BA10" s="26">
        <v>22</v>
      </c>
    </row>
    <row r="11" spans="1:53" x14ac:dyDescent="0.15">
      <c r="A11" s="15" t="s">
        <v>337</v>
      </c>
      <c r="B11" s="15" t="s">
        <v>338</v>
      </c>
      <c r="C11" s="15">
        <v>2018</v>
      </c>
      <c r="D11" s="37" t="s">
        <v>344</v>
      </c>
      <c r="E11" s="15" t="s">
        <v>133</v>
      </c>
      <c r="F11" s="7" t="s">
        <v>150</v>
      </c>
      <c r="G11" s="7" t="s">
        <v>36</v>
      </c>
      <c r="H11" s="215" t="s">
        <v>165</v>
      </c>
      <c r="I11" s="7" t="s">
        <v>153</v>
      </c>
      <c r="J11" s="15" t="s">
        <v>38</v>
      </c>
      <c r="K11" s="7" t="s">
        <v>154</v>
      </c>
      <c r="L11" s="7">
        <v>1</v>
      </c>
      <c r="N11" s="207">
        <v>1</v>
      </c>
      <c r="O11" s="7">
        <v>0.5</v>
      </c>
      <c r="P11" s="7">
        <v>0.55000000000000004</v>
      </c>
      <c r="Q11" s="52">
        <f t="shared" si="0"/>
        <v>0.52500000000000002</v>
      </c>
      <c r="R11" s="7">
        <v>14.6</v>
      </c>
      <c r="S11" s="7">
        <v>131</v>
      </c>
      <c r="T11" s="16">
        <f t="shared" si="1"/>
        <v>25</v>
      </c>
      <c r="U11" s="7">
        <v>105</v>
      </c>
      <c r="V11" s="16">
        <f t="shared" si="2"/>
        <v>2625</v>
      </c>
      <c r="W11" s="7">
        <v>4</v>
      </c>
      <c r="X11" s="15" t="s">
        <v>46</v>
      </c>
      <c r="Y11" s="215" t="s">
        <v>102</v>
      </c>
      <c r="Z11" s="215" t="s">
        <v>50</v>
      </c>
      <c r="AA11" s="215" t="s">
        <v>90</v>
      </c>
      <c r="AB11" s="39" t="s">
        <v>340</v>
      </c>
      <c r="AE11" s="22" t="s">
        <v>65</v>
      </c>
      <c r="AG11" s="49" t="s">
        <v>143</v>
      </c>
      <c r="AH11" s="49" t="s">
        <v>152</v>
      </c>
      <c r="AP11" s="23" t="s">
        <v>104</v>
      </c>
      <c r="AR11" s="30" t="s">
        <v>87</v>
      </c>
      <c r="AV11" s="23" t="s">
        <v>69</v>
      </c>
      <c r="AX11" s="24">
        <v>151</v>
      </c>
      <c r="AY11" s="25">
        <v>22</v>
      </c>
      <c r="AZ11" s="25">
        <v>152</v>
      </c>
      <c r="BA11" s="26">
        <v>18</v>
      </c>
    </row>
    <row r="12" spans="1:53" x14ac:dyDescent="0.15">
      <c r="A12" s="15" t="s">
        <v>337</v>
      </c>
      <c r="B12" s="15" t="s">
        <v>338</v>
      </c>
      <c r="C12" s="15">
        <v>2018</v>
      </c>
      <c r="D12" s="37" t="s">
        <v>344</v>
      </c>
      <c r="E12" s="15" t="s">
        <v>133</v>
      </c>
      <c r="F12" s="7" t="s">
        <v>150</v>
      </c>
      <c r="G12" s="7" t="s">
        <v>36</v>
      </c>
      <c r="H12" s="215" t="s">
        <v>165</v>
      </c>
      <c r="I12" s="207" t="s">
        <v>153</v>
      </c>
      <c r="J12" s="215" t="s">
        <v>38</v>
      </c>
      <c r="K12" s="207" t="s">
        <v>154</v>
      </c>
      <c r="L12" s="7">
        <v>2</v>
      </c>
      <c r="N12" s="7">
        <v>1</v>
      </c>
      <c r="O12" s="7">
        <v>0.65</v>
      </c>
      <c r="P12" s="7">
        <v>0.55000000000000004</v>
      </c>
      <c r="Q12" s="52">
        <f t="shared" si="0"/>
        <v>0.60000000000000009</v>
      </c>
      <c r="R12" s="34">
        <v>18.8</v>
      </c>
      <c r="S12" s="7">
        <v>131</v>
      </c>
      <c r="T12" s="16">
        <f t="shared" si="1"/>
        <v>25</v>
      </c>
      <c r="U12" s="207">
        <v>105</v>
      </c>
      <c r="V12" s="16">
        <f t="shared" si="2"/>
        <v>2625</v>
      </c>
      <c r="W12" s="7">
        <v>4</v>
      </c>
      <c r="X12" s="15" t="s">
        <v>46</v>
      </c>
      <c r="Y12" s="215" t="s">
        <v>102</v>
      </c>
      <c r="Z12" s="215" t="s">
        <v>50</v>
      </c>
      <c r="AA12" s="215" t="s">
        <v>90</v>
      </c>
      <c r="AB12" s="39" t="s">
        <v>340</v>
      </c>
      <c r="AE12" s="22" t="s">
        <v>70</v>
      </c>
      <c r="AG12" s="40"/>
      <c r="AH12" s="40"/>
      <c r="AP12" s="23" t="s">
        <v>67</v>
      </c>
      <c r="AR12" s="30" t="s">
        <v>124</v>
      </c>
      <c r="AV12" s="23" t="s">
        <v>72</v>
      </c>
      <c r="AX12" s="31">
        <v>180</v>
      </c>
      <c r="AY12" s="32">
        <v>18</v>
      </c>
      <c r="AZ12" s="32">
        <v>181</v>
      </c>
      <c r="BA12" s="33">
        <v>16</v>
      </c>
    </row>
    <row r="13" spans="1:53" x14ac:dyDescent="0.15">
      <c r="A13" s="15" t="s">
        <v>337</v>
      </c>
      <c r="B13" s="15" t="s">
        <v>338</v>
      </c>
      <c r="C13" s="15">
        <v>2018</v>
      </c>
      <c r="D13" s="37" t="s">
        <v>344</v>
      </c>
      <c r="E13" s="15" t="s">
        <v>133</v>
      </c>
      <c r="F13" s="7" t="s">
        <v>150</v>
      </c>
      <c r="G13" s="7" t="s">
        <v>36</v>
      </c>
      <c r="H13" s="215" t="s">
        <v>165</v>
      </c>
      <c r="I13" s="207" t="s">
        <v>153</v>
      </c>
      <c r="J13" s="215" t="s">
        <v>38</v>
      </c>
      <c r="K13" s="207" t="s">
        <v>154</v>
      </c>
      <c r="L13" s="7">
        <v>3</v>
      </c>
      <c r="N13" s="7">
        <v>1</v>
      </c>
      <c r="O13" s="7">
        <v>0.5</v>
      </c>
      <c r="P13" s="7">
        <v>0.55000000000000004</v>
      </c>
      <c r="Q13" s="52">
        <f t="shared" si="0"/>
        <v>0.52500000000000002</v>
      </c>
      <c r="R13" s="7">
        <v>16.2</v>
      </c>
      <c r="S13" s="7">
        <v>136</v>
      </c>
      <c r="T13" s="16">
        <f t="shared" si="1"/>
        <v>25</v>
      </c>
      <c r="U13" s="207">
        <v>105</v>
      </c>
      <c r="V13" s="16">
        <f t="shared" si="2"/>
        <v>2625</v>
      </c>
      <c r="W13" s="7">
        <v>4</v>
      </c>
      <c r="X13" s="15" t="s">
        <v>46</v>
      </c>
      <c r="Y13" s="215" t="s">
        <v>102</v>
      </c>
      <c r="Z13" s="215" t="s">
        <v>50</v>
      </c>
      <c r="AA13" s="215" t="s">
        <v>90</v>
      </c>
      <c r="AB13" s="39" t="s">
        <v>340</v>
      </c>
      <c r="AE13" s="22" t="s">
        <v>73</v>
      </c>
      <c r="AG13" s="23"/>
      <c r="AH13" s="23"/>
      <c r="AP13" s="23" t="s">
        <v>71</v>
      </c>
      <c r="AR13" s="30" t="s">
        <v>103</v>
      </c>
      <c r="AV13" s="23" t="s">
        <v>75</v>
      </c>
    </row>
    <row r="14" spans="1:53" x14ac:dyDescent="0.15">
      <c r="A14" s="15" t="s">
        <v>337</v>
      </c>
      <c r="B14" s="15" t="s">
        <v>338</v>
      </c>
      <c r="C14" s="15">
        <v>2018</v>
      </c>
      <c r="D14" s="37" t="s">
        <v>344</v>
      </c>
      <c r="E14" s="15" t="s">
        <v>142</v>
      </c>
      <c r="F14" s="7" t="s">
        <v>151</v>
      </c>
      <c r="G14" s="7" t="s">
        <v>36</v>
      </c>
      <c r="H14" s="15" t="s">
        <v>155</v>
      </c>
      <c r="I14" s="7" t="s">
        <v>153</v>
      </c>
      <c r="J14" s="15" t="s">
        <v>38</v>
      </c>
      <c r="K14" s="7" t="s">
        <v>154</v>
      </c>
      <c r="L14" s="7">
        <v>1</v>
      </c>
      <c r="N14" s="7">
        <v>1</v>
      </c>
      <c r="O14" s="7">
        <v>0.7</v>
      </c>
      <c r="P14" s="7">
        <v>0.85</v>
      </c>
      <c r="Q14" s="52">
        <f t="shared" si="0"/>
        <v>0.77499999999999991</v>
      </c>
      <c r="R14" s="7">
        <v>15.4</v>
      </c>
      <c r="S14" s="7">
        <v>167</v>
      </c>
      <c r="T14" s="16">
        <f t="shared" si="1"/>
        <v>18</v>
      </c>
      <c r="U14" s="7">
        <v>149</v>
      </c>
      <c r="V14" s="16">
        <f t="shared" si="2"/>
        <v>2682</v>
      </c>
      <c r="W14" s="7">
        <v>3</v>
      </c>
      <c r="X14" s="15" t="s">
        <v>46</v>
      </c>
      <c r="Y14" s="215" t="s">
        <v>50</v>
      </c>
      <c r="Z14" s="215" t="s">
        <v>78</v>
      </c>
      <c r="AA14" s="215" t="s">
        <v>90</v>
      </c>
      <c r="AB14" s="39" t="s">
        <v>340</v>
      </c>
      <c r="AE14" s="22" t="s">
        <v>76</v>
      </c>
      <c r="AG14" s="23"/>
      <c r="AH14" s="23"/>
      <c r="AP14" s="23" t="s">
        <v>74</v>
      </c>
      <c r="AR14" s="30" t="s">
        <v>125</v>
      </c>
      <c r="AV14" s="23" t="s">
        <v>78</v>
      </c>
    </row>
    <row r="15" spans="1:53" x14ac:dyDescent="0.15">
      <c r="A15" s="15" t="s">
        <v>337</v>
      </c>
      <c r="B15" s="15" t="s">
        <v>338</v>
      </c>
      <c r="C15" s="15">
        <v>2018</v>
      </c>
      <c r="D15" s="37" t="s">
        <v>344</v>
      </c>
      <c r="E15" s="15" t="s">
        <v>142</v>
      </c>
      <c r="F15" s="7" t="s">
        <v>151</v>
      </c>
      <c r="G15" s="7" t="s">
        <v>36</v>
      </c>
      <c r="H15" s="215" t="s">
        <v>155</v>
      </c>
      <c r="I15" s="207" t="s">
        <v>153</v>
      </c>
      <c r="J15" s="215" t="s">
        <v>38</v>
      </c>
      <c r="K15" s="207" t="s">
        <v>154</v>
      </c>
      <c r="L15" s="7">
        <v>2</v>
      </c>
      <c r="N15" s="7">
        <v>1</v>
      </c>
      <c r="O15" s="7">
        <v>0.6</v>
      </c>
      <c r="P15" s="7">
        <v>0.75</v>
      </c>
      <c r="Q15" s="52">
        <f t="shared" si="0"/>
        <v>0.67500000000000004</v>
      </c>
      <c r="R15" s="7">
        <v>15</v>
      </c>
      <c r="S15" s="7">
        <v>167</v>
      </c>
      <c r="T15" s="16">
        <f t="shared" si="1"/>
        <v>18</v>
      </c>
      <c r="U15" s="207">
        <v>149</v>
      </c>
      <c r="V15" s="16">
        <f t="shared" si="2"/>
        <v>2682</v>
      </c>
      <c r="W15" s="7">
        <v>3</v>
      </c>
      <c r="X15" s="215" t="s">
        <v>46</v>
      </c>
      <c r="Y15" s="215" t="s">
        <v>50</v>
      </c>
      <c r="Z15" s="215" t="s">
        <v>78</v>
      </c>
      <c r="AA15" s="215" t="s">
        <v>90</v>
      </c>
      <c r="AB15" s="39" t="s">
        <v>340</v>
      </c>
      <c r="AE15" s="22" t="s">
        <v>79</v>
      </c>
      <c r="AG15" s="23"/>
      <c r="AH15" s="23"/>
      <c r="AP15" s="23" t="s">
        <v>77</v>
      </c>
      <c r="AR15" s="30" t="s">
        <v>94</v>
      </c>
      <c r="AV15" s="23" t="s">
        <v>107</v>
      </c>
    </row>
    <row r="16" spans="1:53" x14ac:dyDescent="0.15">
      <c r="A16" s="15" t="s">
        <v>337</v>
      </c>
      <c r="B16" s="15" t="s">
        <v>338</v>
      </c>
      <c r="C16" s="15">
        <v>2018</v>
      </c>
      <c r="D16" s="37" t="s">
        <v>344</v>
      </c>
      <c r="E16" s="15" t="s">
        <v>142</v>
      </c>
      <c r="F16" s="7" t="s">
        <v>151</v>
      </c>
      <c r="G16" s="7" t="s">
        <v>36</v>
      </c>
      <c r="H16" s="215" t="s">
        <v>155</v>
      </c>
      <c r="I16" s="207" t="s">
        <v>153</v>
      </c>
      <c r="J16" s="215" t="s">
        <v>38</v>
      </c>
      <c r="K16" s="207" t="s">
        <v>154</v>
      </c>
      <c r="L16" s="7">
        <v>3</v>
      </c>
      <c r="N16" s="7">
        <v>1</v>
      </c>
      <c r="O16" s="7">
        <v>0.5</v>
      </c>
      <c r="P16" s="7">
        <v>0.5</v>
      </c>
      <c r="Q16" s="52">
        <f t="shared" si="0"/>
        <v>0.5</v>
      </c>
      <c r="R16" s="7">
        <v>14.8</v>
      </c>
      <c r="S16" s="7">
        <v>158</v>
      </c>
      <c r="T16" s="16">
        <f t="shared" si="1"/>
        <v>18</v>
      </c>
      <c r="U16" s="207">
        <v>149</v>
      </c>
      <c r="V16" s="16">
        <f t="shared" si="2"/>
        <v>2682</v>
      </c>
      <c r="W16" s="7">
        <v>3</v>
      </c>
      <c r="X16" s="215" t="s">
        <v>46</v>
      </c>
      <c r="Y16" s="215" t="s">
        <v>50</v>
      </c>
      <c r="Z16" s="215" t="s">
        <v>78</v>
      </c>
      <c r="AA16" s="215" t="s">
        <v>90</v>
      </c>
      <c r="AB16" s="39" t="s">
        <v>340</v>
      </c>
      <c r="AE16" s="22" t="s">
        <v>82</v>
      </c>
      <c r="AG16" s="28"/>
      <c r="AH16" s="28"/>
      <c r="AP16" s="23" t="s">
        <v>80</v>
      </c>
      <c r="AR16" s="41" t="s">
        <v>63</v>
      </c>
      <c r="AV16" s="23" t="s">
        <v>84</v>
      </c>
    </row>
    <row r="17" spans="1:48" x14ac:dyDescent="0.15">
      <c r="A17" s="15" t="s">
        <v>337</v>
      </c>
      <c r="B17" s="15" t="s">
        <v>338</v>
      </c>
      <c r="C17" s="15">
        <v>2018</v>
      </c>
      <c r="D17" s="37" t="s">
        <v>344</v>
      </c>
      <c r="E17" s="15" t="s">
        <v>142</v>
      </c>
      <c r="F17" s="7" t="s">
        <v>151</v>
      </c>
      <c r="G17" s="7" t="s">
        <v>36</v>
      </c>
      <c r="H17" s="15" t="s">
        <v>165</v>
      </c>
      <c r="I17" s="207" t="s">
        <v>153</v>
      </c>
      <c r="J17" s="215" t="s">
        <v>38</v>
      </c>
      <c r="K17" s="207" t="s">
        <v>154</v>
      </c>
      <c r="L17" s="7">
        <v>1</v>
      </c>
      <c r="N17" s="7">
        <v>1</v>
      </c>
      <c r="O17" s="7">
        <v>0.5</v>
      </c>
      <c r="P17" s="7">
        <v>0.5</v>
      </c>
      <c r="Q17" s="52">
        <f t="shared" si="0"/>
        <v>0.5</v>
      </c>
      <c r="R17" s="7">
        <v>16.899999999999999</v>
      </c>
      <c r="S17" s="7">
        <v>162</v>
      </c>
      <c r="T17" s="16">
        <f t="shared" si="1"/>
        <v>18</v>
      </c>
      <c r="U17" s="7">
        <v>170</v>
      </c>
      <c r="V17" s="16">
        <f t="shared" si="2"/>
        <v>3060</v>
      </c>
      <c r="W17" s="7">
        <v>2</v>
      </c>
      <c r="X17" s="215" t="s">
        <v>46</v>
      </c>
      <c r="Y17" s="215" t="s">
        <v>50</v>
      </c>
      <c r="Z17" s="215" t="s">
        <v>78</v>
      </c>
      <c r="AA17" s="215" t="s">
        <v>90</v>
      </c>
      <c r="AB17" s="39" t="s">
        <v>340</v>
      </c>
      <c r="AE17" s="22" t="s">
        <v>85</v>
      </c>
      <c r="AP17" s="43" t="s">
        <v>110</v>
      </c>
      <c r="AR17" s="41" t="s">
        <v>96</v>
      </c>
      <c r="AV17" s="23" t="s">
        <v>86</v>
      </c>
    </row>
    <row r="18" spans="1:48" x14ac:dyDescent="0.15">
      <c r="A18" s="15" t="s">
        <v>337</v>
      </c>
      <c r="B18" s="15" t="s">
        <v>338</v>
      </c>
      <c r="C18" s="15">
        <v>2018</v>
      </c>
      <c r="D18" s="37" t="s">
        <v>344</v>
      </c>
      <c r="E18" s="15" t="s">
        <v>142</v>
      </c>
      <c r="F18" s="7" t="s">
        <v>151</v>
      </c>
      <c r="G18" s="7" t="s">
        <v>36</v>
      </c>
      <c r="H18" s="215" t="s">
        <v>165</v>
      </c>
      <c r="I18" s="207" t="s">
        <v>153</v>
      </c>
      <c r="J18" s="215" t="s">
        <v>38</v>
      </c>
      <c r="K18" s="207" t="s">
        <v>154</v>
      </c>
      <c r="L18" s="7">
        <v>2</v>
      </c>
      <c r="N18" s="7">
        <v>1</v>
      </c>
      <c r="O18" s="7">
        <v>0.55000000000000004</v>
      </c>
      <c r="P18" s="7">
        <v>0.55000000000000004</v>
      </c>
      <c r="Q18" s="52">
        <f t="shared" si="0"/>
        <v>0.55000000000000004</v>
      </c>
      <c r="R18" s="7">
        <v>17.5</v>
      </c>
      <c r="S18" s="7">
        <v>171</v>
      </c>
      <c r="T18" s="16">
        <f t="shared" si="1"/>
        <v>18</v>
      </c>
      <c r="U18" s="207">
        <v>170</v>
      </c>
      <c r="V18" s="16">
        <f t="shared" si="2"/>
        <v>3060</v>
      </c>
      <c r="W18" s="7">
        <v>2</v>
      </c>
      <c r="X18" s="215" t="s">
        <v>46</v>
      </c>
      <c r="Y18" s="215" t="s">
        <v>50</v>
      </c>
      <c r="Z18" s="215" t="s">
        <v>78</v>
      </c>
      <c r="AA18" s="215" t="s">
        <v>90</v>
      </c>
      <c r="AB18" s="39" t="s">
        <v>340</v>
      </c>
      <c r="AE18" s="22" t="s">
        <v>87</v>
      </c>
      <c r="AP18" s="43" t="s">
        <v>111</v>
      </c>
      <c r="AR18" s="41" t="s">
        <v>101</v>
      </c>
      <c r="AV18" s="23" t="s">
        <v>88</v>
      </c>
    </row>
    <row r="19" spans="1:48" x14ac:dyDescent="0.15">
      <c r="A19" s="15" t="s">
        <v>337</v>
      </c>
      <c r="B19" s="15" t="s">
        <v>338</v>
      </c>
      <c r="C19" s="15">
        <v>2018</v>
      </c>
      <c r="D19" s="37" t="s">
        <v>344</v>
      </c>
      <c r="E19" s="15" t="s">
        <v>142</v>
      </c>
      <c r="F19" s="7" t="s">
        <v>151</v>
      </c>
      <c r="G19" s="7" t="s">
        <v>36</v>
      </c>
      <c r="H19" s="215" t="s">
        <v>165</v>
      </c>
      <c r="I19" s="207" t="s">
        <v>153</v>
      </c>
      <c r="J19" s="215" t="s">
        <v>38</v>
      </c>
      <c r="K19" s="207" t="s">
        <v>154</v>
      </c>
      <c r="L19" s="7">
        <v>3</v>
      </c>
      <c r="N19" s="7">
        <v>1</v>
      </c>
      <c r="O19" s="7">
        <v>0.5</v>
      </c>
      <c r="P19" s="7">
        <v>0.5</v>
      </c>
      <c r="Q19" s="52">
        <f t="shared" si="0"/>
        <v>0.5</v>
      </c>
      <c r="R19" s="7">
        <v>15</v>
      </c>
      <c r="S19" s="7">
        <v>169</v>
      </c>
      <c r="T19" s="16">
        <f t="shared" si="1"/>
        <v>18</v>
      </c>
      <c r="U19" s="207">
        <v>170</v>
      </c>
      <c r="V19" s="16">
        <f t="shared" si="2"/>
        <v>3060</v>
      </c>
      <c r="W19" s="7">
        <v>2</v>
      </c>
      <c r="X19" s="215" t="s">
        <v>46</v>
      </c>
      <c r="Y19" s="215" t="s">
        <v>50</v>
      </c>
      <c r="Z19" s="215" t="s">
        <v>78</v>
      </c>
      <c r="AA19" s="215" t="s">
        <v>90</v>
      </c>
      <c r="AB19" s="39" t="s">
        <v>340</v>
      </c>
      <c r="AE19" s="35" t="s">
        <v>89</v>
      </c>
      <c r="AP19" s="43" t="s">
        <v>112</v>
      </c>
      <c r="AR19" s="30" t="s">
        <v>126</v>
      </c>
      <c r="AV19" s="23" t="s">
        <v>90</v>
      </c>
    </row>
    <row r="20" spans="1:48" x14ac:dyDescent="0.15">
      <c r="A20" s="15" t="s">
        <v>337</v>
      </c>
      <c r="B20" s="15" t="s">
        <v>338</v>
      </c>
      <c r="C20" s="15">
        <v>2018</v>
      </c>
      <c r="D20" s="37" t="s">
        <v>344</v>
      </c>
      <c r="E20" s="15" t="s">
        <v>143</v>
      </c>
      <c r="F20" s="7" t="s">
        <v>152</v>
      </c>
      <c r="G20" s="7" t="s">
        <v>36</v>
      </c>
      <c r="H20" s="15" t="s">
        <v>155</v>
      </c>
      <c r="I20" s="207" t="s">
        <v>153</v>
      </c>
      <c r="J20" s="15" t="s">
        <v>38</v>
      </c>
      <c r="K20" s="7" t="s">
        <v>154</v>
      </c>
      <c r="L20" s="7">
        <v>1</v>
      </c>
      <c r="N20" s="7">
        <v>1</v>
      </c>
      <c r="O20" s="7">
        <v>0.7</v>
      </c>
      <c r="P20" s="34">
        <v>0.7</v>
      </c>
      <c r="Q20" s="52">
        <f t="shared" si="0"/>
        <v>0.7</v>
      </c>
      <c r="R20" s="7">
        <v>13.8</v>
      </c>
      <c r="S20" s="7">
        <v>90</v>
      </c>
      <c r="T20" s="16">
        <f t="shared" si="1"/>
        <v>36</v>
      </c>
      <c r="U20" s="7">
        <v>51</v>
      </c>
      <c r="V20" s="16">
        <f t="shared" si="2"/>
        <v>1836</v>
      </c>
      <c r="W20" s="7">
        <v>3</v>
      </c>
      <c r="X20" s="215" t="s">
        <v>39</v>
      </c>
      <c r="Y20" s="215" t="s">
        <v>50</v>
      </c>
      <c r="Z20" s="215" t="s">
        <v>90</v>
      </c>
      <c r="AA20" s="215" t="s">
        <v>84</v>
      </c>
      <c r="AB20" s="39" t="s">
        <v>340</v>
      </c>
      <c r="AE20" s="22"/>
      <c r="AP20" s="43" t="s">
        <v>113</v>
      </c>
      <c r="AR20" s="41" t="s">
        <v>105</v>
      </c>
      <c r="AV20" s="27" t="s">
        <v>135</v>
      </c>
    </row>
    <row r="21" spans="1:48" x14ac:dyDescent="0.15">
      <c r="A21" s="15" t="s">
        <v>337</v>
      </c>
      <c r="B21" s="15" t="s">
        <v>338</v>
      </c>
      <c r="C21" s="15">
        <v>2018</v>
      </c>
      <c r="D21" s="37" t="s">
        <v>344</v>
      </c>
      <c r="E21" s="15" t="s">
        <v>143</v>
      </c>
      <c r="F21" s="7" t="s">
        <v>152</v>
      </c>
      <c r="G21" s="7" t="s">
        <v>36</v>
      </c>
      <c r="H21" s="215" t="s">
        <v>155</v>
      </c>
      <c r="I21" s="207" t="s">
        <v>153</v>
      </c>
      <c r="J21" s="215" t="s">
        <v>38</v>
      </c>
      <c r="K21" s="207" t="s">
        <v>154</v>
      </c>
      <c r="L21" s="7">
        <v>2</v>
      </c>
      <c r="N21" s="7">
        <v>1</v>
      </c>
      <c r="O21" s="7">
        <v>1</v>
      </c>
      <c r="P21" s="7">
        <v>0.9</v>
      </c>
      <c r="Q21" s="52">
        <f t="shared" si="0"/>
        <v>0.95</v>
      </c>
      <c r="R21" s="7">
        <v>13.4</v>
      </c>
      <c r="S21" s="7">
        <v>92</v>
      </c>
      <c r="T21" s="16">
        <f t="shared" si="1"/>
        <v>36</v>
      </c>
      <c r="U21" s="207">
        <v>51</v>
      </c>
      <c r="V21" s="16">
        <f t="shared" si="2"/>
        <v>1836</v>
      </c>
      <c r="W21" s="7">
        <v>3</v>
      </c>
      <c r="X21" s="215" t="s">
        <v>39</v>
      </c>
      <c r="Y21" s="215" t="s">
        <v>50</v>
      </c>
      <c r="Z21" s="215" t="s">
        <v>90</v>
      </c>
      <c r="AA21" s="215" t="s">
        <v>84</v>
      </c>
      <c r="AB21" s="39" t="s">
        <v>340</v>
      </c>
      <c r="AE21" s="22"/>
      <c r="AP21" s="43" t="s">
        <v>114</v>
      </c>
      <c r="AR21" s="41" t="s">
        <v>68</v>
      </c>
      <c r="AV21" s="27" t="s">
        <v>136</v>
      </c>
    </row>
    <row r="22" spans="1:48" x14ac:dyDescent="0.15">
      <c r="A22" s="15" t="s">
        <v>337</v>
      </c>
      <c r="B22" s="15" t="s">
        <v>338</v>
      </c>
      <c r="C22" s="15">
        <v>2018</v>
      </c>
      <c r="D22" s="37" t="s">
        <v>344</v>
      </c>
      <c r="E22" s="15" t="s">
        <v>143</v>
      </c>
      <c r="F22" s="7" t="s">
        <v>152</v>
      </c>
      <c r="G22" s="7" t="s">
        <v>36</v>
      </c>
      <c r="H22" s="215" t="s">
        <v>155</v>
      </c>
      <c r="I22" s="207" t="s">
        <v>153</v>
      </c>
      <c r="J22" s="215" t="s">
        <v>38</v>
      </c>
      <c r="K22" s="207" t="s">
        <v>154</v>
      </c>
      <c r="L22" s="7">
        <v>3</v>
      </c>
      <c r="N22" s="7">
        <v>1</v>
      </c>
      <c r="O22" s="34">
        <v>0.85</v>
      </c>
      <c r="P22" s="7">
        <v>0.7</v>
      </c>
      <c r="Q22" s="52">
        <f t="shared" si="0"/>
        <v>0.77499999999999991</v>
      </c>
      <c r="R22" s="7">
        <v>13.4</v>
      </c>
      <c r="S22" s="7">
        <v>88</v>
      </c>
      <c r="T22" s="16">
        <f t="shared" si="1"/>
        <v>36</v>
      </c>
      <c r="U22" s="207">
        <v>51</v>
      </c>
      <c r="V22" s="16">
        <f t="shared" si="2"/>
        <v>1836</v>
      </c>
      <c r="W22" s="7">
        <v>3</v>
      </c>
      <c r="X22" s="215" t="s">
        <v>39</v>
      </c>
      <c r="Y22" s="215" t="s">
        <v>50</v>
      </c>
      <c r="Z22" s="215" t="s">
        <v>90</v>
      </c>
      <c r="AA22" s="215" t="s">
        <v>84</v>
      </c>
      <c r="AB22" s="39" t="s">
        <v>340</v>
      </c>
      <c r="AE22" s="35"/>
      <c r="AP22" s="43" t="s">
        <v>115</v>
      </c>
      <c r="AR22" s="41" t="s">
        <v>83</v>
      </c>
      <c r="AV22" s="27"/>
    </row>
    <row r="23" spans="1:48" x14ac:dyDescent="0.15">
      <c r="A23" s="15" t="s">
        <v>337</v>
      </c>
      <c r="B23" s="15" t="s">
        <v>338</v>
      </c>
      <c r="C23" s="15">
        <v>2018</v>
      </c>
      <c r="D23" s="37" t="s">
        <v>344</v>
      </c>
      <c r="E23" s="7" t="s">
        <v>143</v>
      </c>
      <c r="F23" s="7" t="s">
        <v>152</v>
      </c>
      <c r="G23" s="7" t="s">
        <v>36</v>
      </c>
      <c r="H23" s="15" t="s">
        <v>165</v>
      </c>
      <c r="I23" s="207" t="s">
        <v>153</v>
      </c>
      <c r="J23" s="15" t="s">
        <v>38</v>
      </c>
      <c r="K23" s="7" t="s">
        <v>154</v>
      </c>
      <c r="L23" s="7">
        <v>1</v>
      </c>
      <c r="N23" s="7">
        <v>1</v>
      </c>
      <c r="O23" s="34">
        <v>0.6</v>
      </c>
      <c r="P23" s="7">
        <v>0.65</v>
      </c>
      <c r="Q23" s="52">
        <f t="shared" si="0"/>
        <v>0.625</v>
      </c>
      <c r="R23" s="7">
        <v>19</v>
      </c>
      <c r="S23" s="7">
        <v>134</v>
      </c>
      <c r="T23" s="16">
        <f t="shared" si="1"/>
        <v>25</v>
      </c>
      <c r="U23" s="7">
        <v>149</v>
      </c>
      <c r="V23" s="16">
        <f t="shared" si="2"/>
        <v>3725</v>
      </c>
      <c r="W23" s="7">
        <v>2</v>
      </c>
      <c r="X23" s="215" t="s">
        <v>39</v>
      </c>
      <c r="Y23" s="215" t="s">
        <v>50</v>
      </c>
      <c r="Z23" s="215" t="s">
        <v>90</v>
      </c>
      <c r="AA23" s="215" t="s">
        <v>84</v>
      </c>
      <c r="AB23" s="39" t="s">
        <v>340</v>
      </c>
      <c r="AE23" s="22"/>
      <c r="AP23" s="43" t="s">
        <v>137</v>
      </c>
      <c r="AR23" s="41" t="s">
        <v>61</v>
      </c>
      <c r="AV23" s="27"/>
    </row>
    <row r="24" spans="1:48" x14ac:dyDescent="0.15">
      <c r="A24" s="15" t="s">
        <v>337</v>
      </c>
      <c r="B24" s="15" t="s">
        <v>338</v>
      </c>
      <c r="C24" s="15">
        <v>2018</v>
      </c>
      <c r="D24" s="37" t="s">
        <v>344</v>
      </c>
      <c r="E24" s="7" t="s">
        <v>143</v>
      </c>
      <c r="F24" s="7" t="s">
        <v>152</v>
      </c>
      <c r="G24" s="7" t="s">
        <v>36</v>
      </c>
      <c r="H24" s="215" t="s">
        <v>165</v>
      </c>
      <c r="I24" s="207" t="s">
        <v>153</v>
      </c>
      <c r="J24" s="15" t="s">
        <v>38</v>
      </c>
      <c r="K24" s="7" t="s">
        <v>154</v>
      </c>
      <c r="L24" s="7">
        <v>2</v>
      </c>
      <c r="N24" s="7">
        <v>1</v>
      </c>
      <c r="O24" s="7">
        <v>0.55000000000000004</v>
      </c>
      <c r="P24" s="7">
        <v>0.65</v>
      </c>
      <c r="Q24" s="52">
        <f t="shared" si="0"/>
        <v>0.60000000000000009</v>
      </c>
      <c r="R24" s="7">
        <v>15.6</v>
      </c>
      <c r="S24" s="7">
        <v>131</v>
      </c>
      <c r="T24" s="16">
        <f t="shared" si="1"/>
        <v>25</v>
      </c>
      <c r="U24" s="207">
        <v>149</v>
      </c>
      <c r="V24" s="16">
        <f t="shared" si="2"/>
        <v>3725</v>
      </c>
      <c r="W24" s="7">
        <v>2</v>
      </c>
      <c r="X24" s="215" t="s">
        <v>39</v>
      </c>
      <c r="Y24" s="215" t="s">
        <v>50</v>
      </c>
      <c r="Z24" s="215" t="s">
        <v>90</v>
      </c>
      <c r="AA24" s="215" t="s">
        <v>84</v>
      </c>
      <c r="AB24" s="39" t="s">
        <v>340</v>
      </c>
      <c r="AE24" s="22"/>
      <c r="AP24" s="43" t="s">
        <v>138</v>
      </c>
      <c r="AR24" s="41" t="s">
        <v>91</v>
      </c>
      <c r="AV24" s="27"/>
    </row>
    <row r="25" spans="1:48" x14ac:dyDescent="0.15">
      <c r="A25" s="15" t="s">
        <v>337</v>
      </c>
      <c r="B25" s="15" t="s">
        <v>338</v>
      </c>
      <c r="C25" s="15">
        <v>2018</v>
      </c>
      <c r="D25" s="37" t="s">
        <v>344</v>
      </c>
      <c r="E25" s="7" t="s">
        <v>143</v>
      </c>
      <c r="F25" s="7" t="s">
        <v>152</v>
      </c>
      <c r="G25" s="7" t="s">
        <v>36</v>
      </c>
      <c r="H25" s="215" t="s">
        <v>165</v>
      </c>
      <c r="I25" s="207" t="s">
        <v>153</v>
      </c>
      <c r="J25" s="15" t="s">
        <v>38</v>
      </c>
      <c r="K25" s="7" t="s">
        <v>154</v>
      </c>
      <c r="L25" s="7">
        <v>3</v>
      </c>
      <c r="N25" s="7">
        <v>1</v>
      </c>
      <c r="O25" s="7">
        <v>0.55000000000000004</v>
      </c>
      <c r="P25" s="7">
        <v>0.5</v>
      </c>
      <c r="Q25" s="52">
        <f t="shared" si="0"/>
        <v>0.52500000000000002</v>
      </c>
      <c r="R25" s="7">
        <v>15</v>
      </c>
      <c r="S25" s="7">
        <v>130</v>
      </c>
      <c r="T25" s="16">
        <f t="shared" si="1"/>
        <v>25</v>
      </c>
      <c r="U25" s="207">
        <v>149</v>
      </c>
      <c r="V25" s="16">
        <f t="shared" si="2"/>
        <v>3725</v>
      </c>
      <c r="W25" s="7">
        <v>2</v>
      </c>
      <c r="X25" s="215" t="s">
        <v>39</v>
      </c>
      <c r="Y25" s="215" t="s">
        <v>50</v>
      </c>
      <c r="Z25" s="215" t="s">
        <v>90</v>
      </c>
      <c r="AA25" s="215" t="s">
        <v>84</v>
      </c>
      <c r="AB25" s="39" t="s">
        <v>340</v>
      </c>
      <c r="AE25" s="35"/>
      <c r="AP25" s="43" t="s">
        <v>116</v>
      </c>
      <c r="AR25" s="42" t="s">
        <v>92</v>
      </c>
      <c r="AV25" s="27"/>
    </row>
    <row r="26" spans="1:48" x14ac:dyDescent="0.15">
      <c r="A26" s="15" t="s">
        <v>337</v>
      </c>
      <c r="B26" s="15" t="s">
        <v>338</v>
      </c>
      <c r="C26" s="15">
        <v>2018</v>
      </c>
      <c r="D26" s="37" t="s">
        <v>344</v>
      </c>
      <c r="E26" s="7" t="s">
        <v>131</v>
      </c>
      <c r="F26" s="7" t="s">
        <v>144</v>
      </c>
      <c r="G26" s="7" t="s">
        <v>36</v>
      </c>
      <c r="H26" s="15" t="s">
        <v>155</v>
      </c>
      <c r="I26" s="207" t="s">
        <v>153</v>
      </c>
      <c r="J26" s="15" t="s">
        <v>38</v>
      </c>
      <c r="K26" s="7" t="s">
        <v>154</v>
      </c>
      <c r="L26" s="7">
        <v>1</v>
      </c>
      <c r="N26" s="7">
        <v>1</v>
      </c>
      <c r="O26" s="7">
        <v>0.55000000000000004</v>
      </c>
      <c r="P26" s="7">
        <v>0.65</v>
      </c>
      <c r="Q26" s="52">
        <f t="shared" si="0"/>
        <v>0.60000000000000009</v>
      </c>
      <c r="R26" s="7">
        <v>14.3</v>
      </c>
      <c r="S26" s="7">
        <v>139</v>
      </c>
      <c r="T26" s="16">
        <f t="shared" si="1"/>
        <v>22</v>
      </c>
      <c r="U26" s="7">
        <v>107</v>
      </c>
      <c r="V26" s="16">
        <f t="shared" si="2"/>
        <v>2354</v>
      </c>
      <c r="W26" s="7">
        <v>3</v>
      </c>
      <c r="X26" s="15" t="s">
        <v>46</v>
      </c>
      <c r="Y26" s="215" t="s">
        <v>50</v>
      </c>
      <c r="Z26" s="215" t="s">
        <v>84</v>
      </c>
      <c r="AA26" s="215" t="s">
        <v>90</v>
      </c>
      <c r="AB26" s="39" t="s">
        <v>340</v>
      </c>
      <c r="AE26" s="35"/>
      <c r="AP26" s="43" t="s">
        <v>117</v>
      </c>
      <c r="AR26" s="23" t="s">
        <v>290</v>
      </c>
      <c r="AV26" s="28"/>
    </row>
    <row r="27" spans="1:48" x14ac:dyDescent="0.15">
      <c r="A27" s="15" t="s">
        <v>337</v>
      </c>
      <c r="B27" s="15" t="s">
        <v>338</v>
      </c>
      <c r="C27" s="15">
        <v>2018</v>
      </c>
      <c r="D27" s="37" t="s">
        <v>344</v>
      </c>
      <c r="E27" s="7" t="s">
        <v>131</v>
      </c>
      <c r="F27" s="7" t="s">
        <v>144</v>
      </c>
      <c r="G27" s="7" t="s">
        <v>36</v>
      </c>
      <c r="H27" s="215" t="s">
        <v>155</v>
      </c>
      <c r="I27" s="207" t="s">
        <v>153</v>
      </c>
      <c r="J27" s="15" t="s">
        <v>38</v>
      </c>
      <c r="K27" s="7" t="s">
        <v>154</v>
      </c>
      <c r="L27" s="7">
        <v>2</v>
      </c>
      <c r="N27" s="7">
        <v>1</v>
      </c>
      <c r="O27" s="7">
        <v>0.5</v>
      </c>
      <c r="P27" s="7">
        <v>0.5</v>
      </c>
      <c r="Q27" s="52">
        <f t="shared" si="0"/>
        <v>0.5</v>
      </c>
      <c r="R27" s="7">
        <v>17.2</v>
      </c>
      <c r="S27" s="7">
        <v>139</v>
      </c>
      <c r="T27" s="16">
        <f t="shared" si="1"/>
        <v>22</v>
      </c>
      <c r="U27" s="207">
        <v>107</v>
      </c>
      <c r="V27" s="16">
        <f t="shared" si="2"/>
        <v>2354</v>
      </c>
      <c r="W27" s="7">
        <v>3</v>
      </c>
      <c r="X27" s="15" t="s">
        <v>46</v>
      </c>
      <c r="Y27" s="215" t="s">
        <v>50</v>
      </c>
      <c r="Z27" s="215" t="s">
        <v>84</v>
      </c>
      <c r="AA27" s="215" t="s">
        <v>90</v>
      </c>
      <c r="AB27" s="39" t="s">
        <v>340</v>
      </c>
      <c r="AE27" s="28"/>
      <c r="AP27" s="43" t="s">
        <v>118</v>
      </c>
      <c r="AR27" s="23"/>
    </row>
    <row r="28" spans="1:48" x14ac:dyDescent="0.15">
      <c r="A28" s="15" t="s">
        <v>337</v>
      </c>
      <c r="B28" s="15" t="s">
        <v>338</v>
      </c>
      <c r="C28" s="15">
        <v>2018</v>
      </c>
      <c r="D28" s="37" t="s">
        <v>344</v>
      </c>
      <c r="E28" s="7" t="s">
        <v>131</v>
      </c>
      <c r="F28" s="7" t="s">
        <v>144</v>
      </c>
      <c r="G28" s="7" t="s">
        <v>36</v>
      </c>
      <c r="H28" s="215" t="s">
        <v>155</v>
      </c>
      <c r="I28" s="207" t="s">
        <v>153</v>
      </c>
      <c r="J28" s="15" t="s">
        <v>38</v>
      </c>
      <c r="K28" s="7" t="s">
        <v>154</v>
      </c>
      <c r="L28" s="7">
        <v>3</v>
      </c>
      <c r="N28" s="7">
        <v>1</v>
      </c>
      <c r="O28" s="7">
        <v>0.65</v>
      </c>
      <c r="P28" s="7">
        <v>0.55000000000000004</v>
      </c>
      <c r="Q28" s="52">
        <f t="shared" si="0"/>
        <v>0.60000000000000009</v>
      </c>
      <c r="R28" s="7">
        <v>15.3</v>
      </c>
      <c r="S28" s="7">
        <v>141</v>
      </c>
      <c r="T28" s="16">
        <f t="shared" si="1"/>
        <v>22</v>
      </c>
      <c r="U28" s="207">
        <v>107</v>
      </c>
      <c r="V28" s="16">
        <f t="shared" si="2"/>
        <v>2354</v>
      </c>
      <c r="W28" s="7">
        <v>3</v>
      </c>
      <c r="X28" s="15" t="s">
        <v>46</v>
      </c>
      <c r="Y28" s="215" t="s">
        <v>50</v>
      </c>
      <c r="Z28" s="215" t="s">
        <v>84</v>
      </c>
      <c r="AA28" s="215" t="s">
        <v>90</v>
      </c>
      <c r="AB28" s="39" t="s">
        <v>340</v>
      </c>
      <c r="AP28" s="27"/>
      <c r="AR28" s="23"/>
    </row>
    <row r="29" spans="1:48" x14ac:dyDescent="0.15">
      <c r="A29" s="15" t="s">
        <v>337</v>
      </c>
      <c r="B29" s="15" t="s">
        <v>338</v>
      </c>
      <c r="C29" s="15">
        <v>2018</v>
      </c>
      <c r="D29" s="37" t="s">
        <v>344</v>
      </c>
      <c r="E29" s="7" t="s">
        <v>131</v>
      </c>
      <c r="F29" s="7" t="s">
        <v>144</v>
      </c>
      <c r="G29" s="7" t="s">
        <v>36</v>
      </c>
      <c r="H29" s="15" t="s">
        <v>165</v>
      </c>
      <c r="I29" s="207" t="s">
        <v>153</v>
      </c>
      <c r="J29" s="15" t="s">
        <v>38</v>
      </c>
      <c r="K29" s="7" t="s">
        <v>154</v>
      </c>
      <c r="L29" s="7">
        <v>1</v>
      </c>
      <c r="N29" s="7">
        <v>1</v>
      </c>
      <c r="O29" s="7">
        <v>0.7</v>
      </c>
      <c r="P29" s="7">
        <v>0.7</v>
      </c>
      <c r="Q29" s="52">
        <f t="shared" si="0"/>
        <v>0.7</v>
      </c>
      <c r="R29" s="7">
        <v>15.5</v>
      </c>
      <c r="S29" s="7">
        <v>133</v>
      </c>
      <c r="T29" s="16">
        <f t="shared" si="1"/>
        <v>25</v>
      </c>
      <c r="U29" s="7">
        <v>107</v>
      </c>
      <c r="V29" s="16">
        <f t="shared" si="2"/>
        <v>2675</v>
      </c>
      <c r="W29" s="7">
        <v>5</v>
      </c>
      <c r="X29" s="15" t="s">
        <v>46</v>
      </c>
      <c r="Y29" s="215" t="s">
        <v>50</v>
      </c>
      <c r="Z29" s="215" t="s">
        <v>84</v>
      </c>
      <c r="AA29" s="215" t="s">
        <v>90</v>
      </c>
      <c r="AB29" s="39" t="s">
        <v>340</v>
      </c>
      <c r="AP29" s="27"/>
      <c r="AR29" s="27"/>
      <c r="AV29" s="28"/>
    </row>
    <row r="30" spans="1:48" x14ac:dyDescent="0.15">
      <c r="A30" s="15" t="s">
        <v>337</v>
      </c>
      <c r="B30" s="15" t="s">
        <v>338</v>
      </c>
      <c r="C30" s="15">
        <v>2018</v>
      </c>
      <c r="D30" s="37" t="s">
        <v>344</v>
      </c>
      <c r="E30" s="7" t="s">
        <v>131</v>
      </c>
      <c r="F30" s="7" t="s">
        <v>144</v>
      </c>
      <c r="G30" s="7" t="s">
        <v>36</v>
      </c>
      <c r="H30" s="215" t="s">
        <v>165</v>
      </c>
      <c r="I30" s="207" t="s">
        <v>153</v>
      </c>
      <c r="J30" s="15" t="s">
        <v>38</v>
      </c>
      <c r="K30" s="7" t="s">
        <v>154</v>
      </c>
      <c r="L30" s="7">
        <v>2</v>
      </c>
      <c r="N30" s="7">
        <v>1</v>
      </c>
      <c r="O30" s="7">
        <v>0.5</v>
      </c>
      <c r="P30" s="7">
        <v>0.55000000000000004</v>
      </c>
      <c r="Q30" s="52">
        <f t="shared" si="0"/>
        <v>0.52500000000000002</v>
      </c>
      <c r="R30" s="7">
        <v>19.899999999999999</v>
      </c>
      <c r="S30" s="7">
        <v>143</v>
      </c>
      <c r="T30" s="16">
        <f t="shared" si="1"/>
        <v>22</v>
      </c>
      <c r="U30" s="207">
        <v>107</v>
      </c>
      <c r="V30" s="16">
        <f t="shared" si="2"/>
        <v>2354</v>
      </c>
      <c r="W30" s="7">
        <v>5</v>
      </c>
      <c r="X30" s="15" t="s">
        <v>46</v>
      </c>
      <c r="Y30" s="215" t="s">
        <v>50</v>
      </c>
      <c r="Z30" s="215" t="s">
        <v>84</v>
      </c>
      <c r="AA30" s="215" t="s">
        <v>90</v>
      </c>
      <c r="AB30" s="39" t="s">
        <v>340</v>
      </c>
      <c r="AP30" s="27"/>
      <c r="AR30" s="27"/>
    </row>
    <row r="31" spans="1:48" x14ac:dyDescent="0.15">
      <c r="A31" s="15" t="s">
        <v>337</v>
      </c>
      <c r="B31" s="15" t="s">
        <v>338</v>
      </c>
      <c r="C31" s="15">
        <v>2018</v>
      </c>
      <c r="D31" s="37" t="s">
        <v>344</v>
      </c>
      <c r="E31" s="7" t="s">
        <v>131</v>
      </c>
      <c r="F31" s="7" t="s">
        <v>144</v>
      </c>
      <c r="G31" s="7" t="s">
        <v>36</v>
      </c>
      <c r="H31" s="215" t="s">
        <v>165</v>
      </c>
      <c r="I31" s="207" t="s">
        <v>153</v>
      </c>
      <c r="J31" s="15" t="s">
        <v>38</v>
      </c>
      <c r="K31" s="7" t="s">
        <v>154</v>
      </c>
      <c r="L31" s="7">
        <v>3</v>
      </c>
      <c r="N31" s="7">
        <v>1</v>
      </c>
      <c r="O31" s="7">
        <v>0.5</v>
      </c>
      <c r="P31" s="7">
        <v>0.5</v>
      </c>
      <c r="Q31" s="52">
        <f t="shared" si="0"/>
        <v>0.5</v>
      </c>
      <c r="R31" s="7">
        <v>19.399999999999999</v>
      </c>
      <c r="S31" s="7">
        <v>142</v>
      </c>
      <c r="T31" s="16">
        <f t="shared" si="1"/>
        <v>22</v>
      </c>
      <c r="U31" s="207">
        <v>107</v>
      </c>
      <c r="V31" s="16">
        <f t="shared" si="2"/>
        <v>2354</v>
      </c>
      <c r="W31" s="7">
        <v>5</v>
      </c>
      <c r="X31" s="15" t="s">
        <v>46</v>
      </c>
      <c r="Y31" s="215" t="s">
        <v>50</v>
      </c>
      <c r="Z31" s="215" t="s">
        <v>84</v>
      </c>
      <c r="AA31" s="215" t="s">
        <v>90</v>
      </c>
      <c r="AB31" s="39" t="s">
        <v>340</v>
      </c>
      <c r="AP31" s="27"/>
      <c r="AR31" s="27"/>
    </row>
    <row r="32" spans="1:48" x14ac:dyDescent="0.15">
      <c r="A32" s="15" t="s">
        <v>337</v>
      </c>
      <c r="B32" s="15" t="s">
        <v>338</v>
      </c>
      <c r="C32" s="15">
        <v>2018</v>
      </c>
      <c r="D32" s="37" t="s">
        <v>344</v>
      </c>
      <c r="E32" s="7" t="s">
        <v>139</v>
      </c>
      <c r="F32" s="7" t="s">
        <v>145</v>
      </c>
      <c r="G32" s="7" t="s">
        <v>36</v>
      </c>
      <c r="H32" s="15" t="s">
        <v>155</v>
      </c>
      <c r="I32" s="207" t="s">
        <v>153</v>
      </c>
      <c r="J32" s="15" t="s">
        <v>38</v>
      </c>
      <c r="K32" s="7" t="s">
        <v>154</v>
      </c>
      <c r="L32" s="7">
        <v>1</v>
      </c>
      <c r="N32" s="7">
        <v>1</v>
      </c>
      <c r="O32" s="7">
        <v>0.8</v>
      </c>
      <c r="P32" s="7">
        <v>0.7</v>
      </c>
      <c r="Q32" s="52">
        <f t="shared" si="0"/>
        <v>0.75</v>
      </c>
      <c r="R32" s="7">
        <v>14.8</v>
      </c>
      <c r="S32" s="7">
        <v>150</v>
      </c>
      <c r="T32" s="16">
        <f t="shared" si="1"/>
        <v>22</v>
      </c>
      <c r="U32" s="7">
        <v>95</v>
      </c>
      <c r="V32" s="16">
        <f t="shared" si="2"/>
        <v>2090</v>
      </c>
      <c r="W32" s="7">
        <v>4</v>
      </c>
      <c r="X32" s="15" t="s">
        <v>46</v>
      </c>
      <c r="Y32" s="215" t="s">
        <v>50</v>
      </c>
      <c r="Z32" s="215" t="s">
        <v>90</v>
      </c>
      <c r="AA32" s="215" t="s">
        <v>69</v>
      </c>
      <c r="AB32" s="39" t="s">
        <v>340</v>
      </c>
      <c r="AP32" s="28"/>
      <c r="AR32" s="28"/>
    </row>
    <row r="33" spans="1:44" x14ac:dyDescent="0.15">
      <c r="A33" s="15" t="s">
        <v>337</v>
      </c>
      <c r="B33" s="15" t="s">
        <v>338</v>
      </c>
      <c r="C33" s="15">
        <v>2018</v>
      </c>
      <c r="D33" s="37" t="s">
        <v>344</v>
      </c>
      <c r="E33" s="7" t="s">
        <v>139</v>
      </c>
      <c r="F33" s="7" t="s">
        <v>145</v>
      </c>
      <c r="G33" s="7" t="s">
        <v>36</v>
      </c>
      <c r="H33" s="215" t="s">
        <v>155</v>
      </c>
      <c r="I33" s="207" t="s">
        <v>153</v>
      </c>
      <c r="J33" s="15" t="s">
        <v>38</v>
      </c>
      <c r="K33" s="7" t="s">
        <v>154</v>
      </c>
      <c r="L33" s="7">
        <v>2</v>
      </c>
      <c r="N33" s="7">
        <v>1</v>
      </c>
      <c r="O33" s="7">
        <v>0.7</v>
      </c>
      <c r="P33" s="7">
        <v>0.85</v>
      </c>
      <c r="Q33" s="52">
        <f t="shared" si="0"/>
        <v>0.77499999999999991</v>
      </c>
      <c r="R33" s="7">
        <v>12</v>
      </c>
      <c r="S33" s="7">
        <v>139</v>
      </c>
      <c r="T33" s="16">
        <f t="shared" si="1"/>
        <v>22</v>
      </c>
      <c r="U33" s="207">
        <v>95</v>
      </c>
      <c r="V33" s="16">
        <f t="shared" si="2"/>
        <v>2090</v>
      </c>
      <c r="W33" s="7">
        <v>4</v>
      </c>
      <c r="X33" s="15" t="s">
        <v>46</v>
      </c>
      <c r="Y33" s="215" t="s">
        <v>50</v>
      </c>
      <c r="Z33" s="215" t="s">
        <v>90</v>
      </c>
      <c r="AA33" s="215" t="s">
        <v>69</v>
      </c>
      <c r="AB33" s="39" t="s">
        <v>340</v>
      </c>
    </row>
    <row r="34" spans="1:44" x14ac:dyDescent="0.15">
      <c r="A34" s="15" t="s">
        <v>337</v>
      </c>
      <c r="B34" s="15" t="s">
        <v>338</v>
      </c>
      <c r="C34" s="15">
        <v>2018</v>
      </c>
      <c r="D34" s="37" t="s">
        <v>344</v>
      </c>
      <c r="E34" s="7" t="s">
        <v>139</v>
      </c>
      <c r="F34" s="7" t="s">
        <v>145</v>
      </c>
      <c r="G34" s="7" t="s">
        <v>36</v>
      </c>
      <c r="H34" s="215" t="s">
        <v>155</v>
      </c>
      <c r="I34" s="207" t="s">
        <v>153</v>
      </c>
      <c r="J34" s="15" t="s">
        <v>38</v>
      </c>
      <c r="K34" s="7" t="s">
        <v>154</v>
      </c>
      <c r="L34" s="7">
        <v>3</v>
      </c>
      <c r="N34" s="7">
        <v>1</v>
      </c>
      <c r="O34" s="7">
        <v>0.55000000000000004</v>
      </c>
      <c r="P34" s="7">
        <v>0.5</v>
      </c>
      <c r="Q34" s="52">
        <f t="shared" si="0"/>
        <v>0.52500000000000002</v>
      </c>
      <c r="R34" s="7">
        <v>16.600000000000001</v>
      </c>
      <c r="S34" s="7">
        <v>146</v>
      </c>
      <c r="T34" s="16">
        <f t="shared" si="1"/>
        <v>22</v>
      </c>
      <c r="U34" s="207">
        <v>95</v>
      </c>
      <c r="V34" s="16">
        <f t="shared" si="2"/>
        <v>2090</v>
      </c>
      <c r="W34" s="7">
        <v>4</v>
      </c>
      <c r="X34" s="15" t="s">
        <v>46</v>
      </c>
      <c r="Y34" s="215" t="s">
        <v>50</v>
      </c>
      <c r="Z34" s="215" t="s">
        <v>90</v>
      </c>
      <c r="AA34" s="215" t="s">
        <v>69</v>
      </c>
      <c r="AB34" s="39" t="s">
        <v>340</v>
      </c>
    </row>
    <row r="35" spans="1:44" x14ac:dyDescent="0.15">
      <c r="A35" s="15" t="s">
        <v>337</v>
      </c>
      <c r="B35" s="15" t="s">
        <v>338</v>
      </c>
      <c r="C35" s="15">
        <v>2018</v>
      </c>
      <c r="D35" s="37" t="s">
        <v>344</v>
      </c>
      <c r="E35" s="7" t="s">
        <v>139</v>
      </c>
      <c r="F35" s="7" t="s">
        <v>145</v>
      </c>
      <c r="G35" s="7" t="s">
        <v>36</v>
      </c>
      <c r="H35" s="215" t="s">
        <v>165</v>
      </c>
      <c r="I35" s="207" t="s">
        <v>153</v>
      </c>
      <c r="J35" s="15" t="s">
        <v>38</v>
      </c>
      <c r="K35" s="7" t="s">
        <v>154</v>
      </c>
      <c r="L35" s="7">
        <v>1</v>
      </c>
      <c r="N35" s="7">
        <v>1</v>
      </c>
      <c r="O35" s="7">
        <v>0.5</v>
      </c>
      <c r="P35" s="7">
        <v>0.5</v>
      </c>
      <c r="Q35" s="52">
        <f t="shared" si="0"/>
        <v>0.5</v>
      </c>
      <c r="R35" s="7">
        <v>18.399999999999999</v>
      </c>
      <c r="S35" s="7">
        <v>115</v>
      </c>
      <c r="T35" s="16">
        <f t="shared" si="1"/>
        <v>30</v>
      </c>
      <c r="U35" s="7">
        <v>138</v>
      </c>
      <c r="V35" s="16">
        <f t="shared" si="2"/>
        <v>4140</v>
      </c>
      <c r="W35" s="7">
        <v>6</v>
      </c>
      <c r="X35" s="15" t="s">
        <v>46</v>
      </c>
      <c r="Y35" s="215" t="s">
        <v>50</v>
      </c>
      <c r="Z35" s="215" t="s">
        <v>90</v>
      </c>
      <c r="AA35" s="215" t="s">
        <v>69</v>
      </c>
      <c r="AB35" s="39" t="s">
        <v>340</v>
      </c>
      <c r="AP35" s="28"/>
      <c r="AR35" s="28"/>
    </row>
    <row r="36" spans="1:44" x14ac:dyDescent="0.15">
      <c r="A36" s="15" t="s">
        <v>337</v>
      </c>
      <c r="B36" s="15" t="s">
        <v>338</v>
      </c>
      <c r="C36" s="15">
        <v>2018</v>
      </c>
      <c r="D36" s="37" t="s">
        <v>344</v>
      </c>
      <c r="E36" s="7" t="s">
        <v>139</v>
      </c>
      <c r="F36" s="7" t="s">
        <v>145</v>
      </c>
      <c r="G36" s="7" t="s">
        <v>36</v>
      </c>
      <c r="H36" s="215" t="s">
        <v>165</v>
      </c>
      <c r="I36" s="207" t="s">
        <v>153</v>
      </c>
      <c r="J36" s="15" t="s">
        <v>38</v>
      </c>
      <c r="K36" s="7" t="s">
        <v>154</v>
      </c>
      <c r="L36" s="7">
        <v>2</v>
      </c>
      <c r="N36" s="207">
        <v>1</v>
      </c>
      <c r="O36" s="7">
        <v>0.55000000000000004</v>
      </c>
      <c r="P36" s="7">
        <v>0.6</v>
      </c>
      <c r="Q36" s="52">
        <f t="shared" si="0"/>
        <v>0.57499999999999996</v>
      </c>
      <c r="R36" s="7">
        <v>15</v>
      </c>
      <c r="S36" s="7">
        <v>114</v>
      </c>
      <c r="T36" s="16">
        <f t="shared" si="1"/>
        <v>30</v>
      </c>
      <c r="U36" s="207">
        <v>138</v>
      </c>
      <c r="V36" s="16">
        <f t="shared" si="2"/>
        <v>4140</v>
      </c>
      <c r="W36" s="7">
        <v>6</v>
      </c>
      <c r="X36" s="15" t="s">
        <v>46</v>
      </c>
      <c r="Y36" s="215" t="s">
        <v>50</v>
      </c>
      <c r="Z36" s="215" t="s">
        <v>90</v>
      </c>
      <c r="AA36" s="215" t="s">
        <v>69</v>
      </c>
      <c r="AB36" s="39" t="s">
        <v>340</v>
      </c>
    </row>
    <row r="37" spans="1:44" x14ac:dyDescent="0.15">
      <c r="A37" s="15" t="s">
        <v>337</v>
      </c>
      <c r="B37" s="15" t="s">
        <v>338</v>
      </c>
      <c r="C37" s="15">
        <v>2018</v>
      </c>
      <c r="D37" s="37" t="s">
        <v>344</v>
      </c>
      <c r="E37" s="7" t="s">
        <v>139</v>
      </c>
      <c r="F37" s="7" t="s">
        <v>145</v>
      </c>
      <c r="G37" s="7" t="s">
        <v>36</v>
      </c>
      <c r="H37" s="215" t="s">
        <v>165</v>
      </c>
      <c r="I37" s="207" t="s">
        <v>153</v>
      </c>
      <c r="J37" s="15" t="s">
        <v>38</v>
      </c>
      <c r="K37" s="7" t="s">
        <v>154</v>
      </c>
      <c r="L37" s="7">
        <v>3</v>
      </c>
      <c r="N37" s="207">
        <v>1</v>
      </c>
      <c r="O37" s="34">
        <v>0.6</v>
      </c>
      <c r="P37" s="34">
        <v>0.65</v>
      </c>
      <c r="Q37" s="52">
        <f t="shared" si="0"/>
        <v>0.625</v>
      </c>
      <c r="R37" s="7">
        <v>14.2</v>
      </c>
      <c r="S37" s="7">
        <v>134</v>
      </c>
      <c r="T37" s="16">
        <f t="shared" si="1"/>
        <v>25</v>
      </c>
      <c r="U37" s="207">
        <v>138</v>
      </c>
      <c r="V37" s="16">
        <f t="shared" si="2"/>
        <v>3450</v>
      </c>
      <c r="W37" s="7">
        <v>6</v>
      </c>
      <c r="X37" s="15" t="s">
        <v>46</v>
      </c>
      <c r="Y37" s="215" t="s">
        <v>50</v>
      </c>
      <c r="Z37" s="215" t="s">
        <v>90</v>
      </c>
      <c r="AA37" s="215" t="s">
        <v>69</v>
      </c>
      <c r="AB37" s="39" t="s">
        <v>340</v>
      </c>
    </row>
    <row r="38" spans="1:44" x14ac:dyDescent="0.15">
      <c r="A38" s="15" t="s">
        <v>337</v>
      </c>
      <c r="B38" s="15" t="s">
        <v>338</v>
      </c>
      <c r="C38" s="15">
        <v>2018</v>
      </c>
      <c r="D38" s="37" t="s">
        <v>344</v>
      </c>
      <c r="E38" s="7" t="s">
        <v>316</v>
      </c>
      <c r="F38" s="7" t="s">
        <v>343</v>
      </c>
      <c r="G38" s="7" t="s">
        <v>36</v>
      </c>
      <c r="H38" s="215" t="s">
        <v>155</v>
      </c>
      <c r="I38" s="7" t="s">
        <v>153</v>
      </c>
      <c r="J38" s="215" t="s">
        <v>38</v>
      </c>
      <c r="K38" s="207" t="s">
        <v>154</v>
      </c>
      <c r="L38" s="7">
        <v>1</v>
      </c>
      <c r="N38" s="207">
        <v>1</v>
      </c>
      <c r="O38" s="34">
        <v>0.9</v>
      </c>
      <c r="P38" s="34">
        <v>1</v>
      </c>
      <c r="Q38" s="52">
        <f t="shared" si="0"/>
        <v>0.95</v>
      </c>
      <c r="R38" s="7">
        <v>15.3</v>
      </c>
      <c r="S38" s="7">
        <v>126</v>
      </c>
      <c r="T38" s="16">
        <f t="shared" si="1"/>
        <v>27</v>
      </c>
      <c r="U38" s="7">
        <v>105</v>
      </c>
      <c r="V38" s="16">
        <f t="shared" si="2"/>
        <v>2835</v>
      </c>
      <c r="W38" s="7">
        <v>4</v>
      </c>
      <c r="X38" s="15" t="s">
        <v>46</v>
      </c>
      <c r="Y38" s="215" t="s">
        <v>50</v>
      </c>
      <c r="Z38" s="215" t="s">
        <v>84</v>
      </c>
      <c r="AA38" s="215" t="s">
        <v>90</v>
      </c>
      <c r="AB38" s="39" t="s">
        <v>340</v>
      </c>
    </row>
    <row r="39" spans="1:44" x14ac:dyDescent="0.15">
      <c r="A39" s="15" t="s">
        <v>337</v>
      </c>
      <c r="B39" s="15" t="s">
        <v>338</v>
      </c>
      <c r="C39" s="15">
        <v>2018</v>
      </c>
      <c r="D39" s="37" t="s">
        <v>344</v>
      </c>
      <c r="E39" s="7" t="s">
        <v>316</v>
      </c>
      <c r="F39" s="7" t="s">
        <v>343</v>
      </c>
      <c r="G39" s="7" t="s">
        <v>36</v>
      </c>
      <c r="H39" s="215" t="s">
        <v>155</v>
      </c>
      <c r="I39" s="207" t="s">
        <v>153</v>
      </c>
      <c r="J39" s="215" t="s">
        <v>38</v>
      </c>
      <c r="K39" s="207" t="s">
        <v>154</v>
      </c>
      <c r="L39" s="7">
        <v>2</v>
      </c>
      <c r="N39" s="207">
        <v>1</v>
      </c>
      <c r="O39" s="7">
        <v>0.75</v>
      </c>
      <c r="P39" s="7">
        <v>0.6</v>
      </c>
      <c r="Q39" s="52">
        <f t="shared" si="0"/>
        <v>0.67500000000000004</v>
      </c>
      <c r="R39" s="34">
        <v>14.1</v>
      </c>
      <c r="S39" s="7">
        <v>120</v>
      </c>
      <c r="T39" s="16">
        <f t="shared" si="1"/>
        <v>30</v>
      </c>
      <c r="U39" s="207">
        <v>105</v>
      </c>
      <c r="V39" s="16">
        <f t="shared" si="2"/>
        <v>3150</v>
      </c>
      <c r="W39" s="7">
        <v>4</v>
      </c>
      <c r="X39" s="15" t="s">
        <v>46</v>
      </c>
      <c r="Y39" s="215" t="s">
        <v>50</v>
      </c>
      <c r="Z39" s="215" t="s">
        <v>84</v>
      </c>
      <c r="AA39" s="215" t="s">
        <v>90</v>
      </c>
      <c r="AB39" s="39" t="s">
        <v>340</v>
      </c>
    </row>
    <row r="40" spans="1:44" x14ac:dyDescent="0.15">
      <c r="A40" s="15" t="s">
        <v>337</v>
      </c>
      <c r="B40" s="15" t="s">
        <v>338</v>
      </c>
      <c r="C40" s="15">
        <v>2018</v>
      </c>
      <c r="D40" s="37" t="s">
        <v>344</v>
      </c>
      <c r="E40" s="7" t="s">
        <v>316</v>
      </c>
      <c r="F40" s="7" t="s">
        <v>343</v>
      </c>
      <c r="G40" s="7" t="s">
        <v>36</v>
      </c>
      <c r="H40" s="215" t="s">
        <v>155</v>
      </c>
      <c r="I40" s="207" t="s">
        <v>153</v>
      </c>
      <c r="J40" s="215" t="s">
        <v>38</v>
      </c>
      <c r="K40" s="207" t="s">
        <v>154</v>
      </c>
      <c r="L40" s="7">
        <v>3</v>
      </c>
      <c r="N40" s="207">
        <v>1</v>
      </c>
      <c r="O40" s="7">
        <v>0.7</v>
      </c>
      <c r="P40" s="7">
        <v>0.75</v>
      </c>
      <c r="Q40" s="52">
        <f t="shared" si="0"/>
        <v>0.72499999999999998</v>
      </c>
      <c r="R40" s="7">
        <v>14</v>
      </c>
      <c r="S40" s="7">
        <v>123</v>
      </c>
      <c r="T40" s="16">
        <f t="shared" si="1"/>
        <v>27</v>
      </c>
      <c r="U40" s="207">
        <v>105</v>
      </c>
      <c r="V40" s="16">
        <f t="shared" si="2"/>
        <v>2835</v>
      </c>
      <c r="W40" s="7">
        <v>4</v>
      </c>
      <c r="X40" s="15" t="s">
        <v>46</v>
      </c>
      <c r="Y40" s="215" t="s">
        <v>50</v>
      </c>
      <c r="Z40" s="215" t="s">
        <v>84</v>
      </c>
      <c r="AA40" s="215" t="s">
        <v>90</v>
      </c>
      <c r="AB40" s="39" t="s">
        <v>340</v>
      </c>
    </row>
    <row r="41" spans="1:44" ht="12.75" customHeight="1" x14ac:dyDescent="0.15">
      <c r="A41" s="15" t="s">
        <v>337</v>
      </c>
      <c r="B41" s="15" t="s">
        <v>338</v>
      </c>
      <c r="C41" s="15">
        <v>2018</v>
      </c>
      <c r="D41" s="37" t="s">
        <v>344</v>
      </c>
      <c r="E41" s="7" t="s">
        <v>316</v>
      </c>
      <c r="F41" s="7" t="s">
        <v>343</v>
      </c>
      <c r="G41" s="7" t="s">
        <v>36</v>
      </c>
      <c r="H41" s="15" t="s">
        <v>165</v>
      </c>
      <c r="I41" s="7" t="s">
        <v>153</v>
      </c>
      <c r="J41" s="15" t="s">
        <v>38</v>
      </c>
      <c r="K41" s="7" t="s">
        <v>154</v>
      </c>
      <c r="L41" s="7">
        <v>1</v>
      </c>
      <c r="N41" s="207">
        <v>1</v>
      </c>
      <c r="O41" s="7">
        <v>0.5</v>
      </c>
      <c r="P41" s="7">
        <v>0.5</v>
      </c>
      <c r="Q41" s="52">
        <f t="shared" si="0"/>
        <v>0.5</v>
      </c>
      <c r="R41" s="7">
        <v>15.3</v>
      </c>
      <c r="S41" s="7">
        <v>127</v>
      </c>
      <c r="T41" s="16">
        <f t="shared" si="1"/>
        <v>27</v>
      </c>
      <c r="U41" s="7">
        <v>138</v>
      </c>
      <c r="V41" s="16">
        <f t="shared" si="2"/>
        <v>3726</v>
      </c>
      <c r="W41" s="7">
        <v>4</v>
      </c>
      <c r="X41" s="15" t="s">
        <v>46</v>
      </c>
      <c r="Y41" s="215" t="s">
        <v>50</v>
      </c>
      <c r="Z41" s="215" t="s">
        <v>84</v>
      </c>
      <c r="AA41" s="215" t="s">
        <v>90</v>
      </c>
      <c r="AB41" s="39" t="s">
        <v>340</v>
      </c>
    </row>
    <row r="42" spans="1:44" x14ac:dyDescent="0.15">
      <c r="A42" s="15" t="s">
        <v>337</v>
      </c>
      <c r="B42" s="15" t="s">
        <v>338</v>
      </c>
      <c r="C42" s="15">
        <v>2018</v>
      </c>
      <c r="D42" s="37" t="s">
        <v>344</v>
      </c>
      <c r="E42" s="7" t="s">
        <v>316</v>
      </c>
      <c r="F42" s="7" t="s">
        <v>343</v>
      </c>
      <c r="G42" s="7" t="s">
        <v>36</v>
      </c>
      <c r="H42" s="215" t="s">
        <v>165</v>
      </c>
      <c r="I42" s="207" t="s">
        <v>153</v>
      </c>
      <c r="J42" s="15" t="s">
        <v>38</v>
      </c>
      <c r="K42" s="7" t="s">
        <v>154</v>
      </c>
      <c r="L42" s="7">
        <v>2</v>
      </c>
      <c r="N42" s="207">
        <v>1</v>
      </c>
      <c r="O42" s="7">
        <v>0.65</v>
      </c>
      <c r="P42" s="7">
        <v>0.65</v>
      </c>
      <c r="Q42" s="52">
        <f t="shared" si="0"/>
        <v>0.65</v>
      </c>
      <c r="R42" s="7">
        <v>15.2</v>
      </c>
      <c r="S42" s="7">
        <v>131</v>
      </c>
      <c r="T42" s="16">
        <f t="shared" si="1"/>
        <v>25</v>
      </c>
      <c r="U42" s="207">
        <v>138</v>
      </c>
      <c r="V42" s="16">
        <f t="shared" si="2"/>
        <v>3450</v>
      </c>
      <c r="W42" s="7">
        <v>4</v>
      </c>
      <c r="X42" s="15" t="s">
        <v>46</v>
      </c>
      <c r="Y42" s="215" t="s">
        <v>50</v>
      </c>
      <c r="Z42" s="215" t="s">
        <v>84</v>
      </c>
      <c r="AA42" s="215" t="s">
        <v>90</v>
      </c>
      <c r="AB42" s="39" t="s">
        <v>340</v>
      </c>
    </row>
    <row r="43" spans="1:44" x14ac:dyDescent="0.15">
      <c r="A43" s="15" t="s">
        <v>337</v>
      </c>
      <c r="B43" s="15" t="s">
        <v>338</v>
      </c>
      <c r="C43" s="15">
        <v>2018</v>
      </c>
      <c r="D43" s="37" t="s">
        <v>344</v>
      </c>
      <c r="E43" s="7" t="s">
        <v>316</v>
      </c>
      <c r="F43" s="7" t="s">
        <v>343</v>
      </c>
      <c r="G43" s="7" t="s">
        <v>36</v>
      </c>
      <c r="H43" s="215" t="s">
        <v>165</v>
      </c>
      <c r="I43" s="207" t="s">
        <v>153</v>
      </c>
      <c r="J43" s="15" t="s">
        <v>38</v>
      </c>
      <c r="K43" s="7" t="s">
        <v>154</v>
      </c>
      <c r="L43" s="7">
        <v>3</v>
      </c>
      <c r="N43" s="207">
        <v>1</v>
      </c>
      <c r="O43" s="7">
        <v>0.75</v>
      </c>
      <c r="P43" s="7">
        <v>0.65</v>
      </c>
      <c r="Q43" s="52">
        <f t="shared" si="0"/>
        <v>0.7</v>
      </c>
      <c r="R43" s="7">
        <v>17</v>
      </c>
      <c r="S43" s="7">
        <v>136</v>
      </c>
      <c r="T43" s="16">
        <f t="shared" si="1"/>
        <v>25</v>
      </c>
      <c r="U43" s="207">
        <v>138</v>
      </c>
      <c r="V43" s="16">
        <f t="shared" si="2"/>
        <v>3450</v>
      </c>
      <c r="W43" s="7">
        <v>4</v>
      </c>
      <c r="X43" s="15" t="s">
        <v>46</v>
      </c>
      <c r="Y43" s="215" t="s">
        <v>50</v>
      </c>
      <c r="Z43" s="215" t="s">
        <v>84</v>
      </c>
      <c r="AA43" s="215" t="s">
        <v>90</v>
      </c>
      <c r="AB43" s="39" t="s">
        <v>340</v>
      </c>
    </row>
    <row r="44" spans="1:44" x14ac:dyDescent="0.15">
      <c r="A44" s="15" t="s">
        <v>337</v>
      </c>
      <c r="B44" s="15" t="s">
        <v>338</v>
      </c>
      <c r="C44" s="15">
        <v>2018</v>
      </c>
      <c r="D44" s="37" t="s">
        <v>344</v>
      </c>
      <c r="E44" s="7" t="s">
        <v>130</v>
      </c>
      <c r="F44" s="7" t="s">
        <v>146</v>
      </c>
      <c r="G44" s="7" t="s">
        <v>36</v>
      </c>
      <c r="H44" s="15" t="s">
        <v>155</v>
      </c>
      <c r="I44" s="207" t="s">
        <v>153</v>
      </c>
      <c r="J44" s="15" t="s">
        <v>38</v>
      </c>
      <c r="K44" s="7" t="s">
        <v>154</v>
      </c>
      <c r="L44" s="7">
        <v>1</v>
      </c>
      <c r="N44" s="207">
        <v>1</v>
      </c>
      <c r="O44" s="7">
        <v>0.5</v>
      </c>
      <c r="P44" s="7">
        <v>0.5</v>
      </c>
      <c r="Q44" s="52">
        <f t="shared" si="0"/>
        <v>0.5</v>
      </c>
      <c r="R44" s="7">
        <v>15.4</v>
      </c>
      <c r="S44" s="7">
        <v>128</v>
      </c>
      <c r="T44" s="16">
        <f t="shared" si="1"/>
        <v>27</v>
      </c>
      <c r="U44" s="7">
        <v>102</v>
      </c>
      <c r="V44" s="16">
        <f t="shared" si="2"/>
        <v>2754</v>
      </c>
      <c r="W44" s="7">
        <v>6</v>
      </c>
      <c r="X44" s="15" t="s">
        <v>46</v>
      </c>
      <c r="Y44" s="215" t="s">
        <v>50</v>
      </c>
      <c r="Z44" s="215" t="s">
        <v>84</v>
      </c>
      <c r="AA44" s="215" t="s">
        <v>90</v>
      </c>
      <c r="AB44" s="39" t="s">
        <v>340</v>
      </c>
    </row>
    <row r="45" spans="1:44" x14ac:dyDescent="0.15">
      <c r="A45" s="15" t="s">
        <v>337</v>
      </c>
      <c r="B45" s="15" t="s">
        <v>338</v>
      </c>
      <c r="C45" s="15">
        <v>2018</v>
      </c>
      <c r="D45" s="37" t="s">
        <v>344</v>
      </c>
      <c r="E45" s="7" t="s">
        <v>130</v>
      </c>
      <c r="F45" s="7" t="s">
        <v>146</v>
      </c>
      <c r="G45" s="7" t="s">
        <v>36</v>
      </c>
      <c r="H45" s="215" t="s">
        <v>155</v>
      </c>
      <c r="I45" s="207" t="s">
        <v>153</v>
      </c>
      <c r="J45" s="15" t="s">
        <v>38</v>
      </c>
      <c r="K45" s="7" t="s">
        <v>154</v>
      </c>
      <c r="L45" s="7">
        <v>2</v>
      </c>
      <c r="N45" s="207">
        <v>1</v>
      </c>
      <c r="O45" s="7">
        <v>0.5</v>
      </c>
      <c r="P45" s="7">
        <v>0.5</v>
      </c>
      <c r="Q45" s="52">
        <f t="shared" si="0"/>
        <v>0.5</v>
      </c>
      <c r="R45" s="7">
        <v>16</v>
      </c>
      <c r="S45" s="7">
        <v>133</v>
      </c>
      <c r="T45" s="16">
        <f t="shared" si="1"/>
        <v>25</v>
      </c>
      <c r="U45" s="207">
        <v>102</v>
      </c>
      <c r="V45" s="16">
        <f t="shared" si="2"/>
        <v>2550</v>
      </c>
      <c r="W45" s="7">
        <v>6</v>
      </c>
      <c r="X45" s="15" t="s">
        <v>46</v>
      </c>
      <c r="Y45" s="215" t="s">
        <v>50</v>
      </c>
      <c r="Z45" s="215" t="s">
        <v>84</v>
      </c>
      <c r="AA45" s="215" t="s">
        <v>90</v>
      </c>
      <c r="AB45" s="39" t="s">
        <v>340</v>
      </c>
    </row>
    <row r="46" spans="1:44" x14ac:dyDescent="0.15">
      <c r="A46" s="15" t="s">
        <v>337</v>
      </c>
      <c r="B46" s="15" t="s">
        <v>338</v>
      </c>
      <c r="C46" s="15">
        <v>2018</v>
      </c>
      <c r="D46" s="37" t="s">
        <v>344</v>
      </c>
      <c r="E46" s="7" t="s">
        <v>130</v>
      </c>
      <c r="F46" s="7" t="s">
        <v>146</v>
      </c>
      <c r="G46" s="7" t="s">
        <v>36</v>
      </c>
      <c r="H46" s="215" t="s">
        <v>155</v>
      </c>
      <c r="I46" s="207" t="s">
        <v>153</v>
      </c>
      <c r="J46" s="15" t="s">
        <v>38</v>
      </c>
      <c r="K46" s="7" t="s">
        <v>154</v>
      </c>
      <c r="L46" s="7">
        <v>3</v>
      </c>
      <c r="N46" s="7">
        <v>1</v>
      </c>
      <c r="O46" s="7">
        <v>0.85</v>
      </c>
      <c r="P46" s="34">
        <v>0.85</v>
      </c>
      <c r="Q46" s="52">
        <f t="shared" si="0"/>
        <v>0.85</v>
      </c>
      <c r="R46" s="7">
        <v>13.7</v>
      </c>
      <c r="S46" s="7">
        <v>131</v>
      </c>
      <c r="T46" s="16">
        <f t="shared" si="1"/>
        <v>25</v>
      </c>
      <c r="U46" s="207">
        <v>102</v>
      </c>
      <c r="V46" s="16">
        <f t="shared" si="2"/>
        <v>2550</v>
      </c>
      <c r="W46" s="7">
        <v>6</v>
      </c>
      <c r="X46" s="15" t="s">
        <v>46</v>
      </c>
      <c r="Y46" s="215" t="s">
        <v>50</v>
      </c>
      <c r="Z46" s="215" t="s">
        <v>84</v>
      </c>
      <c r="AA46" s="215" t="s">
        <v>90</v>
      </c>
      <c r="AB46" s="39" t="s">
        <v>340</v>
      </c>
    </row>
    <row r="47" spans="1:44" x14ac:dyDescent="0.15">
      <c r="A47" s="15" t="s">
        <v>337</v>
      </c>
      <c r="B47" s="15" t="s">
        <v>338</v>
      </c>
      <c r="C47" s="15">
        <v>2018</v>
      </c>
      <c r="D47" s="37" t="s">
        <v>344</v>
      </c>
      <c r="E47" s="7" t="s">
        <v>130</v>
      </c>
      <c r="F47" s="7" t="s">
        <v>146</v>
      </c>
      <c r="G47" s="7" t="s">
        <v>36</v>
      </c>
      <c r="H47" s="15" t="s">
        <v>165</v>
      </c>
      <c r="I47" s="207" t="s">
        <v>153</v>
      </c>
      <c r="J47" s="15" t="s">
        <v>38</v>
      </c>
      <c r="K47" s="7" t="s">
        <v>154</v>
      </c>
      <c r="L47" s="7">
        <v>1</v>
      </c>
      <c r="N47" s="7">
        <v>1</v>
      </c>
      <c r="O47" s="7">
        <v>0.5</v>
      </c>
      <c r="P47" s="7">
        <v>0.5</v>
      </c>
      <c r="Q47" s="52">
        <f t="shared" si="0"/>
        <v>0.5</v>
      </c>
      <c r="R47" s="7">
        <v>14.7</v>
      </c>
      <c r="S47" s="7">
        <v>125</v>
      </c>
      <c r="T47" s="16">
        <f t="shared" si="1"/>
        <v>27</v>
      </c>
      <c r="U47" s="7">
        <v>145</v>
      </c>
      <c r="V47" s="16">
        <f t="shared" si="2"/>
        <v>3915</v>
      </c>
      <c r="W47" s="7">
        <v>6</v>
      </c>
      <c r="X47" s="15" t="s">
        <v>46</v>
      </c>
      <c r="Y47" s="215" t="s">
        <v>50</v>
      </c>
      <c r="Z47" s="215" t="s">
        <v>84</v>
      </c>
      <c r="AA47" s="215" t="s">
        <v>90</v>
      </c>
      <c r="AB47" s="39" t="s">
        <v>340</v>
      </c>
    </row>
    <row r="48" spans="1:44" x14ac:dyDescent="0.15">
      <c r="A48" s="15" t="s">
        <v>337</v>
      </c>
      <c r="B48" s="15" t="s">
        <v>338</v>
      </c>
      <c r="C48" s="15">
        <v>2018</v>
      </c>
      <c r="D48" s="37" t="s">
        <v>344</v>
      </c>
      <c r="E48" s="7" t="s">
        <v>130</v>
      </c>
      <c r="F48" s="7" t="s">
        <v>146</v>
      </c>
      <c r="G48" s="7" t="s">
        <v>36</v>
      </c>
      <c r="H48" s="215" t="s">
        <v>165</v>
      </c>
      <c r="I48" s="207" t="s">
        <v>153</v>
      </c>
      <c r="J48" s="15" t="s">
        <v>38</v>
      </c>
      <c r="K48" s="7" t="s">
        <v>154</v>
      </c>
      <c r="L48" s="7">
        <v>2</v>
      </c>
      <c r="N48" s="7">
        <v>1</v>
      </c>
      <c r="O48" s="7">
        <v>0.75</v>
      </c>
      <c r="P48" s="7">
        <v>0.65</v>
      </c>
      <c r="Q48" s="52">
        <f t="shared" si="0"/>
        <v>0.7</v>
      </c>
      <c r="R48" s="7">
        <v>18.399999999999999</v>
      </c>
      <c r="S48" s="7">
        <v>125</v>
      </c>
      <c r="T48" s="16">
        <f t="shared" si="1"/>
        <v>27</v>
      </c>
      <c r="U48" s="207">
        <v>145</v>
      </c>
      <c r="V48" s="16">
        <f t="shared" si="2"/>
        <v>3915</v>
      </c>
      <c r="W48" s="7">
        <v>6</v>
      </c>
      <c r="X48" s="15" t="s">
        <v>46</v>
      </c>
      <c r="Y48" s="215" t="s">
        <v>50</v>
      </c>
      <c r="Z48" s="215" t="s">
        <v>84</v>
      </c>
      <c r="AA48" s="215" t="s">
        <v>90</v>
      </c>
      <c r="AB48" s="39" t="s">
        <v>340</v>
      </c>
    </row>
    <row r="49" spans="1:29" x14ac:dyDescent="0.15">
      <c r="A49" s="15" t="s">
        <v>337</v>
      </c>
      <c r="B49" s="15" t="s">
        <v>338</v>
      </c>
      <c r="C49" s="15">
        <v>2018</v>
      </c>
      <c r="D49" s="37" t="s">
        <v>344</v>
      </c>
      <c r="E49" s="7" t="s">
        <v>130</v>
      </c>
      <c r="F49" s="7" t="s">
        <v>146</v>
      </c>
      <c r="G49" s="7" t="s">
        <v>36</v>
      </c>
      <c r="H49" s="215" t="s">
        <v>165</v>
      </c>
      <c r="I49" s="207" t="s">
        <v>153</v>
      </c>
      <c r="J49" s="15" t="s">
        <v>38</v>
      </c>
      <c r="K49" s="7" t="s">
        <v>154</v>
      </c>
      <c r="L49" s="7">
        <v>3</v>
      </c>
      <c r="N49" s="7">
        <v>1</v>
      </c>
      <c r="O49" s="7">
        <v>0.6</v>
      </c>
      <c r="P49" s="34">
        <v>0.7</v>
      </c>
      <c r="Q49" s="52">
        <f t="shared" si="0"/>
        <v>0.64999999999999991</v>
      </c>
      <c r="R49" s="7">
        <v>17.8</v>
      </c>
      <c r="S49" s="7">
        <v>128</v>
      </c>
      <c r="T49" s="16">
        <f t="shared" si="1"/>
        <v>27</v>
      </c>
      <c r="U49" s="207">
        <v>145</v>
      </c>
      <c r="V49" s="16">
        <f t="shared" si="2"/>
        <v>3915</v>
      </c>
      <c r="W49" s="7">
        <v>6</v>
      </c>
      <c r="X49" s="15" t="s">
        <v>46</v>
      </c>
      <c r="Y49" s="215" t="s">
        <v>50</v>
      </c>
      <c r="Z49" s="215" t="s">
        <v>84</v>
      </c>
      <c r="AA49" s="215" t="s">
        <v>90</v>
      </c>
      <c r="AB49" s="39" t="s">
        <v>340</v>
      </c>
    </row>
    <row r="50" spans="1:29" x14ac:dyDescent="0.15">
      <c r="A50" s="15" t="s">
        <v>337</v>
      </c>
      <c r="B50" s="15" t="s">
        <v>338</v>
      </c>
      <c r="C50" s="15">
        <v>2018</v>
      </c>
      <c r="D50" s="37" t="s">
        <v>344</v>
      </c>
      <c r="E50" s="7" t="s">
        <v>132</v>
      </c>
      <c r="F50" s="7" t="s">
        <v>147</v>
      </c>
      <c r="G50" s="7" t="s">
        <v>36</v>
      </c>
      <c r="H50" s="15" t="s">
        <v>155</v>
      </c>
      <c r="I50" s="207" t="s">
        <v>153</v>
      </c>
      <c r="J50" s="15" t="s">
        <v>38</v>
      </c>
      <c r="K50" s="7" t="s">
        <v>154</v>
      </c>
      <c r="L50" s="7">
        <v>1</v>
      </c>
      <c r="N50" s="7">
        <v>1</v>
      </c>
      <c r="O50" s="7">
        <v>0.55000000000000004</v>
      </c>
      <c r="P50" s="7">
        <v>0.7</v>
      </c>
      <c r="Q50" s="52">
        <f t="shared" si="0"/>
        <v>0.625</v>
      </c>
      <c r="R50" s="7">
        <v>15.8</v>
      </c>
      <c r="S50" s="7">
        <v>155</v>
      </c>
      <c r="T50" s="16">
        <f t="shared" si="1"/>
        <v>18</v>
      </c>
      <c r="U50" s="207">
        <v>84</v>
      </c>
      <c r="V50" s="16">
        <f t="shared" si="2"/>
        <v>1512</v>
      </c>
      <c r="W50" s="7">
        <v>9</v>
      </c>
      <c r="X50" s="15" t="s">
        <v>46</v>
      </c>
      <c r="Y50" s="215" t="s">
        <v>50</v>
      </c>
      <c r="Z50" s="215" t="s">
        <v>78</v>
      </c>
      <c r="AA50" s="215" t="s">
        <v>84</v>
      </c>
      <c r="AB50" s="39" t="s">
        <v>340</v>
      </c>
    </row>
    <row r="51" spans="1:29" x14ac:dyDescent="0.15">
      <c r="A51" s="15" t="s">
        <v>337</v>
      </c>
      <c r="B51" s="15" t="s">
        <v>338</v>
      </c>
      <c r="C51" s="15">
        <v>2018</v>
      </c>
      <c r="D51" s="37" t="s">
        <v>344</v>
      </c>
      <c r="E51" s="7" t="s">
        <v>132</v>
      </c>
      <c r="F51" s="7" t="s">
        <v>147</v>
      </c>
      <c r="G51" s="7" t="s">
        <v>36</v>
      </c>
      <c r="H51" s="215" t="s">
        <v>155</v>
      </c>
      <c r="I51" s="207" t="s">
        <v>153</v>
      </c>
      <c r="J51" s="15" t="s">
        <v>38</v>
      </c>
      <c r="K51" s="7" t="s">
        <v>154</v>
      </c>
      <c r="L51" s="7">
        <v>2</v>
      </c>
      <c r="N51" s="7">
        <v>1</v>
      </c>
      <c r="O51" s="7">
        <v>0.95</v>
      </c>
      <c r="P51" s="7">
        <v>0.85</v>
      </c>
      <c r="Q51" s="52">
        <f t="shared" si="0"/>
        <v>0.89999999999999991</v>
      </c>
      <c r="R51" s="7">
        <v>16.8</v>
      </c>
      <c r="S51" s="7">
        <v>157</v>
      </c>
      <c r="T51" s="16">
        <f t="shared" si="1"/>
        <v>18</v>
      </c>
      <c r="U51" s="207">
        <v>84</v>
      </c>
      <c r="V51" s="16">
        <f t="shared" si="2"/>
        <v>1512</v>
      </c>
      <c r="W51" s="7">
        <v>9</v>
      </c>
      <c r="X51" s="15" t="s">
        <v>46</v>
      </c>
      <c r="Y51" s="215" t="s">
        <v>50</v>
      </c>
      <c r="Z51" s="215" t="s">
        <v>78</v>
      </c>
      <c r="AA51" s="215" t="s">
        <v>84</v>
      </c>
      <c r="AB51" s="39" t="s">
        <v>340</v>
      </c>
    </row>
    <row r="52" spans="1:29" x14ac:dyDescent="0.15">
      <c r="A52" s="15" t="s">
        <v>337</v>
      </c>
      <c r="B52" s="15" t="s">
        <v>338</v>
      </c>
      <c r="C52" s="15">
        <v>2018</v>
      </c>
      <c r="D52" s="37" t="s">
        <v>344</v>
      </c>
      <c r="E52" s="7" t="s">
        <v>132</v>
      </c>
      <c r="F52" s="7" t="s">
        <v>147</v>
      </c>
      <c r="G52" s="7" t="s">
        <v>36</v>
      </c>
      <c r="H52" s="215" t="s">
        <v>155</v>
      </c>
      <c r="I52" s="207" t="s">
        <v>153</v>
      </c>
      <c r="J52" s="15" t="s">
        <v>38</v>
      </c>
      <c r="K52" s="7" t="s">
        <v>154</v>
      </c>
      <c r="L52" s="7">
        <v>3</v>
      </c>
      <c r="N52" s="7">
        <v>1</v>
      </c>
      <c r="O52" s="7">
        <v>0.55000000000000004</v>
      </c>
      <c r="P52" s="7">
        <v>0.65</v>
      </c>
      <c r="Q52" s="52">
        <f t="shared" si="0"/>
        <v>0.60000000000000009</v>
      </c>
      <c r="R52" s="7">
        <v>15.4</v>
      </c>
      <c r="S52" s="7">
        <v>154</v>
      </c>
      <c r="T52" s="16">
        <f t="shared" si="1"/>
        <v>18</v>
      </c>
      <c r="U52" s="207">
        <v>84</v>
      </c>
      <c r="V52" s="16">
        <f t="shared" si="2"/>
        <v>1512</v>
      </c>
      <c r="W52" s="7">
        <v>9</v>
      </c>
      <c r="X52" s="15" t="s">
        <v>46</v>
      </c>
      <c r="Y52" s="215" t="s">
        <v>50</v>
      </c>
      <c r="Z52" s="215" t="s">
        <v>78</v>
      </c>
      <c r="AA52" s="215" t="s">
        <v>84</v>
      </c>
      <c r="AB52" s="39" t="s">
        <v>340</v>
      </c>
    </row>
    <row r="53" spans="1:29" x14ac:dyDescent="0.15">
      <c r="A53" s="15" t="s">
        <v>337</v>
      </c>
      <c r="B53" s="15" t="s">
        <v>338</v>
      </c>
      <c r="C53" s="15">
        <v>2018</v>
      </c>
      <c r="D53" s="37" t="s">
        <v>344</v>
      </c>
      <c r="E53" s="7" t="s">
        <v>132</v>
      </c>
      <c r="F53" s="7" t="s">
        <v>147</v>
      </c>
      <c r="G53" s="7" t="s">
        <v>36</v>
      </c>
      <c r="H53" s="15" t="s">
        <v>165</v>
      </c>
      <c r="I53" s="207" t="s">
        <v>153</v>
      </c>
      <c r="J53" s="15" t="s">
        <v>38</v>
      </c>
      <c r="K53" s="7" t="s">
        <v>154</v>
      </c>
      <c r="L53" s="7">
        <v>1</v>
      </c>
      <c r="N53" s="7">
        <v>1</v>
      </c>
      <c r="O53" s="7">
        <v>0.6</v>
      </c>
      <c r="P53" s="7">
        <v>0.6</v>
      </c>
      <c r="Q53" s="52">
        <f t="shared" si="0"/>
        <v>0.6</v>
      </c>
      <c r="R53" s="7">
        <v>14</v>
      </c>
      <c r="S53" s="7">
        <v>122</v>
      </c>
      <c r="T53" s="16">
        <f t="shared" si="1"/>
        <v>27</v>
      </c>
      <c r="U53" s="7">
        <v>138</v>
      </c>
      <c r="V53" s="16">
        <f t="shared" si="2"/>
        <v>3726</v>
      </c>
      <c r="W53" s="7">
        <v>6</v>
      </c>
      <c r="X53" s="15" t="s">
        <v>46</v>
      </c>
      <c r="Y53" s="215" t="s">
        <v>50</v>
      </c>
      <c r="Z53" s="215" t="s">
        <v>78</v>
      </c>
      <c r="AA53" s="215" t="s">
        <v>84</v>
      </c>
      <c r="AB53" s="39" t="s">
        <v>340</v>
      </c>
      <c r="AC53" s="36"/>
    </row>
    <row r="54" spans="1:29" x14ac:dyDescent="0.15">
      <c r="A54" s="15" t="s">
        <v>337</v>
      </c>
      <c r="B54" s="15" t="s">
        <v>338</v>
      </c>
      <c r="C54" s="15">
        <v>2018</v>
      </c>
      <c r="D54" s="37" t="s">
        <v>344</v>
      </c>
      <c r="E54" s="7" t="s">
        <v>132</v>
      </c>
      <c r="F54" s="7" t="s">
        <v>147</v>
      </c>
      <c r="G54" s="7" t="s">
        <v>36</v>
      </c>
      <c r="H54" s="215" t="s">
        <v>165</v>
      </c>
      <c r="I54" s="207" t="s">
        <v>153</v>
      </c>
      <c r="J54" s="215" t="s">
        <v>38</v>
      </c>
      <c r="K54" s="7" t="s">
        <v>154</v>
      </c>
      <c r="L54" s="7">
        <v>2</v>
      </c>
      <c r="N54" s="7">
        <v>1</v>
      </c>
      <c r="O54" s="7">
        <v>0.75</v>
      </c>
      <c r="P54" s="7">
        <v>0.65</v>
      </c>
      <c r="Q54" s="52">
        <f t="shared" si="0"/>
        <v>0.7</v>
      </c>
      <c r="R54" s="7">
        <v>15.3</v>
      </c>
      <c r="S54" s="7">
        <v>122</v>
      </c>
      <c r="T54" s="16">
        <f t="shared" si="1"/>
        <v>27</v>
      </c>
      <c r="U54" s="207">
        <v>138</v>
      </c>
      <c r="V54" s="16">
        <f t="shared" si="2"/>
        <v>3726</v>
      </c>
      <c r="W54" s="7">
        <v>6</v>
      </c>
      <c r="X54" s="15" t="s">
        <v>46</v>
      </c>
      <c r="Y54" s="215" t="s">
        <v>50</v>
      </c>
      <c r="Z54" s="215" t="s">
        <v>78</v>
      </c>
      <c r="AA54" s="215" t="s">
        <v>84</v>
      </c>
      <c r="AB54" s="39" t="s">
        <v>340</v>
      </c>
      <c r="AC54" s="36"/>
    </row>
    <row r="55" spans="1:29" x14ac:dyDescent="0.15">
      <c r="A55" s="15" t="s">
        <v>337</v>
      </c>
      <c r="B55" s="15" t="s">
        <v>338</v>
      </c>
      <c r="C55" s="15">
        <v>2018</v>
      </c>
      <c r="D55" s="37" t="s">
        <v>344</v>
      </c>
      <c r="E55" s="7" t="s">
        <v>132</v>
      </c>
      <c r="F55" s="7" t="s">
        <v>147</v>
      </c>
      <c r="G55" s="7" t="s">
        <v>36</v>
      </c>
      <c r="H55" s="215" t="s">
        <v>165</v>
      </c>
      <c r="I55" s="207" t="s">
        <v>153</v>
      </c>
      <c r="J55" s="215" t="s">
        <v>38</v>
      </c>
      <c r="K55" s="7" t="s">
        <v>154</v>
      </c>
      <c r="L55" s="7">
        <v>3</v>
      </c>
      <c r="N55" s="207">
        <v>1</v>
      </c>
      <c r="O55" s="7">
        <v>0.55000000000000004</v>
      </c>
      <c r="P55" s="7">
        <v>0.55000000000000004</v>
      </c>
      <c r="Q55" s="52">
        <f t="shared" si="0"/>
        <v>0.55000000000000004</v>
      </c>
      <c r="R55" s="7">
        <v>14</v>
      </c>
      <c r="S55" s="7">
        <v>115</v>
      </c>
      <c r="T55" s="16">
        <f t="shared" si="1"/>
        <v>30</v>
      </c>
      <c r="U55" s="207">
        <v>138</v>
      </c>
      <c r="V55" s="16">
        <f t="shared" si="2"/>
        <v>4140</v>
      </c>
      <c r="W55" s="7">
        <v>6</v>
      </c>
      <c r="X55" s="15" t="s">
        <v>46</v>
      </c>
      <c r="Y55" s="215" t="s">
        <v>50</v>
      </c>
      <c r="Z55" s="215" t="s">
        <v>78</v>
      </c>
      <c r="AA55" s="215" t="s">
        <v>84</v>
      </c>
      <c r="AB55" s="39" t="s">
        <v>340</v>
      </c>
      <c r="AC55" s="36"/>
    </row>
    <row r="56" spans="1:29" x14ac:dyDescent="0.15">
      <c r="A56" s="15" t="s">
        <v>337</v>
      </c>
      <c r="B56" s="15" t="s">
        <v>338</v>
      </c>
      <c r="C56" s="15">
        <v>2018</v>
      </c>
      <c r="D56" s="37" t="s">
        <v>344</v>
      </c>
      <c r="E56" s="7" t="s">
        <v>140</v>
      </c>
      <c r="F56" s="7" t="s">
        <v>148</v>
      </c>
      <c r="G56" s="7" t="s">
        <v>36</v>
      </c>
      <c r="H56" s="15" t="s">
        <v>155</v>
      </c>
      <c r="I56" s="207" t="s">
        <v>153</v>
      </c>
      <c r="J56" s="15" t="s">
        <v>38</v>
      </c>
      <c r="K56" s="7" t="s">
        <v>154</v>
      </c>
      <c r="L56" s="7">
        <v>1</v>
      </c>
      <c r="N56" s="207">
        <v>1</v>
      </c>
      <c r="O56" s="7">
        <v>0.75</v>
      </c>
      <c r="P56" s="7">
        <v>0.75</v>
      </c>
      <c r="Q56" s="52">
        <f t="shared" si="0"/>
        <v>0.75</v>
      </c>
      <c r="R56" s="7">
        <v>15.1</v>
      </c>
      <c r="S56" s="7">
        <v>121</v>
      </c>
      <c r="T56" s="16">
        <f t="shared" si="1"/>
        <v>27</v>
      </c>
      <c r="U56" s="207">
        <v>95</v>
      </c>
      <c r="V56" s="16">
        <f t="shared" si="2"/>
        <v>2565</v>
      </c>
      <c r="W56" s="7">
        <v>10</v>
      </c>
      <c r="X56" s="15" t="s">
        <v>46</v>
      </c>
      <c r="Y56" s="215" t="s">
        <v>50</v>
      </c>
      <c r="Z56" s="215" t="s">
        <v>102</v>
      </c>
      <c r="AA56" s="215" t="s">
        <v>78</v>
      </c>
      <c r="AB56" s="39" t="s">
        <v>340</v>
      </c>
    </row>
    <row r="57" spans="1:29" x14ac:dyDescent="0.15">
      <c r="A57" s="15" t="s">
        <v>337</v>
      </c>
      <c r="B57" s="15" t="s">
        <v>338</v>
      </c>
      <c r="C57" s="15">
        <v>2018</v>
      </c>
      <c r="D57" s="37" t="s">
        <v>344</v>
      </c>
      <c r="E57" s="7" t="s">
        <v>140</v>
      </c>
      <c r="F57" s="7" t="s">
        <v>148</v>
      </c>
      <c r="G57" s="7" t="s">
        <v>36</v>
      </c>
      <c r="H57" s="215" t="s">
        <v>155</v>
      </c>
      <c r="I57" s="207" t="s">
        <v>153</v>
      </c>
      <c r="J57" s="15" t="s">
        <v>38</v>
      </c>
      <c r="K57" s="7" t="s">
        <v>154</v>
      </c>
      <c r="L57" s="7">
        <v>2</v>
      </c>
      <c r="N57" s="207">
        <v>1</v>
      </c>
      <c r="O57" s="7">
        <v>1</v>
      </c>
      <c r="P57" s="7">
        <v>1.05</v>
      </c>
      <c r="Q57" s="52">
        <f t="shared" si="0"/>
        <v>1.0249999999999999</v>
      </c>
      <c r="R57" s="7">
        <v>13.6</v>
      </c>
      <c r="S57" s="7">
        <v>116</v>
      </c>
      <c r="T57" s="16">
        <f t="shared" si="1"/>
        <v>30</v>
      </c>
      <c r="U57" s="207">
        <v>95</v>
      </c>
      <c r="V57" s="16">
        <f t="shared" si="2"/>
        <v>2850</v>
      </c>
      <c r="W57" s="7">
        <v>10</v>
      </c>
      <c r="X57" s="15" t="s">
        <v>46</v>
      </c>
      <c r="Y57" s="215" t="s">
        <v>50</v>
      </c>
      <c r="Z57" s="215" t="s">
        <v>102</v>
      </c>
      <c r="AA57" s="215" t="s">
        <v>78</v>
      </c>
      <c r="AB57" s="39" t="s">
        <v>340</v>
      </c>
    </row>
    <row r="58" spans="1:29" x14ac:dyDescent="0.15">
      <c r="A58" s="15" t="s">
        <v>337</v>
      </c>
      <c r="B58" s="15" t="s">
        <v>338</v>
      </c>
      <c r="C58" s="15">
        <v>2018</v>
      </c>
      <c r="D58" s="37" t="s">
        <v>344</v>
      </c>
      <c r="E58" s="7" t="s">
        <v>140</v>
      </c>
      <c r="F58" s="7" t="s">
        <v>148</v>
      </c>
      <c r="G58" s="7" t="s">
        <v>36</v>
      </c>
      <c r="H58" s="215" t="s">
        <v>155</v>
      </c>
      <c r="I58" s="207" t="s">
        <v>153</v>
      </c>
      <c r="J58" s="15" t="s">
        <v>38</v>
      </c>
      <c r="K58" s="7" t="s">
        <v>154</v>
      </c>
      <c r="L58" s="7">
        <v>3</v>
      </c>
      <c r="N58" s="207">
        <v>1</v>
      </c>
      <c r="O58" s="7">
        <v>0.75</v>
      </c>
      <c r="P58" s="7">
        <v>0.7</v>
      </c>
      <c r="Q58" s="52">
        <f t="shared" si="0"/>
        <v>0.72499999999999998</v>
      </c>
      <c r="R58" s="7">
        <v>15.3</v>
      </c>
      <c r="S58" s="7">
        <v>117</v>
      </c>
      <c r="T58" s="16">
        <f t="shared" si="1"/>
        <v>30</v>
      </c>
      <c r="U58" s="207">
        <v>95</v>
      </c>
      <c r="V58" s="16">
        <f t="shared" si="2"/>
        <v>2850</v>
      </c>
      <c r="W58" s="7">
        <v>10</v>
      </c>
      <c r="X58" s="15" t="s">
        <v>46</v>
      </c>
      <c r="Y58" s="215" t="s">
        <v>50</v>
      </c>
      <c r="Z58" s="215" t="s">
        <v>102</v>
      </c>
      <c r="AA58" s="215" t="s">
        <v>78</v>
      </c>
      <c r="AB58" s="39" t="s">
        <v>340</v>
      </c>
    </row>
    <row r="59" spans="1:29" x14ac:dyDescent="0.15">
      <c r="A59" s="15" t="s">
        <v>337</v>
      </c>
      <c r="B59" s="15" t="s">
        <v>338</v>
      </c>
      <c r="C59" s="15">
        <v>2018</v>
      </c>
      <c r="D59" s="37" t="s">
        <v>344</v>
      </c>
      <c r="E59" s="7" t="s">
        <v>140</v>
      </c>
      <c r="F59" s="7" t="s">
        <v>148</v>
      </c>
      <c r="G59" s="7" t="s">
        <v>36</v>
      </c>
      <c r="H59" s="15" t="s">
        <v>165</v>
      </c>
      <c r="I59" s="207" t="s">
        <v>153</v>
      </c>
      <c r="J59" s="15" t="s">
        <v>38</v>
      </c>
      <c r="K59" s="7" t="s">
        <v>154</v>
      </c>
      <c r="L59" s="7">
        <v>1</v>
      </c>
      <c r="N59" s="207">
        <v>1</v>
      </c>
      <c r="O59" s="7">
        <v>0.5</v>
      </c>
      <c r="P59" s="7">
        <v>0.5</v>
      </c>
      <c r="Q59" s="52">
        <f t="shared" si="0"/>
        <v>0.5</v>
      </c>
      <c r="R59" s="7">
        <v>16</v>
      </c>
      <c r="S59" s="7">
        <v>146</v>
      </c>
      <c r="T59" s="16">
        <f t="shared" si="1"/>
        <v>22</v>
      </c>
      <c r="U59" s="7">
        <v>95</v>
      </c>
      <c r="V59" s="16">
        <f t="shared" si="2"/>
        <v>2090</v>
      </c>
      <c r="W59" s="7">
        <v>2</v>
      </c>
      <c r="X59" s="15" t="s">
        <v>46</v>
      </c>
      <c r="Y59" s="215" t="s">
        <v>50</v>
      </c>
      <c r="Z59" s="215" t="s">
        <v>102</v>
      </c>
      <c r="AA59" s="215" t="s">
        <v>78</v>
      </c>
      <c r="AB59" s="39" t="s">
        <v>340</v>
      </c>
    </row>
    <row r="60" spans="1:29" x14ac:dyDescent="0.15">
      <c r="A60" s="15" t="s">
        <v>337</v>
      </c>
      <c r="B60" s="15" t="s">
        <v>338</v>
      </c>
      <c r="C60" s="15">
        <v>2018</v>
      </c>
      <c r="D60" s="37" t="s">
        <v>344</v>
      </c>
      <c r="E60" s="7" t="s">
        <v>140</v>
      </c>
      <c r="F60" s="7" t="s">
        <v>148</v>
      </c>
      <c r="G60" s="7" t="s">
        <v>36</v>
      </c>
      <c r="H60" s="215" t="s">
        <v>165</v>
      </c>
      <c r="I60" s="207" t="s">
        <v>153</v>
      </c>
      <c r="J60" s="15" t="s">
        <v>38</v>
      </c>
      <c r="K60" s="7" t="s">
        <v>154</v>
      </c>
      <c r="L60" s="7">
        <v>2</v>
      </c>
      <c r="N60" s="7">
        <v>1</v>
      </c>
      <c r="O60" s="7">
        <v>0.55000000000000004</v>
      </c>
      <c r="P60" s="7">
        <v>0.5</v>
      </c>
      <c r="Q60" s="52">
        <f t="shared" si="0"/>
        <v>0.52500000000000002</v>
      </c>
      <c r="R60" s="7">
        <v>16.8</v>
      </c>
      <c r="S60" s="7">
        <v>144</v>
      </c>
      <c r="T60" s="16">
        <f>IF(H60="","",IF(OR(H60="GREEN",H60="GK"),IF(S60&gt;=$AX$2,VLOOKUP(S60,$AX$2:$AY$12,2,1),""),IF(S60&gt;=$AZ$2,VLOOKUP(S60,$AZ$2:$BA$12,2,1),"")))</f>
        <v>22</v>
      </c>
      <c r="U60" s="207">
        <v>95</v>
      </c>
      <c r="V60" s="16">
        <f t="shared" si="2"/>
        <v>2090</v>
      </c>
      <c r="W60" s="7">
        <v>2</v>
      </c>
      <c r="X60" s="215" t="s">
        <v>46</v>
      </c>
      <c r="Y60" s="215" t="s">
        <v>50</v>
      </c>
      <c r="Z60" s="215" t="s">
        <v>102</v>
      </c>
      <c r="AA60" s="215" t="s">
        <v>78</v>
      </c>
      <c r="AB60" s="39" t="s">
        <v>340</v>
      </c>
    </row>
    <row r="61" spans="1:29" x14ac:dyDescent="0.15">
      <c r="A61" s="15" t="s">
        <v>337</v>
      </c>
      <c r="B61" s="15" t="s">
        <v>338</v>
      </c>
      <c r="C61" s="15">
        <v>2018</v>
      </c>
      <c r="D61" s="37" t="s">
        <v>344</v>
      </c>
      <c r="E61" s="7" t="s">
        <v>140</v>
      </c>
      <c r="F61" s="7" t="s">
        <v>148</v>
      </c>
      <c r="G61" s="7" t="s">
        <v>36</v>
      </c>
      <c r="H61" s="215" t="s">
        <v>165</v>
      </c>
      <c r="I61" s="207" t="s">
        <v>153</v>
      </c>
      <c r="J61" s="15" t="s">
        <v>38</v>
      </c>
      <c r="K61" s="7" t="s">
        <v>154</v>
      </c>
      <c r="L61" s="7">
        <v>3</v>
      </c>
      <c r="N61" s="7">
        <v>1</v>
      </c>
      <c r="O61" s="7">
        <v>0.5</v>
      </c>
      <c r="P61" s="7">
        <v>0.5</v>
      </c>
      <c r="Q61" s="52">
        <f t="shared" si="0"/>
        <v>0.5</v>
      </c>
      <c r="R61" s="7">
        <v>16.3</v>
      </c>
      <c r="S61" s="7">
        <v>140</v>
      </c>
      <c r="T61" s="16">
        <f>IF(H61="","",IF(OR(H61="GREEN",H61="GK"),IF(S61&gt;=$AX$2,VLOOKUP(S61,$AX$2:$AY$12,2,1),""),IF(S61&gt;=$AZ$2,VLOOKUP(S61,$AZ$2:$BA$12,2,1),"")))</f>
        <v>22</v>
      </c>
      <c r="U61" s="207">
        <v>95</v>
      </c>
      <c r="V61" s="16">
        <f t="shared" si="2"/>
        <v>2090</v>
      </c>
      <c r="W61" s="7">
        <v>2</v>
      </c>
      <c r="X61" s="215" t="s">
        <v>46</v>
      </c>
      <c r="Y61" s="215" t="s">
        <v>50</v>
      </c>
      <c r="Z61" s="215" t="s">
        <v>102</v>
      </c>
      <c r="AA61" s="215" t="s">
        <v>78</v>
      </c>
      <c r="AB61" s="39" t="s">
        <v>340</v>
      </c>
    </row>
    <row r="62" spans="1:29" x14ac:dyDescent="0.15">
      <c r="A62" s="15"/>
      <c r="B62" s="15"/>
      <c r="C62" s="15"/>
      <c r="D62" s="37"/>
      <c r="H62" s="15"/>
      <c r="I62" s="207"/>
      <c r="J62" s="15"/>
      <c r="Q62" s="52" t="str">
        <f t="shared" si="0"/>
        <v/>
      </c>
      <c r="T62" s="16" t="str">
        <f t="shared" ref="T62:T120" si="3">IF(H62="","",IF(OR(H62="GREEN",H62="GK"),IF(S62&gt;=$AX$2,VLOOKUP(S62,$AX$2:$AY$12,2,1),""),IF(S62&gt;=$AZ$2,VLOOKUP(S62,$AZ$2:$BA$12,2,1),"")))</f>
        <v/>
      </c>
      <c r="V62" s="16" t="str">
        <f t="shared" si="2"/>
        <v/>
      </c>
      <c r="X62" s="215"/>
      <c r="Y62" s="215"/>
      <c r="Z62" s="215"/>
      <c r="AA62" s="215"/>
      <c r="AB62" s="39"/>
    </row>
    <row r="63" spans="1:29" x14ac:dyDescent="0.15">
      <c r="A63" s="15"/>
      <c r="B63" s="15"/>
      <c r="C63" s="15"/>
      <c r="D63" s="37"/>
      <c r="H63" s="215"/>
      <c r="I63" s="207"/>
      <c r="J63" s="15"/>
      <c r="Q63" s="52" t="str">
        <f t="shared" si="0"/>
        <v/>
      </c>
      <c r="T63" s="16" t="str">
        <f t="shared" si="3"/>
        <v/>
      </c>
      <c r="U63" s="207"/>
      <c r="V63" s="16" t="str">
        <f t="shared" si="2"/>
        <v/>
      </c>
      <c r="X63" s="215"/>
      <c r="Y63" s="215"/>
      <c r="Z63" s="215"/>
      <c r="AA63" s="215"/>
      <c r="AB63" s="39"/>
    </row>
    <row r="64" spans="1:29" x14ac:dyDescent="0.15">
      <c r="A64" s="15"/>
      <c r="B64" s="15"/>
      <c r="C64" s="15"/>
      <c r="D64" s="37"/>
      <c r="H64" s="215"/>
      <c r="I64" s="207"/>
      <c r="J64" s="15"/>
      <c r="Q64" s="52" t="str">
        <f t="shared" si="0"/>
        <v/>
      </c>
      <c r="T64" s="16" t="str">
        <f t="shared" si="3"/>
        <v/>
      </c>
      <c r="U64" s="207"/>
      <c r="V64" s="16" t="str">
        <f t="shared" si="2"/>
        <v/>
      </c>
      <c r="X64" s="215"/>
      <c r="Y64" s="215"/>
      <c r="Z64" s="215"/>
      <c r="AA64" s="215"/>
      <c r="AB64" s="39"/>
    </row>
    <row r="65" spans="1:28" x14ac:dyDescent="0.15">
      <c r="A65" s="15"/>
      <c r="B65" s="15"/>
      <c r="C65" s="15"/>
      <c r="D65" s="37"/>
      <c r="H65" s="15"/>
      <c r="I65" s="207"/>
      <c r="J65" s="15"/>
      <c r="Q65" s="52" t="str">
        <f t="shared" si="0"/>
        <v/>
      </c>
      <c r="T65" s="16" t="str">
        <f t="shared" si="3"/>
        <v/>
      </c>
      <c r="V65" s="16" t="str">
        <f t="shared" si="2"/>
        <v/>
      </c>
      <c r="X65" s="215"/>
      <c r="Y65" s="215"/>
      <c r="Z65" s="215"/>
      <c r="AA65" s="215"/>
      <c r="AB65" s="39"/>
    </row>
    <row r="66" spans="1:28" x14ac:dyDescent="0.15">
      <c r="A66" s="15"/>
      <c r="B66" s="15"/>
      <c r="C66" s="15"/>
      <c r="D66" s="37"/>
      <c r="H66" s="215"/>
      <c r="I66" s="207"/>
      <c r="J66" s="15"/>
      <c r="Q66" s="52" t="str">
        <f t="shared" ref="Q66:Q77" si="4">IF(OR(O66="",P66=""),"",AVERAGE(O66,P66))</f>
        <v/>
      </c>
      <c r="T66" s="16" t="str">
        <f t="shared" si="3"/>
        <v/>
      </c>
      <c r="U66" s="207"/>
      <c r="V66" s="16" t="str">
        <f t="shared" ref="V66:V70" si="5">IF(OR(N66="",U66="",T66=""),"",U66/N66*T66)</f>
        <v/>
      </c>
      <c r="X66" s="215"/>
      <c r="Y66" s="215"/>
      <c r="Z66" s="215"/>
      <c r="AA66" s="215"/>
      <c r="AB66" s="39"/>
    </row>
    <row r="67" spans="1:28" x14ac:dyDescent="0.15">
      <c r="A67" s="15"/>
      <c r="B67" s="15"/>
      <c r="C67" s="15"/>
      <c r="D67" s="37"/>
      <c r="H67" s="215"/>
      <c r="I67" s="207"/>
      <c r="J67" s="15"/>
      <c r="Q67" s="52" t="str">
        <f t="shared" si="4"/>
        <v/>
      </c>
      <c r="T67" s="16" t="str">
        <f t="shared" si="3"/>
        <v/>
      </c>
      <c r="U67" s="207"/>
      <c r="V67" s="16" t="str">
        <f t="shared" si="5"/>
        <v/>
      </c>
      <c r="X67" s="215"/>
      <c r="Y67" s="215"/>
      <c r="Z67" s="215"/>
      <c r="AA67" s="215"/>
      <c r="AB67" s="39"/>
    </row>
    <row r="68" spans="1:28" x14ac:dyDescent="0.15">
      <c r="A68" s="15"/>
      <c r="B68" s="15"/>
      <c r="C68" s="15"/>
      <c r="D68" s="37"/>
      <c r="H68" s="15"/>
      <c r="I68" s="207"/>
      <c r="J68" s="15"/>
      <c r="Q68" s="52" t="str">
        <f t="shared" si="4"/>
        <v/>
      </c>
      <c r="T68" s="16" t="str">
        <f t="shared" si="3"/>
        <v/>
      </c>
      <c r="V68" s="16" t="str">
        <f t="shared" si="5"/>
        <v/>
      </c>
      <c r="X68" s="215"/>
      <c r="Y68" s="215"/>
      <c r="Z68" s="215"/>
      <c r="AA68" s="215"/>
      <c r="AB68" s="39"/>
    </row>
    <row r="69" spans="1:28" x14ac:dyDescent="0.15">
      <c r="A69" s="15"/>
      <c r="B69" s="15"/>
      <c r="C69" s="15"/>
      <c r="D69" s="37"/>
      <c r="H69" s="215"/>
      <c r="I69" s="207"/>
      <c r="J69" s="15"/>
      <c r="N69" s="207"/>
      <c r="Q69" s="52" t="str">
        <f t="shared" si="4"/>
        <v/>
      </c>
      <c r="T69" s="16" t="str">
        <f t="shared" si="3"/>
        <v/>
      </c>
      <c r="U69" s="207"/>
      <c r="V69" s="16" t="str">
        <f t="shared" si="5"/>
        <v/>
      </c>
      <c r="X69" s="215"/>
      <c r="Y69" s="215"/>
      <c r="Z69" s="215"/>
      <c r="AA69" s="215"/>
      <c r="AB69" s="39"/>
    </row>
    <row r="70" spans="1:28" x14ac:dyDescent="0.15">
      <c r="A70" s="15"/>
      <c r="B70" s="15"/>
      <c r="C70" s="15"/>
      <c r="D70" s="37"/>
      <c r="H70" s="215"/>
      <c r="I70" s="207"/>
      <c r="J70" s="15"/>
      <c r="N70" s="207"/>
      <c r="Q70" s="52" t="str">
        <f t="shared" si="4"/>
        <v/>
      </c>
      <c r="T70" s="16" t="str">
        <f t="shared" si="3"/>
        <v/>
      </c>
      <c r="U70" s="207"/>
      <c r="V70" s="16" t="str">
        <f t="shared" si="5"/>
        <v/>
      </c>
      <c r="X70" s="215"/>
      <c r="Y70" s="215"/>
      <c r="Z70" s="215"/>
      <c r="AA70" s="215"/>
      <c r="AB70" s="39"/>
    </row>
    <row r="71" spans="1:28" x14ac:dyDescent="0.15">
      <c r="A71" s="15"/>
      <c r="B71" s="15"/>
      <c r="C71" s="15"/>
      <c r="D71" s="37"/>
      <c r="H71" s="15"/>
      <c r="I71" s="207"/>
      <c r="J71" s="15"/>
      <c r="N71" s="207"/>
      <c r="Q71" s="52" t="str">
        <f t="shared" si="4"/>
        <v/>
      </c>
      <c r="T71" s="16" t="str">
        <f t="shared" si="3"/>
        <v/>
      </c>
      <c r="V71" s="16" t="str">
        <f>IF(OR(N71="",U71="",T71=""),"",U71/N71*T71)</f>
        <v/>
      </c>
      <c r="X71" s="15"/>
      <c r="Y71" s="15"/>
      <c r="Z71" s="15"/>
      <c r="AA71" s="15"/>
      <c r="AB71" s="39"/>
    </row>
    <row r="72" spans="1:28" x14ac:dyDescent="0.15">
      <c r="A72" s="15"/>
      <c r="B72" s="15"/>
      <c r="C72" s="15"/>
      <c r="D72" s="37"/>
      <c r="H72" s="215"/>
      <c r="I72" s="207"/>
      <c r="J72" s="215"/>
      <c r="K72" s="207"/>
      <c r="N72" s="207"/>
      <c r="Q72" s="52" t="str">
        <f t="shared" si="4"/>
        <v/>
      </c>
      <c r="T72" s="16" t="str">
        <f t="shared" si="3"/>
        <v/>
      </c>
      <c r="U72" s="207"/>
      <c r="V72" s="16" t="str">
        <f t="shared" ref="V72:V74" si="6">IF(OR(N72="",U72="",T72=""),"",U72/N72*T72)</f>
        <v/>
      </c>
      <c r="X72" s="15"/>
      <c r="Y72" s="215"/>
      <c r="Z72" s="215"/>
      <c r="AA72" s="215"/>
      <c r="AB72" s="39"/>
    </row>
    <row r="73" spans="1:28" x14ac:dyDescent="0.15">
      <c r="A73" s="15"/>
      <c r="B73" s="15"/>
      <c r="C73" s="15"/>
      <c r="D73" s="37"/>
      <c r="H73" s="215"/>
      <c r="I73" s="207"/>
      <c r="J73" s="215"/>
      <c r="K73" s="207"/>
      <c r="N73" s="207"/>
      <c r="Q73" s="52" t="str">
        <f t="shared" si="4"/>
        <v/>
      </c>
      <c r="T73" s="16" t="str">
        <f t="shared" si="3"/>
        <v/>
      </c>
      <c r="U73" s="207"/>
      <c r="V73" s="16" t="str">
        <f>IF(OR(N73="",U73="",T73=""),"",U73/N73*T73)</f>
        <v/>
      </c>
      <c r="X73" s="15"/>
      <c r="Y73" s="215"/>
      <c r="Z73" s="215"/>
      <c r="AA73" s="215"/>
      <c r="AB73" s="39"/>
    </row>
    <row r="74" spans="1:28" x14ac:dyDescent="0.15">
      <c r="A74" s="15"/>
      <c r="B74" s="15"/>
      <c r="C74" s="15"/>
      <c r="D74" s="37"/>
      <c r="H74" s="15"/>
      <c r="I74" s="207"/>
      <c r="J74" s="15"/>
      <c r="N74" s="207"/>
      <c r="Q74" s="52" t="str">
        <f t="shared" si="4"/>
        <v/>
      </c>
      <c r="T74" s="16" t="str">
        <f t="shared" si="3"/>
        <v/>
      </c>
      <c r="V74" s="16" t="str">
        <f t="shared" si="6"/>
        <v/>
      </c>
      <c r="X74" s="15"/>
      <c r="Y74" s="215"/>
      <c r="Z74" s="215"/>
      <c r="AA74" s="215"/>
      <c r="AB74" s="39"/>
    </row>
    <row r="75" spans="1:28" x14ac:dyDescent="0.15">
      <c r="A75" s="15"/>
      <c r="B75" s="15"/>
      <c r="C75" s="15"/>
      <c r="D75" s="37"/>
      <c r="H75" s="215"/>
      <c r="I75" s="207"/>
      <c r="J75" s="15"/>
      <c r="N75" s="207"/>
      <c r="Q75" s="52" t="str">
        <f t="shared" si="4"/>
        <v/>
      </c>
      <c r="T75" s="16" t="str">
        <f t="shared" si="3"/>
        <v/>
      </c>
      <c r="U75" s="207"/>
      <c r="V75" s="16" t="str">
        <f>IF(OR(N75="",U75="",T75=""),"",U75/N75*T75)</f>
        <v/>
      </c>
      <c r="X75" s="15"/>
      <c r="Y75" s="215"/>
      <c r="Z75" s="215"/>
      <c r="AA75" s="215"/>
      <c r="AB75" s="39"/>
    </row>
    <row r="76" spans="1:28" x14ac:dyDescent="0.15">
      <c r="A76" s="15"/>
      <c r="B76" s="15"/>
      <c r="C76" s="15"/>
      <c r="D76" s="37"/>
      <c r="H76" s="215"/>
      <c r="I76" s="207"/>
      <c r="J76" s="15"/>
      <c r="N76" s="207"/>
      <c r="Q76" s="52" t="str">
        <f t="shared" si="4"/>
        <v/>
      </c>
      <c r="T76" s="16" t="str">
        <f t="shared" si="3"/>
        <v/>
      </c>
      <c r="U76" s="207"/>
      <c r="V76" s="16" t="str">
        <f>IF(OR(N76="",U76="",T76=""),"",U76/N76*T76)</f>
        <v/>
      </c>
      <c r="X76" s="15"/>
      <c r="Y76" s="215"/>
      <c r="Z76" s="215"/>
      <c r="AA76" s="2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0"/>
  <sheetViews>
    <sheetView topLeftCell="A19" zoomScale="80" zoomScaleNormal="80" workbookViewId="0">
      <selection activeCell="AB82" sqref="AB82"/>
    </sheetView>
  </sheetViews>
  <sheetFormatPr defaultColWidth="9" defaultRowHeight="13.5" x14ac:dyDescent="0.15"/>
  <cols>
    <col min="1" max="3" width="9" style="236"/>
    <col min="4" max="4" width="11" style="236" bestFit="1" customWidth="1"/>
    <col min="5" max="5" width="10.875" style="236" bestFit="1" customWidth="1"/>
    <col min="6" max="16" width="9" style="236"/>
    <col min="17" max="17" width="9" style="57"/>
    <col min="18" max="18" width="9" style="236"/>
    <col min="19" max="19" width="11.625" style="236" bestFit="1" customWidth="1"/>
    <col min="20" max="20" width="9" style="57"/>
    <col min="21" max="21" width="9" style="236"/>
    <col min="22" max="22" width="9" style="58"/>
    <col min="23" max="32" width="9" style="236"/>
    <col min="33" max="33" width="14.375" style="236" bestFit="1" customWidth="1"/>
    <col min="34" max="34" width="11.375" style="236" bestFit="1" customWidth="1"/>
    <col min="35" max="16384" width="9" style="236"/>
  </cols>
  <sheetData>
    <row r="1" spans="1:53" ht="45" x14ac:dyDescent="0.15">
      <c r="A1" s="239" t="s">
        <v>0</v>
      </c>
      <c r="B1" s="201" t="s">
        <v>1</v>
      </c>
      <c r="C1" s="201" t="s">
        <v>346</v>
      </c>
      <c r="D1" s="202" t="s">
        <v>3</v>
      </c>
      <c r="E1" s="240" t="s">
        <v>4</v>
      </c>
      <c r="F1" s="240" t="s">
        <v>5</v>
      </c>
      <c r="G1" s="240" t="s">
        <v>6</v>
      </c>
      <c r="H1" s="240" t="s">
        <v>7</v>
      </c>
      <c r="I1" s="240" t="s">
        <v>8</v>
      </c>
      <c r="J1" s="240" t="s">
        <v>9</v>
      </c>
      <c r="K1" s="240" t="s">
        <v>10</v>
      </c>
      <c r="L1" s="202" t="s">
        <v>347</v>
      </c>
      <c r="M1" s="202" t="s">
        <v>12</v>
      </c>
      <c r="N1" s="202" t="s">
        <v>13</v>
      </c>
      <c r="O1" s="202" t="s">
        <v>348</v>
      </c>
      <c r="P1" s="202" t="s">
        <v>349</v>
      </c>
      <c r="Q1" s="53" t="s">
        <v>16</v>
      </c>
      <c r="R1" s="202" t="s">
        <v>350</v>
      </c>
      <c r="S1" s="202" t="s">
        <v>351</v>
      </c>
      <c r="T1" s="53" t="s">
        <v>19</v>
      </c>
      <c r="U1" s="204" t="s">
        <v>108</v>
      </c>
      <c r="V1" s="54" t="s">
        <v>20</v>
      </c>
      <c r="W1" s="202" t="s">
        <v>21</v>
      </c>
      <c r="X1" s="240" t="s">
        <v>22</v>
      </c>
      <c r="Y1" s="240" t="s">
        <v>23</v>
      </c>
      <c r="Z1" s="240" t="s">
        <v>24</v>
      </c>
      <c r="AA1" s="240" t="s">
        <v>25</v>
      </c>
      <c r="AB1" s="241" t="s">
        <v>352</v>
      </c>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353</v>
      </c>
      <c r="AY1" s="213" t="s">
        <v>354</v>
      </c>
      <c r="AZ1" s="213" t="s">
        <v>355</v>
      </c>
      <c r="BA1" s="214" t="s">
        <v>356</v>
      </c>
    </row>
    <row r="2" spans="1:53" s="55" customFormat="1" x14ac:dyDescent="0.15">
      <c r="A2" s="55" t="s">
        <v>41</v>
      </c>
      <c r="B2" s="236" t="s">
        <v>338</v>
      </c>
      <c r="C2" s="151">
        <v>2018</v>
      </c>
      <c r="D2" s="56" t="s">
        <v>357</v>
      </c>
      <c r="E2" s="236" t="s">
        <v>133</v>
      </c>
      <c r="F2" s="236" t="s">
        <v>296</v>
      </c>
      <c r="G2" s="55" t="s">
        <v>42</v>
      </c>
      <c r="H2" s="55" t="s">
        <v>155</v>
      </c>
      <c r="I2" s="55" t="s">
        <v>153</v>
      </c>
      <c r="J2" s="55" t="s">
        <v>38</v>
      </c>
      <c r="K2" s="55" t="s">
        <v>154</v>
      </c>
      <c r="L2" s="236">
        <v>1</v>
      </c>
      <c r="M2" s="236"/>
      <c r="N2" s="55">
        <v>1</v>
      </c>
      <c r="O2" s="55">
        <v>0.65</v>
      </c>
      <c r="P2" s="55">
        <v>0.5</v>
      </c>
      <c r="Q2" s="57">
        <f t="shared" ref="Q2:Q65" si="0">IF(OR(O2="",P2=""),"",AVERAGE(O2,P2))</f>
        <v>0.57499999999999996</v>
      </c>
      <c r="R2" s="55">
        <v>16</v>
      </c>
      <c r="S2" s="236">
        <v>134</v>
      </c>
      <c r="T2" s="57">
        <f t="shared" ref="T2:T10" si="1">IF(H2="","",IF(OR(H2="GREEN",H2="GK"),IF(S2&gt;=$AX$2,VLOOKUP(S2,$AX$2:$AY$10,2,1),""),IF(S2&gt;=$AZ$2,VLOOKUP(S2,$AZ$2:$BA$10,2,1),"")))</f>
        <v>25</v>
      </c>
      <c r="U2" s="236">
        <v>105</v>
      </c>
      <c r="V2" s="58">
        <f t="shared" ref="V2:V65" si="2">IF(OR(N2="",U2="",T2=""),"",U2/N2*T2)</f>
        <v>2625</v>
      </c>
      <c r="W2" s="236">
        <v>2</v>
      </c>
      <c r="X2" s="55" t="s">
        <v>46</v>
      </c>
      <c r="Y2" s="55" t="s">
        <v>102</v>
      </c>
      <c r="Z2" s="55" t="s">
        <v>50</v>
      </c>
      <c r="AA2" s="55" t="s">
        <v>90</v>
      </c>
      <c r="AB2" s="39" t="s">
        <v>341</v>
      </c>
      <c r="AE2" s="217" t="s">
        <v>35</v>
      </c>
      <c r="AG2" s="59" t="s">
        <v>133</v>
      </c>
      <c r="AH2" s="60" t="s">
        <v>296</v>
      </c>
      <c r="AJ2" s="242" t="s">
        <v>36</v>
      </c>
      <c r="AL2" s="242" t="s">
        <v>127</v>
      </c>
      <c r="AN2" s="242" t="s">
        <v>37</v>
      </c>
      <c r="AP2" s="242" t="s">
        <v>38</v>
      </c>
      <c r="AR2" s="242" t="s">
        <v>358</v>
      </c>
      <c r="AT2" s="242" t="s">
        <v>39</v>
      </c>
      <c r="AV2" s="242" t="s">
        <v>40</v>
      </c>
      <c r="AX2" s="61">
        <v>1</v>
      </c>
      <c r="AY2" s="62">
        <v>50</v>
      </c>
      <c r="AZ2" s="62">
        <v>1</v>
      </c>
      <c r="BA2" s="63">
        <v>50</v>
      </c>
    </row>
    <row r="3" spans="1:53" x14ac:dyDescent="0.15">
      <c r="A3" s="55" t="s">
        <v>41</v>
      </c>
      <c r="B3" s="236" t="s">
        <v>338</v>
      </c>
      <c r="C3" s="151">
        <v>2018</v>
      </c>
      <c r="D3" s="56" t="s">
        <v>357</v>
      </c>
      <c r="E3" s="236" t="s">
        <v>133</v>
      </c>
      <c r="F3" s="236" t="s">
        <v>296</v>
      </c>
      <c r="G3" s="55" t="s">
        <v>42</v>
      </c>
      <c r="H3" s="55" t="s">
        <v>155</v>
      </c>
      <c r="I3" s="55" t="s">
        <v>153</v>
      </c>
      <c r="J3" s="55" t="s">
        <v>38</v>
      </c>
      <c r="K3" s="55" t="s">
        <v>154</v>
      </c>
      <c r="L3" s="236">
        <v>2</v>
      </c>
      <c r="N3" s="55">
        <v>1</v>
      </c>
      <c r="O3" s="55">
        <v>0.7</v>
      </c>
      <c r="P3" s="55">
        <v>0.75</v>
      </c>
      <c r="Q3" s="57">
        <f t="shared" si="0"/>
        <v>0.72499999999999998</v>
      </c>
      <c r="R3" s="55">
        <v>15.2</v>
      </c>
      <c r="S3" s="236">
        <v>138</v>
      </c>
      <c r="T3" s="57">
        <f t="shared" si="1"/>
        <v>22</v>
      </c>
      <c r="U3" s="236">
        <v>105</v>
      </c>
      <c r="V3" s="58">
        <f t="shared" si="2"/>
        <v>2310</v>
      </c>
      <c r="W3" s="236">
        <v>2</v>
      </c>
      <c r="X3" s="55" t="s">
        <v>46</v>
      </c>
      <c r="Y3" s="55" t="s">
        <v>102</v>
      </c>
      <c r="Z3" s="55" t="s">
        <v>50</v>
      </c>
      <c r="AA3" s="55" t="s">
        <v>90</v>
      </c>
      <c r="AB3" s="39" t="s">
        <v>341</v>
      </c>
      <c r="AE3" s="222" t="s">
        <v>41</v>
      </c>
      <c r="AG3" s="64" t="s">
        <v>291</v>
      </c>
      <c r="AH3" s="64" t="s">
        <v>296</v>
      </c>
      <c r="AJ3" s="65" t="s">
        <v>42</v>
      </c>
      <c r="AL3" s="65" t="s">
        <v>128</v>
      </c>
      <c r="AN3" s="65" t="s">
        <v>43</v>
      </c>
      <c r="AP3" s="65" t="s">
        <v>44</v>
      </c>
      <c r="AR3" s="230" t="s">
        <v>45</v>
      </c>
      <c r="AT3" s="65" t="s">
        <v>46</v>
      </c>
      <c r="AV3" s="65" t="s">
        <v>47</v>
      </c>
      <c r="AX3" s="66">
        <v>72</v>
      </c>
      <c r="AY3" s="67">
        <v>46</v>
      </c>
      <c r="AZ3" s="67">
        <v>71</v>
      </c>
      <c r="BA3" s="68">
        <v>42</v>
      </c>
    </row>
    <row r="4" spans="1:53" x14ac:dyDescent="0.15">
      <c r="A4" s="55" t="s">
        <v>41</v>
      </c>
      <c r="B4" s="236" t="s">
        <v>338</v>
      </c>
      <c r="C4" s="151">
        <v>2018</v>
      </c>
      <c r="D4" s="56" t="s">
        <v>359</v>
      </c>
      <c r="E4" s="236" t="s">
        <v>133</v>
      </c>
      <c r="F4" s="236" t="s">
        <v>296</v>
      </c>
      <c r="G4" s="55" t="s">
        <v>42</v>
      </c>
      <c r="H4" s="55" t="s">
        <v>155</v>
      </c>
      <c r="I4" s="55" t="s">
        <v>153</v>
      </c>
      <c r="J4" s="55" t="s">
        <v>38</v>
      </c>
      <c r="K4" s="55" t="s">
        <v>154</v>
      </c>
      <c r="L4" s="236">
        <v>3</v>
      </c>
      <c r="N4" s="55">
        <v>1</v>
      </c>
      <c r="O4" s="55">
        <v>0.8</v>
      </c>
      <c r="P4" s="55">
        <v>0.8</v>
      </c>
      <c r="Q4" s="57">
        <f t="shared" si="0"/>
        <v>0.8</v>
      </c>
      <c r="R4" s="55">
        <v>14.8</v>
      </c>
      <c r="S4" s="236">
        <v>141</v>
      </c>
      <c r="T4" s="57">
        <f t="shared" si="1"/>
        <v>22</v>
      </c>
      <c r="U4" s="236">
        <v>105</v>
      </c>
      <c r="V4" s="58">
        <f t="shared" si="2"/>
        <v>2310</v>
      </c>
      <c r="W4" s="236">
        <v>2</v>
      </c>
      <c r="X4" s="55" t="s">
        <v>46</v>
      </c>
      <c r="Y4" s="55" t="s">
        <v>102</v>
      </c>
      <c r="Z4" s="55" t="s">
        <v>50</v>
      </c>
      <c r="AA4" s="55" t="s">
        <v>90</v>
      </c>
      <c r="AB4" s="39" t="s">
        <v>341</v>
      </c>
      <c r="AE4" s="222" t="s">
        <v>34</v>
      </c>
      <c r="AG4" s="64" t="s">
        <v>291</v>
      </c>
      <c r="AH4" s="64" t="s">
        <v>297</v>
      </c>
      <c r="AJ4" s="69" t="s">
        <v>48</v>
      </c>
      <c r="AL4" s="69" t="s">
        <v>129</v>
      </c>
      <c r="AN4" s="243" t="s">
        <v>49</v>
      </c>
      <c r="AP4" s="65" t="s">
        <v>360</v>
      </c>
      <c r="AR4" s="230" t="s">
        <v>361</v>
      </c>
      <c r="AT4" s="243"/>
      <c r="AV4" s="65" t="s">
        <v>50</v>
      </c>
      <c r="AX4" s="66">
        <v>75</v>
      </c>
      <c r="AY4" s="67">
        <v>42</v>
      </c>
      <c r="AZ4" s="67">
        <v>76</v>
      </c>
      <c r="BA4" s="68">
        <v>39</v>
      </c>
    </row>
    <row r="5" spans="1:53" s="55" customFormat="1" ht="13.5" customHeight="1" x14ac:dyDescent="0.15">
      <c r="A5" s="55" t="s">
        <v>41</v>
      </c>
      <c r="B5" s="236" t="s">
        <v>338</v>
      </c>
      <c r="C5" s="151">
        <v>2018</v>
      </c>
      <c r="D5" s="56" t="s">
        <v>359</v>
      </c>
      <c r="E5" s="236" t="s">
        <v>133</v>
      </c>
      <c r="F5" s="236" t="s">
        <v>296</v>
      </c>
      <c r="G5" s="55" t="s">
        <v>42</v>
      </c>
      <c r="H5" s="55" t="s">
        <v>155</v>
      </c>
      <c r="I5" s="55" t="s">
        <v>153</v>
      </c>
      <c r="J5" s="55" t="s">
        <v>38</v>
      </c>
      <c r="K5" s="55" t="s">
        <v>154</v>
      </c>
      <c r="L5" s="236">
        <v>1</v>
      </c>
      <c r="N5" s="55">
        <v>9</v>
      </c>
      <c r="O5" s="55">
        <v>0.25</v>
      </c>
      <c r="P5" s="55">
        <v>0.25</v>
      </c>
      <c r="Q5" s="57">
        <f t="shared" si="0"/>
        <v>0.25</v>
      </c>
      <c r="R5" s="55">
        <v>12.9</v>
      </c>
      <c r="S5" s="236">
        <v>140</v>
      </c>
      <c r="T5" s="77">
        <f t="shared" si="1"/>
        <v>22</v>
      </c>
      <c r="U5" s="55">
        <v>753</v>
      </c>
      <c r="V5" s="78">
        <f t="shared" si="2"/>
        <v>1840.6666666666667</v>
      </c>
      <c r="W5" s="55">
        <v>3</v>
      </c>
      <c r="X5" s="55" t="s">
        <v>46</v>
      </c>
      <c r="Y5" s="55" t="s">
        <v>102</v>
      </c>
      <c r="Z5" s="55" t="s">
        <v>50</v>
      </c>
      <c r="AA5" s="55" t="s">
        <v>90</v>
      </c>
      <c r="AB5" s="39" t="s">
        <v>341</v>
      </c>
      <c r="AC5" s="236"/>
      <c r="AD5" s="236"/>
      <c r="AE5" s="70" t="s">
        <v>362</v>
      </c>
      <c r="AG5" s="64" t="s">
        <v>292</v>
      </c>
      <c r="AH5" s="64" t="s">
        <v>296</v>
      </c>
      <c r="AJ5" s="71"/>
      <c r="AL5" s="72" t="s">
        <v>363</v>
      </c>
      <c r="AN5" s="72" t="s">
        <v>364</v>
      </c>
      <c r="AP5" s="230" t="s">
        <v>365</v>
      </c>
      <c r="AR5" s="230" t="s">
        <v>54</v>
      </c>
      <c r="AV5" s="230" t="s">
        <v>55</v>
      </c>
      <c r="AX5" s="73">
        <v>84</v>
      </c>
      <c r="AY5" s="74">
        <v>39</v>
      </c>
      <c r="AZ5" s="74">
        <v>84</v>
      </c>
      <c r="BA5" s="75">
        <v>36</v>
      </c>
    </row>
    <row r="6" spans="1:53" x14ac:dyDescent="0.15">
      <c r="A6" s="55" t="s">
        <v>41</v>
      </c>
      <c r="B6" s="236" t="s">
        <v>338</v>
      </c>
      <c r="C6" s="151">
        <v>2018</v>
      </c>
      <c r="D6" s="56" t="s">
        <v>359</v>
      </c>
      <c r="E6" s="236" t="s">
        <v>133</v>
      </c>
      <c r="F6" s="236" t="s">
        <v>296</v>
      </c>
      <c r="G6" s="55" t="s">
        <v>42</v>
      </c>
      <c r="H6" s="55" t="s">
        <v>155</v>
      </c>
      <c r="I6" s="55" t="s">
        <v>153</v>
      </c>
      <c r="J6" s="55" t="s">
        <v>38</v>
      </c>
      <c r="K6" s="55" t="s">
        <v>154</v>
      </c>
      <c r="L6" s="236">
        <v>2</v>
      </c>
      <c r="N6" s="55">
        <v>9</v>
      </c>
      <c r="O6" s="55">
        <v>0.3</v>
      </c>
      <c r="P6" s="55">
        <v>0.25</v>
      </c>
      <c r="Q6" s="57">
        <f t="shared" si="0"/>
        <v>0.27500000000000002</v>
      </c>
      <c r="R6" s="55">
        <v>14</v>
      </c>
      <c r="S6" s="236">
        <v>141</v>
      </c>
      <c r="T6" s="77">
        <f t="shared" si="1"/>
        <v>22</v>
      </c>
      <c r="U6" s="55">
        <v>753</v>
      </c>
      <c r="V6" s="78">
        <f t="shared" si="2"/>
        <v>1840.6666666666667</v>
      </c>
      <c r="W6" s="55">
        <v>3</v>
      </c>
      <c r="X6" s="55" t="s">
        <v>46</v>
      </c>
      <c r="Y6" s="55" t="s">
        <v>102</v>
      </c>
      <c r="Z6" s="55" t="s">
        <v>50</v>
      </c>
      <c r="AA6" s="55" t="s">
        <v>90</v>
      </c>
      <c r="AB6" s="39" t="s">
        <v>341</v>
      </c>
      <c r="AE6" s="222" t="s">
        <v>56</v>
      </c>
      <c r="AG6" s="64" t="s">
        <v>292</v>
      </c>
      <c r="AH6" s="64" t="s">
        <v>298</v>
      </c>
      <c r="AL6" s="72" t="s">
        <v>366</v>
      </c>
      <c r="AN6" s="72" t="s">
        <v>367</v>
      </c>
      <c r="AP6" s="65" t="s">
        <v>53</v>
      </c>
      <c r="AR6" s="230" t="s">
        <v>59</v>
      </c>
      <c r="AV6" s="65" t="s">
        <v>60</v>
      </c>
      <c r="AX6" s="66">
        <v>97</v>
      </c>
      <c r="AY6" s="67">
        <v>36</v>
      </c>
      <c r="AZ6" s="67">
        <v>99</v>
      </c>
      <c r="BA6" s="68">
        <v>33</v>
      </c>
    </row>
    <row r="7" spans="1:53" x14ac:dyDescent="0.15">
      <c r="A7" s="55" t="s">
        <v>41</v>
      </c>
      <c r="B7" s="236" t="s">
        <v>338</v>
      </c>
      <c r="C7" s="151">
        <v>2018</v>
      </c>
      <c r="D7" s="56" t="s">
        <v>359</v>
      </c>
      <c r="E7" s="236" t="s">
        <v>133</v>
      </c>
      <c r="F7" s="236" t="s">
        <v>296</v>
      </c>
      <c r="G7" s="55" t="s">
        <v>42</v>
      </c>
      <c r="H7" s="55" t="s">
        <v>155</v>
      </c>
      <c r="I7" s="55" t="s">
        <v>153</v>
      </c>
      <c r="J7" s="55" t="s">
        <v>38</v>
      </c>
      <c r="K7" s="55" t="s">
        <v>154</v>
      </c>
      <c r="L7" s="236">
        <v>3</v>
      </c>
      <c r="N7" s="55">
        <v>9</v>
      </c>
      <c r="O7" s="55">
        <v>0.25</v>
      </c>
      <c r="P7" s="55">
        <v>0.25</v>
      </c>
      <c r="Q7" s="57">
        <f t="shared" si="0"/>
        <v>0.25</v>
      </c>
      <c r="R7" s="55">
        <v>13.8</v>
      </c>
      <c r="S7" s="236">
        <v>145</v>
      </c>
      <c r="T7" s="77">
        <f t="shared" si="1"/>
        <v>22</v>
      </c>
      <c r="U7" s="55">
        <v>753</v>
      </c>
      <c r="V7" s="78">
        <f t="shared" si="2"/>
        <v>1840.6666666666667</v>
      </c>
      <c r="W7" s="236">
        <v>3</v>
      </c>
      <c r="X7" s="55" t="s">
        <v>46</v>
      </c>
      <c r="Y7" s="55" t="s">
        <v>102</v>
      </c>
      <c r="Z7" s="55" t="s">
        <v>50</v>
      </c>
      <c r="AA7" s="55" t="s">
        <v>90</v>
      </c>
      <c r="AB7" s="39" t="s">
        <v>341</v>
      </c>
      <c r="AE7" s="222" t="s">
        <v>61</v>
      </c>
      <c r="AG7" s="64" t="s">
        <v>293</v>
      </c>
      <c r="AH7" s="64" t="s">
        <v>298</v>
      </c>
      <c r="AL7" s="76" t="s">
        <v>368</v>
      </c>
      <c r="AP7" s="65" t="s">
        <v>58</v>
      </c>
      <c r="AR7" s="230" t="s">
        <v>122</v>
      </c>
      <c r="AV7" s="65" t="s">
        <v>64</v>
      </c>
      <c r="AX7" s="66">
        <v>109</v>
      </c>
      <c r="AY7" s="67">
        <v>33</v>
      </c>
      <c r="AZ7" s="67">
        <v>113</v>
      </c>
      <c r="BA7" s="68">
        <v>30</v>
      </c>
    </row>
    <row r="8" spans="1:53" x14ac:dyDescent="0.15">
      <c r="A8" s="55" t="s">
        <v>41</v>
      </c>
      <c r="B8" s="236" t="s">
        <v>338</v>
      </c>
      <c r="C8" s="151">
        <v>2018</v>
      </c>
      <c r="D8" s="56" t="s">
        <v>359</v>
      </c>
      <c r="E8" s="236" t="s">
        <v>133</v>
      </c>
      <c r="F8" s="236" t="s">
        <v>296</v>
      </c>
      <c r="G8" s="55" t="s">
        <v>42</v>
      </c>
      <c r="H8" s="55" t="s">
        <v>165</v>
      </c>
      <c r="I8" s="55" t="s">
        <v>153</v>
      </c>
      <c r="J8" s="55" t="s">
        <v>38</v>
      </c>
      <c r="K8" s="55" t="s">
        <v>154</v>
      </c>
      <c r="L8" s="236">
        <v>1</v>
      </c>
      <c r="M8" s="55"/>
      <c r="N8" s="55">
        <v>1</v>
      </c>
      <c r="O8" s="55">
        <v>0.95</v>
      </c>
      <c r="P8" s="55">
        <v>1.1000000000000001</v>
      </c>
      <c r="Q8" s="57">
        <f t="shared" si="0"/>
        <v>1.0249999999999999</v>
      </c>
      <c r="R8" s="236">
        <v>15.7</v>
      </c>
      <c r="S8" s="236">
        <v>141</v>
      </c>
      <c r="T8" s="77">
        <f t="shared" si="1"/>
        <v>22</v>
      </c>
      <c r="U8" s="55">
        <v>149</v>
      </c>
      <c r="V8" s="78">
        <f t="shared" si="2"/>
        <v>3278</v>
      </c>
      <c r="W8" s="55">
        <v>2</v>
      </c>
      <c r="X8" s="55" t="s">
        <v>46</v>
      </c>
      <c r="Y8" s="55" t="s">
        <v>102</v>
      </c>
      <c r="Z8" s="55" t="s">
        <v>50</v>
      </c>
      <c r="AA8" s="55" t="s">
        <v>90</v>
      </c>
      <c r="AB8" s="39" t="s">
        <v>341</v>
      </c>
      <c r="AC8" s="55"/>
      <c r="AD8" s="55"/>
      <c r="AE8" s="222" t="s">
        <v>59</v>
      </c>
      <c r="AG8" s="64" t="s">
        <v>294</v>
      </c>
      <c r="AH8" s="64" t="s">
        <v>299</v>
      </c>
      <c r="AL8" s="76" t="s">
        <v>369</v>
      </c>
      <c r="AP8" s="65" t="s">
        <v>62</v>
      </c>
      <c r="AR8" s="230" t="s">
        <v>81</v>
      </c>
      <c r="AV8" s="65" t="s">
        <v>97</v>
      </c>
      <c r="AX8" s="66">
        <v>119</v>
      </c>
      <c r="AY8" s="67">
        <v>30</v>
      </c>
      <c r="AZ8" s="67">
        <v>121</v>
      </c>
      <c r="BA8" s="68">
        <v>27</v>
      </c>
    </row>
    <row r="9" spans="1:53" x14ac:dyDescent="0.15">
      <c r="A9" s="55" t="s">
        <v>41</v>
      </c>
      <c r="B9" s="236" t="s">
        <v>338</v>
      </c>
      <c r="C9" s="151">
        <v>2018</v>
      </c>
      <c r="D9" s="56" t="s">
        <v>359</v>
      </c>
      <c r="E9" s="236" t="s">
        <v>133</v>
      </c>
      <c r="F9" s="236" t="s">
        <v>296</v>
      </c>
      <c r="G9" s="55" t="s">
        <v>42</v>
      </c>
      <c r="H9" s="55" t="s">
        <v>165</v>
      </c>
      <c r="I9" s="55" t="s">
        <v>153</v>
      </c>
      <c r="J9" s="55" t="s">
        <v>38</v>
      </c>
      <c r="K9" s="55" t="s">
        <v>154</v>
      </c>
      <c r="L9" s="236">
        <v>2</v>
      </c>
      <c r="N9" s="55">
        <v>1</v>
      </c>
      <c r="O9" s="55">
        <v>1</v>
      </c>
      <c r="P9" s="55">
        <v>1.2</v>
      </c>
      <c r="Q9" s="57">
        <f t="shared" si="0"/>
        <v>1.1000000000000001</v>
      </c>
      <c r="R9" s="236">
        <v>16.899999999999999</v>
      </c>
      <c r="S9" s="236">
        <v>138</v>
      </c>
      <c r="T9" s="77">
        <f t="shared" si="1"/>
        <v>22</v>
      </c>
      <c r="U9" s="55">
        <v>149</v>
      </c>
      <c r="V9" s="58">
        <f t="shared" si="2"/>
        <v>3278</v>
      </c>
      <c r="W9" s="236">
        <v>2</v>
      </c>
      <c r="X9" s="55" t="s">
        <v>46</v>
      </c>
      <c r="Y9" s="55" t="s">
        <v>102</v>
      </c>
      <c r="Z9" s="55" t="s">
        <v>50</v>
      </c>
      <c r="AA9" s="55" t="s">
        <v>90</v>
      </c>
      <c r="AB9" s="39" t="s">
        <v>341</v>
      </c>
      <c r="AE9" s="222" t="s">
        <v>98</v>
      </c>
      <c r="AG9" s="64" t="s">
        <v>294</v>
      </c>
      <c r="AH9" s="64" t="s">
        <v>300</v>
      </c>
      <c r="AL9" s="72"/>
      <c r="AP9" s="65" t="s">
        <v>95</v>
      </c>
      <c r="AR9" s="230" t="s">
        <v>89</v>
      </c>
      <c r="AV9" s="65" t="s">
        <v>102</v>
      </c>
      <c r="AX9" s="66">
        <v>128</v>
      </c>
      <c r="AY9" s="67">
        <v>27</v>
      </c>
      <c r="AZ9" s="67">
        <v>129</v>
      </c>
      <c r="BA9" s="68">
        <v>25</v>
      </c>
    </row>
    <row r="10" spans="1:53" x14ac:dyDescent="0.15">
      <c r="A10" s="55" t="s">
        <v>41</v>
      </c>
      <c r="B10" s="236" t="s">
        <v>338</v>
      </c>
      <c r="C10" s="151">
        <v>2018</v>
      </c>
      <c r="D10" s="56" t="s">
        <v>359</v>
      </c>
      <c r="E10" s="236" t="s">
        <v>133</v>
      </c>
      <c r="F10" s="236" t="s">
        <v>296</v>
      </c>
      <c r="G10" s="55" t="s">
        <v>42</v>
      </c>
      <c r="H10" s="55" t="s">
        <v>165</v>
      </c>
      <c r="I10" s="55" t="s">
        <v>153</v>
      </c>
      <c r="J10" s="55" t="s">
        <v>38</v>
      </c>
      <c r="K10" s="55" t="s">
        <v>154</v>
      </c>
      <c r="L10" s="236">
        <v>3</v>
      </c>
      <c r="N10" s="55">
        <v>1</v>
      </c>
      <c r="O10" s="55">
        <v>1.05</v>
      </c>
      <c r="P10" s="55">
        <v>1</v>
      </c>
      <c r="Q10" s="57">
        <f t="shared" si="0"/>
        <v>1.0249999999999999</v>
      </c>
      <c r="R10" s="236">
        <v>15.8</v>
      </c>
      <c r="S10" s="236">
        <v>138</v>
      </c>
      <c r="T10" s="77">
        <f t="shared" si="1"/>
        <v>22</v>
      </c>
      <c r="U10" s="55">
        <v>149</v>
      </c>
      <c r="V10" s="58">
        <f t="shared" si="2"/>
        <v>3278</v>
      </c>
      <c r="W10" s="236">
        <v>2</v>
      </c>
      <c r="X10" s="55" t="s">
        <v>46</v>
      </c>
      <c r="Y10" s="55" t="s">
        <v>102</v>
      </c>
      <c r="Z10" s="55" t="s">
        <v>50</v>
      </c>
      <c r="AA10" s="55" t="s">
        <v>90</v>
      </c>
      <c r="AB10" s="39" t="s">
        <v>341</v>
      </c>
      <c r="AE10" s="222" t="s">
        <v>103</v>
      </c>
      <c r="AG10" s="64" t="s">
        <v>295</v>
      </c>
      <c r="AH10" s="64" t="s">
        <v>301</v>
      </c>
      <c r="AL10" s="76"/>
      <c r="AP10" s="65" t="s">
        <v>100</v>
      </c>
      <c r="AR10" s="230" t="s">
        <v>123</v>
      </c>
      <c r="AV10" s="65" t="s">
        <v>106</v>
      </c>
      <c r="AX10" s="66">
        <v>138</v>
      </c>
      <c r="AY10" s="67">
        <v>25</v>
      </c>
      <c r="AZ10" s="67">
        <v>138</v>
      </c>
      <c r="BA10" s="68">
        <v>22</v>
      </c>
    </row>
    <row r="11" spans="1:53" x14ac:dyDescent="0.15">
      <c r="A11" s="55" t="s">
        <v>41</v>
      </c>
      <c r="B11" s="236" t="s">
        <v>338</v>
      </c>
      <c r="C11" s="151">
        <v>2018</v>
      </c>
      <c r="D11" s="56" t="s">
        <v>359</v>
      </c>
      <c r="E11" s="236" t="s">
        <v>133</v>
      </c>
      <c r="F11" s="55" t="s">
        <v>296</v>
      </c>
      <c r="G11" s="55" t="s">
        <v>42</v>
      </c>
      <c r="H11" s="55" t="s">
        <v>165</v>
      </c>
      <c r="I11" s="55" t="s">
        <v>153</v>
      </c>
      <c r="J11" s="55" t="s">
        <v>38</v>
      </c>
      <c r="K11" s="55" t="s">
        <v>154</v>
      </c>
      <c r="L11" s="236">
        <v>1</v>
      </c>
      <c r="N11" s="55">
        <v>6</v>
      </c>
      <c r="O11" s="55">
        <v>0.45</v>
      </c>
      <c r="P11" s="55">
        <v>0.5</v>
      </c>
      <c r="Q11" s="57">
        <f t="shared" si="0"/>
        <v>0.47499999999999998</v>
      </c>
      <c r="R11" s="236">
        <v>18.7</v>
      </c>
      <c r="S11" s="236">
        <v>129</v>
      </c>
      <c r="T11" s="77">
        <f t="shared" ref="T11:T19" si="3">IF(H11="","",IF(OR(H11="GREEN",H11="GK"),IF(S11&gt;=$AX$2,VLOOKUP(S11,$AX$2:$AY$12,2,1),""),IF(S11&gt;=$AZ$2,VLOOKUP(S11,$AZ$2:$BA$12,2,1),"")))</f>
        <v>25</v>
      </c>
      <c r="U11" s="55">
        <v>753</v>
      </c>
      <c r="V11" s="58">
        <f t="shared" si="2"/>
        <v>3137.5</v>
      </c>
      <c r="W11" s="236">
        <v>2</v>
      </c>
      <c r="X11" s="55" t="s">
        <v>46</v>
      </c>
      <c r="Y11" s="55" t="s">
        <v>102</v>
      </c>
      <c r="Z11" s="55" t="s">
        <v>50</v>
      </c>
      <c r="AA11" s="55" t="s">
        <v>90</v>
      </c>
      <c r="AB11" s="39" t="s">
        <v>341</v>
      </c>
      <c r="AE11" s="222" t="s">
        <v>65</v>
      </c>
      <c r="AG11" s="64" t="s">
        <v>171</v>
      </c>
      <c r="AH11" s="64" t="s">
        <v>302</v>
      </c>
      <c r="AL11" s="76"/>
      <c r="AP11" s="65" t="s">
        <v>104</v>
      </c>
      <c r="AR11" s="230" t="s">
        <v>87</v>
      </c>
      <c r="AV11" s="65" t="s">
        <v>69</v>
      </c>
      <c r="AX11" s="66">
        <v>151</v>
      </c>
      <c r="AY11" s="67">
        <v>22</v>
      </c>
      <c r="AZ11" s="67">
        <v>152</v>
      </c>
      <c r="BA11" s="68">
        <v>18</v>
      </c>
    </row>
    <row r="12" spans="1:53" x14ac:dyDescent="0.15">
      <c r="A12" s="55" t="s">
        <v>41</v>
      </c>
      <c r="B12" s="236" t="s">
        <v>338</v>
      </c>
      <c r="C12" s="151">
        <v>2018</v>
      </c>
      <c r="D12" s="56" t="s">
        <v>359</v>
      </c>
      <c r="E12" s="236" t="s">
        <v>133</v>
      </c>
      <c r="F12" s="55" t="s">
        <v>296</v>
      </c>
      <c r="G12" s="55" t="s">
        <v>42</v>
      </c>
      <c r="H12" s="55" t="s">
        <v>165</v>
      </c>
      <c r="I12" s="55" t="s">
        <v>153</v>
      </c>
      <c r="J12" s="55" t="s">
        <v>38</v>
      </c>
      <c r="K12" s="55" t="s">
        <v>154</v>
      </c>
      <c r="L12" s="236">
        <v>2</v>
      </c>
      <c r="N12" s="55">
        <v>6</v>
      </c>
      <c r="O12" s="55">
        <v>0.65</v>
      </c>
      <c r="P12" s="55">
        <v>0.8</v>
      </c>
      <c r="Q12" s="57">
        <f t="shared" si="0"/>
        <v>0.72500000000000009</v>
      </c>
      <c r="R12" s="236">
        <v>17.399999999999999</v>
      </c>
      <c r="S12" s="236">
        <v>132</v>
      </c>
      <c r="T12" s="77">
        <f t="shared" si="3"/>
        <v>25</v>
      </c>
      <c r="U12" s="55">
        <v>753</v>
      </c>
      <c r="V12" s="58">
        <f t="shared" si="2"/>
        <v>3137.5</v>
      </c>
      <c r="W12" s="236">
        <v>2</v>
      </c>
      <c r="X12" s="55" t="s">
        <v>46</v>
      </c>
      <c r="Y12" s="55" t="s">
        <v>102</v>
      </c>
      <c r="Z12" s="55" t="s">
        <v>50</v>
      </c>
      <c r="AA12" s="55" t="s">
        <v>90</v>
      </c>
      <c r="AB12" s="39" t="s">
        <v>341</v>
      </c>
      <c r="AE12" s="222" t="s">
        <v>70</v>
      </c>
      <c r="AG12" s="70"/>
      <c r="AH12" s="70"/>
      <c r="AL12" s="76"/>
      <c r="AP12" s="65" t="s">
        <v>67</v>
      </c>
      <c r="AR12" s="230" t="s">
        <v>124</v>
      </c>
      <c r="AV12" s="65" t="s">
        <v>72</v>
      </c>
      <c r="AX12" s="79">
        <v>180</v>
      </c>
      <c r="AY12" s="80">
        <v>18</v>
      </c>
      <c r="AZ12" s="80">
        <v>181</v>
      </c>
      <c r="BA12" s="81">
        <v>16</v>
      </c>
    </row>
    <row r="13" spans="1:53" x14ac:dyDescent="0.15">
      <c r="A13" s="55" t="s">
        <v>41</v>
      </c>
      <c r="B13" s="236" t="s">
        <v>338</v>
      </c>
      <c r="C13" s="151">
        <v>2018</v>
      </c>
      <c r="D13" s="56" t="s">
        <v>359</v>
      </c>
      <c r="E13" s="236" t="s">
        <v>133</v>
      </c>
      <c r="F13" s="55" t="s">
        <v>296</v>
      </c>
      <c r="G13" s="55" t="s">
        <v>42</v>
      </c>
      <c r="H13" s="55" t="s">
        <v>165</v>
      </c>
      <c r="I13" s="55" t="s">
        <v>153</v>
      </c>
      <c r="J13" s="55" t="s">
        <v>38</v>
      </c>
      <c r="K13" s="55" t="s">
        <v>154</v>
      </c>
      <c r="L13" s="236">
        <v>3</v>
      </c>
      <c r="N13" s="55">
        <v>6</v>
      </c>
      <c r="O13" s="55">
        <v>0.6</v>
      </c>
      <c r="P13" s="55">
        <v>0.55000000000000004</v>
      </c>
      <c r="Q13" s="57">
        <f t="shared" si="0"/>
        <v>0.57499999999999996</v>
      </c>
      <c r="R13" s="236">
        <v>16.399999999999999</v>
      </c>
      <c r="S13" s="236">
        <v>134</v>
      </c>
      <c r="T13" s="77">
        <f t="shared" si="3"/>
        <v>25</v>
      </c>
      <c r="U13" s="55">
        <v>753</v>
      </c>
      <c r="V13" s="58">
        <f t="shared" si="2"/>
        <v>3137.5</v>
      </c>
      <c r="W13" s="236">
        <v>2</v>
      </c>
      <c r="X13" s="55" t="s">
        <v>46</v>
      </c>
      <c r="Y13" s="55" t="s">
        <v>102</v>
      </c>
      <c r="Z13" s="55" t="s">
        <v>50</v>
      </c>
      <c r="AA13" s="55" t="s">
        <v>90</v>
      </c>
      <c r="AB13" s="39" t="s">
        <v>341</v>
      </c>
      <c r="AE13" s="222" t="s">
        <v>73</v>
      </c>
      <c r="AG13" s="230"/>
      <c r="AH13" s="230"/>
      <c r="AP13" s="65" t="s">
        <v>71</v>
      </c>
      <c r="AR13" s="230" t="s">
        <v>103</v>
      </c>
      <c r="AV13" s="65" t="s">
        <v>75</v>
      </c>
    </row>
    <row r="14" spans="1:53" x14ac:dyDescent="0.15">
      <c r="A14" s="55" t="s">
        <v>41</v>
      </c>
      <c r="B14" s="236" t="s">
        <v>338</v>
      </c>
      <c r="C14" s="151">
        <v>2018</v>
      </c>
      <c r="D14" s="56" t="s">
        <v>359</v>
      </c>
      <c r="E14" s="236" t="s">
        <v>291</v>
      </c>
      <c r="F14" s="55" t="s">
        <v>296</v>
      </c>
      <c r="G14" s="55" t="s">
        <v>42</v>
      </c>
      <c r="H14" s="55" t="s">
        <v>165</v>
      </c>
      <c r="I14" s="55" t="s">
        <v>153</v>
      </c>
      <c r="J14" s="55" t="s">
        <v>38</v>
      </c>
      <c r="K14" s="55" t="s">
        <v>154</v>
      </c>
      <c r="L14" s="236">
        <v>1</v>
      </c>
      <c r="N14" s="55">
        <v>3</v>
      </c>
      <c r="O14" s="236">
        <v>0.95</v>
      </c>
      <c r="P14" s="236">
        <v>1.05</v>
      </c>
      <c r="Q14" s="57">
        <f t="shared" si="0"/>
        <v>1</v>
      </c>
      <c r="R14" s="236">
        <v>16.2</v>
      </c>
      <c r="S14" s="236">
        <v>132</v>
      </c>
      <c r="T14" s="77">
        <f t="shared" si="3"/>
        <v>25</v>
      </c>
      <c r="U14" s="55">
        <v>537</v>
      </c>
      <c r="V14" s="58">
        <f t="shared" si="2"/>
        <v>4475</v>
      </c>
      <c r="W14" s="236">
        <v>1</v>
      </c>
      <c r="X14" s="55" t="s">
        <v>39</v>
      </c>
      <c r="Y14" s="55" t="s">
        <v>50</v>
      </c>
      <c r="Z14" s="55" t="s">
        <v>78</v>
      </c>
      <c r="AA14" s="55" t="s">
        <v>102</v>
      </c>
      <c r="AB14" s="39" t="s">
        <v>341</v>
      </c>
      <c r="AE14" s="222" t="s">
        <v>76</v>
      </c>
      <c r="AG14" s="230"/>
      <c r="AH14" s="230"/>
      <c r="AP14" s="65" t="s">
        <v>74</v>
      </c>
      <c r="AR14" s="230" t="s">
        <v>125</v>
      </c>
      <c r="AV14" s="65" t="s">
        <v>78</v>
      </c>
    </row>
    <row r="15" spans="1:53" x14ac:dyDescent="0.15">
      <c r="A15" s="55" t="s">
        <v>41</v>
      </c>
      <c r="B15" s="236" t="s">
        <v>338</v>
      </c>
      <c r="C15" s="151">
        <v>2018</v>
      </c>
      <c r="D15" s="56" t="s">
        <v>359</v>
      </c>
      <c r="E15" s="236" t="s">
        <v>291</v>
      </c>
      <c r="F15" s="55" t="s">
        <v>296</v>
      </c>
      <c r="G15" s="55" t="s">
        <v>42</v>
      </c>
      <c r="H15" s="55" t="s">
        <v>165</v>
      </c>
      <c r="I15" s="55" t="s">
        <v>153</v>
      </c>
      <c r="J15" s="55" t="s">
        <v>38</v>
      </c>
      <c r="K15" s="55" t="s">
        <v>154</v>
      </c>
      <c r="L15" s="236">
        <v>2</v>
      </c>
      <c r="N15" s="55">
        <v>3</v>
      </c>
      <c r="O15" s="236">
        <v>0.85</v>
      </c>
      <c r="P15" s="236">
        <v>0.95</v>
      </c>
      <c r="Q15" s="57">
        <f t="shared" si="0"/>
        <v>0.89999999999999991</v>
      </c>
      <c r="R15" s="236">
        <v>15.1</v>
      </c>
      <c r="S15" s="236">
        <v>125</v>
      </c>
      <c r="T15" s="77">
        <f t="shared" si="3"/>
        <v>27</v>
      </c>
      <c r="U15" s="55">
        <v>537</v>
      </c>
      <c r="V15" s="58">
        <f t="shared" si="2"/>
        <v>4833</v>
      </c>
      <c r="W15" s="236">
        <v>1</v>
      </c>
      <c r="X15" s="55" t="s">
        <v>39</v>
      </c>
      <c r="Y15" s="55" t="s">
        <v>50</v>
      </c>
      <c r="Z15" s="55" t="s">
        <v>78</v>
      </c>
      <c r="AA15" s="55" t="s">
        <v>102</v>
      </c>
      <c r="AB15" s="39" t="s">
        <v>341</v>
      </c>
      <c r="AE15" s="222" t="s">
        <v>79</v>
      </c>
      <c r="AG15" s="230"/>
      <c r="AH15" s="230"/>
      <c r="AP15" s="65" t="s">
        <v>77</v>
      </c>
      <c r="AR15" s="230" t="s">
        <v>94</v>
      </c>
      <c r="AV15" s="65" t="s">
        <v>107</v>
      </c>
    </row>
    <row r="16" spans="1:53" x14ac:dyDescent="0.15">
      <c r="A16" s="55" t="s">
        <v>41</v>
      </c>
      <c r="B16" s="236" t="s">
        <v>338</v>
      </c>
      <c r="C16" s="151">
        <v>2018</v>
      </c>
      <c r="D16" s="56" t="s">
        <v>359</v>
      </c>
      <c r="E16" s="236" t="s">
        <v>291</v>
      </c>
      <c r="F16" s="55" t="s">
        <v>296</v>
      </c>
      <c r="G16" s="55" t="s">
        <v>42</v>
      </c>
      <c r="H16" s="55" t="s">
        <v>165</v>
      </c>
      <c r="I16" s="55" t="s">
        <v>153</v>
      </c>
      <c r="J16" s="55" t="s">
        <v>38</v>
      </c>
      <c r="K16" s="55" t="s">
        <v>154</v>
      </c>
      <c r="L16" s="236">
        <v>3</v>
      </c>
      <c r="N16" s="55">
        <v>3</v>
      </c>
      <c r="O16" s="236">
        <v>0.9</v>
      </c>
      <c r="P16" s="236">
        <v>1</v>
      </c>
      <c r="Q16" s="57">
        <f t="shared" si="0"/>
        <v>0.95</v>
      </c>
      <c r="R16" s="236">
        <v>15.1</v>
      </c>
      <c r="S16" s="236">
        <v>127</v>
      </c>
      <c r="T16" s="77">
        <f t="shared" si="3"/>
        <v>27</v>
      </c>
      <c r="U16" s="55">
        <v>537</v>
      </c>
      <c r="V16" s="58">
        <f t="shared" si="2"/>
        <v>4833</v>
      </c>
      <c r="W16" s="236">
        <v>1</v>
      </c>
      <c r="X16" s="55" t="s">
        <v>39</v>
      </c>
      <c r="Y16" s="55" t="s">
        <v>50</v>
      </c>
      <c r="Z16" s="55" t="s">
        <v>78</v>
      </c>
      <c r="AA16" s="55" t="s">
        <v>102</v>
      </c>
      <c r="AB16" s="39" t="s">
        <v>341</v>
      </c>
      <c r="AE16" s="222" t="s">
        <v>82</v>
      </c>
      <c r="AG16" s="71"/>
      <c r="AH16" s="71"/>
      <c r="AP16" s="65" t="s">
        <v>80</v>
      </c>
      <c r="AR16" s="230" t="s">
        <v>63</v>
      </c>
      <c r="AV16" s="65" t="s">
        <v>84</v>
      </c>
    </row>
    <row r="17" spans="1:49" x14ac:dyDescent="0.15">
      <c r="A17" s="55" t="s">
        <v>41</v>
      </c>
      <c r="B17" s="236" t="s">
        <v>338</v>
      </c>
      <c r="C17" s="151">
        <v>2018</v>
      </c>
      <c r="D17" s="56" t="s">
        <v>359</v>
      </c>
      <c r="E17" s="236" t="s">
        <v>291</v>
      </c>
      <c r="F17" s="236" t="s">
        <v>296</v>
      </c>
      <c r="G17" s="55" t="s">
        <v>42</v>
      </c>
      <c r="H17" s="55" t="s">
        <v>165</v>
      </c>
      <c r="I17" s="55" t="s">
        <v>153</v>
      </c>
      <c r="J17" s="55" t="s">
        <v>38</v>
      </c>
      <c r="K17" s="55" t="s">
        <v>154</v>
      </c>
      <c r="L17" s="236">
        <v>1</v>
      </c>
      <c r="M17" s="55"/>
      <c r="N17" s="55">
        <v>1</v>
      </c>
      <c r="O17" s="236">
        <v>0.35</v>
      </c>
      <c r="P17" s="236">
        <v>0.3</v>
      </c>
      <c r="Q17" s="57">
        <f t="shared" si="0"/>
        <v>0.32499999999999996</v>
      </c>
      <c r="R17" s="236">
        <v>13.7</v>
      </c>
      <c r="S17" s="236">
        <v>121</v>
      </c>
      <c r="T17" s="77">
        <f t="shared" si="3"/>
        <v>27</v>
      </c>
      <c r="U17" s="55">
        <v>149</v>
      </c>
      <c r="V17" s="78">
        <f t="shared" si="2"/>
        <v>4023</v>
      </c>
      <c r="W17" s="55">
        <v>2</v>
      </c>
      <c r="X17" s="55" t="s">
        <v>39</v>
      </c>
      <c r="Y17" s="55" t="s">
        <v>50</v>
      </c>
      <c r="Z17" s="55" t="s">
        <v>78</v>
      </c>
      <c r="AA17" s="55" t="s">
        <v>102</v>
      </c>
      <c r="AB17" s="39" t="s">
        <v>341</v>
      </c>
      <c r="AE17" s="222" t="s">
        <v>85</v>
      </c>
      <c r="AP17" s="238" t="s">
        <v>110</v>
      </c>
      <c r="AR17" s="230" t="s">
        <v>96</v>
      </c>
      <c r="AV17" s="65" t="s">
        <v>86</v>
      </c>
    </row>
    <row r="18" spans="1:49" x14ac:dyDescent="0.15">
      <c r="A18" s="55" t="s">
        <v>41</v>
      </c>
      <c r="B18" s="236" t="s">
        <v>338</v>
      </c>
      <c r="C18" s="151">
        <v>2018</v>
      </c>
      <c r="D18" s="56" t="s">
        <v>359</v>
      </c>
      <c r="E18" s="236" t="s">
        <v>291</v>
      </c>
      <c r="F18" s="236" t="s">
        <v>296</v>
      </c>
      <c r="G18" s="55" t="s">
        <v>42</v>
      </c>
      <c r="H18" s="55" t="s">
        <v>165</v>
      </c>
      <c r="I18" s="55" t="s">
        <v>153</v>
      </c>
      <c r="J18" s="55" t="s">
        <v>38</v>
      </c>
      <c r="K18" s="55" t="s">
        <v>154</v>
      </c>
      <c r="L18" s="236">
        <v>2</v>
      </c>
      <c r="N18" s="55">
        <v>1</v>
      </c>
      <c r="O18" s="236">
        <v>0.25</v>
      </c>
      <c r="P18" s="236">
        <v>0.4</v>
      </c>
      <c r="Q18" s="57">
        <f t="shared" si="0"/>
        <v>0.32500000000000001</v>
      </c>
      <c r="R18" s="236">
        <v>14.4</v>
      </c>
      <c r="S18" s="236">
        <v>125</v>
      </c>
      <c r="T18" s="77">
        <f t="shared" si="3"/>
        <v>27</v>
      </c>
      <c r="U18" s="55">
        <v>149</v>
      </c>
      <c r="V18" s="58">
        <f t="shared" si="2"/>
        <v>4023</v>
      </c>
      <c r="W18" s="236">
        <v>2</v>
      </c>
      <c r="X18" s="55" t="s">
        <v>39</v>
      </c>
      <c r="Y18" s="55" t="s">
        <v>50</v>
      </c>
      <c r="Z18" s="55" t="s">
        <v>78</v>
      </c>
      <c r="AA18" s="55" t="s">
        <v>102</v>
      </c>
      <c r="AB18" s="39" t="s">
        <v>341</v>
      </c>
      <c r="AE18" s="222" t="s">
        <v>87</v>
      </c>
      <c r="AP18" s="238" t="s">
        <v>111</v>
      </c>
      <c r="AR18" s="230" t="s">
        <v>101</v>
      </c>
      <c r="AV18" s="65" t="s">
        <v>88</v>
      </c>
    </row>
    <row r="19" spans="1:49" x14ac:dyDescent="0.15">
      <c r="A19" s="55" t="s">
        <v>41</v>
      </c>
      <c r="B19" s="236" t="s">
        <v>338</v>
      </c>
      <c r="C19" s="151">
        <v>2018</v>
      </c>
      <c r="D19" s="56" t="s">
        <v>359</v>
      </c>
      <c r="E19" s="236" t="s">
        <v>291</v>
      </c>
      <c r="F19" s="236" t="s">
        <v>296</v>
      </c>
      <c r="G19" s="55" t="s">
        <v>42</v>
      </c>
      <c r="H19" s="55" t="s">
        <v>165</v>
      </c>
      <c r="I19" s="55" t="s">
        <v>153</v>
      </c>
      <c r="J19" s="55" t="s">
        <v>38</v>
      </c>
      <c r="K19" s="55" t="s">
        <v>154</v>
      </c>
      <c r="L19" s="236">
        <v>3</v>
      </c>
      <c r="N19" s="55">
        <v>1</v>
      </c>
      <c r="O19" s="236">
        <v>0.4</v>
      </c>
      <c r="P19" s="236">
        <v>0.5</v>
      </c>
      <c r="Q19" s="57">
        <f t="shared" si="0"/>
        <v>0.45</v>
      </c>
      <c r="R19" s="236">
        <v>18.7</v>
      </c>
      <c r="S19" s="236">
        <v>122</v>
      </c>
      <c r="T19" s="77">
        <f t="shared" si="3"/>
        <v>27</v>
      </c>
      <c r="U19" s="55">
        <v>149</v>
      </c>
      <c r="V19" s="58">
        <f t="shared" si="2"/>
        <v>4023</v>
      </c>
      <c r="W19" s="236">
        <v>2</v>
      </c>
      <c r="X19" s="55" t="s">
        <v>39</v>
      </c>
      <c r="Y19" s="55" t="s">
        <v>50</v>
      </c>
      <c r="Z19" s="55" t="s">
        <v>78</v>
      </c>
      <c r="AA19" s="55" t="s">
        <v>102</v>
      </c>
      <c r="AB19" s="39" t="s">
        <v>341</v>
      </c>
      <c r="AE19" s="235" t="s">
        <v>89</v>
      </c>
      <c r="AP19" s="238" t="s">
        <v>112</v>
      </c>
      <c r="AR19" s="230" t="s">
        <v>126</v>
      </c>
      <c r="AV19" s="65" t="s">
        <v>90</v>
      </c>
    </row>
    <row r="20" spans="1:49" x14ac:dyDescent="0.15">
      <c r="A20" s="55" t="s">
        <v>41</v>
      </c>
      <c r="B20" s="236" t="s">
        <v>338</v>
      </c>
      <c r="C20" s="151">
        <v>2018</v>
      </c>
      <c r="D20" s="56" t="s">
        <v>359</v>
      </c>
      <c r="E20" s="236" t="s">
        <v>291</v>
      </c>
      <c r="F20" s="236" t="s">
        <v>296</v>
      </c>
      <c r="G20" s="55" t="s">
        <v>42</v>
      </c>
      <c r="H20" s="55" t="s">
        <v>155</v>
      </c>
      <c r="I20" s="55" t="s">
        <v>153</v>
      </c>
      <c r="J20" s="55" t="s">
        <v>38</v>
      </c>
      <c r="K20" s="55" t="s">
        <v>154</v>
      </c>
      <c r="L20" s="236">
        <v>1</v>
      </c>
      <c r="M20" s="55"/>
      <c r="N20" s="55">
        <v>3</v>
      </c>
      <c r="O20" s="55">
        <v>0.45</v>
      </c>
      <c r="P20" s="55">
        <v>0.4</v>
      </c>
      <c r="Q20" s="82">
        <f t="shared" si="0"/>
        <v>0.42500000000000004</v>
      </c>
      <c r="R20" s="55">
        <v>17.8</v>
      </c>
      <c r="S20" s="55">
        <v>127</v>
      </c>
      <c r="T20" s="77">
        <f t="shared" ref="T20:T86" si="4">IF(H20="","",IF(OR(H20="GREEN",H20="GK"),IF(S20&gt;=$AX$2,VLOOKUP(S20,$AX$2:$AY$10,2,1),""),IF(S20&gt;=$AZ$2,VLOOKUP(S20,$AZ$2:$BA$10,2,1),"")))</f>
        <v>27</v>
      </c>
      <c r="U20" s="55">
        <v>429</v>
      </c>
      <c r="V20" s="78">
        <f t="shared" si="2"/>
        <v>3861</v>
      </c>
      <c r="W20" s="55">
        <v>1</v>
      </c>
      <c r="X20" s="55" t="s">
        <v>39</v>
      </c>
      <c r="Y20" s="55" t="s">
        <v>50</v>
      </c>
      <c r="Z20" s="55" t="s">
        <v>78</v>
      </c>
      <c r="AA20" s="55" t="s">
        <v>102</v>
      </c>
      <c r="AB20" s="39" t="s">
        <v>341</v>
      </c>
      <c r="AE20" s="235"/>
      <c r="AP20" s="238" t="s">
        <v>113</v>
      </c>
      <c r="AR20" s="230" t="s">
        <v>105</v>
      </c>
      <c r="AV20" s="69" t="s">
        <v>370</v>
      </c>
    </row>
    <row r="21" spans="1:49" x14ac:dyDescent="0.15">
      <c r="A21" s="55" t="s">
        <v>41</v>
      </c>
      <c r="B21" s="236" t="s">
        <v>338</v>
      </c>
      <c r="C21" s="151">
        <v>2018</v>
      </c>
      <c r="D21" s="56" t="s">
        <v>359</v>
      </c>
      <c r="E21" s="236" t="s">
        <v>291</v>
      </c>
      <c r="F21" s="236" t="s">
        <v>296</v>
      </c>
      <c r="G21" s="55" t="s">
        <v>42</v>
      </c>
      <c r="H21" s="55" t="s">
        <v>155</v>
      </c>
      <c r="I21" s="55" t="s">
        <v>153</v>
      </c>
      <c r="J21" s="55" t="s">
        <v>38</v>
      </c>
      <c r="K21" s="55" t="s">
        <v>154</v>
      </c>
      <c r="L21" s="236">
        <v>2</v>
      </c>
      <c r="N21" s="55">
        <v>3</v>
      </c>
      <c r="O21" s="55">
        <v>0.65</v>
      </c>
      <c r="P21" s="55">
        <v>0.55000000000000004</v>
      </c>
      <c r="Q21" s="82">
        <f t="shared" si="0"/>
        <v>0.60000000000000009</v>
      </c>
      <c r="R21" s="55">
        <v>15.8</v>
      </c>
      <c r="S21" s="55">
        <v>125</v>
      </c>
      <c r="T21" s="77">
        <f t="shared" si="4"/>
        <v>27</v>
      </c>
      <c r="U21" s="55">
        <v>429</v>
      </c>
      <c r="V21" s="58">
        <f t="shared" si="2"/>
        <v>3861</v>
      </c>
      <c r="W21" s="236">
        <v>1</v>
      </c>
      <c r="X21" s="55" t="s">
        <v>39</v>
      </c>
      <c r="Y21" s="55" t="s">
        <v>50</v>
      </c>
      <c r="Z21" s="55" t="s">
        <v>78</v>
      </c>
      <c r="AA21" s="55" t="s">
        <v>102</v>
      </c>
      <c r="AB21" s="39" t="s">
        <v>341</v>
      </c>
      <c r="AE21" s="243"/>
      <c r="AP21" s="238" t="s">
        <v>114</v>
      </c>
      <c r="AR21" s="230" t="s">
        <v>68</v>
      </c>
      <c r="AV21" s="69" t="s">
        <v>371</v>
      </c>
    </row>
    <row r="22" spans="1:49" x14ac:dyDescent="0.15">
      <c r="A22" s="55" t="s">
        <v>41</v>
      </c>
      <c r="B22" s="236" t="s">
        <v>338</v>
      </c>
      <c r="C22" s="151">
        <v>2018</v>
      </c>
      <c r="D22" s="56" t="s">
        <v>359</v>
      </c>
      <c r="E22" s="236" t="s">
        <v>291</v>
      </c>
      <c r="F22" s="236" t="s">
        <v>296</v>
      </c>
      <c r="G22" s="55" t="s">
        <v>42</v>
      </c>
      <c r="H22" s="55" t="s">
        <v>155</v>
      </c>
      <c r="I22" s="55" t="s">
        <v>153</v>
      </c>
      <c r="J22" s="55" t="s">
        <v>38</v>
      </c>
      <c r="K22" s="55" t="s">
        <v>154</v>
      </c>
      <c r="L22" s="236">
        <v>3</v>
      </c>
      <c r="N22" s="55">
        <v>3</v>
      </c>
      <c r="O22" s="55">
        <v>0.5</v>
      </c>
      <c r="P22" s="55">
        <v>0.6</v>
      </c>
      <c r="Q22" s="82">
        <f t="shared" si="0"/>
        <v>0.55000000000000004</v>
      </c>
      <c r="R22" s="55">
        <v>14.2</v>
      </c>
      <c r="S22" s="55">
        <v>124</v>
      </c>
      <c r="T22" s="77">
        <f t="shared" si="4"/>
        <v>27</v>
      </c>
      <c r="U22" s="55">
        <v>429</v>
      </c>
      <c r="V22" s="58">
        <f t="shared" si="2"/>
        <v>3861</v>
      </c>
      <c r="W22" s="236">
        <v>1</v>
      </c>
      <c r="X22" s="55" t="s">
        <v>39</v>
      </c>
      <c r="Y22" s="55" t="s">
        <v>50</v>
      </c>
      <c r="Z22" s="55" t="s">
        <v>78</v>
      </c>
      <c r="AA22" s="55" t="s">
        <v>102</v>
      </c>
      <c r="AB22" s="39" t="s">
        <v>341</v>
      </c>
      <c r="AP22" s="238" t="s">
        <v>115</v>
      </c>
      <c r="AR22" s="230" t="s">
        <v>83</v>
      </c>
      <c r="AV22" s="69"/>
    </row>
    <row r="23" spans="1:49" x14ac:dyDescent="0.15">
      <c r="A23" s="55" t="s">
        <v>41</v>
      </c>
      <c r="B23" s="236" t="s">
        <v>338</v>
      </c>
      <c r="C23" s="151">
        <v>2018</v>
      </c>
      <c r="D23" s="56" t="s">
        <v>359</v>
      </c>
      <c r="E23" s="236" t="s">
        <v>291</v>
      </c>
      <c r="F23" s="236" t="s">
        <v>296</v>
      </c>
      <c r="G23" s="55" t="s">
        <v>42</v>
      </c>
      <c r="H23" s="55" t="s">
        <v>155</v>
      </c>
      <c r="I23" s="55" t="s">
        <v>153</v>
      </c>
      <c r="J23" s="55" t="s">
        <v>38</v>
      </c>
      <c r="K23" s="55" t="s">
        <v>154</v>
      </c>
      <c r="L23" s="236">
        <v>1</v>
      </c>
      <c r="M23" s="55"/>
      <c r="N23" s="55">
        <v>1</v>
      </c>
      <c r="O23" s="55">
        <v>0.25</v>
      </c>
      <c r="P23" s="55">
        <v>0.25</v>
      </c>
      <c r="Q23" s="82">
        <f t="shared" si="0"/>
        <v>0.25</v>
      </c>
      <c r="R23" s="55">
        <v>13.5</v>
      </c>
      <c r="S23" s="55">
        <v>130</v>
      </c>
      <c r="T23" s="77">
        <f t="shared" si="4"/>
        <v>25</v>
      </c>
      <c r="U23" s="55">
        <v>105</v>
      </c>
      <c r="V23" s="78">
        <f t="shared" si="2"/>
        <v>2625</v>
      </c>
      <c r="W23" s="55">
        <v>2</v>
      </c>
      <c r="X23" s="55" t="s">
        <v>39</v>
      </c>
      <c r="Y23" s="55" t="s">
        <v>50</v>
      </c>
      <c r="Z23" s="55" t="s">
        <v>78</v>
      </c>
      <c r="AA23" s="55" t="s">
        <v>102</v>
      </c>
      <c r="AB23" s="39" t="s">
        <v>341</v>
      </c>
      <c r="AP23" s="238" t="s">
        <v>117</v>
      </c>
      <c r="AR23" s="243" t="s">
        <v>290</v>
      </c>
      <c r="AV23" s="243"/>
    </row>
    <row r="24" spans="1:49" x14ac:dyDescent="0.15">
      <c r="A24" s="55" t="s">
        <v>41</v>
      </c>
      <c r="B24" s="236" t="s">
        <v>338</v>
      </c>
      <c r="C24" s="151">
        <v>2018</v>
      </c>
      <c r="D24" s="56" t="s">
        <v>359</v>
      </c>
      <c r="E24" s="236" t="s">
        <v>291</v>
      </c>
      <c r="F24" s="236" t="s">
        <v>296</v>
      </c>
      <c r="G24" s="55" t="s">
        <v>42</v>
      </c>
      <c r="H24" s="55" t="s">
        <v>155</v>
      </c>
      <c r="I24" s="55" t="s">
        <v>153</v>
      </c>
      <c r="J24" s="55" t="s">
        <v>38</v>
      </c>
      <c r="K24" s="55" t="s">
        <v>154</v>
      </c>
      <c r="L24" s="236">
        <v>2</v>
      </c>
      <c r="N24" s="55">
        <v>1</v>
      </c>
      <c r="O24" s="55">
        <v>0.25</v>
      </c>
      <c r="P24" s="55">
        <v>0.35</v>
      </c>
      <c r="Q24" s="82">
        <f t="shared" si="0"/>
        <v>0.3</v>
      </c>
      <c r="R24" s="55">
        <v>12.8</v>
      </c>
      <c r="S24" s="55">
        <v>125</v>
      </c>
      <c r="T24" s="77">
        <f t="shared" si="4"/>
        <v>27</v>
      </c>
      <c r="U24" s="55">
        <v>105</v>
      </c>
      <c r="V24" s="78">
        <f t="shared" si="2"/>
        <v>2835</v>
      </c>
      <c r="W24" s="55">
        <v>2</v>
      </c>
      <c r="X24" s="55" t="s">
        <v>39</v>
      </c>
      <c r="Y24" s="55" t="s">
        <v>50</v>
      </c>
      <c r="Z24" s="55" t="s">
        <v>78</v>
      </c>
      <c r="AA24" s="55" t="s">
        <v>102</v>
      </c>
      <c r="AB24" s="39" t="s">
        <v>341</v>
      </c>
      <c r="AP24" s="238" t="s">
        <v>118</v>
      </c>
    </row>
    <row r="25" spans="1:49" x14ac:dyDescent="0.15">
      <c r="A25" s="55" t="s">
        <v>41</v>
      </c>
      <c r="B25" s="236" t="s">
        <v>338</v>
      </c>
      <c r="C25" s="151">
        <v>2018</v>
      </c>
      <c r="D25" s="56" t="s">
        <v>359</v>
      </c>
      <c r="E25" s="236" t="s">
        <v>291</v>
      </c>
      <c r="F25" s="236" t="s">
        <v>296</v>
      </c>
      <c r="G25" s="55" t="s">
        <v>42</v>
      </c>
      <c r="H25" s="55" t="s">
        <v>155</v>
      </c>
      <c r="I25" s="55" t="s">
        <v>153</v>
      </c>
      <c r="J25" s="55" t="s">
        <v>38</v>
      </c>
      <c r="K25" s="55" t="s">
        <v>154</v>
      </c>
      <c r="L25" s="236">
        <v>3</v>
      </c>
      <c r="N25" s="55">
        <v>1</v>
      </c>
      <c r="O25" s="55">
        <v>0.25</v>
      </c>
      <c r="P25" s="55">
        <v>0.25</v>
      </c>
      <c r="Q25" s="82">
        <f t="shared" si="0"/>
        <v>0.25</v>
      </c>
      <c r="R25" s="55">
        <v>15.1</v>
      </c>
      <c r="S25" s="55">
        <v>126</v>
      </c>
      <c r="T25" s="77">
        <f t="shared" si="4"/>
        <v>27</v>
      </c>
      <c r="U25" s="55">
        <v>105</v>
      </c>
      <c r="V25" s="78">
        <f t="shared" si="2"/>
        <v>2835</v>
      </c>
      <c r="W25" s="236">
        <v>2</v>
      </c>
      <c r="X25" s="55" t="s">
        <v>39</v>
      </c>
      <c r="Y25" s="55" t="s">
        <v>50</v>
      </c>
      <c r="Z25" s="55" t="s">
        <v>78</v>
      </c>
      <c r="AA25" s="55" t="s">
        <v>102</v>
      </c>
      <c r="AB25" s="39" t="s">
        <v>341</v>
      </c>
    </row>
    <row r="26" spans="1:49" x14ac:dyDescent="0.15">
      <c r="A26" s="55" t="s">
        <v>41</v>
      </c>
      <c r="B26" s="236" t="s">
        <v>338</v>
      </c>
      <c r="C26" s="151">
        <v>2018</v>
      </c>
      <c r="D26" s="56" t="s">
        <v>359</v>
      </c>
      <c r="E26" s="236" t="s">
        <v>291</v>
      </c>
      <c r="F26" s="236" t="s">
        <v>296</v>
      </c>
      <c r="G26" s="55" t="s">
        <v>42</v>
      </c>
      <c r="H26" s="55" t="s">
        <v>165</v>
      </c>
      <c r="I26" s="55" t="s">
        <v>153</v>
      </c>
      <c r="J26" s="55" t="s">
        <v>38</v>
      </c>
      <c r="K26" s="55" t="s">
        <v>154</v>
      </c>
      <c r="L26" s="236">
        <v>1</v>
      </c>
      <c r="N26" s="55">
        <v>6</v>
      </c>
      <c r="O26" s="55">
        <v>0.65</v>
      </c>
      <c r="P26" s="55">
        <v>0.8</v>
      </c>
      <c r="Q26" s="57">
        <f t="shared" si="0"/>
        <v>0.72500000000000009</v>
      </c>
      <c r="R26" s="55">
        <v>13</v>
      </c>
      <c r="S26" s="55">
        <v>122</v>
      </c>
      <c r="T26" s="77">
        <f t="shared" si="4"/>
        <v>27</v>
      </c>
      <c r="U26" s="55">
        <v>756</v>
      </c>
      <c r="V26" s="58">
        <f t="shared" si="2"/>
        <v>3402</v>
      </c>
      <c r="W26" s="236">
        <v>1</v>
      </c>
      <c r="X26" s="55" t="s">
        <v>46</v>
      </c>
      <c r="Y26" s="55" t="s">
        <v>50</v>
      </c>
      <c r="Z26" s="55" t="s">
        <v>78</v>
      </c>
      <c r="AA26" s="55" t="s">
        <v>102</v>
      </c>
      <c r="AB26" s="39" t="s">
        <v>341</v>
      </c>
    </row>
    <row r="27" spans="1:49" x14ac:dyDescent="0.15">
      <c r="A27" s="55" t="s">
        <v>41</v>
      </c>
      <c r="B27" s="236" t="s">
        <v>338</v>
      </c>
      <c r="C27" s="151">
        <v>2018</v>
      </c>
      <c r="D27" s="56" t="s">
        <v>359</v>
      </c>
      <c r="E27" s="236" t="s">
        <v>291</v>
      </c>
      <c r="F27" s="236" t="s">
        <v>296</v>
      </c>
      <c r="G27" s="55" t="s">
        <v>42</v>
      </c>
      <c r="H27" s="55" t="s">
        <v>165</v>
      </c>
      <c r="I27" s="55" t="s">
        <v>153</v>
      </c>
      <c r="J27" s="55" t="s">
        <v>38</v>
      </c>
      <c r="K27" s="55" t="s">
        <v>154</v>
      </c>
      <c r="L27" s="236">
        <v>2</v>
      </c>
      <c r="M27" s="55"/>
      <c r="N27" s="55">
        <v>6</v>
      </c>
      <c r="O27" s="55">
        <v>0.85</v>
      </c>
      <c r="P27" s="55">
        <v>0.9</v>
      </c>
      <c r="Q27" s="57">
        <f t="shared" si="0"/>
        <v>0.875</v>
      </c>
      <c r="R27" s="55">
        <v>12.8</v>
      </c>
      <c r="S27" s="55">
        <v>124</v>
      </c>
      <c r="T27" s="77">
        <f t="shared" si="4"/>
        <v>27</v>
      </c>
      <c r="U27" s="55">
        <v>756</v>
      </c>
      <c r="V27" s="78">
        <f t="shared" si="2"/>
        <v>3402</v>
      </c>
      <c r="W27" s="55">
        <v>1</v>
      </c>
      <c r="X27" s="55" t="s">
        <v>46</v>
      </c>
      <c r="Y27" s="55" t="s">
        <v>50</v>
      </c>
      <c r="Z27" s="55" t="s">
        <v>78</v>
      </c>
      <c r="AA27" s="55" t="s">
        <v>102</v>
      </c>
      <c r="AB27" s="39" t="s">
        <v>341</v>
      </c>
      <c r="AE27" s="252"/>
      <c r="AF27" s="252"/>
      <c r="AG27" s="252"/>
      <c r="AH27" s="252"/>
      <c r="AI27" s="252"/>
      <c r="AJ27" s="252"/>
      <c r="AK27" s="252"/>
      <c r="AL27" s="252"/>
      <c r="AM27" s="252"/>
      <c r="AN27" s="252"/>
      <c r="AO27" s="252"/>
      <c r="AP27" s="252"/>
      <c r="AQ27" s="252"/>
      <c r="AR27" s="252"/>
      <c r="AS27" s="252"/>
      <c r="AT27" s="252"/>
      <c r="AU27" s="252"/>
      <c r="AV27" s="252"/>
      <c r="AW27" s="252"/>
    </row>
    <row r="28" spans="1:49" x14ac:dyDescent="0.15">
      <c r="A28" s="55" t="s">
        <v>41</v>
      </c>
      <c r="B28" s="236" t="s">
        <v>338</v>
      </c>
      <c r="C28" s="151">
        <v>2018</v>
      </c>
      <c r="D28" s="56" t="s">
        <v>359</v>
      </c>
      <c r="E28" s="236" t="s">
        <v>291</v>
      </c>
      <c r="F28" s="236" t="s">
        <v>296</v>
      </c>
      <c r="G28" s="55" t="s">
        <v>42</v>
      </c>
      <c r="H28" s="55" t="s">
        <v>165</v>
      </c>
      <c r="I28" s="55" t="s">
        <v>153</v>
      </c>
      <c r="J28" s="55" t="s">
        <v>38</v>
      </c>
      <c r="K28" s="55" t="s">
        <v>154</v>
      </c>
      <c r="L28" s="236">
        <v>3</v>
      </c>
      <c r="N28" s="55">
        <v>6</v>
      </c>
      <c r="O28" s="55">
        <v>0.45</v>
      </c>
      <c r="P28" s="55">
        <v>0.55000000000000004</v>
      </c>
      <c r="Q28" s="57">
        <f t="shared" si="0"/>
        <v>0.5</v>
      </c>
      <c r="R28" s="55">
        <v>14.1</v>
      </c>
      <c r="S28" s="55">
        <v>121</v>
      </c>
      <c r="T28" s="77">
        <f t="shared" si="4"/>
        <v>27</v>
      </c>
      <c r="U28" s="55">
        <v>756</v>
      </c>
      <c r="V28" s="58">
        <f t="shared" si="2"/>
        <v>3402</v>
      </c>
      <c r="W28" s="236">
        <v>1</v>
      </c>
      <c r="X28" s="55" t="s">
        <v>46</v>
      </c>
      <c r="Y28" s="55" t="s">
        <v>50</v>
      </c>
      <c r="Z28" s="55" t="s">
        <v>78</v>
      </c>
      <c r="AA28" s="55" t="s">
        <v>102</v>
      </c>
      <c r="AB28" s="39" t="s">
        <v>341</v>
      </c>
      <c r="AE28" s="252"/>
      <c r="AF28" s="252"/>
      <c r="AG28" s="252"/>
      <c r="AH28" s="252"/>
      <c r="AI28" s="252"/>
      <c r="AJ28" s="252"/>
      <c r="AK28" s="252"/>
      <c r="AL28" s="252"/>
      <c r="AM28" s="252"/>
      <c r="AN28" s="252"/>
      <c r="AO28" s="252"/>
      <c r="AP28" s="252"/>
      <c r="AQ28" s="252"/>
      <c r="AR28" s="252"/>
      <c r="AS28" s="252"/>
      <c r="AT28" s="252"/>
      <c r="AU28" s="252"/>
      <c r="AV28" s="252"/>
      <c r="AW28" s="252"/>
    </row>
    <row r="29" spans="1:49" x14ac:dyDescent="0.15">
      <c r="A29" s="55" t="s">
        <v>41</v>
      </c>
      <c r="B29" s="236" t="s">
        <v>338</v>
      </c>
      <c r="C29" s="151">
        <v>2018</v>
      </c>
      <c r="D29" s="56" t="s">
        <v>359</v>
      </c>
      <c r="E29" s="236" t="s">
        <v>291</v>
      </c>
      <c r="F29" s="236" t="s">
        <v>297</v>
      </c>
      <c r="G29" s="55" t="s">
        <v>42</v>
      </c>
      <c r="H29" s="55" t="s">
        <v>165</v>
      </c>
      <c r="I29" s="55" t="s">
        <v>153</v>
      </c>
      <c r="J29" s="55" t="s">
        <v>38</v>
      </c>
      <c r="K29" s="55" t="s">
        <v>154</v>
      </c>
      <c r="L29" s="236">
        <v>1</v>
      </c>
      <c r="N29" s="55">
        <v>5</v>
      </c>
      <c r="O29" s="236">
        <v>0.6</v>
      </c>
      <c r="P29" s="236">
        <v>0.65</v>
      </c>
      <c r="Q29" s="57">
        <f t="shared" si="0"/>
        <v>0.625</v>
      </c>
      <c r="R29" s="236">
        <v>16.399999999999999</v>
      </c>
      <c r="S29" s="236">
        <v>130</v>
      </c>
      <c r="T29" s="77">
        <f t="shared" si="4"/>
        <v>25</v>
      </c>
      <c r="U29" s="55">
        <v>540</v>
      </c>
      <c r="V29" s="58">
        <f t="shared" si="2"/>
        <v>2700</v>
      </c>
      <c r="W29" s="236">
        <v>2</v>
      </c>
      <c r="X29" s="55" t="s">
        <v>46</v>
      </c>
      <c r="Y29" s="55" t="s">
        <v>50</v>
      </c>
      <c r="Z29" s="55" t="s">
        <v>90</v>
      </c>
      <c r="AA29" s="55" t="s">
        <v>78</v>
      </c>
      <c r="AB29" s="39" t="s">
        <v>341</v>
      </c>
    </row>
    <row r="30" spans="1:49" x14ac:dyDescent="0.15">
      <c r="A30" s="55" t="s">
        <v>41</v>
      </c>
      <c r="B30" s="236" t="s">
        <v>338</v>
      </c>
      <c r="C30" s="151">
        <v>2018</v>
      </c>
      <c r="D30" s="56" t="s">
        <v>359</v>
      </c>
      <c r="E30" s="236" t="s">
        <v>291</v>
      </c>
      <c r="F30" s="236" t="s">
        <v>297</v>
      </c>
      <c r="G30" s="55" t="s">
        <v>42</v>
      </c>
      <c r="H30" s="55" t="s">
        <v>165</v>
      </c>
      <c r="I30" s="55" t="s">
        <v>153</v>
      </c>
      <c r="J30" s="55" t="s">
        <v>38</v>
      </c>
      <c r="K30" s="55" t="s">
        <v>154</v>
      </c>
      <c r="L30" s="236">
        <v>2</v>
      </c>
      <c r="M30" s="55"/>
      <c r="N30" s="55">
        <v>5</v>
      </c>
      <c r="O30" s="236">
        <v>0.7</v>
      </c>
      <c r="P30" s="236">
        <v>0.65</v>
      </c>
      <c r="Q30" s="57">
        <f t="shared" si="0"/>
        <v>0.67500000000000004</v>
      </c>
      <c r="R30" s="236">
        <v>15</v>
      </c>
      <c r="S30" s="236">
        <v>128</v>
      </c>
      <c r="T30" s="77">
        <f t="shared" si="4"/>
        <v>27</v>
      </c>
      <c r="U30" s="55">
        <v>540</v>
      </c>
      <c r="V30" s="78">
        <f t="shared" si="2"/>
        <v>2916</v>
      </c>
      <c r="W30" s="55">
        <v>2</v>
      </c>
      <c r="X30" s="55" t="s">
        <v>46</v>
      </c>
      <c r="Y30" s="55" t="s">
        <v>50</v>
      </c>
      <c r="Z30" s="55" t="s">
        <v>90</v>
      </c>
      <c r="AA30" s="55" t="s">
        <v>78</v>
      </c>
      <c r="AB30" s="39" t="s">
        <v>341</v>
      </c>
      <c r="AE30" s="252"/>
      <c r="AF30" s="252"/>
      <c r="AG30" s="252"/>
      <c r="AH30" s="252"/>
      <c r="AI30" s="252"/>
      <c r="AJ30" s="252"/>
      <c r="AK30" s="252"/>
      <c r="AL30" s="252"/>
      <c r="AM30" s="252"/>
      <c r="AN30" s="252"/>
      <c r="AO30" s="252"/>
      <c r="AP30" s="252"/>
      <c r="AQ30" s="252"/>
      <c r="AR30" s="252"/>
      <c r="AS30" s="252"/>
      <c r="AT30" s="252"/>
      <c r="AU30" s="252"/>
      <c r="AV30" s="252"/>
      <c r="AW30" s="252"/>
    </row>
    <row r="31" spans="1:49" x14ac:dyDescent="0.15">
      <c r="A31" s="55" t="s">
        <v>41</v>
      </c>
      <c r="B31" s="236" t="s">
        <v>338</v>
      </c>
      <c r="C31" s="151">
        <v>2018</v>
      </c>
      <c r="D31" s="56" t="s">
        <v>359</v>
      </c>
      <c r="E31" s="236" t="s">
        <v>291</v>
      </c>
      <c r="F31" s="236" t="s">
        <v>297</v>
      </c>
      <c r="G31" s="55" t="s">
        <v>42</v>
      </c>
      <c r="H31" s="55" t="s">
        <v>165</v>
      </c>
      <c r="I31" s="55" t="s">
        <v>153</v>
      </c>
      <c r="J31" s="55" t="s">
        <v>38</v>
      </c>
      <c r="K31" s="55" t="s">
        <v>154</v>
      </c>
      <c r="L31" s="236">
        <v>3</v>
      </c>
      <c r="N31" s="55">
        <v>5</v>
      </c>
      <c r="O31" s="236">
        <v>0.8</v>
      </c>
      <c r="P31" s="236">
        <v>0.7</v>
      </c>
      <c r="Q31" s="57">
        <f t="shared" si="0"/>
        <v>0.75</v>
      </c>
      <c r="R31" s="236">
        <v>15.8</v>
      </c>
      <c r="S31" s="236">
        <v>125</v>
      </c>
      <c r="T31" s="77">
        <f t="shared" si="4"/>
        <v>27</v>
      </c>
      <c r="U31" s="55">
        <v>540</v>
      </c>
      <c r="V31" s="58">
        <f t="shared" si="2"/>
        <v>2916</v>
      </c>
      <c r="W31" s="236">
        <v>2</v>
      </c>
      <c r="X31" s="55" t="s">
        <v>46</v>
      </c>
      <c r="Y31" s="55" t="s">
        <v>50</v>
      </c>
      <c r="Z31" s="55" t="s">
        <v>90</v>
      </c>
      <c r="AA31" s="55" t="s">
        <v>78</v>
      </c>
      <c r="AB31" s="39" t="s">
        <v>341</v>
      </c>
      <c r="AE31" s="252"/>
      <c r="AF31" s="252"/>
      <c r="AG31" s="252"/>
      <c r="AH31" s="252"/>
      <c r="AI31" s="252"/>
      <c r="AJ31" s="252"/>
      <c r="AK31" s="252"/>
      <c r="AL31" s="252"/>
      <c r="AM31" s="252"/>
      <c r="AN31" s="252"/>
      <c r="AO31" s="252"/>
      <c r="AP31" s="252"/>
      <c r="AQ31" s="252"/>
      <c r="AR31" s="252"/>
      <c r="AS31" s="252"/>
      <c r="AT31" s="252"/>
      <c r="AU31" s="252"/>
      <c r="AV31" s="252"/>
      <c r="AW31" s="252"/>
    </row>
    <row r="32" spans="1:49" x14ac:dyDescent="0.15">
      <c r="A32" s="55" t="s">
        <v>41</v>
      </c>
      <c r="B32" s="236" t="s">
        <v>338</v>
      </c>
      <c r="C32" s="151">
        <v>2018</v>
      </c>
      <c r="D32" s="56" t="s">
        <v>359</v>
      </c>
      <c r="E32" s="236" t="s">
        <v>291</v>
      </c>
      <c r="F32" s="236" t="s">
        <v>297</v>
      </c>
      <c r="G32" s="55" t="s">
        <v>42</v>
      </c>
      <c r="H32" s="55" t="s">
        <v>165</v>
      </c>
      <c r="I32" s="55" t="s">
        <v>153</v>
      </c>
      <c r="J32" s="55" t="s">
        <v>38</v>
      </c>
      <c r="K32" s="55" t="s">
        <v>154</v>
      </c>
      <c r="L32" s="236">
        <v>1</v>
      </c>
      <c r="M32" s="55"/>
      <c r="N32" s="55">
        <v>1</v>
      </c>
      <c r="O32" s="236">
        <v>1.2</v>
      </c>
      <c r="P32" s="236">
        <v>1</v>
      </c>
      <c r="Q32" s="57">
        <f t="shared" si="0"/>
        <v>1.1000000000000001</v>
      </c>
      <c r="R32" s="236">
        <v>14</v>
      </c>
      <c r="S32" s="236">
        <v>130</v>
      </c>
      <c r="T32" s="77">
        <f t="shared" si="4"/>
        <v>25</v>
      </c>
      <c r="U32" s="55">
        <v>105</v>
      </c>
      <c r="V32" s="78">
        <f t="shared" si="2"/>
        <v>2625</v>
      </c>
      <c r="W32" s="55">
        <v>1</v>
      </c>
      <c r="X32" s="55" t="s">
        <v>39</v>
      </c>
      <c r="Y32" s="55" t="s">
        <v>50</v>
      </c>
      <c r="Z32" s="55" t="s">
        <v>90</v>
      </c>
      <c r="AA32" s="55" t="s">
        <v>78</v>
      </c>
      <c r="AB32" s="39" t="s">
        <v>341</v>
      </c>
    </row>
    <row r="33" spans="1:49" x14ac:dyDescent="0.15">
      <c r="A33" s="55" t="s">
        <v>41</v>
      </c>
      <c r="B33" s="236" t="s">
        <v>338</v>
      </c>
      <c r="C33" s="151">
        <v>2018</v>
      </c>
      <c r="D33" s="56" t="s">
        <v>359</v>
      </c>
      <c r="E33" s="236" t="s">
        <v>291</v>
      </c>
      <c r="F33" s="236" t="s">
        <v>297</v>
      </c>
      <c r="G33" s="55" t="s">
        <v>42</v>
      </c>
      <c r="H33" s="55" t="s">
        <v>165</v>
      </c>
      <c r="I33" s="55" t="s">
        <v>153</v>
      </c>
      <c r="J33" s="55" t="s">
        <v>38</v>
      </c>
      <c r="K33" s="55" t="s">
        <v>154</v>
      </c>
      <c r="L33" s="236">
        <v>2</v>
      </c>
      <c r="N33" s="55">
        <v>1</v>
      </c>
      <c r="O33" s="236">
        <v>1</v>
      </c>
      <c r="P33" s="236">
        <v>1.2</v>
      </c>
      <c r="Q33" s="57">
        <f t="shared" si="0"/>
        <v>1.1000000000000001</v>
      </c>
      <c r="R33" s="236">
        <v>14.1</v>
      </c>
      <c r="S33" s="236">
        <v>131</v>
      </c>
      <c r="T33" s="77">
        <f t="shared" si="4"/>
        <v>25</v>
      </c>
      <c r="U33" s="55">
        <v>105</v>
      </c>
      <c r="V33" s="58">
        <f t="shared" si="2"/>
        <v>2625</v>
      </c>
      <c r="W33" s="236">
        <v>1</v>
      </c>
      <c r="X33" s="55" t="s">
        <v>39</v>
      </c>
      <c r="Y33" s="55" t="s">
        <v>50</v>
      </c>
      <c r="Z33" s="55" t="s">
        <v>90</v>
      </c>
      <c r="AA33" s="55" t="s">
        <v>78</v>
      </c>
      <c r="AB33" s="39" t="s">
        <v>341</v>
      </c>
      <c r="AE33" s="252"/>
      <c r="AF33" s="252"/>
      <c r="AG33" s="252"/>
      <c r="AH33" s="252"/>
      <c r="AI33" s="252"/>
      <c r="AJ33" s="252"/>
      <c r="AK33" s="252"/>
      <c r="AL33" s="252"/>
      <c r="AM33" s="252"/>
      <c r="AN33" s="252"/>
      <c r="AO33" s="252"/>
      <c r="AP33" s="252"/>
      <c r="AQ33" s="252"/>
      <c r="AR33" s="252"/>
      <c r="AS33" s="252"/>
      <c r="AT33" s="252"/>
      <c r="AU33" s="252"/>
      <c r="AV33" s="252"/>
      <c r="AW33" s="252"/>
    </row>
    <row r="34" spans="1:49" x14ac:dyDescent="0.15">
      <c r="A34" s="55" t="s">
        <v>41</v>
      </c>
      <c r="B34" s="236" t="s">
        <v>338</v>
      </c>
      <c r="C34" s="151">
        <v>2018</v>
      </c>
      <c r="D34" s="56" t="s">
        <v>359</v>
      </c>
      <c r="E34" s="236" t="s">
        <v>291</v>
      </c>
      <c r="F34" s="236" t="s">
        <v>297</v>
      </c>
      <c r="G34" s="55" t="s">
        <v>42</v>
      </c>
      <c r="H34" s="55" t="s">
        <v>165</v>
      </c>
      <c r="I34" s="55" t="s">
        <v>153</v>
      </c>
      <c r="J34" s="55" t="s">
        <v>38</v>
      </c>
      <c r="K34" s="55" t="s">
        <v>154</v>
      </c>
      <c r="L34" s="236">
        <v>3</v>
      </c>
      <c r="N34" s="55">
        <v>1</v>
      </c>
      <c r="O34" s="236">
        <v>1.1499999999999999</v>
      </c>
      <c r="P34" s="236">
        <v>1.05</v>
      </c>
      <c r="Q34" s="57">
        <f t="shared" si="0"/>
        <v>1.1000000000000001</v>
      </c>
      <c r="R34" s="236">
        <v>14.4</v>
      </c>
      <c r="S34" s="236">
        <v>127</v>
      </c>
      <c r="T34" s="77">
        <f t="shared" si="4"/>
        <v>27</v>
      </c>
      <c r="U34" s="55">
        <v>105</v>
      </c>
      <c r="V34" s="58">
        <f t="shared" si="2"/>
        <v>2835</v>
      </c>
      <c r="W34" s="236">
        <v>1</v>
      </c>
      <c r="X34" s="55" t="s">
        <v>39</v>
      </c>
      <c r="Y34" s="55" t="s">
        <v>50</v>
      </c>
      <c r="Z34" s="55" t="s">
        <v>90</v>
      </c>
      <c r="AA34" s="55" t="s">
        <v>78</v>
      </c>
      <c r="AB34" s="39" t="s">
        <v>341</v>
      </c>
      <c r="AE34" s="252"/>
      <c r="AF34" s="252"/>
      <c r="AG34" s="252"/>
      <c r="AH34" s="252"/>
      <c r="AI34" s="252"/>
      <c r="AJ34" s="252"/>
      <c r="AK34" s="252"/>
      <c r="AL34" s="252"/>
      <c r="AM34" s="252"/>
      <c r="AN34" s="252"/>
      <c r="AO34" s="252"/>
      <c r="AP34" s="252"/>
      <c r="AQ34" s="252"/>
      <c r="AR34" s="252"/>
      <c r="AS34" s="252"/>
      <c r="AT34" s="252"/>
      <c r="AU34" s="252"/>
      <c r="AV34" s="252"/>
      <c r="AW34" s="252"/>
    </row>
    <row r="35" spans="1:49" x14ac:dyDescent="0.15">
      <c r="A35" s="55" t="s">
        <v>41</v>
      </c>
      <c r="B35" s="236" t="s">
        <v>338</v>
      </c>
      <c r="C35" s="151">
        <v>2018</v>
      </c>
      <c r="D35" s="56" t="s">
        <v>359</v>
      </c>
      <c r="E35" s="236" t="s">
        <v>291</v>
      </c>
      <c r="F35" s="236" t="s">
        <v>297</v>
      </c>
      <c r="G35" s="55" t="s">
        <v>42</v>
      </c>
      <c r="H35" s="55" t="s">
        <v>165</v>
      </c>
      <c r="I35" s="55" t="s">
        <v>153</v>
      </c>
      <c r="J35" s="55" t="s">
        <v>38</v>
      </c>
      <c r="K35" s="55" t="s">
        <v>154</v>
      </c>
      <c r="L35" s="236">
        <v>1</v>
      </c>
      <c r="M35" s="55"/>
      <c r="N35" s="55">
        <v>3</v>
      </c>
      <c r="O35" s="236">
        <v>0.85</v>
      </c>
      <c r="P35" s="236">
        <v>0.9</v>
      </c>
      <c r="Q35" s="57">
        <f t="shared" si="0"/>
        <v>0.875</v>
      </c>
      <c r="R35" s="236">
        <v>17.399999999999999</v>
      </c>
      <c r="S35" s="236">
        <v>118</v>
      </c>
      <c r="T35" s="77">
        <f t="shared" si="4"/>
        <v>30</v>
      </c>
      <c r="U35" s="55">
        <v>537</v>
      </c>
      <c r="V35" s="78">
        <f t="shared" si="2"/>
        <v>5370</v>
      </c>
      <c r="W35" s="55">
        <v>1</v>
      </c>
      <c r="X35" s="55" t="s">
        <v>39</v>
      </c>
      <c r="Y35" s="55" t="s">
        <v>50</v>
      </c>
      <c r="Z35" s="55" t="s">
        <v>90</v>
      </c>
      <c r="AA35" s="55" t="s">
        <v>78</v>
      </c>
      <c r="AB35" s="39" t="s">
        <v>341</v>
      </c>
    </row>
    <row r="36" spans="1:49" x14ac:dyDescent="0.15">
      <c r="A36" s="55" t="s">
        <v>41</v>
      </c>
      <c r="B36" s="236" t="s">
        <v>338</v>
      </c>
      <c r="C36" s="151">
        <v>2018</v>
      </c>
      <c r="D36" s="56" t="s">
        <v>359</v>
      </c>
      <c r="E36" s="236" t="s">
        <v>291</v>
      </c>
      <c r="F36" s="236" t="s">
        <v>297</v>
      </c>
      <c r="G36" s="55" t="s">
        <v>42</v>
      </c>
      <c r="H36" s="55" t="s">
        <v>165</v>
      </c>
      <c r="I36" s="55" t="s">
        <v>153</v>
      </c>
      <c r="J36" s="55" t="s">
        <v>38</v>
      </c>
      <c r="K36" s="55" t="s">
        <v>154</v>
      </c>
      <c r="L36" s="236">
        <v>2</v>
      </c>
      <c r="N36" s="55">
        <v>3</v>
      </c>
      <c r="O36" s="236">
        <v>0.85</v>
      </c>
      <c r="P36" s="236">
        <v>0.8</v>
      </c>
      <c r="Q36" s="57">
        <f t="shared" si="0"/>
        <v>0.82499999999999996</v>
      </c>
      <c r="R36" s="236">
        <v>16.7</v>
      </c>
      <c r="S36" s="236">
        <v>120</v>
      </c>
      <c r="T36" s="77">
        <f t="shared" si="4"/>
        <v>30</v>
      </c>
      <c r="U36" s="55">
        <v>537</v>
      </c>
      <c r="V36" s="58">
        <f t="shared" si="2"/>
        <v>5370</v>
      </c>
      <c r="W36" s="236">
        <v>1</v>
      </c>
      <c r="X36" s="55" t="s">
        <v>39</v>
      </c>
      <c r="Y36" s="55" t="s">
        <v>50</v>
      </c>
      <c r="Z36" s="55" t="s">
        <v>90</v>
      </c>
      <c r="AA36" s="55" t="s">
        <v>78</v>
      </c>
      <c r="AB36" s="39" t="s">
        <v>341</v>
      </c>
      <c r="AE36" s="252"/>
      <c r="AF36" s="252"/>
      <c r="AG36" s="252"/>
      <c r="AH36" s="252"/>
      <c r="AI36" s="252"/>
      <c r="AJ36" s="252"/>
      <c r="AK36" s="252"/>
      <c r="AL36" s="252"/>
      <c r="AM36" s="252"/>
      <c r="AN36" s="252"/>
      <c r="AO36" s="252"/>
      <c r="AP36" s="252"/>
      <c r="AQ36" s="252"/>
      <c r="AR36" s="252"/>
      <c r="AS36" s="252"/>
      <c r="AT36" s="252"/>
      <c r="AU36" s="252"/>
      <c r="AV36" s="252"/>
      <c r="AW36" s="252"/>
    </row>
    <row r="37" spans="1:49" x14ac:dyDescent="0.15">
      <c r="A37" s="55" t="s">
        <v>41</v>
      </c>
      <c r="B37" s="236" t="s">
        <v>338</v>
      </c>
      <c r="C37" s="151">
        <v>2018</v>
      </c>
      <c r="D37" s="56" t="s">
        <v>359</v>
      </c>
      <c r="E37" s="236" t="s">
        <v>291</v>
      </c>
      <c r="F37" s="236" t="s">
        <v>297</v>
      </c>
      <c r="G37" s="55" t="s">
        <v>42</v>
      </c>
      <c r="H37" s="55" t="s">
        <v>165</v>
      </c>
      <c r="I37" s="55" t="s">
        <v>153</v>
      </c>
      <c r="J37" s="55" t="s">
        <v>38</v>
      </c>
      <c r="K37" s="55" t="s">
        <v>154</v>
      </c>
      <c r="L37" s="236">
        <v>3</v>
      </c>
      <c r="N37" s="55">
        <v>3</v>
      </c>
      <c r="O37" s="236">
        <v>0.8</v>
      </c>
      <c r="P37" s="236">
        <v>0.65</v>
      </c>
      <c r="Q37" s="57">
        <f t="shared" si="0"/>
        <v>0.72500000000000009</v>
      </c>
      <c r="R37" s="236">
        <v>12.8</v>
      </c>
      <c r="S37" s="236">
        <v>120</v>
      </c>
      <c r="T37" s="77">
        <f t="shared" si="4"/>
        <v>30</v>
      </c>
      <c r="U37" s="55">
        <v>537</v>
      </c>
      <c r="V37" s="58">
        <f t="shared" si="2"/>
        <v>5370</v>
      </c>
      <c r="W37" s="236">
        <v>1</v>
      </c>
      <c r="X37" s="55" t="s">
        <v>39</v>
      </c>
      <c r="Y37" s="55" t="s">
        <v>50</v>
      </c>
      <c r="Z37" s="55" t="s">
        <v>90</v>
      </c>
      <c r="AA37" s="55" t="s">
        <v>78</v>
      </c>
      <c r="AB37" s="39" t="s">
        <v>341</v>
      </c>
      <c r="AE37" s="252"/>
      <c r="AF37" s="252"/>
      <c r="AG37" s="252"/>
      <c r="AH37" s="252"/>
      <c r="AI37" s="252"/>
      <c r="AJ37" s="252"/>
      <c r="AK37" s="252"/>
      <c r="AL37" s="252"/>
      <c r="AM37" s="252"/>
      <c r="AN37" s="252"/>
      <c r="AO37" s="252"/>
      <c r="AP37" s="252"/>
      <c r="AQ37" s="252"/>
      <c r="AR37" s="252"/>
      <c r="AS37" s="252"/>
      <c r="AT37" s="252"/>
      <c r="AU37" s="252"/>
      <c r="AV37" s="252"/>
      <c r="AW37" s="252"/>
    </row>
    <row r="38" spans="1:49" x14ac:dyDescent="0.15">
      <c r="A38" s="55" t="s">
        <v>41</v>
      </c>
      <c r="B38" s="236" t="s">
        <v>338</v>
      </c>
      <c r="C38" s="151">
        <v>2018</v>
      </c>
      <c r="D38" s="56" t="s">
        <v>359</v>
      </c>
      <c r="E38" s="236" t="s">
        <v>291</v>
      </c>
      <c r="F38" s="236" t="s">
        <v>297</v>
      </c>
      <c r="G38" s="55" t="s">
        <v>42</v>
      </c>
      <c r="H38" s="55" t="s">
        <v>155</v>
      </c>
      <c r="I38" s="55" t="s">
        <v>153</v>
      </c>
      <c r="J38" s="55" t="s">
        <v>38</v>
      </c>
      <c r="K38" s="55" t="s">
        <v>154</v>
      </c>
      <c r="L38" s="236">
        <v>1</v>
      </c>
      <c r="M38" s="55"/>
      <c r="N38" s="55">
        <v>1</v>
      </c>
      <c r="O38" s="55">
        <v>0.75</v>
      </c>
      <c r="P38" s="55">
        <v>0.7</v>
      </c>
      <c r="Q38" s="57">
        <f t="shared" si="0"/>
        <v>0.72499999999999998</v>
      </c>
      <c r="R38" s="236">
        <v>15.7</v>
      </c>
      <c r="S38" s="55">
        <v>131</v>
      </c>
      <c r="T38" s="77">
        <f t="shared" si="4"/>
        <v>25</v>
      </c>
      <c r="U38" s="55">
        <v>105</v>
      </c>
      <c r="V38" s="78">
        <f t="shared" si="2"/>
        <v>2625</v>
      </c>
      <c r="W38" s="55">
        <v>1</v>
      </c>
      <c r="X38" s="55" t="s">
        <v>39</v>
      </c>
      <c r="Y38" s="55" t="s">
        <v>50</v>
      </c>
      <c r="Z38" s="55" t="s">
        <v>90</v>
      </c>
      <c r="AA38" s="55" t="s">
        <v>78</v>
      </c>
      <c r="AB38" s="39" t="s">
        <v>341</v>
      </c>
    </row>
    <row r="39" spans="1:49" x14ac:dyDescent="0.15">
      <c r="A39" s="55" t="s">
        <v>41</v>
      </c>
      <c r="B39" s="236" t="s">
        <v>338</v>
      </c>
      <c r="C39" s="151">
        <v>2018</v>
      </c>
      <c r="D39" s="56" t="s">
        <v>359</v>
      </c>
      <c r="E39" s="236" t="s">
        <v>291</v>
      </c>
      <c r="F39" s="236" t="s">
        <v>297</v>
      </c>
      <c r="G39" s="55" t="s">
        <v>42</v>
      </c>
      <c r="H39" s="55" t="s">
        <v>155</v>
      </c>
      <c r="I39" s="55" t="s">
        <v>153</v>
      </c>
      <c r="J39" s="55" t="s">
        <v>38</v>
      </c>
      <c r="K39" s="55" t="s">
        <v>154</v>
      </c>
      <c r="L39" s="236">
        <v>2</v>
      </c>
      <c r="N39" s="55">
        <v>1</v>
      </c>
      <c r="O39" s="55">
        <v>0.7</v>
      </c>
      <c r="P39" s="55">
        <v>0.5</v>
      </c>
      <c r="Q39" s="57">
        <f t="shared" si="0"/>
        <v>0.6</v>
      </c>
      <c r="R39" s="236">
        <v>14</v>
      </c>
      <c r="S39" s="55">
        <v>129</v>
      </c>
      <c r="T39" s="77">
        <f t="shared" si="4"/>
        <v>25</v>
      </c>
      <c r="U39" s="55">
        <v>105</v>
      </c>
      <c r="V39" s="58">
        <f t="shared" si="2"/>
        <v>2625</v>
      </c>
      <c r="W39" s="236">
        <v>1</v>
      </c>
      <c r="X39" s="55" t="s">
        <v>39</v>
      </c>
      <c r="Y39" s="55" t="s">
        <v>50</v>
      </c>
      <c r="Z39" s="55" t="s">
        <v>90</v>
      </c>
      <c r="AA39" s="55" t="s">
        <v>78</v>
      </c>
      <c r="AB39" s="39" t="s">
        <v>341</v>
      </c>
      <c r="AE39" s="252"/>
      <c r="AF39" s="252"/>
      <c r="AG39" s="252"/>
      <c r="AH39" s="252"/>
      <c r="AI39" s="252"/>
      <c r="AJ39" s="252"/>
      <c r="AK39" s="252"/>
      <c r="AL39" s="252"/>
      <c r="AM39" s="252"/>
      <c r="AN39" s="252"/>
      <c r="AO39" s="252"/>
      <c r="AP39" s="252"/>
      <c r="AQ39" s="252"/>
      <c r="AR39" s="252"/>
      <c r="AS39" s="252"/>
      <c r="AT39" s="252"/>
      <c r="AU39" s="252"/>
      <c r="AV39" s="252"/>
      <c r="AW39" s="252"/>
    </row>
    <row r="40" spans="1:49" x14ac:dyDescent="0.15">
      <c r="A40" s="55" t="s">
        <v>41</v>
      </c>
      <c r="B40" s="236" t="s">
        <v>338</v>
      </c>
      <c r="C40" s="151">
        <v>2018</v>
      </c>
      <c r="D40" s="56" t="s">
        <v>359</v>
      </c>
      <c r="E40" s="236" t="s">
        <v>291</v>
      </c>
      <c r="F40" s="236" t="s">
        <v>297</v>
      </c>
      <c r="G40" s="55" t="s">
        <v>42</v>
      </c>
      <c r="H40" s="55" t="s">
        <v>155</v>
      </c>
      <c r="I40" s="55" t="s">
        <v>153</v>
      </c>
      <c r="J40" s="55" t="s">
        <v>38</v>
      </c>
      <c r="K40" s="55" t="s">
        <v>154</v>
      </c>
      <c r="L40" s="236">
        <v>3</v>
      </c>
      <c r="N40" s="55">
        <v>1</v>
      </c>
      <c r="O40" s="55">
        <v>0.8</v>
      </c>
      <c r="P40" s="55">
        <v>0.65</v>
      </c>
      <c r="Q40" s="57">
        <f t="shared" si="0"/>
        <v>0.72500000000000009</v>
      </c>
      <c r="R40" s="236">
        <v>16.8</v>
      </c>
      <c r="S40" s="55">
        <v>128</v>
      </c>
      <c r="T40" s="77">
        <f t="shared" si="4"/>
        <v>27</v>
      </c>
      <c r="U40" s="55">
        <v>105</v>
      </c>
      <c r="V40" s="58">
        <f t="shared" si="2"/>
        <v>2835</v>
      </c>
      <c r="W40" s="236">
        <v>1</v>
      </c>
      <c r="X40" s="55" t="s">
        <v>39</v>
      </c>
      <c r="Y40" s="55" t="s">
        <v>50</v>
      </c>
      <c r="Z40" s="55" t="s">
        <v>90</v>
      </c>
      <c r="AA40" s="55" t="s">
        <v>78</v>
      </c>
      <c r="AB40" s="39" t="s">
        <v>341</v>
      </c>
      <c r="AE40" s="252"/>
      <c r="AF40" s="252"/>
      <c r="AG40" s="252"/>
      <c r="AH40" s="252"/>
      <c r="AI40" s="252"/>
      <c r="AJ40" s="252"/>
      <c r="AK40" s="252"/>
      <c r="AL40" s="252"/>
      <c r="AM40" s="252"/>
      <c r="AN40" s="252"/>
      <c r="AO40" s="252"/>
      <c r="AP40" s="252"/>
      <c r="AQ40" s="252"/>
      <c r="AR40" s="252"/>
      <c r="AS40" s="252"/>
      <c r="AT40" s="252"/>
      <c r="AU40" s="252"/>
      <c r="AV40" s="252"/>
      <c r="AW40" s="252"/>
    </row>
    <row r="41" spans="1:49" x14ac:dyDescent="0.15">
      <c r="A41" s="55" t="s">
        <v>41</v>
      </c>
      <c r="B41" s="236" t="s">
        <v>338</v>
      </c>
      <c r="C41" s="151">
        <v>2018</v>
      </c>
      <c r="D41" s="56" t="s">
        <v>359</v>
      </c>
      <c r="E41" s="236" t="s">
        <v>291</v>
      </c>
      <c r="F41" s="236" t="s">
        <v>297</v>
      </c>
      <c r="G41" s="55" t="s">
        <v>42</v>
      </c>
      <c r="H41" s="55" t="s">
        <v>155</v>
      </c>
      <c r="I41" s="55" t="s">
        <v>153</v>
      </c>
      <c r="J41" s="55" t="s">
        <v>38</v>
      </c>
      <c r="K41" s="55" t="s">
        <v>154</v>
      </c>
      <c r="L41" s="236">
        <v>1</v>
      </c>
      <c r="M41" s="55"/>
      <c r="N41" s="55">
        <v>3</v>
      </c>
      <c r="O41" s="55">
        <v>0.3</v>
      </c>
      <c r="P41" s="55">
        <v>0.25</v>
      </c>
      <c r="Q41" s="57">
        <f t="shared" si="0"/>
        <v>0.27500000000000002</v>
      </c>
      <c r="R41" s="236">
        <v>16.399999999999999</v>
      </c>
      <c r="S41" s="55">
        <v>119</v>
      </c>
      <c r="T41" s="77">
        <f t="shared" si="4"/>
        <v>30</v>
      </c>
      <c r="U41" s="55">
        <v>429</v>
      </c>
      <c r="V41" s="78">
        <f t="shared" si="2"/>
        <v>4290</v>
      </c>
      <c r="W41" s="55">
        <v>1</v>
      </c>
      <c r="X41" s="55" t="s">
        <v>39</v>
      </c>
      <c r="Y41" s="55" t="s">
        <v>50</v>
      </c>
      <c r="Z41" s="55" t="s">
        <v>90</v>
      </c>
      <c r="AA41" s="55" t="s">
        <v>78</v>
      </c>
      <c r="AB41" s="39" t="s">
        <v>341</v>
      </c>
      <c r="AE41" s="255"/>
      <c r="AF41" s="252"/>
      <c r="AG41" s="256"/>
      <c r="AH41" s="256"/>
      <c r="AI41" s="252"/>
      <c r="AJ41" s="252"/>
      <c r="AK41" s="252"/>
      <c r="AL41" s="252"/>
      <c r="AM41" s="252"/>
      <c r="AN41" s="252"/>
      <c r="AO41" s="252"/>
      <c r="AP41" s="252"/>
      <c r="AQ41" s="252"/>
      <c r="AR41" s="256"/>
      <c r="AS41" s="252"/>
      <c r="AT41" s="252"/>
      <c r="AU41" s="252"/>
      <c r="AV41" s="252"/>
      <c r="AW41" s="252"/>
    </row>
    <row r="42" spans="1:49" x14ac:dyDescent="0.15">
      <c r="A42" s="55" t="s">
        <v>41</v>
      </c>
      <c r="B42" s="236" t="s">
        <v>338</v>
      </c>
      <c r="C42" s="151">
        <v>2018</v>
      </c>
      <c r="D42" s="56" t="s">
        <v>359</v>
      </c>
      <c r="E42" s="236" t="s">
        <v>291</v>
      </c>
      <c r="F42" s="236" t="s">
        <v>297</v>
      </c>
      <c r="G42" s="55" t="s">
        <v>42</v>
      </c>
      <c r="H42" s="55" t="s">
        <v>155</v>
      </c>
      <c r="I42" s="55" t="s">
        <v>153</v>
      </c>
      <c r="J42" s="55" t="s">
        <v>38</v>
      </c>
      <c r="K42" s="55" t="s">
        <v>154</v>
      </c>
      <c r="L42" s="236">
        <v>2</v>
      </c>
      <c r="N42" s="55">
        <v>3</v>
      </c>
      <c r="O42" s="55">
        <v>0.25</v>
      </c>
      <c r="P42" s="55">
        <v>0.25</v>
      </c>
      <c r="Q42" s="57">
        <f t="shared" si="0"/>
        <v>0.25</v>
      </c>
      <c r="R42" s="236">
        <v>15.1</v>
      </c>
      <c r="S42" s="55">
        <v>121</v>
      </c>
      <c r="T42" s="77">
        <f t="shared" si="4"/>
        <v>27</v>
      </c>
      <c r="U42" s="55">
        <v>429</v>
      </c>
      <c r="V42" s="58">
        <f t="shared" si="2"/>
        <v>3861</v>
      </c>
      <c r="W42" s="236">
        <v>1</v>
      </c>
      <c r="X42" s="55" t="s">
        <v>39</v>
      </c>
      <c r="Y42" s="55" t="s">
        <v>50</v>
      </c>
      <c r="Z42" s="55" t="s">
        <v>90</v>
      </c>
      <c r="AA42" s="55" t="s">
        <v>78</v>
      </c>
      <c r="AB42" s="39" t="s">
        <v>341</v>
      </c>
      <c r="AE42" s="255"/>
      <c r="AF42" s="252"/>
      <c r="AG42" s="256"/>
      <c r="AH42" s="256"/>
      <c r="AI42" s="252"/>
      <c r="AJ42" s="252"/>
      <c r="AK42" s="252"/>
      <c r="AL42" s="252"/>
      <c r="AM42" s="252"/>
      <c r="AN42" s="252"/>
      <c r="AO42" s="252"/>
      <c r="AP42" s="252"/>
      <c r="AQ42" s="252"/>
      <c r="AR42" s="256"/>
      <c r="AS42" s="252"/>
      <c r="AT42" s="252"/>
      <c r="AU42" s="252"/>
      <c r="AV42" s="252"/>
      <c r="AW42" s="252"/>
    </row>
    <row r="43" spans="1:49" x14ac:dyDescent="0.15">
      <c r="A43" s="55" t="s">
        <v>41</v>
      </c>
      <c r="B43" s="236" t="s">
        <v>338</v>
      </c>
      <c r="C43" s="151">
        <v>2018</v>
      </c>
      <c r="D43" s="56" t="s">
        <v>359</v>
      </c>
      <c r="E43" s="236" t="s">
        <v>291</v>
      </c>
      <c r="F43" s="236" t="s">
        <v>297</v>
      </c>
      <c r="G43" s="55" t="s">
        <v>42</v>
      </c>
      <c r="H43" s="55" t="s">
        <v>155</v>
      </c>
      <c r="I43" s="55" t="s">
        <v>153</v>
      </c>
      <c r="J43" s="55" t="s">
        <v>38</v>
      </c>
      <c r="K43" s="55" t="s">
        <v>154</v>
      </c>
      <c r="L43" s="236">
        <v>3</v>
      </c>
      <c r="N43" s="55">
        <v>3</v>
      </c>
      <c r="O43" s="55">
        <v>0.25</v>
      </c>
      <c r="P43" s="55">
        <v>0.25</v>
      </c>
      <c r="Q43" s="57">
        <f t="shared" si="0"/>
        <v>0.25</v>
      </c>
      <c r="R43" s="236">
        <v>16</v>
      </c>
      <c r="S43" s="55">
        <v>120</v>
      </c>
      <c r="T43" s="77">
        <f t="shared" si="4"/>
        <v>30</v>
      </c>
      <c r="U43" s="55">
        <v>429</v>
      </c>
      <c r="V43" s="58">
        <f t="shared" si="2"/>
        <v>4290</v>
      </c>
      <c r="W43" s="236">
        <v>1</v>
      </c>
      <c r="X43" s="55" t="s">
        <v>39</v>
      </c>
      <c r="Y43" s="55" t="s">
        <v>50</v>
      </c>
      <c r="Z43" s="55" t="s">
        <v>90</v>
      </c>
      <c r="AA43" s="55" t="s">
        <v>78</v>
      </c>
      <c r="AB43" s="39" t="s">
        <v>341</v>
      </c>
      <c r="AE43" s="255"/>
      <c r="AF43" s="252"/>
      <c r="AG43" s="256"/>
      <c r="AH43" s="256"/>
      <c r="AI43" s="252"/>
      <c r="AJ43" s="252"/>
      <c r="AK43" s="252"/>
      <c r="AL43" s="252"/>
      <c r="AM43" s="252"/>
      <c r="AN43" s="252"/>
      <c r="AO43" s="252"/>
      <c r="AP43" s="252"/>
      <c r="AQ43" s="252"/>
      <c r="AR43" s="256"/>
      <c r="AS43" s="252"/>
      <c r="AT43" s="252"/>
      <c r="AU43" s="252"/>
      <c r="AV43" s="252"/>
      <c r="AW43" s="252"/>
    </row>
    <row r="44" spans="1:49" x14ac:dyDescent="0.15">
      <c r="A44" s="55" t="s">
        <v>41</v>
      </c>
      <c r="B44" s="236" t="s">
        <v>338</v>
      </c>
      <c r="C44" s="151">
        <v>2018</v>
      </c>
      <c r="D44" s="56" t="s">
        <v>359</v>
      </c>
      <c r="E44" s="236" t="s">
        <v>292</v>
      </c>
      <c r="F44" s="236" t="s">
        <v>296</v>
      </c>
      <c r="G44" s="55" t="s">
        <v>42</v>
      </c>
      <c r="H44" s="55" t="s">
        <v>155</v>
      </c>
      <c r="I44" s="55" t="s">
        <v>153</v>
      </c>
      <c r="J44" s="55" t="s">
        <v>38</v>
      </c>
      <c r="K44" s="55" t="s">
        <v>154</v>
      </c>
      <c r="L44" s="236">
        <v>1</v>
      </c>
      <c r="N44" s="55">
        <v>1</v>
      </c>
      <c r="O44" s="55">
        <v>0.5</v>
      </c>
      <c r="P44" s="55">
        <v>0.5</v>
      </c>
      <c r="Q44" s="57">
        <f t="shared" si="0"/>
        <v>0.5</v>
      </c>
      <c r="R44" s="236">
        <v>13.5</v>
      </c>
      <c r="S44" s="55">
        <v>127</v>
      </c>
      <c r="T44" s="57">
        <f t="shared" si="4"/>
        <v>27</v>
      </c>
      <c r="U44" s="236">
        <v>108</v>
      </c>
      <c r="V44" s="58">
        <f t="shared" si="2"/>
        <v>2916</v>
      </c>
      <c r="W44" s="236">
        <v>2</v>
      </c>
      <c r="X44" s="55" t="s">
        <v>46</v>
      </c>
      <c r="Y44" s="55" t="s">
        <v>102</v>
      </c>
      <c r="Z44" s="55" t="s">
        <v>84</v>
      </c>
      <c r="AA44" s="55" t="s">
        <v>78</v>
      </c>
      <c r="AB44" s="39" t="s">
        <v>341</v>
      </c>
      <c r="AE44" s="255"/>
      <c r="AF44" s="252"/>
      <c r="AG44" s="256"/>
      <c r="AH44" s="256"/>
      <c r="AI44" s="252"/>
      <c r="AJ44" s="252"/>
      <c r="AK44" s="252"/>
      <c r="AL44" s="252"/>
      <c r="AM44" s="252"/>
      <c r="AN44" s="252"/>
      <c r="AO44" s="252"/>
      <c r="AP44" s="252"/>
      <c r="AQ44" s="252"/>
      <c r="AR44" s="256"/>
      <c r="AS44" s="252"/>
      <c r="AT44" s="252"/>
      <c r="AU44" s="252"/>
      <c r="AV44" s="252"/>
      <c r="AW44" s="252"/>
    </row>
    <row r="45" spans="1:49" x14ac:dyDescent="0.15">
      <c r="A45" s="55" t="s">
        <v>41</v>
      </c>
      <c r="B45" s="236" t="s">
        <v>338</v>
      </c>
      <c r="C45" s="151">
        <v>2018</v>
      </c>
      <c r="D45" s="56" t="s">
        <v>359</v>
      </c>
      <c r="E45" s="236" t="s">
        <v>292</v>
      </c>
      <c r="F45" s="236" t="s">
        <v>296</v>
      </c>
      <c r="G45" s="55" t="s">
        <v>42</v>
      </c>
      <c r="H45" s="55" t="s">
        <v>155</v>
      </c>
      <c r="I45" s="55" t="s">
        <v>153</v>
      </c>
      <c r="J45" s="55" t="s">
        <v>38</v>
      </c>
      <c r="K45" s="55" t="s">
        <v>154</v>
      </c>
      <c r="L45" s="236">
        <v>2</v>
      </c>
      <c r="N45" s="55">
        <v>1</v>
      </c>
      <c r="O45" s="55">
        <v>0.45</v>
      </c>
      <c r="P45" s="55">
        <v>0.5</v>
      </c>
      <c r="Q45" s="57">
        <f t="shared" si="0"/>
        <v>0.47499999999999998</v>
      </c>
      <c r="R45" s="236">
        <v>14.5</v>
      </c>
      <c r="S45" s="55">
        <v>124</v>
      </c>
      <c r="T45" s="57">
        <f t="shared" si="4"/>
        <v>27</v>
      </c>
      <c r="U45" s="236">
        <v>108</v>
      </c>
      <c r="V45" s="58">
        <f t="shared" si="2"/>
        <v>2916</v>
      </c>
      <c r="W45" s="236">
        <v>2</v>
      </c>
      <c r="X45" s="55" t="s">
        <v>46</v>
      </c>
      <c r="Y45" s="55" t="s">
        <v>102</v>
      </c>
      <c r="Z45" s="55" t="s">
        <v>84</v>
      </c>
      <c r="AA45" s="55" t="s">
        <v>78</v>
      </c>
      <c r="AB45" s="39" t="s">
        <v>341</v>
      </c>
      <c r="AE45" s="255"/>
      <c r="AF45" s="252"/>
      <c r="AG45" s="256"/>
      <c r="AH45" s="256"/>
      <c r="AI45" s="252"/>
      <c r="AJ45" s="252"/>
      <c r="AK45" s="252"/>
      <c r="AL45" s="252"/>
      <c r="AM45" s="252"/>
      <c r="AN45" s="252"/>
      <c r="AO45" s="252"/>
      <c r="AP45" s="252"/>
      <c r="AQ45" s="252"/>
      <c r="AR45" s="256"/>
      <c r="AS45" s="252"/>
      <c r="AT45" s="252"/>
      <c r="AU45" s="252"/>
      <c r="AV45" s="252"/>
      <c r="AW45" s="252"/>
    </row>
    <row r="46" spans="1:49" x14ac:dyDescent="0.15">
      <c r="A46" s="55" t="s">
        <v>41</v>
      </c>
      <c r="B46" s="236" t="s">
        <v>338</v>
      </c>
      <c r="C46" s="151">
        <v>2018</v>
      </c>
      <c r="D46" s="56" t="s">
        <v>359</v>
      </c>
      <c r="E46" s="236" t="s">
        <v>292</v>
      </c>
      <c r="F46" s="236" t="s">
        <v>296</v>
      </c>
      <c r="G46" s="55" t="s">
        <v>42</v>
      </c>
      <c r="H46" s="55" t="s">
        <v>155</v>
      </c>
      <c r="I46" s="55" t="s">
        <v>153</v>
      </c>
      <c r="J46" s="55" t="s">
        <v>38</v>
      </c>
      <c r="K46" s="55" t="s">
        <v>154</v>
      </c>
      <c r="L46" s="236">
        <v>3</v>
      </c>
      <c r="N46" s="55">
        <v>1</v>
      </c>
      <c r="O46" s="55">
        <v>0.8</v>
      </c>
      <c r="P46" s="55">
        <v>0.65</v>
      </c>
      <c r="Q46" s="57">
        <f t="shared" si="0"/>
        <v>0.72500000000000009</v>
      </c>
      <c r="R46" s="236">
        <v>15.1</v>
      </c>
      <c r="S46" s="55">
        <v>125</v>
      </c>
      <c r="T46" s="57">
        <f t="shared" si="4"/>
        <v>27</v>
      </c>
      <c r="U46" s="236">
        <v>108</v>
      </c>
      <c r="V46" s="58">
        <f t="shared" si="2"/>
        <v>2916</v>
      </c>
      <c r="W46" s="236">
        <v>2</v>
      </c>
      <c r="X46" s="55" t="s">
        <v>46</v>
      </c>
      <c r="Y46" s="55" t="s">
        <v>102</v>
      </c>
      <c r="Z46" s="55" t="s">
        <v>84</v>
      </c>
      <c r="AA46" s="55" t="s">
        <v>78</v>
      </c>
      <c r="AB46" s="39" t="s">
        <v>341</v>
      </c>
      <c r="AE46" s="255"/>
      <c r="AF46" s="252"/>
      <c r="AG46" s="256"/>
      <c r="AH46" s="256"/>
      <c r="AI46" s="252"/>
      <c r="AJ46" s="252"/>
      <c r="AK46" s="252"/>
      <c r="AL46" s="252"/>
      <c r="AM46" s="252"/>
      <c r="AN46" s="252"/>
      <c r="AO46" s="252"/>
      <c r="AP46" s="252"/>
      <c r="AQ46" s="252"/>
      <c r="AR46" s="256"/>
      <c r="AS46" s="252"/>
      <c r="AT46" s="252"/>
      <c r="AU46" s="252"/>
      <c r="AV46" s="252"/>
      <c r="AW46" s="252"/>
    </row>
    <row r="47" spans="1:49" x14ac:dyDescent="0.15">
      <c r="A47" s="55" t="s">
        <v>41</v>
      </c>
      <c r="B47" s="236" t="s">
        <v>338</v>
      </c>
      <c r="C47" s="151">
        <v>2018</v>
      </c>
      <c r="D47" s="56" t="s">
        <v>359</v>
      </c>
      <c r="E47" s="236" t="s">
        <v>292</v>
      </c>
      <c r="F47" s="236" t="s">
        <v>296</v>
      </c>
      <c r="G47" s="55" t="s">
        <v>42</v>
      </c>
      <c r="H47" s="55" t="s">
        <v>165</v>
      </c>
      <c r="I47" s="55" t="s">
        <v>153</v>
      </c>
      <c r="J47" s="55" t="s">
        <v>38</v>
      </c>
      <c r="K47" s="55" t="s">
        <v>154</v>
      </c>
      <c r="L47" s="236">
        <v>1</v>
      </c>
      <c r="N47" s="55">
        <v>1</v>
      </c>
      <c r="O47" s="55">
        <v>0.25</v>
      </c>
      <c r="P47" s="55">
        <v>0.25</v>
      </c>
      <c r="Q47" s="57">
        <f t="shared" si="0"/>
        <v>0.25</v>
      </c>
      <c r="R47" s="236">
        <v>16.8</v>
      </c>
      <c r="S47" s="55">
        <v>120</v>
      </c>
      <c r="T47" s="57">
        <f t="shared" si="4"/>
        <v>30</v>
      </c>
      <c r="U47" s="236">
        <v>170</v>
      </c>
      <c r="V47" s="58">
        <f t="shared" si="2"/>
        <v>5100</v>
      </c>
      <c r="W47" s="236">
        <v>1</v>
      </c>
      <c r="X47" s="55" t="s">
        <v>46</v>
      </c>
      <c r="Y47" s="55" t="s">
        <v>102</v>
      </c>
      <c r="Z47" s="55" t="s">
        <v>84</v>
      </c>
      <c r="AA47" s="55" t="s">
        <v>78</v>
      </c>
      <c r="AB47" s="39" t="s">
        <v>341</v>
      </c>
    </row>
    <row r="48" spans="1:49" x14ac:dyDescent="0.15">
      <c r="A48" s="55" t="s">
        <v>41</v>
      </c>
      <c r="B48" s="236" t="s">
        <v>338</v>
      </c>
      <c r="C48" s="151">
        <v>2018</v>
      </c>
      <c r="D48" s="56" t="s">
        <v>359</v>
      </c>
      <c r="E48" s="236" t="s">
        <v>292</v>
      </c>
      <c r="F48" s="236" t="s">
        <v>296</v>
      </c>
      <c r="G48" s="55" t="s">
        <v>42</v>
      </c>
      <c r="H48" s="55" t="s">
        <v>165</v>
      </c>
      <c r="I48" s="55" t="s">
        <v>153</v>
      </c>
      <c r="J48" s="55" t="s">
        <v>38</v>
      </c>
      <c r="K48" s="55" t="s">
        <v>154</v>
      </c>
      <c r="L48" s="236">
        <v>2</v>
      </c>
      <c r="N48" s="55">
        <v>1</v>
      </c>
      <c r="O48" s="55">
        <v>0.35</v>
      </c>
      <c r="P48" s="55">
        <v>0.3</v>
      </c>
      <c r="Q48" s="57">
        <f t="shared" si="0"/>
        <v>0.32499999999999996</v>
      </c>
      <c r="R48" s="236">
        <v>15.8</v>
      </c>
      <c r="S48" s="55">
        <v>122</v>
      </c>
      <c r="T48" s="57">
        <f t="shared" si="4"/>
        <v>27</v>
      </c>
      <c r="U48" s="236">
        <v>170</v>
      </c>
      <c r="V48" s="58">
        <f t="shared" si="2"/>
        <v>4590</v>
      </c>
      <c r="W48" s="236">
        <v>1</v>
      </c>
      <c r="X48" s="55" t="s">
        <v>46</v>
      </c>
      <c r="Y48" s="55" t="s">
        <v>102</v>
      </c>
      <c r="Z48" s="55" t="s">
        <v>84</v>
      </c>
      <c r="AA48" s="55" t="s">
        <v>78</v>
      </c>
      <c r="AB48" s="39" t="s">
        <v>341</v>
      </c>
    </row>
    <row r="49" spans="1:30" x14ac:dyDescent="0.15">
      <c r="A49" s="55" t="s">
        <v>41</v>
      </c>
      <c r="B49" s="236" t="s">
        <v>338</v>
      </c>
      <c r="C49" s="151">
        <v>2018</v>
      </c>
      <c r="D49" s="56" t="s">
        <v>359</v>
      </c>
      <c r="E49" s="236" t="s">
        <v>292</v>
      </c>
      <c r="F49" s="236" t="s">
        <v>296</v>
      </c>
      <c r="G49" s="55" t="s">
        <v>42</v>
      </c>
      <c r="H49" s="55" t="s">
        <v>165</v>
      </c>
      <c r="I49" s="55" t="s">
        <v>153</v>
      </c>
      <c r="J49" s="55" t="s">
        <v>38</v>
      </c>
      <c r="K49" s="55" t="s">
        <v>154</v>
      </c>
      <c r="L49" s="236">
        <v>3</v>
      </c>
      <c r="N49" s="55">
        <v>1</v>
      </c>
      <c r="O49" s="55">
        <v>0.25</v>
      </c>
      <c r="P49" s="55">
        <v>0.25</v>
      </c>
      <c r="Q49" s="57">
        <f t="shared" si="0"/>
        <v>0.25</v>
      </c>
      <c r="R49" s="236">
        <v>16.100000000000001</v>
      </c>
      <c r="S49" s="55">
        <v>123</v>
      </c>
      <c r="T49" s="57">
        <f t="shared" si="4"/>
        <v>27</v>
      </c>
      <c r="U49" s="236">
        <v>170</v>
      </c>
      <c r="V49" s="58">
        <f t="shared" si="2"/>
        <v>4590</v>
      </c>
      <c r="W49" s="236">
        <v>1</v>
      </c>
      <c r="X49" s="55" t="s">
        <v>46</v>
      </c>
      <c r="Y49" s="55" t="s">
        <v>102</v>
      </c>
      <c r="Z49" s="55" t="s">
        <v>84</v>
      </c>
      <c r="AA49" s="55" t="s">
        <v>78</v>
      </c>
      <c r="AB49" s="39" t="s">
        <v>341</v>
      </c>
    </row>
    <row r="50" spans="1:30" x14ac:dyDescent="0.15">
      <c r="A50" s="55" t="s">
        <v>41</v>
      </c>
      <c r="B50" s="236" t="s">
        <v>338</v>
      </c>
      <c r="C50" s="151">
        <v>2018</v>
      </c>
      <c r="D50" s="56" t="s">
        <v>359</v>
      </c>
      <c r="E50" s="236" t="s">
        <v>292</v>
      </c>
      <c r="F50" s="236" t="s">
        <v>296</v>
      </c>
      <c r="G50" s="55" t="s">
        <v>42</v>
      </c>
      <c r="H50" s="55" t="s">
        <v>165</v>
      </c>
      <c r="I50" s="55" t="s">
        <v>153</v>
      </c>
      <c r="J50" s="55" t="s">
        <v>38</v>
      </c>
      <c r="K50" s="55" t="s">
        <v>154</v>
      </c>
      <c r="L50" s="236">
        <v>1</v>
      </c>
      <c r="N50" s="55">
        <v>4</v>
      </c>
      <c r="O50" s="236">
        <v>0.45</v>
      </c>
      <c r="P50" s="236">
        <v>0.55000000000000004</v>
      </c>
      <c r="Q50" s="57">
        <f t="shared" si="0"/>
        <v>0.5</v>
      </c>
      <c r="R50" s="236">
        <v>17.399999999999999</v>
      </c>
      <c r="S50" s="236">
        <v>118</v>
      </c>
      <c r="T50" s="57">
        <f t="shared" si="4"/>
        <v>30</v>
      </c>
      <c r="U50" s="236">
        <v>645</v>
      </c>
      <c r="V50" s="58">
        <f t="shared" si="2"/>
        <v>4837.5</v>
      </c>
      <c r="W50" s="236">
        <v>2</v>
      </c>
      <c r="X50" s="55" t="s">
        <v>46</v>
      </c>
      <c r="Y50" s="55" t="s">
        <v>102</v>
      </c>
      <c r="Z50" s="55" t="s">
        <v>84</v>
      </c>
      <c r="AA50" s="55" t="s">
        <v>78</v>
      </c>
      <c r="AB50" s="39" t="s">
        <v>341</v>
      </c>
      <c r="AC50" s="55"/>
      <c r="AD50" s="55"/>
    </row>
    <row r="51" spans="1:30" x14ac:dyDescent="0.15">
      <c r="A51" s="55" t="s">
        <v>41</v>
      </c>
      <c r="B51" s="236" t="s">
        <v>338</v>
      </c>
      <c r="C51" s="151">
        <v>2018</v>
      </c>
      <c r="D51" s="56" t="s">
        <v>359</v>
      </c>
      <c r="E51" s="236" t="s">
        <v>292</v>
      </c>
      <c r="F51" s="236" t="s">
        <v>296</v>
      </c>
      <c r="G51" s="55" t="s">
        <v>42</v>
      </c>
      <c r="H51" s="55" t="s">
        <v>165</v>
      </c>
      <c r="I51" s="55" t="s">
        <v>153</v>
      </c>
      <c r="J51" s="55" t="s">
        <v>38</v>
      </c>
      <c r="K51" s="55" t="s">
        <v>154</v>
      </c>
      <c r="L51" s="236">
        <v>2</v>
      </c>
      <c r="N51" s="55">
        <v>4</v>
      </c>
      <c r="O51" s="236">
        <v>0.6</v>
      </c>
      <c r="P51" s="236">
        <v>0.5</v>
      </c>
      <c r="Q51" s="57">
        <f t="shared" si="0"/>
        <v>0.55000000000000004</v>
      </c>
      <c r="R51" s="236">
        <v>15</v>
      </c>
      <c r="S51" s="236">
        <v>121</v>
      </c>
      <c r="T51" s="57">
        <f t="shared" si="4"/>
        <v>27</v>
      </c>
      <c r="U51" s="236">
        <v>645</v>
      </c>
      <c r="V51" s="58">
        <f t="shared" si="2"/>
        <v>4353.75</v>
      </c>
      <c r="W51" s="236">
        <v>2</v>
      </c>
      <c r="X51" s="55" t="s">
        <v>46</v>
      </c>
      <c r="Y51" s="55" t="s">
        <v>102</v>
      </c>
      <c r="Z51" s="55" t="s">
        <v>84</v>
      </c>
      <c r="AA51" s="55" t="s">
        <v>78</v>
      </c>
      <c r="AB51" s="39" t="s">
        <v>341</v>
      </c>
      <c r="AC51" s="55"/>
      <c r="AD51" s="55"/>
    </row>
    <row r="52" spans="1:30" x14ac:dyDescent="0.15">
      <c r="A52" s="55" t="s">
        <v>41</v>
      </c>
      <c r="B52" s="236" t="s">
        <v>338</v>
      </c>
      <c r="C52" s="151">
        <v>2018</v>
      </c>
      <c r="D52" s="56" t="s">
        <v>359</v>
      </c>
      <c r="E52" s="236" t="s">
        <v>292</v>
      </c>
      <c r="F52" s="236" t="s">
        <v>296</v>
      </c>
      <c r="G52" s="55" t="s">
        <v>42</v>
      </c>
      <c r="H52" s="55" t="s">
        <v>165</v>
      </c>
      <c r="I52" s="55" t="s">
        <v>153</v>
      </c>
      <c r="J52" s="55" t="s">
        <v>38</v>
      </c>
      <c r="K52" s="55" t="s">
        <v>154</v>
      </c>
      <c r="L52" s="236">
        <v>3</v>
      </c>
      <c r="N52" s="55">
        <v>4</v>
      </c>
      <c r="O52" s="236">
        <v>0.55000000000000004</v>
      </c>
      <c r="P52" s="236">
        <v>0.65</v>
      </c>
      <c r="Q52" s="57">
        <f t="shared" si="0"/>
        <v>0.60000000000000009</v>
      </c>
      <c r="R52" s="236">
        <v>14.2</v>
      </c>
      <c r="S52" s="236">
        <v>124</v>
      </c>
      <c r="T52" s="57">
        <f t="shared" si="4"/>
        <v>27</v>
      </c>
      <c r="U52" s="55">
        <v>645</v>
      </c>
      <c r="V52" s="58">
        <f t="shared" si="2"/>
        <v>4353.75</v>
      </c>
      <c r="W52" s="236">
        <v>2</v>
      </c>
      <c r="X52" s="55" t="s">
        <v>46</v>
      </c>
      <c r="Y52" s="55" t="s">
        <v>102</v>
      </c>
      <c r="Z52" s="55" t="s">
        <v>84</v>
      </c>
      <c r="AA52" s="55" t="s">
        <v>78</v>
      </c>
      <c r="AB52" s="39" t="s">
        <v>341</v>
      </c>
      <c r="AC52" s="55"/>
      <c r="AD52" s="55"/>
    </row>
    <row r="53" spans="1:30" x14ac:dyDescent="0.15">
      <c r="A53" s="55" t="s">
        <v>41</v>
      </c>
      <c r="B53" s="236" t="s">
        <v>338</v>
      </c>
      <c r="C53" s="151">
        <v>2018</v>
      </c>
      <c r="D53" s="56" t="s">
        <v>359</v>
      </c>
      <c r="E53" s="236" t="s">
        <v>292</v>
      </c>
      <c r="F53" s="236" t="s">
        <v>296</v>
      </c>
      <c r="G53" s="55" t="s">
        <v>42</v>
      </c>
      <c r="H53" s="55" t="s">
        <v>165</v>
      </c>
      <c r="I53" s="55" t="s">
        <v>153</v>
      </c>
      <c r="J53" s="55" t="s">
        <v>38</v>
      </c>
      <c r="K53" s="55" t="s">
        <v>154</v>
      </c>
      <c r="L53" s="236">
        <v>1</v>
      </c>
      <c r="N53" s="55">
        <v>8</v>
      </c>
      <c r="O53" s="236">
        <v>0.25</v>
      </c>
      <c r="P53" s="236">
        <v>0.25</v>
      </c>
      <c r="Q53" s="57">
        <f t="shared" si="0"/>
        <v>0.25</v>
      </c>
      <c r="R53" s="236">
        <v>14.5</v>
      </c>
      <c r="S53" s="236">
        <v>119</v>
      </c>
      <c r="T53" s="57">
        <f t="shared" si="4"/>
        <v>30</v>
      </c>
      <c r="U53" s="236">
        <v>1058</v>
      </c>
      <c r="V53" s="58">
        <f t="shared" si="2"/>
        <v>3967.5</v>
      </c>
      <c r="W53" s="236">
        <v>1</v>
      </c>
      <c r="X53" s="55" t="s">
        <v>46</v>
      </c>
      <c r="Y53" s="55" t="s">
        <v>102</v>
      </c>
      <c r="Z53" s="55" t="s">
        <v>84</v>
      </c>
      <c r="AA53" s="55" t="s">
        <v>78</v>
      </c>
      <c r="AB53" s="39" t="s">
        <v>341</v>
      </c>
    </row>
    <row r="54" spans="1:30" x14ac:dyDescent="0.15">
      <c r="A54" s="55" t="s">
        <v>41</v>
      </c>
      <c r="B54" s="236" t="s">
        <v>338</v>
      </c>
      <c r="C54" s="151">
        <v>2018</v>
      </c>
      <c r="D54" s="56" t="s">
        <v>359</v>
      </c>
      <c r="E54" s="236" t="s">
        <v>292</v>
      </c>
      <c r="F54" s="236" t="s">
        <v>296</v>
      </c>
      <c r="G54" s="55" t="s">
        <v>42</v>
      </c>
      <c r="H54" s="55" t="s">
        <v>165</v>
      </c>
      <c r="I54" s="55" t="s">
        <v>153</v>
      </c>
      <c r="J54" s="55" t="s">
        <v>38</v>
      </c>
      <c r="K54" s="55" t="s">
        <v>154</v>
      </c>
      <c r="L54" s="236">
        <v>2</v>
      </c>
      <c r="N54" s="55">
        <v>8</v>
      </c>
      <c r="O54" s="236">
        <v>0.25</v>
      </c>
      <c r="P54" s="236">
        <v>0.25</v>
      </c>
      <c r="Q54" s="57">
        <f t="shared" si="0"/>
        <v>0.25</v>
      </c>
      <c r="R54" s="236">
        <v>16.8</v>
      </c>
      <c r="S54" s="236">
        <v>121</v>
      </c>
      <c r="T54" s="57">
        <f t="shared" si="4"/>
        <v>27</v>
      </c>
      <c r="U54" s="236">
        <v>1058</v>
      </c>
      <c r="V54" s="58">
        <f t="shared" si="2"/>
        <v>3570.75</v>
      </c>
      <c r="W54" s="236">
        <v>1</v>
      </c>
      <c r="X54" s="55" t="s">
        <v>46</v>
      </c>
      <c r="Y54" s="55" t="s">
        <v>102</v>
      </c>
      <c r="Z54" s="55" t="s">
        <v>84</v>
      </c>
      <c r="AA54" s="55" t="s">
        <v>78</v>
      </c>
      <c r="AB54" s="39" t="s">
        <v>341</v>
      </c>
    </row>
    <row r="55" spans="1:30" x14ac:dyDescent="0.15">
      <c r="A55" s="55" t="s">
        <v>41</v>
      </c>
      <c r="B55" s="236" t="s">
        <v>338</v>
      </c>
      <c r="C55" s="151">
        <v>2018</v>
      </c>
      <c r="D55" s="56" t="s">
        <v>359</v>
      </c>
      <c r="E55" s="236" t="s">
        <v>292</v>
      </c>
      <c r="F55" s="236" t="s">
        <v>296</v>
      </c>
      <c r="G55" s="55" t="s">
        <v>42</v>
      </c>
      <c r="H55" s="55" t="s">
        <v>165</v>
      </c>
      <c r="I55" s="55" t="s">
        <v>153</v>
      </c>
      <c r="J55" s="55" t="s">
        <v>38</v>
      </c>
      <c r="K55" s="55" t="s">
        <v>154</v>
      </c>
      <c r="L55" s="236">
        <v>3</v>
      </c>
      <c r="N55" s="55">
        <v>8</v>
      </c>
      <c r="O55" s="236">
        <v>0.25</v>
      </c>
      <c r="P55" s="236">
        <v>0.25</v>
      </c>
      <c r="Q55" s="57">
        <f t="shared" si="0"/>
        <v>0.25</v>
      </c>
      <c r="R55" s="236">
        <v>13.4</v>
      </c>
      <c r="S55" s="236">
        <v>115</v>
      </c>
      <c r="T55" s="57">
        <f t="shared" si="4"/>
        <v>30</v>
      </c>
      <c r="U55" s="55">
        <v>1058</v>
      </c>
      <c r="V55" s="58">
        <f t="shared" si="2"/>
        <v>3967.5</v>
      </c>
      <c r="W55" s="236">
        <v>1</v>
      </c>
      <c r="X55" s="55" t="s">
        <v>46</v>
      </c>
      <c r="Y55" s="55" t="s">
        <v>102</v>
      </c>
      <c r="Z55" s="55" t="s">
        <v>84</v>
      </c>
      <c r="AA55" s="55" t="s">
        <v>78</v>
      </c>
      <c r="AB55" s="39" t="s">
        <v>341</v>
      </c>
    </row>
    <row r="56" spans="1:30" x14ac:dyDescent="0.15">
      <c r="A56" s="55" t="s">
        <v>41</v>
      </c>
      <c r="B56" s="236" t="s">
        <v>338</v>
      </c>
      <c r="C56" s="151">
        <v>2018</v>
      </c>
      <c r="D56" s="56" t="s">
        <v>359</v>
      </c>
      <c r="E56" s="236" t="s">
        <v>292</v>
      </c>
      <c r="F56" s="236" t="s">
        <v>296</v>
      </c>
      <c r="G56" s="55" t="s">
        <v>42</v>
      </c>
      <c r="H56" s="55" t="s">
        <v>155</v>
      </c>
      <c r="I56" s="55" t="s">
        <v>153</v>
      </c>
      <c r="J56" s="55" t="s">
        <v>38</v>
      </c>
      <c r="K56" s="55" t="s">
        <v>154</v>
      </c>
      <c r="L56" s="236">
        <v>1</v>
      </c>
      <c r="N56" s="236">
        <v>5</v>
      </c>
      <c r="O56" s="55">
        <v>0.8</v>
      </c>
      <c r="P56" s="55">
        <v>1</v>
      </c>
      <c r="Q56" s="82">
        <f t="shared" si="0"/>
        <v>0.9</v>
      </c>
      <c r="R56" s="236">
        <v>12.8</v>
      </c>
      <c r="S56" s="55">
        <v>117</v>
      </c>
      <c r="T56" s="57">
        <f t="shared" si="4"/>
        <v>30</v>
      </c>
      <c r="U56" s="236">
        <v>429</v>
      </c>
      <c r="V56" s="58">
        <f t="shared" si="2"/>
        <v>2574</v>
      </c>
      <c r="W56" s="236">
        <v>2</v>
      </c>
      <c r="X56" s="55" t="s">
        <v>46</v>
      </c>
      <c r="Y56" s="55" t="s">
        <v>102</v>
      </c>
      <c r="Z56" s="55" t="s">
        <v>84</v>
      </c>
      <c r="AA56" s="55" t="s">
        <v>78</v>
      </c>
      <c r="AB56" s="39" t="s">
        <v>341</v>
      </c>
    </row>
    <row r="57" spans="1:30" x14ac:dyDescent="0.15">
      <c r="A57" s="55" t="s">
        <v>41</v>
      </c>
      <c r="B57" s="236" t="s">
        <v>338</v>
      </c>
      <c r="C57" s="151">
        <v>2018</v>
      </c>
      <c r="D57" s="56" t="s">
        <v>359</v>
      </c>
      <c r="E57" s="236" t="s">
        <v>292</v>
      </c>
      <c r="F57" s="236" t="s">
        <v>296</v>
      </c>
      <c r="G57" s="55" t="s">
        <v>42</v>
      </c>
      <c r="H57" s="55" t="s">
        <v>155</v>
      </c>
      <c r="I57" s="55" t="s">
        <v>153</v>
      </c>
      <c r="J57" s="55" t="s">
        <v>38</v>
      </c>
      <c r="K57" s="55" t="s">
        <v>154</v>
      </c>
      <c r="L57" s="236">
        <v>2</v>
      </c>
      <c r="N57" s="236">
        <v>5</v>
      </c>
      <c r="O57" s="55">
        <v>1</v>
      </c>
      <c r="P57" s="55">
        <v>0.95</v>
      </c>
      <c r="Q57" s="82">
        <f t="shared" si="0"/>
        <v>0.97499999999999998</v>
      </c>
      <c r="R57" s="236">
        <v>15.1</v>
      </c>
      <c r="S57" s="55">
        <v>115</v>
      </c>
      <c r="T57" s="57">
        <f t="shared" si="4"/>
        <v>30</v>
      </c>
      <c r="U57" s="236">
        <v>429</v>
      </c>
      <c r="V57" s="58">
        <f t="shared" si="2"/>
        <v>2574</v>
      </c>
      <c r="W57" s="236">
        <v>2</v>
      </c>
      <c r="X57" s="55" t="s">
        <v>46</v>
      </c>
      <c r="Y57" s="55" t="s">
        <v>102</v>
      </c>
      <c r="Z57" s="55" t="s">
        <v>84</v>
      </c>
      <c r="AA57" s="55" t="s">
        <v>78</v>
      </c>
      <c r="AB57" s="39" t="s">
        <v>341</v>
      </c>
    </row>
    <row r="58" spans="1:30" x14ac:dyDescent="0.15">
      <c r="A58" s="55" t="s">
        <v>41</v>
      </c>
      <c r="B58" s="236" t="s">
        <v>338</v>
      </c>
      <c r="C58" s="151">
        <v>2018</v>
      </c>
      <c r="D58" s="56" t="s">
        <v>359</v>
      </c>
      <c r="E58" s="236" t="s">
        <v>292</v>
      </c>
      <c r="F58" s="236" t="s">
        <v>296</v>
      </c>
      <c r="G58" s="55" t="s">
        <v>42</v>
      </c>
      <c r="H58" s="55" t="s">
        <v>155</v>
      </c>
      <c r="I58" s="55" t="s">
        <v>153</v>
      </c>
      <c r="J58" s="55" t="s">
        <v>38</v>
      </c>
      <c r="K58" s="55" t="s">
        <v>154</v>
      </c>
      <c r="L58" s="236">
        <v>3</v>
      </c>
      <c r="N58" s="236">
        <v>5</v>
      </c>
      <c r="O58" s="55">
        <v>0.9</v>
      </c>
      <c r="P58" s="55">
        <v>1.1499999999999999</v>
      </c>
      <c r="Q58" s="82">
        <f t="shared" si="0"/>
        <v>1.0249999999999999</v>
      </c>
      <c r="R58" s="236">
        <v>13.7</v>
      </c>
      <c r="S58" s="55">
        <v>118</v>
      </c>
      <c r="T58" s="57">
        <f t="shared" si="4"/>
        <v>30</v>
      </c>
      <c r="U58" s="236">
        <v>429</v>
      </c>
      <c r="V58" s="58">
        <f t="shared" si="2"/>
        <v>2574</v>
      </c>
      <c r="W58" s="236">
        <v>2</v>
      </c>
      <c r="X58" s="55" t="s">
        <v>46</v>
      </c>
      <c r="Y58" s="55" t="s">
        <v>102</v>
      </c>
      <c r="Z58" s="55" t="s">
        <v>84</v>
      </c>
      <c r="AA58" s="55" t="s">
        <v>78</v>
      </c>
      <c r="AB58" s="39" t="s">
        <v>341</v>
      </c>
    </row>
    <row r="59" spans="1:30" x14ac:dyDescent="0.15">
      <c r="A59" s="55" t="s">
        <v>41</v>
      </c>
      <c r="B59" s="236" t="s">
        <v>338</v>
      </c>
      <c r="C59" s="151">
        <v>2018</v>
      </c>
      <c r="D59" s="56" t="s">
        <v>359</v>
      </c>
      <c r="E59" s="236" t="s">
        <v>292</v>
      </c>
      <c r="F59" s="236" t="s">
        <v>298</v>
      </c>
      <c r="G59" s="55" t="s">
        <v>42</v>
      </c>
      <c r="H59" s="55" t="s">
        <v>155</v>
      </c>
      <c r="I59" s="55" t="s">
        <v>153</v>
      </c>
      <c r="J59" s="55" t="s">
        <v>38</v>
      </c>
      <c r="K59" s="55" t="s">
        <v>154</v>
      </c>
      <c r="L59" s="236">
        <v>1</v>
      </c>
      <c r="N59" s="55">
        <v>1</v>
      </c>
      <c r="O59" s="55">
        <v>0.3</v>
      </c>
      <c r="P59" s="55">
        <v>0.35</v>
      </c>
      <c r="Q59" s="82">
        <f t="shared" si="0"/>
        <v>0.32499999999999996</v>
      </c>
      <c r="R59" s="236">
        <v>15.1</v>
      </c>
      <c r="S59" s="55">
        <v>128</v>
      </c>
      <c r="T59" s="57">
        <f t="shared" si="4"/>
        <v>27</v>
      </c>
      <c r="U59" s="236">
        <v>108</v>
      </c>
      <c r="V59" s="58">
        <f t="shared" si="2"/>
        <v>2916</v>
      </c>
      <c r="W59" s="236">
        <v>1</v>
      </c>
      <c r="X59" s="55" t="s">
        <v>46</v>
      </c>
      <c r="Y59" s="55" t="s">
        <v>84</v>
      </c>
      <c r="Z59" s="55" t="s">
        <v>102</v>
      </c>
      <c r="AA59" s="55" t="s">
        <v>90</v>
      </c>
      <c r="AB59" s="39" t="s">
        <v>341</v>
      </c>
    </row>
    <row r="60" spans="1:30" x14ac:dyDescent="0.15">
      <c r="A60" s="55" t="s">
        <v>41</v>
      </c>
      <c r="B60" s="236" t="s">
        <v>338</v>
      </c>
      <c r="C60" s="151">
        <v>2018</v>
      </c>
      <c r="D60" s="56" t="s">
        <v>359</v>
      </c>
      <c r="E60" s="236" t="s">
        <v>292</v>
      </c>
      <c r="F60" s="236" t="s">
        <v>298</v>
      </c>
      <c r="G60" s="55" t="s">
        <v>42</v>
      </c>
      <c r="H60" s="55" t="s">
        <v>155</v>
      </c>
      <c r="I60" s="55" t="s">
        <v>153</v>
      </c>
      <c r="J60" s="55" t="s">
        <v>38</v>
      </c>
      <c r="K60" s="55" t="s">
        <v>154</v>
      </c>
      <c r="L60" s="236">
        <v>2</v>
      </c>
      <c r="N60" s="55">
        <v>1</v>
      </c>
      <c r="O60" s="55">
        <v>0.45</v>
      </c>
      <c r="P60" s="55">
        <v>0.5</v>
      </c>
      <c r="Q60" s="82">
        <f t="shared" si="0"/>
        <v>0.47499999999999998</v>
      </c>
      <c r="R60" s="236">
        <v>15.3</v>
      </c>
      <c r="S60" s="55">
        <v>124</v>
      </c>
      <c r="T60" s="57">
        <f t="shared" si="4"/>
        <v>27</v>
      </c>
      <c r="U60" s="236">
        <v>108</v>
      </c>
      <c r="V60" s="58">
        <f t="shared" si="2"/>
        <v>2916</v>
      </c>
      <c r="W60" s="236">
        <v>1</v>
      </c>
      <c r="X60" s="55" t="s">
        <v>46</v>
      </c>
      <c r="Y60" s="55" t="s">
        <v>84</v>
      </c>
      <c r="Z60" s="55" t="s">
        <v>102</v>
      </c>
      <c r="AA60" s="55" t="s">
        <v>90</v>
      </c>
      <c r="AB60" s="39" t="s">
        <v>341</v>
      </c>
    </row>
    <row r="61" spans="1:30" x14ac:dyDescent="0.15">
      <c r="A61" s="55" t="s">
        <v>41</v>
      </c>
      <c r="B61" s="236" t="s">
        <v>338</v>
      </c>
      <c r="C61" s="151">
        <v>2018</v>
      </c>
      <c r="D61" s="56" t="s">
        <v>359</v>
      </c>
      <c r="E61" s="236" t="s">
        <v>292</v>
      </c>
      <c r="F61" s="236" t="s">
        <v>298</v>
      </c>
      <c r="G61" s="55" t="s">
        <v>42</v>
      </c>
      <c r="H61" s="55" t="s">
        <v>155</v>
      </c>
      <c r="I61" s="55" t="s">
        <v>153</v>
      </c>
      <c r="J61" s="55" t="s">
        <v>38</v>
      </c>
      <c r="K61" s="55" t="s">
        <v>154</v>
      </c>
      <c r="L61" s="236">
        <v>3</v>
      </c>
      <c r="N61" s="55">
        <v>1</v>
      </c>
      <c r="O61" s="55">
        <v>0.25</v>
      </c>
      <c r="P61" s="55">
        <v>0.3</v>
      </c>
      <c r="Q61" s="82">
        <f t="shared" si="0"/>
        <v>0.27500000000000002</v>
      </c>
      <c r="R61" s="236">
        <v>14</v>
      </c>
      <c r="S61" s="55">
        <v>123</v>
      </c>
      <c r="T61" s="57">
        <f t="shared" si="4"/>
        <v>27</v>
      </c>
      <c r="U61" s="55">
        <v>108</v>
      </c>
      <c r="V61" s="58">
        <f t="shared" si="2"/>
        <v>2916</v>
      </c>
      <c r="W61" s="236">
        <v>1</v>
      </c>
      <c r="X61" s="55" t="s">
        <v>46</v>
      </c>
      <c r="Y61" s="55" t="s">
        <v>84</v>
      </c>
      <c r="Z61" s="55" t="s">
        <v>102</v>
      </c>
      <c r="AA61" s="55" t="s">
        <v>90</v>
      </c>
      <c r="AB61" s="39" t="s">
        <v>341</v>
      </c>
    </row>
    <row r="62" spans="1:30" x14ac:dyDescent="0.15">
      <c r="A62" s="55" t="s">
        <v>41</v>
      </c>
      <c r="B62" s="236" t="s">
        <v>338</v>
      </c>
      <c r="C62" s="151">
        <v>2018</v>
      </c>
      <c r="D62" s="56" t="s">
        <v>359</v>
      </c>
      <c r="E62" s="236" t="s">
        <v>292</v>
      </c>
      <c r="F62" s="236" t="s">
        <v>298</v>
      </c>
      <c r="G62" s="55" t="s">
        <v>42</v>
      </c>
      <c r="H62" s="55" t="s">
        <v>155</v>
      </c>
      <c r="I62" s="55" t="s">
        <v>153</v>
      </c>
      <c r="J62" s="55" t="s">
        <v>38</v>
      </c>
      <c r="K62" s="55" t="s">
        <v>154</v>
      </c>
      <c r="L62" s="236">
        <v>1</v>
      </c>
      <c r="N62" s="55">
        <v>6</v>
      </c>
      <c r="O62" s="236">
        <v>0.65</v>
      </c>
      <c r="P62" s="236">
        <v>0.8</v>
      </c>
      <c r="Q62" s="57">
        <f t="shared" si="0"/>
        <v>0.72500000000000009</v>
      </c>
      <c r="R62" s="236">
        <v>13.8</v>
      </c>
      <c r="S62" s="236">
        <v>95</v>
      </c>
      <c r="T62" s="57">
        <f t="shared" si="4"/>
        <v>36</v>
      </c>
      <c r="U62" s="236">
        <v>429</v>
      </c>
      <c r="V62" s="58">
        <f t="shared" si="2"/>
        <v>2574</v>
      </c>
      <c r="W62" s="236">
        <v>1</v>
      </c>
      <c r="X62" s="55" t="s">
        <v>46</v>
      </c>
      <c r="Y62" s="55" t="s">
        <v>84</v>
      </c>
      <c r="Z62" s="55" t="s">
        <v>102</v>
      </c>
      <c r="AA62" s="55" t="s">
        <v>90</v>
      </c>
      <c r="AB62" s="39" t="s">
        <v>341</v>
      </c>
      <c r="AC62" s="55"/>
      <c r="AD62" s="55"/>
    </row>
    <row r="63" spans="1:30" x14ac:dyDescent="0.15">
      <c r="A63" s="55" t="s">
        <v>41</v>
      </c>
      <c r="B63" s="236" t="s">
        <v>338</v>
      </c>
      <c r="C63" s="151">
        <v>2018</v>
      </c>
      <c r="D63" s="56" t="s">
        <v>359</v>
      </c>
      <c r="E63" s="236" t="s">
        <v>292</v>
      </c>
      <c r="F63" s="236" t="s">
        <v>298</v>
      </c>
      <c r="G63" s="55" t="s">
        <v>42</v>
      </c>
      <c r="H63" s="55" t="s">
        <v>155</v>
      </c>
      <c r="I63" s="55" t="s">
        <v>153</v>
      </c>
      <c r="J63" s="55" t="s">
        <v>38</v>
      </c>
      <c r="K63" s="55" t="s">
        <v>154</v>
      </c>
      <c r="L63" s="236">
        <v>2</v>
      </c>
      <c r="N63" s="55">
        <v>6</v>
      </c>
      <c r="O63" s="236">
        <v>0.5</v>
      </c>
      <c r="P63" s="236">
        <v>0.7</v>
      </c>
      <c r="Q63" s="57">
        <f t="shared" si="0"/>
        <v>0.6</v>
      </c>
      <c r="R63" s="236">
        <v>13.4</v>
      </c>
      <c r="S63" s="236">
        <v>92</v>
      </c>
      <c r="T63" s="57">
        <f t="shared" si="4"/>
        <v>36</v>
      </c>
      <c r="U63" s="236">
        <v>429</v>
      </c>
      <c r="V63" s="58">
        <f t="shared" si="2"/>
        <v>2574</v>
      </c>
      <c r="W63" s="236">
        <v>1</v>
      </c>
      <c r="X63" s="55" t="s">
        <v>46</v>
      </c>
      <c r="Y63" s="55" t="s">
        <v>84</v>
      </c>
      <c r="Z63" s="55" t="s">
        <v>102</v>
      </c>
      <c r="AA63" s="55" t="s">
        <v>90</v>
      </c>
      <c r="AB63" s="39" t="s">
        <v>341</v>
      </c>
      <c r="AC63" s="55"/>
      <c r="AD63" s="55"/>
    </row>
    <row r="64" spans="1:30" x14ac:dyDescent="0.15">
      <c r="A64" s="55" t="s">
        <v>41</v>
      </c>
      <c r="B64" s="236" t="s">
        <v>338</v>
      </c>
      <c r="C64" s="151">
        <v>2018</v>
      </c>
      <c r="D64" s="56" t="s">
        <v>359</v>
      </c>
      <c r="E64" s="236" t="s">
        <v>292</v>
      </c>
      <c r="F64" s="236" t="s">
        <v>298</v>
      </c>
      <c r="G64" s="55" t="s">
        <v>42</v>
      </c>
      <c r="H64" s="55" t="s">
        <v>155</v>
      </c>
      <c r="I64" s="55" t="s">
        <v>153</v>
      </c>
      <c r="J64" s="55" t="s">
        <v>38</v>
      </c>
      <c r="K64" s="55" t="s">
        <v>154</v>
      </c>
      <c r="L64" s="236">
        <v>3</v>
      </c>
      <c r="N64" s="55">
        <v>6</v>
      </c>
      <c r="O64" s="236">
        <v>0.7</v>
      </c>
      <c r="P64" s="236">
        <v>0.6</v>
      </c>
      <c r="Q64" s="57">
        <f t="shared" si="0"/>
        <v>0.64999999999999991</v>
      </c>
      <c r="R64" s="236">
        <v>16.100000000000001</v>
      </c>
      <c r="S64" s="236">
        <v>97</v>
      </c>
      <c r="T64" s="57">
        <f t="shared" si="4"/>
        <v>36</v>
      </c>
      <c r="U64" s="55">
        <v>429</v>
      </c>
      <c r="V64" s="58">
        <f t="shared" si="2"/>
        <v>2574</v>
      </c>
      <c r="W64" s="236">
        <v>1</v>
      </c>
      <c r="X64" s="55" t="s">
        <v>46</v>
      </c>
      <c r="Y64" s="55" t="s">
        <v>84</v>
      </c>
      <c r="Z64" s="55" t="s">
        <v>102</v>
      </c>
      <c r="AA64" s="55" t="s">
        <v>90</v>
      </c>
      <c r="AB64" s="39" t="s">
        <v>341</v>
      </c>
      <c r="AC64" s="55"/>
      <c r="AD64" s="55"/>
    </row>
    <row r="65" spans="1:30" x14ac:dyDescent="0.15">
      <c r="A65" s="55" t="s">
        <v>41</v>
      </c>
      <c r="B65" s="236" t="s">
        <v>338</v>
      </c>
      <c r="C65" s="151">
        <v>2018</v>
      </c>
      <c r="D65" s="56" t="s">
        <v>359</v>
      </c>
      <c r="E65" s="236" t="s">
        <v>292</v>
      </c>
      <c r="F65" s="236" t="s">
        <v>298</v>
      </c>
      <c r="G65" s="55" t="s">
        <v>42</v>
      </c>
      <c r="H65" s="55" t="s">
        <v>165</v>
      </c>
      <c r="I65" s="55" t="s">
        <v>153</v>
      </c>
      <c r="J65" s="55" t="s">
        <v>38</v>
      </c>
      <c r="K65" s="55" t="s">
        <v>154</v>
      </c>
      <c r="L65" s="236">
        <v>1</v>
      </c>
      <c r="N65" s="236">
        <v>7</v>
      </c>
      <c r="O65" s="55">
        <v>0.45</v>
      </c>
      <c r="P65" s="55">
        <v>0.5</v>
      </c>
      <c r="Q65" s="82">
        <f t="shared" si="0"/>
        <v>0.47499999999999998</v>
      </c>
      <c r="R65" s="55">
        <v>17.5</v>
      </c>
      <c r="S65" s="55">
        <v>118</v>
      </c>
      <c r="T65" s="57">
        <f t="shared" si="4"/>
        <v>30</v>
      </c>
      <c r="U65" s="236">
        <v>1058</v>
      </c>
      <c r="V65" s="58">
        <f t="shared" si="2"/>
        <v>4534.2857142857138</v>
      </c>
      <c r="W65" s="236">
        <v>1</v>
      </c>
      <c r="X65" s="55" t="s">
        <v>46</v>
      </c>
      <c r="Y65" s="55" t="s">
        <v>84</v>
      </c>
      <c r="Z65" s="55" t="s">
        <v>102</v>
      </c>
      <c r="AA65" s="55" t="s">
        <v>90</v>
      </c>
      <c r="AB65" s="39" t="s">
        <v>341</v>
      </c>
      <c r="AC65" s="55"/>
      <c r="AD65" s="55"/>
    </row>
    <row r="66" spans="1:30" x14ac:dyDescent="0.15">
      <c r="A66" s="55" t="s">
        <v>41</v>
      </c>
      <c r="B66" s="236" t="s">
        <v>338</v>
      </c>
      <c r="C66" s="151">
        <v>2018</v>
      </c>
      <c r="D66" s="56" t="s">
        <v>359</v>
      </c>
      <c r="E66" s="236" t="s">
        <v>292</v>
      </c>
      <c r="F66" s="236" t="s">
        <v>298</v>
      </c>
      <c r="G66" s="55" t="s">
        <v>42</v>
      </c>
      <c r="H66" s="55" t="s">
        <v>165</v>
      </c>
      <c r="I66" s="55" t="s">
        <v>153</v>
      </c>
      <c r="J66" s="55" t="s">
        <v>38</v>
      </c>
      <c r="K66" s="55" t="s">
        <v>154</v>
      </c>
      <c r="L66" s="236">
        <v>2</v>
      </c>
      <c r="N66" s="236">
        <v>7</v>
      </c>
      <c r="O66" s="55">
        <v>0.5</v>
      </c>
      <c r="P66" s="55">
        <v>0.65</v>
      </c>
      <c r="Q66" s="82">
        <f t="shared" ref="Q66:Q127" si="5">IF(OR(O66="",P66=""),"",AVERAGE(O66,P66))</f>
        <v>0.57499999999999996</v>
      </c>
      <c r="R66" s="55">
        <v>16.100000000000001</v>
      </c>
      <c r="S66" s="55">
        <v>120</v>
      </c>
      <c r="T66" s="57">
        <f t="shared" si="4"/>
        <v>30</v>
      </c>
      <c r="U66" s="236">
        <v>1058</v>
      </c>
      <c r="V66" s="58">
        <f t="shared" ref="V66:V127" si="6">IF(OR(N66="",U66="",T66=""),"",U66/N66*T66)</f>
        <v>4534.2857142857138</v>
      </c>
      <c r="W66" s="236">
        <v>1</v>
      </c>
      <c r="X66" s="55" t="s">
        <v>46</v>
      </c>
      <c r="Y66" s="55" t="s">
        <v>84</v>
      </c>
      <c r="Z66" s="55" t="s">
        <v>102</v>
      </c>
      <c r="AA66" s="55" t="s">
        <v>90</v>
      </c>
      <c r="AB66" s="39" t="s">
        <v>341</v>
      </c>
    </row>
    <row r="67" spans="1:30" x14ac:dyDescent="0.15">
      <c r="A67" s="55" t="s">
        <v>41</v>
      </c>
      <c r="B67" s="236" t="s">
        <v>338</v>
      </c>
      <c r="C67" s="151">
        <v>2018</v>
      </c>
      <c r="D67" s="56" t="s">
        <v>359</v>
      </c>
      <c r="E67" s="236" t="s">
        <v>292</v>
      </c>
      <c r="F67" s="236" t="s">
        <v>298</v>
      </c>
      <c r="G67" s="55" t="s">
        <v>42</v>
      </c>
      <c r="H67" s="55" t="s">
        <v>165</v>
      </c>
      <c r="I67" s="55" t="s">
        <v>153</v>
      </c>
      <c r="J67" s="55" t="s">
        <v>38</v>
      </c>
      <c r="K67" s="55" t="s">
        <v>154</v>
      </c>
      <c r="L67" s="236">
        <v>3</v>
      </c>
      <c r="N67" s="236">
        <v>7</v>
      </c>
      <c r="O67" s="55">
        <v>0.45</v>
      </c>
      <c r="P67" s="55">
        <v>0.5</v>
      </c>
      <c r="Q67" s="82">
        <f t="shared" si="5"/>
        <v>0.47499999999999998</v>
      </c>
      <c r="R67" s="55">
        <v>14.4</v>
      </c>
      <c r="S67" s="55">
        <v>121</v>
      </c>
      <c r="T67" s="57">
        <f t="shared" si="4"/>
        <v>27</v>
      </c>
      <c r="U67" s="236">
        <v>1058</v>
      </c>
      <c r="V67" s="58">
        <f t="shared" si="6"/>
        <v>4080.8571428571427</v>
      </c>
      <c r="W67" s="236">
        <v>1</v>
      </c>
      <c r="X67" s="55" t="s">
        <v>46</v>
      </c>
      <c r="Y67" s="55" t="s">
        <v>84</v>
      </c>
      <c r="Z67" s="55" t="s">
        <v>102</v>
      </c>
      <c r="AA67" s="55" t="s">
        <v>90</v>
      </c>
      <c r="AB67" s="39" t="s">
        <v>341</v>
      </c>
    </row>
    <row r="68" spans="1:30" x14ac:dyDescent="0.15">
      <c r="A68" s="55" t="s">
        <v>41</v>
      </c>
      <c r="B68" s="236" t="s">
        <v>338</v>
      </c>
      <c r="C68" s="151">
        <v>2018</v>
      </c>
      <c r="D68" s="56" t="s">
        <v>359</v>
      </c>
      <c r="E68" s="236" t="s">
        <v>292</v>
      </c>
      <c r="F68" s="236" t="s">
        <v>298</v>
      </c>
      <c r="G68" s="55" t="s">
        <v>42</v>
      </c>
      <c r="H68" s="55" t="s">
        <v>165</v>
      </c>
      <c r="I68" s="55" t="s">
        <v>153</v>
      </c>
      <c r="J68" s="55" t="s">
        <v>38</v>
      </c>
      <c r="K68" s="55" t="s">
        <v>154</v>
      </c>
      <c r="L68" s="236">
        <v>1</v>
      </c>
      <c r="N68" s="55">
        <v>1</v>
      </c>
      <c r="O68" s="236">
        <v>1</v>
      </c>
      <c r="P68" s="236">
        <v>1.1000000000000001</v>
      </c>
      <c r="Q68" s="57">
        <f t="shared" si="5"/>
        <v>1.05</v>
      </c>
      <c r="R68" s="236">
        <v>14.8</v>
      </c>
      <c r="S68" s="236">
        <v>120</v>
      </c>
      <c r="T68" s="57">
        <f t="shared" si="4"/>
        <v>30</v>
      </c>
      <c r="U68" s="236">
        <v>170</v>
      </c>
      <c r="V68" s="58">
        <f t="shared" si="6"/>
        <v>5100</v>
      </c>
      <c r="W68" s="236">
        <v>1</v>
      </c>
      <c r="X68" s="55" t="s">
        <v>46</v>
      </c>
      <c r="Y68" s="55" t="s">
        <v>84</v>
      </c>
      <c r="Z68" s="55" t="s">
        <v>102</v>
      </c>
      <c r="AA68" s="55" t="s">
        <v>90</v>
      </c>
      <c r="AB68" s="39" t="s">
        <v>341</v>
      </c>
      <c r="AC68" s="55"/>
      <c r="AD68" s="55"/>
    </row>
    <row r="69" spans="1:30" x14ac:dyDescent="0.15">
      <c r="A69" s="55" t="s">
        <v>41</v>
      </c>
      <c r="B69" s="236" t="s">
        <v>338</v>
      </c>
      <c r="C69" s="151">
        <v>2018</v>
      </c>
      <c r="D69" s="56" t="s">
        <v>359</v>
      </c>
      <c r="E69" s="236" t="s">
        <v>292</v>
      </c>
      <c r="F69" s="236" t="s">
        <v>298</v>
      </c>
      <c r="G69" s="55" t="s">
        <v>42</v>
      </c>
      <c r="H69" s="55" t="s">
        <v>165</v>
      </c>
      <c r="I69" s="55" t="s">
        <v>153</v>
      </c>
      <c r="J69" s="55" t="s">
        <v>38</v>
      </c>
      <c r="K69" s="55" t="s">
        <v>154</v>
      </c>
      <c r="L69" s="236">
        <v>2</v>
      </c>
      <c r="N69" s="55">
        <v>1</v>
      </c>
      <c r="O69" s="236">
        <v>0.9</v>
      </c>
      <c r="P69" s="236">
        <v>1</v>
      </c>
      <c r="Q69" s="57">
        <f t="shared" si="5"/>
        <v>0.95</v>
      </c>
      <c r="R69" s="236">
        <v>15.1</v>
      </c>
      <c r="S69" s="236">
        <v>124</v>
      </c>
      <c r="T69" s="57">
        <f t="shared" si="4"/>
        <v>27</v>
      </c>
      <c r="U69" s="236">
        <v>170</v>
      </c>
      <c r="V69" s="58">
        <f t="shared" si="6"/>
        <v>4590</v>
      </c>
      <c r="W69" s="236">
        <v>1</v>
      </c>
      <c r="X69" s="55" t="s">
        <v>46</v>
      </c>
      <c r="Y69" s="55" t="s">
        <v>84</v>
      </c>
      <c r="Z69" s="55" t="s">
        <v>102</v>
      </c>
      <c r="AA69" s="55" t="s">
        <v>90</v>
      </c>
      <c r="AB69" s="39" t="s">
        <v>341</v>
      </c>
    </row>
    <row r="70" spans="1:30" x14ac:dyDescent="0.15">
      <c r="A70" s="55" t="s">
        <v>41</v>
      </c>
      <c r="B70" s="236" t="s">
        <v>338</v>
      </c>
      <c r="C70" s="151">
        <v>2018</v>
      </c>
      <c r="D70" s="56" t="s">
        <v>359</v>
      </c>
      <c r="E70" s="236" t="s">
        <v>292</v>
      </c>
      <c r="F70" s="236" t="s">
        <v>298</v>
      </c>
      <c r="G70" s="55" t="s">
        <v>42</v>
      </c>
      <c r="H70" s="55" t="s">
        <v>165</v>
      </c>
      <c r="I70" s="55" t="s">
        <v>153</v>
      </c>
      <c r="J70" s="55" t="s">
        <v>38</v>
      </c>
      <c r="K70" s="55" t="s">
        <v>154</v>
      </c>
      <c r="L70" s="236">
        <v>3</v>
      </c>
      <c r="N70" s="55">
        <v>1</v>
      </c>
      <c r="O70" s="236">
        <v>0.9</v>
      </c>
      <c r="P70" s="236">
        <v>0.95</v>
      </c>
      <c r="Q70" s="57">
        <f t="shared" si="5"/>
        <v>0.92500000000000004</v>
      </c>
      <c r="R70" s="236">
        <v>16.7</v>
      </c>
      <c r="S70" s="236">
        <v>122</v>
      </c>
      <c r="T70" s="57">
        <f t="shared" si="4"/>
        <v>27</v>
      </c>
      <c r="U70" s="55">
        <v>170</v>
      </c>
      <c r="V70" s="58">
        <f t="shared" si="6"/>
        <v>4590</v>
      </c>
      <c r="W70" s="236">
        <v>1</v>
      </c>
      <c r="X70" s="55" t="s">
        <v>46</v>
      </c>
      <c r="Y70" s="55" t="s">
        <v>84</v>
      </c>
      <c r="Z70" s="55" t="s">
        <v>102</v>
      </c>
      <c r="AA70" s="55" t="s">
        <v>90</v>
      </c>
      <c r="AB70" s="39" t="s">
        <v>341</v>
      </c>
    </row>
    <row r="71" spans="1:30" x14ac:dyDescent="0.15">
      <c r="A71" s="55" t="s">
        <v>41</v>
      </c>
      <c r="B71" s="236" t="s">
        <v>338</v>
      </c>
      <c r="C71" s="151">
        <v>2018</v>
      </c>
      <c r="D71" s="56" t="s">
        <v>359</v>
      </c>
      <c r="E71" s="236" t="s">
        <v>292</v>
      </c>
      <c r="F71" s="236" t="s">
        <v>298</v>
      </c>
      <c r="G71" s="55" t="s">
        <v>42</v>
      </c>
      <c r="H71" s="55" t="s">
        <v>165</v>
      </c>
      <c r="I71" s="55" t="s">
        <v>153</v>
      </c>
      <c r="J71" s="55" t="s">
        <v>38</v>
      </c>
      <c r="K71" s="55" t="s">
        <v>154</v>
      </c>
      <c r="L71" s="236">
        <v>1</v>
      </c>
      <c r="N71" s="55">
        <v>4</v>
      </c>
      <c r="O71" s="55">
        <v>0.8</v>
      </c>
      <c r="P71" s="55">
        <v>0.65</v>
      </c>
      <c r="Q71" s="57">
        <f t="shared" si="5"/>
        <v>0.72500000000000009</v>
      </c>
      <c r="R71" s="236">
        <v>13.5</v>
      </c>
      <c r="S71" s="55">
        <v>126</v>
      </c>
      <c r="T71" s="57">
        <f t="shared" si="4"/>
        <v>27</v>
      </c>
      <c r="U71" s="236">
        <v>626</v>
      </c>
      <c r="V71" s="58">
        <f t="shared" si="6"/>
        <v>4225.5</v>
      </c>
      <c r="W71" s="236">
        <v>1</v>
      </c>
      <c r="X71" s="55" t="s">
        <v>46</v>
      </c>
      <c r="Y71" s="55" t="s">
        <v>84</v>
      </c>
      <c r="Z71" s="55" t="s">
        <v>102</v>
      </c>
      <c r="AA71" s="55" t="s">
        <v>90</v>
      </c>
      <c r="AB71" s="39" t="s">
        <v>341</v>
      </c>
    </row>
    <row r="72" spans="1:30" x14ac:dyDescent="0.15">
      <c r="A72" s="55" t="s">
        <v>41</v>
      </c>
      <c r="B72" s="236" t="s">
        <v>338</v>
      </c>
      <c r="C72" s="151">
        <v>2018</v>
      </c>
      <c r="D72" s="56" t="s">
        <v>359</v>
      </c>
      <c r="E72" s="236" t="s">
        <v>292</v>
      </c>
      <c r="F72" s="236" t="s">
        <v>298</v>
      </c>
      <c r="G72" s="55" t="s">
        <v>42</v>
      </c>
      <c r="H72" s="55" t="s">
        <v>165</v>
      </c>
      <c r="I72" s="55" t="s">
        <v>153</v>
      </c>
      <c r="J72" s="55" t="s">
        <v>38</v>
      </c>
      <c r="K72" s="55" t="s">
        <v>154</v>
      </c>
      <c r="L72" s="236">
        <v>2</v>
      </c>
      <c r="N72" s="55">
        <v>4</v>
      </c>
      <c r="O72" s="55">
        <v>0.75</v>
      </c>
      <c r="P72" s="55">
        <v>0.8</v>
      </c>
      <c r="Q72" s="57">
        <f t="shared" si="5"/>
        <v>0.77500000000000002</v>
      </c>
      <c r="R72" s="236">
        <v>15.1</v>
      </c>
      <c r="S72" s="55">
        <v>121</v>
      </c>
      <c r="T72" s="57">
        <f t="shared" si="4"/>
        <v>27</v>
      </c>
      <c r="U72" s="236">
        <v>626</v>
      </c>
      <c r="V72" s="58">
        <f t="shared" si="6"/>
        <v>4225.5</v>
      </c>
      <c r="W72" s="236">
        <v>1</v>
      </c>
      <c r="X72" s="55" t="s">
        <v>46</v>
      </c>
      <c r="Y72" s="55" t="s">
        <v>84</v>
      </c>
      <c r="Z72" s="55" t="s">
        <v>102</v>
      </c>
      <c r="AA72" s="55" t="s">
        <v>90</v>
      </c>
      <c r="AB72" s="39" t="s">
        <v>341</v>
      </c>
    </row>
    <row r="73" spans="1:30" x14ac:dyDescent="0.15">
      <c r="A73" s="55" t="s">
        <v>41</v>
      </c>
      <c r="B73" s="236" t="s">
        <v>338</v>
      </c>
      <c r="C73" s="151">
        <v>2018</v>
      </c>
      <c r="D73" s="56" t="s">
        <v>359</v>
      </c>
      <c r="E73" s="236" t="s">
        <v>292</v>
      </c>
      <c r="F73" s="236" t="s">
        <v>298</v>
      </c>
      <c r="G73" s="55" t="s">
        <v>42</v>
      </c>
      <c r="H73" s="55" t="s">
        <v>165</v>
      </c>
      <c r="I73" s="55" t="s">
        <v>153</v>
      </c>
      <c r="J73" s="55" t="s">
        <v>38</v>
      </c>
      <c r="K73" s="55" t="s">
        <v>154</v>
      </c>
      <c r="L73" s="236">
        <v>3</v>
      </c>
      <c r="N73" s="55">
        <v>4</v>
      </c>
      <c r="O73" s="55">
        <v>0.5</v>
      </c>
      <c r="P73" s="55">
        <v>0.7</v>
      </c>
      <c r="Q73" s="57">
        <f t="shared" si="5"/>
        <v>0.6</v>
      </c>
      <c r="R73" s="236">
        <v>13.7</v>
      </c>
      <c r="S73" s="55">
        <v>122</v>
      </c>
      <c r="T73" s="57">
        <f t="shared" si="4"/>
        <v>27</v>
      </c>
      <c r="U73" s="55">
        <v>626</v>
      </c>
      <c r="V73" s="58">
        <f t="shared" si="6"/>
        <v>4225.5</v>
      </c>
      <c r="W73" s="236">
        <v>1</v>
      </c>
      <c r="X73" s="55" t="s">
        <v>46</v>
      </c>
      <c r="Y73" s="55" t="s">
        <v>84</v>
      </c>
      <c r="Z73" s="55" t="s">
        <v>102</v>
      </c>
      <c r="AA73" s="55" t="s">
        <v>90</v>
      </c>
      <c r="AB73" s="39" t="s">
        <v>341</v>
      </c>
    </row>
    <row r="74" spans="1:30" x14ac:dyDescent="0.15">
      <c r="A74" s="55" t="s">
        <v>41</v>
      </c>
      <c r="B74" s="236" t="s">
        <v>338</v>
      </c>
      <c r="C74" s="151">
        <v>2018</v>
      </c>
      <c r="D74" s="56" t="s">
        <v>359</v>
      </c>
      <c r="E74" s="55" t="s">
        <v>294</v>
      </c>
      <c r="F74" s="236" t="s">
        <v>299</v>
      </c>
      <c r="G74" s="55" t="s">
        <v>42</v>
      </c>
      <c r="H74" s="55" t="s">
        <v>155</v>
      </c>
      <c r="I74" s="55" t="s">
        <v>153</v>
      </c>
      <c r="J74" s="55" t="s">
        <v>38</v>
      </c>
      <c r="K74" s="55" t="s">
        <v>154</v>
      </c>
      <c r="L74" s="236">
        <v>1</v>
      </c>
      <c r="N74" s="236">
        <v>1</v>
      </c>
      <c r="O74" s="236">
        <v>0.3</v>
      </c>
      <c r="P74" s="236">
        <v>0.4</v>
      </c>
      <c r="Q74" s="57">
        <f t="shared" si="5"/>
        <v>0.35</v>
      </c>
      <c r="R74" s="236">
        <v>15</v>
      </c>
      <c r="S74" s="236">
        <v>135</v>
      </c>
      <c r="T74" s="57">
        <f t="shared" si="4"/>
        <v>25</v>
      </c>
      <c r="U74" s="236">
        <v>105</v>
      </c>
      <c r="V74" s="58">
        <f t="shared" si="6"/>
        <v>2625</v>
      </c>
      <c r="W74" s="236">
        <v>3</v>
      </c>
      <c r="X74" s="55" t="s">
        <v>46</v>
      </c>
      <c r="Y74" s="55" t="s">
        <v>50</v>
      </c>
      <c r="Z74" s="55" t="s">
        <v>90</v>
      </c>
      <c r="AA74" s="55" t="s">
        <v>102</v>
      </c>
      <c r="AB74" s="39" t="s">
        <v>341</v>
      </c>
    </row>
    <row r="75" spans="1:30" x14ac:dyDescent="0.15">
      <c r="A75" s="55" t="s">
        <v>41</v>
      </c>
      <c r="B75" s="236" t="s">
        <v>338</v>
      </c>
      <c r="C75" s="151">
        <v>2018</v>
      </c>
      <c r="D75" s="56" t="s">
        <v>359</v>
      </c>
      <c r="E75" s="55" t="s">
        <v>294</v>
      </c>
      <c r="F75" s="236" t="s">
        <v>299</v>
      </c>
      <c r="G75" s="55" t="s">
        <v>42</v>
      </c>
      <c r="H75" s="55" t="s">
        <v>155</v>
      </c>
      <c r="I75" s="55" t="s">
        <v>153</v>
      </c>
      <c r="J75" s="55" t="s">
        <v>38</v>
      </c>
      <c r="K75" s="55" t="s">
        <v>154</v>
      </c>
      <c r="L75" s="236">
        <v>2</v>
      </c>
      <c r="N75" s="236">
        <v>1</v>
      </c>
      <c r="O75" s="236">
        <v>0.25</v>
      </c>
      <c r="P75" s="236">
        <v>0.3</v>
      </c>
      <c r="Q75" s="57">
        <f t="shared" si="5"/>
        <v>0.27500000000000002</v>
      </c>
      <c r="R75" s="236">
        <v>12.5</v>
      </c>
      <c r="S75" s="236">
        <v>133</v>
      </c>
      <c r="T75" s="57">
        <f t="shared" si="4"/>
        <v>25</v>
      </c>
      <c r="U75" s="236">
        <v>105</v>
      </c>
      <c r="V75" s="58">
        <f t="shared" si="6"/>
        <v>2625</v>
      </c>
      <c r="W75" s="236">
        <v>3</v>
      </c>
      <c r="X75" s="55" t="s">
        <v>46</v>
      </c>
      <c r="Y75" s="55" t="s">
        <v>50</v>
      </c>
      <c r="Z75" s="55" t="s">
        <v>90</v>
      </c>
      <c r="AA75" s="55" t="s">
        <v>102</v>
      </c>
      <c r="AB75" s="39" t="s">
        <v>341</v>
      </c>
    </row>
    <row r="76" spans="1:30" x14ac:dyDescent="0.15">
      <c r="A76" s="55" t="s">
        <v>41</v>
      </c>
      <c r="B76" s="236" t="s">
        <v>338</v>
      </c>
      <c r="C76" s="151">
        <v>2018</v>
      </c>
      <c r="D76" s="56" t="s">
        <v>359</v>
      </c>
      <c r="E76" s="55" t="s">
        <v>294</v>
      </c>
      <c r="F76" s="236" t="s">
        <v>299</v>
      </c>
      <c r="G76" s="55" t="s">
        <v>42</v>
      </c>
      <c r="H76" s="55" t="s">
        <v>155</v>
      </c>
      <c r="I76" s="55" t="s">
        <v>153</v>
      </c>
      <c r="J76" s="55" t="s">
        <v>38</v>
      </c>
      <c r="K76" s="55" t="s">
        <v>154</v>
      </c>
      <c r="L76" s="236">
        <v>3</v>
      </c>
      <c r="N76" s="236">
        <v>1</v>
      </c>
      <c r="O76" s="236">
        <v>0.4</v>
      </c>
      <c r="P76" s="236">
        <v>0.5</v>
      </c>
      <c r="Q76" s="57">
        <f t="shared" si="5"/>
        <v>0.45</v>
      </c>
      <c r="R76" s="236">
        <v>16.399999999999999</v>
      </c>
      <c r="S76" s="236">
        <v>134</v>
      </c>
      <c r="T76" s="57">
        <f t="shared" si="4"/>
        <v>25</v>
      </c>
      <c r="U76" s="236">
        <v>105</v>
      </c>
      <c r="V76" s="58">
        <f t="shared" si="6"/>
        <v>2625</v>
      </c>
      <c r="W76" s="236">
        <v>3</v>
      </c>
      <c r="X76" s="55" t="s">
        <v>46</v>
      </c>
      <c r="Y76" s="55" t="s">
        <v>50</v>
      </c>
      <c r="Z76" s="55" t="s">
        <v>90</v>
      </c>
      <c r="AA76" s="55" t="s">
        <v>102</v>
      </c>
      <c r="AB76" s="39" t="s">
        <v>341</v>
      </c>
    </row>
    <row r="77" spans="1:30" x14ac:dyDescent="0.15">
      <c r="A77" s="55" t="s">
        <v>41</v>
      </c>
      <c r="B77" s="236" t="s">
        <v>338</v>
      </c>
      <c r="C77" s="151">
        <v>2018</v>
      </c>
      <c r="D77" s="56" t="s">
        <v>359</v>
      </c>
      <c r="E77" s="55" t="s">
        <v>294</v>
      </c>
      <c r="F77" s="236" t="s">
        <v>299</v>
      </c>
      <c r="G77" s="55" t="s">
        <v>42</v>
      </c>
      <c r="H77" s="55" t="s">
        <v>155</v>
      </c>
      <c r="I77" s="55" t="s">
        <v>153</v>
      </c>
      <c r="J77" s="55" t="s">
        <v>38</v>
      </c>
      <c r="K77" s="55" t="s">
        <v>154</v>
      </c>
      <c r="L77" s="236">
        <v>1</v>
      </c>
      <c r="N77" s="236">
        <v>3</v>
      </c>
      <c r="O77" s="236">
        <v>0.65</v>
      </c>
      <c r="P77" s="236">
        <v>0.7</v>
      </c>
      <c r="Q77" s="57">
        <f t="shared" si="5"/>
        <v>0.67500000000000004</v>
      </c>
      <c r="R77" s="236">
        <v>15.1</v>
      </c>
      <c r="S77" s="236">
        <v>128</v>
      </c>
      <c r="T77" s="57">
        <f t="shared" si="4"/>
        <v>27</v>
      </c>
      <c r="U77" s="236">
        <v>410</v>
      </c>
      <c r="V77" s="58">
        <f t="shared" si="6"/>
        <v>3689.9999999999995</v>
      </c>
      <c r="W77" s="236">
        <v>1</v>
      </c>
      <c r="X77" s="55" t="s">
        <v>46</v>
      </c>
      <c r="Y77" s="55" t="s">
        <v>50</v>
      </c>
      <c r="Z77" s="55" t="s">
        <v>90</v>
      </c>
      <c r="AA77" s="55" t="s">
        <v>102</v>
      </c>
      <c r="AB77" s="39" t="s">
        <v>341</v>
      </c>
    </row>
    <row r="78" spans="1:30" x14ac:dyDescent="0.15">
      <c r="A78" s="55" t="s">
        <v>41</v>
      </c>
      <c r="B78" s="236" t="s">
        <v>338</v>
      </c>
      <c r="C78" s="151">
        <v>2018</v>
      </c>
      <c r="D78" s="56" t="s">
        <v>359</v>
      </c>
      <c r="E78" s="55" t="s">
        <v>294</v>
      </c>
      <c r="F78" s="236" t="s">
        <v>299</v>
      </c>
      <c r="G78" s="55" t="s">
        <v>42</v>
      </c>
      <c r="H78" s="55" t="s">
        <v>155</v>
      </c>
      <c r="I78" s="55" t="s">
        <v>153</v>
      </c>
      <c r="J78" s="55" t="s">
        <v>38</v>
      </c>
      <c r="K78" s="55" t="s">
        <v>154</v>
      </c>
      <c r="L78" s="236">
        <v>2</v>
      </c>
      <c r="N78" s="236">
        <v>3</v>
      </c>
      <c r="O78" s="236">
        <v>0.8</v>
      </c>
      <c r="P78" s="236">
        <v>0.8</v>
      </c>
      <c r="Q78" s="57">
        <f t="shared" si="5"/>
        <v>0.8</v>
      </c>
      <c r="R78" s="236">
        <v>15</v>
      </c>
      <c r="S78" s="236">
        <v>123</v>
      </c>
      <c r="T78" s="57">
        <f t="shared" si="4"/>
        <v>27</v>
      </c>
      <c r="U78" s="236">
        <v>410</v>
      </c>
      <c r="V78" s="58">
        <f t="shared" si="6"/>
        <v>3689.9999999999995</v>
      </c>
      <c r="W78" s="236">
        <v>1</v>
      </c>
      <c r="X78" s="55" t="s">
        <v>46</v>
      </c>
      <c r="Y78" s="55" t="s">
        <v>50</v>
      </c>
      <c r="Z78" s="55" t="s">
        <v>90</v>
      </c>
      <c r="AA78" s="55" t="s">
        <v>102</v>
      </c>
      <c r="AB78" s="39" t="s">
        <v>341</v>
      </c>
    </row>
    <row r="79" spans="1:30" x14ac:dyDescent="0.15">
      <c r="A79" s="55" t="s">
        <v>41</v>
      </c>
      <c r="B79" s="236" t="s">
        <v>338</v>
      </c>
      <c r="C79" s="151">
        <v>2018</v>
      </c>
      <c r="D79" s="56" t="s">
        <v>359</v>
      </c>
      <c r="E79" s="55" t="s">
        <v>294</v>
      </c>
      <c r="F79" s="236" t="s">
        <v>299</v>
      </c>
      <c r="G79" s="55" t="s">
        <v>42</v>
      </c>
      <c r="H79" s="55" t="s">
        <v>155</v>
      </c>
      <c r="I79" s="55" t="s">
        <v>153</v>
      </c>
      <c r="J79" s="55" t="s">
        <v>38</v>
      </c>
      <c r="K79" s="55" t="s">
        <v>154</v>
      </c>
      <c r="L79" s="236">
        <v>3</v>
      </c>
      <c r="N79" s="236">
        <v>3</v>
      </c>
      <c r="O79" s="236">
        <v>0.9</v>
      </c>
      <c r="P79" s="236">
        <v>0.85</v>
      </c>
      <c r="Q79" s="57">
        <f t="shared" si="5"/>
        <v>0.875</v>
      </c>
      <c r="R79" s="236">
        <v>13.7</v>
      </c>
      <c r="S79" s="236">
        <v>128</v>
      </c>
      <c r="T79" s="57">
        <f t="shared" si="4"/>
        <v>27</v>
      </c>
      <c r="U79" s="236">
        <v>410</v>
      </c>
      <c r="V79" s="58">
        <f t="shared" si="6"/>
        <v>3689.9999999999995</v>
      </c>
      <c r="W79" s="236">
        <v>1</v>
      </c>
      <c r="X79" s="55" t="s">
        <v>46</v>
      </c>
      <c r="Y79" s="55" t="s">
        <v>50</v>
      </c>
      <c r="Z79" s="55" t="s">
        <v>90</v>
      </c>
      <c r="AA79" s="55" t="s">
        <v>102</v>
      </c>
      <c r="AB79" s="39" t="s">
        <v>341</v>
      </c>
    </row>
    <row r="80" spans="1:30" x14ac:dyDescent="0.15">
      <c r="A80" s="55" t="s">
        <v>41</v>
      </c>
      <c r="B80" s="236" t="s">
        <v>338</v>
      </c>
      <c r="C80" s="151">
        <v>2018</v>
      </c>
      <c r="D80" s="56" t="s">
        <v>359</v>
      </c>
      <c r="E80" s="55" t="s">
        <v>294</v>
      </c>
      <c r="F80" s="236" t="s">
        <v>299</v>
      </c>
      <c r="G80" s="55" t="s">
        <v>42</v>
      </c>
      <c r="H80" s="55" t="s">
        <v>165</v>
      </c>
      <c r="I80" s="55" t="s">
        <v>153</v>
      </c>
      <c r="J80" s="55" t="s">
        <v>38</v>
      </c>
      <c r="K80" s="55" t="s">
        <v>154</v>
      </c>
      <c r="L80" s="236">
        <v>1</v>
      </c>
      <c r="N80" s="55">
        <v>1</v>
      </c>
      <c r="O80" s="236">
        <v>0.65</v>
      </c>
      <c r="P80" s="236">
        <v>0.7</v>
      </c>
      <c r="Q80" s="57">
        <f t="shared" si="5"/>
        <v>0.67500000000000004</v>
      </c>
      <c r="R80" s="236">
        <v>15</v>
      </c>
      <c r="S80" s="236">
        <v>128</v>
      </c>
      <c r="T80" s="57">
        <f t="shared" si="4"/>
        <v>27</v>
      </c>
      <c r="U80" s="236">
        <v>138</v>
      </c>
      <c r="V80" s="58">
        <f t="shared" si="6"/>
        <v>3726</v>
      </c>
      <c r="W80" s="236">
        <v>1</v>
      </c>
      <c r="X80" s="55" t="s">
        <v>46</v>
      </c>
      <c r="Y80" s="55" t="s">
        <v>50</v>
      </c>
      <c r="Z80" s="55" t="s">
        <v>90</v>
      </c>
      <c r="AA80" s="55" t="s">
        <v>102</v>
      </c>
      <c r="AB80" s="39" t="s">
        <v>341</v>
      </c>
    </row>
    <row r="81" spans="1:28" x14ac:dyDescent="0.15">
      <c r="A81" s="55" t="s">
        <v>41</v>
      </c>
      <c r="B81" s="236" t="s">
        <v>338</v>
      </c>
      <c r="C81" s="151">
        <v>2018</v>
      </c>
      <c r="D81" s="56" t="s">
        <v>359</v>
      </c>
      <c r="E81" s="55" t="s">
        <v>294</v>
      </c>
      <c r="F81" s="236" t="s">
        <v>299</v>
      </c>
      <c r="G81" s="55" t="s">
        <v>42</v>
      </c>
      <c r="H81" s="55" t="s">
        <v>165</v>
      </c>
      <c r="I81" s="55" t="s">
        <v>153</v>
      </c>
      <c r="J81" s="55" t="s">
        <v>38</v>
      </c>
      <c r="K81" s="55" t="s">
        <v>154</v>
      </c>
      <c r="L81" s="236">
        <v>2</v>
      </c>
      <c r="N81" s="55">
        <v>1</v>
      </c>
      <c r="O81" s="236">
        <v>0.7</v>
      </c>
      <c r="P81" s="236">
        <v>0.85</v>
      </c>
      <c r="Q81" s="57">
        <f t="shared" si="5"/>
        <v>0.77499999999999991</v>
      </c>
      <c r="R81" s="236">
        <v>17.8</v>
      </c>
      <c r="S81" s="236">
        <v>131</v>
      </c>
      <c r="T81" s="57">
        <f t="shared" si="4"/>
        <v>25</v>
      </c>
      <c r="U81" s="236">
        <v>138</v>
      </c>
      <c r="V81" s="58">
        <f t="shared" si="6"/>
        <v>3450</v>
      </c>
      <c r="W81" s="236">
        <v>1</v>
      </c>
      <c r="X81" s="55" t="s">
        <v>46</v>
      </c>
      <c r="Y81" s="55" t="s">
        <v>50</v>
      </c>
      <c r="Z81" s="55" t="s">
        <v>90</v>
      </c>
      <c r="AA81" s="55" t="s">
        <v>102</v>
      </c>
      <c r="AB81" s="39" t="s">
        <v>341</v>
      </c>
    </row>
    <row r="82" spans="1:28" x14ac:dyDescent="0.15">
      <c r="A82" s="55" t="s">
        <v>41</v>
      </c>
      <c r="B82" s="236" t="s">
        <v>338</v>
      </c>
      <c r="C82" s="151">
        <v>2018</v>
      </c>
      <c r="D82" s="56" t="s">
        <v>359</v>
      </c>
      <c r="E82" s="55" t="s">
        <v>294</v>
      </c>
      <c r="F82" s="236" t="s">
        <v>299</v>
      </c>
      <c r="G82" s="55" t="s">
        <v>42</v>
      </c>
      <c r="H82" s="55" t="s">
        <v>165</v>
      </c>
      <c r="I82" s="55" t="s">
        <v>153</v>
      </c>
      <c r="J82" s="55" t="s">
        <v>38</v>
      </c>
      <c r="K82" s="55" t="s">
        <v>154</v>
      </c>
      <c r="L82" s="236">
        <v>3</v>
      </c>
      <c r="N82" s="236">
        <v>1</v>
      </c>
      <c r="O82" s="236">
        <v>0.5</v>
      </c>
      <c r="P82" s="236">
        <v>0.65</v>
      </c>
      <c r="Q82" s="57">
        <f t="shared" si="5"/>
        <v>0.57499999999999996</v>
      </c>
      <c r="R82" s="236">
        <v>18.100000000000001</v>
      </c>
      <c r="S82" s="236">
        <v>130</v>
      </c>
      <c r="T82" s="57">
        <f t="shared" si="4"/>
        <v>25</v>
      </c>
      <c r="U82" s="236">
        <v>138</v>
      </c>
      <c r="V82" s="58">
        <f t="shared" si="6"/>
        <v>3450</v>
      </c>
      <c r="W82" s="236">
        <v>1</v>
      </c>
      <c r="X82" s="55" t="s">
        <v>46</v>
      </c>
      <c r="Y82" s="55" t="s">
        <v>50</v>
      </c>
      <c r="Z82" s="55" t="s">
        <v>90</v>
      </c>
      <c r="AA82" s="55" t="s">
        <v>102</v>
      </c>
      <c r="AB82" s="39" t="s">
        <v>341</v>
      </c>
    </row>
    <row r="83" spans="1:28" x14ac:dyDescent="0.15">
      <c r="A83" s="55" t="s">
        <v>41</v>
      </c>
      <c r="B83" s="236" t="s">
        <v>338</v>
      </c>
      <c r="C83" s="151">
        <v>2018</v>
      </c>
      <c r="D83" s="56" t="s">
        <v>359</v>
      </c>
      <c r="E83" s="55" t="s">
        <v>294</v>
      </c>
      <c r="F83" s="236" t="s">
        <v>299</v>
      </c>
      <c r="G83" s="55" t="s">
        <v>42</v>
      </c>
      <c r="H83" s="55" t="s">
        <v>165</v>
      </c>
      <c r="I83" s="55" t="s">
        <v>153</v>
      </c>
      <c r="J83" s="55" t="s">
        <v>38</v>
      </c>
      <c r="K83" s="55" t="s">
        <v>154</v>
      </c>
      <c r="L83" s="236">
        <v>1</v>
      </c>
      <c r="N83" s="55">
        <v>3</v>
      </c>
      <c r="O83" s="236">
        <v>0.65</v>
      </c>
      <c r="P83" s="236">
        <v>0.6</v>
      </c>
      <c r="Q83" s="57">
        <f t="shared" si="5"/>
        <v>0.625</v>
      </c>
      <c r="R83" s="236">
        <v>15.7</v>
      </c>
      <c r="S83" s="236">
        <v>125</v>
      </c>
      <c r="T83" s="57">
        <f t="shared" si="4"/>
        <v>27</v>
      </c>
      <c r="U83" s="236">
        <v>537</v>
      </c>
      <c r="V83" s="58">
        <f t="shared" si="6"/>
        <v>4833</v>
      </c>
      <c r="W83" s="236">
        <v>1</v>
      </c>
      <c r="X83" s="55" t="s">
        <v>46</v>
      </c>
      <c r="Y83" s="55" t="s">
        <v>50</v>
      </c>
      <c r="Z83" s="55" t="s">
        <v>90</v>
      </c>
      <c r="AA83" s="55" t="s">
        <v>102</v>
      </c>
      <c r="AB83" s="39" t="s">
        <v>341</v>
      </c>
    </row>
    <row r="84" spans="1:28" x14ac:dyDescent="0.15">
      <c r="A84" s="55" t="s">
        <v>41</v>
      </c>
      <c r="B84" s="236" t="s">
        <v>338</v>
      </c>
      <c r="C84" s="151">
        <v>2018</v>
      </c>
      <c r="D84" s="56" t="s">
        <v>359</v>
      </c>
      <c r="E84" s="55" t="s">
        <v>294</v>
      </c>
      <c r="F84" s="236" t="s">
        <v>299</v>
      </c>
      <c r="G84" s="55" t="s">
        <v>42</v>
      </c>
      <c r="H84" s="55" t="s">
        <v>165</v>
      </c>
      <c r="I84" s="55" t="s">
        <v>153</v>
      </c>
      <c r="J84" s="55" t="s">
        <v>38</v>
      </c>
      <c r="K84" s="55" t="s">
        <v>154</v>
      </c>
      <c r="L84" s="236">
        <v>2</v>
      </c>
      <c r="N84" s="55">
        <v>3</v>
      </c>
      <c r="O84" s="236">
        <v>0.5</v>
      </c>
      <c r="P84" s="236">
        <v>0.55000000000000004</v>
      </c>
      <c r="Q84" s="57">
        <f t="shared" si="5"/>
        <v>0.52500000000000002</v>
      </c>
      <c r="R84" s="236">
        <v>16.399999999999999</v>
      </c>
      <c r="S84" s="236">
        <v>126</v>
      </c>
      <c r="T84" s="57">
        <f t="shared" si="4"/>
        <v>27</v>
      </c>
      <c r="U84" s="236">
        <v>537</v>
      </c>
      <c r="V84" s="58">
        <f t="shared" si="6"/>
        <v>4833</v>
      </c>
      <c r="W84" s="236">
        <v>1</v>
      </c>
      <c r="X84" s="55" t="s">
        <v>46</v>
      </c>
      <c r="Y84" s="55" t="s">
        <v>50</v>
      </c>
      <c r="Z84" s="55" t="s">
        <v>90</v>
      </c>
      <c r="AA84" s="55" t="s">
        <v>102</v>
      </c>
      <c r="AB84" s="39" t="s">
        <v>341</v>
      </c>
    </row>
    <row r="85" spans="1:28" x14ac:dyDescent="0.15">
      <c r="A85" s="55" t="s">
        <v>41</v>
      </c>
      <c r="B85" s="236" t="s">
        <v>338</v>
      </c>
      <c r="C85" s="151">
        <v>2018</v>
      </c>
      <c r="D85" s="56" t="s">
        <v>359</v>
      </c>
      <c r="E85" s="55" t="s">
        <v>294</v>
      </c>
      <c r="F85" s="236" t="s">
        <v>299</v>
      </c>
      <c r="G85" s="55" t="s">
        <v>42</v>
      </c>
      <c r="H85" s="55" t="s">
        <v>165</v>
      </c>
      <c r="I85" s="55" t="s">
        <v>153</v>
      </c>
      <c r="J85" s="55" t="s">
        <v>38</v>
      </c>
      <c r="K85" s="55" t="s">
        <v>154</v>
      </c>
      <c r="L85" s="236">
        <v>3</v>
      </c>
      <c r="N85" s="236">
        <v>3</v>
      </c>
      <c r="O85" s="236">
        <v>0.6</v>
      </c>
      <c r="P85" s="236">
        <v>0.65</v>
      </c>
      <c r="Q85" s="57">
        <f t="shared" si="5"/>
        <v>0.625</v>
      </c>
      <c r="R85" s="236">
        <v>15</v>
      </c>
      <c r="S85" s="236">
        <v>127</v>
      </c>
      <c r="T85" s="57">
        <f t="shared" si="4"/>
        <v>27</v>
      </c>
      <c r="U85" s="236">
        <v>537</v>
      </c>
      <c r="V85" s="58">
        <f t="shared" si="6"/>
        <v>4833</v>
      </c>
      <c r="W85" s="236">
        <v>1</v>
      </c>
      <c r="X85" s="55" t="s">
        <v>46</v>
      </c>
      <c r="Y85" s="55" t="s">
        <v>50</v>
      </c>
      <c r="Z85" s="55" t="s">
        <v>90</v>
      </c>
      <c r="AA85" s="55" t="s">
        <v>102</v>
      </c>
      <c r="AB85" s="39" t="s">
        <v>341</v>
      </c>
    </row>
    <row r="86" spans="1:28" x14ac:dyDescent="0.15">
      <c r="A86" s="55" t="s">
        <v>41</v>
      </c>
      <c r="B86" s="236" t="s">
        <v>338</v>
      </c>
      <c r="C86" s="151">
        <v>2018</v>
      </c>
      <c r="D86" s="56" t="s">
        <v>359</v>
      </c>
      <c r="E86" s="55" t="s">
        <v>294</v>
      </c>
      <c r="F86" s="236" t="s">
        <v>300</v>
      </c>
      <c r="G86" s="55" t="s">
        <v>42</v>
      </c>
      <c r="H86" s="55" t="s">
        <v>155</v>
      </c>
      <c r="I86" s="55" t="s">
        <v>153</v>
      </c>
      <c r="J86" s="55" t="s">
        <v>38</v>
      </c>
      <c r="K86" s="55" t="s">
        <v>154</v>
      </c>
      <c r="L86" s="236">
        <v>1</v>
      </c>
      <c r="N86" s="236">
        <v>1</v>
      </c>
      <c r="O86" s="55">
        <v>1</v>
      </c>
      <c r="P86" s="55">
        <v>1.1000000000000001</v>
      </c>
      <c r="Q86" s="57">
        <f t="shared" si="5"/>
        <v>1.05</v>
      </c>
      <c r="R86" s="236">
        <v>14.7</v>
      </c>
      <c r="S86" s="55">
        <v>133</v>
      </c>
      <c r="T86" s="57">
        <f t="shared" si="4"/>
        <v>25</v>
      </c>
      <c r="U86" s="236">
        <v>84</v>
      </c>
      <c r="V86" s="58">
        <f t="shared" si="6"/>
        <v>2100</v>
      </c>
      <c r="W86" s="236">
        <v>3</v>
      </c>
      <c r="X86" s="55" t="s">
        <v>46</v>
      </c>
      <c r="Y86" s="55" t="s">
        <v>50</v>
      </c>
      <c r="Z86" s="55" t="s">
        <v>102</v>
      </c>
      <c r="AA86" s="55" t="s">
        <v>90</v>
      </c>
      <c r="AB86" s="39" t="s">
        <v>341</v>
      </c>
    </row>
    <row r="87" spans="1:28" x14ac:dyDescent="0.15">
      <c r="A87" s="55" t="s">
        <v>41</v>
      </c>
      <c r="B87" s="236" t="s">
        <v>338</v>
      </c>
      <c r="C87" s="151">
        <v>2018</v>
      </c>
      <c r="D87" s="56" t="s">
        <v>359</v>
      </c>
      <c r="E87" s="55" t="s">
        <v>294</v>
      </c>
      <c r="F87" s="236" t="s">
        <v>300</v>
      </c>
      <c r="G87" s="55" t="s">
        <v>42</v>
      </c>
      <c r="H87" s="55" t="s">
        <v>155</v>
      </c>
      <c r="I87" s="55" t="s">
        <v>153</v>
      </c>
      <c r="J87" s="55" t="s">
        <v>38</v>
      </c>
      <c r="K87" s="55" t="s">
        <v>154</v>
      </c>
      <c r="L87" s="236">
        <v>2</v>
      </c>
      <c r="N87" s="236">
        <v>1</v>
      </c>
      <c r="O87" s="55">
        <v>1.2</v>
      </c>
      <c r="P87" s="55">
        <v>1.05</v>
      </c>
      <c r="Q87" s="57">
        <f t="shared" si="5"/>
        <v>1.125</v>
      </c>
      <c r="R87" s="236">
        <v>15.1</v>
      </c>
      <c r="S87" s="55">
        <v>130</v>
      </c>
      <c r="T87" s="57">
        <f t="shared" ref="T87:T127" si="7">IF(H87="","",IF(OR(H87="GREEN",H87="GK"),IF(S87&gt;=$AX$2,VLOOKUP(S87,$AX$2:$AY$10,2,1),""),IF(S87&gt;=$AZ$2,VLOOKUP(S87,$AZ$2:$BA$10,2,1),"")))</f>
        <v>25</v>
      </c>
      <c r="U87" s="236">
        <v>84</v>
      </c>
      <c r="V87" s="58">
        <f t="shared" si="6"/>
        <v>2100</v>
      </c>
      <c r="W87" s="236">
        <v>3</v>
      </c>
      <c r="X87" s="55" t="s">
        <v>46</v>
      </c>
      <c r="Y87" s="55" t="s">
        <v>50</v>
      </c>
      <c r="Z87" s="55" t="s">
        <v>102</v>
      </c>
      <c r="AA87" s="55" t="s">
        <v>90</v>
      </c>
      <c r="AB87" s="39" t="s">
        <v>341</v>
      </c>
    </row>
    <row r="88" spans="1:28" x14ac:dyDescent="0.15">
      <c r="A88" s="55" t="s">
        <v>41</v>
      </c>
      <c r="B88" s="236" t="s">
        <v>338</v>
      </c>
      <c r="C88" s="151">
        <v>2018</v>
      </c>
      <c r="D88" s="56" t="s">
        <v>359</v>
      </c>
      <c r="E88" s="55" t="s">
        <v>294</v>
      </c>
      <c r="F88" s="236" t="s">
        <v>300</v>
      </c>
      <c r="G88" s="55" t="s">
        <v>42</v>
      </c>
      <c r="H88" s="55" t="s">
        <v>155</v>
      </c>
      <c r="I88" s="55" t="s">
        <v>153</v>
      </c>
      <c r="J88" s="55" t="s">
        <v>38</v>
      </c>
      <c r="K88" s="55" t="s">
        <v>154</v>
      </c>
      <c r="L88" s="236">
        <v>3</v>
      </c>
      <c r="N88" s="236">
        <v>1</v>
      </c>
      <c r="O88" s="55">
        <v>1.5</v>
      </c>
      <c r="P88" s="55">
        <v>0.13</v>
      </c>
      <c r="Q88" s="57">
        <f t="shared" si="5"/>
        <v>0.81499999999999995</v>
      </c>
      <c r="R88" s="236">
        <v>13.3</v>
      </c>
      <c r="S88" s="55">
        <v>129</v>
      </c>
      <c r="T88" s="57">
        <f t="shared" si="7"/>
        <v>25</v>
      </c>
      <c r="U88" s="236">
        <v>84</v>
      </c>
      <c r="V88" s="58">
        <f t="shared" si="6"/>
        <v>2100</v>
      </c>
      <c r="W88" s="236">
        <v>3</v>
      </c>
      <c r="X88" s="55" t="s">
        <v>46</v>
      </c>
      <c r="Y88" s="55" t="s">
        <v>50</v>
      </c>
      <c r="Z88" s="55" t="s">
        <v>102</v>
      </c>
      <c r="AA88" s="55" t="s">
        <v>90</v>
      </c>
      <c r="AB88" s="39" t="s">
        <v>341</v>
      </c>
    </row>
    <row r="89" spans="1:28" x14ac:dyDescent="0.15">
      <c r="A89" s="55" t="s">
        <v>41</v>
      </c>
      <c r="B89" s="236" t="s">
        <v>338</v>
      </c>
      <c r="C89" s="151">
        <v>2018</v>
      </c>
      <c r="D89" s="56" t="s">
        <v>359</v>
      </c>
      <c r="E89" s="55" t="s">
        <v>294</v>
      </c>
      <c r="F89" s="236" t="s">
        <v>300</v>
      </c>
      <c r="G89" s="55" t="s">
        <v>42</v>
      </c>
      <c r="H89" s="55" t="s">
        <v>155</v>
      </c>
      <c r="I89" s="55" t="s">
        <v>153</v>
      </c>
      <c r="J89" s="55" t="s">
        <v>38</v>
      </c>
      <c r="K89" s="55" t="s">
        <v>154</v>
      </c>
      <c r="L89" s="236">
        <v>1</v>
      </c>
      <c r="N89" s="236">
        <v>3</v>
      </c>
      <c r="O89" s="55">
        <v>0.4</v>
      </c>
      <c r="P89" s="55">
        <v>0.5</v>
      </c>
      <c r="Q89" s="57">
        <f t="shared" si="5"/>
        <v>0.45</v>
      </c>
      <c r="R89" s="236">
        <v>16.100000000000001</v>
      </c>
      <c r="S89" s="55">
        <v>127</v>
      </c>
      <c r="T89" s="57">
        <f t="shared" si="7"/>
        <v>27</v>
      </c>
      <c r="U89" s="236">
        <v>419</v>
      </c>
      <c r="V89" s="58">
        <f t="shared" si="6"/>
        <v>3770.9999999999995</v>
      </c>
      <c r="W89" s="236">
        <v>2</v>
      </c>
      <c r="X89" s="55" t="s">
        <v>46</v>
      </c>
      <c r="Y89" s="55" t="s">
        <v>50</v>
      </c>
      <c r="Z89" s="55" t="s">
        <v>102</v>
      </c>
      <c r="AA89" s="55" t="s">
        <v>90</v>
      </c>
      <c r="AB89" s="39" t="s">
        <v>341</v>
      </c>
    </row>
    <row r="90" spans="1:28" x14ac:dyDescent="0.15">
      <c r="A90" s="55" t="s">
        <v>41</v>
      </c>
      <c r="B90" s="236" t="s">
        <v>338</v>
      </c>
      <c r="C90" s="151">
        <v>2018</v>
      </c>
      <c r="D90" s="56" t="s">
        <v>359</v>
      </c>
      <c r="E90" s="55" t="s">
        <v>294</v>
      </c>
      <c r="F90" s="236" t="s">
        <v>300</v>
      </c>
      <c r="G90" s="55" t="s">
        <v>42</v>
      </c>
      <c r="H90" s="55" t="s">
        <v>155</v>
      </c>
      <c r="I90" s="55" t="s">
        <v>153</v>
      </c>
      <c r="J90" s="55" t="s">
        <v>38</v>
      </c>
      <c r="K90" s="55" t="s">
        <v>154</v>
      </c>
      <c r="L90" s="236">
        <v>2</v>
      </c>
      <c r="N90" s="236">
        <v>3</v>
      </c>
      <c r="O90" s="55">
        <v>0.25</v>
      </c>
      <c r="P90" s="55">
        <v>0.35</v>
      </c>
      <c r="Q90" s="57">
        <f t="shared" si="5"/>
        <v>0.3</v>
      </c>
      <c r="R90" s="236">
        <v>14.4</v>
      </c>
      <c r="S90" s="55">
        <v>124</v>
      </c>
      <c r="T90" s="57">
        <f t="shared" si="7"/>
        <v>27</v>
      </c>
      <c r="U90" s="236">
        <v>419</v>
      </c>
      <c r="V90" s="58">
        <f t="shared" si="6"/>
        <v>3770.9999999999995</v>
      </c>
      <c r="W90" s="236">
        <v>2</v>
      </c>
      <c r="X90" s="55" t="s">
        <v>46</v>
      </c>
      <c r="Y90" s="55" t="s">
        <v>50</v>
      </c>
      <c r="Z90" s="55" t="s">
        <v>102</v>
      </c>
      <c r="AA90" s="55" t="s">
        <v>90</v>
      </c>
      <c r="AB90" s="39" t="s">
        <v>341</v>
      </c>
    </row>
    <row r="91" spans="1:28" x14ac:dyDescent="0.15">
      <c r="A91" s="55" t="s">
        <v>41</v>
      </c>
      <c r="B91" s="236" t="s">
        <v>338</v>
      </c>
      <c r="C91" s="151">
        <v>2018</v>
      </c>
      <c r="D91" s="56" t="s">
        <v>359</v>
      </c>
      <c r="E91" s="55" t="s">
        <v>294</v>
      </c>
      <c r="F91" s="236" t="s">
        <v>300</v>
      </c>
      <c r="G91" s="55" t="s">
        <v>42</v>
      </c>
      <c r="H91" s="55" t="s">
        <v>155</v>
      </c>
      <c r="I91" s="55" t="s">
        <v>153</v>
      </c>
      <c r="J91" s="55" t="s">
        <v>38</v>
      </c>
      <c r="K91" s="55" t="s">
        <v>154</v>
      </c>
      <c r="L91" s="236">
        <v>3</v>
      </c>
      <c r="N91" s="236">
        <v>3</v>
      </c>
      <c r="O91" s="55">
        <v>0.3</v>
      </c>
      <c r="P91" s="55">
        <v>0.3</v>
      </c>
      <c r="Q91" s="57">
        <f t="shared" si="5"/>
        <v>0.3</v>
      </c>
      <c r="R91" s="236">
        <v>13.8</v>
      </c>
      <c r="S91" s="55">
        <v>122</v>
      </c>
      <c r="T91" s="57">
        <f t="shared" si="7"/>
        <v>27</v>
      </c>
      <c r="U91" s="236">
        <v>419</v>
      </c>
      <c r="V91" s="58">
        <f t="shared" si="6"/>
        <v>3770.9999999999995</v>
      </c>
      <c r="W91" s="236">
        <v>2</v>
      </c>
      <c r="X91" s="55" t="s">
        <v>46</v>
      </c>
      <c r="Y91" s="55" t="s">
        <v>50</v>
      </c>
      <c r="Z91" s="55" t="s">
        <v>102</v>
      </c>
      <c r="AA91" s="55" t="s">
        <v>90</v>
      </c>
      <c r="AB91" s="39" t="s">
        <v>341</v>
      </c>
    </row>
    <row r="92" spans="1:28" x14ac:dyDescent="0.15">
      <c r="A92" s="55" t="s">
        <v>41</v>
      </c>
      <c r="B92" s="236" t="s">
        <v>338</v>
      </c>
      <c r="C92" s="151">
        <v>2018</v>
      </c>
      <c r="D92" s="56" t="s">
        <v>359</v>
      </c>
      <c r="E92" s="55" t="s">
        <v>294</v>
      </c>
      <c r="F92" s="236" t="s">
        <v>300</v>
      </c>
      <c r="G92" s="55" t="s">
        <v>42</v>
      </c>
      <c r="H92" s="55" t="s">
        <v>165</v>
      </c>
      <c r="I92" s="55" t="s">
        <v>153</v>
      </c>
      <c r="J92" s="55" t="s">
        <v>38</v>
      </c>
      <c r="K92" s="55" t="s">
        <v>154</v>
      </c>
      <c r="L92" s="236">
        <v>1</v>
      </c>
      <c r="N92" s="236">
        <v>1</v>
      </c>
      <c r="O92" s="236">
        <v>0.65</v>
      </c>
      <c r="P92" s="236">
        <v>0.75</v>
      </c>
      <c r="Q92" s="57">
        <f t="shared" si="5"/>
        <v>0.7</v>
      </c>
      <c r="R92" s="236">
        <v>14.7</v>
      </c>
      <c r="S92" s="236">
        <v>128</v>
      </c>
      <c r="T92" s="57">
        <f t="shared" si="7"/>
        <v>27</v>
      </c>
      <c r="U92" s="236">
        <v>138</v>
      </c>
      <c r="V92" s="58">
        <f t="shared" si="6"/>
        <v>3726</v>
      </c>
      <c r="W92" s="236">
        <v>1</v>
      </c>
      <c r="X92" s="55" t="s">
        <v>46</v>
      </c>
      <c r="Y92" s="55" t="s">
        <v>50</v>
      </c>
      <c r="Z92" s="55" t="s">
        <v>102</v>
      </c>
      <c r="AA92" s="55" t="s">
        <v>90</v>
      </c>
      <c r="AB92" s="39" t="s">
        <v>341</v>
      </c>
    </row>
    <row r="93" spans="1:28" x14ac:dyDescent="0.15">
      <c r="A93" s="55" t="s">
        <v>41</v>
      </c>
      <c r="B93" s="236" t="s">
        <v>338</v>
      </c>
      <c r="C93" s="151">
        <v>2018</v>
      </c>
      <c r="D93" s="56" t="s">
        <v>359</v>
      </c>
      <c r="E93" s="55" t="s">
        <v>294</v>
      </c>
      <c r="F93" s="236" t="s">
        <v>300</v>
      </c>
      <c r="G93" s="55" t="s">
        <v>42</v>
      </c>
      <c r="H93" s="55" t="s">
        <v>165</v>
      </c>
      <c r="I93" s="55" t="s">
        <v>153</v>
      </c>
      <c r="J93" s="55" t="s">
        <v>38</v>
      </c>
      <c r="K93" s="55" t="s">
        <v>154</v>
      </c>
      <c r="L93" s="236">
        <v>2</v>
      </c>
      <c r="N93" s="236">
        <v>1</v>
      </c>
      <c r="O93" s="236">
        <v>0.5</v>
      </c>
      <c r="P93" s="236">
        <v>0.65</v>
      </c>
      <c r="Q93" s="57">
        <f t="shared" si="5"/>
        <v>0.57499999999999996</v>
      </c>
      <c r="R93" s="236">
        <v>14.5</v>
      </c>
      <c r="S93" s="236">
        <v>131</v>
      </c>
      <c r="T93" s="57">
        <f t="shared" si="7"/>
        <v>25</v>
      </c>
      <c r="U93" s="236">
        <v>138</v>
      </c>
      <c r="V93" s="58">
        <f t="shared" si="6"/>
        <v>3450</v>
      </c>
      <c r="W93" s="236">
        <v>1</v>
      </c>
      <c r="X93" s="55" t="s">
        <v>46</v>
      </c>
      <c r="Y93" s="55" t="s">
        <v>50</v>
      </c>
      <c r="Z93" s="55" t="s">
        <v>102</v>
      </c>
      <c r="AA93" s="55" t="s">
        <v>90</v>
      </c>
      <c r="AB93" s="39" t="s">
        <v>341</v>
      </c>
    </row>
    <row r="94" spans="1:28" x14ac:dyDescent="0.15">
      <c r="A94" s="55" t="s">
        <v>41</v>
      </c>
      <c r="B94" s="236" t="s">
        <v>338</v>
      </c>
      <c r="C94" s="151">
        <v>2018</v>
      </c>
      <c r="D94" s="56" t="s">
        <v>359</v>
      </c>
      <c r="E94" s="55" t="s">
        <v>294</v>
      </c>
      <c r="F94" s="236" t="s">
        <v>300</v>
      </c>
      <c r="G94" s="55" t="s">
        <v>42</v>
      </c>
      <c r="H94" s="55" t="s">
        <v>165</v>
      </c>
      <c r="I94" s="55" t="s">
        <v>153</v>
      </c>
      <c r="J94" s="55" t="s">
        <v>38</v>
      </c>
      <c r="K94" s="55" t="s">
        <v>154</v>
      </c>
      <c r="L94" s="236">
        <v>3</v>
      </c>
      <c r="N94" s="236">
        <v>1</v>
      </c>
      <c r="O94" s="236">
        <v>0.75</v>
      </c>
      <c r="P94" s="236">
        <v>0.5</v>
      </c>
      <c r="Q94" s="57">
        <f t="shared" si="5"/>
        <v>0.625</v>
      </c>
      <c r="R94" s="236">
        <v>15.1</v>
      </c>
      <c r="S94" s="236">
        <v>130</v>
      </c>
      <c r="T94" s="57">
        <f t="shared" si="7"/>
        <v>25</v>
      </c>
      <c r="U94" s="236">
        <v>138</v>
      </c>
      <c r="V94" s="58">
        <f t="shared" si="6"/>
        <v>3450</v>
      </c>
      <c r="W94" s="236">
        <v>1</v>
      </c>
      <c r="X94" s="55" t="s">
        <v>46</v>
      </c>
      <c r="Y94" s="55" t="s">
        <v>50</v>
      </c>
      <c r="Z94" s="55" t="s">
        <v>102</v>
      </c>
      <c r="AA94" s="55" t="s">
        <v>90</v>
      </c>
      <c r="AB94" s="39" t="s">
        <v>341</v>
      </c>
    </row>
    <row r="95" spans="1:28" x14ac:dyDescent="0.15">
      <c r="A95" s="55" t="s">
        <v>41</v>
      </c>
      <c r="B95" s="236" t="s">
        <v>338</v>
      </c>
      <c r="C95" s="151">
        <v>2018</v>
      </c>
      <c r="D95" s="56" t="s">
        <v>359</v>
      </c>
      <c r="E95" s="55" t="s">
        <v>294</v>
      </c>
      <c r="F95" s="236" t="s">
        <v>300</v>
      </c>
      <c r="G95" s="55" t="s">
        <v>42</v>
      </c>
      <c r="H95" s="55" t="s">
        <v>165</v>
      </c>
      <c r="I95" s="55" t="s">
        <v>153</v>
      </c>
      <c r="J95" s="55" t="s">
        <v>38</v>
      </c>
      <c r="K95" s="55" t="s">
        <v>154</v>
      </c>
      <c r="L95" s="236">
        <v>1</v>
      </c>
      <c r="N95" s="236">
        <v>3</v>
      </c>
      <c r="O95" s="55">
        <v>0.55000000000000004</v>
      </c>
      <c r="P95" s="55">
        <v>0.8</v>
      </c>
      <c r="Q95" s="57">
        <f t="shared" si="5"/>
        <v>0.67500000000000004</v>
      </c>
      <c r="R95" s="236">
        <v>12.8</v>
      </c>
      <c r="S95" s="55">
        <v>125</v>
      </c>
      <c r="T95" s="57">
        <f t="shared" si="7"/>
        <v>27</v>
      </c>
      <c r="U95" s="236">
        <v>537</v>
      </c>
      <c r="V95" s="58">
        <f t="shared" si="6"/>
        <v>4833</v>
      </c>
      <c r="W95" s="236">
        <v>1</v>
      </c>
      <c r="X95" s="55" t="s">
        <v>46</v>
      </c>
      <c r="Y95" s="55" t="s">
        <v>50</v>
      </c>
      <c r="Z95" s="55" t="s">
        <v>102</v>
      </c>
      <c r="AA95" s="55" t="s">
        <v>90</v>
      </c>
      <c r="AB95" s="39" t="s">
        <v>341</v>
      </c>
    </row>
    <row r="96" spans="1:28" x14ac:dyDescent="0.15">
      <c r="A96" s="55" t="s">
        <v>41</v>
      </c>
      <c r="B96" s="236" t="s">
        <v>338</v>
      </c>
      <c r="C96" s="151">
        <v>2018</v>
      </c>
      <c r="D96" s="56" t="s">
        <v>359</v>
      </c>
      <c r="E96" s="55" t="s">
        <v>294</v>
      </c>
      <c r="F96" s="236" t="s">
        <v>300</v>
      </c>
      <c r="G96" s="55" t="s">
        <v>42</v>
      </c>
      <c r="H96" s="55" t="s">
        <v>165</v>
      </c>
      <c r="I96" s="55" t="s">
        <v>153</v>
      </c>
      <c r="J96" s="55" t="s">
        <v>38</v>
      </c>
      <c r="K96" s="55" t="s">
        <v>154</v>
      </c>
      <c r="L96" s="236">
        <v>2</v>
      </c>
      <c r="N96" s="236">
        <v>3</v>
      </c>
      <c r="O96" s="55">
        <v>0.65</v>
      </c>
      <c r="P96" s="55">
        <v>0.65</v>
      </c>
      <c r="Q96" s="57">
        <f t="shared" si="5"/>
        <v>0.65</v>
      </c>
      <c r="R96" s="236">
        <v>16.8</v>
      </c>
      <c r="S96" s="55">
        <v>130</v>
      </c>
      <c r="T96" s="57">
        <f t="shared" si="7"/>
        <v>25</v>
      </c>
      <c r="U96" s="236">
        <v>537</v>
      </c>
      <c r="V96" s="58">
        <f t="shared" si="6"/>
        <v>4475</v>
      </c>
      <c r="W96" s="236">
        <v>1</v>
      </c>
      <c r="X96" s="55" t="s">
        <v>46</v>
      </c>
      <c r="Y96" s="55" t="s">
        <v>50</v>
      </c>
      <c r="Z96" s="55" t="s">
        <v>102</v>
      </c>
      <c r="AA96" s="55" t="s">
        <v>90</v>
      </c>
      <c r="AB96" s="39" t="s">
        <v>341</v>
      </c>
    </row>
    <row r="97" spans="1:28" x14ac:dyDescent="0.15">
      <c r="A97" s="55" t="s">
        <v>41</v>
      </c>
      <c r="B97" s="236" t="s">
        <v>338</v>
      </c>
      <c r="C97" s="151">
        <v>2018</v>
      </c>
      <c r="D97" s="56" t="s">
        <v>359</v>
      </c>
      <c r="E97" s="55" t="s">
        <v>294</v>
      </c>
      <c r="F97" s="236" t="s">
        <v>300</v>
      </c>
      <c r="G97" s="55" t="s">
        <v>42</v>
      </c>
      <c r="H97" s="55" t="s">
        <v>165</v>
      </c>
      <c r="I97" s="55" t="s">
        <v>153</v>
      </c>
      <c r="J97" s="55" t="s">
        <v>38</v>
      </c>
      <c r="K97" s="55" t="s">
        <v>154</v>
      </c>
      <c r="L97" s="236">
        <v>3</v>
      </c>
      <c r="N97" s="236">
        <v>3</v>
      </c>
      <c r="O97" s="55">
        <v>0.5</v>
      </c>
      <c r="P97" s="55">
        <v>0.6</v>
      </c>
      <c r="Q97" s="57">
        <f t="shared" si="5"/>
        <v>0.55000000000000004</v>
      </c>
      <c r="R97" s="236">
        <v>14.9</v>
      </c>
      <c r="S97" s="55">
        <v>129</v>
      </c>
      <c r="T97" s="57">
        <f t="shared" si="7"/>
        <v>25</v>
      </c>
      <c r="U97" s="236">
        <v>537</v>
      </c>
      <c r="V97" s="58">
        <f t="shared" si="6"/>
        <v>4475</v>
      </c>
      <c r="W97" s="236">
        <v>1</v>
      </c>
      <c r="X97" s="55" t="s">
        <v>46</v>
      </c>
      <c r="Y97" s="55" t="s">
        <v>50</v>
      </c>
      <c r="Z97" s="55" t="s">
        <v>102</v>
      </c>
      <c r="AA97" s="55" t="s">
        <v>90</v>
      </c>
      <c r="AB97" s="39" t="s">
        <v>341</v>
      </c>
    </row>
    <row r="98" spans="1:28" x14ac:dyDescent="0.15">
      <c r="A98" s="55" t="s">
        <v>41</v>
      </c>
      <c r="B98" s="236" t="s">
        <v>338</v>
      </c>
      <c r="C98" s="151">
        <v>2018</v>
      </c>
      <c r="D98" s="56" t="s">
        <v>359</v>
      </c>
      <c r="E98" s="236" t="s">
        <v>295</v>
      </c>
      <c r="F98" s="236" t="s">
        <v>301</v>
      </c>
      <c r="G98" s="55" t="s">
        <v>42</v>
      </c>
      <c r="H98" s="55" t="s">
        <v>165</v>
      </c>
      <c r="I98" s="55" t="s">
        <v>153</v>
      </c>
      <c r="J98" s="55" t="s">
        <v>38</v>
      </c>
      <c r="K98" s="55" t="s">
        <v>154</v>
      </c>
      <c r="L98" s="236">
        <v>1</v>
      </c>
      <c r="N98" s="236">
        <v>1</v>
      </c>
      <c r="O98" s="55">
        <v>0.65</v>
      </c>
      <c r="P98" s="55">
        <v>0.55000000000000004</v>
      </c>
      <c r="Q98" s="57">
        <f t="shared" si="5"/>
        <v>0.60000000000000009</v>
      </c>
      <c r="R98" s="236">
        <v>12.8</v>
      </c>
      <c r="S98" s="55">
        <v>128</v>
      </c>
      <c r="T98" s="57">
        <f t="shared" si="7"/>
        <v>27</v>
      </c>
      <c r="U98" s="236">
        <v>105</v>
      </c>
      <c r="V98" s="58">
        <f t="shared" si="6"/>
        <v>2835</v>
      </c>
      <c r="W98" s="236">
        <v>1</v>
      </c>
      <c r="X98" s="55" t="s">
        <v>46</v>
      </c>
      <c r="Y98" s="55" t="s">
        <v>50</v>
      </c>
      <c r="Z98" s="55" t="s">
        <v>84</v>
      </c>
      <c r="AA98" s="55" t="s">
        <v>102</v>
      </c>
      <c r="AB98" s="39" t="s">
        <v>341</v>
      </c>
    </row>
    <row r="99" spans="1:28" x14ac:dyDescent="0.15">
      <c r="A99" s="55" t="s">
        <v>41</v>
      </c>
      <c r="B99" s="236" t="s">
        <v>338</v>
      </c>
      <c r="C99" s="151">
        <v>2018</v>
      </c>
      <c r="D99" s="56" t="s">
        <v>359</v>
      </c>
      <c r="E99" s="236" t="s">
        <v>295</v>
      </c>
      <c r="F99" s="236" t="s">
        <v>301</v>
      </c>
      <c r="G99" s="55" t="s">
        <v>42</v>
      </c>
      <c r="H99" s="55" t="s">
        <v>165</v>
      </c>
      <c r="I99" s="55" t="s">
        <v>153</v>
      </c>
      <c r="J99" s="55" t="s">
        <v>38</v>
      </c>
      <c r="K99" s="55" t="s">
        <v>154</v>
      </c>
      <c r="L99" s="236">
        <v>2</v>
      </c>
      <c r="N99" s="236">
        <v>1</v>
      </c>
      <c r="O99" s="55">
        <v>0.7</v>
      </c>
      <c r="P99" s="55">
        <v>0.65</v>
      </c>
      <c r="Q99" s="57">
        <f t="shared" si="5"/>
        <v>0.67500000000000004</v>
      </c>
      <c r="R99" s="236">
        <v>15.8</v>
      </c>
      <c r="S99" s="55">
        <v>125</v>
      </c>
      <c r="T99" s="57">
        <f t="shared" si="7"/>
        <v>27</v>
      </c>
      <c r="U99" s="236">
        <v>105</v>
      </c>
      <c r="V99" s="58">
        <f t="shared" si="6"/>
        <v>2835</v>
      </c>
      <c r="W99" s="236">
        <v>1</v>
      </c>
      <c r="X99" s="55" t="s">
        <v>46</v>
      </c>
      <c r="Y99" s="55" t="s">
        <v>50</v>
      </c>
      <c r="Z99" s="55" t="s">
        <v>84</v>
      </c>
      <c r="AA99" s="55" t="s">
        <v>102</v>
      </c>
      <c r="AB99" s="39" t="s">
        <v>341</v>
      </c>
    </row>
    <row r="100" spans="1:28" x14ac:dyDescent="0.15">
      <c r="A100" s="55" t="s">
        <v>41</v>
      </c>
      <c r="B100" s="236" t="s">
        <v>338</v>
      </c>
      <c r="C100" s="151">
        <v>2018</v>
      </c>
      <c r="D100" s="56" t="s">
        <v>359</v>
      </c>
      <c r="E100" s="236" t="s">
        <v>295</v>
      </c>
      <c r="F100" s="236" t="s">
        <v>301</v>
      </c>
      <c r="G100" s="55" t="s">
        <v>42</v>
      </c>
      <c r="H100" s="55" t="s">
        <v>165</v>
      </c>
      <c r="I100" s="55" t="s">
        <v>153</v>
      </c>
      <c r="J100" s="55" t="s">
        <v>38</v>
      </c>
      <c r="K100" s="55" t="s">
        <v>154</v>
      </c>
      <c r="L100" s="236">
        <v>3</v>
      </c>
      <c r="N100" s="236">
        <v>1</v>
      </c>
      <c r="O100" s="55">
        <v>0.5</v>
      </c>
      <c r="P100" s="55">
        <v>0.65</v>
      </c>
      <c r="Q100" s="57">
        <f t="shared" si="5"/>
        <v>0.57499999999999996</v>
      </c>
      <c r="R100" s="236">
        <v>16.7</v>
      </c>
      <c r="S100" s="55">
        <v>125</v>
      </c>
      <c r="T100" s="57">
        <f t="shared" si="7"/>
        <v>27</v>
      </c>
      <c r="U100" s="236">
        <v>105</v>
      </c>
      <c r="V100" s="58">
        <f t="shared" si="6"/>
        <v>2835</v>
      </c>
      <c r="W100" s="236">
        <v>1</v>
      </c>
      <c r="X100" s="55" t="s">
        <v>46</v>
      </c>
      <c r="Y100" s="55" t="s">
        <v>50</v>
      </c>
      <c r="Z100" s="55" t="s">
        <v>84</v>
      </c>
      <c r="AA100" s="55" t="s">
        <v>102</v>
      </c>
      <c r="AB100" s="39" t="s">
        <v>341</v>
      </c>
    </row>
    <row r="101" spans="1:28" x14ac:dyDescent="0.15">
      <c r="A101" s="55" t="s">
        <v>41</v>
      </c>
      <c r="B101" s="236" t="s">
        <v>338</v>
      </c>
      <c r="C101" s="151">
        <v>2018</v>
      </c>
      <c r="D101" s="56" t="s">
        <v>359</v>
      </c>
      <c r="E101" s="236" t="s">
        <v>295</v>
      </c>
      <c r="F101" s="236" t="s">
        <v>301</v>
      </c>
      <c r="G101" s="55" t="s">
        <v>42</v>
      </c>
      <c r="H101" s="55" t="s">
        <v>165</v>
      </c>
      <c r="I101" s="55" t="s">
        <v>153</v>
      </c>
      <c r="J101" s="55" t="s">
        <v>38</v>
      </c>
      <c r="K101" s="55" t="s">
        <v>154</v>
      </c>
      <c r="L101" s="236">
        <v>1</v>
      </c>
      <c r="N101" s="236">
        <v>4</v>
      </c>
      <c r="O101" s="55">
        <v>0.25</v>
      </c>
      <c r="P101" s="55">
        <v>0.3</v>
      </c>
      <c r="Q101" s="57">
        <f t="shared" si="5"/>
        <v>0.27500000000000002</v>
      </c>
      <c r="R101" s="236">
        <v>17.100000000000001</v>
      </c>
      <c r="S101" s="55">
        <v>120</v>
      </c>
      <c r="T101" s="57">
        <f t="shared" si="7"/>
        <v>30</v>
      </c>
      <c r="U101" s="236">
        <v>429</v>
      </c>
      <c r="V101" s="58">
        <f t="shared" si="6"/>
        <v>3217.5</v>
      </c>
      <c r="W101" s="236">
        <v>2</v>
      </c>
      <c r="X101" s="55" t="s">
        <v>46</v>
      </c>
      <c r="Y101" s="55" t="s">
        <v>50</v>
      </c>
      <c r="Z101" s="55" t="s">
        <v>84</v>
      </c>
      <c r="AA101" s="55" t="s">
        <v>102</v>
      </c>
      <c r="AB101" s="39" t="s">
        <v>341</v>
      </c>
    </row>
    <row r="102" spans="1:28" x14ac:dyDescent="0.15">
      <c r="A102" s="55" t="s">
        <v>41</v>
      </c>
      <c r="B102" s="236" t="s">
        <v>338</v>
      </c>
      <c r="C102" s="151">
        <v>2018</v>
      </c>
      <c r="D102" s="56" t="s">
        <v>359</v>
      </c>
      <c r="E102" s="236" t="s">
        <v>295</v>
      </c>
      <c r="F102" s="236" t="s">
        <v>301</v>
      </c>
      <c r="G102" s="55" t="s">
        <v>42</v>
      </c>
      <c r="H102" s="55" t="s">
        <v>165</v>
      </c>
      <c r="I102" s="55" t="s">
        <v>153</v>
      </c>
      <c r="J102" s="55" t="s">
        <v>38</v>
      </c>
      <c r="K102" s="55" t="s">
        <v>154</v>
      </c>
      <c r="L102" s="236">
        <v>2</v>
      </c>
      <c r="N102" s="236">
        <v>4</v>
      </c>
      <c r="O102" s="55">
        <v>0.35</v>
      </c>
      <c r="P102" s="55">
        <v>0.3</v>
      </c>
      <c r="Q102" s="57">
        <f t="shared" si="5"/>
        <v>0.32499999999999996</v>
      </c>
      <c r="R102" s="236">
        <v>17</v>
      </c>
      <c r="S102" s="55">
        <v>124</v>
      </c>
      <c r="T102" s="57">
        <f t="shared" si="7"/>
        <v>27</v>
      </c>
      <c r="U102" s="236">
        <v>429</v>
      </c>
      <c r="V102" s="58">
        <f t="shared" si="6"/>
        <v>2895.75</v>
      </c>
      <c r="W102" s="236">
        <v>2</v>
      </c>
      <c r="X102" s="55" t="s">
        <v>46</v>
      </c>
      <c r="Y102" s="55" t="s">
        <v>50</v>
      </c>
      <c r="Z102" s="55" t="s">
        <v>84</v>
      </c>
      <c r="AA102" s="55" t="s">
        <v>102</v>
      </c>
      <c r="AB102" s="39" t="s">
        <v>341</v>
      </c>
    </row>
    <row r="103" spans="1:28" x14ac:dyDescent="0.15">
      <c r="A103" s="55" t="s">
        <v>41</v>
      </c>
      <c r="B103" s="236" t="s">
        <v>338</v>
      </c>
      <c r="C103" s="151">
        <v>2018</v>
      </c>
      <c r="D103" s="56" t="s">
        <v>359</v>
      </c>
      <c r="E103" s="236" t="s">
        <v>295</v>
      </c>
      <c r="F103" s="236" t="s">
        <v>301</v>
      </c>
      <c r="G103" s="55" t="s">
        <v>42</v>
      </c>
      <c r="H103" s="55" t="s">
        <v>165</v>
      </c>
      <c r="I103" s="55" t="s">
        <v>153</v>
      </c>
      <c r="J103" s="55" t="s">
        <v>38</v>
      </c>
      <c r="K103" s="55" t="s">
        <v>154</v>
      </c>
      <c r="L103" s="236">
        <v>3</v>
      </c>
      <c r="N103" s="236">
        <v>4</v>
      </c>
      <c r="O103" s="55">
        <v>0.25</v>
      </c>
      <c r="P103" s="55">
        <v>0.3</v>
      </c>
      <c r="Q103" s="57">
        <f t="shared" si="5"/>
        <v>0.27500000000000002</v>
      </c>
      <c r="R103" s="236">
        <v>14.8</v>
      </c>
      <c r="S103" s="55">
        <v>124</v>
      </c>
      <c r="T103" s="57">
        <f t="shared" si="7"/>
        <v>27</v>
      </c>
      <c r="U103" s="236">
        <v>429</v>
      </c>
      <c r="V103" s="58">
        <f t="shared" si="6"/>
        <v>2895.75</v>
      </c>
      <c r="W103" s="236">
        <v>2</v>
      </c>
      <c r="X103" s="55" t="s">
        <v>46</v>
      </c>
      <c r="Y103" s="55" t="s">
        <v>50</v>
      </c>
      <c r="Z103" s="55" t="s">
        <v>84</v>
      </c>
      <c r="AA103" s="55" t="s">
        <v>102</v>
      </c>
      <c r="AB103" s="39" t="s">
        <v>341</v>
      </c>
    </row>
    <row r="104" spans="1:28" x14ac:dyDescent="0.15">
      <c r="A104" s="55" t="s">
        <v>41</v>
      </c>
      <c r="B104" s="236" t="s">
        <v>338</v>
      </c>
      <c r="C104" s="151">
        <v>2018</v>
      </c>
      <c r="D104" s="56" t="s">
        <v>359</v>
      </c>
      <c r="E104" s="236" t="s">
        <v>295</v>
      </c>
      <c r="F104" s="236" t="s">
        <v>301</v>
      </c>
      <c r="G104" s="55" t="s">
        <v>42</v>
      </c>
      <c r="H104" s="55" t="s">
        <v>155</v>
      </c>
      <c r="I104" s="55" t="s">
        <v>153</v>
      </c>
      <c r="J104" s="55" t="s">
        <v>38</v>
      </c>
      <c r="K104" s="55" t="s">
        <v>154</v>
      </c>
      <c r="L104" s="236">
        <v>1</v>
      </c>
      <c r="N104" s="236">
        <v>1</v>
      </c>
      <c r="O104" s="236">
        <v>1.05</v>
      </c>
      <c r="P104" s="236">
        <v>1.2</v>
      </c>
      <c r="Q104" s="57">
        <f t="shared" si="5"/>
        <v>1.125</v>
      </c>
      <c r="R104" s="236">
        <v>13.5</v>
      </c>
      <c r="S104" s="236">
        <v>128</v>
      </c>
      <c r="T104" s="57">
        <f t="shared" si="7"/>
        <v>27</v>
      </c>
      <c r="U104" s="236">
        <v>85</v>
      </c>
      <c r="V104" s="58">
        <f t="shared" si="6"/>
        <v>2295</v>
      </c>
      <c r="W104" s="236">
        <v>1</v>
      </c>
      <c r="X104" s="55" t="s">
        <v>46</v>
      </c>
      <c r="Y104" s="55" t="s">
        <v>50</v>
      </c>
      <c r="Z104" s="55" t="s">
        <v>84</v>
      </c>
      <c r="AA104" s="55" t="s">
        <v>102</v>
      </c>
      <c r="AB104" s="39" t="s">
        <v>341</v>
      </c>
    </row>
    <row r="105" spans="1:28" x14ac:dyDescent="0.15">
      <c r="A105" s="55" t="s">
        <v>41</v>
      </c>
      <c r="B105" s="236" t="s">
        <v>338</v>
      </c>
      <c r="C105" s="151">
        <v>2018</v>
      </c>
      <c r="D105" s="56" t="s">
        <v>359</v>
      </c>
      <c r="E105" s="236" t="s">
        <v>295</v>
      </c>
      <c r="F105" s="236" t="s">
        <v>301</v>
      </c>
      <c r="G105" s="55" t="s">
        <v>42</v>
      </c>
      <c r="H105" s="55" t="s">
        <v>155</v>
      </c>
      <c r="I105" s="55" t="s">
        <v>153</v>
      </c>
      <c r="J105" s="55" t="s">
        <v>38</v>
      </c>
      <c r="K105" s="55" t="s">
        <v>154</v>
      </c>
      <c r="L105" s="236">
        <v>2</v>
      </c>
      <c r="N105" s="236">
        <v>1</v>
      </c>
      <c r="O105" s="236">
        <v>1</v>
      </c>
      <c r="P105" s="236">
        <v>1.05</v>
      </c>
      <c r="Q105" s="57">
        <f t="shared" si="5"/>
        <v>1.0249999999999999</v>
      </c>
      <c r="R105" s="236">
        <v>12.8</v>
      </c>
      <c r="S105" s="236">
        <v>130</v>
      </c>
      <c r="T105" s="57">
        <f t="shared" si="7"/>
        <v>25</v>
      </c>
      <c r="U105" s="236">
        <v>85</v>
      </c>
      <c r="V105" s="58">
        <f t="shared" si="6"/>
        <v>2125</v>
      </c>
      <c r="W105" s="236">
        <v>1</v>
      </c>
      <c r="X105" s="55" t="s">
        <v>46</v>
      </c>
      <c r="Y105" s="55" t="s">
        <v>50</v>
      </c>
      <c r="Z105" s="55" t="s">
        <v>84</v>
      </c>
      <c r="AA105" s="55" t="s">
        <v>102</v>
      </c>
      <c r="AB105" s="39" t="s">
        <v>341</v>
      </c>
    </row>
    <row r="106" spans="1:28" x14ac:dyDescent="0.15">
      <c r="A106" s="55" t="s">
        <v>41</v>
      </c>
      <c r="B106" s="236" t="s">
        <v>338</v>
      </c>
      <c r="C106" s="151">
        <v>2018</v>
      </c>
      <c r="D106" s="56" t="s">
        <v>359</v>
      </c>
      <c r="E106" s="236" t="s">
        <v>295</v>
      </c>
      <c r="F106" s="236" t="s">
        <v>301</v>
      </c>
      <c r="G106" s="55" t="s">
        <v>42</v>
      </c>
      <c r="H106" s="55" t="s">
        <v>155</v>
      </c>
      <c r="I106" s="55" t="s">
        <v>153</v>
      </c>
      <c r="J106" s="55" t="s">
        <v>38</v>
      </c>
      <c r="K106" s="55" t="s">
        <v>154</v>
      </c>
      <c r="L106" s="236">
        <v>3</v>
      </c>
      <c r="N106" s="236">
        <v>1</v>
      </c>
      <c r="O106" s="236">
        <v>0.95</v>
      </c>
      <c r="P106" s="236">
        <v>1</v>
      </c>
      <c r="Q106" s="57">
        <f t="shared" si="5"/>
        <v>0.97499999999999998</v>
      </c>
      <c r="R106" s="236">
        <v>14.8</v>
      </c>
      <c r="S106" s="236">
        <v>132</v>
      </c>
      <c r="T106" s="57">
        <f t="shared" si="7"/>
        <v>25</v>
      </c>
      <c r="U106" s="236">
        <v>85</v>
      </c>
      <c r="V106" s="58">
        <f t="shared" si="6"/>
        <v>2125</v>
      </c>
      <c r="W106" s="236">
        <v>1</v>
      </c>
      <c r="X106" s="55" t="s">
        <v>46</v>
      </c>
      <c r="Y106" s="55" t="s">
        <v>50</v>
      </c>
      <c r="Z106" s="55" t="s">
        <v>84</v>
      </c>
      <c r="AA106" s="55" t="s">
        <v>102</v>
      </c>
      <c r="AB106" s="39" t="s">
        <v>341</v>
      </c>
    </row>
    <row r="107" spans="1:28" x14ac:dyDescent="0.15">
      <c r="A107" s="55" t="s">
        <v>41</v>
      </c>
      <c r="B107" s="236" t="s">
        <v>338</v>
      </c>
      <c r="C107" s="151">
        <v>2018</v>
      </c>
      <c r="D107" s="56" t="s">
        <v>359</v>
      </c>
      <c r="E107" s="236" t="s">
        <v>295</v>
      </c>
      <c r="F107" s="236" t="s">
        <v>301</v>
      </c>
      <c r="G107" s="55" t="s">
        <v>42</v>
      </c>
      <c r="H107" s="55" t="s">
        <v>155</v>
      </c>
      <c r="I107" s="55" t="s">
        <v>153</v>
      </c>
      <c r="J107" s="55" t="s">
        <v>38</v>
      </c>
      <c r="K107" s="55" t="s">
        <v>154</v>
      </c>
      <c r="L107" s="236">
        <v>1</v>
      </c>
      <c r="N107" s="236">
        <v>8</v>
      </c>
      <c r="O107" s="236">
        <v>0.8</v>
      </c>
      <c r="P107" s="236">
        <v>0.95</v>
      </c>
      <c r="Q107" s="57">
        <f t="shared" si="5"/>
        <v>0.875</v>
      </c>
      <c r="R107" s="236">
        <v>15.1</v>
      </c>
      <c r="S107" s="236">
        <v>105</v>
      </c>
      <c r="T107" s="57">
        <f t="shared" si="7"/>
        <v>33</v>
      </c>
      <c r="U107" s="236">
        <v>429</v>
      </c>
      <c r="V107" s="58">
        <f t="shared" si="6"/>
        <v>1769.625</v>
      </c>
      <c r="W107" s="236">
        <v>3</v>
      </c>
      <c r="X107" s="55" t="s">
        <v>46</v>
      </c>
      <c r="Y107" s="55" t="s">
        <v>50</v>
      </c>
      <c r="Z107" s="55" t="s">
        <v>84</v>
      </c>
      <c r="AA107" s="55" t="s">
        <v>102</v>
      </c>
      <c r="AB107" s="39" t="s">
        <v>341</v>
      </c>
    </row>
    <row r="108" spans="1:28" x14ac:dyDescent="0.15">
      <c r="A108" s="55" t="s">
        <v>41</v>
      </c>
      <c r="B108" s="236" t="s">
        <v>338</v>
      </c>
      <c r="C108" s="151">
        <v>2018</v>
      </c>
      <c r="D108" s="56" t="s">
        <v>359</v>
      </c>
      <c r="E108" s="236" t="s">
        <v>295</v>
      </c>
      <c r="F108" s="236" t="s">
        <v>301</v>
      </c>
      <c r="G108" s="55" t="s">
        <v>42</v>
      </c>
      <c r="H108" s="55" t="s">
        <v>155</v>
      </c>
      <c r="I108" s="55" t="s">
        <v>153</v>
      </c>
      <c r="J108" s="55" t="s">
        <v>38</v>
      </c>
      <c r="K108" s="55" t="s">
        <v>154</v>
      </c>
      <c r="L108" s="236">
        <v>2</v>
      </c>
      <c r="N108" s="236">
        <v>8</v>
      </c>
      <c r="O108" s="236">
        <v>0.95</v>
      </c>
      <c r="P108" s="236">
        <v>0.8</v>
      </c>
      <c r="Q108" s="57">
        <f t="shared" si="5"/>
        <v>0.875</v>
      </c>
      <c r="R108" s="236">
        <v>13.1</v>
      </c>
      <c r="S108" s="236">
        <v>100</v>
      </c>
      <c r="T108" s="57">
        <f t="shared" si="7"/>
        <v>33</v>
      </c>
      <c r="U108" s="236">
        <v>429</v>
      </c>
      <c r="V108" s="58">
        <f t="shared" si="6"/>
        <v>1769.625</v>
      </c>
      <c r="W108" s="236">
        <v>3</v>
      </c>
      <c r="X108" s="55" t="s">
        <v>46</v>
      </c>
      <c r="Y108" s="55" t="s">
        <v>50</v>
      </c>
      <c r="Z108" s="55" t="s">
        <v>84</v>
      </c>
      <c r="AA108" s="55" t="s">
        <v>102</v>
      </c>
      <c r="AB108" s="39" t="s">
        <v>341</v>
      </c>
    </row>
    <row r="109" spans="1:28" x14ac:dyDescent="0.15">
      <c r="A109" s="55" t="s">
        <v>41</v>
      </c>
      <c r="B109" s="236" t="s">
        <v>338</v>
      </c>
      <c r="C109" s="151">
        <v>2018</v>
      </c>
      <c r="D109" s="56" t="s">
        <v>359</v>
      </c>
      <c r="E109" s="236" t="s">
        <v>295</v>
      </c>
      <c r="F109" s="236" t="s">
        <v>301</v>
      </c>
      <c r="G109" s="55" t="s">
        <v>42</v>
      </c>
      <c r="H109" s="55" t="s">
        <v>155</v>
      </c>
      <c r="I109" s="55" t="s">
        <v>153</v>
      </c>
      <c r="J109" s="55" t="s">
        <v>38</v>
      </c>
      <c r="K109" s="55" t="s">
        <v>154</v>
      </c>
      <c r="L109" s="236">
        <v>3</v>
      </c>
      <c r="N109" s="236">
        <v>8</v>
      </c>
      <c r="O109" s="236">
        <v>0.8</v>
      </c>
      <c r="P109" s="236">
        <v>0.95</v>
      </c>
      <c r="Q109" s="57">
        <f t="shared" si="5"/>
        <v>0.875</v>
      </c>
      <c r="R109" s="236">
        <v>14.8</v>
      </c>
      <c r="S109" s="236">
        <v>107</v>
      </c>
      <c r="T109" s="57">
        <f t="shared" si="7"/>
        <v>33</v>
      </c>
      <c r="U109" s="236">
        <v>429</v>
      </c>
      <c r="V109" s="58">
        <f t="shared" si="6"/>
        <v>1769.625</v>
      </c>
      <c r="W109" s="236">
        <v>3</v>
      </c>
      <c r="X109" s="55" t="s">
        <v>46</v>
      </c>
      <c r="Y109" s="55" t="s">
        <v>50</v>
      </c>
      <c r="Z109" s="55" t="s">
        <v>84</v>
      </c>
      <c r="AA109" s="55" t="s">
        <v>102</v>
      </c>
      <c r="AB109" s="39" t="s">
        <v>341</v>
      </c>
    </row>
    <row r="110" spans="1:28" x14ac:dyDescent="0.15">
      <c r="A110" s="55" t="s">
        <v>41</v>
      </c>
      <c r="B110" s="236" t="s">
        <v>338</v>
      </c>
      <c r="C110" s="151">
        <v>2018</v>
      </c>
      <c r="D110" s="56" t="s">
        <v>359</v>
      </c>
      <c r="E110" s="236" t="s">
        <v>171</v>
      </c>
      <c r="F110" s="236" t="s">
        <v>302</v>
      </c>
      <c r="G110" s="55" t="s">
        <v>42</v>
      </c>
      <c r="H110" s="55" t="s">
        <v>165</v>
      </c>
      <c r="I110" s="55" t="s">
        <v>153</v>
      </c>
      <c r="J110" s="55" t="s">
        <v>38</v>
      </c>
      <c r="K110" s="55" t="s">
        <v>154</v>
      </c>
      <c r="L110" s="236">
        <v>1</v>
      </c>
      <c r="N110" s="236">
        <v>1</v>
      </c>
      <c r="O110" s="55">
        <v>0.55000000000000004</v>
      </c>
      <c r="P110" s="55">
        <v>0.5</v>
      </c>
      <c r="Q110" s="57">
        <f t="shared" si="5"/>
        <v>0.52500000000000002</v>
      </c>
      <c r="R110" s="236">
        <v>14.1</v>
      </c>
      <c r="S110" s="55">
        <v>135</v>
      </c>
      <c r="T110" s="57">
        <f t="shared" si="7"/>
        <v>25</v>
      </c>
      <c r="U110" s="236">
        <v>137</v>
      </c>
      <c r="V110" s="58">
        <f t="shared" si="6"/>
        <v>3425</v>
      </c>
      <c r="W110" s="236">
        <v>1</v>
      </c>
      <c r="X110" s="55" t="s">
        <v>39</v>
      </c>
      <c r="Y110" s="55" t="s">
        <v>50</v>
      </c>
      <c r="Z110" s="55" t="s">
        <v>84</v>
      </c>
      <c r="AA110" s="55" t="s">
        <v>69</v>
      </c>
      <c r="AB110" s="39" t="s">
        <v>341</v>
      </c>
    </row>
    <row r="111" spans="1:28" x14ac:dyDescent="0.15">
      <c r="A111" s="55" t="s">
        <v>41</v>
      </c>
      <c r="B111" s="236" t="s">
        <v>338</v>
      </c>
      <c r="C111" s="151">
        <v>2018</v>
      </c>
      <c r="D111" s="56" t="s">
        <v>359</v>
      </c>
      <c r="E111" s="236" t="s">
        <v>171</v>
      </c>
      <c r="F111" s="236" t="s">
        <v>302</v>
      </c>
      <c r="G111" s="55" t="s">
        <v>42</v>
      </c>
      <c r="H111" s="55" t="s">
        <v>165</v>
      </c>
      <c r="I111" s="55" t="s">
        <v>153</v>
      </c>
      <c r="J111" s="55" t="s">
        <v>38</v>
      </c>
      <c r="K111" s="55" t="s">
        <v>154</v>
      </c>
      <c r="L111" s="236">
        <v>2</v>
      </c>
      <c r="N111" s="236">
        <v>1</v>
      </c>
      <c r="O111" s="55">
        <v>0.45</v>
      </c>
      <c r="P111" s="55">
        <v>0.5</v>
      </c>
      <c r="Q111" s="57">
        <f t="shared" si="5"/>
        <v>0.47499999999999998</v>
      </c>
      <c r="R111" s="236">
        <v>13.9</v>
      </c>
      <c r="S111" s="55">
        <v>138</v>
      </c>
      <c r="T111" s="57">
        <f t="shared" si="7"/>
        <v>22</v>
      </c>
      <c r="U111" s="236">
        <v>137</v>
      </c>
      <c r="V111" s="58">
        <f t="shared" si="6"/>
        <v>3014</v>
      </c>
      <c r="W111" s="236">
        <v>1</v>
      </c>
      <c r="X111" s="55" t="s">
        <v>39</v>
      </c>
      <c r="Y111" s="55" t="s">
        <v>50</v>
      </c>
      <c r="Z111" s="55" t="s">
        <v>84</v>
      </c>
      <c r="AA111" s="55" t="s">
        <v>69</v>
      </c>
      <c r="AB111" s="39" t="s">
        <v>341</v>
      </c>
    </row>
    <row r="112" spans="1:28" x14ac:dyDescent="0.15">
      <c r="A112" s="55" t="s">
        <v>41</v>
      </c>
      <c r="B112" s="236" t="s">
        <v>338</v>
      </c>
      <c r="C112" s="151">
        <v>2018</v>
      </c>
      <c r="D112" s="56" t="s">
        <v>359</v>
      </c>
      <c r="E112" s="236" t="s">
        <v>171</v>
      </c>
      <c r="F112" s="236" t="s">
        <v>302</v>
      </c>
      <c r="G112" s="55" t="s">
        <v>42</v>
      </c>
      <c r="H112" s="55" t="s">
        <v>165</v>
      </c>
      <c r="I112" s="55" t="s">
        <v>153</v>
      </c>
      <c r="J112" s="55" t="s">
        <v>38</v>
      </c>
      <c r="K112" s="55" t="s">
        <v>154</v>
      </c>
      <c r="L112" s="236">
        <v>3</v>
      </c>
      <c r="N112" s="236">
        <v>1</v>
      </c>
      <c r="O112" s="55">
        <v>0.4</v>
      </c>
      <c r="P112" s="55">
        <v>0.45</v>
      </c>
      <c r="Q112" s="57">
        <f t="shared" si="5"/>
        <v>0.42500000000000004</v>
      </c>
      <c r="R112" s="236">
        <v>15</v>
      </c>
      <c r="S112" s="55">
        <v>140</v>
      </c>
      <c r="T112" s="57">
        <f t="shared" si="7"/>
        <v>22</v>
      </c>
      <c r="U112" s="236">
        <v>137</v>
      </c>
      <c r="V112" s="58">
        <f t="shared" si="6"/>
        <v>3014</v>
      </c>
      <c r="W112" s="236">
        <v>1</v>
      </c>
      <c r="X112" s="55" t="s">
        <v>39</v>
      </c>
      <c r="Y112" s="55" t="s">
        <v>50</v>
      </c>
      <c r="Z112" s="55" t="s">
        <v>84</v>
      </c>
      <c r="AA112" s="55" t="s">
        <v>69</v>
      </c>
      <c r="AB112" s="39" t="s">
        <v>341</v>
      </c>
    </row>
    <row r="113" spans="1:28" x14ac:dyDescent="0.15">
      <c r="A113" s="55" t="s">
        <v>41</v>
      </c>
      <c r="B113" s="236" t="s">
        <v>338</v>
      </c>
      <c r="C113" s="151">
        <v>2018</v>
      </c>
      <c r="D113" s="56" t="s">
        <v>359</v>
      </c>
      <c r="E113" s="236" t="s">
        <v>171</v>
      </c>
      <c r="F113" s="236" t="s">
        <v>302</v>
      </c>
      <c r="G113" s="55" t="s">
        <v>42</v>
      </c>
      <c r="H113" s="55" t="s">
        <v>165</v>
      </c>
      <c r="I113" s="55" t="s">
        <v>153</v>
      </c>
      <c r="J113" s="55" t="s">
        <v>38</v>
      </c>
      <c r="K113" s="55" t="s">
        <v>154</v>
      </c>
      <c r="L113" s="236">
        <v>1</v>
      </c>
      <c r="N113" s="236">
        <v>4</v>
      </c>
      <c r="O113" s="55">
        <v>0.55000000000000004</v>
      </c>
      <c r="P113" s="55">
        <v>0.5</v>
      </c>
      <c r="Q113" s="57">
        <f t="shared" si="5"/>
        <v>0.52500000000000002</v>
      </c>
      <c r="R113" s="236">
        <v>16</v>
      </c>
      <c r="S113" s="55">
        <v>130</v>
      </c>
      <c r="T113" s="57">
        <f t="shared" si="7"/>
        <v>25</v>
      </c>
      <c r="U113" s="236">
        <v>515</v>
      </c>
      <c r="V113" s="58">
        <f t="shared" si="6"/>
        <v>3218.75</v>
      </c>
      <c r="W113" s="236">
        <v>1</v>
      </c>
      <c r="X113" s="55" t="s">
        <v>39</v>
      </c>
      <c r="Y113" s="55" t="s">
        <v>50</v>
      </c>
      <c r="Z113" s="55" t="s">
        <v>84</v>
      </c>
      <c r="AA113" s="55" t="s">
        <v>69</v>
      </c>
      <c r="AB113" s="39" t="s">
        <v>341</v>
      </c>
    </row>
    <row r="114" spans="1:28" x14ac:dyDescent="0.15">
      <c r="A114" s="55" t="s">
        <v>41</v>
      </c>
      <c r="B114" s="236" t="s">
        <v>338</v>
      </c>
      <c r="C114" s="151">
        <v>2018</v>
      </c>
      <c r="D114" s="56" t="s">
        <v>359</v>
      </c>
      <c r="E114" s="236" t="s">
        <v>171</v>
      </c>
      <c r="F114" s="236" t="s">
        <v>302</v>
      </c>
      <c r="G114" s="55" t="s">
        <v>42</v>
      </c>
      <c r="H114" s="55" t="s">
        <v>165</v>
      </c>
      <c r="I114" s="55" t="s">
        <v>153</v>
      </c>
      <c r="J114" s="55" t="s">
        <v>38</v>
      </c>
      <c r="K114" s="55" t="s">
        <v>154</v>
      </c>
      <c r="L114" s="236">
        <v>2</v>
      </c>
      <c r="N114" s="236">
        <v>4</v>
      </c>
      <c r="O114" s="55">
        <v>0.35</v>
      </c>
      <c r="P114" s="55">
        <v>0.4</v>
      </c>
      <c r="Q114" s="57">
        <f t="shared" si="5"/>
        <v>0.375</v>
      </c>
      <c r="R114" s="236">
        <v>15.9</v>
      </c>
      <c r="S114" s="55">
        <v>132</v>
      </c>
      <c r="T114" s="57">
        <f t="shared" si="7"/>
        <v>25</v>
      </c>
      <c r="U114" s="236">
        <v>515</v>
      </c>
      <c r="V114" s="58">
        <f t="shared" si="6"/>
        <v>3218.75</v>
      </c>
      <c r="W114" s="236">
        <v>1</v>
      </c>
      <c r="X114" s="55" t="s">
        <v>39</v>
      </c>
      <c r="Y114" s="55" t="s">
        <v>50</v>
      </c>
      <c r="Z114" s="55" t="s">
        <v>84</v>
      </c>
      <c r="AA114" s="55" t="s">
        <v>69</v>
      </c>
      <c r="AB114" s="39" t="s">
        <v>341</v>
      </c>
    </row>
    <row r="115" spans="1:28" x14ac:dyDescent="0.15">
      <c r="A115" s="55" t="s">
        <v>41</v>
      </c>
      <c r="B115" s="236" t="s">
        <v>338</v>
      </c>
      <c r="C115" s="151">
        <v>2018</v>
      </c>
      <c r="D115" s="56" t="s">
        <v>359</v>
      </c>
      <c r="E115" s="236" t="s">
        <v>171</v>
      </c>
      <c r="F115" s="236" t="s">
        <v>302</v>
      </c>
      <c r="G115" s="55" t="s">
        <v>42</v>
      </c>
      <c r="H115" s="55" t="s">
        <v>165</v>
      </c>
      <c r="I115" s="55" t="s">
        <v>153</v>
      </c>
      <c r="J115" s="55" t="s">
        <v>38</v>
      </c>
      <c r="K115" s="55" t="s">
        <v>154</v>
      </c>
      <c r="L115" s="236">
        <v>3</v>
      </c>
      <c r="N115" s="236">
        <v>4</v>
      </c>
      <c r="O115" s="55">
        <v>0.6</v>
      </c>
      <c r="P115" s="55">
        <v>0.55000000000000004</v>
      </c>
      <c r="Q115" s="57">
        <f t="shared" si="5"/>
        <v>0.57499999999999996</v>
      </c>
      <c r="R115" s="236">
        <v>14.9</v>
      </c>
      <c r="S115" s="55">
        <v>137</v>
      </c>
      <c r="T115" s="57">
        <f t="shared" si="7"/>
        <v>25</v>
      </c>
      <c r="U115" s="236">
        <v>515</v>
      </c>
      <c r="V115" s="58">
        <f t="shared" si="6"/>
        <v>3218.75</v>
      </c>
      <c r="W115" s="236">
        <v>1</v>
      </c>
      <c r="X115" s="55" t="s">
        <v>39</v>
      </c>
      <c r="Y115" s="55" t="s">
        <v>50</v>
      </c>
      <c r="Z115" s="55" t="s">
        <v>84</v>
      </c>
      <c r="AA115" s="55" t="s">
        <v>69</v>
      </c>
      <c r="AB115" s="39" t="s">
        <v>341</v>
      </c>
    </row>
    <row r="116" spans="1:28" x14ac:dyDescent="0.15">
      <c r="A116" s="55" t="s">
        <v>41</v>
      </c>
      <c r="B116" s="236" t="s">
        <v>338</v>
      </c>
      <c r="C116" s="151">
        <v>2018</v>
      </c>
      <c r="D116" s="56" t="s">
        <v>359</v>
      </c>
      <c r="E116" s="236" t="s">
        <v>171</v>
      </c>
      <c r="F116" s="236" t="s">
        <v>302</v>
      </c>
      <c r="G116" s="55" t="s">
        <v>42</v>
      </c>
      <c r="H116" s="55" t="s">
        <v>155</v>
      </c>
      <c r="I116" s="55" t="s">
        <v>153</v>
      </c>
      <c r="J116" s="55" t="s">
        <v>38</v>
      </c>
      <c r="K116" s="55" t="s">
        <v>154</v>
      </c>
      <c r="L116" s="236">
        <v>1</v>
      </c>
      <c r="N116" s="236">
        <v>1</v>
      </c>
      <c r="O116" s="55">
        <v>0.8</v>
      </c>
      <c r="P116" s="55">
        <v>0.8</v>
      </c>
      <c r="Q116" s="57">
        <f t="shared" si="5"/>
        <v>0.8</v>
      </c>
      <c r="R116" s="236">
        <v>14.2</v>
      </c>
      <c r="S116" s="55">
        <v>138</v>
      </c>
      <c r="T116" s="57">
        <f t="shared" si="7"/>
        <v>22</v>
      </c>
      <c r="U116" s="236">
        <v>137</v>
      </c>
      <c r="V116" s="58">
        <f t="shared" si="6"/>
        <v>3014</v>
      </c>
      <c r="W116" s="236">
        <v>1</v>
      </c>
      <c r="X116" s="55" t="s">
        <v>39</v>
      </c>
      <c r="Y116" s="55" t="s">
        <v>50</v>
      </c>
      <c r="Z116" s="55" t="s">
        <v>84</v>
      </c>
      <c r="AA116" s="55" t="s">
        <v>69</v>
      </c>
      <c r="AB116" s="39" t="s">
        <v>341</v>
      </c>
    </row>
    <row r="117" spans="1:28" x14ac:dyDescent="0.15">
      <c r="A117" s="55" t="s">
        <v>41</v>
      </c>
      <c r="B117" s="236" t="s">
        <v>338</v>
      </c>
      <c r="C117" s="151">
        <v>2018</v>
      </c>
      <c r="D117" s="56" t="s">
        <v>359</v>
      </c>
      <c r="E117" s="236" t="s">
        <v>171</v>
      </c>
      <c r="F117" s="236" t="s">
        <v>302</v>
      </c>
      <c r="G117" s="55" t="s">
        <v>42</v>
      </c>
      <c r="H117" s="55" t="s">
        <v>155</v>
      </c>
      <c r="I117" s="55" t="s">
        <v>153</v>
      </c>
      <c r="J117" s="55" t="s">
        <v>38</v>
      </c>
      <c r="K117" s="55" t="s">
        <v>154</v>
      </c>
      <c r="L117" s="236">
        <v>2</v>
      </c>
      <c r="N117" s="236">
        <v>1</v>
      </c>
      <c r="O117" s="55">
        <v>0.65</v>
      </c>
      <c r="P117" s="55">
        <v>0.75</v>
      </c>
      <c r="Q117" s="57">
        <f t="shared" si="5"/>
        <v>0.7</v>
      </c>
      <c r="R117" s="236">
        <v>14.2</v>
      </c>
      <c r="S117" s="55">
        <v>134</v>
      </c>
      <c r="T117" s="57">
        <f t="shared" si="7"/>
        <v>25</v>
      </c>
      <c r="U117" s="236">
        <v>137</v>
      </c>
      <c r="V117" s="58">
        <f t="shared" si="6"/>
        <v>3425</v>
      </c>
      <c r="W117" s="236">
        <v>1</v>
      </c>
      <c r="X117" s="55" t="s">
        <v>39</v>
      </c>
      <c r="Y117" s="55" t="s">
        <v>50</v>
      </c>
      <c r="Z117" s="55" t="s">
        <v>84</v>
      </c>
      <c r="AA117" s="55" t="s">
        <v>69</v>
      </c>
      <c r="AB117" s="39" t="s">
        <v>341</v>
      </c>
    </row>
    <row r="118" spans="1:28" x14ac:dyDescent="0.15">
      <c r="A118" s="55" t="s">
        <v>41</v>
      </c>
      <c r="B118" s="236" t="s">
        <v>338</v>
      </c>
      <c r="C118" s="151">
        <v>2018</v>
      </c>
      <c r="D118" s="56" t="s">
        <v>359</v>
      </c>
      <c r="E118" s="236" t="s">
        <v>171</v>
      </c>
      <c r="F118" s="236" t="s">
        <v>302</v>
      </c>
      <c r="G118" s="55" t="s">
        <v>42</v>
      </c>
      <c r="H118" s="55" t="s">
        <v>155</v>
      </c>
      <c r="I118" s="55" t="s">
        <v>153</v>
      </c>
      <c r="J118" s="55" t="s">
        <v>38</v>
      </c>
      <c r="K118" s="55" t="s">
        <v>154</v>
      </c>
      <c r="L118" s="236">
        <v>3</v>
      </c>
      <c r="N118" s="236">
        <v>1</v>
      </c>
      <c r="O118" s="55">
        <v>0.95</v>
      </c>
      <c r="P118" s="55">
        <v>0.8</v>
      </c>
      <c r="Q118" s="57">
        <f t="shared" si="5"/>
        <v>0.875</v>
      </c>
      <c r="R118" s="236">
        <v>14.3</v>
      </c>
      <c r="S118" s="55">
        <v>135</v>
      </c>
      <c r="T118" s="57">
        <f t="shared" si="7"/>
        <v>25</v>
      </c>
      <c r="U118" s="236">
        <v>137</v>
      </c>
      <c r="V118" s="58">
        <f t="shared" si="6"/>
        <v>3425</v>
      </c>
      <c r="W118" s="236">
        <v>1</v>
      </c>
      <c r="X118" s="55" t="s">
        <v>39</v>
      </c>
      <c r="Y118" s="55" t="s">
        <v>50</v>
      </c>
      <c r="Z118" s="55" t="s">
        <v>84</v>
      </c>
      <c r="AA118" s="55" t="s">
        <v>69</v>
      </c>
      <c r="AB118" s="39" t="s">
        <v>341</v>
      </c>
    </row>
    <row r="119" spans="1:28" x14ac:dyDescent="0.15">
      <c r="A119" s="55" t="s">
        <v>41</v>
      </c>
      <c r="B119" s="236" t="s">
        <v>338</v>
      </c>
      <c r="C119" s="151">
        <v>2018</v>
      </c>
      <c r="D119" s="56" t="s">
        <v>359</v>
      </c>
      <c r="E119" s="236" t="s">
        <v>171</v>
      </c>
      <c r="F119" s="236" t="s">
        <v>302</v>
      </c>
      <c r="G119" s="55" t="s">
        <v>42</v>
      </c>
      <c r="H119" s="55" t="s">
        <v>155</v>
      </c>
      <c r="I119" s="55" t="s">
        <v>153</v>
      </c>
      <c r="J119" s="55" t="s">
        <v>38</v>
      </c>
      <c r="K119" s="55" t="s">
        <v>154</v>
      </c>
      <c r="L119" s="236">
        <v>1</v>
      </c>
      <c r="N119" s="236">
        <v>4</v>
      </c>
      <c r="O119" s="236">
        <v>1</v>
      </c>
      <c r="P119" s="236">
        <v>0.85</v>
      </c>
      <c r="Q119" s="57">
        <f t="shared" si="5"/>
        <v>0.92500000000000004</v>
      </c>
      <c r="R119" s="236">
        <v>16.5</v>
      </c>
      <c r="S119" s="236">
        <v>130</v>
      </c>
      <c r="T119" s="57">
        <f t="shared" si="7"/>
        <v>25</v>
      </c>
      <c r="U119" s="236">
        <v>515</v>
      </c>
      <c r="V119" s="58">
        <f t="shared" si="6"/>
        <v>3218.75</v>
      </c>
      <c r="W119" s="236">
        <v>1</v>
      </c>
      <c r="X119" s="55" t="s">
        <v>39</v>
      </c>
      <c r="Y119" s="55" t="s">
        <v>50</v>
      </c>
      <c r="Z119" s="55" t="s">
        <v>84</v>
      </c>
      <c r="AA119" s="55" t="s">
        <v>69</v>
      </c>
      <c r="AB119" s="39" t="s">
        <v>341</v>
      </c>
    </row>
    <row r="120" spans="1:28" x14ac:dyDescent="0.15">
      <c r="A120" s="55" t="s">
        <v>41</v>
      </c>
      <c r="B120" s="236" t="s">
        <v>338</v>
      </c>
      <c r="C120" s="151">
        <v>2018</v>
      </c>
      <c r="D120" s="56" t="s">
        <v>359</v>
      </c>
      <c r="E120" s="236" t="s">
        <v>171</v>
      </c>
      <c r="F120" s="236" t="s">
        <v>302</v>
      </c>
      <c r="G120" s="55" t="s">
        <v>42</v>
      </c>
      <c r="H120" s="55" t="s">
        <v>155</v>
      </c>
      <c r="I120" s="55" t="s">
        <v>153</v>
      </c>
      <c r="J120" s="55" t="s">
        <v>38</v>
      </c>
      <c r="K120" s="55" t="s">
        <v>154</v>
      </c>
      <c r="L120" s="236">
        <v>2</v>
      </c>
      <c r="N120" s="236">
        <v>4</v>
      </c>
      <c r="O120" s="236">
        <v>0.85</v>
      </c>
      <c r="P120" s="236">
        <v>0.9</v>
      </c>
      <c r="Q120" s="57">
        <f t="shared" si="5"/>
        <v>0.875</v>
      </c>
      <c r="R120" s="236">
        <v>14.9</v>
      </c>
      <c r="S120" s="236">
        <v>129</v>
      </c>
      <c r="T120" s="57">
        <f t="shared" si="7"/>
        <v>25</v>
      </c>
      <c r="U120" s="236">
        <v>515</v>
      </c>
      <c r="V120" s="58">
        <f t="shared" si="6"/>
        <v>3218.75</v>
      </c>
      <c r="W120" s="236">
        <v>1</v>
      </c>
      <c r="X120" s="55" t="s">
        <v>39</v>
      </c>
      <c r="Y120" s="55" t="s">
        <v>50</v>
      </c>
      <c r="Z120" s="55" t="s">
        <v>84</v>
      </c>
      <c r="AA120" s="55" t="s">
        <v>69</v>
      </c>
      <c r="AB120" s="39" t="s">
        <v>341</v>
      </c>
    </row>
    <row r="121" spans="1:28" x14ac:dyDescent="0.15">
      <c r="A121" s="55" t="s">
        <v>41</v>
      </c>
      <c r="B121" s="236" t="s">
        <v>338</v>
      </c>
      <c r="C121" s="151">
        <v>2018</v>
      </c>
      <c r="D121" s="56" t="s">
        <v>359</v>
      </c>
      <c r="E121" s="236" t="s">
        <v>171</v>
      </c>
      <c r="F121" s="236" t="s">
        <v>302</v>
      </c>
      <c r="G121" s="55" t="s">
        <v>42</v>
      </c>
      <c r="H121" s="55" t="s">
        <v>155</v>
      </c>
      <c r="I121" s="55" t="s">
        <v>153</v>
      </c>
      <c r="J121" s="55" t="s">
        <v>38</v>
      </c>
      <c r="K121" s="55" t="s">
        <v>154</v>
      </c>
      <c r="L121" s="236">
        <v>3</v>
      </c>
      <c r="N121" s="236">
        <v>4</v>
      </c>
      <c r="O121" s="236">
        <v>0.65</v>
      </c>
      <c r="P121" s="236">
        <v>0.75</v>
      </c>
      <c r="Q121" s="57">
        <f t="shared" si="5"/>
        <v>0.7</v>
      </c>
      <c r="R121" s="236">
        <v>15.8</v>
      </c>
      <c r="S121" s="236">
        <v>128</v>
      </c>
      <c r="T121" s="57">
        <f t="shared" si="7"/>
        <v>27</v>
      </c>
      <c r="U121" s="236">
        <v>515</v>
      </c>
      <c r="V121" s="58">
        <f t="shared" si="6"/>
        <v>3476.25</v>
      </c>
      <c r="W121" s="236">
        <v>1</v>
      </c>
      <c r="X121" s="55" t="s">
        <v>39</v>
      </c>
      <c r="Y121" s="55" t="s">
        <v>50</v>
      </c>
      <c r="Z121" s="55" t="s">
        <v>84</v>
      </c>
      <c r="AA121" s="55" t="s">
        <v>69</v>
      </c>
      <c r="AB121" s="39" t="s">
        <v>341</v>
      </c>
    </row>
    <row r="122" spans="1:28" x14ac:dyDescent="0.15">
      <c r="A122" s="55" t="s">
        <v>41</v>
      </c>
      <c r="B122" s="236" t="s">
        <v>338</v>
      </c>
      <c r="C122" s="151">
        <v>2018</v>
      </c>
      <c r="D122" s="56" t="s">
        <v>359</v>
      </c>
      <c r="E122" s="236" t="s">
        <v>293</v>
      </c>
      <c r="F122" s="236" t="s">
        <v>298</v>
      </c>
      <c r="G122" s="55" t="s">
        <v>42</v>
      </c>
      <c r="H122" s="55" t="s">
        <v>165</v>
      </c>
      <c r="I122" s="55" t="s">
        <v>153</v>
      </c>
      <c r="J122" s="55" t="s">
        <v>38</v>
      </c>
      <c r="K122" s="55" t="s">
        <v>154</v>
      </c>
      <c r="L122" s="236">
        <v>1</v>
      </c>
      <c r="N122" s="236">
        <v>1</v>
      </c>
      <c r="O122" s="236">
        <v>0.4</v>
      </c>
      <c r="P122" s="236">
        <v>0.65</v>
      </c>
      <c r="Q122" s="57">
        <f t="shared" si="5"/>
        <v>0.52500000000000002</v>
      </c>
      <c r="R122" s="236">
        <v>16.7</v>
      </c>
      <c r="S122" s="236">
        <v>102</v>
      </c>
      <c r="T122" s="57">
        <f t="shared" si="7"/>
        <v>33</v>
      </c>
      <c r="U122" s="236">
        <v>104</v>
      </c>
      <c r="V122" s="58">
        <f t="shared" si="6"/>
        <v>3432</v>
      </c>
      <c r="W122" s="236">
        <v>2</v>
      </c>
      <c r="X122" s="55" t="s">
        <v>46</v>
      </c>
      <c r="Y122" s="55" t="s">
        <v>84</v>
      </c>
      <c r="Z122" s="55" t="s">
        <v>90</v>
      </c>
      <c r="AA122" s="55" t="s">
        <v>78</v>
      </c>
      <c r="AB122" s="39" t="s">
        <v>341</v>
      </c>
    </row>
    <row r="123" spans="1:28" x14ac:dyDescent="0.15">
      <c r="A123" s="55" t="s">
        <v>41</v>
      </c>
      <c r="B123" s="236" t="s">
        <v>338</v>
      </c>
      <c r="C123" s="151">
        <v>2018</v>
      </c>
      <c r="D123" s="56" t="s">
        <v>359</v>
      </c>
      <c r="E123" s="236" t="s">
        <v>293</v>
      </c>
      <c r="F123" s="236" t="s">
        <v>298</v>
      </c>
      <c r="G123" s="55" t="s">
        <v>42</v>
      </c>
      <c r="H123" s="55" t="s">
        <v>165</v>
      </c>
      <c r="I123" s="55" t="s">
        <v>153</v>
      </c>
      <c r="J123" s="55" t="s">
        <v>38</v>
      </c>
      <c r="K123" s="55" t="s">
        <v>154</v>
      </c>
      <c r="L123" s="236">
        <v>2</v>
      </c>
      <c r="N123" s="236">
        <v>1</v>
      </c>
      <c r="O123" s="236">
        <v>0.5</v>
      </c>
      <c r="P123" s="236">
        <v>0.5</v>
      </c>
      <c r="Q123" s="57">
        <f t="shared" si="5"/>
        <v>0.5</v>
      </c>
      <c r="R123" s="236">
        <v>15.8</v>
      </c>
      <c r="S123" s="236">
        <v>110</v>
      </c>
      <c r="T123" s="57">
        <f t="shared" si="7"/>
        <v>33</v>
      </c>
      <c r="U123" s="236">
        <v>104</v>
      </c>
      <c r="V123" s="58">
        <f t="shared" si="6"/>
        <v>3432</v>
      </c>
      <c r="W123" s="236">
        <v>2</v>
      </c>
      <c r="X123" s="55" t="s">
        <v>46</v>
      </c>
      <c r="Y123" s="55" t="s">
        <v>84</v>
      </c>
      <c r="Z123" s="55" t="s">
        <v>90</v>
      </c>
      <c r="AA123" s="55" t="s">
        <v>78</v>
      </c>
      <c r="AB123" s="39" t="s">
        <v>341</v>
      </c>
    </row>
    <row r="124" spans="1:28" x14ac:dyDescent="0.15">
      <c r="A124" s="55" t="s">
        <v>41</v>
      </c>
      <c r="B124" s="236" t="s">
        <v>338</v>
      </c>
      <c r="C124" s="151">
        <v>2018</v>
      </c>
      <c r="D124" s="56" t="s">
        <v>359</v>
      </c>
      <c r="E124" s="236" t="s">
        <v>293</v>
      </c>
      <c r="F124" s="236" t="s">
        <v>298</v>
      </c>
      <c r="G124" s="55" t="s">
        <v>42</v>
      </c>
      <c r="H124" s="55" t="s">
        <v>165</v>
      </c>
      <c r="I124" s="55" t="s">
        <v>153</v>
      </c>
      <c r="J124" s="55" t="s">
        <v>38</v>
      </c>
      <c r="K124" s="55" t="s">
        <v>154</v>
      </c>
      <c r="L124" s="236">
        <v>3</v>
      </c>
      <c r="N124" s="236">
        <v>1</v>
      </c>
      <c r="O124" s="236">
        <v>0.35</v>
      </c>
      <c r="P124" s="236">
        <v>0.4</v>
      </c>
      <c r="Q124" s="57">
        <f t="shared" si="5"/>
        <v>0.375</v>
      </c>
      <c r="R124" s="236">
        <v>16</v>
      </c>
      <c r="S124" s="236">
        <v>107</v>
      </c>
      <c r="T124" s="57">
        <f t="shared" si="7"/>
        <v>33</v>
      </c>
      <c r="U124" s="236">
        <v>104</v>
      </c>
      <c r="V124" s="58">
        <f t="shared" si="6"/>
        <v>3432</v>
      </c>
      <c r="W124" s="236">
        <v>2</v>
      </c>
      <c r="X124" s="55" t="s">
        <v>46</v>
      </c>
      <c r="Y124" s="55" t="s">
        <v>84</v>
      </c>
      <c r="Z124" s="55" t="s">
        <v>90</v>
      </c>
      <c r="AA124" s="55" t="s">
        <v>78</v>
      </c>
      <c r="AB124" s="39" t="s">
        <v>341</v>
      </c>
    </row>
    <row r="125" spans="1:28" x14ac:dyDescent="0.15">
      <c r="A125" s="55" t="s">
        <v>41</v>
      </c>
      <c r="B125" s="236" t="s">
        <v>338</v>
      </c>
      <c r="C125" s="151">
        <v>2018</v>
      </c>
      <c r="D125" s="56" t="s">
        <v>359</v>
      </c>
      <c r="E125" s="236" t="s">
        <v>293</v>
      </c>
      <c r="F125" s="236" t="s">
        <v>298</v>
      </c>
      <c r="G125" s="55" t="s">
        <v>42</v>
      </c>
      <c r="H125" s="55" t="s">
        <v>155</v>
      </c>
      <c r="I125" s="55" t="s">
        <v>153</v>
      </c>
      <c r="J125" s="55" t="s">
        <v>38</v>
      </c>
      <c r="K125" s="55" t="s">
        <v>154</v>
      </c>
      <c r="L125" s="236">
        <v>1</v>
      </c>
      <c r="N125" s="236">
        <v>1</v>
      </c>
      <c r="O125" s="55">
        <v>1</v>
      </c>
      <c r="P125" s="55">
        <v>0.95</v>
      </c>
      <c r="Q125" s="57">
        <f t="shared" si="5"/>
        <v>0.97499999999999998</v>
      </c>
      <c r="R125" s="236">
        <v>12.8</v>
      </c>
      <c r="S125" s="55">
        <v>105</v>
      </c>
      <c r="T125" s="57">
        <f t="shared" si="7"/>
        <v>33</v>
      </c>
      <c r="U125" s="236">
        <v>104</v>
      </c>
      <c r="V125" s="58">
        <f t="shared" si="6"/>
        <v>3432</v>
      </c>
      <c r="W125" s="236">
        <v>2</v>
      </c>
      <c r="X125" s="55" t="s">
        <v>46</v>
      </c>
      <c r="Y125" s="55" t="s">
        <v>84</v>
      </c>
      <c r="Z125" s="55" t="s">
        <v>90</v>
      </c>
      <c r="AA125" s="55" t="s">
        <v>78</v>
      </c>
      <c r="AB125" s="39" t="s">
        <v>341</v>
      </c>
    </row>
    <row r="126" spans="1:28" x14ac:dyDescent="0.15">
      <c r="A126" s="55" t="s">
        <v>41</v>
      </c>
      <c r="B126" s="236" t="s">
        <v>338</v>
      </c>
      <c r="C126" s="151">
        <v>2018</v>
      </c>
      <c r="D126" s="56" t="s">
        <v>359</v>
      </c>
      <c r="E126" s="236" t="s">
        <v>293</v>
      </c>
      <c r="F126" s="236" t="s">
        <v>298</v>
      </c>
      <c r="G126" s="55" t="s">
        <v>42</v>
      </c>
      <c r="H126" s="55" t="s">
        <v>155</v>
      </c>
      <c r="I126" s="55" t="s">
        <v>153</v>
      </c>
      <c r="J126" s="55" t="s">
        <v>38</v>
      </c>
      <c r="K126" s="55" t="s">
        <v>154</v>
      </c>
      <c r="L126" s="236">
        <v>2</v>
      </c>
      <c r="N126" s="236">
        <v>1</v>
      </c>
      <c r="O126" s="55">
        <v>1.1499999999999999</v>
      </c>
      <c r="P126" s="55">
        <v>1</v>
      </c>
      <c r="Q126" s="57">
        <f t="shared" si="5"/>
        <v>1.075</v>
      </c>
      <c r="R126" s="236">
        <v>15.1</v>
      </c>
      <c r="S126" s="55">
        <v>111</v>
      </c>
      <c r="T126" s="57">
        <f t="shared" si="7"/>
        <v>33</v>
      </c>
      <c r="U126" s="236">
        <v>104</v>
      </c>
      <c r="V126" s="58">
        <f t="shared" si="6"/>
        <v>3432</v>
      </c>
      <c r="W126" s="236">
        <v>2</v>
      </c>
      <c r="X126" s="55" t="s">
        <v>46</v>
      </c>
      <c r="Y126" s="55" t="s">
        <v>84</v>
      </c>
      <c r="Z126" s="55" t="s">
        <v>90</v>
      </c>
      <c r="AA126" s="55" t="s">
        <v>78</v>
      </c>
      <c r="AB126" s="39" t="s">
        <v>341</v>
      </c>
    </row>
    <row r="127" spans="1:28" x14ac:dyDescent="0.15">
      <c r="A127" s="55" t="s">
        <v>41</v>
      </c>
      <c r="B127" s="236" t="s">
        <v>338</v>
      </c>
      <c r="C127" s="151">
        <v>2018</v>
      </c>
      <c r="D127" s="56" t="s">
        <v>359</v>
      </c>
      <c r="E127" s="236" t="s">
        <v>293</v>
      </c>
      <c r="F127" s="236" t="s">
        <v>298</v>
      </c>
      <c r="G127" s="55" t="s">
        <v>42</v>
      </c>
      <c r="H127" s="55" t="s">
        <v>155</v>
      </c>
      <c r="I127" s="55" t="s">
        <v>153</v>
      </c>
      <c r="J127" s="55" t="s">
        <v>38</v>
      </c>
      <c r="K127" s="55" t="s">
        <v>154</v>
      </c>
      <c r="L127" s="236">
        <v>3</v>
      </c>
      <c r="N127" s="236">
        <v>1</v>
      </c>
      <c r="O127" s="55">
        <v>1.2</v>
      </c>
      <c r="P127" s="55">
        <v>1.1499999999999999</v>
      </c>
      <c r="Q127" s="57">
        <f t="shared" si="5"/>
        <v>1.1749999999999998</v>
      </c>
      <c r="R127" s="236">
        <v>15.7</v>
      </c>
      <c r="S127" s="55">
        <v>104</v>
      </c>
      <c r="T127" s="57">
        <f t="shared" si="7"/>
        <v>33</v>
      </c>
      <c r="U127" s="236">
        <v>104</v>
      </c>
      <c r="V127" s="58">
        <f t="shared" si="6"/>
        <v>3432</v>
      </c>
      <c r="W127" s="236">
        <v>2</v>
      </c>
      <c r="X127" s="55" t="s">
        <v>46</v>
      </c>
      <c r="Y127" s="55" t="s">
        <v>84</v>
      </c>
      <c r="Z127" s="55" t="s">
        <v>90</v>
      </c>
      <c r="AA127" s="55" t="s">
        <v>78</v>
      </c>
      <c r="AB127" s="39" t="s">
        <v>341</v>
      </c>
    </row>
    <row r="128" spans="1:28" x14ac:dyDescent="0.15">
      <c r="A128" s="55"/>
      <c r="C128" s="151"/>
      <c r="D128" s="56"/>
      <c r="G128" s="55"/>
      <c r="H128" s="55"/>
      <c r="I128" s="55"/>
      <c r="J128" s="55"/>
      <c r="K128" s="55"/>
      <c r="O128" s="55"/>
      <c r="P128" s="55"/>
      <c r="X128" s="55"/>
      <c r="Y128" s="55"/>
      <c r="Z128" s="55"/>
      <c r="AA128" s="55"/>
    </row>
    <row r="129" spans="11:25" x14ac:dyDescent="0.15">
      <c r="K129" s="55"/>
      <c r="Y129" s="55"/>
    </row>
    <row r="130" spans="11:25" x14ac:dyDescent="0.15">
      <c r="Y130" s="55"/>
    </row>
  </sheetData>
  <autoFilter ref="A1:BA128"/>
  <dataConsolidate/>
  <phoneticPr fontId="3"/>
  <dataValidations count="13">
    <dataValidation operator="equal" allowBlank="1" showInputMessage="1" showErrorMessage="1" sqref="B2:B128"/>
    <dataValidation type="decimal" allowBlank="1" showInputMessage="1" showErrorMessage="1" error="硬度を正しく入力して下さい。" sqref="O2:P313">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29">
      <formula1>$AR$2:$AR$23</formula1>
    </dataValidation>
    <dataValidation type="list" allowBlank="1" showInputMessage="1" showErrorMessage="1" sqref="J2:J313">
      <formula1>$AP$2:$AP$19</formula1>
    </dataValidation>
    <dataValidation type="list" allowBlank="1" showInputMessage="1" showErrorMessage="1" sqref="A2:A313">
      <formula1>$AE$2:$AE$16</formula1>
    </dataValidation>
    <dataValidation type="list" allowBlank="1" showInputMessage="1" showErrorMessage="1" sqref="X2:X313">
      <formula1>$AT$2:$AT$3</formula1>
    </dataValidation>
    <dataValidation type="list" allowBlank="1" showInputMessage="1" showErrorMessage="1" sqref="I2:I313">
      <formula1>$AN$5:$AN$6</formula1>
    </dataValidation>
    <dataValidation type="list" allowBlank="1" showInputMessage="1" showErrorMessage="1" sqref="G2:G313">
      <formula1>$AJ$2:$AJ$4</formula1>
    </dataValidation>
    <dataValidation type="list" allowBlank="1" showInputMessage="1" showErrorMessage="1" sqref="H2:H313">
      <formula1>$AL$2:$AL$8</formula1>
    </dataValidation>
    <dataValidation type="list" allowBlank="1" showInputMessage="1" showErrorMessage="1" sqref="K130:K313">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70" zoomScaleNormal="70" workbookViewId="0">
      <selection activeCell="N26" sqref="N26"/>
    </sheetView>
  </sheetViews>
  <sheetFormatPr defaultRowHeight="13.5" x14ac:dyDescent="0.15"/>
  <cols>
    <col min="1" max="1" width="9" style="207"/>
    <col min="2" max="2" width="9" style="215"/>
    <col min="3" max="3" width="9" style="207"/>
    <col min="4" max="4" width="10.5" style="207" bestFit="1" customWidth="1"/>
    <col min="5" max="13" width="9" style="207"/>
    <col min="14" max="14" width="9.5" style="207" bestFit="1" customWidth="1"/>
    <col min="15" max="16" width="9" style="207"/>
    <col min="17" max="17" width="9" style="216"/>
    <col min="18" max="19" width="9" style="207"/>
    <col min="20" max="20" width="9" style="216"/>
    <col min="21" max="21" width="9" style="207"/>
    <col min="22" max="22" width="9" style="216"/>
    <col min="23" max="27" width="9" style="207"/>
    <col min="28" max="28" width="9" style="215"/>
    <col min="29" max="32" width="9" style="207"/>
    <col min="33" max="33" width="15.875" style="207" bestFit="1" customWidth="1"/>
    <col min="34" max="34" width="11.375" style="207" bestFit="1" customWidth="1"/>
    <col min="35" max="259" width="9" style="207"/>
    <col min="260" max="260" width="10.5" style="207" bestFit="1" customWidth="1"/>
    <col min="261" max="269" width="9" style="207"/>
    <col min="270" max="270" width="9.5" style="207" bestFit="1" customWidth="1"/>
    <col min="271" max="288" width="9" style="207"/>
    <col min="289" max="289" width="15.875" style="207" bestFit="1" customWidth="1"/>
    <col min="290" max="290" width="11.375" style="207" bestFit="1" customWidth="1"/>
    <col min="291" max="515" width="9" style="207"/>
    <col min="516" max="516" width="10.5" style="207" bestFit="1" customWidth="1"/>
    <col min="517" max="525" width="9" style="207"/>
    <col min="526" max="526" width="9.5" style="207" bestFit="1" customWidth="1"/>
    <col min="527" max="544" width="9" style="207"/>
    <col min="545" max="545" width="15.875" style="207" bestFit="1" customWidth="1"/>
    <col min="546" max="546" width="11.375" style="207" bestFit="1" customWidth="1"/>
    <col min="547" max="771" width="9" style="207"/>
    <col min="772" max="772" width="10.5" style="207" bestFit="1" customWidth="1"/>
    <col min="773" max="781" width="9" style="207"/>
    <col min="782" max="782" width="9.5" style="207" bestFit="1" customWidth="1"/>
    <col min="783" max="800" width="9" style="207"/>
    <col min="801" max="801" width="15.875" style="207" bestFit="1" customWidth="1"/>
    <col min="802" max="802" width="11.375" style="207" bestFit="1" customWidth="1"/>
    <col min="803" max="1027" width="9" style="207"/>
    <col min="1028" max="1028" width="10.5" style="207" bestFit="1" customWidth="1"/>
    <col min="1029" max="1037" width="9" style="207"/>
    <col min="1038" max="1038" width="9.5" style="207" bestFit="1" customWidth="1"/>
    <col min="1039" max="1056" width="9" style="207"/>
    <col min="1057" max="1057" width="15.875" style="207" bestFit="1" customWidth="1"/>
    <col min="1058" max="1058" width="11.375" style="207" bestFit="1" customWidth="1"/>
    <col min="1059" max="1283" width="9" style="207"/>
    <col min="1284" max="1284" width="10.5" style="207" bestFit="1" customWidth="1"/>
    <col min="1285" max="1293" width="9" style="207"/>
    <col min="1294" max="1294" width="9.5" style="207" bestFit="1" customWidth="1"/>
    <col min="1295" max="1312" width="9" style="207"/>
    <col min="1313" max="1313" width="15.875" style="207" bestFit="1" customWidth="1"/>
    <col min="1314" max="1314" width="11.375" style="207" bestFit="1" customWidth="1"/>
    <col min="1315" max="1539" width="9" style="207"/>
    <col min="1540" max="1540" width="10.5" style="207" bestFit="1" customWidth="1"/>
    <col min="1541" max="1549" width="9" style="207"/>
    <col min="1550" max="1550" width="9.5" style="207" bestFit="1" customWidth="1"/>
    <col min="1551" max="1568" width="9" style="207"/>
    <col min="1569" max="1569" width="15.875" style="207" bestFit="1" customWidth="1"/>
    <col min="1570" max="1570" width="11.375" style="207" bestFit="1" customWidth="1"/>
    <col min="1571" max="1795" width="9" style="207"/>
    <col min="1796" max="1796" width="10.5" style="207" bestFit="1" customWidth="1"/>
    <col min="1797" max="1805" width="9" style="207"/>
    <col min="1806" max="1806" width="9.5" style="207" bestFit="1" customWidth="1"/>
    <col min="1807" max="1824" width="9" style="207"/>
    <col min="1825" max="1825" width="15.875" style="207" bestFit="1" customWidth="1"/>
    <col min="1826" max="1826" width="11.375" style="207" bestFit="1" customWidth="1"/>
    <col min="1827" max="2051" width="9" style="207"/>
    <col min="2052" max="2052" width="10.5" style="207" bestFit="1" customWidth="1"/>
    <col min="2053" max="2061" width="9" style="207"/>
    <col min="2062" max="2062" width="9.5" style="207" bestFit="1" customWidth="1"/>
    <col min="2063" max="2080" width="9" style="207"/>
    <col min="2081" max="2081" width="15.875" style="207" bestFit="1" customWidth="1"/>
    <col min="2082" max="2082" width="11.375" style="207" bestFit="1" customWidth="1"/>
    <col min="2083" max="2307" width="9" style="207"/>
    <col min="2308" max="2308" width="10.5" style="207" bestFit="1" customWidth="1"/>
    <col min="2309" max="2317" width="9" style="207"/>
    <col min="2318" max="2318" width="9.5" style="207" bestFit="1" customWidth="1"/>
    <col min="2319" max="2336" width="9" style="207"/>
    <col min="2337" max="2337" width="15.875" style="207" bestFit="1" customWidth="1"/>
    <col min="2338" max="2338" width="11.375" style="207" bestFit="1" customWidth="1"/>
    <col min="2339" max="2563" width="9" style="207"/>
    <col min="2564" max="2564" width="10.5" style="207" bestFit="1" customWidth="1"/>
    <col min="2565" max="2573" width="9" style="207"/>
    <col min="2574" max="2574" width="9.5" style="207" bestFit="1" customWidth="1"/>
    <col min="2575" max="2592" width="9" style="207"/>
    <col min="2593" max="2593" width="15.875" style="207" bestFit="1" customWidth="1"/>
    <col min="2594" max="2594" width="11.375" style="207" bestFit="1" customWidth="1"/>
    <col min="2595" max="2819" width="9" style="207"/>
    <col min="2820" max="2820" width="10.5" style="207" bestFit="1" customWidth="1"/>
    <col min="2821" max="2829" width="9" style="207"/>
    <col min="2830" max="2830" width="9.5" style="207" bestFit="1" customWidth="1"/>
    <col min="2831" max="2848" width="9" style="207"/>
    <col min="2849" max="2849" width="15.875" style="207" bestFit="1" customWidth="1"/>
    <col min="2850" max="2850" width="11.375" style="207" bestFit="1" customWidth="1"/>
    <col min="2851" max="3075" width="9" style="207"/>
    <col min="3076" max="3076" width="10.5" style="207" bestFit="1" customWidth="1"/>
    <col min="3077" max="3085" width="9" style="207"/>
    <col min="3086" max="3086" width="9.5" style="207" bestFit="1" customWidth="1"/>
    <col min="3087" max="3104" width="9" style="207"/>
    <col min="3105" max="3105" width="15.875" style="207" bestFit="1" customWidth="1"/>
    <col min="3106" max="3106" width="11.375" style="207" bestFit="1" customWidth="1"/>
    <col min="3107" max="3331" width="9" style="207"/>
    <col min="3332" max="3332" width="10.5" style="207" bestFit="1" customWidth="1"/>
    <col min="3333" max="3341" width="9" style="207"/>
    <col min="3342" max="3342" width="9.5" style="207" bestFit="1" customWidth="1"/>
    <col min="3343" max="3360" width="9" style="207"/>
    <col min="3361" max="3361" width="15.875" style="207" bestFit="1" customWidth="1"/>
    <col min="3362" max="3362" width="11.375" style="207" bestFit="1" customWidth="1"/>
    <col min="3363" max="3587" width="9" style="207"/>
    <col min="3588" max="3588" width="10.5" style="207" bestFit="1" customWidth="1"/>
    <col min="3589" max="3597" width="9" style="207"/>
    <col min="3598" max="3598" width="9.5" style="207" bestFit="1" customWidth="1"/>
    <col min="3599" max="3616" width="9" style="207"/>
    <col min="3617" max="3617" width="15.875" style="207" bestFit="1" customWidth="1"/>
    <col min="3618" max="3618" width="11.375" style="207" bestFit="1" customWidth="1"/>
    <col min="3619" max="3843" width="9" style="207"/>
    <col min="3844" max="3844" width="10.5" style="207" bestFit="1" customWidth="1"/>
    <col min="3845" max="3853" width="9" style="207"/>
    <col min="3854" max="3854" width="9.5" style="207" bestFit="1" customWidth="1"/>
    <col min="3855" max="3872" width="9" style="207"/>
    <col min="3873" max="3873" width="15.875" style="207" bestFit="1" customWidth="1"/>
    <col min="3874" max="3874" width="11.375" style="207" bestFit="1" customWidth="1"/>
    <col min="3875" max="4099" width="9" style="207"/>
    <col min="4100" max="4100" width="10.5" style="207" bestFit="1" customWidth="1"/>
    <col min="4101" max="4109" width="9" style="207"/>
    <col min="4110" max="4110" width="9.5" style="207" bestFit="1" customWidth="1"/>
    <col min="4111" max="4128" width="9" style="207"/>
    <col min="4129" max="4129" width="15.875" style="207" bestFit="1" customWidth="1"/>
    <col min="4130" max="4130" width="11.375" style="207" bestFit="1" customWidth="1"/>
    <col min="4131" max="4355" width="9" style="207"/>
    <col min="4356" max="4356" width="10.5" style="207" bestFit="1" customWidth="1"/>
    <col min="4357" max="4365" width="9" style="207"/>
    <col min="4366" max="4366" width="9.5" style="207" bestFit="1" customWidth="1"/>
    <col min="4367" max="4384" width="9" style="207"/>
    <col min="4385" max="4385" width="15.875" style="207" bestFit="1" customWidth="1"/>
    <col min="4386" max="4386" width="11.375" style="207" bestFit="1" customWidth="1"/>
    <col min="4387" max="4611" width="9" style="207"/>
    <col min="4612" max="4612" width="10.5" style="207" bestFit="1" customWidth="1"/>
    <col min="4613" max="4621" width="9" style="207"/>
    <col min="4622" max="4622" width="9.5" style="207" bestFit="1" customWidth="1"/>
    <col min="4623" max="4640" width="9" style="207"/>
    <col min="4641" max="4641" width="15.875" style="207" bestFit="1" customWidth="1"/>
    <col min="4642" max="4642" width="11.375" style="207" bestFit="1" customWidth="1"/>
    <col min="4643" max="4867" width="9" style="207"/>
    <col min="4868" max="4868" width="10.5" style="207" bestFit="1" customWidth="1"/>
    <col min="4869" max="4877" width="9" style="207"/>
    <col min="4878" max="4878" width="9.5" style="207" bestFit="1" customWidth="1"/>
    <col min="4879" max="4896" width="9" style="207"/>
    <col min="4897" max="4897" width="15.875" style="207" bestFit="1" customWidth="1"/>
    <col min="4898" max="4898" width="11.375" style="207" bestFit="1" customWidth="1"/>
    <col min="4899" max="5123" width="9" style="207"/>
    <col min="5124" max="5124" width="10.5" style="207" bestFit="1" customWidth="1"/>
    <col min="5125" max="5133" width="9" style="207"/>
    <col min="5134" max="5134" width="9.5" style="207" bestFit="1" customWidth="1"/>
    <col min="5135" max="5152" width="9" style="207"/>
    <col min="5153" max="5153" width="15.875" style="207" bestFit="1" customWidth="1"/>
    <col min="5154" max="5154" width="11.375" style="207" bestFit="1" customWidth="1"/>
    <col min="5155" max="5379" width="9" style="207"/>
    <col min="5380" max="5380" width="10.5" style="207" bestFit="1" customWidth="1"/>
    <col min="5381" max="5389" width="9" style="207"/>
    <col min="5390" max="5390" width="9.5" style="207" bestFit="1" customWidth="1"/>
    <col min="5391" max="5408" width="9" style="207"/>
    <col min="5409" max="5409" width="15.875" style="207" bestFit="1" customWidth="1"/>
    <col min="5410" max="5410" width="11.375" style="207" bestFit="1" customWidth="1"/>
    <col min="5411" max="5635" width="9" style="207"/>
    <col min="5636" max="5636" width="10.5" style="207" bestFit="1" customWidth="1"/>
    <col min="5637" max="5645" width="9" style="207"/>
    <col min="5646" max="5646" width="9.5" style="207" bestFit="1" customWidth="1"/>
    <col min="5647" max="5664" width="9" style="207"/>
    <col min="5665" max="5665" width="15.875" style="207" bestFit="1" customWidth="1"/>
    <col min="5666" max="5666" width="11.375" style="207" bestFit="1" customWidth="1"/>
    <col min="5667" max="5891" width="9" style="207"/>
    <col min="5892" max="5892" width="10.5" style="207" bestFit="1" customWidth="1"/>
    <col min="5893" max="5901" width="9" style="207"/>
    <col min="5902" max="5902" width="9.5" style="207" bestFit="1" customWidth="1"/>
    <col min="5903" max="5920" width="9" style="207"/>
    <col min="5921" max="5921" width="15.875" style="207" bestFit="1" customWidth="1"/>
    <col min="5922" max="5922" width="11.375" style="207" bestFit="1" customWidth="1"/>
    <col min="5923" max="6147" width="9" style="207"/>
    <col min="6148" max="6148" width="10.5" style="207" bestFit="1" customWidth="1"/>
    <col min="6149" max="6157" width="9" style="207"/>
    <col min="6158" max="6158" width="9.5" style="207" bestFit="1" customWidth="1"/>
    <col min="6159" max="6176" width="9" style="207"/>
    <col min="6177" max="6177" width="15.875" style="207" bestFit="1" customWidth="1"/>
    <col min="6178" max="6178" width="11.375" style="207" bestFit="1" customWidth="1"/>
    <col min="6179" max="6403" width="9" style="207"/>
    <col min="6404" max="6404" width="10.5" style="207" bestFit="1" customWidth="1"/>
    <col min="6405" max="6413" width="9" style="207"/>
    <col min="6414" max="6414" width="9.5" style="207" bestFit="1" customWidth="1"/>
    <col min="6415" max="6432" width="9" style="207"/>
    <col min="6433" max="6433" width="15.875" style="207" bestFit="1" customWidth="1"/>
    <col min="6434" max="6434" width="11.375" style="207" bestFit="1" customWidth="1"/>
    <col min="6435" max="6659" width="9" style="207"/>
    <col min="6660" max="6660" width="10.5" style="207" bestFit="1" customWidth="1"/>
    <col min="6661" max="6669" width="9" style="207"/>
    <col min="6670" max="6670" width="9.5" style="207" bestFit="1" customWidth="1"/>
    <col min="6671" max="6688" width="9" style="207"/>
    <col min="6689" max="6689" width="15.875" style="207" bestFit="1" customWidth="1"/>
    <col min="6690" max="6690" width="11.375" style="207" bestFit="1" customWidth="1"/>
    <col min="6691" max="6915" width="9" style="207"/>
    <col min="6916" max="6916" width="10.5" style="207" bestFit="1" customWidth="1"/>
    <col min="6917" max="6925" width="9" style="207"/>
    <col min="6926" max="6926" width="9.5" style="207" bestFit="1" customWidth="1"/>
    <col min="6927" max="6944" width="9" style="207"/>
    <col min="6945" max="6945" width="15.875" style="207" bestFit="1" customWidth="1"/>
    <col min="6946" max="6946" width="11.375" style="207" bestFit="1" customWidth="1"/>
    <col min="6947" max="7171" width="9" style="207"/>
    <col min="7172" max="7172" width="10.5" style="207" bestFit="1" customWidth="1"/>
    <col min="7173" max="7181" width="9" style="207"/>
    <col min="7182" max="7182" width="9.5" style="207" bestFit="1" customWidth="1"/>
    <col min="7183" max="7200" width="9" style="207"/>
    <col min="7201" max="7201" width="15.875" style="207" bestFit="1" customWidth="1"/>
    <col min="7202" max="7202" width="11.375" style="207" bestFit="1" customWidth="1"/>
    <col min="7203" max="7427" width="9" style="207"/>
    <col min="7428" max="7428" width="10.5" style="207" bestFit="1" customWidth="1"/>
    <col min="7429" max="7437" width="9" style="207"/>
    <col min="7438" max="7438" width="9.5" style="207" bestFit="1" customWidth="1"/>
    <col min="7439" max="7456" width="9" style="207"/>
    <col min="7457" max="7457" width="15.875" style="207" bestFit="1" customWidth="1"/>
    <col min="7458" max="7458" width="11.375" style="207" bestFit="1" customWidth="1"/>
    <col min="7459" max="7683" width="9" style="207"/>
    <col min="7684" max="7684" width="10.5" style="207" bestFit="1" customWidth="1"/>
    <col min="7685" max="7693" width="9" style="207"/>
    <col min="7694" max="7694" width="9.5" style="207" bestFit="1" customWidth="1"/>
    <col min="7695" max="7712" width="9" style="207"/>
    <col min="7713" max="7713" width="15.875" style="207" bestFit="1" customWidth="1"/>
    <col min="7714" max="7714" width="11.375" style="207" bestFit="1" customWidth="1"/>
    <col min="7715" max="7939" width="9" style="207"/>
    <col min="7940" max="7940" width="10.5" style="207" bestFit="1" customWidth="1"/>
    <col min="7941" max="7949" width="9" style="207"/>
    <col min="7950" max="7950" width="9.5" style="207" bestFit="1" customWidth="1"/>
    <col min="7951" max="7968" width="9" style="207"/>
    <col min="7969" max="7969" width="15.875" style="207" bestFit="1" customWidth="1"/>
    <col min="7970" max="7970" width="11.375" style="207" bestFit="1" customWidth="1"/>
    <col min="7971" max="8195" width="9" style="207"/>
    <col min="8196" max="8196" width="10.5" style="207" bestFit="1" customWidth="1"/>
    <col min="8197" max="8205" width="9" style="207"/>
    <col min="8206" max="8206" width="9.5" style="207" bestFit="1" customWidth="1"/>
    <col min="8207" max="8224" width="9" style="207"/>
    <col min="8225" max="8225" width="15.875" style="207" bestFit="1" customWidth="1"/>
    <col min="8226" max="8226" width="11.375" style="207" bestFit="1" customWidth="1"/>
    <col min="8227" max="8451" width="9" style="207"/>
    <col min="8452" max="8452" width="10.5" style="207" bestFit="1" customWidth="1"/>
    <col min="8453" max="8461" width="9" style="207"/>
    <col min="8462" max="8462" width="9.5" style="207" bestFit="1" customWidth="1"/>
    <col min="8463" max="8480" width="9" style="207"/>
    <col min="8481" max="8481" width="15.875" style="207" bestFit="1" customWidth="1"/>
    <col min="8482" max="8482" width="11.375" style="207" bestFit="1" customWidth="1"/>
    <col min="8483" max="8707" width="9" style="207"/>
    <col min="8708" max="8708" width="10.5" style="207" bestFit="1" customWidth="1"/>
    <col min="8709" max="8717" width="9" style="207"/>
    <col min="8718" max="8718" width="9.5" style="207" bestFit="1" customWidth="1"/>
    <col min="8719" max="8736" width="9" style="207"/>
    <col min="8737" max="8737" width="15.875" style="207" bestFit="1" customWidth="1"/>
    <col min="8738" max="8738" width="11.375" style="207" bestFit="1" customWidth="1"/>
    <col min="8739" max="8963" width="9" style="207"/>
    <col min="8964" max="8964" width="10.5" style="207" bestFit="1" customWidth="1"/>
    <col min="8965" max="8973" width="9" style="207"/>
    <col min="8974" max="8974" width="9.5" style="207" bestFit="1" customWidth="1"/>
    <col min="8975" max="8992" width="9" style="207"/>
    <col min="8993" max="8993" width="15.875" style="207" bestFit="1" customWidth="1"/>
    <col min="8994" max="8994" width="11.375" style="207" bestFit="1" customWidth="1"/>
    <col min="8995" max="9219" width="9" style="207"/>
    <col min="9220" max="9220" width="10.5" style="207" bestFit="1" customWidth="1"/>
    <col min="9221" max="9229" width="9" style="207"/>
    <col min="9230" max="9230" width="9.5" style="207" bestFit="1" customWidth="1"/>
    <col min="9231" max="9248" width="9" style="207"/>
    <col min="9249" max="9249" width="15.875" style="207" bestFit="1" customWidth="1"/>
    <col min="9250" max="9250" width="11.375" style="207" bestFit="1" customWidth="1"/>
    <col min="9251" max="9475" width="9" style="207"/>
    <col min="9476" max="9476" width="10.5" style="207" bestFit="1" customWidth="1"/>
    <col min="9477" max="9485" width="9" style="207"/>
    <col min="9486" max="9486" width="9.5" style="207" bestFit="1" customWidth="1"/>
    <col min="9487" max="9504" width="9" style="207"/>
    <col min="9505" max="9505" width="15.875" style="207" bestFit="1" customWidth="1"/>
    <col min="9506" max="9506" width="11.375" style="207" bestFit="1" customWidth="1"/>
    <col min="9507" max="9731" width="9" style="207"/>
    <col min="9732" max="9732" width="10.5" style="207" bestFit="1" customWidth="1"/>
    <col min="9733" max="9741" width="9" style="207"/>
    <col min="9742" max="9742" width="9.5" style="207" bestFit="1" customWidth="1"/>
    <col min="9743" max="9760" width="9" style="207"/>
    <col min="9761" max="9761" width="15.875" style="207" bestFit="1" customWidth="1"/>
    <col min="9762" max="9762" width="11.375" style="207" bestFit="1" customWidth="1"/>
    <col min="9763" max="9987" width="9" style="207"/>
    <col min="9988" max="9988" width="10.5" style="207" bestFit="1" customWidth="1"/>
    <col min="9989" max="9997" width="9" style="207"/>
    <col min="9998" max="9998" width="9.5" style="207" bestFit="1" customWidth="1"/>
    <col min="9999" max="10016" width="9" style="207"/>
    <col min="10017" max="10017" width="15.875" style="207" bestFit="1" customWidth="1"/>
    <col min="10018" max="10018" width="11.375" style="207" bestFit="1" customWidth="1"/>
    <col min="10019" max="10243" width="9" style="207"/>
    <col min="10244" max="10244" width="10.5" style="207" bestFit="1" customWidth="1"/>
    <col min="10245" max="10253" width="9" style="207"/>
    <col min="10254" max="10254" width="9.5" style="207" bestFit="1" customWidth="1"/>
    <col min="10255" max="10272" width="9" style="207"/>
    <col min="10273" max="10273" width="15.875" style="207" bestFit="1" customWidth="1"/>
    <col min="10274" max="10274" width="11.375" style="207" bestFit="1" customWidth="1"/>
    <col min="10275" max="10499" width="9" style="207"/>
    <col min="10500" max="10500" width="10.5" style="207" bestFit="1" customWidth="1"/>
    <col min="10501" max="10509" width="9" style="207"/>
    <col min="10510" max="10510" width="9.5" style="207" bestFit="1" customWidth="1"/>
    <col min="10511" max="10528" width="9" style="207"/>
    <col min="10529" max="10529" width="15.875" style="207" bestFit="1" customWidth="1"/>
    <col min="10530" max="10530" width="11.375" style="207" bestFit="1" customWidth="1"/>
    <col min="10531" max="10755" width="9" style="207"/>
    <col min="10756" max="10756" width="10.5" style="207" bestFit="1" customWidth="1"/>
    <col min="10757" max="10765" width="9" style="207"/>
    <col min="10766" max="10766" width="9.5" style="207" bestFit="1" customWidth="1"/>
    <col min="10767" max="10784" width="9" style="207"/>
    <col min="10785" max="10785" width="15.875" style="207" bestFit="1" customWidth="1"/>
    <col min="10786" max="10786" width="11.375" style="207" bestFit="1" customWidth="1"/>
    <col min="10787" max="11011" width="9" style="207"/>
    <col min="11012" max="11012" width="10.5" style="207" bestFit="1" customWidth="1"/>
    <col min="11013" max="11021" width="9" style="207"/>
    <col min="11022" max="11022" width="9.5" style="207" bestFit="1" customWidth="1"/>
    <col min="11023" max="11040" width="9" style="207"/>
    <col min="11041" max="11041" width="15.875" style="207" bestFit="1" customWidth="1"/>
    <col min="11042" max="11042" width="11.375" style="207" bestFit="1" customWidth="1"/>
    <col min="11043" max="11267" width="9" style="207"/>
    <col min="11268" max="11268" width="10.5" style="207" bestFit="1" customWidth="1"/>
    <col min="11269" max="11277" width="9" style="207"/>
    <col min="11278" max="11278" width="9.5" style="207" bestFit="1" customWidth="1"/>
    <col min="11279" max="11296" width="9" style="207"/>
    <col min="11297" max="11297" width="15.875" style="207" bestFit="1" customWidth="1"/>
    <col min="11298" max="11298" width="11.375" style="207" bestFit="1" customWidth="1"/>
    <col min="11299" max="11523" width="9" style="207"/>
    <col min="11524" max="11524" width="10.5" style="207" bestFit="1" customWidth="1"/>
    <col min="11525" max="11533" width="9" style="207"/>
    <col min="11534" max="11534" width="9.5" style="207" bestFit="1" customWidth="1"/>
    <col min="11535" max="11552" width="9" style="207"/>
    <col min="11553" max="11553" width="15.875" style="207" bestFit="1" customWidth="1"/>
    <col min="11554" max="11554" width="11.375" style="207" bestFit="1" customWidth="1"/>
    <col min="11555" max="11779" width="9" style="207"/>
    <col min="11780" max="11780" width="10.5" style="207" bestFit="1" customWidth="1"/>
    <col min="11781" max="11789" width="9" style="207"/>
    <col min="11790" max="11790" width="9.5" style="207" bestFit="1" customWidth="1"/>
    <col min="11791" max="11808" width="9" style="207"/>
    <col min="11809" max="11809" width="15.875" style="207" bestFit="1" customWidth="1"/>
    <col min="11810" max="11810" width="11.375" style="207" bestFit="1" customWidth="1"/>
    <col min="11811" max="12035" width="9" style="207"/>
    <col min="12036" max="12036" width="10.5" style="207" bestFit="1" customWidth="1"/>
    <col min="12037" max="12045" width="9" style="207"/>
    <col min="12046" max="12046" width="9.5" style="207" bestFit="1" customWidth="1"/>
    <col min="12047" max="12064" width="9" style="207"/>
    <col min="12065" max="12065" width="15.875" style="207" bestFit="1" customWidth="1"/>
    <col min="12066" max="12066" width="11.375" style="207" bestFit="1" customWidth="1"/>
    <col min="12067" max="12291" width="9" style="207"/>
    <col min="12292" max="12292" width="10.5" style="207" bestFit="1" customWidth="1"/>
    <col min="12293" max="12301" width="9" style="207"/>
    <col min="12302" max="12302" width="9.5" style="207" bestFit="1" customWidth="1"/>
    <col min="12303" max="12320" width="9" style="207"/>
    <col min="12321" max="12321" width="15.875" style="207" bestFit="1" customWidth="1"/>
    <col min="12322" max="12322" width="11.375" style="207" bestFit="1" customWidth="1"/>
    <col min="12323" max="12547" width="9" style="207"/>
    <col min="12548" max="12548" width="10.5" style="207" bestFit="1" customWidth="1"/>
    <col min="12549" max="12557" width="9" style="207"/>
    <col min="12558" max="12558" width="9.5" style="207" bestFit="1" customWidth="1"/>
    <col min="12559" max="12576" width="9" style="207"/>
    <col min="12577" max="12577" width="15.875" style="207" bestFit="1" customWidth="1"/>
    <col min="12578" max="12578" width="11.375" style="207" bestFit="1" customWidth="1"/>
    <col min="12579" max="12803" width="9" style="207"/>
    <col min="12804" max="12804" width="10.5" style="207" bestFit="1" customWidth="1"/>
    <col min="12805" max="12813" width="9" style="207"/>
    <col min="12814" max="12814" width="9.5" style="207" bestFit="1" customWidth="1"/>
    <col min="12815" max="12832" width="9" style="207"/>
    <col min="12833" max="12833" width="15.875" style="207" bestFit="1" customWidth="1"/>
    <col min="12834" max="12834" width="11.375" style="207" bestFit="1" customWidth="1"/>
    <col min="12835" max="13059" width="9" style="207"/>
    <col min="13060" max="13060" width="10.5" style="207" bestFit="1" customWidth="1"/>
    <col min="13061" max="13069" width="9" style="207"/>
    <col min="13070" max="13070" width="9.5" style="207" bestFit="1" customWidth="1"/>
    <col min="13071" max="13088" width="9" style="207"/>
    <col min="13089" max="13089" width="15.875" style="207" bestFit="1" customWidth="1"/>
    <col min="13090" max="13090" width="11.375" style="207" bestFit="1" customWidth="1"/>
    <col min="13091" max="13315" width="9" style="207"/>
    <col min="13316" max="13316" width="10.5" style="207" bestFit="1" customWidth="1"/>
    <col min="13317" max="13325" width="9" style="207"/>
    <col min="13326" max="13326" width="9.5" style="207" bestFit="1" customWidth="1"/>
    <col min="13327" max="13344" width="9" style="207"/>
    <col min="13345" max="13345" width="15.875" style="207" bestFit="1" customWidth="1"/>
    <col min="13346" max="13346" width="11.375" style="207" bestFit="1" customWidth="1"/>
    <col min="13347" max="13571" width="9" style="207"/>
    <col min="13572" max="13572" width="10.5" style="207" bestFit="1" customWidth="1"/>
    <col min="13573" max="13581" width="9" style="207"/>
    <col min="13582" max="13582" width="9.5" style="207" bestFit="1" customWidth="1"/>
    <col min="13583" max="13600" width="9" style="207"/>
    <col min="13601" max="13601" width="15.875" style="207" bestFit="1" customWidth="1"/>
    <col min="13602" max="13602" width="11.375" style="207" bestFit="1" customWidth="1"/>
    <col min="13603" max="13827" width="9" style="207"/>
    <col min="13828" max="13828" width="10.5" style="207" bestFit="1" customWidth="1"/>
    <col min="13829" max="13837" width="9" style="207"/>
    <col min="13838" max="13838" width="9.5" style="207" bestFit="1" customWidth="1"/>
    <col min="13839" max="13856" width="9" style="207"/>
    <col min="13857" max="13857" width="15.875" style="207" bestFit="1" customWidth="1"/>
    <col min="13858" max="13858" width="11.375" style="207" bestFit="1" customWidth="1"/>
    <col min="13859" max="14083" width="9" style="207"/>
    <col min="14084" max="14084" width="10.5" style="207" bestFit="1" customWidth="1"/>
    <col min="14085" max="14093" width="9" style="207"/>
    <col min="14094" max="14094" width="9.5" style="207" bestFit="1" customWidth="1"/>
    <col min="14095" max="14112" width="9" style="207"/>
    <col min="14113" max="14113" width="15.875" style="207" bestFit="1" customWidth="1"/>
    <col min="14114" max="14114" width="11.375" style="207" bestFit="1" customWidth="1"/>
    <col min="14115" max="14339" width="9" style="207"/>
    <col min="14340" max="14340" width="10.5" style="207" bestFit="1" customWidth="1"/>
    <col min="14341" max="14349" width="9" style="207"/>
    <col min="14350" max="14350" width="9.5" style="207" bestFit="1" customWidth="1"/>
    <col min="14351" max="14368" width="9" style="207"/>
    <col min="14369" max="14369" width="15.875" style="207" bestFit="1" customWidth="1"/>
    <col min="14370" max="14370" width="11.375" style="207" bestFit="1" customWidth="1"/>
    <col min="14371" max="14595" width="9" style="207"/>
    <col min="14596" max="14596" width="10.5" style="207" bestFit="1" customWidth="1"/>
    <col min="14597" max="14605" width="9" style="207"/>
    <col min="14606" max="14606" width="9.5" style="207" bestFit="1" customWidth="1"/>
    <col min="14607" max="14624" width="9" style="207"/>
    <col min="14625" max="14625" width="15.875" style="207" bestFit="1" customWidth="1"/>
    <col min="14626" max="14626" width="11.375" style="207" bestFit="1" customWidth="1"/>
    <col min="14627" max="14851" width="9" style="207"/>
    <col min="14852" max="14852" width="10.5" style="207" bestFit="1" customWidth="1"/>
    <col min="14853" max="14861" width="9" style="207"/>
    <col min="14862" max="14862" width="9.5" style="207" bestFit="1" customWidth="1"/>
    <col min="14863" max="14880" width="9" style="207"/>
    <col min="14881" max="14881" width="15.875" style="207" bestFit="1" customWidth="1"/>
    <col min="14882" max="14882" width="11.375" style="207" bestFit="1" customWidth="1"/>
    <col min="14883" max="15107" width="9" style="207"/>
    <col min="15108" max="15108" width="10.5" style="207" bestFit="1" customWidth="1"/>
    <col min="15109" max="15117" width="9" style="207"/>
    <col min="15118" max="15118" width="9.5" style="207" bestFit="1" customWidth="1"/>
    <col min="15119" max="15136" width="9" style="207"/>
    <col min="15137" max="15137" width="15.875" style="207" bestFit="1" customWidth="1"/>
    <col min="15138" max="15138" width="11.375" style="207" bestFit="1" customWidth="1"/>
    <col min="15139" max="15363" width="9" style="207"/>
    <col min="15364" max="15364" width="10.5" style="207" bestFit="1" customWidth="1"/>
    <col min="15365" max="15373" width="9" style="207"/>
    <col min="15374" max="15374" width="9.5" style="207" bestFit="1" customWidth="1"/>
    <col min="15375" max="15392" width="9" style="207"/>
    <col min="15393" max="15393" width="15.875" style="207" bestFit="1" customWidth="1"/>
    <col min="15394" max="15394" width="11.375" style="207" bestFit="1" customWidth="1"/>
    <col min="15395" max="15619" width="9" style="207"/>
    <col min="15620" max="15620" width="10.5" style="207" bestFit="1" customWidth="1"/>
    <col min="15621" max="15629" width="9" style="207"/>
    <col min="15630" max="15630" width="9.5" style="207" bestFit="1" customWidth="1"/>
    <col min="15631" max="15648" width="9" style="207"/>
    <col min="15649" max="15649" width="15.875" style="207" bestFit="1" customWidth="1"/>
    <col min="15650" max="15650" width="11.375" style="207" bestFit="1" customWidth="1"/>
    <col min="15651" max="15875" width="9" style="207"/>
    <col min="15876" max="15876" width="10.5" style="207" bestFit="1" customWidth="1"/>
    <col min="15877" max="15885" width="9" style="207"/>
    <col min="15886" max="15886" width="9.5" style="207" bestFit="1" customWidth="1"/>
    <col min="15887" max="15904" width="9" style="207"/>
    <col min="15905" max="15905" width="15.875" style="207" bestFit="1" customWidth="1"/>
    <col min="15906" max="15906" width="11.375" style="207" bestFit="1" customWidth="1"/>
    <col min="15907" max="16131" width="9" style="207"/>
    <col min="16132" max="16132" width="10.5" style="207" bestFit="1" customWidth="1"/>
    <col min="16133" max="16141" width="9" style="207"/>
    <col min="16142" max="16142" width="9.5" style="207" bestFit="1" customWidth="1"/>
    <col min="16143" max="16160" width="9" style="207"/>
    <col min="16161" max="16161" width="15.875" style="207" bestFit="1" customWidth="1"/>
    <col min="16162" max="16162" width="11.375" style="207" bestFit="1" customWidth="1"/>
    <col min="16163" max="16384" width="9" style="207"/>
  </cols>
  <sheetData>
    <row r="1" spans="1:53" ht="45" x14ac:dyDescent="0.15">
      <c r="A1" s="83" t="s">
        <v>0</v>
      </c>
      <c r="B1" s="201" t="s">
        <v>1</v>
      </c>
      <c r="C1" s="201" t="s">
        <v>157</v>
      </c>
      <c r="D1" s="202" t="s">
        <v>3</v>
      </c>
      <c r="E1" s="84" t="s">
        <v>4</v>
      </c>
      <c r="F1" s="84" t="s">
        <v>5</v>
      </c>
      <c r="G1" s="84" t="s">
        <v>6</v>
      </c>
      <c r="H1" s="84" t="s">
        <v>7</v>
      </c>
      <c r="I1" s="84" t="s">
        <v>8</v>
      </c>
      <c r="J1" s="84" t="s">
        <v>9</v>
      </c>
      <c r="K1" s="84" t="s">
        <v>10</v>
      </c>
      <c r="L1" s="202" t="s">
        <v>158</v>
      </c>
      <c r="M1" s="202" t="s">
        <v>12</v>
      </c>
      <c r="N1" s="202" t="s">
        <v>13</v>
      </c>
      <c r="O1" s="202" t="s">
        <v>159</v>
      </c>
      <c r="P1" s="202" t="s">
        <v>15</v>
      </c>
      <c r="Q1" s="203" t="s">
        <v>16</v>
      </c>
      <c r="R1" s="202" t="s">
        <v>17</v>
      </c>
      <c r="S1" s="202" t="s">
        <v>18</v>
      </c>
      <c r="T1" s="203" t="s">
        <v>19</v>
      </c>
      <c r="U1" s="204" t="s">
        <v>108</v>
      </c>
      <c r="V1" s="205" t="s">
        <v>20</v>
      </c>
      <c r="W1" s="202" t="s">
        <v>21</v>
      </c>
      <c r="X1" s="84" t="s">
        <v>22</v>
      </c>
      <c r="Y1" s="84" t="s">
        <v>23</v>
      </c>
      <c r="Z1" s="84" t="s">
        <v>24</v>
      </c>
      <c r="AA1" s="85" t="s">
        <v>25</v>
      </c>
      <c r="AB1" s="206" t="s">
        <v>160</v>
      </c>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161</v>
      </c>
      <c r="AY1" s="213" t="s">
        <v>162</v>
      </c>
      <c r="AZ1" s="213" t="s">
        <v>163</v>
      </c>
      <c r="BA1" s="214" t="s">
        <v>164</v>
      </c>
    </row>
    <row r="2" spans="1:53" s="215" customFormat="1" x14ac:dyDescent="0.15">
      <c r="A2" s="55" t="s">
        <v>56</v>
      </c>
      <c r="B2" s="55" t="s">
        <v>339</v>
      </c>
      <c r="C2" s="215">
        <v>2018</v>
      </c>
      <c r="D2" s="86" t="s">
        <v>372</v>
      </c>
      <c r="E2" s="215" t="s">
        <v>373</v>
      </c>
      <c r="F2" s="215" t="s">
        <v>172</v>
      </c>
      <c r="G2" s="55" t="s">
        <v>42</v>
      </c>
      <c r="H2" s="215" t="s">
        <v>155</v>
      </c>
      <c r="I2" s="55" t="s">
        <v>153</v>
      </c>
      <c r="J2" s="215" t="s">
        <v>38</v>
      </c>
      <c r="K2" s="215" t="s">
        <v>154</v>
      </c>
      <c r="L2" s="215">
        <v>1</v>
      </c>
      <c r="N2" s="207">
        <v>1</v>
      </c>
      <c r="O2" s="215">
        <v>0.65</v>
      </c>
      <c r="P2" s="207">
        <v>0.65</v>
      </c>
      <c r="Q2" s="244">
        <f>IF(OR(O2="",P2=""),"",AVERAGE(O2,P2))</f>
        <v>0.65</v>
      </c>
      <c r="R2" s="215">
        <v>15.8</v>
      </c>
      <c r="S2" s="215">
        <v>140</v>
      </c>
      <c r="T2" s="216">
        <f>IF(H2="","",IF(OR(H2="GREEN",H2="GK"),IF(S2&gt;=$AX$2,VLOOKUP(S2,$AX$2:$AY$10,2,1),""),IF(S2&gt;=$AZ$2,VLOOKUP(S2,$AZ$2:$BA$10,2,1),"")))</f>
        <v>22</v>
      </c>
      <c r="U2" s="215">
        <v>73</v>
      </c>
      <c r="V2" s="216">
        <f>IF(OR(N2="",U2="",T2=""),"",U2/N2*T2)</f>
        <v>1606</v>
      </c>
      <c r="W2" s="215">
        <v>4</v>
      </c>
      <c r="X2" s="55" t="s">
        <v>46</v>
      </c>
      <c r="Y2" s="55" t="s">
        <v>90</v>
      </c>
      <c r="Z2" s="215" t="s">
        <v>84</v>
      </c>
      <c r="AA2" s="55" t="s">
        <v>102</v>
      </c>
      <c r="AB2" s="39" t="s">
        <v>341</v>
      </c>
      <c r="AE2" s="217" t="s">
        <v>35</v>
      </c>
      <c r="AG2" s="230" t="s">
        <v>173</v>
      </c>
      <c r="AH2" s="87" t="s">
        <v>172</v>
      </c>
      <c r="AJ2" s="218" t="s">
        <v>36</v>
      </c>
      <c r="AL2" s="218" t="s">
        <v>127</v>
      </c>
      <c r="AN2" s="218" t="s">
        <v>37</v>
      </c>
      <c r="AP2" s="218" t="s">
        <v>38</v>
      </c>
      <c r="AR2" s="218" t="s">
        <v>120</v>
      </c>
      <c r="AT2" s="218" t="s">
        <v>39</v>
      </c>
      <c r="AV2" s="218" t="s">
        <v>40</v>
      </c>
      <c r="AX2" s="219">
        <v>1</v>
      </c>
      <c r="AY2" s="220">
        <v>50</v>
      </c>
      <c r="AZ2" s="220">
        <v>1</v>
      </c>
      <c r="BA2" s="221">
        <v>50</v>
      </c>
    </row>
    <row r="3" spans="1:53" x14ac:dyDescent="0.15">
      <c r="A3" s="55" t="s">
        <v>56</v>
      </c>
      <c r="B3" s="55" t="s">
        <v>339</v>
      </c>
      <c r="C3" s="215">
        <v>2018</v>
      </c>
      <c r="D3" s="86" t="s">
        <v>372</v>
      </c>
      <c r="E3" s="215" t="s">
        <v>373</v>
      </c>
      <c r="F3" s="215" t="s">
        <v>172</v>
      </c>
      <c r="G3" s="55" t="s">
        <v>42</v>
      </c>
      <c r="H3" s="215" t="s">
        <v>155</v>
      </c>
      <c r="I3" s="55" t="s">
        <v>153</v>
      </c>
      <c r="J3" s="215" t="s">
        <v>38</v>
      </c>
      <c r="K3" s="215" t="s">
        <v>154</v>
      </c>
      <c r="L3" s="207">
        <v>2</v>
      </c>
      <c r="N3" s="207">
        <v>1</v>
      </c>
      <c r="O3" s="207">
        <v>0.95</v>
      </c>
      <c r="P3" s="207">
        <v>0.9</v>
      </c>
      <c r="Q3" s="244">
        <f>IF(OR(O3="",P3=""),"",AVERAGE(O3,P3))</f>
        <v>0.92500000000000004</v>
      </c>
      <c r="R3" s="207">
        <v>12</v>
      </c>
      <c r="S3" s="207">
        <v>135</v>
      </c>
      <c r="T3" s="216">
        <f>IF(H3="","",IF(OR(H3="GREEN",H3="GK"),IF(S3&gt;=$AX$2,VLOOKUP(S3,$AX$2:$AY$10,2,1),""),IF(S3&gt;=$AZ$2,VLOOKUP(S3,$AZ$2:$BA$10,2,1),"")))</f>
        <v>25</v>
      </c>
      <c r="U3" s="207">
        <v>73</v>
      </c>
      <c r="V3" s="216">
        <f>IF(OR(N3="",U3="",T3=""),"",U3/N3*T3)</f>
        <v>1825</v>
      </c>
      <c r="W3" s="207">
        <v>4</v>
      </c>
      <c r="X3" s="55" t="s">
        <v>46</v>
      </c>
      <c r="Y3" s="55" t="s">
        <v>90</v>
      </c>
      <c r="Z3" s="215" t="s">
        <v>84</v>
      </c>
      <c r="AA3" s="55" t="s">
        <v>102</v>
      </c>
      <c r="AB3" s="39" t="s">
        <v>341</v>
      </c>
      <c r="AE3" s="222" t="s">
        <v>41</v>
      </c>
      <c r="AG3" s="230" t="s">
        <v>173</v>
      </c>
      <c r="AH3" s="87" t="s">
        <v>174</v>
      </c>
      <c r="AJ3" s="223" t="s">
        <v>42</v>
      </c>
      <c r="AL3" s="223" t="s">
        <v>128</v>
      </c>
      <c r="AN3" s="223" t="s">
        <v>43</v>
      </c>
      <c r="AP3" s="223" t="s">
        <v>44</v>
      </c>
      <c r="AR3" s="237" t="s">
        <v>45</v>
      </c>
      <c r="AT3" s="223" t="s">
        <v>46</v>
      </c>
      <c r="AV3" s="223" t="s">
        <v>47</v>
      </c>
      <c r="AX3" s="224">
        <v>72</v>
      </c>
      <c r="AY3" s="225">
        <v>46</v>
      </c>
      <c r="AZ3" s="225">
        <v>71</v>
      </c>
      <c r="BA3" s="226">
        <v>42</v>
      </c>
    </row>
    <row r="4" spans="1:53" x14ac:dyDescent="0.15">
      <c r="A4" s="55" t="s">
        <v>56</v>
      </c>
      <c r="B4" s="55" t="s">
        <v>339</v>
      </c>
      <c r="C4" s="215">
        <v>2018</v>
      </c>
      <c r="D4" s="86" t="s">
        <v>372</v>
      </c>
      <c r="E4" s="215" t="s">
        <v>373</v>
      </c>
      <c r="F4" s="215" t="s">
        <v>172</v>
      </c>
      <c r="G4" s="55" t="s">
        <v>42</v>
      </c>
      <c r="H4" s="215" t="s">
        <v>155</v>
      </c>
      <c r="I4" s="55" t="s">
        <v>153</v>
      </c>
      <c r="J4" s="215" t="s">
        <v>38</v>
      </c>
      <c r="K4" s="215" t="s">
        <v>154</v>
      </c>
      <c r="L4" s="207">
        <v>3</v>
      </c>
      <c r="N4" s="207">
        <v>1</v>
      </c>
      <c r="O4" s="207">
        <v>1</v>
      </c>
      <c r="P4" s="207">
        <v>0.95</v>
      </c>
      <c r="Q4" s="244">
        <f>IF(OR(O4="",P4=""),"",AVERAGE(O4,P4))</f>
        <v>0.97499999999999998</v>
      </c>
      <c r="R4" s="207">
        <v>11.9</v>
      </c>
      <c r="S4" s="207">
        <v>140</v>
      </c>
      <c r="T4" s="216">
        <f>IF(H4="","",IF(OR(H4="GREEN",H4="GK"),IF(S4&gt;=$AX$2,VLOOKUP(S4,$AX$2:$AY$10,2,1),""),IF(S4&gt;=$AZ$2,VLOOKUP(S4,$AZ$2:$BA$10,2,1),"")))</f>
        <v>22</v>
      </c>
      <c r="U4" s="207">
        <v>73</v>
      </c>
      <c r="V4" s="216">
        <f>IF(OR(N4="",U4="",T4=""),"",U4/N4*T4)</f>
        <v>1606</v>
      </c>
      <c r="W4" s="207">
        <v>4</v>
      </c>
      <c r="X4" s="55" t="s">
        <v>46</v>
      </c>
      <c r="Y4" s="55" t="s">
        <v>90</v>
      </c>
      <c r="Z4" s="215" t="s">
        <v>84</v>
      </c>
      <c r="AA4" s="55" t="s">
        <v>102</v>
      </c>
      <c r="AB4" s="39" t="s">
        <v>341</v>
      </c>
      <c r="AE4" s="222" t="s">
        <v>34</v>
      </c>
      <c r="AG4" s="230" t="s">
        <v>175</v>
      </c>
      <c r="AH4" s="87" t="s">
        <v>176</v>
      </c>
      <c r="AJ4" s="227" t="s">
        <v>48</v>
      </c>
      <c r="AL4" s="227" t="s">
        <v>177</v>
      </c>
      <c r="AN4" s="228" t="s">
        <v>49</v>
      </c>
      <c r="AP4" s="223" t="s">
        <v>93</v>
      </c>
      <c r="AR4" s="237" t="s">
        <v>121</v>
      </c>
      <c r="AT4" s="228"/>
      <c r="AV4" s="223" t="s">
        <v>50</v>
      </c>
      <c r="AX4" s="224">
        <v>75</v>
      </c>
      <c r="AY4" s="225">
        <v>42</v>
      </c>
      <c r="AZ4" s="225">
        <v>76</v>
      </c>
      <c r="BA4" s="226">
        <v>39</v>
      </c>
    </row>
    <row r="5" spans="1:53" x14ac:dyDescent="0.15">
      <c r="A5" s="55" t="s">
        <v>56</v>
      </c>
      <c r="B5" s="55" t="s">
        <v>339</v>
      </c>
      <c r="C5" s="215">
        <v>2018</v>
      </c>
      <c r="D5" s="86" t="s">
        <v>372</v>
      </c>
      <c r="E5" s="215" t="s">
        <v>373</v>
      </c>
      <c r="F5" s="215" t="s">
        <v>174</v>
      </c>
      <c r="G5" s="55" t="s">
        <v>42</v>
      </c>
      <c r="H5" s="215" t="s">
        <v>155</v>
      </c>
      <c r="I5" s="55" t="s">
        <v>153</v>
      </c>
      <c r="J5" s="215" t="s">
        <v>38</v>
      </c>
      <c r="K5" s="215" t="s">
        <v>154</v>
      </c>
      <c r="L5" s="207">
        <v>1</v>
      </c>
      <c r="N5" s="207">
        <v>1</v>
      </c>
      <c r="O5" s="207">
        <v>1.05</v>
      </c>
      <c r="P5" s="207">
        <v>0.9</v>
      </c>
      <c r="Q5" s="244">
        <f t="shared" ref="Q5:Q55" si="0">IF(OR(O5="",P5=""),"",AVERAGE(O5,P5))</f>
        <v>0.97500000000000009</v>
      </c>
      <c r="R5" s="207">
        <v>14</v>
      </c>
      <c r="S5" s="207">
        <v>140</v>
      </c>
      <c r="T5" s="216">
        <f t="shared" ref="T5:T55" si="1">IF(H5="","",IF(OR(H5="GREEN",H5="GK"),IF(S5&gt;=$AX$2,VLOOKUP(S5,$AX$2:$AY$10,2,1),""),IF(S5&gt;=$AZ$2,VLOOKUP(S5,$AZ$2:$BA$10,2,1),"")))</f>
        <v>22</v>
      </c>
      <c r="U5" s="207">
        <v>73</v>
      </c>
      <c r="V5" s="216">
        <f t="shared" ref="V5:V55" si="2">IF(OR(N5="",U5="",T5=""),"",U5/N5*T5)</f>
        <v>1606</v>
      </c>
      <c r="W5" s="207">
        <v>7</v>
      </c>
      <c r="X5" s="55" t="s">
        <v>46</v>
      </c>
      <c r="Y5" s="55" t="s">
        <v>90</v>
      </c>
      <c r="Z5" s="215" t="s">
        <v>84</v>
      </c>
      <c r="AA5" s="55" t="s">
        <v>78</v>
      </c>
      <c r="AB5" s="39" t="s">
        <v>341</v>
      </c>
      <c r="AE5" s="222" t="s">
        <v>51</v>
      </c>
      <c r="AG5" s="230" t="s">
        <v>178</v>
      </c>
      <c r="AH5" s="87" t="s">
        <v>179</v>
      </c>
      <c r="AJ5" s="228"/>
      <c r="AL5" s="229" t="s">
        <v>166</v>
      </c>
      <c r="AN5" s="229" t="s">
        <v>167</v>
      </c>
      <c r="AP5" s="223" t="s">
        <v>180</v>
      </c>
      <c r="AR5" s="237" t="s">
        <v>54</v>
      </c>
      <c r="AV5" s="223" t="s">
        <v>55</v>
      </c>
      <c r="AX5" s="224">
        <v>84</v>
      </c>
      <c r="AY5" s="225">
        <v>39</v>
      </c>
      <c r="AZ5" s="225">
        <v>84</v>
      </c>
      <c r="BA5" s="226">
        <v>36</v>
      </c>
    </row>
    <row r="6" spans="1:53" x14ac:dyDescent="0.15">
      <c r="A6" s="55" t="s">
        <v>56</v>
      </c>
      <c r="B6" s="55" t="s">
        <v>339</v>
      </c>
      <c r="C6" s="215">
        <v>2018</v>
      </c>
      <c r="D6" s="86" t="s">
        <v>372</v>
      </c>
      <c r="E6" s="215" t="s">
        <v>373</v>
      </c>
      <c r="F6" s="215" t="s">
        <v>174</v>
      </c>
      <c r="G6" s="55" t="s">
        <v>42</v>
      </c>
      <c r="H6" s="215" t="s">
        <v>155</v>
      </c>
      <c r="I6" s="55" t="s">
        <v>153</v>
      </c>
      <c r="J6" s="215" t="s">
        <v>38</v>
      </c>
      <c r="K6" s="215" t="s">
        <v>154</v>
      </c>
      <c r="L6" s="207">
        <v>2</v>
      </c>
      <c r="N6" s="207">
        <v>1</v>
      </c>
      <c r="O6" s="207">
        <v>0.95</v>
      </c>
      <c r="P6" s="207">
        <v>1</v>
      </c>
      <c r="Q6" s="244">
        <f t="shared" si="0"/>
        <v>0.97499999999999998</v>
      </c>
      <c r="R6" s="207">
        <v>11.8</v>
      </c>
      <c r="S6" s="207">
        <v>145</v>
      </c>
      <c r="T6" s="216">
        <f t="shared" si="1"/>
        <v>22</v>
      </c>
      <c r="U6" s="207">
        <v>73</v>
      </c>
      <c r="V6" s="216">
        <f t="shared" si="2"/>
        <v>1606</v>
      </c>
      <c r="W6" s="207">
        <v>7</v>
      </c>
      <c r="X6" s="55" t="s">
        <v>46</v>
      </c>
      <c r="Y6" s="55" t="s">
        <v>90</v>
      </c>
      <c r="Z6" s="215" t="s">
        <v>84</v>
      </c>
      <c r="AA6" s="55" t="s">
        <v>78</v>
      </c>
      <c r="AB6" s="39" t="s">
        <v>341</v>
      </c>
      <c r="AE6" s="222" t="s">
        <v>56</v>
      </c>
      <c r="AG6" s="230" t="s">
        <v>181</v>
      </c>
      <c r="AH6" s="87" t="s">
        <v>179</v>
      </c>
      <c r="AL6" s="229" t="s">
        <v>99</v>
      </c>
      <c r="AN6" s="229" t="s">
        <v>168</v>
      </c>
      <c r="AP6" s="223" t="s">
        <v>53</v>
      </c>
      <c r="AR6" s="237" t="s">
        <v>59</v>
      </c>
      <c r="AV6" s="223" t="s">
        <v>60</v>
      </c>
      <c r="AX6" s="224">
        <v>97</v>
      </c>
      <c r="AY6" s="225">
        <v>36</v>
      </c>
      <c r="AZ6" s="225">
        <v>99</v>
      </c>
      <c r="BA6" s="226">
        <v>33</v>
      </c>
    </row>
    <row r="7" spans="1:53" x14ac:dyDescent="0.15">
      <c r="A7" s="55" t="s">
        <v>56</v>
      </c>
      <c r="B7" s="55" t="s">
        <v>339</v>
      </c>
      <c r="C7" s="215">
        <v>2018</v>
      </c>
      <c r="D7" s="86" t="s">
        <v>372</v>
      </c>
      <c r="E7" s="215" t="s">
        <v>373</v>
      </c>
      <c r="F7" s="215" t="s">
        <v>174</v>
      </c>
      <c r="G7" s="55" t="s">
        <v>42</v>
      </c>
      <c r="H7" s="215" t="s">
        <v>155</v>
      </c>
      <c r="I7" s="55" t="s">
        <v>153</v>
      </c>
      <c r="J7" s="215" t="s">
        <v>38</v>
      </c>
      <c r="K7" s="215" t="s">
        <v>154</v>
      </c>
      <c r="L7" s="207">
        <v>3</v>
      </c>
      <c r="N7" s="207">
        <v>1</v>
      </c>
      <c r="O7" s="207">
        <v>0.8</v>
      </c>
      <c r="P7" s="207">
        <v>0.8</v>
      </c>
      <c r="Q7" s="244">
        <f t="shared" si="0"/>
        <v>0.8</v>
      </c>
      <c r="R7" s="236">
        <v>13.5</v>
      </c>
      <c r="S7" s="207">
        <v>138</v>
      </c>
      <c r="T7" s="216">
        <f t="shared" si="1"/>
        <v>22</v>
      </c>
      <c r="U7" s="207">
        <v>73</v>
      </c>
      <c r="V7" s="216">
        <f t="shared" si="2"/>
        <v>1606</v>
      </c>
      <c r="W7" s="207">
        <v>7</v>
      </c>
      <c r="X7" s="55" t="s">
        <v>46</v>
      </c>
      <c r="Y7" s="55" t="s">
        <v>90</v>
      </c>
      <c r="Z7" s="215" t="s">
        <v>84</v>
      </c>
      <c r="AA7" s="55" t="s">
        <v>78</v>
      </c>
      <c r="AB7" s="39" t="s">
        <v>341</v>
      </c>
      <c r="AE7" s="222" t="s">
        <v>61</v>
      </c>
      <c r="AG7" s="230" t="s">
        <v>182</v>
      </c>
      <c r="AH7" s="87" t="s">
        <v>183</v>
      </c>
      <c r="AL7" s="88" t="s">
        <v>169</v>
      </c>
      <c r="AP7" s="223" t="s">
        <v>58</v>
      </c>
      <c r="AR7" s="230" t="s">
        <v>122</v>
      </c>
      <c r="AV7" s="223" t="s">
        <v>64</v>
      </c>
      <c r="AX7" s="224">
        <v>109</v>
      </c>
      <c r="AY7" s="225">
        <v>33</v>
      </c>
      <c r="AZ7" s="225">
        <v>113</v>
      </c>
      <c r="BA7" s="226">
        <v>30</v>
      </c>
    </row>
    <row r="8" spans="1:53" x14ac:dyDescent="0.15">
      <c r="A8" s="55" t="s">
        <v>56</v>
      </c>
      <c r="B8" s="55" t="s">
        <v>374</v>
      </c>
      <c r="C8" s="215">
        <v>2018</v>
      </c>
      <c r="D8" s="86" t="s">
        <v>375</v>
      </c>
      <c r="E8" s="215" t="s">
        <v>373</v>
      </c>
      <c r="F8" s="215" t="s">
        <v>174</v>
      </c>
      <c r="G8" s="55" t="s">
        <v>42</v>
      </c>
      <c r="H8" s="215" t="s">
        <v>165</v>
      </c>
      <c r="I8" s="55" t="s">
        <v>153</v>
      </c>
      <c r="J8" s="215" t="s">
        <v>38</v>
      </c>
      <c r="K8" s="215" t="s">
        <v>154</v>
      </c>
      <c r="L8" s="207">
        <v>1</v>
      </c>
      <c r="N8" s="207">
        <v>1</v>
      </c>
      <c r="O8" s="207">
        <v>0.75</v>
      </c>
      <c r="P8" s="207">
        <v>0.75</v>
      </c>
      <c r="Q8" s="244">
        <f t="shared" si="0"/>
        <v>0.75</v>
      </c>
      <c r="R8" s="207">
        <v>14.9</v>
      </c>
      <c r="S8" s="207">
        <v>136</v>
      </c>
      <c r="T8" s="216">
        <f t="shared" si="1"/>
        <v>25</v>
      </c>
      <c r="U8" s="207">
        <v>73</v>
      </c>
      <c r="V8" s="216">
        <f t="shared" si="2"/>
        <v>1825</v>
      </c>
      <c r="W8" s="207">
        <v>4</v>
      </c>
      <c r="X8" s="55" t="s">
        <v>46</v>
      </c>
      <c r="Y8" s="55" t="s">
        <v>90</v>
      </c>
      <c r="Z8" s="215" t="s">
        <v>84</v>
      </c>
      <c r="AA8" s="55" t="s">
        <v>78</v>
      </c>
      <c r="AB8" s="39" t="s">
        <v>341</v>
      </c>
      <c r="AE8" s="222" t="s">
        <v>59</v>
      </c>
      <c r="AG8" s="230" t="s">
        <v>376</v>
      </c>
      <c r="AH8" s="87" t="s">
        <v>183</v>
      </c>
      <c r="AL8" s="88" t="s">
        <v>369</v>
      </c>
      <c r="AP8" s="223" t="s">
        <v>62</v>
      </c>
      <c r="AR8" s="237" t="s">
        <v>81</v>
      </c>
      <c r="AV8" s="223" t="s">
        <v>97</v>
      </c>
      <c r="AX8" s="224">
        <v>119</v>
      </c>
      <c r="AY8" s="225">
        <v>30</v>
      </c>
      <c r="AZ8" s="225">
        <v>121</v>
      </c>
      <c r="BA8" s="226">
        <v>27</v>
      </c>
    </row>
    <row r="9" spans="1:53" x14ac:dyDescent="0.15">
      <c r="A9" s="55" t="s">
        <v>56</v>
      </c>
      <c r="B9" s="55" t="s">
        <v>374</v>
      </c>
      <c r="C9" s="215">
        <v>2018</v>
      </c>
      <c r="D9" s="86" t="s">
        <v>375</v>
      </c>
      <c r="E9" s="215" t="s">
        <v>373</v>
      </c>
      <c r="F9" s="215" t="s">
        <v>174</v>
      </c>
      <c r="G9" s="55" t="s">
        <v>42</v>
      </c>
      <c r="H9" s="215" t="s">
        <v>165</v>
      </c>
      <c r="I9" s="55" t="s">
        <v>153</v>
      </c>
      <c r="J9" s="215" t="s">
        <v>38</v>
      </c>
      <c r="K9" s="215" t="s">
        <v>154</v>
      </c>
      <c r="L9" s="207">
        <v>2</v>
      </c>
      <c r="N9" s="207">
        <v>1</v>
      </c>
      <c r="O9" s="207">
        <v>0.75</v>
      </c>
      <c r="P9" s="207">
        <v>0.75</v>
      </c>
      <c r="Q9" s="244">
        <f t="shared" si="0"/>
        <v>0.75</v>
      </c>
      <c r="R9" s="207">
        <v>15.7</v>
      </c>
      <c r="S9" s="207">
        <v>139</v>
      </c>
      <c r="T9" s="216">
        <f t="shared" si="1"/>
        <v>22</v>
      </c>
      <c r="U9" s="207">
        <v>73</v>
      </c>
      <c r="V9" s="216">
        <f t="shared" si="2"/>
        <v>1606</v>
      </c>
      <c r="W9" s="207">
        <v>4</v>
      </c>
      <c r="X9" s="55" t="s">
        <v>46</v>
      </c>
      <c r="Y9" s="55" t="s">
        <v>90</v>
      </c>
      <c r="Z9" s="215" t="s">
        <v>84</v>
      </c>
      <c r="AA9" s="55" t="s">
        <v>78</v>
      </c>
      <c r="AB9" s="39" t="s">
        <v>341</v>
      </c>
      <c r="AE9" s="222" t="s">
        <v>98</v>
      </c>
      <c r="AG9" s="230" t="s">
        <v>184</v>
      </c>
      <c r="AH9" s="230" t="s">
        <v>174</v>
      </c>
      <c r="AL9" s="229"/>
      <c r="AP9" s="223" t="s">
        <v>95</v>
      </c>
      <c r="AR9" s="230" t="s">
        <v>89</v>
      </c>
      <c r="AV9" s="223" t="s">
        <v>102</v>
      </c>
      <c r="AX9" s="224">
        <v>128</v>
      </c>
      <c r="AY9" s="225">
        <v>27</v>
      </c>
      <c r="AZ9" s="225">
        <v>129</v>
      </c>
      <c r="BA9" s="226">
        <v>25</v>
      </c>
    </row>
    <row r="10" spans="1:53" x14ac:dyDescent="0.15">
      <c r="A10" s="55" t="s">
        <v>56</v>
      </c>
      <c r="B10" s="55" t="s">
        <v>377</v>
      </c>
      <c r="C10" s="215">
        <v>2018</v>
      </c>
      <c r="D10" s="86" t="s">
        <v>378</v>
      </c>
      <c r="E10" s="215" t="s">
        <v>373</v>
      </c>
      <c r="F10" s="215" t="s">
        <v>174</v>
      </c>
      <c r="G10" s="55" t="s">
        <v>42</v>
      </c>
      <c r="H10" s="215" t="s">
        <v>165</v>
      </c>
      <c r="I10" s="55" t="s">
        <v>153</v>
      </c>
      <c r="J10" s="215" t="s">
        <v>38</v>
      </c>
      <c r="K10" s="215" t="s">
        <v>154</v>
      </c>
      <c r="L10" s="207">
        <v>3</v>
      </c>
      <c r="N10" s="207">
        <v>1</v>
      </c>
      <c r="O10" s="207">
        <v>0.75</v>
      </c>
      <c r="P10" s="207">
        <v>0.8</v>
      </c>
      <c r="Q10" s="244">
        <f t="shared" si="0"/>
        <v>0.77500000000000002</v>
      </c>
      <c r="R10" s="236">
        <v>15.2</v>
      </c>
      <c r="S10" s="207">
        <v>143</v>
      </c>
      <c r="T10" s="216">
        <f t="shared" si="1"/>
        <v>22</v>
      </c>
      <c r="U10" s="207">
        <v>73</v>
      </c>
      <c r="V10" s="216">
        <f t="shared" si="2"/>
        <v>1606</v>
      </c>
      <c r="W10" s="207">
        <v>4</v>
      </c>
      <c r="X10" s="55" t="s">
        <v>46</v>
      </c>
      <c r="Y10" s="55" t="s">
        <v>90</v>
      </c>
      <c r="Z10" s="215" t="s">
        <v>84</v>
      </c>
      <c r="AA10" s="55" t="s">
        <v>78</v>
      </c>
      <c r="AB10" s="39" t="s">
        <v>341</v>
      </c>
      <c r="AE10" s="222" t="s">
        <v>103</v>
      </c>
      <c r="AG10" s="230" t="s">
        <v>379</v>
      </c>
      <c r="AH10" s="87" t="s">
        <v>380</v>
      </c>
      <c r="AL10" s="88"/>
      <c r="AP10" s="223" t="s">
        <v>100</v>
      </c>
      <c r="AR10" s="230" t="s">
        <v>123</v>
      </c>
      <c r="AV10" s="223" t="s">
        <v>106</v>
      </c>
      <c r="AX10" s="224">
        <v>138</v>
      </c>
      <c r="AY10" s="225">
        <v>25</v>
      </c>
      <c r="AZ10" s="225">
        <v>138</v>
      </c>
      <c r="BA10" s="226">
        <v>22</v>
      </c>
    </row>
    <row r="11" spans="1:53" x14ac:dyDescent="0.15">
      <c r="A11" s="55" t="s">
        <v>56</v>
      </c>
      <c r="B11" s="55" t="s">
        <v>377</v>
      </c>
      <c r="C11" s="215">
        <v>2018</v>
      </c>
      <c r="D11" s="86" t="s">
        <v>378</v>
      </c>
      <c r="E11" s="215" t="s">
        <v>381</v>
      </c>
      <c r="F11" s="215" t="s">
        <v>382</v>
      </c>
      <c r="G11" s="55" t="s">
        <v>42</v>
      </c>
      <c r="H11" s="215" t="s">
        <v>155</v>
      </c>
      <c r="I11" s="55" t="s">
        <v>153</v>
      </c>
      <c r="J11" s="215" t="s">
        <v>38</v>
      </c>
      <c r="K11" s="215" t="s">
        <v>154</v>
      </c>
      <c r="L11" s="207">
        <v>1</v>
      </c>
      <c r="N11" s="207">
        <v>1</v>
      </c>
      <c r="O11" s="207">
        <v>0.75</v>
      </c>
      <c r="P11" s="207">
        <v>0.7</v>
      </c>
      <c r="Q11" s="244">
        <f t="shared" si="0"/>
        <v>0.72499999999999998</v>
      </c>
      <c r="R11" s="207">
        <v>15.6</v>
      </c>
      <c r="S11" s="207">
        <v>120</v>
      </c>
      <c r="T11" s="216">
        <f t="shared" si="1"/>
        <v>30</v>
      </c>
      <c r="U11" s="207">
        <v>84</v>
      </c>
      <c r="V11" s="216">
        <f t="shared" si="2"/>
        <v>2520</v>
      </c>
      <c r="W11" s="207">
        <v>4</v>
      </c>
      <c r="X11" s="55" t="s">
        <v>46</v>
      </c>
      <c r="Y11" s="55" t="s">
        <v>84</v>
      </c>
      <c r="Z11" s="215" t="s">
        <v>90</v>
      </c>
      <c r="AA11" s="55" t="s">
        <v>55</v>
      </c>
      <c r="AB11" s="39" t="s">
        <v>341</v>
      </c>
      <c r="AE11" s="222" t="s">
        <v>65</v>
      </c>
      <c r="AG11" s="230" t="s">
        <v>383</v>
      </c>
      <c r="AH11" s="87" t="s">
        <v>380</v>
      </c>
      <c r="AJ11" s="88"/>
      <c r="AP11" s="223" t="s">
        <v>104</v>
      </c>
      <c r="AR11" s="230" t="s">
        <v>87</v>
      </c>
      <c r="AV11" s="223" t="s">
        <v>69</v>
      </c>
    </row>
    <row r="12" spans="1:53" x14ac:dyDescent="0.15">
      <c r="A12" s="55" t="s">
        <v>56</v>
      </c>
      <c r="B12" s="55" t="s">
        <v>384</v>
      </c>
      <c r="C12" s="215">
        <v>2018</v>
      </c>
      <c r="D12" s="86" t="s">
        <v>385</v>
      </c>
      <c r="E12" s="215" t="s">
        <v>381</v>
      </c>
      <c r="F12" s="215" t="s">
        <v>382</v>
      </c>
      <c r="G12" s="55" t="s">
        <v>42</v>
      </c>
      <c r="H12" s="215" t="s">
        <v>155</v>
      </c>
      <c r="I12" s="55" t="s">
        <v>153</v>
      </c>
      <c r="J12" s="215" t="s">
        <v>38</v>
      </c>
      <c r="K12" s="215" t="s">
        <v>154</v>
      </c>
      <c r="L12" s="207">
        <v>2</v>
      </c>
      <c r="N12" s="207">
        <v>1</v>
      </c>
      <c r="O12" s="207">
        <v>0.95</v>
      </c>
      <c r="P12" s="207">
        <v>0.95</v>
      </c>
      <c r="Q12" s="244">
        <f t="shared" si="0"/>
        <v>0.95</v>
      </c>
      <c r="R12" s="207">
        <v>14.7</v>
      </c>
      <c r="S12" s="207">
        <v>120</v>
      </c>
      <c r="T12" s="216">
        <f t="shared" si="1"/>
        <v>30</v>
      </c>
      <c r="U12" s="207">
        <v>84</v>
      </c>
      <c r="V12" s="216">
        <f t="shared" si="2"/>
        <v>2520</v>
      </c>
      <c r="W12" s="207">
        <v>4</v>
      </c>
      <c r="X12" s="55" t="s">
        <v>46</v>
      </c>
      <c r="Y12" s="55" t="s">
        <v>84</v>
      </c>
      <c r="Z12" s="215" t="s">
        <v>90</v>
      </c>
      <c r="AA12" s="55" t="s">
        <v>55</v>
      </c>
      <c r="AB12" s="39" t="s">
        <v>341</v>
      </c>
      <c r="AE12" s="222" t="s">
        <v>70</v>
      </c>
      <c r="AG12" s="230" t="s">
        <v>386</v>
      </c>
      <c r="AH12" s="87" t="s">
        <v>387</v>
      </c>
      <c r="AJ12" s="88"/>
      <c r="AP12" s="223" t="s">
        <v>67</v>
      </c>
      <c r="AR12" s="230" t="s">
        <v>124</v>
      </c>
      <c r="AV12" s="223" t="s">
        <v>72</v>
      </c>
    </row>
    <row r="13" spans="1:53" x14ac:dyDescent="0.15">
      <c r="A13" s="55" t="s">
        <v>56</v>
      </c>
      <c r="B13" s="55" t="s">
        <v>388</v>
      </c>
      <c r="C13" s="215">
        <v>2018</v>
      </c>
      <c r="D13" s="86" t="s">
        <v>389</v>
      </c>
      <c r="E13" s="215" t="s">
        <v>381</v>
      </c>
      <c r="F13" s="215" t="s">
        <v>382</v>
      </c>
      <c r="G13" s="55" t="s">
        <v>42</v>
      </c>
      <c r="H13" s="215" t="s">
        <v>155</v>
      </c>
      <c r="I13" s="55" t="s">
        <v>153</v>
      </c>
      <c r="J13" s="215" t="s">
        <v>38</v>
      </c>
      <c r="K13" s="215" t="s">
        <v>154</v>
      </c>
      <c r="L13" s="207">
        <v>3</v>
      </c>
      <c r="N13" s="207">
        <v>1</v>
      </c>
      <c r="O13" s="207">
        <v>0.8</v>
      </c>
      <c r="P13" s="207">
        <v>0.8</v>
      </c>
      <c r="Q13" s="244">
        <f t="shared" si="0"/>
        <v>0.8</v>
      </c>
      <c r="R13" s="236">
        <v>14.7</v>
      </c>
      <c r="S13" s="207">
        <v>113</v>
      </c>
      <c r="T13" s="216">
        <f t="shared" si="1"/>
        <v>30</v>
      </c>
      <c r="U13" s="207">
        <v>84</v>
      </c>
      <c r="V13" s="216">
        <f t="shared" si="2"/>
        <v>2520</v>
      </c>
      <c r="W13" s="207">
        <v>4</v>
      </c>
      <c r="X13" s="55" t="s">
        <v>46</v>
      </c>
      <c r="Y13" s="55" t="s">
        <v>84</v>
      </c>
      <c r="Z13" s="215" t="s">
        <v>90</v>
      </c>
      <c r="AA13" s="55" t="s">
        <v>55</v>
      </c>
      <c r="AB13" s="39" t="s">
        <v>341</v>
      </c>
      <c r="AE13" s="222" t="s">
        <v>73</v>
      </c>
      <c r="AP13" s="223" t="s">
        <v>71</v>
      </c>
      <c r="AR13" s="230" t="s">
        <v>103</v>
      </c>
      <c r="AV13" s="223" t="s">
        <v>75</v>
      </c>
    </row>
    <row r="14" spans="1:53" x14ac:dyDescent="0.15">
      <c r="A14" s="55" t="s">
        <v>56</v>
      </c>
      <c r="B14" s="55" t="s">
        <v>390</v>
      </c>
      <c r="C14" s="215">
        <v>2018</v>
      </c>
      <c r="D14" s="86" t="s">
        <v>391</v>
      </c>
      <c r="E14" s="215" t="s">
        <v>381</v>
      </c>
      <c r="F14" s="215" t="s">
        <v>382</v>
      </c>
      <c r="G14" s="55" t="s">
        <v>42</v>
      </c>
      <c r="H14" s="215" t="s">
        <v>165</v>
      </c>
      <c r="I14" s="55" t="s">
        <v>153</v>
      </c>
      <c r="J14" s="215" t="s">
        <v>38</v>
      </c>
      <c r="K14" s="215" t="s">
        <v>154</v>
      </c>
      <c r="L14" s="207">
        <v>1</v>
      </c>
      <c r="N14" s="207">
        <v>5</v>
      </c>
      <c r="O14" s="207">
        <v>0.7</v>
      </c>
      <c r="P14" s="207">
        <v>0.75</v>
      </c>
      <c r="Q14" s="244">
        <f t="shared" si="0"/>
        <v>0.72499999999999998</v>
      </c>
      <c r="R14" s="207">
        <v>15</v>
      </c>
      <c r="S14" s="207">
        <v>119</v>
      </c>
      <c r="T14" s="216">
        <f t="shared" si="1"/>
        <v>30</v>
      </c>
      <c r="U14" s="207">
        <v>646</v>
      </c>
      <c r="V14" s="216">
        <f t="shared" si="2"/>
        <v>3875.9999999999995</v>
      </c>
      <c r="W14" s="207">
        <v>2</v>
      </c>
      <c r="X14" s="55" t="s">
        <v>46</v>
      </c>
      <c r="Y14" s="55" t="s">
        <v>84</v>
      </c>
      <c r="Z14" s="215" t="s">
        <v>90</v>
      </c>
      <c r="AA14" s="55" t="s">
        <v>55</v>
      </c>
      <c r="AB14" s="39" t="s">
        <v>341</v>
      </c>
      <c r="AE14" s="222" t="s">
        <v>76</v>
      </c>
      <c r="AP14" s="223" t="s">
        <v>74</v>
      </c>
      <c r="AR14" s="230" t="s">
        <v>125</v>
      </c>
      <c r="AV14" s="223" t="s">
        <v>78</v>
      </c>
    </row>
    <row r="15" spans="1:53" x14ac:dyDescent="0.15">
      <c r="A15" s="55" t="s">
        <v>56</v>
      </c>
      <c r="B15" s="55" t="s">
        <v>390</v>
      </c>
      <c r="C15" s="215">
        <v>2018</v>
      </c>
      <c r="D15" s="86" t="s">
        <v>391</v>
      </c>
      <c r="E15" s="215" t="s">
        <v>381</v>
      </c>
      <c r="F15" s="215" t="s">
        <v>382</v>
      </c>
      <c r="G15" s="55" t="s">
        <v>42</v>
      </c>
      <c r="H15" s="215" t="s">
        <v>165</v>
      </c>
      <c r="I15" s="55" t="s">
        <v>153</v>
      </c>
      <c r="J15" s="215" t="s">
        <v>38</v>
      </c>
      <c r="K15" s="215" t="s">
        <v>154</v>
      </c>
      <c r="L15" s="207">
        <v>2</v>
      </c>
      <c r="N15" s="207">
        <v>5</v>
      </c>
      <c r="O15" s="207">
        <v>0.7</v>
      </c>
      <c r="P15" s="207">
        <v>0.75</v>
      </c>
      <c r="Q15" s="244">
        <f t="shared" si="0"/>
        <v>0.72499999999999998</v>
      </c>
      <c r="R15" s="207">
        <v>15.3</v>
      </c>
      <c r="S15" s="207">
        <v>133</v>
      </c>
      <c r="T15" s="216">
        <f t="shared" si="1"/>
        <v>25</v>
      </c>
      <c r="U15" s="207">
        <v>646</v>
      </c>
      <c r="V15" s="216">
        <f t="shared" si="2"/>
        <v>3229.9999999999995</v>
      </c>
      <c r="W15" s="207">
        <v>2</v>
      </c>
      <c r="X15" s="55" t="s">
        <v>46</v>
      </c>
      <c r="Y15" s="55" t="s">
        <v>84</v>
      </c>
      <c r="Z15" s="215" t="s">
        <v>90</v>
      </c>
      <c r="AA15" s="55" t="s">
        <v>55</v>
      </c>
      <c r="AB15" s="39" t="s">
        <v>341</v>
      </c>
      <c r="AE15" s="222" t="s">
        <v>79</v>
      </c>
      <c r="AP15" s="223" t="s">
        <v>77</v>
      </c>
      <c r="AR15" s="230" t="s">
        <v>94</v>
      </c>
      <c r="AV15" s="223" t="s">
        <v>107</v>
      </c>
    </row>
    <row r="16" spans="1:53" x14ac:dyDescent="0.15">
      <c r="A16" s="55" t="s">
        <v>56</v>
      </c>
      <c r="B16" s="55" t="s">
        <v>392</v>
      </c>
      <c r="C16" s="215">
        <v>2018</v>
      </c>
      <c r="D16" s="86" t="s">
        <v>393</v>
      </c>
      <c r="E16" s="215" t="s">
        <v>381</v>
      </c>
      <c r="F16" s="215" t="s">
        <v>382</v>
      </c>
      <c r="G16" s="55" t="s">
        <v>42</v>
      </c>
      <c r="H16" s="215" t="s">
        <v>165</v>
      </c>
      <c r="I16" s="55" t="s">
        <v>153</v>
      </c>
      <c r="J16" s="215" t="s">
        <v>38</v>
      </c>
      <c r="K16" s="215" t="s">
        <v>154</v>
      </c>
      <c r="L16" s="207">
        <v>3</v>
      </c>
      <c r="N16" s="207">
        <v>5</v>
      </c>
      <c r="O16" s="207">
        <v>0.7</v>
      </c>
      <c r="P16" s="207">
        <v>0.65</v>
      </c>
      <c r="Q16" s="244">
        <f t="shared" si="0"/>
        <v>0.67500000000000004</v>
      </c>
      <c r="R16" s="236">
        <v>15.7</v>
      </c>
      <c r="S16" s="207">
        <v>121</v>
      </c>
      <c r="T16" s="216">
        <f t="shared" si="1"/>
        <v>27</v>
      </c>
      <c r="U16" s="207">
        <v>646</v>
      </c>
      <c r="V16" s="216">
        <f t="shared" si="2"/>
        <v>3488.3999999999996</v>
      </c>
      <c r="W16" s="207">
        <v>2</v>
      </c>
      <c r="X16" s="55" t="s">
        <v>46</v>
      </c>
      <c r="Y16" s="55" t="s">
        <v>84</v>
      </c>
      <c r="Z16" s="215" t="s">
        <v>90</v>
      </c>
      <c r="AA16" s="55" t="s">
        <v>55</v>
      </c>
      <c r="AB16" s="39" t="s">
        <v>341</v>
      </c>
      <c r="AE16" s="222" t="s">
        <v>82</v>
      </c>
      <c r="AP16" s="223" t="s">
        <v>80</v>
      </c>
      <c r="AR16" s="237" t="s">
        <v>63</v>
      </c>
      <c r="AV16" s="223" t="s">
        <v>84</v>
      </c>
    </row>
    <row r="17" spans="1:48" x14ac:dyDescent="0.15">
      <c r="A17" s="55" t="s">
        <v>56</v>
      </c>
      <c r="B17" s="55" t="s">
        <v>392</v>
      </c>
      <c r="C17" s="215">
        <v>2018</v>
      </c>
      <c r="D17" s="86" t="s">
        <v>393</v>
      </c>
      <c r="E17" s="215" t="s">
        <v>394</v>
      </c>
      <c r="F17" s="215" t="s">
        <v>395</v>
      </c>
      <c r="G17" s="55" t="s">
        <v>42</v>
      </c>
      <c r="H17" s="215" t="s">
        <v>155</v>
      </c>
      <c r="I17" s="55" t="s">
        <v>153</v>
      </c>
      <c r="J17" s="215" t="s">
        <v>38</v>
      </c>
      <c r="K17" s="215" t="s">
        <v>154</v>
      </c>
      <c r="L17" s="207">
        <v>1</v>
      </c>
      <c r="N17" s="207">
        <v>4</v>
      </c>
      <c r="O17" s="207">
        <v>0.6</v>
      </c>
      <c r="P17" s="207">
        <v>0.65</v>
      </c>
      <c r="Q17" s="244">
        <f t="shared" si="0"/>
        <v>0.625</v>
      </c>
      <c r="R17" s="207">
        <v>14.2</v>
      </c>
      <c r="S17" s="207">
        <v>106</v>
      </c>
      <c r="T17" s="216">
        <f t="shared" si="1"/>
        <v>33</v>
      </c>
      <c r="U17" s="207">
        <v>377</v>
      </c>
      <c r="V17" s="216">
        <f t="shared" si="2"/>
        <v>3110.25</v>
      </c>
      <c r="W17" s="207">
        <v>2</v>
      </c>
      <c r="X17" s="55" t="s">
        <v>46</v>
      </c>
      <c r="Y17" s="55" t="s">
        <v>90</v>
      </c>
      <c r="Z17" s="215" t="s">
        <v>84</v>
      </c>
      <c r="AA17" s="55" t="s">
        <v>78</v>
      </c>
      <c r="AB17" s="39" t="s">
        <v>341</v>
      </c>
      <c r="AE17" s="222" t="s">
        <v>85</v>
      </c>
      <c r="AP17" s="238" t="s">
        <v>110</v>
      </c>
      <c r="AR17" s="237" t="s">
        <v>96</v>
      </c>
      <c r="AV17" s="223" t="s">
        <v>86</v>
      </c>
    </row>
    <row r="18" spans="1:48" x14ac:dyDescent="0.15">
      <c r="A18" s="55" t="s">
        <v>56</v>
      </c>
      <c r="B18" s="55" t="s">
        <v>392</v>
      </c>
      <c r="C18" s="215">
        <v>2018</v>
      </c>
      <c r="D18" s="86" t="s">
        <v>393</v>
      </c>
      <c r="E18" s="215" t="s">
        <v>394</v>
      </c>
      <c r="F18" s="215" t="s">
        <v>395</v>
      </c>
      <c r="G18" s="55" t="s">
        <v>42</v>
      </c>
      <c r="H18" s="215" t="s">
        <v>155</v>
      </c>
      <c r="I18" s="55" t="s">
        <v>153</v>
      </c>
      <c r="J18" s="215" t="s">
        <v>38</v>
      </c>
      <c r="K18" s="215" t="s">
        <v>154</v>
      </c>
      <c r="L18" s="207">
        <v>2</v>
      </c>
      <c r="N18" s="207">
        <v>4</v>
      </c>
      <c r="O18" s="207">
        <v>0.75</v>
      </c>
      <c r="P18" s="207">
        <v>0.75</v>
      </c>
      <c r="Q18" s="244">
        <f t="shared" si="0"/>
        <v>0.75</v>
      </c>
      <c r="R18" s="207">
        <v>14.9</v>
      </c>
      <c r="S18" s="207">
        <v>106</v>
      </c>
      <c r="T18" s="216">
        <f t="shared" si="1"/>
        <v>33</v>
      </c>
      <c r="U18" s="207">
        <v>377</v>
      </c>
      <c r="V18" s="216">
        <f t="shared" si="2"/>
        <v>3110.25</v>
      </c>
      <c r="W18" s="207">
        <v>2</v>
      </c>
      <c r="X18" s="55" t="s">
        <v>46</v>
      </c>
      <c r="Y18" s="55" t="s">
        <v>90</v>
      </c>
      <c r="Z18" s="215" t="s">
        <v>84</v>
      </c>
      <c r="AA18" s="55" t="s">
        <v>78</v>
      </c>
      <c r="AB18" s="39" t="s">
        <v>341</v>
      </c>
      <c r="AE18" s="222" t="s">
        <v>87</v>
      </c>
      <c r="AP18" s="238" t="s">
        <v>111</v>
      </c>
      <c r="AR18" s="237" t="s">
        <v>101</v>
      </c>
      <c r="AV18" s="223" t="s">
        <v>88</v>
      </c>
    </row>
    <row r="19" spans="1:48" x14ac:dyDescent="0.15">
      <c r="A19" s="55" t="s">
        <v>56</v>
      </c>
      <c r="B19" s="55" t="s">
        <v>384</v>
      </c>
      <c r="C19" s="215">
        <v>2018</v>
      </c>
      <c r="D19" s="86" t="s">
        <v>385</v>
      </c>
      <c r="E19" s="215" t="s">
        <v>394</v>
      </c>
      <c r="F19" s="215" t="s">
        <v>395</v>
      </c>
      <c r="G19" s="55" t="s">
        <v>42</v>
      </c>
      <c r="H19" s="215" t="s">
        <v>155</v>
      </c>
      <c r="I19" s="55" t="s">
        <v>153</v>
      </c>
      <c r="J19" s="215" t="s">
        <v>38</v>
      </c>
      <c r="K19" s="215" t="s">
        <v>154</v>
      </c>
      <c r="L19" s="207">
        <v>3</v>
      </c>
      <c r="N19" s="207">
        <v>4</v>
      </c>
      <c r="O19" s="207">
        <v>0.75</v>
      </c>
      <c r="P19" s="207">
        <v>0.8</v>
      </c>
      <c r="Q19" s="244">
        <f t="shared" si="0"/>
        <v>0.77500000000000002</v>
      </c>
      <c r="R19" s="236">
        <v>13.3</v>
      </c>
      <c r="S19" s="207">
        <v>108</v>
      </c>
      <c r="T19" s="216">
        <f t="shared" si="1"/>
        <v>33</v>
      </c>
      <c r="U19" s="207">
        <v>377</v>
      </c>
      <c r="V19" s="216">
        <f t="shared" si="2"/>
        <v>3110.25</v>
      </c>
      <c r="W19" s="207">
        <v>2</v>
      </c>
      <c r="X19" s="55" t="s">
        <v>46</v>
      </c>
      <c r="Y19" s="55" t="s">
        <v>90</v>
      </c>
      <c r="Z19" s="215" t="s">
        <v>84</v>
      </c>
      <c r="AA19" s="55" t="s">
        <v>78</v>
      </c>
      <c r="AB19" s="39" t="s">
        <v>341</v>
      </c>
      <c r="AE19" s="235" t="s">
        <v>89</v>
      </c>
      <c r="AP19" s="238" t="s">
        <v>112</v>
      </c>
      <c r="AR19" s="230" t="s">
        <v>126</v>
      </c>
      <c r="AV19" s="223" t="s">
        <v>90</v>
      </c>
    </row>
    <row r="20" spans="1:48" x14ac:dyDescent="0.15">
      <c r="A20" s="55" t="s">
        <v>56</v>
      </c>
      <c r="B20" s="55" t="s">
        <v>384</v>
      </c>
      <c r="C20" s="215">
        <v>2018</v>
      </c>
      <c r="D20" s="86" t="s">
        <v>385</v>
      </c>
      <c r="E20" s="215" t="s">
        <v>394</v>
      </c>
      <c r="F20" s="215" t="s">
        <v>395</v>
      </c>
      <c r="G20" s="55" t="s">
        <v>42</v>
      </c>
      <c r="H20" s="215" t="s">
        <v>165</v>
      </c>
      <c r="I20" s="55" t="s">
        <v>153</v>
      </c>
      <c r="J20" s="215" t="s">
        <v>38</v>
      </c>
      <c r="K20" s="215" t="s">
        <v>154</v>
      </c>
      <c r="L20" s="207">
        <v>1</v>
      </c>
      <c r="N20" s="207">
        <v>4</v>
      </c>
      <c r="O20" s="207">
        <v>0.8</v>
      </c>
      <c r="P20" s="207">
        <v>0.75</v>
      </c>
      <c r="Q20" s="244">
        <f t="shared" si="0"/>
        <v>0.77500000000000002</v>
      </c>
      <c r="R20" s="207">
        <v>15.7</v>
      </c>
      <c r="S20" s="207">
        <v>101</v>
      </c>
      <c r="T20" s="216">
        <f t="shared" si="1"/>
        <v>33</v>
      </c>
      <c r="U20" s="207">
        <v>409</v>
      </c>
      <c r="V20" s="216">
        <f t="shared" si="2"/>
        <v>3374.25</v>
      </c>
      <c r="W20" s="207">
        <v>2</v>
      </c>
      <c r="X20" s="55" t="s">
        <v>46</v>
      </c>
      <c r="Y20" s="55" t="s">
        <v>90</v>
      </c>
      <c r="Z20" s="215" t="s">
        <v>84</v>
      </c>
      <c r="AA20" s="55" t="s">
        <v>78</v>
      </c>
      <c r="AB20" s="39" t="s">
        <v>341</v>
      </c>
      <c r="AP20" s="238" t="s">
        <v>113</v>
      </c>
      <c r="AR20" s="237" t="s">
        <v>105</v>
      </c>
      <c r="AV20" s="227" t="s">
        <v>370</v>
      </c>
    </row>
    <row r="21" spans="1:48" x14ac:dyDescent="0.15">
      <c r="A21" s="55" t="s">
        <v>56</v>
      </c>
      <c r="B21" s="55" t="s">
        <v>384</v>
      </c>
      <c r="C21" s="215">
        <v>2018</v>
      </c>
      <c r="D21" s="86" t="s">
        <v>385</v>
      </c>
      <c r="E21" s="215" t="s">
        <v>394</v>
      </c>
      <c r="F21" s="215" t="s">
        <v>395</v>
      </c>
      <c r="G21" s="55" t="s">
        <v>42</v>
      </c>
      <c r="H21" s="215" t="s">
        <v>165</v>
      </c>
      <c r="I21" s="55" t="s">
        <v>153</v>
      </c>
      <c r="J21" s="215" t="s">
        <v>38</v>
      </c>
      <c r="K21" s="215" t="s">
        <v>154</v>
      </c>
      <c r="L21" s="207">
        <v>2</v>
      </c>
      <c r="N21" s="207">
        <v>4</v>
      </c>
      <c r="O21" s="207">
        <v>0.75</v>
      </c>
      <c r="P21" s="207">
        <v>0.75</v>
      </c>
      <c r="Q21" s="244">
        <f t="shared" si="0"/>
        <v>0.75</v>
      </c>
      <c r="R21" s="207">
        <v>15.6</v>
      </c>
      <c r="S21" s="207">
        <v>98</v>
      </c>
      <c r="T21" s="216">
        <f t="shared" si="1"/>
        <v>36</v>
      </c>
      <c r="U21" s="207">
        <v>409</v>
      </c>
      <c r="V21" s="216">
        <f t="shared" si="2"/>
        <v>3681</v>
      </c>
      <c r="W21" s="207">
        <v>2</v>
      </c>
      <c r="X21" s="55" t="s">
        <v>46</v>
      </c>
      <c r="Y21" s="55" t="s">
        <v>90</v>
      </c>
      <c r="Z21" s="215" t="s">
        <v>84</v>
      </c>
      <c r="AA21" s="55" t="s">
        <v>78</v>
      </c>
      <c r="AB21" s="39" t="s">
        <v>341</v>
      </c>
      <c r="AP21" s="238" t="s">
        <v>114</v>
      </c>
      <c r="AR21" s="237" t="s">
        <v>68</v>
      </c>
      <c r="AV21" s="228" t="s">
        <v>396</v>
      </c>
    </row>
    <row r="22" spans="1:48" x14ac:dyDescent="0.15">
      <c r="A22" s="55" t="s">
        <v>56</v>
      </c>
      <c r="B22" s="55" t="s">
        <v>384</v>
      </c>
      <c r="C22" s="215">
        <v>2018</v>
      </c>
      <c r="D22" s="86" t="s">
        <v>385</v>
      </c>
      <c r="E22" s="215" t="s">
        <v>394</v>
      </c>
      <c r="F22" s="215" t="s">
        <v>395</v>
      </c>
      <c r="G22" s="55" t="s">
        <v>42</v>
      </c>
      <c r="H22" s="215" t="s">
        <v>165</v>
      </c>
      <c r="I22" s="55" t="s">
        <v>153</v>
      </c>
      <c r="J22" s="215" t="s">
        <v>38</v>
      </c>
      <c r="K22" s="215" t="s">
        <v>154</v>
      </c>
      <c r="L22" s="207">
        <v>3</v>
      </c>
      <c r="N22" s="207">
        <v>4</v>
      </c>
      <c r="O22" s="207">
        <v>0.8</v>
      </c>
      <c r="P22" s="207">
        <v>0.8</v>
      </c>
      <c r="Q22" s="244">
        <f t="shared" si="0"/>
        <v>0.8</v>
      </c>
      <c r="R22" s="236">
        <v>15</v>
      </c>
      <c r="S22" s="207">
        <v>91</v>
      </c>
      <c r="T22" s="216">
        <f t="shared" si="1"/>
        <v>36</v>
      </c>
      <c r="U22" s="207">
        <v>409</v>
      </c>
      <c r="V22" s="216">
        <f t="shared" si="2"/>
        <v>3681</v>
      </c>
      <c r="W22" s="207">
        <v>2</v>
      </c>
      <c r="X22" s="55" t="s">
        <v>46</v>
      </c>
      <c r="Y22" s="55" t="s">
        <v>90</v>
      </c>
      <c r="Z22" s="215" t="s">
        <v>84</v>
      </c>
      <c r="AA22" s="55" t="s">
        <v>78</v>
      </c>
      <c r="AB22" s="39" t="s">
        <v>341</v>
      </c>
      <c r="AP22" s="238" t="s">
        <v>115</v>
      </c>
      <c r="AR22" s="237" t="s">
        <v>83</v>
      </c>
    </row>
    <row r="23" spans="1:48" x14ac:dyDescent="0.15">
      <c r="A23" s="55" t="s">
        <v>56</v>
      </c>
      <c r="B23" s="55" t="s">
        <v>384</v>
      </c>
      <c r="C23" s="215">
        <v>2018</v>
      </c>
      <c r="D23" s="86" t="s">
        <v>385</v>
      </c>
      <c r="E23" s="215" t="s">
        <v>316</v>
      </c>
      <c r="F23" s="215" t="s">
        <v>183</v>
      </c>
      <c r="G23" s="55" t="s">
        <v>42</v>
      </c>
      <c r="H23" s="215" t="s">
        <v>155</v>
      </c>
      <c r="I23" s="55" t="s">
        <v>153</v>
      </c>
      <c r="J23" s="215" t="s">
        <v>38</v>
      </c>
      <c r="K23" s="215" t="s">
        <v>154</v>
      </c>
      <c r="L23" s="207">
        <v>1</v>
      </c>
      <c r="N23" s="207">
        <v>1</v>
      </c>
      <c r="O23" s="207">
        <v>0.7</v>
      </c>
      <c r="P23" s="207">
        <v>0.7</v>
      </c>
      <c r="Q23" s="244">
        <f t="shared" si="0"/>
        <v>0.7</v>
      </c>
      <c r="R23" s="207">
        <v>16.3</v>
      </c>
      <c r="S23" s="207">
        <v>132</v>
      </c>
      <c r="T23" s="216">
        <f t="shared" si="1"/>
        <v>25</v>
      </c>
      <c r="U23" s="207">
        <v>105</v>
      </c>
      <c r="V23" s="216">
        <f t="shared" si="2"/>
        <v>2625</v>
      </c>
      <c r="W23" s="207">
        <v>2</v>
      </c>
      <c r="X23" s="55" t="s">
        <v>46</v>
      </c>
      <c r="Y23" s="55" t="s">
        <v>90</v>
      </c>
      <c r="Z23" s="215" t="s">
        <v>84</v>
      </c>
      <c r="AA23" s="55" t="s">
        <v>50</v>
      </c>
      <c r="AB23" s="39" t="s">
        <v>341</v>
      </c>
      <c r="AP23" s="238" t="s">
        <v>397</v>
      </c>
      <c r="AR23" s="237" t="s">
        <v>61</v>
      </c>
    </row>
    <row r="24" spans="1:48" x14ac:dyDescent="0.15">
      <c r="A24" s="55" t="s">
        <v>56</v>
      </c>
      <c r="B24" s="55" t="s">
        <v>384</v>
      </c>
      <c r="C24" s="215">
        <v>2018</v>
      </c>
      <c r="D24" s="86" t="s">
        <v>385</v>
      </c>
      <c r="E24" s="215" t="s">
        <v>316</v>
      </c>
      <c r="F24" s="215" t="s">
        <v>183</v>
      </c>
      <c r="G24" s="55" t="s">
        <v>42</v>
      </c>
      <c r="H24" s="215" t="s">
        <v>155</v>
      </c>
      <c r="I24" s="55" t="s">
        <v>153</v>
      </c>
      <c r="J24" s="215" t="s">
        <v>38</v>
      </c>
      <c r="K24" s="215" t="s">
        <v>154</v>
      </c>
      <c r="L24" s="207">
        <v>2</v>
      </c>
      <c r="N24" s="207">
        <v>1</v>
      </c>
      <c r="O24" s="207">
        <v>0.8</v>
      </c>
      <c r="P24" s="207">
        <v>0.8</v>
      </c>
      <c r="Q24" s="244">
        <f t="shared" si="0"/>
        <v>0.8</v>
      </c>
      <c r="R24" s="207">
        <v>15.6</v>
      </c>
      <c r="S24" s="207">
        <v>126</v>
      </c>
      <c r="T24" s="216">
        <f t="shared" si="1"/>
        <v>27</v>
      </c>
      <c r="U24" s="207">
        <v>105</v>
      </c>
      <c r="V24" s="216">
        <f t="shared" si="2"/>
        <v>2835</v>
      </c>
      <c r="W24" s="207">
        <v>2</v>
      </c>
      <c r="X24" s="55" t="s">
        <v>46</v>
      </c>
      <c r="Y24" s="55" t="s">
        <v>90</v>
      </c>
      <c r="Z24" s="215" t="s">
        <v>84</v>
      </c>
      <c r="AA24" s="55" t="s">
        <v>50</v>
      </c>
      <c r="AB24" s="39" t="s">
        <v>341</v>
      </c>
      <c r="AP24" s="238" t="s">
        <v>398</v>
      </c>
      <c r="AR24" s="237" t="s">
        <v>91</v>
      </c>
    </row>
    <row r="25" spans="1:48" x14ac:dyDescent="0.15">
      <c r="A25" s="55" t="s">
        <v>56</v>
      </c>
      <c r="B25" s="55" t="s">
        <v>384</v>
      </c>
      <c r="C25" s="215">
        <v>2018</v>
      </c>
      <c r="D25" s="86" t="s">
        <v>385</v>
      </c>
      <c r="E25" s="215" t="s">
        <v>316</v>
      </c>
      <c r="F25" s="215" t="s">
        <v>183</v>
      </c>
      <c r="G25" s="55" t="s">
        <v>42</v>
      </c>
      <c r="H25" s="215" t="s">
        <v>155</v>
      </c>
      <c r="I25" s="55" t="s">
        <v>153</v>
      </c>
      <c r="J25" s="215" t="s">
        <v>38</v>
      </c>
      <c r="K25" s="215" t="s">
        <v>154</v>
      </c>
      <c r="L25" s="207">
        <v>3</v>
      </c>
      <c r="N25" s="207">
        <v>1</v>
      </c>
      <c r="O25" s="207">
        <v>0.95</v>
      </c>
      <c r="P25" s="207">
        <v>0.95</v>
      </c>
      <c r="Q25" s="244">
        <f t="shared" si="0"/>
        <v>0.95</v>
      </c>
      <c r="R25" s="207">
        <v>14.9</v>
      </c>
      <c r="S25" s="207">
        <v>132</v>
      </c>
      <c r="T25" s="216">
        <f t="shared" si="1"/>
        <v>25</v>
      </c>
      <c r="U25" s="207">
        <v>105</v>
      </c>
      <c r="V25" s="216">
        <f t="shared" si="2"/>
        <v>2625</v>
      </c>
      <c r="W25" s="207">
        <v>2</v>
      </c>
      <c r="X25" s="55" t="s">
        <v>46</v>
      </c>
      <c r="Y25" s="55" t="s">
        <v>90</v>
      </c>
      <c r="Z25" s="215" t="s">
        <v>84</v>
      </c>
      <c r="AA25" s="55" t="s">
        <v>50</v>
      </c>
      <c r="AB25" s="39" t="s">
        <v>341</v>
      </c>
      <c r="AP25" s="238" t="s">
        <v>116</v>
      </c>
      <c r="AR25" s="42" t="s">
        <v>92</v>
      </c>
    </row>
    <row r="26" spans="1:48" x14ac:dyDescent="0.15">
      <c r="A26" s="55" t="s">
        <v>56</v>
      </c>
      <c r="B26" s="55" t="s">
        <v>384</v>
      </c>
      <c r="C26" s="215">
        <v>2018</v>
      </c>
      <c r="D26" s="86" t="s">
        <v>385</v>
      </c>
      <c r="E26" s="215" t="s">
        <v>316</v>
      </c>
      <c r="F26" s="215" t="s">
        <v>183</v>
      </c>
      <c r="G26" s="55" t="s">
        <v>42</v>
      </c>
      <c r="H26" s="215" t="s">
        <v>165</v>
      </c>
      <c r="I26" s="55" t="s">
        <v>153</v>
      </c>
      <c r="J26" s="215" t="s">
        <v>38</v>
      </c>
      <c r="K26" s="215" t="s">
        <v>154</v>
      </c>
      <c r="L26" s="207">
        <v>1</v>
      </c>
      <c r="N26" s="207">
        <v>1</v>
      </c>
      <c r="O26" s="207">
        <v>0.7</v>
      </c>
      <c r="P26" s="207">
        <v>0.7</v>
      </c>
      <c r="Q26" s="244">
        <f t="shared" si="0"/>
        <v>0.7</v>
      </c>
      <c r="R26" s="207">
        <v>15.8</v>
      </c>
      <c r="S26" s="207">
        <v>136</v>
      </c>
      <c r="T26" s="216">
        <f t="shared" si="1"/>
        <v>25</v>
      </c>
      <c r="U26" s="207">
        <v>149</v>
      </c>
      <c r="V26" s="216">
        <f t="shared" si="2"/>
        <v>3725</v>
      </c>
      <c r="W26" s="207">
        <v>2</v>
      </c>
      <c r="X26" s="55" t="s">
        <v>46</v>
      </c>
      <c r="Y26" s="55" t="s">
        <v>90</v>
      </c>
      <c r="Z26" s="215" t="s">
        <v>84</v>
      </c>
      <c r="AA26" s="55" t="s">
        <v>50</v>
      </c>
      <c r="AB26" s="39" t="s">
        <v>341</v>
      </c>
      <c r="AP26" s="238" t="s">
        <v>117</v>
      </c>
      <c r="AR26" s="207" t="s">
        <v>290</v>
      </c>
    </row>
    <row r="27" spans="1:48" x14ac:dyDescent="0.15">
      <c r="A27" s="55" t="s">
        <v>56</v>
      </c>
      <c r="B27" s="55" t="s">
        <v>384</v>
      </c>
      <c r="C27" s="215">
        <v>2018</v>
      </c>
      <c r="D27" s="86" t="s">
        <v>385</v>
      </c>
      <c r="E27" s="215" t="s">
        <v>316</v>
      </c>
      <c r="F27" s="215" t="s">
        <v>183</v>
      </c>
      <c r="G27" s="55" t="s">
        <v>42</v>
      </c>
      <c r="H27" s="215" t="s">
        <v>165</v>
      </c>
      <c r="I27" s="55" t="s">
        <v>153</v>
      </c>
      <c r="J27" s="215" t="s">
        <v>38</v>
      </c>
      <c r="K27" s="215" t="s">
        <v>154</v>
      </c>
      <c r="L27" s="207">
        <v>2</v>
      </c>
      <c r="N27" s="207">
        <v>1</v>
      </c>
      <c r="O27" s="207">
        <v>0.7</v>
      </c>
      <c r="P27" s="207">
        <v>0.75</v>
      </c>
      <c r="Q27" s="244">
        <f t="shared" si="0"/>
        <v>0.72499999999999998</v>
      </c>
      <c r="R27" s="207">
        <v>16.3</v>
      </c>
      <c r="S27" s="207">
        <v>135</v>
      </c>
      <c r="T27" s="216">
        <f t="shared" si="1"/>
        <v>25</v>
      </c>
      <c r="U27" s="207">
        <v>149</v>
      </c>
      <c r="V27" s="216">
        <f t="shared" si="2"/>
        <v>3725</v>
      </c>
      <c r="W27" s="207">
        <v>2</v>
      </c>
      <c r="X27" s="55" t="s">
        <v>46</v>
      </c>
      <c r="Y27" s="55" t="s">
        <v>90</v>
      </c>
      <c r="Z27" s="215" t="s">
        <v>84</v>
      </c>
      <c r="AA27" s="55" t="s">
        <v>50</v>
      </c>
      <c r="AB27" s="39" t="s">
        <v>341</v>
      </c>
      <c r="AP27" s="238" t="s">
        <v>118</v>
      </c>
    </row>
    <row r="28" spans="1:48" x14ac:dyDescent="0.15">
      <c r="A28" s="55" t="s">
        <v>56</v>
      </c>
      <c r="B28" s="55" t="s">
        <v>384</v>
      </c>
      <c r="C28" s="215">
        <v>2018</v>
      </c>
      <c r="D28" s="86" t="s">
        <v>385</v>
      </c>
      <c r="E28" s="215" t="s">
        <v>316</v>
      </c>
      <c r="F28" s="215" t="s">
        <v>183</v>
      </c>
      <c r="G28" s="55" t="s">
        <v>42</v>
      </c>
      <c r="H28" s="215" t="s">
        <v>165</v>
      </c>
      <c r="I28" s="55" t="s">
        <v>153</v>
      </c>
      <c r="J28" s="215" t="s">
        <v>38</v>
      </c>
      <c r="K28" s="215" t="s">
        <v>154</v>
      </c>
      <c r="L28" s="207">
        <v>3</v>
      </c>
      <c r="N28" s="207">
        <v>1</v>
      </c>
      <c r="O28" s="207">
        <v>0.65</v>
      </c>
      <c r="P28" s="207">
        <v>0.7</v>
      </c>
      <c r="Q28" s="244">
        <f t="shared" si="0"/>
        <v>0.67500000000000004</v>
      </c>
      <c r="R28" s="207">
        <v>17</v>
      </c>
      <c r="S28" s="207">
        <v>135</v>
      </c>
      <c r="T28" s="216">
        <f t="shared" si="1"/>
        <v>25</v>
      </c>
      <c r="U28" s="207">
        <v>149</v>
      </c>
      <c r="V28" s="216">
        <f t="shared" si="2"/>
        <v>3725</v>
      </c>
      <c r="W28" s="207">
        <v>2</v>
      </c>
      <c r="X28" s="55" t="s">
        <v>46</v>
      </c>
      <c r="Y28" s="55" t="s">
        <v>90</v>
      </c>
      <c r="Z28" s="215" t="s">
        <v>84</v>
      </c>
      <c r="AA28" s="55" t="s">
        <v>50</v>
      </c>
      <c r="AB28" s="39" t="s">
        <v>341</v>
      </c>
    </row>
    <row r="29" spans="1:48" x14ac:dyDescent="0.15">
      <c r="A29" s="55" t="s">
        <v>56</v>
      </c>
      <c r="B29" s="55" t="s">
        <v>384</v>
      </c>
      <c r="C29" s="215">
        <v>2018</v>
      </c>
      <c r="D29" s="86" t="s">
        <v>385</v>
      </c>
      <c r="E29" s="215" t="s">
        <v>399</v>
      </c>
      <c r="F29" s="215" t="s">
        <v>183</v>
      </c>
      <c r="G29" s="55" t="s">
        <v>42</v>
      </c>
      <c r="H29" s="215" t="s">
        <v>155</v>
      </c>
      <c r="I29" s="55" t="s">
        <v>153</v>
      </c>
      <c r="J29" s="215" t="s">
        <v>38</v>
      </c>
      <c r="K29" s="215" t="s">
        <v>154</v>
      </c>
      <c r="L29" s="207">
        <v>1</v>
      </c>
      <c r="N29" s="207">
        <v>1</v>
      </c>
      <c r="O29" s="207">
        <v>1</v>
      </c>
      <c r="P29" s="207">
        <v>1</v>
      </c>
      <c r="Q29" s="216">
        <f t="shared" si="0"/>
        <v>1</v>
      </c>
      <c r="R29" s="207">
        <v>14.4</v>
      </c>
      <c r="S29" s="207">
        <v>123</v>
      </c>
      <c r="T29" s="216">
        <f t="shared" si="1"/>
        <v>27</v>
      </c>
      <c r="U29" s="207">
        <v>138</v>
      </c>
      <c r="V29" s="216">
        <f t="shared" si="2"/>
        <v>3726</v>
      </c>
      <c r="W29" s="207">
        <v>1</v>
      </c>
      <c r="X29" s="55" t="s">
        <v>39</v>
      </c>
      <c r="Y29" s="55" t="s">
        <v>78</v>
      </c>
      <c r="Z29" s="215" t="s">
        <v>102</v>
      </c>
      <c r="AA29" s="55" t="s">
        <v>84</v>
      </c>
      <c r="AB29" s="39" t="s">
        <v>341</v>
      </c>
    </row>
    <row r="30" spans="1:48" x14ac:dyDescent="0.15">
      <c r="A30" s="55" t="s">
        <v>56</v>
      </c>
      <c r="B30" s="55" t="s">
        <v>384</v>
      </c>
      <c r="C30" s="215">
        <v>2018</v>
      </c>
      <c r="D30" s="86" t="s">
        <v>385</v>
      </c>
      <c r="E30" s="215" t="s">
        <v>399</v>
      </c>
      <c r="F30" s="215" t="s">
        <v>183</v>
      </c>
      <c r="G30" s="55" t="s">
        <v>42</v>
      </c>
      <c r="H30" s="215" t="s">
        <v>155</v>
      </c>
      <c r="I30" s="55" t="s">
        <v>153</v>
      </c>
      <c r="J30" s="215" t="s">
        <v>38</v>
      </c>
      <c r="K30" s="215" t="s">
        <v>154</v>
      </c>
      <c r="L30" s="207">
        <v>2</v>
      </c>
      <c r="N30" s="207">
        <v>1</v>
      </c>
      <c r="O30" s="207">
        <v>1.1000000000000001</v>
      </c>
      <c r="P30" s="207">
        <v>1.1000000000000001</v>
      </c>
      <c r="Q30" s="216">
        <f t="shared" si="0"/>
        <v>1.1000000000000001</v>
      </c>
      <c r="R30" s="207">
        <v>14.5</v>
      </c>
      <c r="S30" s="207">
        <v>126</v>
      </c>
      <c r="T30" s="216">
        <f t="shared" si="1"/>
        <v>27</v>
      </c>
      <c r="U30" s="207">
        <v>138</v>
      </c>
      <c r="V30" s="216">
        <f t="shared" si="2"/>
        <v>3726</v>
      </c>
      <c r="W30" s="207">
        <v>1</v>
      </c>
      <c r="X30" s="55" t="s">
        <v>39</v>
      </c>
      <c r="Y30" s="55" t="s">
        <v>78</v>
      </c>
      <c r="Z30" s="215" t="s">
        <v>102</v>
      </c>
      <c r="AA30" s="55" t="s">
        <v>84</v>
      </c>
      <c r="AB30" s="39" t="s">
        <v>341</v>
      </c>
    </row>
    <row r="31" spans="1:48" x14ac:dyDescent="0.15">
      <c r="A31" s="55" t="s">
        <v>56</v>
      </c>
      <c r="B31" s="55" t="s">
        <v>384</v>
      </c>
      <c r="C31" s="215">
        <v>2018</v>
      </c>
      <c r="D31" s="86" t="s">
        <v>385</v>
      </c>
      <c r="E31" s="215" t="s">
        <v>399</v>
      </c>
      <c r="F31" s="215" t="s">
        <v>183</v>
      </c>
      <c r="G31" s="55" t="s">
        <v>42</v>
      </c>
      <c r="H31" s="215" t="s">
        <v>155</v>
      </c>
      <c r="I31" s="55" t="s">
        <v>153</v>
      </c>
      <c r="J31" s="215" t="s">
        <v>38</v>
      </c>
      <c r="K31" s="215" t="s">
        <v>154</v>
      </c>
      <c r="L31" s="207">
        <v>3</v>
      </c>
      <c r="N31" s="207">
        <v>1</v>
      </c>
      <c r="O31" s="207">
        <v>0.8</v>
      </c>
      <c r="P31" s="207">
        <v>0.8</v>
      </c>
      <c r="Q31" s="216">
        <f t="shared" si="0"/>
        <v>0.8</v>
      </c>
      <c r="R31" s="207">
        <v>13.6</v>
      </c>
      <c r="S31" s="207">
        <v>127</v>
      </c>
      <c r="T31" s="216">
        <f t="shared" si="1"/>
        <v>27</v>
      </c>
      <c r="U31" s="207">
        <v>138</v>
      </c>
      <c r="V31" s="216">
        <f t="shared" si="2"/>
        <v>3726</v>
      </c>
      <c r="W31" s="207">
        <v>1</v>
      </c>
      <c r="X31" s="55" t="s">
        <v>39</v>
      </c>
      <c r="Y31" s="55" t="s">
        <v>78</v>
      </c>
      <c r="Z31" s="215" t="s">
        <v>102</v>
      </c>
      <c r="AA31" s="55" t="s">
        <v>84</v>
      </c>
      <c r="AB31" s="39" t="s">
        <v>341</v>
      </c>
    </row>
    <row r="32" spans="1:48" x14ac:dyDescent="0.15">
      <c r="A32" s="55" t="s">
        <v>56</v>
      </c>
      <c r="B32" s="55" t="s">
        <v>384</v>
      </c>
      <c r="C32" s="215">
        <v>2018</v>
      </c>
      <c r="D32" s="86" t="s">
        <v>385</v>
      </c>
      <c r="E32" s="215" t="s">
        <v>399</v>
      </c>
      <c r="F32" s="215" t="s">
        <v>183</v>
      </c>
      <c r="G32" s="55" t="s">
        <v>42</v>
      </c>
      <c r="H32" s="215" t="s">
        <v>165</v>
      </c>
      <c r="I32" s="55" t="s">
        <v>153</v>
      </c>
      <c r="J32" s="215" t="s">
        <v>38</v>
      </c>
      <c r="K32" s="215" t="s">
        <v>154</v>
      </c>
      <c r="L32" s="207">
        <v>1</v>
      </c>
      <c r="N32" s="207">
        <v>1</v>
      </c>
      <c r="O32" s="207">
        <v>0.6</v>
      </c>
      <c r="P32" s="207">
        <v>0.6</v>
      </c>
      <c r="Q32" s="216">
        <f t="shared" si="0"/>
        <v>0.6</v>
      </c>
      <c r="R32" s="207">
        <v>18</v>
      </c>
      <c r="S32" s="207">
        <v>130</v>
      </c>
      <c r="T32" s="216">
        <f t="shared" si="1"/>
        <v>25</v>
      </c>
      <c r="U32" s="207">
        <v>177</v>
      </c>
      <c r="V32" s="216">
        <f t="shared" si="2"/>
        <v>4425</v>
      </c>
      <c r="W32" s="207">
        <v>1</v>
      </c>
      <c r="X32" s="55" t="s">
        <v>39</v>
      </c>
      <c r="Y32" s="55" t="s">
        <v>78</v>
      </c>
      <c r="Z32" s="215" t="s">
        <v>102</v>
      </c>
      <c r="AA32" s="55" t="s">
        <v>84</v>
      </c>
      <c r="AB32" s="39" t="s">
        <v>341</v>
      </c>
    </row>
    <row r="33" spans="1:28" x14ac:dyDescent="0.15">
      <c r="A33" s="55" t="s">
        <v>56</v>
      </c>
      <c r="B33" s="55" t="s">
        <v>384</v>
      </c>
      <c r="C33" s="215">
        <v>2018</v>
      </c>
      <c r="D33" s="86" t="s">
        <v>385</v>
      </c>
      <c r="E33" s="215" t="s">
        <v>399</v>
      </c>
      <c r="F33" s="215" t="s">
        <v>183</v>
      </c>
      <c r="G33" s="55" t="s">
        <v>42</v>
      </c>
      <c r="H33" s="215" t="s">
        <v>165</v>
      </c>
      <c r="I33" s="55" t="s">
        <v>153</v>
      </c>
      <c r="J33" s="215" t="s">
        <v>38</v>
      </c>
      <c r="K33" s="215" t="s">
        <v>154</v>
      </c>
      <c r="L33" s="207">
        <v>2</v>
      </c>
      <c r="N33" s="207">
        <v>1</v>
      </c>
      <c r="O33" s="207">
        <v>0.65</v>
      </c>
      <c r="P33" s="207">
        <v>0.6</v>
      </c>
      <c r="Q33" s="216">
        <f t="shared" si="0"/>
        <v>0.625</v>
      </c>
      <c r="R33" s="207">
        <v>15.8</v>
      </c>
      <c r="S33" s="207">
        <v>124</v>
      </c>
      <c r="T33" s="216">
        <f t="shared" si="1"/>
        <v>27</v>
      </c>
      <c r="U33" s="207">
        <v>177</v>
      </c>
      <c r="V33" s="216">
        <f t="shared" si="2"/>
        <v>4779</v>
      </c>
      <c r="W33" s="207">
        <v>1</v>
      </c>
      <c r="X33" s="55" t="s">
        <v>39</v>
      </c>
      <c r="Y33" s="55" t="s">
        <v>78</v>
      </c>
      <c r="Z33" s="215" t="s">
        <v>102</v>
      </c>
      <c r="AA33" s="55" t="s">
        <v>84</v>
      </c>
      <c r="AB33" s="39" t="s">
        <v>341</v>
      </c>
    </row>
    <row r="34" spans="1:28" x14ac:dyDescent="0.15">
      <c r="A34" s="55" t="s">
        <v>56</v>
      </c>
      <c r="B34" s="55" t="s">
        <v>384</v>
      </c>
      <c r="C34" s="215">
        <v>2018</v>
      </c>
      <c r="D34" s="86" t="s">
        <v>385</v>
      </c>
      <c r="E34" s="215" t="s">
        <v>399</v>
      </c>
      <c r="F34" s="215" t="s">
        <v>183</v>
      </c>
      <c r="G34" s="55" t="s">
        <v>42</v>
      </c>
      <c r="H34" s="215" t="s">
        <v>165</v>
      </c>
      <c r="I34" s="55" t="s">
        <v>153</v>
      </c>
      <c r="J34" s="215" t="s">
        <v>38</v>
      </c>
      <c r="K34" s="215" t="s">
        <v>154</v>
      </c>
      <c r="L34" s="207">
        <v>3</v>
      </c>
      <c r="N34" s="207">
        <v>1</v>
      </c>
      <c r="O34" s="207">
        <v>0.6</v>
      </c>
      <c r="P34" s="207">
        <v>0.75</v>
      </c>
      <c r="Q34" s="216">
        <f t="shared" si="0"/>
        <v>0.67500000000000004</v>
      </c>
      <c r="R34" s="207">
        <v>16.3</v>
      </c>
      <c r="S34" s="207">
        <v>136</v>
      </c>
      <c r="T34" s="216">
        <f t="shared" si="1"/>
        <v>25</v>
      </c>
      <c r="U34" s="207">
        <v>177</v>
      </c>
      <c r="V34" s="216">
        <f t="shared" si="2"/>
        <v>4425</v>
      </c>
      <c r="W34" s="207">
        <v>1</v>
      </c>
      <c r="X34" s="55" t="s">
        <v>39</v>
      </c>
      <c r="Y34" s="55" t="s">
        <v>78</v>
      </c>
      <c r="Z34" s="215" t="s">
        <v>102</v>
      </c>
      <c r="AA34" s="55" t="s">
        <v>84</v>
      </c>
      <c r="AB34" s="39" t="s">
        <v>341</v>
      </c>
    </row>
    <row r="35" spans="1:28" x14ac:dyDescent="0.15">
      <c r="A35" s="55" t="s">
        <v>56</v>
      </c>
      <c r="B35" s="55" t="s">
        <v>384</v>
      </c>
      <c r="C35" s="215">
        <v>2018</v>
      </c>
      <c r="D35" s="86" t="s">
        <v>385</v>
      </c>
      <c r="E35" s="215" t="s">
        <v>184</v>
      </c>
      <c r="F35" s="215" t="s">
        <v>395</v>
      </c>
      <c r="G35" s="55" t="s">
        <v>42</v>
      </c>
      <c r="H35" s="215" t="s">
        <v>155</v>
      </c>
      <c r="I35" s="55" t="s">
        <v>156</v>
      </c>
      <c r="J35" s="215" t="s">
        <v>38</v>
      </c>
      <c r="K35" s="215" t="s">
        <v>154</v>
      </c>
      <c r="L35" s="207">
        <v>1</v>
      </c>
      <c r="N35" s="207">
        <v>4</v>
      </c>
      <c r="O35" s="207">
        <v>0.8</v>
      </c>
      <c r="P35" s="207">
        <v>1</v>
      </c>
      <c r="Q35" s="216">
        <f t="shared" si="0"/>
        <v>0.9</v>
      </c>
      <c r="R35" s="207">
        <v>14.9</v>
      </c>
      <c r="S35" s="207">
        <v>112</v>
      </c>
      <c r="T35" s="216">
        <f t="shared" si="1"/>
        <v>33</v>
      </c>
      <c r="U35" s="207">
        <v>539</v>
      </c>
      <c r="V35" s="216">
        <f t="shared" si="2"/>
        <v>4446.75</v>
      </c>
      <c r="W35" s="207">
        <v>3</v>
      </c>
      <c r="X35" s="55" t="s">
        <v>39</v>
      </c>
      <c r="Y35" s="55" t="s">
        <v>90</v>
      </c>
      <c r="Z35" s="207" t="s">
        <v>84</v>
      </c>
      <c r="AA35" s="55" t="s">
        <v>78</v>
      </c>
      <c r="AB35" s="39" t="s">
        <v>341</v>
      </c>
    </row>
    <row r="36" spans="1:28" x14ac:dyDescent="0.15">
      <c r="A36" s="55" t="s">
        <v>56</v>
      </c>
      <c r="B36" s="55" t="s">
        <v>384</v>
      </c>
      <c r="C36" s="215">
        <v>2018</v>
      </c>
      <c r="D36" s="86" t="s">
        <v>385</v>
      </c>
      <c r="E36" s="215" t="s">
        <v>184</v>
      </c>
      <c r="F36" s="215" t="s">
        <v>395</v>
      </c>
      <c r="G36" s="55" t="s">
        <v>42</v>
      </c>
      <c r="H36" s="215" t="s">
        <v>155</v>
      </c>
      <c r="I36" s="55" t="s">
        <v>156</v>
      </c>
      <c r="J36" s="215" t="s">
        <v>38</v>
      </c>
      <c r="K36" s="215" t="s">
        <v>154</v>
      </c>
      <c r="L36" s="207">
        <v>2</v>
      </c>
      <c r="N36" s="207">
        <v>4</v>
      </c>
      <c r="O36" s="207">
        <v>0.7</v>
      </c>
      <c r="P36" s="207">
        <v>0.65</v>
      </c>
      <c r="Q36" s="216">
        <f t="shared" si="0"/>
        <v>0.67500000000000004</v>
      </c>
      <c r="R36" s="207">
        <v>12</v>
      </c>
      <c r="S36" s="207">
        <v>113</v>
      </c>
      <c r="T36" s="216">
        <f t="shared" si="1"/>
        <v>30</v>
      </c>
      <c r="U36" s="207">
        <v>539</v>
      </c>
      <c r="V36" s="216">
        <f t="shared" si="2"/>
        <v>4042.5</v>
      </c>
      <c r="W36" s="207">
        <v>3</v>
      </c>
      <c r="X36" s="55" t="s">
        <v>39</v>
      </c>
      <c r="Y36" s="55" t="s">
        <v>90</v>
      </c>
      <c r="Z36" s="207" t="s">
        <v>84</v>
      </c>
      <c r="AA36" s="55" t="s">
        <v>78</v>
      </c>
      <c r="AB36" s="39" t="s">
        <v>341</v>
      </c>
    </row>
    <row r="37" spans="1:28" x14ac:dyDescent="0.15">
      <c r="A37" s="55" t="s">
        <v>56</v>
      </c>
      <c r="B37" s="55" t="s">
        <v>384</v>
      </c>
      <c r="C37" s="215">
        <v>2018</v>
      </c>
      <c r="D37" s="86" t="s">
        <v>385</v>
      </c>
      <c r="E37" s="215" t="s">
        <v>184</v>
      </c>
      <c r="F37" s="215" t="s">
        <v>395</v>
      </c>
      <c r="G37" s="55" t="s">
        <v>42</v>
      </c>
      <c r="H37" s="215" t="s">
        <v>155</v>
      </c>
      <c r="I37" s="55" t="s">
        <v>156</v>
      </c>
      <c r="J37" s="215" t="s">
        <v>38</v>
      </c>
      <c r="K37" s="215" t="s">
        <v>154</v>
      </c>
      <c r="L37" s="207">
        <v>3</v>
      </c>
      <c r="N37" s="207">
        <v>4</v>
      </c>
      <c r="O37" s="207">
        <v>0.65</v>
      </c>
      <c r="P37" s="207">
        <v>0.6</v>
      </c>
      <c r="Q37" s="216">
        <f t="shared" si="0"/>
        <v>0.625</v>
      </c>
      <c r="R37" s="207">
        <v>13.4</v>
      </c>
      <c r="S37" s="207">
        <v>108</v>
      </c>
      <c r="T37" s="216">
        <f t="shared" si="1"/>
        <v>33</v>
      </c>
      <c r="U37" s="207">
        <v>539</v>
      </c>
      <c r="V37" s="216">
        <f t="shared" si="2"/>
        <v>4446.75</v>
      </c>
      <c r="W37" s="207">
        <v>3</v>
      </c>
      <c r="X37" s="55" t="s">
        <v>39</v>
      </c>
      <c r="Y37" s="55" t="s">
        <v>90</v>
      </c>
      <c r="Z37" s="207" t="s">
        <v>84</v>
      </c>
      <c r="AA37" s="55" t="s">
        <v>78</v>
      </c>
      <c r="AB37" s="39" t="s">
        <v>341</v>
      </c>
    </row>
    <row r="38" spans="1:28" x14ac:dyDescent="0.15">
      <c r="A38" s="55" t="s">
        <v>56</v>
      </c>
      <c r="B38" s="55" t="s">
        <v>384</v>
      </c>
      <c r="C38" s="215">
        <v>2018</v>
      </c>
      <c r="D38" s="86" t="s">
        <v>385</v>
      </c>
      <c r="E38" s="215" t="s">
        <v>316</v>
      </c>
      <c r="F38" s="215" t="s">
        <v>395</v>
      </c>
      <c r="G38" s="55" t="s">
        <v>42</v>
      </c>
      <c r="H38" s="215" t="s">
        <v>155</v>
      </c>
      <c r="I38" s="55" t="s">
        <v>153</v>
      </c>
      <c r="J38" s="215" t="s">
        <v>38</v>
      </c>
      <c r="K38" s="215" t="s">
        <v>154</v>
      </c>
      <c r="L38" s="207">
        <v>1</v>
      </c>
      <c r="N38" s="207">
        <v>1</v>
      </c>
      <c r="O38" s="207">
        <v>0.85</v>
      </c>
      <c r="P38" s="207">
        <v>0.8</v>
      </c>
      <c r="Q38" s="216">
        <f t="shared" si="0"/>
        <v>0.82499999999999996</v>
      </c>
      <c r="R38" s="207">
        <v>14.2</v>
      </c>
      <c r="S38" s="207">
        <v>125</v>
      </c>
      <c r="T38" s="216">
        <f t="shared" si="1"/>
        <v>27</v>
      </c>
      <c r="U38" s="207">
        <v>105</v>
      </c>
      <c r="V38" s="216">
        <f t="shared" si="2"/>
        <v>2835</v>
      </c>
      <c r="W38" s="207">
        <v>2</v>
      </c>
      <c r="X38" s="55" t="s">
        <v>39</v>
      </c>
      <c r="Y38" s="55" t="s">
        <v>90</v>
      </c>
      <c r="Z38" s="207" t="s">
        <v>78</v>
      </c>
      <c r="AA38" s="55" t="s">
        <v>84</v>
      </c>
      <c r="AB38" s="39" t="s">
        <v>341</v>
      </c>
    </row>
    <row r="39" spans="1:28" x14ac:dyDescent="0.15">
      <c r="A39" s="55" t="s">
        <v>56</v>
      </c>
      <c r="B39" s="55" t="s">
        <v>384</v>
      </c>
      <c r="C39" s="215">
        <v>2018</v>
      </c>
      <c r="D39" s="86" t="s">
        <v>385</v>
      </c>
      <c r="E39" s="215" t="s">
        <v>316</v>
      </c>
      <c r="F39" s="215" t="s">
        <v>395</v>
      </c>
      <c r="G39" s="55" t="s">
        <v>42</v>
      </c>
      <c r="H39" s="215" t="s">
        <v>155</v>
      </c>
      <c r="I39" s="55" t="s">
        <v>153</v>
      </c>
      <c r="J39" s="215" t="s">
        <v>38</v>
      </c>
      <c r="K39" s="215" t="s">
        <v>154</v>
      </c>
      <c r="L39" s="207">
        <v>2</v>
      </c>
      <c r="N39" s="207">
        <v>1</v>
      </c>
      <c r="O39" s="207">
        <v>0.75</v>
      </c>
      <c r="P39" s="207">
        <v>0.7</v>
      </c>
      <c r="Q39" s="216">
        <f t="shared" si="0"/>
        <v>0.72499999999999998</v>
      </c>
      <c r="R39" s="207">
        <v>15</v>
      </c>
      <c r="S39" s="207">
        <v>132</v>
      </c>
      <c r="T39" s="216">
        <f t="shared" si="1"/>
        <v>25</v>
      </c>
      <c r="U39" s="207">
        <v>105</v>
      </c>
      <c r="V39" s="216">
        <f t="shared" si="2"/>
        <v>2625</v>
      </c>
      <c r="W39" s="207">
        <v>2</v>
      </c>
      <c r="X39" s="55" t="s">
        <v>39</v>
      </c>
      <c r="Y39" s="55" t="s">
        <v>90</v>
      </c>
      <c r="Z39" s="207" t="s">
        <v>78</v>
      </c>
      <c r="AA39" s="55" t="s">
        <v>84</v>
      </c>
      <c r="AB39" s="39" t="s">
        <v>341</v>
      </c>
    </row>
    <row r="40" spans="1:28" x14ac:dyDescent="0.15">
      <c r="A40" s="55" t="s">
        <v>56</v>
      </c>
      <c r="B40" s="55" t="s">
        <v>384</v>
      </c>
      <c r="C40" s="215">
        <v>2018</v>
      </c>
      <c r="D40" s="86" t="s">
        <v>385</v>
      </c>
      <c r="E40" s="215" t="s">
        <v>316</v>
      </c>
      <c r="F40" s="215" t="s">
        <v>395</v>
      </c>
      <c r="G40" s="55" t="s">
        <v>42</v>
      </c>
      <c r="H40" s="215" t="s">
        <v>155</v>
      </c>
      <c r="I40" s="55" t="s">
        <v>153</v>
      </c>
      <c r="J40" s="215" t="s">
        <v>38</v>
      </c>
      <c r="K40" s="215" t="s">
        <v>154</v>
      </c>
      <c r="L40" s="207">
        <v>3</v>
      </c>
      <c r="N40" s="207">
        <v>1</v>
      </c>
      <c r="O40" s="207">
        <v>0.85</v>
      </c>
      <c r="P40" s="207">
        <v>0.85</v>
      </c>
      <c r="Q40" s="216">
        <f t="shared" si="0"/>
        <v>0.85</v>
      </c>
      <c r="R40" s="207">
        <v>15</v>
      </c>
      <c r="S40" s="207">
        <v>134</v>
      </c>
      <c r="T40" s="216">
        <f t="shared" si="1"/>
        <v>25</v>
      </c>
      <c r="U40" s="207">
        <v>105</v>
      </c>
      <c r="V40" s="216">
        <f t="shared" si="2"/>
        <v>2625</v>
      </c>
      <c r="W40" s="207">
        <v>2</v>
      </c>
      <c r="X40" s="55" t="s">
        <v>39</v>
      </c>
      <c r="Y40" s="55" t="s">
        <v>90</v>
      </c>
      <c r="Z40" s="207" t="s">
        <v>78</v>
      </c>
      <c r="AA40" s="55" t="s">
        <v>84</v>
      </c>
      <c r="AB40" s="39" t="s">
        <v>341</v>
      </c>
    </row>
    <row r="41" spans="1:28" x14ac:dyDescent="0.15">
      <c r="A41" s="55" t="s">
        <v>56</v>
      </c>
      <c r="B41" s="55" t="s">
        <v>384</v>
      </c>
      <c r="C41" s="215">
        <v>2018</v>
      </c>
      <c r="D41" s="86" t="s">
        <v>385</v>
      </c>
      <c r="E41" s="215" t="s">
        <v>316</v>
      </c>
      <c r="F41" s="215" t="s">
        <v>395</v>
      </c>
      <c r="G41" s="55" t="s">
        <v>42</v>
      </c>
      <c r="H41" s="215" t="s">
        <v>165</v>
      </c>
      <c r="I41" s="55" t="s">
        <v>153</v>
      </c>
      <c r="J41" s="215" t="s">
        <v>38</v>
      </c>
      <c r="K41" s="215" t="s">
        <v>154</v>
      </c>
      <c r="L41" s="207">
        <v>1</v>
      </c>
      <c r="N41" s="207">
        <v>4</v>
      </c>
      <c r="O41" s="207">
        <v>0.9</v>
      </c>
      <c r="P41" s="207">
        <v>0.75</v>
      </c>
      <c r="Q41" s="216">
        <f t="shared" si="0"/>
        <v>0.82499999999999996</v>
      </c>
      <c r="R41" s="207">
        <v>15.1</v>
      </c>
      <c r="S41" s="207">
        <v>119</v>
      </c>
      <c r="T41" s="216">
        <f t="shared" si="1"/>
        <v>30</v>
      </c>
      <c r="U41" s="207">
        <v>537</v>
      </c>
      <c r="V41" s="216">
        <f t="shared" si="2"/>
        <v>4027.5</v>
      </c>
      <c r="W41" s="207">
        <v>2</v>
      </c>
      <c r="X41" s="55" t="s">
        <v>39</v>
      </c>
      <c r="Y41" s="55" t="s">
        <v>90</v>
      </c>
      <c r="Z41" s="207" t="s">
        <v>78</v>
      </c>
      <c r="AA41" s="55" t="s">
        <v>84</v>
      </c>
      <c r="AB41" s="39" t="s">
        <v>341</v>
      </c>
    </row>
    <row r="42" spans="1:28" x14ac:dyDescent="0.15">
      <c r="A42" s="55" t="s">
        <v>56</v>
      </c>
      <c r="B42" s="55" t="s">
        <v>384</v>
      </c>
      <c r="C42" s="215">
        <v>2018</v>
      </c>
      <c r="D42" s="86" t="s">
        <v>385</v>
      </c>
      <c r="E42" s="215" t="s">
        <v>316</v>
      </c>
      <c r="F42" s="215" t="s">
        <v>395</v>
      </c>
      <c r="G42" s="55" t="s">
        <v>42</v>
      </c>
      <c r="H42" s="215" t="s">
        <v>165</v>
      </c>
      <c r="I42" s="55" t="s">
        <v>153</v>
      </c>
      <c r="J42" s="215" t="s">
        <v>38</v>
      </c>
      <c r="K42" s="215" t="s">
        <v>154</v>
      </c>
      <c r="L42" s="207">
        <v>2</v>
      </c>
      <c r="N42" s="207">
        <v>4</v>
      </c>
      <c r="O42" s="207">
        <v>0.75</v>
      </c>
      <c r="P42" s="207">
        <v>0.75</v>
      </c>
      <c r="Q42" s="216">
        <f t="shared" si="0"/>
        <v>0.75</v>
      </c>
      <c r="R42" s="207">
        <v>14.4</v>
      </c>
      <c r="S42" s="207">
        <v>127</v>
      </c>
      <c r="T42" s="216">
        <f t="shared" si="1"/>
        <v>27</v>
      </c>
      <c r="U42" s="207">
        <v>537</v>
      </c>
      <c r="V42" s="216">
        <f t="shared" si="2"/>
        <v>3624.75</v>
      </c>
      <c r="W42" s="207">
        <v>2</v>
      </c>
      <c r="X42" s="55" t="s">
        <v>39</v>
      </c>
      <c r="Y42" s="55" t="s">
        <v>90</v>
      </c>
      <c r="Z42" s="207" t="s">
        <v>78</v>
      </c>
      <c r="AA42" s="55" t="s">
        <v>84</v>
      </c>
      <c r="AB42" s="39" t="s">
        <v>341</v>
      </c>
    </row>
    <row r="43" spans="1:28" x14ac:dyDescent="0.15">
      <c r="A43" s="55" t="s">
        <v>56</v>
      </c>
      <c r="B43" s="55" t="s">
        <v>384</v>
      </c>
      <c r="C43" s="215">
        <v>2018</v>
      </c>
      <c r="D43" s="86" t="s">
        <v>385</v>
      </c>
      <c r="E43" s="215" t="s">
        <v>316</v>
      </c>
      <c r="F43" s="215" t="s">
        <v>395</v>
      </c>
      <c r="G43" s="55" t="s">
        <v>42</v>
      </c>
      <c r="H43" s="215" t="s">
        <v>165</v>
      </c>
      <c r="I43" s="55" t="s">
        <v>153</v>
      </c>
      <c r="J43" s="215" t="s">
        <v>38</v>
      </c>
      <c r="K43" s="215" t="s">
        <v>154</v>
      </c>
      <c r="L43" s="207">
        <v>3</v>
      </c>
      <c r="N43" s="207">
        <v>4</v>
      </c>
      <c r="O43" s="207">
        <v>0.7</v>
      </c>
      <c r="P43" s="207">
        <v>0.7</v>
      </c>
      <c r="Q43" s="216">
        <f t="shared" si="0"/>
        <v>0.7</v>
      </c>
      <c r="R43" s="207">
        <v>15.6</v>
      </c>
      <c r="S43" s="207">
        <v>127</v>
      </c>
      <c r="T43" s="216">
        <f t="shared" si="1"/>
        <v>27</v>
      </c>
      <c r="U43" s="207">
        <v>537</v>
      </c>
      <c r="V43" s="216">
        <f t="shared" si="2"/>
        <v>3624.75</v>
      </c>
      <c r="W43" s="207">
        <v>2</v>
      </c>
      <c r="X43" s="55" t="s">
        <v>39</v>
      </c>
      <c r="Y43" s="55" t="s">
        <v>90</v>
      </c>
      <c r="Z43" s="207" t="s">
        <v>78</v>
      </c>
      <c r="AA43" s="55" t="s">
        <v>84</v>
      </c>
      <c r="AB43" s="39" t="s">
        <v>341</v>
      </c>
    </row>
    <row r="44" spans="1:28" x14ac:dyDescent="0.15">
      <c r="A44" s="55" t="s">
        <v>56</v>
      </c>
      <c r="B44" s="55" t="s">
        <v>384</v>
      </c>
      <c r="C44" s="215">
        <v>2018</v>
      </c>
      <c r="D44" s="86" t="s">
        <v>385</v>
      </c>
      <c r="E44" s="215" t="s">
        <v>373</v>
      </c>
      <c r="F44" s="215" t="s">
        <v>395</v>
      </c>
      <c r="G44" s="55" t="s">
        <v>42</v>
      </c>
      <c r="H44" s="215" t="s">
        <v>155</v>
      </c>
      <c r="I44" s="55" t="s">
        <v>153</v>
      </c>
      <c r="J44" s="215" t="s">
        <v>38</v>
      </c>
      <c r="K44" s="215" t="s">
        <v>154</v>
      </c>
      <c r="L44" s="207">
        <v>1</v>
      </c>
      <c r="N44" s="207">
        <v>1</v>
      </c>
      <c r="O44" s="207">
        <v>0.55000000000000004</v>
      </c>
      <c r="P44" s="207">
        <v>0.6</v>
      </c>
      <c r="Q44" s="216">
        <f t="shared" si="0"/>
        <v>0.57499999999999996</v>
      </c>
      <c r="R44" s="207">
        <v>12.6</v>
      </c>
      <c r="S44" s="207">
        <v>141</v>
      </c>
      <c r="T44" s="216">
        <f t="shared" si="1"/>
        <v>22</v>
      </c>
      <c r="U44" s="207">
        <v>73</v>
      </c>
      <c r="V44" s="216">
        <f t="shared" si="2"/>
        <v>1606</v>
      </c>
      <c r="W44" s="207">
        <v>4</v>
      </c>
      <c r="X44" s="55" t="s">
        <v>46</v>
      </c>
      <c r="Y44" s="55" t="s">
        <v>84</v>
      </c>
      <c r="Z44" s="207" t="s">
        <v>102</v>
      </c>
      <c r="AA44" s="55" t="s">
        <v>90</v>
      </c>
      <c r="AB44" s="39" t="s">
        <v>341</v>
      </c>
    </row>
    <row r="45" spans="1:28" x14ac:dyDescent="0.15">
      <c r="A45" s="55" t="s">
        <v>56</v>
      </c>
      <c r="B45" s="55" t="s">
        <v>384</v>
      </c>
      <c r="C45" s="215">
        <v>2018</v>
      </c>
      <c r="D45" s="86" t="s">
        <v>385</v>
      </c>
      <c r="E45" s="215" t="s">
        <v>373</v>
      </c>
      <c r="F45" s="215" t="s">
        <v>395</v>
      </c>
      <c r="G45" s="55" t="s">
        <v>42</v>
      </c>
      <c r="H45" s="215" t="s">
        <v>155</v>
      </c>
      <c r="I45" s="55" t="s">
        <v>153</v>
      </c>
      <c r="J45" s="215" t="s">
        <v>38</v>
      </c>
      <c r="K45" s="215" t="s">
        <v>154</v>
      </c>
      <c r="L45" s="207">
        <v>2</v>
      </c>
      <c r="N45" s="207">
        <v>1</v>
      </c>
      <c r="O45" s="207">
        <v>0.8</v>
      </c>
      <c r="P45" s="207">
        <v>0.85</v>
      </c>
      <c r="Q45" s="216">
        <f t="shared" si="0"/>
        <v>0.82499999999999996</v>
      </c>
      <c r="R45" s="207">
        <v>15.5</v>
      </c>
      <c r="S45" s="207">
        <v>135</v>
      </c>
      <c r="T45" s="216">
        <f t="shared" si="1"/>
        <v>25</v>
      </c>
      <c r="U45" s="207">
        <v>73</v>
      </c>
      <c r="V45" s="216">
        <f t="shared" si="2"/>
        <v>1825</v>
      </c>
      <c r="W45" s="207">
        <v>4</v>
      </c>
      <c r="X45" s="55" t="s">
        <v>46</v>
      </c>
      <c r="Y45" s="55" t="s">
        <v>84</v>
      </c>
      <c r="Z45" s="207" t="s">
        <v>102</v>
      </c>
      <c r="AA45" s="55" t="s">
        <v>90</v>
      </c>
      <c r="AB45" s="39" t="s">
        <v>341</v>
      </c>
    </row>
    <row r="46" spans="1:28" x14ac:dyDescent="0.15">
      <c r="A46" s="55" t="s">
        <v>56</v>
      </c>
      <c r="B46" s="55" t="s">
        <v>384</v>
      </c>
      <c r="C46" s="215">
        <v>2018</v>
      </c>
      <c r="D46" s="86" t="s">
        <v>385</v>
      </c>
      <c r="E46" s="215" t="s">
        <v>373</v>
      </c>
      <c r="F46" s="215" t="s">
        <v>395</v>
      </c>
      <c r="G46" s="55" t="s">
        <v>42</v>
      </c>
      <c r="H46" s="215" t="s">
        <v>155</v>
      </c>
      <c r="I46" s="55" t="s">
        <v>153</v>
      </c>
      <c r="J46" s="215" t="s">
        <v>38</v>
      </c>
      <c r="K46" s="215" t="s">
        <v>154</v>
      </c>
      <c r="L46" s="207">
        <v>3</v>
      </c>
      <c r="N46" s="207">
        <v>1</v>
      </c>
      <c r="O46" s="207">
        <v>0.75</v>
      </c>
      <c r="P46" s="207">
        <v>0.8</v>
      </c>
      <c r="Q46" s="216">
        <f t="shared" si="0"/>
        <v>0.77500000000000002</v>
      </c>
      <c r="R46" s="207">
        <v>15</v>
      </c>
      <c r="S46" s="207">
        <v>135</v>
      </c>
      <c r="T46" s="216">
        <f t="shared" si="1"/>
        <v>25</v>
      </c>
      <c r="U46" s="207">
        <v>73</v>
      </c>
      <c r="V46" s="216">
        <f t="shared" si="2"/>
        <v>1825</v>
      </c>
      <c r="W46" s="207">
        <v>4</v>
      </c>
      <c r="X46" s="55" t="s">
        <v>46</v>
      </c>
      <c r="Y46" s="55" t="s">
        <v>84</v>
      </c>
      <c r="Z46" s="207" t="s">
        <v>102</v>
      </c>
      <c r="AA46" s="55" t="s">
        <v>90</v>
      </c>
      <c r="AB46" s="39" t="s">
        <v>341</v>
      </c>
    </row>
    <row r="47" spans="1:28" x14ac:dyDescent="0.15">
      <c r="A47" s="55" t="s">
        <v>56</v>
      </c>
      <c r="B47" s="55" t="s">
        <v>384</v>
      </c>
      <c r="C47" s="215">
        <v>2018</v>
      </c>
      <c r="D47" s="86" t="s">
        <v>385</v>
      </c>
      <c r="E47" s="215" t="s">
        <v>373</v>
      </c>
      <c r="F47" s="215" t="s">
        <v>395</v>
      </c>
      <c r="G47" s="55" t="s">
        <v>42</v>
      </c>
      <c r="H47" s="215" t="s">
        <v>165</v>
      </c>
      <c r="I47" s="55" t="s">
        <v>153</v>
      </c>
      <c r="J47" s="215" t="s">
        <v>38</v>
      </c>
      <c r="K47" s="215" t="s">
        <v>154</v>
      </c>
      <c r="L47" s="207">
        <v>1</v>
      </c>
      <c r="N47" s="207">
        <v>1</v>
      </c>
      <c r="O47" s="207">
        <v>0.7</v>
      </c>
      <c r="P47" s="207">
        <v>0.75</v>
      </c>
      <c r="Q47" s="216">
        <f t="shared" si="0"/>
        <v>0.72499999999999998</v>
      </c>
      <c r="R47" s="207">
        <v>15.8</v>
      </c>
      <c r="S47" s="207">
        <v>141</v>
      </c>
      <c r="T47" s="216">
        <f t="shared" si="1"/>
        <v>22</v>
      </c>
      <c r="U47" s="207">
        <v>73</v>
      </c>
      <c r="V47" s="216">
        <f t="shared" si="2"/>
        <v>1606</v>
      </c>
      <c r="W47" s="207">
        <v>4</v>
      </c>
      <c r="X47" s="55" t="s">
        <v>46</v>
      </c>
      <c r="Y47" s="55" t="s">
        <v>84</v>
      </c>
      <c r="Z47" s="207" t="s">
        <v>102</v>
      </c>
      <c r="AA47" s="55" t="s">
        <v>90</v>
      </c>
      <c r="AB47" s="39" t="s">
        <v>341</v>
      </c>
    </row>
    <row r="48" spans="1:28" x14ac:dyDescent="0.15">
      <c r="A48" s="55" t="s">
        <v>56</v>
      </c>
      <c r="B48" s="55" t="s">
        <v>384</v>
      </c>
      <c r="C48" s="215">
        <v>2018</v>
      </c>
      <c r="D48" s="86" t="s">
        <v>385</v>
      </c>
      <c r="E48" s="215" t="s">
        <v>373</v>
      </c>
      <c r="F48" s="215" t="s">
        <v>395</v>
      </c>
      <c r="G48" s="55" t="s">
        <v>42</v>
      </c>
      <c r="H48" s="215" t="s">
        <v>165</v>
      </c>
      <c r="I48" s="55" t="s">
        <v>153</v>
      </c>
      <c r="J48" s="215" t="s">
        <v>38</v>
      </c>
      <c r="K48" s="215" t="s">
        <v>154</v>
      </c>
      <c r="L48" s="207">
        <v>2</v>
      </c>
      <c r="N48" s="207">
        <v>1</v>
      </c>
      <c r="O48" s="207">
        <v>0.7</v>
      </c>
      <c r="P48" s="207">
        <v>0.7</v>
      </c>
      <c r="Q48" s="216">
        <f t="shared" si="0"/>
        <v>0.7</v>
      </c>
      <c r="R48" s="207">
        <v>13.8</v>
      </c>
      <c r="S48" s="207">
        <v>136</v>
      </c>
      <c r="T48" s="216">
        <f t="shared" si="1"/>
        <v>25</v>
      </c>
      <c r="U48" s="207">
        <v>73</v>
      </c>
      <c r="V48" s="216">
        <f t="shared" si="2"/>
        <v>1825</v>
      </c>
      <c r="W48" s="207">
        <v>4</v>
      </c>
      <c r="X48" s="55" t="s">
        <v>46</v>
      </c>
      <c r="Y48" s="55" t="s">
        <v>84</v>
      </c>
      <c r="Z48" s="207" t="s">
        <v>102</v>
      </c>
      <c r="AA48" s="55" t="s">
        <v>90</v>
      </c>
      <c r="AB48" s="39" t="s">
        <v>341</v>
      </c>
    </row>
    <row r="49" spans="1:28" x14ac:dyDescent="0.15">
      <c r="A49" s="55" t="s">
        <v>56</v>
      </c>
      <c r="B49" s="55" t="s">
        <v>384</v>
      </c>
      <c r="C49" s="215">
        <v>2018</v>
      </c>
      <c r="D49" s="86" t="s">
        <v>385</v>
      </c>
      <c r="E49" s="215" t="s">
        <v>373</v>
      </c>
      <c r="F49" s="215" t="s">
        <v>395</v>
      </c>
      <c r="G49" s="55" t="s">
        <v>42</v>
      </c>
      <c r="H49" s="215" t="s">
        <v>165</v>
      </c>
      <c r="I49" s="55" t="s">
        <v>153</v>
      </c>
      <c r="J49" s="215" t="s">
        <v>38</v>
      </c>
      <c r="K49" s="215" t="s">
        <v>154</v>
      </c>
      <c r="L49" s="207">
        <v>3</v>
      </c>
      <c r="N49" s="207">
        <v>1</v>
      </c>
      <c r="O49" s="207">
        <v>0.65</v>
      </c>
      <c r="P49" s="207">
        <v>0.7</v>
      </c>
      <c r="Q49" s="216">
        <f t="shared" si="0"/>
        <v>0.67500000000000004</v>
      </c>
      <c r="R49" s="207">
        <v>14.4</v>
      </c>
      <c r="S49" s="207">
        <v>140</v>
      </c>
      <c r="T49" s="216">
        <f t="shared" si="1"/>
        <v>22</v>
      </c>
      <c r="U49" s="207">
        <v>73</v>
      </c>
      <c r="V49" s="216">
        <f t="shared" si="2"/>
        <v>1606</v>
      </c>
      <c r="W49" s="207">
        <v>4</v>
      </c>
      <c r="X49" s="55" t="s">
        <v>46</v>
      </c>
      <c r="Y49" s="55" t="s">
        <v>84</v>
      </c>
      <c r="Z49" s="207" t="s">
        <v>102</v>
      </c>
      <c r="AA49" s="55" t="s">
        <v>90</v>
      </c>
      <c r="AB49" s="39" t="s">
        <v>341</v>
      </c>
    </row>
    <row r="50" spans="1:28" x14ac:dyDescent="0.15">
      <c r="A50" s="55" t="s">
        <v>56</v>
      </c>
      <c r="B50" s="55" t="s">
        <v>384</v>
      </c>
      <c r="C50" s="215">
        <v>2018</v>
      </c>
      <c r="D50" s="86" t="s">
        <v>385</v>
      </c>
      <c r="E50" s="215" t="s">
        <v>400</v>
      </c>
      <c r="F50" s="215" t="s">
        <v>395</v>
      </c>
      <c r="G50" s="55" t="s">
        <v>42</v>
      </c>
      <c r="H50" s="215" t="s">
        <v>155</v>
      </c>
      <c r="I50" s="55" t="s">
        <v>153</v>
      </c>
      <c r="J50" s="215" t="s">
        <v>38</v>
      </c>
      <c r="K50" s="215" t="s">
        <v>154</v>
      </c>
      <c r="L50" s="207">
        <v>1</v>
      </c>
      <c r="N50" s="207">
        <v>9</v>
      </c>
      <c r="O50" s="207">
        <v>0.7</v>
      </c>
      <c r="P50" s="207">
        <v>0.8</v>
      </c>
      <c r="Q50" s="216">
        <f t="shared" si="0"/>
        <v>0.75</v>
      </c>
      <c r="R50" s="207">
        <v>15.8</v>
      </c>
      <c r="S50" s="207">
        <v>158</v>
      </c>
      <c r="T50" s="216">
        <f t="shared" si="1"/>
        <v>22</v>
      </c>
      <c r="U50" s="207">
        <v>1080</v>
      </c>
      <c r="V50" s="216">
        <f t="shared" si="2"/>
        <v>2640</v>
      </c>
      <c r="W50" s="207">
        <v>30</v>
      </c>
      <c r="X50" s="55" t="s">
        <v>46</v>
      </c>
      <c r="Y50" s="55" t="s">
        <v>55</v>
      </c>
      <c r="Z50" s="207" t="s">
        <v>78</v>
      </c>
      <c r="AA50" s="55" t="s">
        <v>84</v>
      </c>
      <c r="AB50" s="39" t="s">
        <v>341</v>
      </c>
    </row>
    <row r="51" spans="1:28" x14ac:dyDescent="0.15">
      <c r="A51" s="55" t="s">
        <v>56</v>
      </c>
      <c r="B51" s="55" t="s">
        <v>384</v>
      </c>
      <c r="C51" s="215">
        <v>2018</v>
      </c>
      <c r="D51" s="86" t="s">
        <v>385</v>
      </c>
      <c r="E51" s="215" t="s">
        <v>400</v>
      </c>
      <c r="F51" s="215" t="s">
        <v>395</v>
      </c>
      <c r="G51" s="55" t="s">
        <v>42</v>
      </c>
      <c r="H51" s="215" t="s">
        <v>155</v>
      </c>
      <c r="I51" s="55" t="s">
        <v>153</v>
      </c>
      <c r="J51" s="215" t="s">
        <v>38</v>
      </c>
      <c r="K51" s="215" t="s">
        <v>154</v>
      </c>
      <c r="L51" s="207">
        <v>2</v>
      </c>
      <c r="N51" s="207">
        <v>9</v>
      </c>
      <c r="O51" s="207">
        <v>0.95</v>
      </c>
      <c r="P51" s="207">
        <v>0.95</v>
      </c>
      <c r="Q51" s="216">
        <f t="shared" si="0"/>
        <v>0.95</v>
      </c>
      <c r="R51" s="207">
        <v>15.1</v>
      </c>
      <c r="S51" s="207">
        <v>149</v>
      </c>
      <c r="T51" s="216">
        <f t="shared" si="1"/>
        <v>22</v>
      </c>
      <c r="U51" s="207">
        <v>1080</v>
      </c>
      <c r="V51" s="216">
        <f t="shared" si="2"/>
        <v>2640</v>
      </c>
      <c r="W51" s="207">
        <v>30</v>
      </c>
      <c r="X51" s="55" t="s">
        <v>46</v>
      </c>
      <c r="Y51" s="55" t="s">
        <v>55</v>
      </c>
      <c r="Z51" s="207" t="s">
        <v>78</v>
      </c>
      <c r="AA51" s="55" t="s">
        <v>84</v>
      </c>
      <c r="AB51" s="39" t="s">
        <v>341</v>
      </c>
    </row>
    <row r="52" spans="1:28" x14ac:dyDescent="0.15">
      <c r="A52" s="55" t="s">
        <v>56</v>
      </c>
      <c r="B52" s="55" t="s">
        <v>384</v>
      </c>
      <c r="C52" s="215">
        <v>2018</v>
      </c>
      <c r="D52" s="86" t="s">
        <v>385</v>
      </c>
      <c r="E52" s="215" t="s">
        <v>400</v>
      </c>
      <c r="F52" s="215" t="s">
        <v>395</v>
      </c>
      <c r="G52" s="55" t="s">
        <v>42</v>
      </c>
      <c r="H52" s="215" t="s">
        <v>155</v>
      </c>
      <c r="I52" s="55" t="s">
        <v>153</v>
      </c>
      <c r="J52" s="215" t="s">
        <v>38</v>
      </c>
      <c r="K52" s="215" t="s">
        <v>154</v>
      </c>
      <c r="L52" s="207">
        <v>3</v>
      </c>
      <c r="N52" s="207">
        <v>9</v>
      </c>
      <c r="O52" s="207">
        <v>0.9</v>
      </c>
      <c r="P52" s="207">
        <v>0.9</v>
      </c>
      <c r="Q52" s="216">
        <f t="shared" si="0"/>
        <v>0.9</v>
      </c>
      <c r="R52" s="207">
        <v>14.9</v>
      </c>
      <c r="S52" s="207">
        <v>143</v>
      </c>
      <c r="T52" s="216">
        <f t="shared" si="1"/>
        <v>22</v>
      </c>
      <c r="U52" s="207">
        <v>1080</v>
      </c>
      <c r="V52" s="216">
        <f t="shared" si="2"/>
        <v>2640</v>
      </c>
      <c r="W52" s="207">
        <v>30</v>
      </c>
      <c r="X52" s="55" t="s">
        <v>46</v>
      </c>
      <c r="Y52" s="55" t="s">
        <v>55</v>
      </c>
      <c r="Z52" s="207" t="s">
        <v>78</v>
      </c>
      <c r="AA52" s="55" t="s">
        <v>84</v>
      </c>
      <c r="AB52" s="39" t="s">
        <v>341</v>
      </c>
    </row>
    <row r="53" spans="1:28" x14ac:dyDescent="0.15">
      <c r="A53" s="55" t="s">
        <v>56</v>
      </c>
      <c r="B53" s="55" t="s">
        <v>384</v>
      </c>
      <c r="C53" s="215">
        <v>2018</v>
      </c>
      <c r="D53" s="86" t="s">
        <v>385</v>
      </c>
      <c r="E53" s="215" t="s">
        <v>400</v>
      </c>
      <c r="F53" s="215" t="s">
        <v>395</v>
      </c>
      <c r="G53" s="55" t="s">
        <v>42</v>
      </c>
      <c r="H53" s="215" t="s">
        <v>165</v>
      </c>
      <c r="I53" s="55" t="s">
        <v>153</v>
      </c>
      <c r="J53" s="215" t="s">
        <v>38</v>
      </c>
      <c r="K53" s="215" t="s">
        <v>154</v>
      </c>
      <c r="L53" s="207">
        <v>1</v>
      </c>
      <c r="N53" s="207">
        <v>9</v>
      </c>
      <c r="O53" s="207">
        <v>0.65</v>
      </c>
      <c r="P53" s="207">
        <v>0.7</v>
      </c>
      <c r="Q53" s="216">
        <f t="shared" si="0"/>
        <v>0.67500000000000004</v>
      </c>
      <c r="R53" s="207">
        <v>14.5</v>
      </c>
      <c r="S53" s="207">
        <v>162</v>
      </c>
      <c r="T53" s="216">
        <f t="shared" si="1"/>
        <v>22</v>
      </c>
      <c r="U53" s="207">
        <v>1080</v>
      </c>
      <c r="V53" s="216">
        <f t="shared" si="2"/>
        <v>2640</v>
      </c>
      <c r="W53" s="207">
        <v>20</v>
      </c>
      <c r="X53" s="55" t="s">
        <v>46</v>
      </c>
      <c r="Y53" s="55" t="s">
        <v>55</v>
      </c>
      <c r="Z53" s="207" t="s">
        <v>78</v>
      </c>
      <c r="AA53" s="55" t="s">
        <v>84</v>
      </c>
      <c r="AB53" s="39" t="s">
        <v>341</v>
      </c>
    </row>
    <row r="54" spans="1:28" x14ac:dyDescent="0.15">
      <c r="A54" s="55" t="s">
        <v>56</v>
      </c>
      <c r="B54" s="55" t="s">
        <v>384</v>
      </c>
      <c r="C54" s="215">
        <v>2018</v>
      </c>
      <c r="D54" s="86" t="s">
        <v>385</v>
      </c>
      <c r="E54" s="215" t="s">
        <v>400</v>
      </c>
      <c r="F54" s="215" t="s">
        <v>395</v>
      </c>
      <c r="G54" s="55" t="s">
        <v>42</v>
      </c>
      <c r="H54" s="215" t="s">
        <v>165</v>
      </c>
      <c r="I54" s="55" t="s">
        <v>153</v>
      </c>
      <c r="J54" s="215" t="s">
        <v>38</v>
      </c>
      <c r="K54" s="215" t="s">
        <v>154</v>
      </c>
      <c r="L54" s="207">
        <v>2</v>
      </c>
      <c r="N54" s="207">
        <v>9</v>
      </c>
      <c r="O54" s="207">
        <v>0.75</v>
      </c>
      <c r="P54" s="207">
        <v>0.7</v>
      </c>
      <c r="Q54" s="216">
        <f t="shared" si="0"/>
        <v>0.72499999999999998</v>
      </c>
      <c r="R54" s="207">
        <v>14.2</v>
      </c>
      <c r="S54" s="207">
        <v>149</v>
      </c>
      <c r="T54" s="216">
        <f t="shared" si="1"/>
        <v>22</v>
      </c>
      <c r="U54" s="207">
        <v>1080</v>
      </c>
      <c r="V54" s="216">
        <f t="shared" si="2"/>
        <v>2640</v>
      </c>
      <c r="W54" s="207">
        <v>20</v>
      </c>
      <c r="X54" s="55" t="s">
        <v>46</v>
      </c>
      <c r="Y54" s="55" t="s">
        <v>55</v>
      </c>
      <c r="Z54" s="207" t="s">
        <v>78</v>
      </c>
      <c r="AA54" s="55" t="s">
        <v>84</v>
      </c>
      <c r="AB54" s="39" t="s">
        <v>341</v>
      </c>
    </row>
    <row r="55" spans="1:28" x14ac:dyDescent="0.15">
      <c r="A55" s="55" t="s">
        <v>56</v>
      </c>
      <c r="B55" s="55" t="s">
        <v>384</v>
      </c>
      <c r="C55" s="215">
        <v>2018</v>
      </c>
      <c r="D55" s="86" t="s">
        <v>385</v>
      </c>
      <c r="E55" s="215" t="s">
        <v>400</v>
      </c>
      <c r="F55" s="215" t="s">
        <v>395</v>
      </c>
      <c r="G55" s="55" t="s">
        <v>42</v>
      </c>
      <c r="H55" s="215" t="s">
        <v>165</v>
      </c>
      <c r="I55" s="55" t="s">
        <v>153</v>
      </c>
      <c r="J55" s="215" t="s">
        <v>38</v>
      </c>
      <c r="K55" s="215" t="s">
        <v>154</v>
      </c>
      <c r="L55" s="207">
        <v>3</v>
      </c>
      <c r="N55" s="207">
        <v>9</v>
      </c>
      <c r="O55" s="207">
        <v>0.6</v>
      </c>
      <c r="P55" s="207">
        <v>0.6</v>
      </c>
      <c r="Q55" s="216">
        <f t="shared" si="0"/>
        <v>0.6</v>
      </c>
      <c r="R55" s="207">
        <v>14.1</v>
      </c>
      <c r="S55" s="207">
        <v>159</v>
      </c>
      <c r="T55" s="216">
        <f t="shared" si="1"/>
        <v>22</v>
      </c>
      <c r="U55" s="207">
        <v>1080</v>
      </c>
      <c r="V55" s="216">
        <f t="shared" si="2"/>
        <v>2640</v>
      </c>
      <c r="W55" s="207">
        <v>20</v>
      </c>
      <c r="X55" s="55" t="s">
        <v>46</v>
      </c>
      <c r="Y55" s="55" t="s">
        <v>55</v>
      </c>
      <c r="Z55" s="207" t="s">
        <v>78</v>
      </c>
      <c r="AA55" s="55" t="s">
        <v>84</v>
      </c>
      <c r="AB55" s="39" t="s">
        <v>341</v>
      </c>
    </row>
    <row r="56" spans="1:28" x14ac:dyDescent="0.15">
      <c r="A56" s="55"/>
      <c r="B56" s="55"/>
      <c r="C56" s="215"/>
      <c r="D56" s="86"/>
      <c r="E56" s="215"/>
      <c r="F56" s="215"/>
      <c r="G56" s="55"/>
      <c r="H56" s="215"/>
      <c r="I56" s="55"/>
      <c r="J56" s="215"/>
      <c r="K56" s="215"/>
      <c r="X56" s="55"/>
      <c r="Y56" s="55"/>
      <c r="AA56" s="55"/>
    </row>
    <row r="57" spans="1:28" x14ac:dyDescent="0.15">
      <c r="A57" s="55"/>
      <c r="B57" s="55"/>
      <c r="C57" s="215"/>
      <c r="D57" s="86"/>
      <c r="E57" s="215"/>
      <c r="F57" s="215"/>
      <c r="G57" s="55"/>
      <c r="H57" s="215"/>
      <c r="I57" s="55"/>
      <c r="J57" s="215"/>
      <c r="K57" s="215"/>
      <c r="X57" s="55"/>
      <c r="Y57" s="55"/>
      <c r="AA57" s="55"/>
    </row>
    <row r="58" spans="1:28" x14ac:dyDescent="0.15">
      <c r="A58" s="55"/>
      <c r="B58" s="55"/>
      <c r="C58" s="215"/>
      <c r="D58" s="86"/>
      <c r="E58" s="215"/>
      <c r="F58" s="215"/>
      <c r="G58" s="55"/>
      <c r="H58" s="215"/>
      <c r="I58" s="55"/>
      <c r="J58" s="215"/>
      <c r="K58" s="215"/>
      <c r="X58" s="55"/>
      <c r="Y58" s="55"/>
      <c r="AA58" s="55"/>
    </row>
    <row r="59" spans="1:28" x14ac:dyDescent="0.15">
      <c r="A59" s="55"/>
      <c r="B59" s="55"/>
      <c r="C59" s="215"/>
      <c r="D59" s="86"/>
      <c r="E59" s="215"/>
      <c r="F59" s="215"/>
      <c r="G59" s="55"/>
      <c r="H59" s="215"/>
      <c r="I59" s="55"/>
      <c r="J59" s="215"/>
      <c r="K59" s="215"/>
      <c r="X59" s="55"/>
      <c r="Y59" s="55"/>
      <c r="AA59" s="55"/>
    </row>
    <row r="60" spans="1:28" x14ac:dyDescent="0.15">
      <c r="A60" s="55"/>
      <c r="B60" s="55"/>
      <c r="C60" s="215"/>
      <c r="D60" s="86"/>
      <c r="E60" s="215"/>
      <c r="F60" s="215"/>
      <c r="G60" s="55"/>
      <c r="H60" s="215"/>
      <c r="I60" s="55"/>
      <c r="J60" s="215"/>
      <c r="K60" s="215"/>
      <c r="X60" s="55"/>
      <c r="Y60" s="55"/>
      <c r="AA60" s="55"/>
    </row>
    <row r="61" spans="1:28" x14ac:dyDescent="0.15">
      <c r="A61" s="55"/>
      <c r="B61" s="55"/>
      <c r="C61" s="215"/>
      <c r="D61" s="86"/>
      <c r="E61" s="215"/>
      <c r="F61" s="215"/>
      <c r="G61" s="55"/>
      <c r="H61" s="215"/>
      <c r="I61" s="55"/>
      <c r="J61" s="215"/>
      <c r="K61" s="215"/>
      <c r="X61" s="55"/>
      <c r="Y61" s="55"/>
      <c r="AA61" s="55"/>
    </row>
    <row r="62" spans="1:28" x14ac:dyDescent="0.15">
      <c r="A62" s="55"/>
      <c r="B62" s="55"/>
      <c r="C62" s="215"/>
      <c r="D62" s="86"/>
      <c r="E62" s="215"/>
      <c r="F62" s="215"/>
      <c r="G62" s="55"/>
      <c r="H62" s="215"/>
      <c r="I62" s="55"/>
      <c r="J62" s="215"/>
      <c r="K62" s="215"/>
      <c r="X62" s="55"/>
      <c r="Y62" s="55"/>
      <c r="AA62" s="55"/>
    </row>
    <row r="63" spans="1:28" x14ac:dyDescent="0.15">
      <c r="A63" s="55"/>
      <c r="B63" s="55"/>
      <c r="C63" s="215"/>
      <c r="D63" s="86"/>
      <c r="E63" s="215"/>
      <c r="F63" s="215"/>
      <c r="G63" s="55"/>
      <c r="H63" s="215"/>
      <c r="I63" s="55"/>
      <c r="J63" s="215"/>
      <c r="K63" s="215"/>
      <c r="X63" s="55"/>
      <c r="Y63" s="55"/>
      <c r="AA63" s="55"/>
    </row>
    <row r="64" spans="1:28" x14ac:dyDescent="0.15">
      <c r="A64" s="55"/>
      <c r="B64" s="55"/>
      <c r="C64" s="215"/>
      <c r="D64" s="86"/>
      <c r="E64" s="215"/>
      <c r="F64" s="215"/>
      <c r="G64" s="55"/>
      <c r="H64" s="215"/>
      <c r="I64" s="55"/>
      <c r="J64" s="215"/>
      <c r="K64" s="215"/>
      <c r="X64" s="55"/>
      <c r="Y64" s="55"/>
      <c r="AA64" s="55"/>
    </row>
    <row r="65" spans="1:27" x14ac:dyDescent="0.15">
      <c r="A65" s="55"/>
      <c r="B65" s="55"/>
      <c r="C65" s="215"/>
      <c r="D65" s="86"/>
      <c r="E65" s="215"/>
      <c r="F65" s="215"/>
      <c r="G65" s="55"/>
      <c r="H65" s="215"/>
      <c r="I65" s="55"/>
      <c r="J65" s="215"/>
      <c r="K65" s="215"/>
      <c r="X65" s="55"/>
      <c r="Y65" s="55"/>
      <c r="AA65" s="55"/>
    </row>
    <row r="66" spans="1:27" x14ac:dyDescent="0.15">
      <c r="A66" s="55"/>
      <c r="B66" s="55"/>
      <c r="C66" s="215"/>
      <c r="D66" s="86"/>
      <c r="E66" s="215"/>
      <c r="F66" s="215"/>
      <c r="G66" s="55"/>
      <c r="H66" s="215"/>
      <c r="I66" s="55"/>
      <c r="J66" s="215"/>
      <c r="K66" s="215"/>
      <c r="X66" s="55"/>
      <c r="Y66" s="55"/>
      <c r="AA66" s="55"/>
    </row>
    <row r="67" spans="1:27" x14ac:dyDescent="0.15">
      <c r="A67" s="55"/>
      <c r="B67" s="55"/>
      <c r="C67" s="215"/>
      <c r="D67" s="86"/>
      <c r="E67" s="215"/>
      <c r="F67" s="215"/>
      <c r="G67" s="55"/>
      <c r="H67" s="215"/>
      <c r="I67" s="55"/>
      <c r="J67" s="215"/>
      <c r="K67" s="215"/>
      <c r="X67" s="55"/>
      <c r="Y67" s="55"/>
      <c r="AA67" s="55"/>
    </row>
    <row r="68" spans="1:27" x14ac:dyDescent="0.15">
      <c r="A68" s="55"/>
      <c r="B68" s="55"/>
      <c r="C68" s="215"/>
      <c r="D68" s="86"/>
      <c r="E68" s="215"/>
      <c r="F68" s="215"/>
      <c r="G68" s="55"/>
      <c r="H68" s="215"/>
      <c r="I68" s="55"/>
      <c r="J68" s="215"/>
      <c r="K68" s="215"/>
      <c r="X68" s="55"/>
      <c r="Y68" s="55"/>
      <c r="AA68" s="55"/>
    </row>
    <row r="69" spans="1:27" x14ac:dyDescent="0.15">
      <c r="A69" s="55"/>
      <c r="B69" s="55"/>
      <c r="C69" s="215"/>
      <c r="D69" s="86"/>
      <c r="E69" s="215"/>
      <c r="F69" s="215"/>
      <c r="G69" s="55"/>
      <c r="H69" s="215"/>
      <c r="I69" s="55"/>
      <c r="J69" s="215"/>
      <c r="K69" s="215"/>
      <c r="X69" s="55"/>
      <c r="Y69" s="55"/>
      <c r="AA69" s="55"/>
    </row>
    <row r="70" spans="1:27" x14ac:dyDescent="0.15">
      <c r="A70" s="55"/>
      <c r="B70" s="55"/>
      <c r="C70" s="215"/>
      <c r="D70" s="86"/>
      <c r="E70" s="215"/>
      <c r="F70" s="215"/>
      <c r="G70" s="55"/>
      <c r="H70" s="215"/>
      <c r="I70" s="55"/>
      <c r="J70" s="215"/>
      <c r="K70" s="215"/>
      <c r="X70" s="55"/>
      <c r="Y70" s="55"/>
      <c r="AA70" s="55"/>
    </row>
    <row r="71" spans="1:27" x14ac:dyDescent="0.15">
      <c r="A71" s="55"/>
      <c r="B71" s="55"/>
      <c r="C71" s="215"/>
      <c r="D71" s="86"/>
      <c r="E71" s="215"/>
      <c r="F71" s="215"/>
      <c r="G71" s="55"/>
      <c r="H71" s="215"/>
      <c r="I71" s="55"/>
      <c r="J71" s="215"/>
      <c r="K71" s="215"/>
      <c r="X71" s="55"/>
      <c r="Y71" s="55"/>
      <c r="AA71" s="55"/>
    </row>
    <row r="72" spans="1:27" x14ac:dyDescent="0.15">
      <c r="A72" s="55"/>
      <c r="B72" s="55"/>
      <c r="C72" s="215"/>
      <c r="D72" s="86"/>
      <c r="E72" s="215"/>
      <c r="F72" s="215"/>
      <c r="G72" s="55"/>
      <c r="H72" s="215"/>
      <c r="I72" s="55"/>
      <c r="J72" s="215"/>
      <c r="K72" s="215"/>
      <c r="X72" s="55"/>
      <c r="Y72" s="55"/>
      <c r="AA72" s="55"/>
    </row>
    <row r="73" spans="1:27" x14ac:dyDescent="0.15">
      <c r="A73" s="55"/>
      <c r="B73" s="55"/>
      <c r="C73" s="215"/>
      <c r="D73" s="86"/>
      <c r="E73" s="215"/>
      <c r="F73" s="215"/>
      <c r="G73" s="55"/>
      <c r="H73" s="215"/>
      <c r="I73" s="55"/>
      <c r="J73" s="215"/>
      <c r="K73" s="215"/>
      <c r="X73" s="55"/>
      <c r="Y73" s="55"/>
      <c r="AA73" s="55"/>
    </row>
    <row r="74" spans="1:27" x14ac:dyDescent="0.15">
      <c r="A74" s="55"/>
      <c r="B74" s="55"/>
      <c r="C74" s="215"/>
      <c r="D74" s="86"/>
      <c r="E74" s="215"/>
      <c r="F74" s="215"/>
      <c r="G74" s="55"/>
      <c r="H74" s="215"/>
      <c r="I74" s="55"/>
      <c r="J74" s="215"/>
      <c r="K74" s="215"/>
      <c r="X74" s="55"/>
      <c r="Y74" s="55"/>
      <c r="AA74" s="55"/>
    </row>
    <row r="75" spans="1:27" x14ac:dyDescent="0.15">
      <c r="A75" s="55"/>
      <c r="B75" s="55"/>
      <c r="C75" s="215"/>
      <c r="D75" s="86"/>
      <c r="E75" s="215"/>
      <c r="F75" s="215"/>
      <c r="G75" s="55"/>
      <c r="H75" s="215"/>
      <c r="I75" s="55"/>
      <c r="J75" s="215"/>
      <c r="K75" s="215"/>
      <c r="X75" s="55"/>
      <c r="Y75" s="55"/>
      <c r="AA75" s="55"/>
    </row>
    <row r="76" spans="1:27" x14ac:dyDescent="0.15">
      <c r="A76" s="55"/>
      <c r="B76" s="55"/>
      <c r="C76" s="215"/>
      <c r="D76" s="86"/>
      <c r="E76" s="215"/>
      <c r="F76" s="215"/>
      <c r="G76" s="55"/>
      <c r="H76" s="215"/>
      <c r="I76" s="55"/>
      <c r="J76" s="215"/>
      <c r="K76" s="215"/>
      <c r="X76" s="55"/>
      <c r="Y76" s="55"/>
      <c r="AA76" s="55"/>
    </row>
    <row r="77" spans="1:27" x14ac:dyDescent="0.15">
      <c r="A77" s="55"/>
      <c r="B77" s="55"/>
      <c r="C77" s="215"/>
      <c r="D77" s="86"/>
      <c r="E77" s="215"/>
      <c r="F77" s="215"/>
      <c r="G77" s="55"/>
      <c r="H77" s="215"/>
      <c r="I77" s="55"/>
      <c r="J77" s="215"/>
      <c r="K77" s="215"/>
      <c r="X77" s="55"/>
      <c r="Y77" s="55"/>
      <c r="AA77" s="55"/>
    </row>
    <row r="78" spans="1:27" x14ac:dyDescent="0.15">
      <c r="A78" s="55"/>
      <c r="B78" s="55"/>
      <c r="C78" s="215"/>
      <c r="D78" s="86"/>
      <c r="E78" s="215"/>
      <c r="F78" s="215"/>
      <c r="G78" s="55"/>
      <c r="H78" s="215"/>
      <c r="I78" s="55"/>
      <c r="J78" s="215"/>
      <c r="K78" s="215"/>
      <c r="X78" s="55"/>
      <c r="Y78" s="55"/>
      <c r="AA78" s="55"/>
    </row>
    <row r="79" spans="1:27" x14ac:dyDescent="0.15">
      <c r="A79" s="55"/>
      <c r="B79" s="55"/>
      <c r="C79" s="215"/>
      <c r="D79" s="86"/>
      <c r="E79" s="215"/>
      <c r="F79" s="215"/>
      <c r="G79" s="55"/>
      <c r="H79" s="215"/>
      <c r="I79" s="55"/>
      <c r="J79" s="215"/>
      <c r="K79" s="215"/>
      <c r="X79" s="55"/>
      <c r="Y79" s="55"/>
      <c r="AA79" s="55"/>
    </row>
    <row r="80" spans="1:27" x14ac:dyDescent="0.15">
      <c r="A80" s="55"/>
      <c r="B80" s="55"/>
      <c r="C80" s="215"/>
      <c r="D80" s="86"/>
      <c r="E80" s="215"/>
      <c r="F80" s="215"/>
      <c r="G80" s="55"/>
      <c r="H80" s="215"/>
      <c r="I80" s="55"/>
      <c r="J80" s="215"/>
      <c r="K80" s="215"/>
      <c r="X80" s="55"/>
      <c r="Y80" s="55"/>
      <c r="AA80" s="55"/>
    </row>
    <row r="81" spans="1:27" x14ac:dyDescent="0.15">
      <c r="A81" s="55"/>
      <c r="B81" s="55"/>
      <c r="C81" s="215"/>
      <c r="D81" s="86"/>
      <c r="E81" s="215"/>
      <c r="F81" s="215"/>
      <c r="G81" s="55"/>
      <c r="H81" s="215"/>
      <c r="I81" s="55"/>
      <c r="J81" s="215"/>
      <c r="K81" s="215"/>
      <c r="X81" s="55"/>
      <c r="Y81" s="55"/>
      <c r="AA81" s="55"/>
    </row>
    <row r="82" spans="1:27" x14ac:dyDescent="0.15">
      <c r="A82" s="55"/>
      <c r="B82" s="55"/>
      <c r="C82" s="215"/>
      <c r="D82" s="86"/>
      <c r="E82" s="215"/>
      <c r="F82" s="215"/>
      <c r="G82" s="55"/>
      <c r="H82" s="215"/>
      <c r="I82" s="55"/>
      <c r="J82" s="215"/>
      <c r="K82" s="215"/>
      <c r="X82" s="55"/>
      <c r="Y82" s="55"/>
      <c r="AA82" s="55"/>
    </row>
    <row r="83" spans="1:27" x14ac:dyDescent="0.15">
      <c r="E83" s="215"/>
      <c r="F83" s="215"/>
      <c r="G83" s="55"/>
      <c r="H83" s="215"/>
      <c r="I83" s="55"/>
      <c r="J83" s="215"/>
      <c r="K83" s="215"/>
      <c r="X83" s="55"/>
      <c r="Y83" s="55"/>
      <c r="AA83" s="55"/>
    </row>
    <row r="84" spans="1:27" x14ac:dyDescent="0.15">
      <c r="E84" s="215"/>
      <c r="F84" s="215"/>
      <c r="G84" s="55"/>
      <c r="H84" s="215"/>
      <c r="I84" s="55"/>
      <c r="J84" s="215"/>
      <c r="K84" s="215"/>
      <c r="X84" s="55"/>
      <c r="Y84" s="55"/>
      <c r="AA84" s="55"/>
    </row>
    <row r="85" spans="1:27" x14ac:dyDescent="0.15">
      <c r="E85" s="215"/>
      <c r="F85" s="215"/>
      <c r="G85" s="55"/>
      <c r="H85" s="215"/>
      <c r="I85" s="55"/>
      <c r="J85" s="215"/>
      <c r="K85" s="215"/>
      <c r="X85" s="55"/>
      <c r="Y85" s="55"/>
      <c r="AA85" s="55"/>
    </row>
    <row r="86" spans="1:27" x14ac:dyDescent="0.15">
      <c r="J86" s="215"/>
      <c r="K86" s="215"/>
    </row>
    <row r="87" spans="1:27" x14ac:dyDescent="0.15">
      <c r="J87" s="215"/>
      <c r="K87" s="215"/>
    </row>
    <row r="88" spans="1:27" x14ac:dyDescent="0.15">
      <c r="J88" s="215"/>
      <c r="K88" s="215"/>
    </row>
    <row r="89" spans="1:27" x14ac:dyDescent="0.15">
      <c r="J89" s="215"/>
      <c r="K89" s="215"/>
    </row>
    <row r="90" spans="1:27" x14ac:dyDescent="0.15">
      <c r="J90" s="215"/>
      <c r="K90" s="215"/>
    </row>
    <row r="91" spans="1:27" x14ac:dyDescent="0.15">
      <c r="J91" s="215"/>
      <c r="K91" s="215"/>
    </row>
    <row r="92" spans="1:27" x14ac:dyDescent="0.15">
      <c r="J92" s="215"/>
      <c r="K92" s="215"/>
    </row>
    <row r="93" spans="1:27" x14ac:dyDescent="0.15">
      <c r="J93" s="215"/>
      <c r="K93" s="215"/>
    </row>
    <row r="94" spans="1:27" x14ac:dyDescent="0.15">
      <c r="J94" s="215"/>
      <c r="K94" s="215"/>
    </row>
    <row r="95" spans="1:27" x14ac:dyDescent="0.15">
      <c r="J95" s="215"/>
      <c r="K95" s="215"/>
    </row>
    <row r="96" spans="1:27" x14ac:dyDescent="0.15">
      <c r="J96" s="215"/>
      <c r="K96" s="215"/>
    </row>
    <row r="97" spans="10:11" x14ac:dyDescent="0.15">
      <c r="J97" s="215"/>
      <c r="K97" s="215"/>
    </row>
    <row r="98" spans="10:11" x14ac:dyDescent="0.15">
      <c r="J98" s="215"/>
      <c r="K98" s="215"/>
    </row>
    <row r="99" spans="10:11" x14ac:dyDescent="0.15">
      <c r="J99" s="215"/>
      <c r="K99" s="215"/>
    </row>
    <row r="100" spans="10:11" x14ac:dyDescent="0.15">
      <c r="J100" s="215"/>
      <c r="K100" s="215"/>
    </row>
    <row r="101" spans="10:11" x14ac:dyDescent="0.15">
      <c r="K101" s="215"/>
    </row>
    <row r="102" spans="10:11" x14ac:dyDescent="0.15">
      <c r="K102" s="215"/>
    </row>
    <row r="103" spans="10:11" x14ac:dyDescent="0.15">
      <c r="K103" s="215"/>
    </row>
    <row r="104" spans="10:11" x14ac:dyDescent="0.15">
      <c r="K104" s="215"/>
    </row>
    <row r="105" spans="10:11" x14ac:dyDescent="0.15">
      <c r="K105" s="215"/>
    </row>
    <row r="106" spans="10:11" x14ac:dyDescent="0.15">
      <c r="K106" s="215"/>
    </row>
    <row r="107" spans="10:11" x14ac:dyDescent="0.15">
      <c r="K107" s="215"/>
    </row>
    <row r="108" spans="10:11" x14ac:dyDescent="0.15">
      <c r="K108" s="215"/>
    </row>
    <row r="109" spans="10:11" x14ac:dyDescent="0.15">
      <c r="K109" s="215"/>
    </row>
    <row r="110" spans="10:11" x14ac:dyDescent="0.15">
      <c r="K110" s="215"/>
    </row>
    <row r="111" spans="10:11" x14ac:dyDescent="0.15">
      <c r="K111" s="215"/>
    </row>
    <row r="112" spans="10:11" x14ac:dyDescent="0.15">
      <c r="K112" s="215"/>
    </row>
    <row r="113" spans="11:11" x14ac:dyDescent="0.15">
      <c r="K113" s="215"/>
    </row>
    <row r="114" spans="11:11" x14ac:dyDescent="0.15">
      <c r="K114" s="215"/>
    </row>
    <row r="115" spans="11:11" x14ac:dyDescent="0.15">
      <c r="K115" s="215"/>
    </row>
    <row r="116" spans="11:11" x14ac:dyDescent="0.15">
      <c r="K116" s="215"/>
    </row>
    <row r="117" spans="11:11" x14ac:dyDescent="0.15">
      <c r="K117" s="215"/>
    </row>
    <row r="118" spans="11:11" x14ac:dyDescent="0.15">
      <c r="K118" s="215"/>
    </row>
    <row r="119" spans="11:11" x14ac:dyDescent="0.15">
      <c r="K119" s="215"/>
    </row>
    <row r="120" spans="11:11" x14ac:dyDescent="0.15">
      <c r="K120" s="215"/>
    </row>
    <row r="121" spans="11:11" x14ac:dyDescent="0.15">
      <c r="K121" s="215"/>
    </row>
    <row r="122" spans="11:11" x14ac:dyDescent="0.15">
      <c r="K122" s="215"/>
    </row>
    <row r="123" spans="11:11" x14ac:dyDescent="0.15">
      <c r="K123" s="215"/>
    </row>
    <row r="124" spans="11:11" x14ac:dyDescent="0.15">
      <c r="K124" s="215"/>
    </row>
    <row r="125" spans="11:11" x14ac:dyDescent="0.15">
      <c r="K125" s="215"/>
    </row>
    <row r="126" spans="11:11" x14ac:dyDescent="0.15">
      <c r="K126" s="215"/>
    </row>
    <row r="127" spans="11:11" x14ac:dyDescent="0.15">
      <c r="K127" s="215"/>
    </row>
    <row r="128" spans="11:11" x14ac:dyDescent="0.15">
      <c r="K128" s="215"/>
    </row>
    <row r="129" spans="11:11" x14ac:dyDescent="0.15">
      <c r="K129" s="215"/>
    </row>
    <row r="130" spans="11:11" x14ac:dyDescent="0.15">
      <c r="K130" s="215"/>
    </row>
    <row r="131" spans="11:11" x14ac:dyDescent="0.15">
      <c r="K131" s="215"/>
    </row>
    <row r="132" spans="11:11" x14ac:dyDescent="0.15">
      <c r="K132" s="215"/>
    </row>
    <row r="133" spans="11:11" x14ac:dyDescent="0.15">
      <c r="K133" s="215"/>
    </row>
    <row r="134" spans="11:11" x14ac:dyDescent="0.15">
      <c r="K134" s="215"/>
    </row>
    <row r="135" spans="11:11" x14ac:dyDescent="0.15">
      <c r="K135" s="215"/>
    </row>
    <row r="136" spans="11:11" x14ac:dyDescent="0.15">
      <c r="K136" s="215"/>
    </row>
    <row r="137" spans="11:11" x14ac:dyDescent="0.15">
      <c r="K137" s="215"/>
    </row>
    <row r="138" spans="11:11" x14ac:dyDescent="0.15">
      <c r="K138" s="215"/>
    </row>
    <row r="139" spans="11:11" x14ac:dyDescent="0.15">
      <c r="K139" s="215"/>
    </row>
    <row r="140" spans="11:11" x14ac:dyDescent="0.15">
      <c r="K140" s="215"/>
    </row>
    <row r="141" spans="11:11" x14ac:dyDescent="0.15">
      <c r="K141" s="215"/>
    </row>
    <row r="142" spans="11:11" x14ac:dyDescent="0.15">
      <c r="K142" s="215"/>
    </row>
    <row r="143" spans="11:11" x14ac:dyDescent="0.15">
      <c r="K143" s="215"/>
    </row>
    <row r="144" spans="11:11" x14ac:dyDescent="0.15">
      <c r="K144" s="215"/>
    </row>
    <row r="145" spans="11:11" x14ac:dyDescent="0.15">
      <c r="K145" s="215"/>
    </row>
    <row r="146" spans="11:11" x14ac:dyDescent="0.15">
      <c r="K146" s="215"/>
    </row>
    <row r="147" spans="11:11" x14ac:dyDescent="0.15">
      <c r="K147" s="215"/>
    </row>
    <row r="148" spans="11:11" x14ac:dyDescent="0.15">
      <c r="K148" s="215"/>
    </row>
    <row r="149" spans="11:11" x14ac:dyDescent="0.15">
      <c r="K149" s="215"/>
    </row>
    <row r="150" spans="11:11" x14ac:dyDescent="0.15">
      <c r="K150" s="215"/>
    </row>
    <row r="151" spans="11:11" x14ac:dyDescent="0.15">
      <c r="K151" s="215"/>
    </row>
    <row r="152" spans="11:11" x14ac:dyDescent="0.15">
      <c r="K152" s="215"/>
    </row>
    <row r="153" spans="11:11" x14ac:dyDescent="0.15">
      <c r="K153" s="215"/>
    </row>
    <row r="154" spans="11:11" x14ac:dyDescent="0.15">
      <c r="K154" s="215"/>
    </row>
    <row r="155" spans="11:11" x14ac:dyDescent="0.15">
      <c r="K155" s="215"/>
    </row>
    <row r="156" spans="11:11" x14ac:dyDescent="0.15">
      <c r="K156" s="215"/>
    </row>
    <row r="157" spans="11:11" x14ac:dyDescent="0.15">
      <c r="K157" s="215"/>
    </row>
    <row r="158" spans="11:11" x14ac:dyDescent="0.15">
      <c r="K158" s="215"/>
    </row>
    <row r="159" spans="11:11" x14ac:dyDescent="0.15">
      <c r="K159" s="215"/>
    </row>
    <row r="160" spans="11:11" x14ac:dyDescent="0.15">
      <c r="K160" s="215"/>
    </row>
    <row r="161" spans="11:11" x14ac:dyDescent="0.15">
      <c r="K161" s="215"/>
    </row>
    <row r="162" spans="11:11" x14ac:dyDescent="0.15">
      <c r="K162" s="215"/>
    </row>
    <row r="163" spans="11:11" x14ac:dyDescent="0.15">
      <c r="K163" s="215"/>
    </row>
    <row r="164" spans="11:11" x14ac:dyDescent="0.15">
      <c r="K164" s="215"/>
    </row>
    <row r="165" spans="11:11" x14ac:dyDescent="0.15">
      <c r="K165" s="215"/>
    </row>
    <row r="166" spans="11:11" x14ac:dyDescent="0.15">
      <c r="K166" s="215"/>
    </row>
    <row r="167" spans="11:11" x14ac:dyDescent="0.15">
      <c r="K167" s="215"/>
    </row>
    <row r="168" spans="11:11" x14ac:dyDescent="0.15">
      <c r="K168" s="215"/>
    </row>
    <row r="169" spans="11:11" x14ac:dyDescent="0.15">
      <c r="K169" s="215"/>
    </row>
    <row r="170" spans="11:11" x14ac:dyDescent="0.15">
      <c r="K170" s="215"/>
    </row>
    <row r="171" spans="11:11" x14ac:dyDescent="0.15">
      <c r="K171" s="215"/>
    </row>
    <row r="172" spans="11:11" x14ac:dyDescent="0.15">
      <c r="K172" s="215"/>
    </row>
    <row r="173" spans="11:11" x14ac:dyDescent="0.15">
      <c r="K173" s="215"/>
    </row>
    <row r="174" spans="11:11" x14ac:dyDescent="0.15">
      <c r="K174" s="215"/>
    </row>
    <row r="175" spans="11:11" x14ac:dyDescent="0.15">
      <c r="K175" s="215"/>
    </row>
    <row r="176" spans="11:11" x14ac:dyDescent="0.15">
      <c r="K176" s="215"/>
    </row>
    <row r="177" spans="11:11" x14ac:dyDescent="0.15">
      <c r="K177" s="215"/>
    </row>
    <row r="178" spans="11:11" x14ac:dyDescent="0.15">
      <c r="K178" s="215"/>
    </row>
    <row r="179" spans="11:11" x14ac:dyDescent="0.15">
      <c r="K179" s="215"/>
    </row>
    <row r="180" spans="11:11" x14ac:dyDescent="0.15">
      <c r="K180" s="215"/>
    </row>
    <row r="181" spans="11:11" x14ac:dyDescent="0.15">
      <c r="K181" s="215"/>
    </row>
    <row r="182" spans="11:11" x14ac:dyDescent="0.15">
      <c r="K182" s="215"/>
    </row>
    <row r="183" spans="11:11" x14ac:dyDescent="0.15">
      <c r="K183" s="215"/>
    </row>
    <row r="184" spans="11:11" x14ac:dyDescent="0.15">
      <c r="K184" s="215"/>
    </row>
    <row r="185" spans="11:11" x14ac:dyDescent="0.15">
      <c r="K185" s="215"/>
    </row>
    <row r="186" spans="11:11" x14ac:dyDescent="0.15">
      <c r="K186" s="215"/>
    </row>
    <row r="187" spans="11:11" x14ac:dyDescent="0.15">
      <c r="K187" s="215"/>
    </row>
    <row r="188" spans="11:11" x14ac:dyDescent="0.15">
      <c r="K188" s="215"/>
    </row>
    <row r="189" spans="11:11" x14ac:dyDescent="0.15">
      <c r="K189" s="215"/>
    </row>
    <row r="190" spans="11:11" x14ac:dyDescent="0.15">
      <c r="K190" s="215"/>
    </row>
    <row r="191" spans="11:11" x14ac:dyDescent="0.15">
      <c r="K191" s="215"/>
    </row>
    <row r="192" spans="11:11" x14ac:dyDescent="0.15">
      <c r="K192" s="215"/>
    </row>
    <row r="193" spans="11:11" x14ac:dyDescent="0.15">
      <c r="K193" s="215"/>
    </row>
    <row r="194" spans="11:11" x14ac:dyDescent="0.15">
      <c r="K194" s="215"/>
    </row>
    <row r="195" spans="11:11" x14ac:dyDescent="0.15">
      <c r="K195" s="215"/>
    </row>
    <row r="196" spans="11:11" x14ac:dyDescent="0.15">
      <c r="K196" s="215"/>
    </row>
    <row r="197" spans="11:11" x14ac:dyDescent="0.15">
      <c r="K197" s="215"/>
    </row>
    <row r="198" spans="11:11" x14ac:dyDescent="0.15">
      <c r="K198" s="215"/>
    </row>
    <row r="199" spans="11:11" x14ac:dyDescent="0.15">
      <c r="K199" s="215"/>
    </row>
    <row r="200" spans="11:11" x14ac:dyDescent="0.15">
      <c r="K200" s="215"/>
    </row>
    <row r="201" spans="11:11" x14ac:dyDescent="0.15">
      <c r="K201" s="215"/>
    </row>
    <row r="202" spans="11:11" x14ac:dyDescent="0.15">
      <c r="K202" s="215"/>
    </row>
    <row r="203" spans="11:11" x14ac:dyDescent="0.15">
      <c r="K203" s="215"/>
    </row>
    <row r="204" spans="11:11" x14ac:dyDescent="0.15">
      <c r="K204" s="215"/>
    </row>
    <row r="205" spans="11:11" x14ac:dyDescent="0.15">
      <c r="K205" s="215"/>
    </row>
    <row r="206" spans="11:11" x14ac:dyDescent="0.15">
      <c r="K206" s="215"/>
    </row>
    <row r="207" spans="11:11" x14ac:dyDescent="0.15">
      <c r="K207" s="215"/>
    </row>
    <row r="208" spans="11:11" x14ac:dyDescent="0.15">
      <c r="K208" s="215"/>
    </row>
    <row r="209" spans="11:11" x14ac:dyDescent="0.15">
      <c r="K209" s="215"/>
    </row>
    <row r="210" spans="11:11" x14ac:dyDescent="0.15">
      <c r="K210" s="215"/>
    </row>
    <row r="211" spans="11:11" x14ac:dyDescent="0.15">
      <c r="K211" s="215"/>
    </row>
    <row r="212" spans="11:11" x14ac:dyDescent="0.15">
      <c r="K212" s="215"/>
    </row>
    <row r="213" spans="11:11" x14ac:dyDescent="0.15">
      <c r="K213" s="215"/>
    </row>
    <row r="214" spans="11:11" x14ac:dyDescent="0.15">
      <c r="K214" s="215"/>
    </row>
    <row r="215" spans="11:11" x14ac:dyDescent="0.15">
      <c r="K215" s="215"/>
    </row>
    <row r="216" spans="11:11" x14ac:dyDescent="0.15">
      <c r="K216" s="215"/>
    </row>
    <row r="217" spans="11:11" x14ac:dyDescent="0.15">
      <c r="K217" s="215"/>
    </row>
    <row r="218" spans="11:11" x14ac:dyDescent="0.15">
      <c r="K218" s="215"/>
    </row>
    <row r="219" spans="11:11" x14ac:dyDescent="0.15">
      <c r="K219" s="215"/>
    </row>
    <row r="220" spans="11:11" x14ac:dyDescent="0.15">
      <c r="K220" s="215"/>
    </row>
    <row r="221" spans="11:11" x14ac:dyDescent="0.15">
      <c r="K221" s="215"/>
    </row>
    <row r="222" spans="11:11" x14ac:dyDescent="0.15">
      <c r="K222" s="215"/>
    </row>
    <row r="223" spans="11:11" x14ac:dyDescent="0.15">
      <c r="K223" s="215"/>
    </row>
    <row r="224" spans="11:11" x14ac:dyDescent="0.15">
      <c r="K224" s="215"/>
    </row>
    <row r="225" spans="11:11" x14ac:dyDescent="0.15">
      <c r="K225" s="215"/>
    </row>
    <row r="226" spans="11:11" x14ac:dyDescent="0.15">
      <c r="K226" s="215"/>
    </row>
    <row r="227" spans="11:11" x14ac:dyDescent="0.15">
      <c r="K227" s="215"/>
    </row>
    <row r="228" spans="11:11" x14ac:dyDescent="0.15">
      <c r="K228" s="215"/>
    </row>
    <row r="229" spans="11:11" x14ac:dyDescent="0.15">
      <c r="K229" s="215"/>
    </row>
    <row r="230" spans="11:11" x14ac:dyDescent="0.15">
      <c r="K230" s="215"/>
    </row>
    <row r="231" spans="11:11" x14ac:dyDescent="0.15">
      <c r="K231" s="215"/>
    </row>
    <row r="232" spans="11:11" x14ac:dyDescent="0.15">
      <c r="K232" s="215"/>
    </row>
    <row r="233" spans="11:11" x14ac:dyDescent="0.15">
      <c r="K233" s="215"/>
    </row>
    <row r="234" spans="11:11" x14ac:dyDescent="0.15">
      <c r="K234" s="215"/>
    </row>
    <row r="235" spans="11:11" x14ac:dyDescent="0.15">
      <c r="K235" s="215"/>
    </row>
    <row r="236" spans="11:11" x14ac:dyDescent="0.15">
      <c r="K236" s="215"/>
    </row>
    <row r="237" spans="11:11" x14ac:dyDescent="0.15">
      <c r="K237" s="215"/>
    </row>
    <row r="238" spans="11:11" x14ac:dyDescent="0.15">
      <c r="K238" s="215"/>
    </row>
    <row r="239" spans="11:11" x14ac:dyDescent="0.15">
      <c r="K239" s="215"/>
    </row>
    <row r="240" spans="11:11" x14ac:dyDescent="0.15">
      <c r="K240" s="215"/>
    </row>
    <row r="241" spans="11:11" x14ac:dyDescent="0.15">
      <c r="K241" s="215"/>
    </row>
    <row r="242" spans="11:11" x14ac:dyDescent="0.15">
      <c r="K242" s="215"/>
    </row>
    <row r="243" spans="11:11" x14ac:dyDescent="0.15">
      <c r="K243" s="215"/>
    </row>
    <row r="244" spans="11:11" x14ac:dyDescent="0.15">
      <c r="K244" s="215"/>
    </row>
    <row r="245" spans="11:11" x14ac:dyDescent="0.15">
      <c r="K245" s="215"/>
    </row>
    <row r="246" spans="11:11" x14ac:dyDescent="0.15">
      <c r="K246" s="215"/>
    </row>
    <row r="247" spans="11:11" x14ac:dyDescent="0.15">
      <c r="K247" s="215"/>
    </row>
    <row r="248" spans="11:11" x14ac:dyDescent="0.15">
      <c r="K248" s="215"/>
    </row>
    <row r="249" spans="11:11" x14ac:dyDescent="0.15">
      <c r="K249" s="215"/>
    </row>
    <row r="250" spans="11:11" x14ac:dyDescent="0.15">
      <c r="K250" s="215"/>
    </row>
    <row r="251" spans="11:11" x14ac:dyDescent="0.15">
      <c r="K251" s="215"/>
    </row>
    <row r="252" spans="11:11" x14ac:dyDescent="0.15">
      <c r="K252" s="215"/>
    </row>
    <row r="253" spans="11:11" x14ac:dyDescent="0.15">
      <c r="K253" s="215"/>
    </row>
    <row r="254" spans="11:11" x14ac:dyDescent="0.15">
      <c r="K254" s="215"/>
    </row>
    <row r="255" spans="11:11" x14ac:dyDescent="0.15">
      <c r="K255" s="215"/>
    </row>
    <row r="256" spans="11:11" x14ac:dyDescent="0.15">
      <c r="K256" s="215"/>
    </row>
    <row r="257" spans="11:11" x14ac:dyDescent="0.15">
      <c r="K257" s="215"/>
    </row>
    <row r="258" spans="11:11" x14ac:dyDescent="0.15">
      <c r="K258" s="215"/>
    </row>
    <row r="259" spans="11:11" x14ac:dyDescent="0.15">
      <c r="K259" s="215"/>
    </row>
    <row r="260" spans="11:11" x14ac:dyDescent="0.15">
      <c r="K260" s="215"/>
    </row>
    <row r="261" spans="11:11" x14ac:dyDescent="0.15">
      <c r="K261" s="215"/>
    </row>
    <row r="262" spans="11:11" x14ac:dyDescent="0.15">
      <c r="K262" s="215"/>
    </row>
    <row r="263" spans="11:11" x14ac:dyDescent="0.15">
      <c r="K263" s="215"/>
    </row>
    <row r="264" spans="11:11" x14ac:dyDescent="0.15">
      <c r="K264" s="215"/>
    </row>
    <row r="265" spans="11:11" x14ac:dyDescent="0.15">
      <c r="K265" s="215"/>
    </row>
    <row r="266" spans="11:11" x14ac:dyDescent="0.15">
      <c r="K266" s="215"/>
    </row>
    <row r="267" spans="11:11" x14ac:dyDescent="0.15">
      <c r="K267" s="215"/>
    </row>
    <row r="268" spans="11:11" x14ac:dyDescent="0.15">
      <c r="K268" s="215"/>
    </row>
    <row r="269" spans="11:11" x14ac:dyDescent="0.15">
      <c r="K269" s="215"/>
    </row>
    <row r="270" spans="11:11" x14ac:dyDescent="0.15">
      <c r="K270" s="215"/>
    </row>
    <row r="271" spans="11:11" x14ac:dyDescent="0.15">
      <c r="K271" s="215"/>
    </row>
    <row r="272" spans="11:11" x14ac:dyDescent="0.15">
      <c r="K272" s="215"/>
    </row>
    <row r="273" spans="11:11" x14ac:dyDescent="0.15">
      <c r="K273" s="215"/>
    </row>
    <row r="274" spans="11:11" x14ac:dyDescent="0.15">
      <c r="K274" s="215"/>
    </row>
    <row r="275" spans="11:11" x14ac:dyDescent="0.15">
      <c r="K275" s="215"/>
    </row>
    <row r="276" spans="11:11" x14ac:dyDescent="0.15">
      <c r="K276" s="215"/>
    </row>
    <row r="277" spans="11:11" x14ac:dyDescent="0.15">
      <c r="K277" s="215"/>
    </row>
    <row r="278" spans="11:11" x14ac:dyDescent="0.15">
      <c r="K278" s="215"/>
    </row>
    <row r="279" spans="11:11" x14ac:dyDescent="0.15">
      <c r="K279" s="215"/>
    </row>
    <row r="280" spans="11:11" x14ac:dyDescent="0.15">
      <c r="K280" s="215"/>
    </row>
    <row r="281" spans="11:11" x14ac:dyDescent="0.15">
      <c r="K281" s="215"/>
    </row>
    <row r="282" spans="11:11" x14ac:dyDescent="0.15">
      <c r="K282" s="215"/>
    </row>
    <row r="283" spans="11:11" x14ac:dyDescent="0.15">
      <c r="K283" s="215"/>
    </row>
    <row r="284" spans="11:11" x14ac:dyDescent="0.15">
      <c r="K284" s="215"/>
    </row>
    <row r="285" spans="11:11" x14ac:dyDescent="0.15">
      <c r="K285" s="215"/>
    </row>
    <row r="286" spans="11:11" x14ac:dyDescent="0.15">
      <c r="K286" s="215"/>
    </row>
    <row r="287" spans="11:11" x14ac:dyDescent="0.15">
      <c r="K287" s="215"/>
    </row>
    <row r="288" spans="11:11" x14ac:dyDescent="0.15">
      <c r="K288" s="215"/>
    </row>
    <row r="289" spans="11:11" x14ac:dyDescent="0.15">
      <c r="K289" s="215"/>
    </row>
    <row r="290" spans="11:11" x14ac:dyDescent="0.15">
      <c r="K290" s="215"/>
    </row>
    <row r="291" spans="11:11" x14ac:dyDescent="0.15">
      <c r="K291" s="215"/>
    </row>
    <row r="292" spans="11:11" x14ac:dyDescent="0.15">
      <c r="K292" s="215"/>
    </row>
    <row r="293" spans="11:11" x14ac:dyDescent="0.15">
      <c r="K293" s="215"/>
    </row>
    <row r="294" spans="11:11" x14ac:dyDescent="0.15">
      <c r="K294" s="215"/>
    </row>
    <row r="295" spans="11:11" x14ac:dyDescent="0.15">
      <c r="K295" s="215"/>
    </row>
    <row r="296" spans="11:11" x14ac:dyDescent="0.15">
      <c r="K296" s="215"/>
    </row>
    <row r="297" spans="11:11" x14ac:dyDescent="0.15">
      <c r="K297" s="215"/>
    </row>
    <row r="298" spans="11:11" x14ac:dyDescent="0.15">
      <c r="K298" s="215"/>
    </row>
    <row r="299" spans="11:11" x14ac:dyDescent="0.15">
      <c r="K299" s="215"/>
    </row>
    <row r="300" spans="11:11" x14ac:dyDescent="0.15">
      <c r="K300" s="215"/>
    </row>
    <row r="301" spans="11:11" x14ac:dyDescent="0.15">
      <c r="K301" s="215"/>
    </row>
    <row r="302" spans="11:11" x14ac:dyDescent="0.15">
      <c r="K302" s="215"/>
    </row>
    <row r="303" spans="11:11" x14ac:dyDescent="0.15">
      <c r="K303" s="215"/>
    </row>
    <row r="304" spans="11:11" x14ac:dyDescent="0.15">
      <c r="K304" s="215"/>
    </row>
    <row r="305" spans="11:11" x14ac:dyDescent="0.15">
      <c r="K305" s="215"/>
    </row>
    <row r="306" spans="11:11" x14ac:dyDescent="0.15">
      <c r="K306" s="215"/>
    </row>
    <row r="307" spans="11:11" x14ac:dyDescent="0.15">
      <c r="K307" s="215"/>
    </row>
    <row r="308" spans="11:11" x14ac:dyDescent="0.15">
      <c r="K308" s="215"/>
    </row>
    <row r="309" spans="11:11" x14ac:dyDescent="0.15">
      <c r="K309" s="215"/>
    </row>
    <row r="310" spans="11:11" x14ac:dyDescent="0.15">
      <c r="K310" s="215"/>
    </row>
    <row r="311" spans="11:11" x14ac:dyDescent="0.15">
      <c r="K311" s="215"/>
    </row>
    <row r="312" spans="11:11" x14ac:dyDescent="0.15">
      <c r="K312" s="215"/>
    </row>
    <row r="313" spans="11:11" x14ac:dyDescent="0.15">
      <c r="K313" s="215"/>
    </row>
    <row r="314" spans="11:11" x14ac:dyDescent="0.15">
      <c r="K314" s="215"/>
    </row>
    <row r="315" spans="11:11" x14ac:dyDescent="0.15">
      <c r="K315" s="215"/>
    </row>
    <row r="316" spans="11:11" x14ac:dyDescent="0.15">
      <c r="K316" s="215"/>
    </row>
    <row r="317" spans="11:11" x14ac:dyDescent="0.15">
      <c r="K317" s="215"/>
    </row>
    <row r="318" spans="11:11" x14ac:dyDescent="0.15">
      <c r="K318" s="215"/>
    </row>
    <row r="319" spans="11:11" x14ac:dyDescent="0.15">
      <c r="K319" s="215"/>
    </row>
    <row r="320" spans="11:11" x14ac:dyDescent="0.15">
      <c r="K320" s="215"/>
    </row>
    <row r="321" spans="11:11" x14ac:dyDescent="0.15">
      <c r="K321" s="215"/>
    </row>
    <row r="322" spans="11:11" x14ac:dyDescent="0.15">
      <c r="K322" s="215"/>
    </row>
    <row r="323" spans="11:11" x14ac:dyDescent="0.15">
      <c r="K323" s="215"/>
    </row>
    <row r="324" spans="11:11" x14ac:dyDescent="0.15">
      <c r="K324" s="215"/>
    </row>
    <row r="325" spans="11:11" x14ac:dyDescent="0.15">
      <c r="K325" s="215"/>
    </row>
    <row r="326" spans="11:11" x14ac:dyDescent="0.15">
      <c r="K326" s="215"/>
    </row>
    <row r="327" spans="11:11" x14ac:dyDescent="0.15">
      <c r="K327" s="215"/>
    </row>
    <row r="328" spans="11:11" x14ac:dyDescent="0.15">
      <c r="K328" s="215"/>
    </row>
    <row r="329" spans="11:11" x14ac:dyDescent="0.15">
      <c r="K329" s="215"/>
    </row>
    <row r="330" spans="11:11" x14ac:dyDescent="0.15">
      <c r="K330" s="215"/>
    </row>
    <row r="331" spans="11:11" x14ac:dyDescent="0.15">
      <c r="K331" s="215"/>
    </row>
    <row r="332" spans="11:11" x14ac:dyDescent="0.15">
      <c r="K332" s="215"/>
    </row>
    <row r="333" spans="11:11" x14ac:dyDescent="0.15">
      <c r="K333" s="215"/>
    </row>
    <row r="334" spans="11:11" x14ac:dyDescent="0.15">
      <c r="K334" s="215"/>
    </row>
    <row r="335" spans="11:11" x14ac:dyDescent="0.15">
      <c r="K335" s="215"/>
    </row>
    <row r="336" spans="11:11" x14ac:dyDescent="0.15">
      <c r="K336" s="215"/>
    </row>
    <row r="337" spans="11:11" x14ac:dyDescent="0.15">
      <c r="K337" s="215"/>
    </row>
    <row r="338" spans="11:11" x14ac:dyDescent="0.15">
      <c r="K338" s="215"/>
    </row>
    <row r="339" spans="11:11" x14ac:dyDescent="0.15">
      <c r="K339" s="215"/>
    </row>
    <row r="340" spans="11:11" x14ac:dyDescent="0.15">
      <c r="K340" s="215"/>
    </row>
    <row r="341" spans="11:11" x14ac:dyDescent="0.15">
      <c r="K341" s="215"/>
    </row>
    <row r="342" spans="11:11" x14ac:dyDescent="0.15">
      <c r="K342" s="215"/>
    </row>
    <row r="343" spans="11:11" x14ac:dyDescent="0.15">
      <c r="K343" s="215"/>
    </row>
    <row r="344" spans="11:11" x14ac:dyDescent="0.15">
      <c r="K344" s="215"/>
    </row>
    <row r="345" spans="11:11" x14ac:dyDescent="0.15">
      <c r="K345" s="215"/>
    </row>
    <row r="346" spans="11:11" x14ac:dyDescent="0.15">
      <c r="K346" s="215"/>
    </row>
    <row r="347" spans="11:11" x14ac:dyDescent="0.15">
      <c r="K347" s="215"/>
    </row>
    <row r="348" spans="11:11" x14ac:dyDescent="0.15">
      <c r="K348" s="215"/>
    </row>
    <row r="349" spans="11:11" x14ac:dyDescent="0.15">
      <c r="K349" s="215"/>
    </row>
    <row r="350" spans="11:11" x14ac:dyDescent="0.15">
      <c r="K350" s="215"/>
    </row>
    <row r="351" spans="11:11" x14ac:dyDescent="0.15">
      <c r="K351" s="215"/>
    </row>
    <row r="352" spans="11:11" x14ac:dyDescent="0.15">
      <c r="K352" s="215"/>
    </row>
    <row r="353" spans="11:11" x14ac:dyDescent="0.15">
      <c r="K353" s="215"/>
    </row>
    <row r="354" spans="11:11" x14ac:dyDescent="0.15">
      <c r="K354" s="215"/>
    </row>
    <row r="355" spans="11:11" x14ac:dyDescent="0.15">
      <c r="K355" s="215"/>
    </row>
    <row r="356" spans="11:11" x14ac:dyDescent="0.15">
      <c r="K356" s="215"/>
    </row>
    <row r="357" spans="11:11" x14ac:dyDescent="0.15">
      <c r="K357" s="215"/>
    </row>
    <row r="358" spans="11:11" x14ac:dyDescent="0.15">
      <c r="K358" s="215"/>
    </row>
    <row r="359" spans="11:11" x14ac:dyDescent="0.15">
      <c r="K359" s="215"/>
    </row>
    <row r="360" spans="11:11" x14ac:dyDescent="0.15">
      <c r="K360" s="215"/>
    </row>
    <row r="361" spans="11:11" x14ac:dyDescent="0.15">
      <c r="K361" s="215"/>
    </row>
    <row r="362" spans="11:11" x14ac:dyDescent="0.15">
      <c r="K362" s="215"/>
    </row>
    <row r="363" spans="11:11" x14ac:dyDescent="0.15">
      <c r="K363" s="215"/>
    </row>
    <row r="364" spans="11:11" x14ac:dyDescent="0.15">
      <c r="K364" s="215"/>
    </row>
    <row r="365" spans="11:11" x14ac:dyDescent="0.15">
      <c r="K365" s="215"/>
    </row>
    <row r="366" spans="11:11" x14ac:dyDescent="0.15">
      <c r="K366" s="215"/>
    </row>
    <row r="367" spans="11:11" x14ac:dyDescent="0.15">
      <c r="K367" s="215"/>
    </row>
    <row r="368" spans="11:11" x14ac:dyDescent="0.15">
      <c r="K368" s="215"/>
    </row>
    <row r="369" spans="11:11" x14ac:dyDescent="0.15">
      <c r="K369" s="215"/>
    </row>
    <row r="370" spans="11:11" x14ac:dyDescent="0.15">
      <c r="K370" s="215"/>
    </row>
    <row r="371" spans="11:11" x14ac:dyDescent="0.15">
      <c r="K371" s="215"/>
    </row>
    <row r="372" spans="11:11" x14ac:dyDescent="0.15">
      <c r="K372" s="215"/>
    </row>
    <row r="373" spans="11:11" x14ac:dyDescent="0.15">
      <c r="K373" s="215"/>
    </row>
    <row r="374" spans="11:11" x14ac:dyDescent="0.15">
      <c r="K374" s="215"/>
    </row>
    <row r="375" spans="11:11" x14ac:dyDescent="0.15">
      <c r="K375" s="215"/>
    </row>
    <row r="376" spans="11:11" x14ac:dyDescent="0.15">
      <c r="K376" s="215"/>
    </row>
    <row r="377" spans="11:11" x14ac:dyDescent="0.15">
      <c r="K377" s="215"/>
    </row>
    <row r="378" spans="11:11" x14ac:dyDescent="0.15">
      <c r="K378" s="215"/>
    </row>
    <row r="379" spans="11:11" x14ac:dyDescent="0.15">
      <c r="K379" s="215"/>
    </row>
    <row r="380" spans="11:11" x14ac:dyDescent="0.15">
      <c r="K380" s="215"/>
    </row>
    <row r="381" spans="11:11" x14ac:dyDescent="0.15">
      <c r="K381" s="215"/>
    </row>
    <row r="382" spans="11:11" x14ac:dyDescent="0.15">
      <c r="K382" s="215"/>
    </row>
    <row r="383" spans="11:11" x14ac:dyDescent="0.15">
      <c r="K383" s="215"/>
    </row>
    <row r="384" spans="11:11" x14ac:dyDescent="0.15">
      <c r="K384" s="215"/>
    </row>
    <row r="385" spans="11:11" x14ac:dyDescent="0.15">
      <c r="K385" s="215"/>
    </row>
    <row r="386" spans="11:11" x14ac:dyDescent="0.15">
      <c r="K386" s="215"/>
    </row>
    <row r="387" spans="11:11" x14ac:dyDescent="0.15">
      <c r="K387" s="215"/>
    </row>
    <row r="388" spans="11:11" x14ac:dyDescent="0.15">
      <c r="K388" s="215"/>
    </row>
    <row r="389" spans="11:11" x14ac:dyDescent="0.15">
      <c r="K389" s="215"/>
    </row>
    <row r="390" spans="11:11" x14ac:dyDescent="0.15">
      <c r="K390" s="215"/>
    </row>
    <row r="391" spans="11:11" x14ac:dyDescent="0.15">
      <c r="K391" s="215"/>
    </row>
    <row r="392" spans="11:11" x14ac:dyDescent="0.15">
      <c r="K392" s="215"/>
    </row>
    <row r="393" spans="11:11" x14ac:dyDescent="0.15">
      <c r="K393" s="215"/>
    </row>
    <row r="394" spans="11:11" x14ac:dyDescent="0.15">
      <c r="K394" s="215"/>
    </row>
    <row r="395" spans="11:11" x14ac:dyDescent="0.15">
      <c r="K395" s="215"/>
    </row>
    <row r="396" spans="11:11" x14ac:dyDescent="0.15">
      <c r="K396" s="215"/>
    </row>
    <row r="397" spans="11:11" x14ac:dyDescent="0.15">
      <c r="K397" s="215"/>
    </row>
    <row r="398" spans="11:11" x14ac:dyDescent="0.15">
      <c r="K398" s="215"/>
    </row>
    <row r="399" spans="11:11" x14ac:dyDescent="0.15">
      <c r="K399" s="215"/>
    </row>
    <row r="400" spans="11:11" x14ac:dyDescent="0.15">
      <c r="K400" s="215"/>
    </row>
    <row r="401" spans="11:11" x14ac:dyDescent="0.15">
      <c r="K401" s="215"/>
    </row>
    <row r="402" spans="11:11" x14ac:dyDescent="0.15">
      <c r="K402" s="215"/>
    </row>
    <row r="403" spans="11:11" x14ac:dyDescent="0.15">
      <c r="K403" s="215"/>
    </row>
    <row r="404" spans="11:11" x14ac:dyDescent="0.15">
      <c r="K404" s="215"/>
    </row>
    <row r="405" spans="11:11" x14ac:dyDescent="0.15">
      <c r="K405" s="215"/>
    </row>
    <row r="406" spans="11:11" x14ac:dyDescent="0.15">
      <c r="K406" s="215"/>
    </row>
    <row r="407" spans="11:11" x14ac:dyDescent="0.15">
      <c r="K407" s="215"/>
    </row>
    <row r="408" spans="11:11" x14ac:dyDescent="0.15">
      <c r="K408" s="215"/>
    </row>
    <row r="409" spans="11:11" x14ac:dyDescent="0.15">
      <c r="K409" s="215"/>
    </row>
    <row r="410" spans="11:11" x14ac:dyDescent="0.15">
      <c r="K410" s="215"/>
    </row>
    <row r="411" spans="11:11" x14ac:dyDescent="0.15">
      <c r="K411" s="215"/>
    </row>
    <row r="412" spans="11:11" x14ac:dyDescent="0.15">
      <c r="K412" s="215"/>
    </row>
    <row r="413" spans="11:11" x14ac:dyDescent="0.15">
      <c r="K413" s="215"/>
    </row>
    <row r="414" spans="11:11" x14ac:dyDescent="0.15">
      <c r="K414" s="215"/>
    </row>
    <row r="415" spans="11:11" x14ac:dyDescent="0.15">
      <c r="K415" s="215"/>
    </row>
    <row r="416" spans="11:11" x14ac:dyDescent="0.15">
      <c r="K416" s="215"/>
    </row>
    <row r="417" spans="11:11" x14ac:dyDescent="0.15">
      <c r="K417" s="215"/>
    </row>
    <row r="418" spans="11:11" x14ac:dyDescent="0.15">
      <c r="K418" s="215"/>
    </row>
    <row r="419" spans="11:11" x14ac:dyDescent="0.15">
      <c r="K419" s="215"/>
    </row>
    <row r="420" spans="11:11" x14ac:dyDescent="0.15">
      <c r="K420" s="215"/>
    </row>
    <row r="421" spans="11:11" x14ac:dyDescent="0.15">
      <c r="K421" s="215"/>
    </row>
    <row r="422" spans="11:11" x14ac:dyDescent="0.15">
      <c r="K422" s="215"/>
    </row>
    <row r="423" spans="11:11" x14ac:dyDescent="0.15">
      <c r="K423" s="215"/>
    </row>
    <row r="424" spans="11:11" x14ac:dyDescent="0.15">
      <c r="K424" s="215"/>
    </row>
    <row r="425" spans="11:11" x14ac:dyDescent="0.15">
      <c r="K425" s="215"/>
    </row>
    <row r="426" spans="11:11" x14ac:dyDescent="0.15">
      <c r="K426" s="215"/>
    </row>
    <row r="427" spans="11:11" x14ac:dyDescent="0.15">
      <c r="K427" s="215"/>
    </row>
    <row r="428" spans="11:11" x14ac:dyDescent="0.15">
      <c r="K428" s="215"/>
    </row>
    <row r="429" spans="11:11" x14ac:dyDescent="0.15">
      <c r="K429" s="215"/>
    </row>
    <row r="430" spans="11:11" x14ac:dyDescent="0.15">
      <c r="K430" s="215"/>
    </row>
    <row r="431" spans="11:11" x14ac:dyDescent="0.15">
      <c r="K431" s="215"/>
    </row>
    <row r="432" spans="11:11" x14ac:dyDescent="0.15">
      <c r="K432" s="215"/>
    </row>
    <row r="433" spans="11:11" x14ac:dyDescent="0.15">
      <c r="K433" s="215"/>
    </row>
    <row r="434" spans="11:11" x14ac:dyDescent="0.15">
      <c r="K434" s="215"/>
    </row>
    <row r="435" spans="11:11" x14ac:dyDescent="0.15">
      <c r="K435" s="215"/>
    </row>
    <row r="436" spans="11:11" x14ac:dyDescent="0.15">
      <c r="K436" s="215"/>
    </row>
    <row r="437" spans="11:11" x14ac:dyDescent="0.15">
      <c r="K437" s="215"/>
    </row>
    <row r="438" spans="11:11" x14ac:dyDescent="0.15">
      <c r="K438" s="215"/>
    </row>
    <row r="439" spans="11:11" x14ac:dyDescent="0.15">
      <c r="K439" s="215"/>
    </row>
    <row r="440" spans="11:11" x14ac:dyDescent="0.15">
      <c r="K440" s="215"/>
    </row>
    <row r="441" spans="11:11" x14ac:dyDescent="0.15">
      <c r="K441" s="215"/>
    </row>
    <row r="442" spans="11:11" x14ac:dyDescent="0.15">
      <c r="K442" s="215"/>
    </row>
    <row r="443" spans="11:11" x14ac:dyDescent="0.15">
      <c r="K443" s="215"/>
    </row>
    <row r="444" spans="11:11" x14ac:dyDescent="0.15">
      <c r="K444" s="215"/>
    </row>
    <row r="445" spans="11:11" x14ac:dyDescent="0.15">
      <c r="K445" s="215"/>
    </row>
    <row r="446" spans="11:11" x14ac:dyDescent="0.15">
      <c r="K446" s="215"/>
    </row>
    <row r="447" spans="11:11" x14ac:dyDescent="0.15">
      <c r="K447" s="215"/>
    </row>
    <row r="448" spans="11:11" x14ac:dyDescent="0.15">
      <c r="K448" s="215"/>
    </row>
    <row r="449" spans="11:11" x14ac:dyDescent="0.15">
      <c r="K449" s="215"/>
    </row>
    <row r="450" spans="11:11" x14ac:dyDescent="0.15">
      <c r="K450" s="215"/>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05"/>
  <sheetViews>
    <sheetView zoomScale="70" zoomScaleNormal="70" workbookViewId="0">
      <selection activeCell="A2" sqref="A2"/>
    </sheetView>
  </sheetViews>
  <sheetFormatPr defaultColWidth="9" defaultRowHeight="13.5" x14ac:dyDescent="0.15"/>
  <cols>
    <col min="1" max="3" width="9" style="98"/>
    <col min="4" max="4" width="10.5" style="98" customWidth="1"/>
    <col min="5" max="16" width="9" style="98"/>
    <col min="17" max="17" width="9" style="131"/>
    <col min="18" max="18" width="9" style="98"/>
    <col min="19" max="19" width="9.5" style="98" customWidth="1"/>
    <col min="20" max="20" width="9" style="131"/>
    <col min="21" max="21" width="9" style="98"/>
    <col min="22" max="22" width="9" style="131"/>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185</v>
      </c>
      <c r="C1" s="90" t="s">
        <v>186</v>
      </c>
      <c r="D1" s="91" t="s">
        <v>3</v>
      </c>
      <c r="E1" s="92" t="s">
        <v>4</v>
      </c>
      <c r="F1" s="92" t="s">
        <v>5</v>
      </c>
      <c r="G1" s="92" t="s">
        <v>6</v>
      </c>
      <c r="H1" s="92" t="s">
        <v>7</v>
      </c>
      <c r="I1" s="92" t="s">
        <v>8</v>
      </c>
      <c r="J1" s="92" t="s">
        <v>9</v>
      </c>
      <c r="K1" s="92" t="s">
        <v>10</v>
      </c>
      <c r="L1" s="91" t="s">
        <v>187</v>
      </c>
      <c r="M1" s="91" t="s">
        <v>188</v>
      </c>
      <c r="N1" s="91" t="s">
        <v>13</v>
      </c>
      <c r="O1" s="91" t="s">
        <v>189</v>
      </c>
      <c r="P1" s="91" t="s">
        <v>190</v>
      </c>
      <c r="Q1" s="93" t="s">
        <v>191</v>
      </c>
      <c r="R1" s="91" t="s">
        <v>192</v>
      </c>
      <c r="S1" s="91" t="s">
        <v>193</v>
      </c>
      <c r="T1" s="93" t="s">
        <v>19</v>
      </c>
      <c r="U1" s="94" t="s">
        <v>108</v>
      </c>
      <c r="V1" s="95" t="s">
        <v>20</v>
      </c>
      <c r="W1" s="91" t="s">
        <v>194</v>
      </c>
      <c r="X1" s="92" t="s">
        <v>22</v>
      </c>
      <c r="Y1" s="92" t="s">
        <v>23</v>
      </c>
      <c r="Z1" s="92" t="s">
        <v>24</v>
      </c>
      <c r="AA1" s="96" t="s">
        <v>25</v>
      </c>
      <c r="AB1" s="97" t="s">
        <v>195</v>
      </c>
      <c r="AE1" s="99" t="s">
        <v>0</v>
      </c>
      <c r="AF1" s="100"/>
      <c r="AG1" s="99" t="s">
        <v>4</v>
      </c>
      <c r="AH1" s="99" t="s">
        <v>5</v>
      </c>
      <c r="AI1" s="100"/>
      <c r="AJ1" s="99" t="s">
        <v>6</v>
      </c>
      <c r="AK1" s="100"/>
      <c r="AL1" s="101" t="s">
        <v>7</v>
      </c>
      <c r="AM1" s="100"/>
      <c r="AN1" s="101" t="s">
        <v>8</v>
      </c>
      <c r="AO1" s="100"/>
      <c r="AP1" s="101" t="s">
        <v>27</v>
      </c>
      <c r="AQ1" s="100"/>
      <c r="AR1" s="101" t="s">
        <v>10</v>
      </c>
      <c r="AS1" s="100"/>
      <c r="AT1" s="102" t="s">
        <v>196</v>
      </c>
      <c r="AU1" s="100"/>
      <c r="AV1" s="101" t="s">
        <v>29</v>
      </c>
      <c r="AX1" s="103" t="s">
        <v>197</v>
      </c>
      <c r="AY1" s="104" t="s">
        <v>198</v>
      </c>
      <c r="AZ1" s="104" t="s">
        <v>199</v>
      </c>
      <c r="BA1" s="105" t="s">
        <v>200</v>
      </c>
    </row>
    <row r="2" spans="1:53" s="245" customFormat="1" x14ac:dyDescent="0.15">
      <c r="A2" s="245" t="s">
        <v>51</v>
      </c>
      <c r="B2" s="245" t="s">
        <v>338</v>
      </c>
      <c r="C2" s="245">
        <v>2018</v>
      </c>
      <c r="D2" s="106" t="s">
        <v>401</v>
      </c>
      <c r="E2" s="245" t="s">
        <v>201</v>
      </c>
      <c r="F2" s="245" t="s">
        <v>202</v>
      </c>
      <c r="G2" s="245" t="s">
        <v>42</v>
      </c>
      <c r="H2" s="245" t="s">
        <v>155</v>
      </c>
      <c r="I2" s="245" t="s">
        <v>153</v>
      </c>
      <c r="J2" s="245" t="s">
        <v>38</v>
      </c>
      <c r="K2" s="245" t="s">
        <v>154</v>
      </c>
      <c r="L2" s="245">
        <v>1</v>
      </c>
      <c r="N2" s="245">
        <v>1</v>
      </c>
      <c r="O2" s="245">
        <v>0.95</v>
      </c>
      <c r="P2" s="245">
        <v>0.85</v>
      </c>
      <c r="Q2" s="107">
        <f t="shared" ref="Q2:Q61" si="0">IF(OR(O2="",P2=""),"",AVERAGE(O2,P2))</f>
        <v>0.89999999999999991</v>
      </c>
      <c r="R2" s="245">
        <v>16.399999999999999</v>
      </c>
      <c r="S2" s="245">
        <v>140</v>
      </c>
      <c r="T2" s="108">
        <f t="shared" ref="T2:T61" si="1">IF(H2="","",IF(OR(H2="GREEN",H2="GK"),IF(S2&gt;=$AX$2,VLOOKUP(S2,$AX$2:$AY$12,2,1),""),IF(S2&gt;=$AZ$2,VLOOKUP(S2,$AZ$2:$BA$12,2,1),"")))</f>
        <v>22</v>
      </c>
      <c r="U2" s="245">
        <v>100</v>
      </c>
      <c r="V2" s="109">
        <f t="shared" ref="V2:V61" si="2">IF(OR(N2="",U2="",T2=""),"",U2/N2*T2)</f>
        <v>2200</v>
      </c>
      <c r="W2" s="245">
        <v>6</v>
      </c>
      <c r="X2" s="245" t="s">
        <v>39</v>
      </c>
      <c r="Y2" s="245" t="s">
        <v>69</v>
      </c>
      <c r="Z2" s="245" t="s">
        <v>84</v>
      </c>
      <c r="AA2" s="245" t="s">
        <v>78</v>
      </c>
      <c r="AB2" s="245" t="s">
        <v>340</v>
      </c>
      <c r="AE2" s="110" t="s">
        <v>35</v>
      </c>
      <c r="AG2" s="111" t="s">
        <v>171</v>
      </c>
      <c r="AH2" s="111" t="s">
        <v>203</v>
      </c>
      <c r="AJ2" s="111" t="s">
        <v>36</v>
      </c>
      <c r="AL2" s="111" t="s">
        <v>204</v>
      </c>
      <c r="AN2" s="111" t="s">
        <v>37</v>
      </c>
      <c r="AP2" s="111" t="s">
        <v>38</v>
      </c>
      <c r="AR2" s="111" t="s">
        <v>154</v>
      </c>
      <c r="AT2" s="111" t="s">
        <v>39</v>
      </c>
      <c r="AV2" s="111" t="s">
        <v>40</v>
      </c>
      <c r="AX2" s="112">
        <v>1</v>
      </c>
      <c r="AY2" s="113">
        <v>50</v>
      </c>
      <c r="AZ2" s="113">
        <v>1</v>
      </c>
      <c r="BA2" s="114">
        <v>50</v>
      </c>
    </row>
    <row r="3" spans="1:53" s="115" customFormat="1" x14ac:dyDescent="0.15">
      <c r="A3" s="245" t="s">
        <v>51</v>
      </c>
      <c r="B3" s="245" t="s">
        <v>338</v>
      </c>
      <c r="C3" s="245">
        <v>2018</v>
      </c>
      <c r="D3" s="106" t="s">
        <v>401</v>
      </c>
      <c r="E3" s="245" t="s">
        <v>201</v>
      </c>
      <c r="F3" s="245" t="s">
        <v>202</v>
      </c>
      <c r="G3" s="245" t="s">
        <v>42</v>
      </c>
      <c r="H3" s="245" t="s">
        <v>155</v>
      </c>
      <c r="I3" s="245" t="s">
        <v>153</v>
      </c>
      <c r="J3" s="245" t="s">
        <v>38</v>
      </c>
      <c r="K3" s="245" t="s">
        <v>154</v>
      </c>
      <c r="L3" s="245">
        <v>2</v>
      </c>
      <c r="M3" s="245"/>
      <c r="N3" s="245">
        <v>1</v>
      </c>
      <c r="O3" s="245">
        <v>0.7</v>
      </c>
      <c r="P3" s="245">
        <v>0.8</v>
      </c>
      <c r="Q3" s="107">
        <f t="shared" si="0"/>
        <v>0.75</v>
      </c>
      <c r="R3" s="245">
        <v>16.5</v>
      </c>
      <c r="S3" s="245">
        <v>134</v>
      </c>
      <c r="T3" s="108">
        <f t="shared" si="1"/>
        <v>25</v>
      </c>
      <c r="U3" s="245">
        <v>100</v>
      </c>
      <c r="V3" s="109">
        <f t="shared" si="2"/>
        <v>2500</v>
      </c>
      <c r="W3" s="245">
        <v>6</v>
      </c>
      <c r="X3" s="245" t="s">
        <v>39</v>
      </c>
      <c r="Y3" s="245" t="s">
        <v>69</v>
      </c>
      <c r="Z3" s="245" t="s">
        <v>84</v>
      </c>
      <c r="AA3" s="245" t="s">
        <v>78</v>
      </c>
      <c r="AB3" s="245" t="s">
        <v>340</v>
      </c>
      <c r="AE3" s="116" t="s">
        <v>41</v>
      </c>
      <c r="AG3" s="111" t="s">
        <v>205</v>
      </c>
      <c r="AH3" s="111" t="s">
        <v>206</v>
      </c>
      <c r="AJ3" s="117" t="s">
        <v>42</v>
      </c>
      <c r="AL3" s="117" t="s">
        <v>207</v>
      </c>
      <c r="AN3" s="117" t="s">
        <v>43</v>
      </c>
      <c r="AP3" s="117" t="s">
        <v>44</v>
      </c>
      <c r="AR3" s="118" t="s">
        <v>45</v>
      </c>
      <c r="AT3" s="117" t="s">
        <v>46</v>
      </c>
      <c r="AV3" s="117" t="s">
        <v>47</v>
      </c>
      <c r="AX3" s="119">
        <v>72</v>
      </c>
      <c r="AY3" s="120">
        <v>46</v>
      </c>
      <c r="AZ3" s="120">
        <v>71</v>
      </c>
      <c r="BA3" s="121">
        <v>42</v>
      </c>
    </row>
    <row r="4" spans="1:53" s="115" customFormat="1" x14ac:dyDescent="0.15">
      <c r="A4" s="245" t="s">
        <v>51</v>
      </c>
      <c r="B4" s="245" t="s">
        <v>338</v>
      </c>
      <c r="C4" s="245">
        <v>2018</v>
      </c>
      <c r="D4" s="106" t="s">
        <v>401</v>
      </c>
      <c r="E4" s="245" t="s">
        <v>201</v>
      </c>
      <c r="F4" s="245" t="s">
        <v>202</v>
      </c>
      <c r="G4" s="245" t="s">
        <v>42</v>
      </c>
      <c r="H4" s="245" t="s">
        <v>155</v>
      </c>
      <c r="I4" s="245" t="s">
        <v>153</v>
      </c>
      <c r="J4" s="245" t="s">
        <v>38</v>
      </c>
      <c r="K4" s="245" t="s">
        <v>154</v>
      </c>
      <c r="L4" s="245">
        <v>3</v>
      </c>
      <c r="M4" s="245"/>
      <c r="N4" s="245">
        <v>1</v>
      </c>
      <c r="O4" s="245">
        <v>0.85</v>
      </c>
      <c r="P4" s="245">
        <v>0.9</v>
      </c>
      <c r="Q4" s="107">
        <f t="shared" si="0"/>
        <v>0.875</v>
      </c>
      <c r="R4" s="245">
        <v>16.2</v>
      </c>
      <c r="S4" s="245">
        <v>132</v>
      </c>
      <c r="T4" s="108">
        <f t="shared" si="1"/>
        <v>25</v>
      </c>
      <c r="U4" s="245">
        <v>100</v>
      </c>
      <c r="V4" s="109">
        <f t="shared" si="2"/>
        <v>2500</v>
      </c>
      <c r="W4" s="245">
        <v>6</v>
      </c>
      <c r="X4" s="245" t="s">
        <v>39</v>
      </c>
      <c r="Y4" s="245" t="s">
        <v>69</v>
      </c>
      <c r="Z4" s="245" t="s">
        <v>84</v>
      </c>
      <c r="AA4" s="245" t="s">
        <v>78</v>
      </c>
      <c r="AB4" s="245" t="s">
        <v>340</v>
      </c>
      <c r="AE4" s="116" t="s">
        <v>34</v>
      </c>
      <c r="AG4" s="111" t="s">
        <v>208</v>
      </c>
      <c r="AH4" s="111" t="s">
        <v>209</v>
      </c>
      <c r="AJ4" s="122" t="s">
        <v>48</v>
      </c>
      <c r="AL4" s="122" t="s">
        <v>210</v>
      </c>
      <c r="AN4" s="123" t="s">
        <v>211</v>
      </c>
      <c r="AP4" s="117" t="s">
        <v>212</v>
      </c>
      <c r="AR4" s="118" t="s">
        <v>213</v>
      </c>
      <c r="AT4" s="123"/>
      <c r="AV4" s="117" t="s">
        <v>50</v>
      </c>
      <c r="AX4" s="119">
        <v>75</v>
      </c>
      <c r="AY4" s="120">
        <v>42</v>
      </c>
      <c r="AZ4" s="120">
        <v>76</v>
      </c>
      <c r="BA4" s="121">
        <v>39</v>
      </c>
    </row>
    <row r="5" spans="1:53" s="115" customFormat="1" x14ac:dyDescent="0.15">
      <c r="A5" s="245" t="s">
        <v>51</v>
      </c>
      <c r="B5" s="245" t="s">
        <v>338</v>
      </c>
      <c r="C5" s="245">
        <v>2018</v>
      </c>
      <c r="D5" s="106" t="s">
        <v>401</v>
      </c>
      <c r="E5" s="245" t="s">
        <v>201</v>
      </c>
      <c r="F5" s="245" t="s">
        <v>202</v>
      </c>
      <c r="G5" s="245" t="s">
        <v>42</v>
      </c>
      <c r="H5" s="245" t="s">
        <v>165</v>
      </c>
      <c r="I5" s="245" t="s">
        <v>153</v>
      </c>
      <c r="J5" s="245" t="s">
        <v>38</v>
      </c>
      <c r="K5" s="245" t="s">
        <v>154</v>
      </c>
      <c r="L5" s="245">
        <v>1</v>
      </c>
      <c r="M5" s="245"/>
      <c r="N5" s="245">
        <v>1</v>
      </c>
      <c r="O5" s="245">
        <v>0.9</v>
      </c>
      <c r="P5" s="245">
        <v>0.8</v>
      </c>
      <c r="Q5" s="107">
        <f t="shared" si="0"/>
        <v>0.85000000000000009</v>
      </c>
      <c r="R5" s="245">
        <v>16</v>
      </c>
      <c r="S5" s="245">
        <v>130</v>
      </c>
      <c r="T5" s="108">
        <f t="shared" si="1"/>
        <v>25</v>
      </c>
      <c r="U5" s="245">
        <v>98</v>
      </c>
      <c r="V5" s="109">
        <f t="shared" si="2"/>
        <v>2450</v>
      </c>
      <c r="W5" s="245">
        <v>6</v>
      </c>
      <c r="X5" s="245" t="s">
        <v>39</v>
      </c>
      <c r="Y5" s="245" t="s">
        <v>69</v>
      </c>
      <c r="Z5" s="245" t="s">
        <v>84</v>
      </c>
      <c r="AA5" s="245" t="s">
        <v>78</v>
      </c>
      <c r="AB5" s="245" t="s">
        <v>340</v>
      </c>
      <c r="AE5" s="116" t="s">
        <v>51</v>
      </c>
      <c r="AG5" s="111" t="s">
        <v>214</v>
      </c>
      <c r="AH5" s="111" t="s">
        <v>202</v>
      </c>
      <c r="AJ5" s="123"/>
      <c r="AL5" s="124" t="s">
        <v>155</v>
      </c>
      <c r="AN5" s="124" t="s">
        <v>153</v>
      </c>
      <c r="AP5" s="117" t="s">
        <v>215</v>
      </c>
      <c r="AR5" s="118" t="s">
        <v>54</v>
      </c>
      <c r="AV5" s="117" t="s">
        <v>55</v>
      </c>
      <c r="AX5" s="119">
        <v>84</v>
      </c>
      <c r="AY5" s="120">
        <v>39</v>
      </c>
      <c r="AZ5" s="120">
        <v>84</v>
      </c>
      <c r="BA5" s="121">
        <v>36</v>
      </c>
    </row>
    <row r="6" spans="1:53" s="115" customFormat="1" x14ac:dyDescent="0.15">
      <c r="A6" s="245" t="s">
        <v>51</v>
      </c>
      <c r="B6" s="245" t="s">
        <v>338</v>
      </c>
      <c r="C6" s="245">
        <v>2018</v>
      </c>
      <c r="D6" s="106" t="s">
        <v>401</v>
      </c>
      <c r="E6" s="245" t="s">
        <v>201</v>
      </c>
      <c r="F6" s="245" t="s">
        <v>202</v>
      </c>
      <c r="G6" s="245" t="s">
        <v>42</v>
      </c>
      <c r="H6" s="245" t="s">
        <v>165</v>
      </c>
      <c r="I6" s="245" t="s">
        <v>153</v>
      </c>
      <c r="J6" s="245" t="s">
        <v>38</v>
      </c>
      <c r="K6" s="245" t="s">
        <v>154</v>
      </c>
      <c r="L6" s="245">
        <v>2</v>
      </c>
      <c r="M6" s="245"/>
      <c r="N6" s="245">
        <v>1</v>
      </c>
      <c r="O6" s="245">
        <v>0.85</v>
      </c>
      <c r="P6" s="245">
        <v>0.9</v>
      </c>
      <c r="Q6" s="107">
        <f t="shared" si="0"/>
        <v>0.875</v>
      </c>
      <c r="R6" s="245">
        <v>15.6</v>
      </c>
      <c r="S6" s="245">
        <v>126</v>
      </c>
      <c r="T6" s="108">
        <f t="shared" si="1"/>
        <v>27</v>
      </c>
      <c r="U6" s="245">
        <v>98</v>
      </c>
      <c r="V6" s="109">
        <f t="shared" si="2"/>
        <v>2646</v>
      </c>
      <c r="W6" s="245">
        <v>6</v>
      </c>
      <c r="X6" s="245" t="s">
        <v>39</v>
      </c>
      <c r="Y6" s="245" t="s">
        <v>69</v>
      </c>
      <c r="Z6" s="245" t="s">
        <v>84</v>
      </c>
      <c r="AA6" s="245" t="s">
        <v>78</v>
      </c>
      <c r="AB6" s="245" t="s">
        <v>340</v>
      </c>
      <c r="AE6" s="116" t="s">
        <v>56</v>
      </c>
      <c r="AG6" s="111" t="s">
        <v>216</v>
      </c>
      <c r="AH6" s="111" t="s">
        <v>217</v>
      </c>
      <c r="AL6" s="124" t="s">
        <v>218</v>
      </c>
      <c r="AN6" s="124" t="s">
        <v>156</v>
      </c>
      <c r="AP6" s="117" t="s">
        <v>53</v>
      </c>
      <c r="AR6" s="118" t="s">
        <v>59</v>
      </c>
      <c r="AV6" s="117" t="s">
        <v>60</v>
      </c>
      <c r="AX6" s="119">
        <v>97</v>
      </c>
      <c r="AY6" s="120">
        <v>36</v>
      </c>
      <c r="AZ6" s="120">
        <v>99</v>
      </c>
      <c r="BA6" s="121">
        <v>33</v>
      </c>
    </row>
    <row r="7" spans="1:53" s="115" customFormat="1" x14ac:dyDescent="0.15">
      <c r="A7" s="245" t="s">
        <v>51</v>
      </c>
      <c r="B7" s="245" t="s">
        <v>338</v>
      </c>
      <c r="C7" s="245">
        <v>2018</v>
      </c>
      <c r="D7" s="106" t="s">
        <v>401</v>
      </c>
      <c r="E7" s="245" t="s">
        <v>201</v>
      </c>
      <c r="F7" s="245" t="s">
        <v>202</v>
      </c>
      <c r="G7" s="245" t="s">
        <v>42</v>
      </c>
      <c r="H7" s="245" t="s">
        <v>165</v>
      </c>
      <c r="I7" s="245" t="s">
        <v>153</v>
      </c>
      <c r="J7" s="245" t="s">
        <v>38</v>
      </c>
      <c r="K7" s="245" t="s">
        <v>154</v>
      </c>
      <c r="L7" s="245">
        <v>3</v>
      </c>
      <c r="M7" s="245"/>
      <c r="N7" s="245">
        <v>1</v>
      </c>
      <c r="O7" s="245">
        <v>0.8</v>
      </c>
      <c r="P7" s="245">
        <v>0.85</v>
      </c>
      <c r="Q7" s="107">
        <f t="shared" si="0"/>
        <v>0.82499999999999996</v>
      </c>
      <c r="R7" s="245">
        <v>16.3</v>
      </c>
      <c r="S7" s="245">
        <v>132</v>
      </c>
      <c r="T7" s="108">
        <f t="shared" si="1"/>
        <v>25</v>
      </c>
      <c r="U7" s="245">
        <v>98</v>
      </c>
      <c r="V7" s="109">
        <f t="shared" si="2"/>
        <v>2450</v>
      </c>
      <c r="W7" s="245">
        <v>6</v>
      </c>
      <c r="X7" s="245" t="s">
        <v>39</v>
      </c>
      <c r="Y7" s="245" t="s">
        <v>69</v>
      </c>
      <c r="Z7" s="245" t="s">
        <v>84</v>
      </c>
      <c r="AA7" s="245" t="s">
        <v>78</v>
      </c>
      <c r="AB7" s="245" t="s">
        <v>340</v>
      </c>
      <c r="AE7" s="116" t="s">
        <v>61</v>
      </c>
      <c r="AG7" s="111" t="s">
        <v>219</v>
      </c>
      <c r="AH7" s="111" t="s">
        <v>203</v>
      </c>
      <c r="AL7" s="115" t="s">
        <v>220</v>
      </c>
      <c r="AP7" s="117" t="s">
        <v>58</v>
      </c>
      <c r="AR7" s="118" t="s">
        <v>221</v>
      </c>
      <c r="AV7" s="117" t="s">
        <v>64</v>
      </c>
      <c r="AX7" s="119">
        <v>109</v>
      </c>
      <c r="AY7" s="120">
        <v>33</v>
      </c>
      <c r="AZ7" s="120">
        <v>113</v>
      </c>
      <c r="BA7" s="121">
        <v>30</v>
      </c>
    </row>
    <row r="8" spans="1:53" s="115" customFormat="1" x14ac:dyDescent="0.15">
      <c r="A8" s="245" t="s">
        <v>51</v>
      </c>
      <c r="B8" s="245" t="s">
        <v>338</v>
      </c>
      <c r="C8" s="245">
        <v>2018</v>
      </c>
      <c r="D8" s="106" t="s">
        <v>401</v>
      </c>
      <c r="E8" s="245" t="s">
        <v>201</v>
      </c>
      <c r="F8" s="245" t="s">
        <v>202</v>
      </c>
      <c r="G8" s="245" t="s">
        <v>42</v>
      </c>
      <c r="H8" s="245" t="s">
        <v>210</v>
      </c>
      <c r="I8" s="245" t="s">
        <v>153</v>
      </c>
      <c r="J8" s="245" t="s">
        <v>58</v>
      </c>
      <c r="K8" s="245" t="s">
        <v>59</v>
      </c>
      <c r="L8" s="245">
        <v>1</v>
      </c>
      <c r="M8" s="245"/>
      <c r="N8" s="245">
        <v>5</v>
      </c>
      <c r="O8" s="245">
        <v>0.5</v>
      </c>
      <c r="P8" s="245">
        <v>0.25</v>
      </c>
      <c r="Q8" s="107">
        <f t="shared" si="0"/>
        <v>0.375</v>
      </c>
      <c r="R8" s="245">
        <v>19.7</v>
      </c>
      <c r="S8" s="245">
        <v>78</v>
      </c>
      <c r="T8" s="108">
        <f t="shared" si="1"/>
        <v>39</v>
      </c>
      <c r="U8" s="245">
        <v>498</v>
      </c>
      <c r="V8" s="109">
        <f t="shared" si="2"/>
        <v>3884.3999999999996</v>
      </c>
      <c r="W8" s="245">
        <v>6</v>
      </c>
      <c r="X8" s="245" t="s">
        <v>39</v>
      </c>
      <c r="Y8" s="245" t="s">
        <v>69</v>
      </c>
      <c r="Z8" s="245" t="s">
        <v>84</v>
      </c>
      <c r="AA8" s="245" t="s">
        <v>78</v>
      </c>
      <c r="AB8" s="245" t="s">
        <v>340</v>
      </c>
      <c r="AE8" s="116" t="s">
        <v>59</v>
      </c>
      <c r="AG8" s="111" t="s">
        <v>222</v>
      </c>
      <c r="AH8" s="111" t="s">
        <v>223</v>
      </c>
      <c r="AL8" s="115" t="s">
        <v>165</v>
      </c>
      <c r="AP8" s="117" t="s">
        <v>62</v>
      </c>
      <c r="AR8" s="118" t="s">
        <v>81</v>
      </c>
      <c r="AV8" s="117" t="s">
        <v>97</v>
      </c>
      <c r="AX8" s="119">
        <v>119</v>
      </c>
      <c r="AY8" s="120">
        <v>30</v>
      </c>
      <c r="AZ8" s="120">
        <v>121</v>
      </c>
      <c r="BA8" s="121">
        <v>27</v>
      </c>
    </row>
    <row r="9" spans="1:53" s="115" customFormat="1" x14ac:dyDescent="0.15">
      <c r="A9" s="245" t="s">
        <v>51</v>
      </c>
      <c r="B9" s="245" t="s">
        <v>338</v>
      </c>
      <c r="C9" s="245">
        <v>2018</v>
      </c>
      <c r="D9" s="106" t="s">
        <v>401</v>
      </c>
      <c r="E9" s="245" t="s">
        <v>201</v>
      </c>
      <c r="F9" s="245" t="s">
        <v>202</v>
      </c>
      <c r="G9" s="245" t="s">
        <v>42</v>
      </c>
      <c r="H9" s="245" t="s">
        <v>210</v>
      </c>
      <c r="I9" s="245" t="s">
        <v>153</v>
      </c>
      <c r="J9" s="245" t="s">
        <v>58</v>
      </c>
      <c r="K9" s="245" t="s">
        <v>59</v>
      </c>
      <c r="L9" s="245">
        <v>2</v>
      </c>
      <c r="M9" s="245"/>
      <c r="N9" s="245">
        <v>5</v>
      </c>
      <c r="O9" s="245">
        <v>0.25</v>
      </c>
      <c r="P9" s="245">
        <v>0.25</v>
      </c>
      <c r="Q9" s="107">
        <f t="shared" si="0"/>
        <v>0.25</v>
      </c>
      <c r="R9" s="245">
        <v>18.600000000000001</v>
      </c>
      <c r="S9" s="245">
        <v>71</v>
      </c>
      <c r="T9" s="108">
        <f t="shared" si="1"/>
        <v>42</v>
      </c>
      <c r="U9" s="245">
        <v>498</v>
      </c>
      <c r="V9" s="109">
        <f t="shared" si="2"/>
        <v>4183.2</v>
      </c>
      <c r="W9" s="245">
        <v>6</v>
      </c>
      <c r="X9" s="245" t="s">
        <v>39</v>
      </c>
      <c r="Y9" s="245" t="s">
        <v>69</v>
      </c>
      <c r="Z9" s="245" t="s">
        <v>84</v>
      </c>
      <c r="AA9" s="245" t="s">
        <v>78</v>
      </c>
      <c r="AB9" s="245" t="s">
        <v>340</v>
      </c>
      <c r="AE9" s="116" t="s">
        <v>224</v>
      </c>
      <c r="AG9" s="111" t="s">
        <v>225</v>
      </c>
      <c r="AH9" s="111" t="s">
        <v>202</v>
      </c>
      <c r="AL9" s="124"/>
      <c r="AP9" s="117" t="s">
        <v>95</v>
      </c>
      <c r="AR9" s="118" t="s">
        <v>226</v>
      </c>
      <c r="AV9" s="117" t="s">
        <v>102</v>
      </c>
      <c r="AX9" s="119">
        <v>128</v>
      </c>
      <c r="AY9" s="120">
        <v>27</v>
      </c>
      <c r="AZ9" s="120">
        <v>129</v>
      </c>
      <c r="BA9" s="121">
        <v>25</v>
      </c>
    </row>
    <row r="10" spans="1:53" s="115" customFormat="1" x14ac:dyDescent="0.15">
      <c r="A10" s="245" t="s">
        <v>51</v>
      </c>
      <c r="B10" s="245" t="s">
        <v>338</v>
      </c>
      <c r="C10" s="245">
        <v>2018</v>
      </c>
      <c r="D10" s="106" t="s">
        <v>401</v>
      </c>
      <c r="E10" s="245" t="s">
        <v>201</v>
      </c>
      <c r="F10" s="245" t="s">
        <v>202</v>
      </c>
      <c r="G10" s="245" t="s">
        <v>42</v>
      </c>
      <c r="H10" s="245" t="s">
        <v>210</v>
      </c>
      <c r="I10" s="245" t="s">
        <v>153</v>
      </c>
      <c r="J10" s="245" t="s">
        <v>58</v>
      </c>
      <c r="K10" s="245" t="s">
        <v>59</v>
      </c>
      <c r="L10" s="245">
        <v>3</v>
      </c>
      <c r="M10" s="245"/>
      <c r="N10" s="245">
        <v>5</v>
      </c>
      <c r="O10" s="245">
        <v>0.25</v>
      </c>
      <c r="P10" s="245">
        <v>0.25</v>
      </c>
      <c r="Q10" s="107">
        <f t="shared" si="0"/>
        <v>0.25</v>
      </c>
      <c r="R10" s="245">
        <v>19.2</v>
      </c>
      <c r="S10" s="245">
        <v>72</v>
      </c>
      <c r="T10" s="108">
        <f t="shared" si="1"/>
        <v>42</v>
      </c>
      <c r="U10" s="245">
        <v>498</v>
      </c>
      <c r="V10" s="109">
        <f t="shared" si="2"/>
        <v>4183.2</v>
      </c>
      <c r="W10" s="245">
        <v>6</v>
      </c>
      <c r="X10" s="245" t="s">
        <v>39</v>
      </c>
      <c r="Y10" s="245" t="s">
        <v>69</v>
      </c>
      <c r="Z10" s="245" t="s">
        <v>84</v>
      </c>
      <c r="AA10" s="245" t="s">
        <v>78</v>
      </c>
      <c r="AB10" s="245" t="s">
        <v>340</v>
      </c>
      <c r="AE10" s="116" t="s">
        <v>227</v>
      </c>
      <c r="AG10" s="111" t="s">
        <v>201</v>
      </c>
      <c r="AH10" s="117" t="s">
        <v>202</v>
      </c>
      <c r="AP10" s="117" t="s">
        <v>100</v>
      </c>
      <c r="AR10" s="118" t="s">
        <v>228</v>
      </c>
      <c r="AV10" s="117" t="s">
        <v>106</v>
      </c>
      <c r="AX10" s="119">
        <v>138</v>
      </c>
      <c r="AY10" s="120">
        <v>25</v>
      </c>
      <c r="AZ10" s="120">
        <v>138</v>
      </c>
      <c r="BA10" s="121">
        <v>22</v>
      </c>
    </row>
    <row r="11" spans="1:53" s="115" customFormat="1" x14ac:dyDescent="0.15">
      <c r="A11" s="245" t="s">
        <v>51</v>
      </c>
      <c r="B11" s="245" t="s">
        <v>338</v>
      </c>
      <c r="C11" s="245">
        <v>2018</v>
      </c>
      <c r="D11" s="106" t="s">
        <v>401</v>
      </c>
      <c r="E11" s="245" t="s">
        <v>205</v>
      </c>
      <c r="F11" s="245" t="s">
        <v>206</v>
      </c>
      <c r="G11" s="245" t="s">
        <v>36</v>
      </c>
      <c r="H11" s="245" t="s">
        <v>155</v>
      </c>
      <c r="I11" s="245" t="s">
        <v>153</v>
      </c>
      <c r="J11" s="245" t="s">
        <v>38</v>
      </c>
      <c r="K11" s="245" t="s">
        <v>154</v>
      </c>
      <c r="L11" s="245">
        <v>1</v>
      </c>
      <c r="M11" s="245"/>
      <c r="N11" s="245">
        <v>3</v>
      </c>
      <c r="O11" s="245">
        <v>0.8</v>
      </c>
      <c r="P11" s="245">
        <v>0.75</v>
      </c>
      <c r="Q11" s="107">
        <f t="shared" si="0"/>
        <v>0.77500000000000002</v>
      </c>
      <c r="R11" s="245">
        <v>16.5</v>
      </c>
      <c r="S11" s="245">
        <v>166</v>
      </c>
      <c r="T11" s="108">
        <f t="shared" si="1"/>
        <v>18</v>
      </c>
      <c r="U11" s="245">
        <v>398</v>
      </c>
      <c r="V11" s="109">
        <f t="shared" si="2"/>
        <v>2388</v>
      </c>
      <c r="W11" s="245">
        <v>11</v>
      </c>
      <c r="X11" s="245" t="s">
        <v>46</v>
      </c>
      <c r="Y11" s="245" t="s">
        <v>84</v>
      </c>
      <c r="Z11" s="245" t="s">
        <v>84</v>
      </c>
      <c r="AA11" s="245" t="s">
        <v>69</v>
      </c>
      <c r="AB11" s="245" t="s">
        <v>340</v>
      </c>
      <c r="AE11" s="116" t="s">
        <v>68</v>
      </c>
      <c r="AG11" s="111" t="s">
        <v>139</v>
      </c>
      <c r="AH11" s="117" t="s">
        <v>402</v>
      </c>
      <c r="AP11" s="117" t="s">
        <v>104</v>
      </c>
      <c r="AR11" s="118" t="s">
        <v>229</v>
      </c>
      <c r="AV11" s="117" t="s">
        <v>69</v>
      </c>
      <c r="AX11" s="119">
        <v>151</v>
      </c>
      <c r="AY11" s="120">
        <v>22</v>
      </c>
      <c r="AZ11" s="120">
        <v>152</v>
      </c>
      <c r="BA11" s="121">
        <v>18</v>
      </c>
    </row>
    <row r="12" spans="1:53" s="115" customFormat="1" x14ac:dyDescent="0.15">
      <c r="A12" s="245" t="s">
        <v>51</v>
      </c>
      <c r="B12" s="245" t="s">
        <v>338</v>
      </c>
      <c r="C12" s="245">
        <v>2018</v>
      </c>
      <c r="D12" s="106" t="s">
        <v>401</v>
      </c>
      <c r="E12" s="245" t="s">
        <v>205</v>
      </c>
      <c r="F12" s="245" t="s">
        <v>206</v>
      </c>
      <c r="G12" s="245" t="s">
        <v>36</v>
      </c>
      <c r="H12" s="245" t="s">
        <v>155</v>
      </c>
      <c r="I12" s="245" t="s">
        <v>153</v>
      </c>
      <c r="J12" s="245" t="s">
        <v>38</v>
      </c>
      <c r="K12" s="245" t="s">
        <v>154</v>
      </c>
      <c r="L12" s="245">
        <v>2</v>
      </c>
      <c r="M12" s="245"/>
      <c r="N12" s="245">
        <v>3</v>
      </c>
      <c r="O12" s="245">
        <v>0.95</v>
      </c>
      <c r="P12" s="245">
        <v>0.8</v>
      </c>
      <c r="Q12" s="107">
        <f t="shared" si="0"/>
        <v>0.875</v>
      </c>
      <c r="R12" s="245">
        <v>15.8</v>
      </c>
      <c r="S12" s="245">
        <v>162</v>
      </c>
      <c r="T12" s="108">
        <f t="shared" si="1"/>
        <v>18</v>
      </c>
      <c r="U12" s="245">
        <v>398</v>
      </c>
      <c r="V12" s="109">
        <f t="shared" si="2"/>
        <v>2388</v>
      </c>
      <c r="W12" s="245">
        <v>11</v>
      </c>
      <c r="X12" s="245" t="s">
        <v>46</v>
      </c>
      <c r="Y12" s="245" t="s">
        <v>84</v>
      </c>
      <c r="Z12" s="245" t="s">
        <v>84</v>
      </c>
      <c r="AA12" s="245" t="s">
        <v>69</v>
      </c>
      <c r="AB12" s="245" t="s">
        <v>340</v>
      </c>
      <c r="AE12" s="116" t="s">
        <v>230</v>
      </c>
      <c r="AG12" s="117"/>
      <c r="AH12" s="117"/>
      <c r="AP12" s="117" t="s">
        <v>67</v>
      </c>
      <c r="AR12" s="118" t="s">
        <v>231</v>
      </c>
      <c r="AV12" s="117" t="s">
        <v>72</v>
      </c>
      <c r="AX12" s="125">
        <v>180</v>
      </c>
      <c r="AY12" s="126">
        <v>18</v>
      </c>
      <c r="AZ12" s="126">
        <v>181</v>
      </c>
      <c r="BA12" s="127">
        <v>16</v>
      </c>
    </row>
    <row r="13" spans="1:53" s="115" customFormat="1" x14ac:dyDescent="0.15">
      <c r="A13" s="245" t="s">
        <v>51</v>
      </c>
      <c r="B13" s="245" t="s">
        <v>338</v>
      </c>
      <c r="C13" s="245">
        <v>2018</v>
      </c>
      <c r="D13" s="106" t="s">
        <v>401</v>
      </c>
      <c r="E13" s="245" t="s">
        <v>205</v>
      </c>
      <c r="F13" s="245" t="s">
        <v>206</v>
      </c>
      <c r="G13" s="245" t="s">
        <v>36</v>
      </c>
      <c r="H13" s="245" t="s">
        <v>155</v>
      </c>
      <c r="I13" s="245" t="s">
        <v>153</v>
      </c>
      <c r="J13" s="245" t="s">
        <v>38</v>
      </c>
      <c r="K13" s="245" t="s">
        <v>154</v>
      </c>
      <c r="L13" s="245">
        <v>3</v>
      </c>
      <c r="M13" s="245"/>
      <c r="N13" s="245">
        <v>3</v>
      </c>
      <c r="O13" s="245">
        <v>0.75</v>
      </c>
      <c r="P13" s="245">
        <v>0.75</v>
      </c>
      <c r="Q13" s="107">
        <f t="shared" si="0"/>
        <v>0.75</v>
      </c>
      <c r="R13" s="245">
        <v>16.899999999999999</v>
      </c>
      <c r="S13" s="245">
        <v>168</v>
      </c>
      <c r="T13" s="108">
        <f t="shared" si="1"/>
        <v>18</v>
      </c>
      <c r="U13" s="245">
        <v>398</v>
      </c>
      <c r="V13" s="109">
        <f t="shared" si="2"/>
        <v>2388</v>
      </c>
      <c r="W13" s="245">
        <v>11</v>
      </c>
      <c r="X13" s="245" t="s">
        <v>46</v>
      </c>
      <c r="Y13" s="245" t="s">
        <v>84</v>
      </c>
      <c r="Z13" s="245" t="s">
        <v>84</v>
      </c>
      <c r="AA13" s="245" t="s">
        <v>69</v>
      </c>
      <c r="AB13" s="245" t="s">
        <v>340</v>
      </c>
      <c r="AE13" s="116" t="s">
        <v>232</v>
      </c>
      <c r="AG13" s="117"/>
      <c r="AH13" s="117"/>
      <c r="AP13" s="117" t="s">
        <v>71</v>
      </c>
      <c r="AR13" s="118" t="s">
        <v>227</v>
      </c>
      <c r="AV13" s="117" t="s">
        <v>75</v>
      </c>
    </row>
    <row r="14" spans="1:53" s="115" customFormat="1" x14ac:dyDescent="0.15">
      <c r="A14" s="245" t="s">
        <v>51</v>
      </c>
      <c r="B14" s="245" t="s">
        <v>338</v>
      </c>
      <c r="C14" s="245">
        <v>2018</v>
      </c>
      <c r="D14" s="106" t="s">
        <v>401</v>
      </c>
      <c r="E14" s="245" t="s">
        <v>205</v>
      </c>
      <c r="F14" s="245" t="s">
        <v>206</v>
      </c>
      <c r="G14" s="245" t="s">
        <v>36</v>
      </c>
      <c r="H14" s="245" t="s">
        <v>165</v>
      </c>
      <c r="I14" s="245" t="s">
        <v>153</v>
      </c>
      <c r="J14" s="245" t="s">
        <v>38</v>
      </c>
      <c r="K14" s="245" t="s">
        <v>154</v>
      </c>
      <c r="L14" s="245">
        <v>1</v>
      </c>
      <c r="M14" s="245"/>
      <c r="N14" s="245">
        <v>3</v>
      </c>
      <c r="O14" s="245">
        <v>0.7</v>
      </c>
      <c r="P14" s="245">
        <v>0.6</v>
      </c>
      <c r="Q14" s="107">
        <f t="shared" si="0"/>
        <v>0.64999999999999991</v>
      </c>
      <c r="R14" s="245">
        <v>16.3</v>
      </c>
      <c r="S14" s="245">
        <v>162</v>
      </c>
      <c r="T14" s="108">
        <f t="shared" si="1"/>
        <v>18</v>
      </c>
      <c r="U14" s="245">
        <v>398</v>
      </c>
      <c r="V14" s="109">
        <f t="shared" si="2"/>
        <v>2388</v>
      </c>
      <c r="W14" s="245">
        <v>11</v>
      </c>
      <c r="X14" s="245" t="s">
        <v>46</v>
      </c>
      <c r="Y14" s="245" t="s">
        <v>84</v>
      </c>
      <c r="Z14" s="245" t="s">
        <v>84</v>
      </c>
      <c r="AA14" s="245" t="s">
        <v>69</v>
      </c>
      <c r="AB14" s="245" t="s">
        <v>340</v>
      </c>
      <c r="AE14" s="116" t="s">
        <v>96</v>
      </c>
      <c r="AG14" s="117"/>
      <c r="AH14" s="117"/>
      <c r="AP14" s="117" t="s">
        <v>74</v>
      </c>
      <c r="AR14" s="118" t="s">
        <v>233</v>
      </c>
      <c r="AV14" s="117" t="s">
        <v>78</v>
      </c>
    </row>
    <row r="15" spans="1:53" s="115" customFormat="1" x14ac:dyDescent="0.15">
      <c r="A15" s="245" t="s">
        <v>51</v>
      </c>
      <c r="B15" s="245" t="s">
        <v>338</v>
      </c>
      <c r="C15" s="245">
        <v>2018</v>
      </c>
      <c r="D15" s="106" t="s">
        <v>401</v>
      </c>
      <c r="E15" s="245" t="s">
        <v>205</v>
      </c>
      <c r="F15" s="245" t="s">
        <v>206</v>
      </c>
      <c r="G15" s="245" t="s">
        <v>36</v>
      </c>
      <c r="H15" s="245" t="s">
        <v>165</v>
      </c>
      <c r="I15" s="245" t="s">
        <v>153</v>
      </c>
      <c r="J15" s="245" t="s">
        <v>38</v>
      </c>
      <c r="K15" s="245" t="s">
        <v>154</v>
      </c>
      <c r="L15" s="245">
        <v>2</v>
      </c>
      <c r="M15" s="245"/>
      <c r="N15" s="245">
        <v>3</v>
      </c>
      <c r="O15" s="245">
        <v>0.65</v>
      </c>
      <c r="P15" s="245">
        <v>0.55000000000000004</v>
      </c>
      <c r="Q15" s="107">
        <f t="shared" si="0"/>
        <v>0.60000000000000009</v>
      </c>
      <c r="R15" s="245">
        <v>16.8</v>
      </c>
      <c r="S15" s="245">
        <v>172</v>
      </c>
      <c r="T15" s="108">
        <f t="shared" si="1"/>
        <v>18</v>
      </c>
      <c r="U15" s="245">
        <v>398</v>
      </c>
      <c r="V15" s="109">
        <f t="shared" si="2"/>
        <v>2388</v>
      </c>
      <c r="W15" s="245">
        <v>11</v>
      </c>
      <c r="X15" s="245" t="s">
        <v>46</v>
      </c>
      <c r="Y15" s="245" t="s">
        <v>84</v>
      </c>
      <c r="Z15" s="245" t="s">
        <v>84</v>
      </c>
      <c r="AA15" s="245" t="s">
        <v>69</v>
      </c>
      <c r="AB15" s="245" t="s">
        <v>340</v>
      </c>
      <c r="AE15" s="116" t="s">
        <v>234</v>
      </c>
      <c r="AG15" s="117"/>
      <c r="AH15" s="117"/>
      <c r="AP15" s="117" t="s">
        <v>77</v>
      </c>
      <c r="AR15" s="118" t="s">
        <v>80</v>
      </c>
      <c r="AV15" s="117" t="s">
        <v>107</v>
      </c>
    </row>
    <row r="16" spans="1:53" s="115" customFormat="1" x14ac:dyDescent="0.15">
      <c r="A16" s="245" t="s">
        <v>51</v>
      </c>
      <c r="B16" s="245" t="s">
        <v>338</v>
      </c>
      <c r="C16" s="245">
        <v>2018</v>
      </c>
      <c r="D16" s="106" t="s">
        <v>401</v>
      </c>
      <c r="E16" s="245" t="s">
        <v>205</v>
      </c>
      <c r="F16" s="245" t="s">
        <v>206</v>
      </c>
      <c r="G16" s="245" t="s">
        <v>36</v>
      </c>
      <c r="H16" s="245" t="s">
        <v>165</v>
      </c>
      <c r="I16" s="245" t="s">
        <v>153</v>
      </c>
      <c r="J16" s="245" t="s">
        <v>38</v>
      </c>
      <c r="K16" s="245" t="s">
        <v>154</v>
      </c>
      <c r="L16" s="245">
        <v>3</v>
      </c>
      <c r="M16" s="245"/>
      <c r="N16" s="245">
        <v>3</v>
      </c>
      <c r="O16" s="245">
        <v>0.75</v>
      </c>
      <c r="P16" s="245">
        <v>0.6</v>
      </c>
      <c r="Q16" s="107">
        <f t="shared" si="0"/>
        <v>0.67500000000000004</v>
      </c>
      <c r="R16" s="245">
        <v>16.5</v>
      </c>
      <c r="S16" s="245">
        <v>166</v>
      </c>
      <c r="T16" s="108">
        <f t="shared" si="1"/>
        <v>18</v>
      </c>
      <c r="U16" s="245">
        <v>398</v>
      </c>
      <c r="V16" s="109">
        <f t="shared" si="2"/>
        <v>2388</v>
      </c>
      <c r="W16" s="245">
        <v>11</v>
      </c>
      <c r="X16" s="245" t="s">
        <v>46</v>
      </c>
      <c r="Y16" s="245" t="s">
        <v>84</v>
      </c>
      <c r="Z16" s="245" t="s">
        <v>90</v>
      </c>
      <c r="AA16" s="245" t="s">
        <v>69</v>
      </c>
      <c r="AB16" s="245" t="s">
        <v>340</v>
      </c>
      <c r="AE16" s="116" t="s">
        <v>235</v>
      </c>
      <c r="AG16" s="123"/>
      <c r="AH16" s="123"/>
      <c r="AP16" s="117" t="s">
        <v>80</v>
      </c>
      <c r="AR16" s="118" t="s">
        <v>63</v>
      </c>
      <c r="AV16" s="117" t="s">
        <v>84</v>
      </c>
    </row>
    <row r="17" spans="1:48" s="115" customFormat="1" x14ac:dyDescent="0.15">
      <c r="A17" s="245" t="s">
        <v>51</v>
      </c>
      <c r="B17" s="245" t="s">
        <v>338</v>
      </c>
      <c r="C17" s="245">
        <v>2018</v>
      </c>
      <c r="D17" s="106" t="s">
        <v>401</v>
      </c>
      <c r="E17" s="245" t="s">
        <v>139</v>
      </c>
      <c r="F17" s="245" t="s">
        <v>402</v>
      </c>
      <c r="G17" s="245" t="s">
        <v>42</v>
      </c>
      <c r="H17" s="245" t="s">
        <v>155</v>
      </c>
      <c r="I17" s="245" t="s">
        <v>153</v>
      </c>
      <c r="J17" s="245" t="s">
        <v>38</v>
      </c>
      <c r="K17" s="245" t="s">
        <v>154</v>
      </c>
      <c r="L17" s="245">
        <v>1</v>
      </c>
      <c r="M17" s="245"/>
      <c r="N17" s="245">
        <v>1</v>
      </c>
      <c r="O17" s="245">
        <v>0.85</v>
      </c>
      <c r="P17" s="245">
        <v>0.9</v>
      </c>
      <c r="Q17" s="107">
        <f t="shared" si="0"/>
        <v>0.875</v>
      </c>
      <c r="R17" s="245">
        <v>15.6</v>
      </c>
      <c r="S17" s="245">
        <v>98</v>
      </c>
      <c r="T17" s="108">
        <f t="shared" si="1"/>
        <v>36</v>
      </c>
      <c r="U17" s="245">
        <v>78</v>
      </c>
      <c r="V17" s="109">
        <f t="shared" si="2"/>
        <v>2808</v>
      </c>
      <c r="W17" s="245">
        <v>15</v>
      </c>
      <c r="X17" s="245" t="s">
        <v>46</v>
      </c>
      <c r="Y17" s="245" t="s">
        <v>84</v>
      </c>
      <c r="Z17" s="245" t="s">
        <v>69</v>
      </c>
      <c r="AA17" s="245" t="s">
        <v>78</v>
      </c>
      <c r="AB17" s="245" t="s">
        <v>340</v>
      </c>
      <c r="AE17" s="116" t="s">
        <v>236</v>
      </c>
      <c r="AP17" s="128" t="s">
        <v>237</v>
      </c>
      <c r="AR17" s="118" t="s">
        <v>96</v>
      </c>
      <c r="AV17" s="117" t="s">
        <v>86</v>
      </c>
    </row>
    <row r="18" spans="1:48" s="115" customFormat="1" x14ac:dyDescent="0.15">
      <c r="A18" s="245" t="s">
        <v>51</v>
      </c>
      <c r="B18" s="245" t="s">
        <v>338</v>
      </c>
      <c r="C18" s="245">
        <v>2018</v>
      </c>
      <c r="D18" s="106" t="s">
        <v>401</v>
      </c>
      <c r="E18" s="245" t="s">
        <v>139</v>
      </c>
      <c r="F18" s="245" t="s">
        <v>402</v>
      </c>
      <c r="G18" s="245" t="s">
        <v>42</v>
      </c>
      <c r="H18" s="245" t="s">
        <v>155</v>
      </c>
      <c r="I18" s="245" t="s">
        <v>153</v>
      </c>
      <c r="J18" s="245" t="s">
        <v>38</v>
      </c>
      <c r="K18" s="245" t="s">
        <v>154</v>
      </c>
      <c r="L18" s="245">
        <v>2</v>
      </c>
      <c r="M18" s="245"/>
      <c r="N18" s="245">
        <v>1</v>
      </c>
      <c r="O18" s="245">
        <v>0.9</v>
      </c>
      <c r="P18" s="245">
        <v>0.75</v>
      </c>
      <c r="Q18" s="107">
        <f t="shared" si="0"/>
        <v>0.82499999999999996</v>
      </c>
      <c r="R18" s="245">
        <v>16</v>
      </c>
      <c r="S18" s="245">
        <v>104</v>
      </c>
      <c r="T18" s="108">
        <f t="shared" si="1"/>
        <v>33</v>
      </c>
      <c r="U18" s="245">
        <v>78</v>
      </c>
      <c r="V18" s="109">
        <f t="shared" si="2"/>
        <v>2574</v>
      </c>
      <c r="W18" s="245">
        <v>15</v>
      </c>
      <c r="X18" s="245" t="s">
        <v>46</v>
      </c>
      <c r="Y18" s="245" t="s">
        <v>84</v>
      </c>
      <c r="Z18" s="245" t="s">
        <v>69</v>
      </c>
      <c r="AA18" s="245" t="s">
        <v>78</v>
      </c>
      <c r="AB18" s="245" t="s">
        <v>340</v>
      </c>
      <c r="AE18" s="116" t="s">
        <v>229</v>
      </c>
      <c r="AP18" s="128" t="s">
        <v>238</v>
      </c>
      <c r="AR18" s="118" t="s">
        <v>101</v>
      </c>
      <c r="AV18" s="117" t="s">
        <v>88</v>
      </c>
    </row>
    <row r="19" spans="1:48" s="115" customFormat="1" x14ac:dyDescent="0.15">
      <c r="A19" s="245" t="s">
        <v>51</v>
      </c>
      <c r="B19" s="245" t="s">
        <v>338</v>
      </c>
      <c r="C19" s="245">
        <v>2018</v>
      </c>
      <c r="D19" s="106" t="s">
        <v>401</v>
      </c>
      <c r="E19" s="245" t="s">
        <v>139</v>
      </c>
      <c r="F19" s="245" t="s">
        <v>402</v>
      </c>
      <c r="G19" s="245" t="s">
        <v>42</v>
      </c>
      <c r="H19" s="245" t="s">
        <v>155</v>
      </c>
      <c r="I19" s="245" t="s">
        <v>153</v>
      </c>
      <c r="J19" s="245" t="s">
        <v>38</v>
      </c>
      <c r="K19" s="245" t="s">
        <v>154</v>
      </c>
      <c r="L19" s="245">
        <v>3</v>
      </c>
      <c r="M19" s="245"/>
      <c r="N19" s="245">
        <v>1</v>
      </c>
      <c r="O19" s="245">
        <v>0.8</v>
      </c>
      <c r="P19" s="245">
        <v>0.8</v>
      </c>
      <c r="Q19" s="107">
        <f t="shared" si="0"/>
        <v>0.8</v>
      </c>
      <c r="R19" s="245">
        <v>15.5</v>
      </c>
      <c r="S19" s="245">
        <v>99</v>
      </c>
      <c r="T19" s="108">
        <f t="shared" si="1"/>
        <v>33</v>
      </c>
      <c r="U19" s="245">
        <v>78</v>
      </c>
      <c r="V19" s="109">
        <f t="shared" si="2"/>
        <v>2574</v>
      </c>
      <c r="W19" s="245">
        <v>15</v>
      </c>
      <c r="X19" s="245" t="s">
        <v>46</v>
      </c>
      <c r="Y19" s="245" t="s">
        <v>84</v>
      </c>
      <c r="Z19" s="245" t="s">
        <v>69</v>
      </c>
      <c r="AA19" s="245" t="s">
        <v>78</v>
      </c>
      <c r="AB19" s="245" t="s">
        <v>340</v>
      </c>
      <c r="AE19" s="129" t="s">
        <v>226</v>
      </c>
      <c r="AP19" s="128" t="s">
        <v>239</v>
      </c>
      <c r="AR19" s="118" t="s">
        <v>240</v>
      </c>
      <c r="AV19" s="117" t="s">
        <v>90</v>
      </c>
    </row>
    <row r="20" spans="1:48" s="115" customFormat="1" x14ac:dyDescent="0.15">
      <c r="A20" s="245" t="s">
        <v>51</v>
      </c>
      <c r="B20" s="245" t="s">
        <v>338</v>
      </c>
      <c r="C20" s="245">
        <v>2018</v>
      </c>
      <c r="D20" s="106" t="s">
        <v>401</v>
      </c>
      <c r="E20" s="245" t="s">
        <v>139</v>
      </c>
      <c r="F20" s="245" t="s">
        <v>402</v>
      </c>
      <c r="G20" s="245" t="s">
        <v>42</v>
      </c>
      <c r="H20" s="245" t="s">
        <v>165</v>
      </c>
      <c r="I20" s="245" t="s">
        <v>153</v>
      </c>
      <c r="J20" s="245" t="s">
        <v>38</v>
      </c>
      <c r="K20" s="245" t="s">
        <v>154</v>
      </c>
      <c r="L20" s="245">
        <v>1</v>
      </c>
      <c r="M20" s="245"/>
      <c r="N20" s="245">
        <v>1</v>
      </c>
      <c r="O20" s="245">
        <v>0.7</v>
      </c>
      <c r="P20" s="245">
        <v>0.65</v>
      </c>
      <c r="Q20" s="107">
        <f t="shared" si="0"/>
        <v>0.67500000000000004</v>
      </c>
      <c r="R20" s="245">
        <v>17.399999999999999</v>
      </c>
      <c r="S20" s="245">
        <v>150</v>
      </c>
      <c r="T20" s="108">
        <f t="shared" si="1"/>
        <v>22</v>
      </c>
      <c r="U20" s="245">
        <v>128</v>
      </c>
      <c r="V20" s="109">
        <f t="shared" si="2"/>
        <v>2816</v>
      </c>
      <c r="W20" s="245">
        <v>15</v>
      </c>
      <c r="X20" s="245" t="s">
        <v>46</v>
      </c>
      <c r="Y20" s="245" t="s">
        <v>84</v>
      </c>
      <c r="Z20" s="245" t="s">
        <v>69</v>
      </c>
      <c r="AA20" s="245" t="s">
        <v>78</v>
      </c>
      <c r="AB20" s="245" t="s">
        <v>340</v>
      </c>
      <c r="AP20" s="128" t="s">
        <v>241</v>
      </c>
      <c r="AR20" s="118" t="s">
        <v>61</v>
      </c>
    </row>
    <row r="21" spans="1:48" s="115" customFormat="1" x14ac:dyDescent="0.15">
      <c r="A21" s="245" t="s">
        <v>51</v>
      </c>
      <c r="B21" s="245" t="s">
        <v>338</v>
      </c>
      <c r="C21" s="245">
        <v>2018</v>
      </c>
      <c r="D21" s="106" t="s">
        <v>401</v>
      </c>
      <c r="E21" s="245" t="s">
        <v>139</v>
      </c>
      <c r="F21" s="245" t="s">
        <v>402</v>
      </c>
      <c r="G21" s="245" t="s">
        <v>42</v>
      </c>
      <c r="H21" s="245" t="s">
        <v>165</v>
      </c>
      <c r="I21" s="245" t="s">
        <v>153</v>
      </c>
      <c r="J21" s="245" t="s">
        <v>38</v>
      </c>
      <c r="K21" s="245" t="s">
        <v>154</v>
      </c>
      <c r="L21" s="245">
        <v>2</v>
      </c>
      <c r="M21" s="245"/>
      <c r="N21" s="245">
        <v>1</v>
      </c>
      <c r="O21" s="245">
        <v>0.6</v>
      </c>
      <c r="P21" s="245">
        <v>0.65</v>
      </c>
      <c r="Q21" s="107">
        <f t="shared" si="0"/>
        <v>0.625</v>
      </c>
      <c r="R21" s="245">
        <v>16.7</v>
      </c>
      <c r="S21" s="245">
        <v>146</v>
      </c>
      <c r="T21" s="108">
        <f t="shared" si="1"/>
        <v>22</v>
      </c>
      <c r="U21" s="245">
        <v>128</v>
      </c>
      <c r="V21" s="109">
        <f t="shared" si="2"/>
        <v>2816</v>
      </c>
      <c r="W21" s="245">
        <v>15</v>
      </c>
      <c r="X21" s="245" t="s">
        <v>46</v>
      </c>
      <c r="Y21" s="245" t="s">
        <v>84</v>
      </c>
      <c r="Z21" s="245" t="s">
        <v>69</v>
      </c>
      <c r="AA21" s="245" t="s">
        <v>78</v>
      </c>
      <c r="AB21" s="245" t="s">
        <v>340</v>
      </c>
      <c r="AP21" s="128" t="s">
        <v>242</v>
      </c>
      <c r="AR21" s="118" t="s">
        <v>91</v>
      </c>
    </row>
    <row r="22" spans="1:48" s="115" customFormat="1" x14ac:dyDescent="0.15">
      <c r="A22" s="245" t="s">
        <v>51</v>
      </c>
      <c r="B22" s="245" t="s">
        <v>338</v>
      </c>
      <c r="C22" s="245">
        <v>2018</v>
      </c>
      <c r="D22" s="106" t="s">
        <v>401</v>
      </c>
      <c r="E22" s="245" t="s">
        <v>139</v>
      </c>
      <c r="F22" s="245" t="s">
        <v>402</v>
      </c>
      <c r="G22" s="245" t="s">
        <v>42</v>
      </c>
      <c r="H22" s="245" t="s">
        <v>165</v>
      </c>
      <c r="I22" s="245" t="s">
        <v>153</v>
      </c>
      <c r="J22" s="245" t="s">
        <v>38</v>
      </c>
      <c r="K22" s="245" t="s">
        <v>154</v>
      </c>
      <c r="L22" s="245">
        <v>3</v>
      </c>
      <c r="M22" s="245"/>
      <c r="N22" s="245">
        <v>1</v>
      </c>
      <c r="O22" s="245">
        <v>0.5</v>
      </c>
      <c r="P22" s="245">
        <v>0.5</v>
      </c>
      <c r="Q22" s="107">
        <f t="shared" si="0"/>
        <v>0.5</v>
      </c>
      <c r="R22" s="245">
        <v>16.2</v>
      </c>
      <c r="S22" s="245">
        <v>136</v>
      </c>
      <c r="T22" s="108">
        <f t="shared" si="1"/>
        <v>25</v>
      </c>
      <c r="U22" s="245">
        <v>128</v>
      </c>
      <c r="V22" s="109">
        <f t="shared" si="2"/>
        <v>3200</v>
      </c>
      <c r="W22" s="245">
        <v>15</v>
      </c>
      <c r="X22" s="245" t="s">
        <v>46</v>
      </c>
      <c r="Y22" s="245" t="s">
        <v>84</v>
      </c>
      <c r="Z22" s="245" t="s">
        <v>69</v>
      </c>
      <c r="AA22" s="245" t="s">
        <v>78</v>
      </c>
      <c r="AB22" s="245" t="s">
        <v>340</v>
      </c>
      <c r="AP22" s="128" t="s">
        <v>243</v>
      </c>
      <c r="AR22" s="128" t="s">
        <v>51</v>
      </c>
    </row>
    <row r="23" spans="1:48" s="115" customFormat="1" x14ac:dyDescent="0.15">
      <c r="A23" s="245" t="s">
        <v>51</v>
      </c>
      <c r="B23" s="245" t="s">
        <v>338</v>
      </c>
      <c r="C23" s="245">
        <v>2018</v>
      </c>
      <c r="D23" s="106" t="s">
        <v>401</v>
      </c>
      <c r="E23" s="245" t="s">
        <v>216</v>
      </c>
      <c r="F23" s="245" t="s">
        <v>217</v>
      </c>
      <c r="G23" s="245" t="s">
        <v>36</v>
      </c>
      <c r="H23" s="245" t="s">
        <v>155</v>
      </c>
      <c r="I23" s="245" t="s">
        <v>153</v>
      </c>
      <c r="J23" s="245" t="s">
        <v>38</v>
      </c>
      <c r="K23" s="245" t="s">
        <v>154</v>
      </c>
      <c r="L23" s="245">
        <v>1</v>
      </c>
      <c r="M23" s="245"/>
      <c r="N23" s="245">
        <v>1</v>
      </c>
      <c r="O23" s="245">
        <v>0.7</v>
      </c>
      <c r="P23" s="245">
        <v>0.8</v>
      </c>
      <c r="Q23" s="107">
        <f t="shared" si="0"/>
        <v>0.75</v>
      </c>
      <c r="R23" s="245">
        <v>15.9</v>
      </c>
      <c r="S23" s="245">
        <v>140</v>
      </c>
      <c r="T23" s="108">
        <f t="shared" si="1"/>
        <v>22</v>
      </c>
      <c r="U23" s="245">
        <v>128</v>
      </c>
      <c r="V23" s="109">
        <f t="shared" si="2"/>
        <v>2816</v>
      </c>
      <c r="W23" s="245">
        <v>8</v>
      </c>
      <c r="X23" s="245" t="s">
        <v>39</v>
      </c>
      <c r="Y23" s="245" t="s">
        <v>90</v>
      </c>
      <c r="Z23" s="245" t="s">
        <v>102</v>
      </c>
      <c r="AA23" s="245" t="s">
        <v>69</v>
      </c>
      <c r="AB23" s="245" t="s">
        <v>340</v>
      </c>
    </row>
    <row r="24" spans="1:48" s="115" customFormat="1" x14ac:dyDescent="0.15">
      <c r="A24" s="245" t="s">
        <v>51</v>
      </c>
      <c r="B24" s="245" t="s">
        <v>338</v>
      </c>
      <c r="C24" s="245">
        <v>2018</v>
      </c>
      <c r="D24" s="106" t="s">
        <v>401</v>
      </c>
      <c r="E24" s="245" t="s">
        <v>216</v>
      </c>
      <c r="F24" s="245" t="s">
        <v>217</v>
      </c>
      <c r="G24" s="245" t="s">
        <v>36</v>
      </c>
      <c r="H24" s="245" t="s">
        <v>155</v>
      </c>
      <c r="I24" s="245" t="s">
        <v>153</v>
      </c>
      <c r="J24" s="245" t="s">
        <v>38</v>
      </c>
      <c r="K24" s="245" t="s">
        <v>154</v>
      </c>
      <c r="L24" s="245">
        <v>2</v>
      </c>
      <c r="M24" s="245"/>
      <c r="N24" s="245">
        <v>1</v>
      </c>
      <c r="O24" s="245">
        <v>0.7</v>
      </c>
      <c r="P24" s="245">
        <v>0.7</v>
      </c>
      <c r="Q24" s="107">
        <f t="shared" si="0"/>
        <v>0.7</v>
      </c>
      <c r="R24" s="245">
        <v>15.3</v>
      </c>
      <c r="S24" s="245">
        <v>138</v>
      </c>
      <c r="T24" s="108">
        <f t="shared" si="1"/>
        <v>22</v>
      </c>
      <c r="U24" s="245">
        <v>128</v>
      </c>
      <c r="V24" s="109">
        <f t="shared" si="2"/>
        <v>2816</v>
      </c>
      <c r="W24" s="245">
        <v>8</v>
      </c>
      <c r="X24" s="245" t="s">
        <v>39</v>
      </c>
      <c r="Y24" s="245" t="s">
        <v>90</v>
      </c>
      <c r="Z24" s="245" t="s">
        <v>102</v>
      </c>
      <c r="AA24" s="245" t="s">
        <v>69</v>
      </c>
      <c r="AB24" s="245" t="s">
        <v>340</v>
      </c>
    </row>
    <row r="25" spans="1:48" s="115" customFormat="1" x14ac:dyDescent="0.15">
      <c r="A25" s="245" t="s">
        <v>51</v>
      </c>
      <c r="B25" s="245" t="s">
        <v>338</v>
      </c>
      <c r="C25" s="245">
        <v>2018</v>
      </c>
      <c r="D25" s="106" t="s">
        <v>401</v>
      </c>
      <c r="E25" s="245" t="s">
        <v>216</v>
      </c>
      <c r="F25" s="245" t="s">
        <v>217</v>
      </c>
      <c r="G25" s="245" t="s">
        <v>36</v>
      </c>
      <c r="H25" s="245" t="s">
        <v>155</v>
      </c>
      <c r="I25" s="245" t="s">
        <v>153</v>
      </c>
      <c r="J25" s="245" t="s">
        <v>38</v>
      </c>
      <c r="K25" s="245" t="s">
        <v>154</v>
      </c>
      <c r="L25" s="245">
        <v>3</v>
      </c>
      <c r="M25" s="245"/>
      <c r="N25" s="245">
        <v>1</v>
      </c>
      <c r="O25" s="245">
        <v>0.65</v>
      </c>
      <c r="P25" s="245">
        <v>0.75</v>
      </c>
      <c r="Q25" s="107">
        <f t="shared" si="0"/>
        <v>0.7</v>
      </c>
      <c r="R25" s="245">
        <v>15.5</v>
      </c>
      <c r="S25" s="245">
        <v>138</v>
      </c>
      <c r="T25" s="108">
        <f t="shared" si="1"/>
        <v>22</v>
      </c>
      <c r="U25" s="245">
        <v>128</v>
      </c>
      <c r="V25" s="109">
        <f t="shared" si="2"/>
        <v>2816</v>
      </c>
      <c r="W25" s="245">
        <v>8</v>
      </c>
      <c r="X25" s="245" t="s">
        <v>39</v>
      </c>
      <c r="Y25" s="245" t="s">
        <v>90</v>
      </c>
      <c r="Z25" s="245" t="s">
        <v>102</v>
      </c>
      <c r="AA25" s="245" t="s">
        <v>69</v>
      </c>
      <c r="AB25" s="245" t="s">
        <v>340</v>
      </c>
    </row>
    <row r="26" spans="1:48" s="115" customFormat="1" x14ac:dyDescent="0.15">
      <c r="A26" s="245" t="s">
        <v>51</v>
      </c>
      <c r="B26" s="245" t="s">
        <v>338</v>
      </c>
      <c r="C26" s="245">
        <v>2018</v>
      </c>
      <c r="D26" s="106" t="s">
        <v>401</v>
      </c>
      <c r="E26" s="245" t="s">
        <v>216</v>
      </c>
      <c r="F26" s="245" t="s">
        <v>217</v>
      </c>
      <c r="G26" s="245" t="s">
        <v>36</v>
      </c>
      <c r="H26" s="245" t="s">
        <v>165</v>
      </c>
      <c r="I26" s="245" t="s">
        <v>153</v>
      </c>
      <c r="J26" s="245" t="s">
        <v>38</v>
      </c>
      <c r="K26" s="245" t="s">
        <v>154</v>
      </c>
      <c r="L26" s="245">
        <v>1</v>
      </c>
      <c r="M26" s="245"/>
      <c r="N26" s="245">
        <v>3</v>
      </c>
      <c r="O26" s="245">
        <v>0.65</v>
      </c>
      <c r="P26" s="245">
        <v>0.85</v>
      </c>
      <c r="Q26" s="107">
        <f t="shared" si="0"/>
        <v>0.75</v>
      </c>
      <c r="R26" s="245">
        <v>18.3</v>
      </c>
      <c r="S26" s="245">
        <v>136</v>
      </c>
      <c r="T26" s="108">
        <f t="shared" si="1"/>
        <v>25</v>
      </c>
      <c r="U26" s="245">
        <v>398</v>
      </c>
      <c r="V26" s="109">
        <f t="shared" si="2"/>
        <v>3316.6666666666665</v>
      </c>
      <c r="W26" s="245">
        <v>8</v>
      </c>
      <c r="X26" s="245" t="s">
        <v>39</v>
      </c>
      <c r="Y26" s="245" t="s">
        <v>90</v>
      </c>
      <c r="Z26" s="245" t="s">
        <v>102</v>
      </c>
      <c r="AA26" s="245" t="s">
        <v>69</v>
      </c>
      <c r="AB26" s="245" t="s">
        <v>340</v>
      </c>
    </row>
    <row r="27" spans="1:48" s="115" customFormat="1" x14ac:dyDescent="0.15">
      <c r="A27" s="245" t="s">
        <v>51</v>
      </c>
      <c r="B27" s="245" t="s">
        <v>338</v>
      </c>
      <c r="C27" s="245">
        <v>2018</v>
      </c>
      <c r="D27" s="106" t="s">
        <v>401</v>
      </c>
      <c r="E27" s="245" t="s">
        <v>216</v>
      </c>
      <c r="F27" s="245" t="s">
        <v>217</v>
      </c>
      <c r="G27" s="245" t="s">
        <v>36</v>
      </c>
      <c r="H27" s="245" t="s">
        <v>165</v>
      </c>
      <c r="I27" s="245" t="s">
        <v>153</v>
      </c>
      <c r="J27" s="245" t="s">
        <v>38</v>
      </c>
      <c r="K27" s="245" t="s">
        <v>154</v>
      </c>
      <c r="L27" s="245">
        <v>2</v>
      </c>
      <c r="M27" s="245"/>
      <c r="N27" s="245">
        <v>3</v>
      </c>
      <c r="O27" s="245">
        <v>0.7</v>
      </c>
      <c r="P27" s="245">
        <v>0.75</v>
      </c>
      <c r="Q27" s="107">
        <f t="shared" si="0"/>
        <v>0.72499999999999998</v>
      </c>
      <c r="R27" s="245">
        <v>17.899999999999999</v>
      </c>
      <c r="S27" s="245">
        <v>148</v>
      </c>
      <c r="T27" s="108">
        <f t="shared" si="1"/>
        <v>22</v>
      </c>
      <c r="U27" s="245">
        <v>398</v>
      </c>
      <c r="V27" s="109">
        <f t="shared" si="2"/>
        <v>2918.6666666666665</v>
      </c>
      <c r="W27" s="245">
        <v>8</v>
      </c>
      <c r="X27" s="245" t="s">
        <v>39</v>
      </c>
      <c r="Y27" s="245" t="s">
        <v>90</v>
      </c>
      <c r="Z27" s="245" t="s">
        <v>102</v>
      </c>
      <c r="AA27" s="245" t="s">
        <v>69</v>
      </c>
      <c r="AB27" s="245" t="s">
        <v>340</v>
      </c>
    </row>
    <row r="28" spans="1:48" s="115" customFormat="1" x14ac:dyDescent="0.15">
      <c r="A28" s="245" t="s">
        <v>51</v>
      </c>
      <c r="B28" s="245" t="s">
        <v>338</v>
      </c>
      <c r="C28" s="245">
        <v>2018</v>
      </c>
      <c r="D28" s="106" t="s">
        <v>401</v>
      </c>
      <c r="E28" s="245" t="s">
        <v>216</v>
      </c>
      <c r="F28" s="245" t="s">
        <v>217</v>
      </c>
      <c r="G28" s="245" t="s">
        <v>36</v>
      </c>
      <c r="H28" s="245" t="s">
        <v>165</v>
      </c>
      <c r="I28" s="245" t="s">
        <v>153</v>
      </c>
      <c r="J28" s="245" t="s">
        <v>38</v>
      </c>
      <c r="K28" s="245" t="s">
        <v>154</v>
      </c>
      <c r="L28" s="245">
        <v>3</v>
      </c>
      <c r="M28" s="245"/>
      <c r="N28" s="245">
        <v>3</v>
      </c>
      <c r="O28" s="245">
        <v>0.8</v>
      </c>
      <c r="P28" s="245">
        <v>0.7</v>
      </c>
      <c r="Q28" s="107">
        <f t="shared" si="0"/>
        <v>0.75</v>
      </c>
      <c r="R28" s="245">
        <v>17.2</v>
      </c>
      <c r="S28" s="245">
        <v>136</v>
      </c>
      <c r="T28" s="108">
        <f t="shared" si="1"/>
        <v>25</v>
      </c>
      <c r="U28" s="245">
        <v>398</v>
      </c>
      <c r="V28" s="109">
        <f t="shared" si="2"/>
        <v>3316.6666666666665</v>
      </c>
      <c r="W28" s="245">
        <v>8</v>
      </c>
      <c r="X28" s="245" t="s">
        <v>39</v>
      </c>
      <c r="Y28" s="245" t="s">
        <v>90</v>
      </c>
      <c r="Z28" s="245" t="s">
        <v>102</v>
      </c>
      <c r="AA28" s="245" t="s">
        <v>69</v>
      </c>
      <c r="AB28" s="245" t="s">
        <v>340</v>
      </c>
    </row>
    <row r="29" spans="1:48" s="115" customFormat="1" x14ac:dyDescent="0.15">
      <c r="A29" s="245" t="s">
        <v>51</v>
      </c>
      <c r="B29" s="245" t="s">
        <v>338</v>
      </c>
      <c r="C29" s="245">
        <v>2018</v>
      </c>
      <c r="D29" s="106" t="s">
        <v>401</v>
      </c>
      <c r="E29" s="245" t="s">
        <v>171</v>
      </c>
      <c r="F29" s="245" t="s">
        <v>203</v>
      </c>
      <c r="G29" s="245" t="s">
        <v>42</v>
      </c>
      <c r="H29" s="245" t="s">
        <v>155</v>
      </c>
      <c r="I29" s="245" t="s">
        <v>153</v>
      </c>
      <c r="J29" s="245" t="s">
        <v>38</v>
      </c>
      <c r="K29" s="245" t="s">
        <v>154</v>
      </c>
      <c r="L29" s="245">
        <v>1</v>
      </c>
      <c r="M29" s="245"/>
      <c r="N29" s="245">
        <v>8</v>
      </c>
      <c r="O29" s="245">
        <v>0.7</v>
      </c>
      <c r="P29" s="245">
        <v>0.85</v>
      </c>
      <c r="Q29" s="107">
        <f t="shared" si="0"/>
        <v>0.77499999999999991</v>
      </c>
      <c r="R29" s="245">
        <v>14.3</v>
      </c>
      <c r="S29" s="245">
        <v>77</v>
      </c>
      <c r="T29" s="108">
        <f t="shared" si="1"/>
        <v>39</v>
      </c>
      <c r="U29" s="245">
        <v>298</v>
      </c>
      <c r="V29" s="109">
        <f t="shared" si="2"/>
        <v>1452.75</v>
      </c>
      <c r="W29" s="245">
        <v>13</v>
      </c>
      <c r="X29" s="245" t="s">
        <v>46</v>
      </c>
      <c r="Y29" s="245" t="s">
        <v>90</v>
      </c>
      <c r="Z29" s="245" t="s">
        <v>84</v>
      </c>
      <c r="AA29" s="245" t="s">
        <v>50</v>
      </c>
      <c r="AB29" s="245" t="s">
        <v>340</v>
      </c>
    </row>
    <row r="30" spans="1:48" s="115" customFormat="1" x14ac:dyDescent="0.15">
      <c r="A30" s="245" t="s">
        <v>51</v>
      </c>
      <c r="B30" s="245" t="s">
        <v>338</v>
      </c>
      <c r="C30" s="245">
        <v>2018</v>
      </c>
      <c r="D30" s="106" t="s">
        <v>401</v>
      </c>
      <c r="E30" s="245" t="s">
        <v>171</v>
      </c>
      <c r="F30" s="245" t="s">
        <v>203</v>
      </c>
      <c r="G30" s="245" t="s">
        <v>42</v>
      </c>
      <c r="H30" s="245" t="s">
        <v>155</v>
      </c>
      <c r="I30" s="245" t="s">
        <v>153</v>
      </c>
      <c r="J30" s="245" t="s">
        <v>38</v>
      </c>
      <c r="K30" s="245" t="s">
        <v>154</v>
      </c>
      <c r="L30" s="245">
        <v>2</v>
      </c>
      <c r="M30" s="245"/>
      <c r="N30" s="245">
        <v>8</v>
      </c>
      <c r="O30" s="245">
        <v>0.7</v>
      </c>
      <c r="P30" s="245">
        <v>0.75</v>
      </c>
      <c r="Q30" s="107">
        <f t="shared" si="0"/>
        <v>0.72499999999999998</v>
      </c>
      <c r="R30" s="245">
        <v>12.5</v>
      </c>
      <c r="S30" s="245">
        <v>77</v>
      </c>
      <c r="T30" s="108">
        <f t="shared" si="1"/>
        <v>39</v>
      </c>
      <c r="U30" s="245">
        <v>298</v>
      </c>
      <c r="V30" s="109">
        <f t="shared" si="2"/>
        <v>1452.75</v>
      </c>
      <c r="W30" s="245">
        <v>13</v>
      </c>
      <c r="X30" s="245" t="s">
        <v>46</v>
      </c>
      <c r="Y30" s="245" t="s">
        <v>90</v>
      </c>
      <c r="Z30" s="245" t="s">
        <v>84</v>
      </c>
      <c r="AA30" s="245" t="s">
        <v>50</v>
      </c>
      <c r="AB30" s="245" t="s">
        <v>340</v>
      </c>
    </row>
    <row r="31" spans="1:48" s="115" customFormat="1" x14ac:dyDescent="0.15">
      <c r="A31" s="245" t="s">
        <v>51</v>
      </c>
      <c r="B31" s="245" t="s">
        <v>338</v>
      </c>
      <c r="C31" s="245">
        <v>2018</v>
      </c>
      <c r="D31" s="106" t="s">
        <v>401</v>
      </c>
      <c r="E31" s="245" t="s">
        <v>171</v>
      </c>
      <c r="F31" s="245" t="s">
        <v>203</v>
      </c>
      <c r="G31" s="245" t="s">
        <v>42</v>
      </c>
      <c r="H31" s="245" t="s">
        <v>155</v>
      </c>
      <c r="I31" s="245" t="s">
        <v>153</v>
      </c>
      <c r="J31" s="245" t="s">
        <v>38</v>
      </c>
      <c r="K31" s="245" t="s">
        <v>154</v>
      </c>
      <c r="L31" s="245">
        <v>3</v>
      </c>
      <c r="M31" s="245"/>
      <c r="N31" s="245">
        <v>8</v>
      </c>
      <c r="O31" s="245">
        <v>0.8</v>
      </c>
      <c r="P31" s="245">
        <v>0.85</v>
      </c>
      <c r="Q31" s="107">
        <f t="shared" si="0"/>
        <v>0.82499999999999996</v>
      </c>
      <c r="R31" s="245">
        <v>13.1</v>
      </c>
      <c r="S31" s="245">
        <v>77</v>
      </c>
      <c r="T31" s="108">
        <f t="shared" si="1"/>
        <v>39</v>
      </c>
      <c r="U31" s="245">
        <v>298</v>
      </c>
      <c r="V31" s="109">
        <f t="shared" si="2"/>
        <v>1452.75</v>
      </c>
      <c r="W31" s="245">
        <v>13</v>
      </c>
      <c r="X31" s="245" t="s">
        <v>46</v>
      </c>
      <c r="Y31" s="245" t="s">
        <v>90</v>
      </c>
      <c r="Z31" s="245" t="s">
        <v>84</v>
      </c>
      <c r="AA31" s="245" t="s">
        <v>50</v>
      </c>
      <c r="AB31" s="245" t="s">
        <v>340</v>
      </c>
    </row>
    <row r="32" spans="1:48" s="115" customFormat="1" x14ac:dyDescent="0.15">
      <c r="A32" s="245" t="s">
        <v>51</v>
      </c>
      <c r="B32" s="245" t="s">
        <v>338</v>
      </c>
      <c r="C32" s="245">
        <v>2018</v>
      </c>
      <c r="D32" s="106" t="s">
        <v>401</v>
      </c>
      <c r="E32" s="245" t="s">
        <v>171</v>
      </c>
      <c r="F32" s="245" t="s">
        <v>203</v>
      </c>
      <c r="G32" s="245" t="s">
        <v>42</v>
      </c>
      <c r="H32" s="245" t="s">
        <v>165</v>
      </c>
      <c r="I32" s="245" t="s">
        <v>153</v>
      </c>
      <c r="J32" s="245" t="s">
        <v>38</v>
      </c>
      <c r="K32" s="245" t="s">
        <v>154</v>
      </c>
      <c r="L32" s="245">
        <v>1</v>
      </c>
      <c r="M32" s="245"/>
      <c r="N32" s="245">
        <v>1</v>
      </c>
      <c r="O32" s="245">
        <v>0.7</v>
      </c>
      <c r="P32" s="245">
        <v>0.75</v>
      </c>
      <c r="Q32" s="107">
        <f t="shared" si="0"/>
        <v>0.72499999999999998</v>
      </c>
      <c r="R32" s="245">
        <v>16.600000000000001</v>
      </c>
      <c r="S32" s="245">
        <v>168</v>
      </c>
      <c r="T32" s="108">
        <f t="shared" si="1"/>
        <v>18</v>
      </c>
      <c r="U32" s="245">
        <v>127</v>
      </c>
      <c r="V32" s="109">
        <f t="shared" si="2"/>
        <v>2286</v>
      </c>
      <c r="W32" s="245">
        <v>13</v>
      </c>
      <c r="X32" s="245" t="s">
        <v>46</v>
      </c>
      <c r="Y32" s="245" t="s">
        <v>90</v>
      </c>
      <c r="Z32" s="245" t="s">
        <v>84</v>
      </c>
      <c r="AA32" s="245" t="s">
        <v>50</v>
      </c>
      <c r="AB32" s="245" t="s">
        <v>340</v>
      </c>
    </row>
    <row r="33" spans="1:28" s="115" customFormat="1" x14ac:dyDescent="0.15">
      <c r="A33" s="245" t="s">
        <v>51</v>
      </c>
      <c r="B33" s="245" t="s">
        <v>338</v>
      </c>
      <c r="C33" s="245">
        <v>2018</v>
      </c>
      <c r="D33" s="106" t="s">
        <v>401</v>
      </c>
      <c r="E33" s="245" t="s">
        <v>171</v>
      </c>
      <c r="F33" s="245" t="s">
        <v>203</v>
      </c>
      <c r="G33" s="245" t="s">
        <v>42</v>
      </c>
      <c r="H33" s="245" t="s">
        <v>165</v>
      </c>
      <c r="I33" s="245" t="s">
        <v>153</v>
      </c>
      <c r="J33" s="245" t="s">
        <v>38</v>
      </c>
      <c r="K33" s="245" t="s">
        <v>154</v>
      </c>
      <c r="L33" s="245">
        <v>2</v>
      </c>
      <c r="M33" s="245"/>
      <c r="N33" s="245">
        <v>1</v>
      </c>
      <c r="O33" s="245">
        <v>0.75</v>
      </c>
      <c r="P33" s="245">
        <v>0.65</v>
      </c>
      <c r="Q33" s="107">
        <f t="shared" si="0"/>
        <v>0.7</v>
      </c>
      <c r="R33" s="245">
        <v>16.2</v>
      </c>
      <c r="S33" s="245">
        <v>164</v>
      </c>
      <c r="T33" s="108">
        <f t="shared" si="1"/>
        <v>18</v>
      </c>
      <c r="U33" s="245">
        <v>127</v>
      </c>
      <c r="V33" s="109">
        <f t="shared" si="2"/>
        <v>2286</v>
      </c>
      <c r="W33" s="245">
        <v>13</v>
      </c>
      <c r="X33" s="245" t="s">
        <v>46</v>
      </c>
      <c r="Y33" s="245" t="s">
        <v>90</v>
      </c>
      <c r="Z33" s="245" t="s">
        <v>84</v>
      </c>
      <c r="AA33" s="245" t="s">
        <v>50</v>
      </c>
      <c r="AB33" s="245" t="s">
        <v>340</v>
      </c>
    </row>
    <row r="34" spans="1:28" s="115" customFormat="1" x14ac:dyDescent="0.15">
      <c r="A34" s="245" t="s">
        <v>51</v>
      </c>
      <c r="B34" s="245" t="s">
        <v>338</v>
      </c>
      <c r="C34" s="245">
        <v>2018</v>
      </c>
      <c r="D34" s="106" t="s">
        <v>401</v>
      </c>
      <c r="E34" s="245" t="s">
        <v>171</v>
      </c>
      <c r="F34" s="245" t="s">
        <v>203</v>
      </c>
      <c r="G34" s="245" t="s">
        <v>42</v>
      </c>
      <c r="H34" s="245" t="s">
        <v>165</v>
      </c>
      <c r="I34" s="245" t="s">
        <v>153</v>
      </c>
      <c r="J34" s="245" t="s">
        <v>38</v>
      </c>
      <c r="K34" s="245" t="s">
        <v>154</v>
      </c>
      <c r="L34" s="245">
        <v>3</v>
      </c>
      <c r="M34" s="245"/>
      <c r="N34" s="245">
        <v>1</v>
      </c>
      <c r="O34" s="245">
        <v>0.6</v>
      </c>
      <c r="P34" s="245">
        <v>0.7</v>
      </c>
      <c r="Q34" s="107">
        <f t="shared" si="0"/>
        <v>0.64999999999999991</v>
      </c>
      <c r="R34" s="245">
        <v>15</v>
      </c>
      <c r="S34" s="245">
        <v>158</v>
      </c>
      <c r="T34" s="108">
        <f t="shared" si="1"/>
        <v>18</v>
      </c>
      <c r="U34" s="245">
        <v>127</v>
      </c>
      <c r="V34" s="109">
        <f t="shared" si="2"/>
        <v>2286</v>
      </c>
      <c r="W34" s="245">
        <v>13</v>
      </c>
      <c r="X34" s="245" t="s">
        <v>46</v>
      </c>
      <c r="Y34" s="245" t="s">
        <v>90</v>
      </c>
      <c r="Z34" s="245" t="s">
        <v>84</v>
      </c>
      <c r="AA34" s="245" t="s">
        <v>50</v>
      </c>
      <c r="AB34" s="245" t="s">
        <v>340</v>
      </c>
    </row>
    <row r="35" spans="1:28" s="115" customFormat="1" x14ac:dyDescent="0.15">
      <c r="A35" s="245" t="s">
        <v>51</v>
      </c>
      <c r="B35" s="245" t="s">
        <v>338</v>
      </c>
      <c r="C35" s="245">
        <v>2018</v>
      </c>
      <c r="D35" s="106" t="s">
        <v>401</v>
      </c>
      <c r="E35" s="245" t="s">
        <v>219</v>
      </c>
      <c r="F35" s="245" t="s">
        <v>203</v>
      </c>
      <c r="G35" s="245" t="s">
        <v>42</v>
      </c>
      <c r="H35" s="245" t="s">
        <v>155</v>
      </c>
      <c r="I35" s="245" t="s">
        <v>153</v>
      </c>
      <c r="J35" s="245" t="s">
        <v>38</v>
      </c>
      <c r="K35" s="245" t="s">
        <v>154</v>
      </c>
      <c r="L35" s="245">
        <v>1</v>
      </c>
      <c r="M35" s="245"/>
      <c r="N35" s="245">
        <v>3</v>
      </c>
      <c r="O35" s="245">
        <v>0.85</v>
      </c>
      <c r="P35" s="245">
        <v>0.8</v>
      </c>
      <c r="Q35" s="107">
        <f t="shared" si="0"/>
        <v>0.82499999999999996</v>
      </c>
      <c r="R35" s="245">
        <v>16.399999999999999</v>
      </c>
      <c r="S35" s="245">
        <v>144</v>
      </c>
      <c r="T35" s="108">
        <f t="shared" si="1"/>
        <v>22</v>
      </c>
      <c r="U35" s="245">
        <v>398</v>
      </c>
      <c r="V35" s="109">
        <f t="shared" si="2"/>
        <v>2918.6666666666665</v>
      </c>
      <c r="W35" s="245">
        <v>16</v>
      </c>
      <c r="X35" s="245" t="s">
        <v>46</v>
      </c>
      <c r="Y35" s="245" t="s">
        <v>84</v>
      </c>
      <c r="Z35" s="245" t="s">
        <v>69</v>
      </c>
      <c r="AA35" s="245" t="s">
        <v>102</v>
      </c>
      <c r="AB35" s="245" t="s">
        <v>340</v>
      </c>
    </row>
    <row r="36" spans="1:28" s="115" customFormat="1" x14ac:dyDescent="0.15">
      <c r="A36" s="245" t="s">
        <v>51</v>
      </c>
      <c r="B36" s="245" t="s">
        <v>338</v>
      </c>
      <c r="C36" s="245">
        <v>2018</v>
      </c>
      <c r="D36" s="106" t="s">
        <v>401</v>
      </c>
      <c r="E36" s="245" t="s">
        <v>219</v>
      </c>
      <c r="F36" s="245" t="s">
        <v>203</v>
      </c>
      <c r="G36" s="245" t="s">
        <v>42</v>
      </c>
      <c r="H36" s="245" t="s">
        <v>155</v>
      </c>
      <c r="I36" s="245" t="s">
        <v>153</v>
      </c>
      <c r="J36" s="245" t="s">
        <v>38</v>
      </c>
      <c r="K36" s="245" t="s">
        <v>154</v>
      </c>
      <c r="L36" s="245">
        <v>2</v>
      </c>
      <c r="M36" s="245"/>
      <c r="N36" s="245">
        <v>3</v>
      </c>
      <c r="O36" s="245">
        <v>0.75</v>
      </c>
      <c r="P36" s="245">
        <v>0.7</v>
      </c>
      <c r="Q36" s="107">
        <f t="shared" si="0"/>
        <v>0.72499999999999998</v>
      </c>
      <c r="R36" s="245">
        <v>16.3</v>
      </c>
      <c r="S36" s="245">
        <v>146</v>
      </c>
      <c r="T36" s="108">
        <f t="shared" si="1"/>
        <v>22</v>
      </c>
      <c r="U36" s="245">
        <v>398</v>
      </c>
      <c r="V36" s="109">
        <f t="shared" si="2"/>
        <v>2918.6666666666665</v>
      </c>
      <c r="W36" s="245">
        <v>16</v>
      </c>
      <c r="X36" s="245" t="s">
        <v>46</v>
      </c>
      <c r="Y36" s="245" t="s">
        <v>84</v>
      </c>
      <c r="Z36" s="245" t="s">
        <v>69</v>
      </c>
      <c r="AA36" s="245" t="s">
        <v>102</v>
      </c>
      <c r="AB36" s="245" t="s">
        <v>340</v>
      </c>
    </row>
    <row r="37" spans="1:28" s="115" customFormat="1" x14ac:dyDescent="0.15">
      <c r="A37" s="245" t="s">
        <v>51</v>
      </c>
      <c r="B37" s="245" t="s">
        <v>338</v>
      </c>
      <c r="C37" s="245">
        <v>2018</v>
      </c>
      <c r="D37" s="106" t="s">
        <v>401</v>
      </c>
      <c r="E37" s="245" t="s">
        <v>219</v>
      </c>
      <c r="F37" s="245" t="s">
        <v>203</v>
      </c>
      <c r="G37" s="245" t="s">
        <v>42</v>
      </c>
      <c r="H37" s="245" t="s">
        <v>155</v>
      </c>
      <c r="I37" s="245" t="s">
        <v>153</v>
      </c>
      <c r="J37" s="245" t="s">
        <v>38</v>
      </c>
      <c r="K37" s="245" t="s">
        <v>154</v>
      </c>
      <c r="L37" s="245">
        <v>3</v>
      </c>
      <c r="M37" s="245"/>
      <c r="N37" s="245">
        <v>3</v>
      </c>
      <c r="O37" s="245">
        <v>0.8</v>
      </c>
      <c r="P37" s="245">
        <v>0.65</v>
      </c>
      <c r="Q37" s="107">
        <f t="shared" si="0"/>
        <v>0.72500000000000009</v>
      </c>
      <c r="R37" s="245">
        <v>16.8</v>
      </c>
      <c r="S37" s="245">
        <v>144</v>
      </c>
      <c r="T37" s="108">
        <f t="shared" si="1"/>
        <v>22</v>
      </c>
      <c r="U37" s="245">
        <v>398</v>
      </c>
      <c r="V37" s="109">
        <f t="shared" si="2"/>
        <v>2918.6666666666665</v>
      </c>
      <c r="W37" s="245">
        <v>16</v>
      </c>
      <c r="X37" s="245" t="s">
        <v>46</v>
      </c>
      <c r="Y37" s="245" t="s">
        <v>84</v>
      </c>
      <c r="Z37" s="245" t="s">
        <v>69</v>
      </c>
      <c r="AA37" s="245" t="s">
        <v>102</v>
      </c>
      <c r="AB37" s="245" t="s">
        <v>340</v>
      </c>
    </row>
    <row r="38" spans="1:28" s="115" customFormat="1" x14ac:dyDescent="0.15">
      <c r="A38" s="245" t="s">
        <v>51</v>
      </c>
      <c r="B38" s="245" t="s">
        <v>338</v>
      </c>
      <c r="C38" s="245">
        <v>2018</v>
      </c>
      <c r="D38" s="106" t="s">
        <v>401</v>
      </c>
      <c r="E38" s="245" t="s">
        <v>219</v>
      </c>
      <c r="F38" s="245" t="s">
        <v>203</v>
      </c>
      <c r="G38" s="245" t="s">
        <v>42</v>
      </c>
      <c r="H38" s="245" t="s">
        <v>165</v>
      </c>
      <c r="I38" s="245" t="s">
        <v>153</v>
      </c>
      <c r="J38" s="245" t="s">
        <v>38</v>
      </c>
      <c r="K38" s="245" t="s">
        <v>154</v>
      </c>
      <c r="L38" s="245">
        <v>1</v>
      </c>
      <c r="M38" s="245"/>
      <c r="N38" s="245">
        <v>4</v>
      </c>
      <c r="O38" s="245">
        <v>0.75</v>
      </c>
      <c r="P38" s="245">
        <v>0.8</v>
      </c>
      <c r="Q38" s="107">
        <f t="shared" si="0"/>
        <v>0.77500000000000002</v>
      </c>
      <c r="R38" s="245">
        <v>16.600000000000001</v>
      </c>
      <c r="S38" s="245">
        <v>162</v>
      </c>
      <c r="T38" s="108">
        <f t="shared" si="1"/>
        <v>18</v>
      </c>
      <c r="U38" s="245">
        <v>498</v>
      </c>
      <c r="V38" s="109">
        <f t="shared" si="2"/>
        <v>2241</v>
      </c>
      <c r="W38" s="245">
        <v>16</v>
      </c>
      <c r="X38" s="245" t="s">
        <v>46</v>
      </c>
      <c r="Y38" s="245" t="s">
        <v>84</v>
      </c>
      <c r="Z38" s="245" t="s">
        <v>69</v>
      </c>
      <c r="AA38" s="245" t="s">
        <v>102</v>
      </c>
      <c r="AB38" s="245" t="s">
        <v>340</v>
      </c>
    </row>
    <row r="39" spans="1:28" s="115" customFormat="1" x14ac:dyDescent="0.15">
      <c r="A39" s="245" t="s">
        <v>51</v>
      </c>
      <c r="B39" s="245" t="s">
        <v>338</v>
      </c>
      <c r="C39" s="245">
        <v>2018</v>
      </c>
      <c r="D39" s="106" t="s">
        <v>401</v>
      </c>
      <c r="E39" s="245" t="s">
        <v>219</v>
      </c>
      <c r="F39" s="245" t="s">
        <v>203</v>
      </c>
      <c r="G39" s="245" t="s">
        <v>42</v>
      </c>
      <c r="H39" s="245" t="s">
        <v>165</v>
      </c>
      <c r="I39" s="245" t="s">
        <v>153</v>
      </c>
      <c r="J39" s="245" t="s">
        <v>38</v>
      </c>
      <c r="K39" s="245" t="s">
        <v>154</v>
      </c>
      <c r="L39" s="245">
        <v>2</v>
      </c>
      <c r="M39" s="245"/>
      <c r="N39" s="245">
        <v>4</v>
      </c>
      <c r="O39" s="245">
        <v>0.8</v>
      </c>
      <c r="P39" s="245">
        <v>0.7</v>
      </c>
      <c r="Q39" s="107">
        <f t="shared" si="0"/>
        <v>0.75</v>
      </c>
      <c r="R39" s="245">
        <v>17.100000000000001</v>
      </c>
      <c r="S39" s="245">
        <v>166</v>
      </c>
      <c r="T39" s="108">
        <f t="shared" si="1"/>
        <v>18</v>
      </c>
      <c r="U39" s="245">
        <v>498</v>
      </c>
      <c r="V39" s="109">
        <f t="shared" si="2"/>
        <v>2241</v>
      </c>
      <c r="W39" s="245">
        <v>16</v>
      </c>
      <c r="X39" s="245" t="s">
        <v>46</v>
      </c>
      <c r="Y39" s="245" t="s">
        <v>84</v>
      </c>
      <c r="Z39" s="245" t="s">
        <v>69</v>
      </c>
      <c r="AA39" s="245" t="s">
        <v>102</v>
      </c>
      <c r="AB39" s="245" t="s">
        <v>340</v>
      </c>
    </row>
    <row r="40" spans="1:28" s="115" customFormat="1" x14ac:dyDescent="0.15">
      <c r="A40" s="245" t="s">
        <v>51</v>
      </c>
      <c r="B40" s="245" t="s">
        <v>338</v>
      </c>
      <c r="C40" s="245">
        <v>2018</v>
      </c>
      <c r="D40" s="106" t="s">
        <v>401</v>
      </c>
      <c r="E40" s="245" t="s">
        <v>219</v>
      </c>
      <c r="F40" s="245" t="s">
        <v>203</v>
      </c>
      <c r="G40" s="245" t="s">
        <v>42</v>
      </c>
      <c r="H40" s="245" t="s">
        <v>165</v>
      </c>
      <c r="I40" s="245" t="s">
        <v>153</v>
      </c>
      <c r="J40" s="245" t="s">
        <v>38</v>
      </c>
      <c r="K40" s="245" t="s">
        <v>154</v>
      </c>
      <c r="L40" s="245">
        <v>3</v>
      </c>
      <c r="M40" s="245"/>
      <c r="N40" s="245">
        <v>4</v>
      </c>
      <c r="O40" s="245">
        <v>0.9</v>
      </c>
      <c r="P40" s="245">
        <v>0.85</v>
      </c>
      <c r="Q40" s="107">
        <f t="shared" si="0"/>
        <v>0.875</v>
      </c>
      <c r="R40" s="245">
        <v>17.5</v>
      </c>
      <c r="S40" s="245">
        <v>172</v>
      </c>
      <c r="T40" s="108">
        <f t="shared" si="1"/>
        <v>18</v>
      </c>
      <c r="U40" s="245">
        <v>498</v>
      </c>
      <c r="V40" s="109">
        <f t="shared" si="2"/>
        <v>2241</v>
      </c>
      <c r="W40" s="245">
        <v>16</v>
      </c>
      <c r="X40" s="245" t="s">
        <v>46</v>
      </c>
      <c r="Y40" s="245" t="s">
        <v>84</v>
      </c>
      <c r="Z40" s="245" t="s">
        <v>69</v>
      </c>
      <c r="AA40" s="245" t="s">
        <v>102</v>
      </c>
      <c r="AB40" s="245" t="s">
        <v>340</v>
      </c>
    </row>
    <row r="41" spans="1:28" s="115" customFormat="1" x14ac:dyDescent="0.15">
      <c r="A41" s="245" t="s">
        <v>51</v>
      </c>
      <c r="B41" s="245" t="s">
        <v>338</v>
      </c>
      <c r="C41" s="245">
        <v>2018</v>
      </c>
      <c r="D41" s="106" t="s">
        <v>401</v>
      </c>
      <c r="E41" s="245" t="s">
        <v>208</v>
      </c>
      <c r="F41" s="245" t="s">
        <v>209</v>
      </c>
      <c r="G41" s="245" t="s">
        <v>42</v>
      </c>
      <c r="H41" s="245" t="s">
        <v>155</v>
      </c>
      <c r="I41" s="245" t="s">
        <v>153</v>
      </c>
      <c r="J41" s="245" t="s">
        <v>38</v>
      </c>
      <c r="K41" s="245" t="s">
        <v>154</v>
      </c>
      <c r="L41" s="245">
        <v>1</v>
      </c>
      <c r="M41" s="245"/>
      <c r="N41" s="245">
        <v>1</v>
      </c>
      <c r="O41" s="245">
        <v>0.85</v>
      </c>
      <c r="P41" s="245">
        <v>0.9</v>
      </c>
      <c r="Q41" s="107">
        <f t="shared" si="0"/>
        <v>0.875</v>
      </c>
      <c r="R41" s="245">
        <v>15.9</v>
      </c>
      <c r="S41" s="245">
        <v>142</v>
      </c>
      <c r="T41" s="108">
        <f t="shared" si="1"/>
        <v>22</v>
      </c>
      <c r="U41" s="245">
        <v>99</v>
      </c>
      <c r="V41" s="109">
        <f t="shared" si="2"/>
        <v>2178</v>
      </c>
      <c r="W41" s="245">
        <v>8</v>
      </c>
      <c r="X41" s="245" t="s">
        <v>39</v>
      </c>
      <c r="Y41" s="245" t="s">
        <v>90</v>
      </c>
      <c r="Z41" s="245" t="s">
        <v>84</v>
      </c>
      <c r="AA41" s="245" t="s">
        <v>69</v>
      </c>
      <c r="AB41" s="245" t="s">
        <v>340</v>
      </c>
    </row>
    <row r="42" spans="1:28" s="115" customFormat="1" x14ac:dyDescent="0.15">
      <c r="A42" s="245" t="s">
        <v>51</v>
      </c>
      <c r="B42" s="245" t="s">
        <v>338</v>
      </c>
      <c r="C42" s="245">
        <v>2018</v>
      </c>
      <c r="D42" s="106" t="s">
        <v>401</v>
      </c>
      <c r="E42" s="245" t="s">
        <v>208</v>
      </c>
      <c r="F42" s="245" t="s">
        <v>209</v>
      </c>
      <c r="G42" s="245" t="s">
        <v>42</v>
      </c>
      <c r="H42" s="245" t="s">
        <v>155</v>
      </c>
      <c r="I42" s="245" t="s">
        <v>153</v>
      </c>
      <c r="J42" s="245" t="s">
        <v>38</v>
      </c>
      <c r="K42" s="245" t="s">
        <v>154</v>
      </c>
      <c r="L42" s="245">
        <v>2</v>
      </c>
      <c r="M42" s="245"/>
      <c r="N42" s="245">
        <v>1</v>
      </c>
      <c r="O42" s="245">
        <v>0.75</v>
      </c>
      <c r="P42" s="245">
        <v>0.8</v>
      </c>
      <c r="Q42" s="107">
        <f t="shared" si="0"/>
        <v>0.77500000000000002</v>
      </c>
      <c r="R42" s="245">
        <v>16.7</v>
      </c>
      <c r="S42" s="245">
        <v>152</v>
      </c>
      <c r="T42" s="108">
        <f t="shared" si="1"/>
        <v>18</v>
      </c>
      <c r="U42" s="245">
        <v>99</v>
      </c>
      <c r="V42" s="109">
        <f t="shared" si="2"/>
        <v>1782</v>
      </c>
      <c r="W42" s="245">
        <v>8</v>
      </c>
      <c r="X42" s="245" t="s">
        <v>39</v>
      </c>
      <c r="Y42" s="245" t="s">
        <v>90</v>
      </c>
      <c r="Z42" s="245" t="s">
        <v>84</v>
      </c>
      <c r="AA42" s="245" t="s">
        <v>69</v>
      </c>
      <c r="AB42" s="245" t="s">
        <v>340</v>
      </c>
    </row>
    <row r="43" spans="1:28" s="115" customFormat="1" x14ac:dyDescent="0.15">
      <c r="A43" s="245" t="s">
        <v>51</v>
      </c>
      <c r="B43" s="245" t="s">
        <v>338</v>
      </c>
      <c r="C43" s="245">
        <v>2018</v>
      </c>
      <c r="D43" s="106" t="s">
        <v>401</v>
      </c>
      <c r="E43" s="245" t="s">
        <v>208</v>
      </c>
      <c r="F43" s="245" t="s">
        <v>209</v>
      </c>
      <c r="G43" s="245" t="s">
        <v>42</v>
      </c>
      <c r="H43" s="245" t="s">
        <v>155</v>
      </c>
      <c r="I43" s="245" t="s">
        <v>153</v>
      </c>
      <c r="J43" s="245" t="s">
        <v>38</v>
      </c>
      <c r="K43" s="245" t="s">
        <v>154</v>
      </c>
      <c r="L43" s="245">
        <v>3</v>
      </c>
      <c r="M43" s="245"/>
      <c r="N43" s="245">
        <v>1</v>
      </c>
      <c r="O43" s="245">
        <v>0.9</v>
      </c>
      <c r="P43" s="245">
        <v>0.8</v>
      </c>
      <c r="Q43" s="107">
        <f t="shared" si="0"/>
        <v>0.85000000000000009</v>
      </c>
      <c r="R43" s="245">
        <v>16.2</v>
      </c>
      <c r="S43" s="245">
        <v>148</v>
      </c>
      <c r="T43" s="108">
        <f t="shared" si="1"/>
        <v>22</v>
      </c>
      <c r="U43" s="245">
        <v>99</v>
      </c>
      <c r="V43" s="109">
        <f t="shared" si="2"/>
        <v>2178</v>
      </c>
      <c r="W43" s="245">
        <v>8</v>
      </c>
      <c r="X43" s="245" t="s">
        <v>39</v>
      </c>
      <c r="Y43" s="245" t="s">
        <v>90</v>
      </c>
      <c r="Z43" s="245" t="s">
        <v>84</v>
      </c>
      <c r="AA43" s="245" t="s">
        <v>69</v>
      </c>
      <c r="AB43" s="245" t="s">
        <v>340</v>
      </c>
    </row>
    <row r="44" spans="1:28" s="115" customFormat="1" x14ac:dyDescent="0.15">
      <c r="A44" s="245" t="s">
        <v>51</v>
      </c>
      <c r="B44" s="245" t="s">
        <v>338</v>
      </c>
      <c r="C44" s="245">
        <v>2018</v>
      </c>
      <c r="D44" s="106" t="s">
        <v>401</v>
      </c>
      <c r="E44" s="245" t="s">
        <v>208</v>
      </c>
      <c r="F44" s="245" t="s">
        <v>209</v>
      </c>
      <c r="G44" s="245" t="s">
        <v>42</v>
      </c>
      <c r="H44" s="245" t="s">
        <v>165</v>
      </c>
      <c r="I44" s="245" t="s">
        <v>153</v>
      </c>
      <c r="J44" s="245" t="s">
        <v>38</v>
      </c>
      <c r="K44" s="245" t="s">
        <v>154</v>
      </c>
      <c r="L44" s="245">
        <v>1</v>
      </c>
      <c r="M44" s="245"/>
      <c r="N44" s="245">
        <v>1</v>
      </c>
      <c r="O44" s="245">
        <v>0.75</v>
      </c>
      <c r="P44" s="245">
        <v>0.7</v>
      </c>
      <c r="Q44" s="107">
        <f t="shared" si="0"/>
        <v>0.72499999999999998</v>
      </c>
      <c r="R44" s="245">
        <v>17.8</v>
      </c>
      <c r="S44" s="245">
        <v>148</v>
      </c>
      <c r="T44" s="108">
        <f t="shared" si="1"/>
        <v>22</v>
      </c>
      <c r="U44" s="245">
        <v>99</v>
      </c>
      <c r="V44" s="109">
        <f t="shared" si="2"/>
        <v>2178</v>
      </c>
      <c r="W44" s="245">
        <v>8</v>
      </c>
      <c r="X44" s="245" t="s">
        <v>39</v>
      </c>
      <c r="Y44" s="245" t="s">
        <v>90</v>
      </c>
      <c r="Z44" s="245" t="s">
        <v>84</v>
      </c>
      <c r="AA44" s="245" t="s">
        <v>69</v>
      </c>
      <c r="AB44" s="245" t="s">
        <v>340</v>
      </c>
    </row>
    <row r="45" spans="1:28" s="115" customFormat="1" x14ac:dyDescent="0.15">
      <c r="A45" s="245" t="s">
        <v>51</v>
      </c>
      <c r="B45" s="245" t="s">
        <v>338</v>
      </c>
      <c r="C45" s="245">
        <v>2018</v>
      </c>
      <c r="D45" s="106" t="s">
        <v>401</v>
      </c>
      <c r="E45" s="245" t="s">
        <v>208</v>
      </c>
      <c r="F45" s="245" t="s">
        <v>209</v>
      </c>
      <c r="G45" s="245" t="s">
        <v>42</v>
      </c>
      <c r="H45" s="245" t="s">
        <v>165</v>
      </c>
      <c r="I45" s="245" t="s">
        <v>153</v>
      </c>
      <c r="J45" s="245" t="s">
        <v>38</v>
      </c>
      <c r="K45" s="245" t="s">
        <v>154</v>
      </c>
      <c r="L45" s="245">
        <v>2</v>
      </c>
      <c r="M45" s="245"/>
      <c r="N45" s="245">
        <v>1</v>
      </c>
      <c r="O45" s="245">
        <v>0.6</v>
      </c>
      <c r="P45" s="245">
        <v>0.6</v>
      </c>
      <c r="Q45" s="107">
        <f t="shared" si="0"/>
        <v>0.6</v>
      </c>
      <c r="R45" s="245">
        <v>18.3</v>
      </c>
      <c r="S45" s="245">
        <v>144</v>
      </c>
      <c r="T45" s="108">
        <f t="shared" si="1"/>
        <v>22</v>
      </c>
      <c r="U45" s="245">
        <v>99</v>
      </c>
      <c r="V45" s="109">
        <f t="shared" si="2"/>
        <v>2178</v>
      </c>
      <c r="W45" s="245">
        <v>8</v>
      </c>
      <c r="X45" s="245" t="s">
        <v>39</v>
      </c>
      <c r="Y45" s="245" t="s">
        <v>90</v>
      </c>
      <c r="Z45" s="245" t="s">
        <v>84</v>
      </c>
      <c r="AA45" s="245" t="s">
        <v>69</v>
      </c>
      <c r="AB45" s="245" t="s">
        <v>340</v>
      </c>
    </row>
    <row r="46" spans="1:28" s="115" customFormat="1" x14ac:dyDescent="0.15">
      <c r="A46" s="245" t="s">
        <v>51</v>
      </c>
      <c r="B46" s="245" t="s">
        <v>338</v>
      </c>
      <c r="C46" s="245">
        <v>2018</v>
      </c>
      <c r="D46" s="106" t="s">
        <v>401</v>
      </c>
      <c r="E46" s="245" t="s">
        <v>208</v>
      </c>
      <c r="F46" s="245" t="s">
        <v>209</v>
      </c>
      <c r="G46" s="245" t="s">
        <v>42</v>
      </c>
      <c r="H46" s="245" t="s">
        <v>165</v>
      </c>
      <c r="I46" s="245" t="s">
        <v>153</v>
      </c>
      <c r="J46" s="245" t="s">
        <v>38</v>
      </c>
      <c r="K46" s="245" t="s">
        <v>154</v>
      </c>
      <c r="L46" s="245">
        <v>3</v>
      </c>
      <c r="M46" s="245"/>
      <c r="N46" s="245">
        <v>1</v>
      </c>
      <c r="O46" s="245">
        <v>0.8</v>
      </c>
      <c r="P46" s="245">
        <v>0.75</v>
      </c>
      <c r="Q46" s="107">
        <f t="shared" si="0"/>
        <v>0.77500000000000002</v>
      </c>
      <c r="R46" s="245">
        <v>17.7</v>
      </c>
      <c r="S46" s="245">
        <v>150</v>
      </c>
      <c r="T46" s="108">
        <f t="shared" si="1"/>
        <v>22</v>
      </c>
      <c r="U46" s="245">
        <v>99</v>
      </c>
      <c r="V46" s="109">
        <f t="shared" si="2"/>
        <v>2178</v>
      </c>
      <c r="W46" s="245">
        <v>8</v>
      </c>
      <c r="X46" s="245" t="s">
        <v>39</v>
      </c>
      <c r="Y46" s="245" t="s">
        <v>90</v>
      </c>
      <c r="Z46" s="245" t="s">
        <v>84</v>
      </c>
      <c r="AA46" s="245" t="s">
        <v>69</v>
      </c>
      <c r="AB46" s="245" t="s">
        <v>340</v>
      </c>
    </row>
    <row r="47" spans="1:28" s="115" customFormat="1" x14ac:dyDescent="0.15">
      <c r="A47" s="245" t="s">
        <v>51</v>
      </c>
      <c r="B47" s="245" t="s">
        <v>338</v>
      </c>
      <c r="C47" s="245">
        <v>2018</v>
      </c>
      <c r="D47" s="106" t="s">
        <v>401</v>
      </c>
      <c r="E47" s="245" t="s">
        <v>214</v>
      </c>
      <c r="F47" s="245" t="s">
        <v>202</v>
      </c>
      <c r="G47" s="245" t="s">
        <v>36</v>
      </c>
      <c r="H47" s="245" t="s">
        <v>155</v>
      </c>
      <c r="I47" s="245" t="s">
        <v>153</v>
      </c>
      <c r="J47" s="245" t="s">
        <v>38</v>
      </c>
      <c r="K47" s="245" t="s">
        <v>154</v>
      </c>
      <c r="L47" s="115">
        <v>1</v>
      </c>
      <c r="N47" s="245">
        <v>3</v>
      </c>
      <c r="O47" s="115">
        <v>0.8</v>
      </c>
      <c r="P47" s="115">
        <v>0.9</v>
      </c>
      <c r="Q47" s="107">
        <f t="shared" si="0"/>
        <v>0.85000000000000009</v>
      </c>
      <c r="R47" s="115">
        <v>16.5</v>
      </c>
      <c r="S47" s="115">
        <v>142</v>
      </c>
      <c r="T47" s="108">
        <f t="shared" si="1"/>
        <v>22</v>
      </c>
      <c r="U47" s="245">
        <v>398</v>
      </c>
      <c r="V47" s="109">
        <f t="shared" si="2"/>
        <v>2918.6666666666665</v>
      </c>
      <c r="W47" s="245">
        <v>8</v>
      </c>
      <c r="X47" s="245" t="s">
        <v>46</v>
      </c>
      <c r="Y47" s="245" t="s">
        <v>84</v>
      </c>
      <c r="Z47" s="245" t="s">
        <v>50</v>
      </c>
      <c r="AA47" s="245" t="s">
        <v>69</v>
      </c>
      <c r="AB47" s="245" t="s">
        <v>340</v>
      </c>
    </row>
    <row r="48" spans="1:28" s="115" customFormat="1" x14ac:dyDescent="0.15">
      <c r="A48" s="245" t="s">
        <v>51</v>
      </c>
      <c r="B48" s="245" t="s">
        <v>338</v>
      </c>
      <c r="C48" s="245">
        <v>2018</v>
      </c>
      <c r="D48" s="106" t="s">
        <v>401</v>
      </c>
      <c r="E48" s="245" t="s">
        <v>214</v>
      </c>
      <c r="F48" s="245" t="s">
        <v>202</v>
      </c>
      <c r="G48" s="245" t="s">
        <v>36</v>
      </c>
      <c r="H48" s="245" t="s">
        <v>155</v>
      </c>
      <c r="I48" s="245" t="s">
        <v>153</v>
      </c>
      <c r="J48" s="245" t="s">
        <v>38</v>
      </c>
      <c r="K48" s="245" t="s">
        <v>154</v>
      </c>
      <c r="L48" s="115">
        <v>2</v>
      </c>
      <c r="N48" s="245">
        <v>3</v>
      </c>
      <c r="O48" s="115">
        <v>0.9</v>
      </c>
      <c r="P48" s="115">
        <v>0.75</v>
      </c>
      <c r="Q48" s="107">
        <f t="shared" si="0"/>
        <v>0.82499999999999996</v>
      </c>
      <c r="R48" s="115">
        <v>16.600000000000001</v>
      </c>
      <c r="S48" s="115">
        <v>148</v>
      </c>
      <c r="T48" s="108">
        <f t="shared" si="1"/>
        <v>22</v>
      </c>
      <c r="U48" s="245">
        <v>398</v>
      </c>
      <c r="V48" s="109">
        <f t="shared" si="2"/>
        <v>2918.6666666666665</v>
      </c>
      <c r="W48" s="245">
        <v>8</v>
      </c>
      <c r="X48" s="245" t="s">
        <v>46</v>
      </c>
      <c r="Y48" s="245" t="s">
        <v>84</v>
      </c>
      <c r="Z48" s="245" t="s">
        <v>50</v>
      </c>
      <c r="AA48" s="245" t="s">
        <v>69</v>
      </c>
      <c r="AB48" s="245" t="s">
        <v>340</v>
      </c>
    </row>
    <row r="49" spans="1:28" s="115" customFormat="1" x14ac:dyDescent="0.15">
      <c r="A49" s="245" t="s">
        <v>51</v>
      </c>
      <c r="B49" s="245" t="s">
        <v>338</v>
      </c>
      <c r="C49" s="245">
        <v>2018</v>
      </c>
      <c r="D49" s="106" t="s">
        <v>401</v>
      </c>
      <c r="E49" s="245" t="s">
        <v>214</v>
      </c>
      <c r="F49" s="245" t="s">
        <v>202</v>
      </c>
      <c r="G49" s="245" t="s">
        <v>36</v>
      </c>
      <c r="H49" s="245" t="s">
        <v>155</v>
      </c>
      <c r="I49" s="245" t="s">
        <v>153</v>
      </c>
      <c r="J49" s="245" t="s">
        <v>38</v>
      </c>
      <c r="K49" s="245" t="s">
        <v>154</v>
      </c>
      <c r="L49" s="115">
        <v>3</v>
      </c>
      <c r="N49" s="245">
        <v>3</v>
      </c>
      <c r="O49" s="115">
        <v>0.75</v>
      </c>
      <c r="P49" s="115">
        <v>0.85</v>
      </c>
      <c r="Q49" s="107">
        <f t="shared" si="0"/>
        <v>0.8</v>
      </c>
      <c r="R49" s="115">
        <v>16.8</v>
      </c>
      <c r="S49" s="115">
        <v>146</v>
      </c>
      <c r="T49" s="108">
        <f t="shared" si="1"/>
        <v>22</v>
      </c>
      <c r="U49" s="245">
        <v>398</v>
      </c>
      <c r="V49" s="109">
        <f t="shared" si="2"/>
        <v>2918.6666666666665</v>
      </c>
      <c r="W49" s="245">
        <v>8</v>
      </c>
      <c r="X49" s="245" t="s">
        <v>46</v>
      </c>
      <c r="Y49" s="245" t="s">
        <v>84</v>
      </c>
      <c r="Z49" s="245" t="s">
        <v>50</v>
      </c>
      <c r="AA49" s="245" t="s">
        <v>69</v>
      </c>
      <c r="AB49" s="245" t="s">
        <v>340</v>
      </c>
    </row>
    <row r="50" spans="1:28" x14ac:dyDescent="0.15">
      <c r="A50" s="245" t="s">
        <v>51</v>
      </c>
      <c r="B50" s="245" t="s">
        <v>338</v>
      </c>
      <c r="C50" s="245">
        <v>2018</v>
      </c>
      <c r="D50" s="106" t="s">
        <v>401</v>
      </c>
      <c r="E50" s="245" t="s">
        <v>214</v>
      </c>
      <c r="F50" s="245" t="s">
        <v>202</v>
      </c>
      <c r="G50" s="245" t="s">
        <v>36</v>
      </c>
      <c r="H50" s="245" t="s">
        <v>165</v>
      </c>
      <c r="I50" s="245" t="s">
        <v>153</v>
      </c>
      <c r="J50" s="245" t="s">
        <v>38</v>
      </c>
      <c r="K50" s="245" t="s">
        <v>154</v>
      </c>
      <c r="L50" s="98">
        <v>1</v>
      </c>
      <c r="N50" s="245">
        <v>3</v>
      </c>
      <c r="O50" s="98">
        <v>0.85</v>
      </c>
      <c r="P50" s="98">
        <v>0.75</v>
      </c>
      <c r="Q50" s="107">
        <f t="shared" si="0"/>
        <v>0.8</v>
      </c>
      <c r="R50" s="98">
        <v>17.3</v>
      </c>
      <c r="S50" s="98">
        <v>152</v>
      </c>
      <c r="T50" s="131">
        <f t="shared" si="1"/>
        <v>18</v>
      </c>
      <c r="U50" s="245">
        <v>398</v>
      </c>
      <c r="V50" s="131">
        <f t="shared" si="2"/>
        <v>2388</v>
      </c>
      <c r="W50" s="245">
        <v>8</v>
      </c>
      <c r="X50" s="245" t="s">
        <v>46</v>
      </c>
      <c r="Y50" s="245" t="s">
        <v>84</v>
      </c>
      <c r="Z50" s="245" t="s">
        <v>50</v>
      </c>
      <c r="AA50" s="245" t="s">
        <v>69</v>
      </c>
      <c r="AB50" s="245" t="s">
        <v>340</v>
      </c>
    </row>
    <row r="51" spans="1:28" x14ac:dyDescent="0.15">
      <c r="A51" s="245" t="s">
        <v>51</v>
      </c>
      <c r="B51" s="245" t="s">
        <v>338</v>
      </c>
      <c r="C51" s="245">
        <v>2018</v>
      </c>
      <c r="D51" s="106" t="s">
        <v>401</v>
      </c>
      <c r="E51" s="245" t="s">
        <v>214</v>
      </c>
      <c r="F51" s="245" t="s">
        <v>202</v>
      </c>
      <c r="G51" s="245" t="s">
        <v>36</v>
      </c>
      <c r="H51" s="245" t="s">
        <v>165</v>
      </c>
      <c r="I51" s="245" t="s">
        <v>153</v>
      </c>
      <c r="J51" s="245" t="s">
        <v>38</v>
      </c>
      <c r="K51" s="245" t="s">
        <v>154</v>
      </c>
      <c r="L51" s="98">
        <v>2</v>
      </c>
      <c r="N51" s="245">
        <v>3</v>
      </c>
      <c r="O51" s="115">
        <v>0.9</v>
      </c>
      <c r="P51" s="98">
        <v>0.85</v>
      </c>
      <c r="Q51" s="131">
        <f t="shared" si="0"/>
        <v>0.875</v>
      </c>
      <c r="R51" s="98">
        <v>16.5</v>
      </c>
      <c r="S51" s="98">
        <v>144</v>
      </c>
      <c r="T51" s="131">
        <f t="shared" si="1"/>
        <v>22</v>
      </c>
      <c r="U51" s="245">
        <v>398</v>
      </c>
      <c r="V51" s="131">
        <f t="shared" si="2"/>
        <v>2918.6666666666665</v>
      </c>
      <c r="W51" s="245">
        <v>8</v>
      </c>
      <c r="X51" s="245" t="s">
        <v>46</v>
      </c>
      <c r="Y51" s="245" t="s">
        <v>84</v>
      </c>
      <c r="Z51" s="245" t="s">
        <v>50</v>
      </c>
      <c r="AA51" s="245" t="s">
        <v>69</v>
      </c>
      <c r="AB51" s="245" t="s">
        <v>340</v>
      </c>
    </row>
    <row r="52" spans="1:28" x14ac:dyDescent="0.15">
      <c r="A52" s="245" t="s">
        <v>51</v>
      </c>
      <c r="B52" s="245" t="s">
        <v>338</v>
      </c>
      <c r="C52" s="245">
        <v>2018</v>
      </c>
      <c r="D52" s="106" t="s">
        <v>401</v>
      </c>
      <c r="E52" s="245" t="s">
        <v>214</v>
      </c>
      <c r="F52" s="245" t="s">
        <v>202</v>
      </c>
      <c r="G52" s="245" t="s">
        <v>36</v>
      </c>
      <c r="H52" s="245" t="s">
        <v>165</v>
      </c>
      <c r="I52" s="245" t="s">
        <v>153</v>
      </c>
      <c r="J52" s="245" t="s">
        <v>38</v>
      </c>
      <c r="K52" s="245" t="s">
        <v>154</v>
      </c>
      <c r="L52" s="98">
        <v>3</v>
      </c>
      <c r="N52" s="245">
        <v>3</v>
      </c>
      <c r="O52" s="98">
        <v>0.8</v>
      </c>
      <c r="P52" s="98">
        <v>0.9</v>
      </c>
      <c r="Q52" s="131">
        <f t="shared" si="0"/>
        <v>0.85000000000000009</v>
      </c>
      <c r="R52" s="98">
        <v>16.8</v>
      </c>
      <c r="S52" s="98">
        <v>146</v>
      </c>
      <c r="T52" s="131">
        <f t="shared" si="1"/>
        <v>22</v>
      </c>
      <c r="U52" s="245">
        <v>398</v>
      </c>
      <c r="V52" s="131">
        <f t="shared" si="2"/>
        <v>2918.6666666666665</v>
      </c>
      <c r="W52" s="245">
        <v>8</v>
      </c>
      <c r="X52" s="245" t="s">
        <v>46</v>
      </c>
      <c r="Y52" s="245" t="s">
        <v>84</v>
      </c>
      <c r="Z52" s="245" t="s">
        <v>50</v>
      </c>
      <c r="AA52" s="245" t="s">
        <v>69</v>
      </c>
      <c r="AB52" s="245" t="s">
        <v>340</v>
      </c>
    </row>
    <row r="53" spans="1:28" x14ac:dyDescent="0.15">
      <c r="A53" s="245" t="s">
        <v>51</v>
      </c>
      <c r="B53" s="245" t="s">
        <v>338</v>
      </c>
      <c r="C53" s="245">
        <v>2018</v>
      </c>
      <c r="D53" s="106" t="s">
        <v>401</v>
      </c>
      <c r="E53" s="245" t="s">
        <v>222</v>
      </c>
      <c r="F53" s="245" t="s">
        <v>223</v>
      </c>
      <c r="G53" s="245" t="s">
        <v>36</v>
      </c>
      <c r="H53" s="245" t="s">
        <v>155</v>
      </c>
      <c r="I53" s="245" t="s">
        <v>153</v>
      </c>
      <c r="J53" s="245" t="s">
        <v>38</v>
      </c>
      <c r="K53" s="245" t="s">
        <v>154</v>
      </c>
      <c r="L53" s="98">
        <v>1</v>
      </c>
      <c r="N53" s="245">
        <v>3</v>
      </c>
      <c r="O53" s="98">
        <v>0.95</v>
      </c>
      <c r="P53" s="98">
        <v>0.85</v>
      </c>
      <c r="Q53" s="131">
        <f t="shared" si="0"/>
        <v>0.89999999999999991</v>
      </c>
      <c r="R53" s="98">
        <v>16.3</v>
      </c>
      <c r="S53" s="98">
        <v>156</v>
      </c>
      <c r="T53" s="131">
        <f t="shared" si="1"/>
        <v>18</v>
      </c>
      <c r="U53" s="245">
        <v>398</v>
      </c>
      <c r="V53" s="131">
        <f t="shared" si="2"/>
        <v>2388</v>
      </c>
      <c r="W53" s="245">
        <v>4</v>
      </c>
      <c r="X53" s="245" t="s">
        <v>39</v>
      </c>
      <c r="Y53" s="245" t="s">
        <v>84</v>
      </c>
      <c r="Z53" s="245" t="s">
        <v>90</v>
      </c>
      <c r="AA53" s="245" t="s">
        <v>69</v>
      </c>
      <c r="AB53" s="245" t="s">
        <v>340</v>
      </c>
    </row>
    <row r="54" spans="1:28" x14ac:dyDescent="0.15">
      <c r="A54" s="245" t="s">
        <v>51</v>
      </c>
      <c r="B54" s="245" t="s">
        <v>338</v>
      </c>
      <c r="C54" s="245">
        <v>2018</v>
      </c>
      <c r="D54" s="106" t="s">
        <v>401</v>
      </c>
      <c r="E54" s="245" t="s">
        <v>222</v>
      </c>
      <c r="F54" s="245" t="s">
        <v>223</v>
      </c>
      <c r="G54" s="245" t="s">
        <v>36</v>
      </c>
      <c r="H54" s="245" t="s">
        <v>155</v>
      </c>
      <c r="I54" s="245" t="s">
        <v>153</v>
      </c>
      <c r="J54" s="245" t="s">
        <v>38</v>
      </c>
      <c r="K54" s="245" t="s">
        <v>154</v>
      </c>
      <c r="L54" s="98">
        <v>2</v>
      </c>
      <c r="N54" s="245">
        <v>3</v>
      </c>
      <c r="O54" s="98">
        <v>0.9</v>
      </c>
      <c r="P54" s="98">
        <v>0.9</v>
      </c>
      <c r="Q54" s="131">
        <f t="shared" si="0"/>
        <v>0.9</v>
      </c>
      <c r="R54" s="98">
        <v>17.100000000000001</v>
      </c>
      <c r="S54" s="98">
        <v>180</v>
      </c>
      <c r="T54" s="131">
        <f t="shared" si="1"/>
        <v>18</v>
      </c>
      <c r="U54" s="245">
        <v>398</v>
      </c>
      <c r="V54" s="131">
        <f t="shared" si="2"/>
        <v>2388</v>
      </c>
      <c r="W54" s="245">
        <v>4</v>
      </c>
      <c r="X54" s="245" t="s">
        <v>39</v>
      </c>
      <c r="Y54" s="245" t="s">
        <v>84</v>
      </c>
      <c r="Z54" s="245" t="s">
        <v>90</v>
      </c>
      <c r="AA54" s="245" t="s">
        <v>69</v>
      </c>
      <c r="AB54" s="245" t="s">
        <v>340</v>
      </c>
    </row>
    <row r="55" spans="1:28" x14ac:dyDescent="0.15">
      <c r="A55" s="245" t="s">
        <v>51</v>
      </c>
      <c r="B55" s="245" t="s">
        <v>338</v>
      </c>
      <c r="C55" s="245">
        <v>2018</v>
      </c>
      <c r="D55" s="106" t="s">
        <v>401</v>
      </c>
      <c r="E55" s="245" t="s">
        <v>222</v>
      </c>
      <c r="F55" s="245" t="s">
        <v>223</v>
      </c>
      <c r="G55" s="245" t="s">
        <v>36</v>
      </c>
      <c r="H55" s="245" t="s">
        <v>155</v>
      </c>
      <c r="I55" s="245" t="s">
        <v>153</v>
      </c>
      <c r="J55" s="245" t="s">
        <v>38</v>
      </c>
      <c r="K55" s="245" t="s">
        <v>154</v>
      </c>
      <c r="L55" s="98">
        <v>3</v>
      </c>
      <c r="N55" s="245">
        <v>3</v>
      </c>
      <c r="O55" s="98">
        <v>0.9</v>
      </c>
      <c r="P55" s="98">
        <v>0.8</v>
      </c>
      <c r="Q55" s="131">
        <f t="shared" si="0"/>
        <v>0.85000000000000009</v>
      </c>
      <c r="R55" s="115">
        <v>16.7</v>
      </c>
      <c r="S55" s="98">
        <v>160</v>
      </c>
      <c r="T55" s="131">
        <f t="shared" si="1"/>
        <v>18</v>
      </c>
      <c r="U55" s="245">
        <v>398</v>
      </c>
      <c r="V55" s="131">
        <f t="shared" si="2"/>
        <v>2388</v>
      </c>
      <c r="W55" s="245">
        <v>4</v>
      </c>
      <c r="X55" s="245" t="s">
        <v>39</v>
      </c>
      <c r="Y55" s="245" t="s">
        <v>84</v>
      </c>
      <c r="Z55" s="245" t="s">
        <v>90</v>
      </c>
      <c r="AA55" s="245" t="s">
        <v>69</v>
      </c>
      <c r="AB55" s="245" t="s">
        <v>340</v>
      </c>
    </row>
    <row r="56" spans="1:28" x14ac:dyDescent="0.15">
      <c r="A56" s="245" t="s">
        <v>51</v>
      </c>
      <c r="B56" s="245" t="s">
        <v>338</v>
      </c>
      <c r="C56" s="245">
        <v>2018</v>
      </c>
      <c r="D56" s="106" t="s">
        <v>401</v>
      </c>
      <c r="E56" s="245" t="s">
        <v>222</v>
      </c>
      <c r="F56" s="245" t="s">
        <v>223</v>
      </c>
      <c r="G56" s="245" t="s">
        <v>36</v>
      </c>
      <c r="H56" s="245" t="s">
        <v>165</v>
      </c>
      <c r="I56" s="245" t="s">
        <v>153</v>
      </c>
      <c r="J56" s="245" t="s">
        <v>38</v>
      </c>
      <c r="K56" s="245" t="s">
        <v>154</v>
      </c>
      <c r="L56" s="98">
        <v>1</v>
      </c>
      <c r="N56" s="245">
        <v>3</v>
      </c>
      <c r="O56" s="98">
        <v>0.8</v>
      </c>
      <c r="P56" s="98">
        <v>0.7</v>
      </c>
      <c r="Q56" s="131">
        <f t="shared" si="0"/>
        <v>0.75</v>
      </c>
      <c r="R56" s="98">
        <v>16.399999999999999</v>
      </c>
      <c r="S56" s="98">
        <v>152</v>
      </c>
      <c r="T56" s="131">
        <f t="shared" si="1"/>
        <v>18</v>
      </c>
      <c r="U56" s="245">
        <v>398</v>
      </c>
      <c r="V56" s="131">
        <f t="shared" si="2"/>
        <v>2388</v>
      </c>
      <c r="W56" s="245">
        <v>4</v>
      </c>
      <c r="X56" s="245" t="s">
        <v>39</v>
      </c>
      <c r="Y56" s="245" t="s">
        <v>84</v>
      </c>
      <c r="Z56" s="245" t="s">
        <v>90</v>
      </c>
      <c r="AA56" s="245" t="s">
        <v>69</v>
      </c>
      <c r="AB56" s="245" t="s">
        <v>340</v>
      </c>
    </row>
    <row r="57" spans="1:28" x14ac:dyDescent="0.15">
      <c r="A57" s="245" t="s">
        <v>51</v>
      </c>
      <c r="B57" s="245" t="s">
        <v>338</v>
      </c>
      <c r="C57" s="245">
        <v>2018</v>
      </c>
      <c r="D57" s="106" t="s">
        <v>401</v>
      </c>
      <c r="E57" s="245" t="s">
        <v>222</v>
      </c>
      <c r="F57" s="245" t="s">
        <v>223</v>
      </c>
      <c r="G57" s="245" t="s">
        <v>36</v>
      </c>
      <c r="H57" s="245" t="s">
        <v>165</v>
      </c>
      <c r="I57" s="245" t="s">
        <v>153</v>
      </c>
      <c r="J57" s="245" t="s">
        <v>38</v>
      </c>
      <c r="K57" s="245" t="s">
        <v>154</v>
      </c>
      <c r="L57" s="98">
        <v>2</v>
      </c>
      <c r="N57" s="245">
        <v>3</v>
      </c>
      <c r="O57" s="98">
        <v>0.75</v>
      </c>
      <c r="P57" s="98">
        <v>0.85</v>
      </c>
      <c r="Q57" s="131">
        <f t="shared" si="0"/>
        <v>0.8</v>
      </c>
      <c r="R57" s="98">
        <v>16.600000000000001</v>
      </c>
      <c r="S57" s="98">
        <v>156</v>
      </c>
      <c r="T57" s="131">
        <f t="shared" si="1"/>
        <v>18</v>
      </c>
      <c r="U57" s="245">
        <v>398</v>
      </c>
      <c r="V57" s="131">
        <f t="shared" si="2"/>
        <v>2388</v>
      </c>
      <c r="W57" s="245">
        <v>4</v>
      </c>
      <c r="X57" s="245" t="s">
        <v>39</v>
      </c>
      <c r="Y57" s="245" t="s">
        <v>84</v>
      </c>
      <c r="Z57" s="245" t="s">
        <v>90</v>
      </c>
      <c r="AA57" s="245" t="s">
        <v>69</v>
      </c>
      <c r="AB57" s="245" t="s">
        <v>340</v>
      </c>
    </row>
    <row r="58" spans="1:28" x14ac:dyDescent="0.15">
      <c r="A58" s="245" t="s">
        <v>51</v>
      </c>
      <c r="B58" s="245" t="s">
        <v>338</v>
      </c>
      <c r="C58" s="245">
        <v>2018</v>
      </c>
      <c r="D58" s="106" t="s">
        <v>401</v>
      </c>
      <c r="E58" s="245" t="s">
        <v>222</v>
      </c>
      <c r="F58" s="245" t="s">
        <v>223</v>
      </c>
      <c r="G58" s="245" t="s">
        <v>36</v>
      </c>
      <c r="H58" s="245" t="s">
        <v>165</v>
      </c>
      <c r="I58" s="245" t="s">
        <v>153</v>
      </c>
      <c r="J58" s="245" t="s">
        <v>38</v>
      </c>
      <c r="K58" s="245" t="s">
        <v>154</v>
      </c>
      <c r="L58" s="98">
        <v>3</v>
      </c>
      <c r="N58" s="245">
        <v>3</v>
      </c>
      <c r="O58" s="98">
        <v>0.75</v>
      </c>
      <c r="P58" s="98">
        <v>0.8</v>
      </c>
      <c r="Q58" s="131">
        <f t="shared" si="0"/>
        <v>0.77500000000000002</v>
      </c>
      <c r="R58" s="98">
        <v>17</v>
      </c>
      <c r="S58" s="98">
        <v>160</v>
      </c>
      <c r="T58" s="131">
        <f t="shared" si="1"/>
        <v>18</v>
      </c>
      <c r="U58" s="245">
        <v>398</v>
      </c>
      <c r="V58" s="131">
        <f t="shared" si="2"/>
        <v>2388</v>
      </c>
      <c r="W58" s="245">
        <v>4</v>
      </c>
      <c r="X58" s="245" t="s">
        <v>39</v>
      </c>
      <c r="Y58" s="245" t="s">
        <v>84</v>
      </c>
      <c r="Z58" s="245" t="s">
        <v>90</v>
      </c>
      <c r="AA58" s="245" t="s">
        <v>69</v>
      </c>
      <c r="AB58" s="245" t="s">
        <v>340</v>
      </c>
    </row>
    <row r="59" spans="1:28" x14ac:dyDescent="0.15">
      <c r="A59" s="245" t="s">
        <v>51</v>
      </c>
      <c r="B59" s="245" t="s">
        <v>338</v>
      </c>
      <c r="C59" s="245">
        <v>2018</v>
      </c>
      <c r="D59" s="106" t="s">
        <v>401</v>
      </c>
      <c r="E59" s="245" t="s">
        <v>225</v>
      </c>
      <c r="F59" s="245" t="s">
        <v>202</v>
      </c>
      <c r="G59" s="245" t="s">
        <v>42</v>
      </c>
      <c r="H59" s="245" t="s">
        <v>155</v>
      </c>
      <c r="I59" s="245" t="s">
        <v>153</v>
      </c>
      <c r="J59" s="245" t="s">
        <v>38</v>
      </c>
      <c r="K59" s="245" t="s">
        <v>154</v>
      </c>
      <c r="L59" s="98">
        <v>1</v>
      </c>
      <c r="N59" s="130">
        <v>1</v>
      </c>
      <c r="O59" s="98">
        <v>1</v>
      </c>
      <c r="P59" s="98">
        <v>1</v>
      </c>
      <c r="Q59" s="131">
        <f t="shared" si="0"/>
        <v>1</v>
      </c>
      <c r="R59" s="98">
        <v>15.8</v>
      </c>
      <c r="S59" s="98">
        <v>134</v>
      </c>
      <c r="T59" s="131">
        <f t="shared" si="1"/>
        <v>25</v>
      </c>
      <c r="U59" s="245">
        <v>98</v>
      </c>
      <c r="V59" s="131">
        <f t="shared" si="2"/>
        <v>2450</v>
      </c>
      <c r="W59" s="130">
        <v>6</v>
      </c>
      <c r="X59" s="245" t="s">
        <v>46</v>
      </c>
      <c r="Y59" s="245" t="s">
        <v>69</v>
      </c>
      <c r="Z59" s="130" t="s">
        <v>84</v>
      </c>
      <c r="AA59" s="245" t="s">
        <v>90</v>
      </c>
      <c r="AB59" s="245" t="s">
        <v>340</v>
      </c>
    </row>
    <row r="60" spans="1:28" x14ac:dyDescent="0.15">
      <c r="A60" s="245" t="s">
        <v>51</v>
      </c>
      <c r="B60" s="245" t="s">
        <v>338</v>
      </c>
      <c r="C60" s="245">
        <v>2018</v>
      </c>
      <c r="D60" s="106" t="s">
        <v>401</v>
      </c>
      <c r="E60" s="245" t="s">
        <v>225</v>
      </c>
      <c r="F60" s="245" t="s">
        <v>202</v>
      </c>
      <c r="G60" s="245" t="s">
        <v>42</v>
      </c>
      <c r="H60" s="245" t="s">
        <v>155</v>
      </c>
      <c r="I60" s="245" t="s">
        <v>153</v>
      </c>
      <c r="J60" s="245" t="s">
        <v>38</v>
      </c>
      <c r="K60" s="245" t="s">
        <v>154</v>
      </c>
      <c r="L60" s="98">
        <v>2</v>
      </c>
      <c r="N60" s="130">
        <v>1</v>
      </c>
      <c r="O60" s="98">
        <v>1.1000000000000001</v>
      </c>
      <c r="P60" s="98">
        <v>0.95</v>
      </c>
      <c r="Q60" s="131">
        <f t="shared" si="0"/>
        <v>1.0249999999999999</v>
      </c>
      <c r="R60" s="98">
        <v>16</v>
      </c>
      <c r="S60" s="98">
        <v>136</v>
      </c>
      <c r="T60" s="131">
        <f t="shared" si="1"/>
        <v>25</v>
      </c>
      <c r="U60" s="245">
        <v>98</v>
      </c>
      <c r="V60" s="131">
        <f t="shared" si="2"/>
        <v>2450</v>
      </c>
      <c r="W60" s="130">
        <v>6</v>
      </c>
      <c r="X60" s="245" t="s">
        <v>46</v>
      </c>
      <c r="Y60" s="245" t="s">
        <v>69</v>
      </c>
      <c r="Z60" s="130" t="s">
        <v>84</v>
      </c>
      <c r="AA60" s="245" t="s">
        <v>90</v>
      </c>
      <c r="AB60" s="245" t="s">
        <v>340</v>
      </c>
    </row>
    <row r="61" spans="1:28" x14ac:dyDescent="0.15">
      <c r="A61" s="245" t="s">
        <v>51</v>
      </c>
      <c r="B61" s="245" t="s">
        <v>338</v>
      </c>
      <c r="C61" s="245">
        <v>2018</v>
      </c>
      <c r="D61" s="106" t="s">
        <v>401</v>
      </c>
      <c r="E61" s="245" t="s">
        <v>225</v>
      </c>
      <c r="F61" s="245" t="s">
        <v>202</v>
      </c>
      <c r="G61" s="245" t="s">
        <v>42</v>
      </c>
      <c r="H61" s="245" t="s">
        <v>155</v>
      </c>
      <c r="I61" s="245" t="s">
        <v>153</v>
      </c>
      <c r="J61" s="245" t="s">
        <v>38</v>
      </c>
      <c r="K61" s="245" t="s">
        <v>154</v>
      </c>
      <c r="L61" s="98">
        <v>3</v>
      </c>
      <c r="N61" s="130">
        <v>1</v>
      </c>
      <c r="O61" s="98">
        <v>0.95</v>
      </c>
      <c r="P61" s="98">
        <v>1.1499999999999999</v>
      </c>
      <c r="Q61" s="131">
        <f t="shared" si="0"/>
        <v>1.0499999999999998</v>
      </c>
      <c r="R61" s="98">
        <v>15.6</v>
      </c>
      <c r="S61" s="98">
        <v>132</v>
      </c>
      <c r="T61" s="131">
        <f t="shared" si="1"/>
        <v>25</v>
      </c>
      <c r="U61" s="245">
        <v>98</v>
      </c>
      <c r="V61" s="131">
        <f t="shared" si="2"/>
        <v>2450</v>
      </c>
      <c r="W61" s="130">
        <v>6</v>
      </c>
      <c r="X61" s="245" t="s">
        <v>46</v>
      </c>
      <c r="Y61" s="245" t="s">
        <v>69</v>
      </c>
      <c r="Z61" s="130" t="s">
        <v>84</v>
      </c>
      <c r="AA61" s="245" t="s">
        <v>90</v>
      </c>
      <c r="AB61" s="245" t="s">
        <v>340</v>
      </c>
    </row>
    <row r="62" spans="1:28" x14ac:dyDescent="0.15">
      <c r="A62" s="245" t="s">
        <v>51</v>
      </c>
      <c r="B62" s="245" t="s">
        <v>338</v>
      </c>
      <c r="C62" s="245">
        <v>2018</v>
      </c>
      <c r="D62" s="106" t="s">
        <v>401</v>
      </c>
      <c r="E62" s="245" t="s">
        <v>225</v>
      </c>
      <c r="F62" s="245" t="s">
        <v>202</v>
      </c>
      <c r="G62" s="245" t="s">
        <v>42</v>
      </c>
      <c r="H62" s="245" t="s">
        <v>165</v>
      </c>
      <c r="I62" s="245" t="s">
        <v>153</v>
      </c>
      <c r="J62" s="245" t="s">
        <v>38</v>
      </c>
      <c r="K62" s="245" t="s">
        <v>154</v>
      </c>
      <c r="L62" s="98">
        <v>1</v>
      </c>
      <c r="N62" s="130">
        <v>1</v>
      </c>
      <c r="O62" s="98">
        <v>1</v>
      </c>
      <c r="P62" s="98">
        <v>1.05</v>
      </c>
      <c r="Q62" s="131">
        <f>IF(OR(O62="",P62=""),"",AVERAGE(O62,P62))</f>
        <v>1.0249999999999999</v>
      </c>
      <c r="R62" s="98">
        <v>15.7</v>
      </c>
      <c r="S62" s="98">
        <v>146</v>
      </c>
      <c r="T62" s="131">
        <f>IF(H62="","",IF(OR(H62="GREEN",H62="GK"),IF(S62&gt;=$AX$2,VLOOKUP(S62,$AX$2:$AY$12,2,1),""),IF(S62&gt;=$AZ$2,VLOOKUP(S62,$AZ$2:$BA$12,2,1),"")))</f>
        <v>22</v>
      </c>
      <c r="U62" s="98">
        <v>128</v>
      </c>
      <c r="V62" s="131">
        <f>IF(OR(N62="",U62="",T62=""),"",U62/N62*T62)</f>
        <v>2816</v>
      </c>
      <c r="W62" s="130">
        <v>6</v>
      </c>
      <c r="X62" s="245" t="s">
        <v>46</v>
      </c>
      <c r="Y62" s="245" t="s">
        <v>69</v>
      </c>
      <c r="Z62" s="130" t="s">
        <v>84</v>
      </c>
      <c r="AA62" s="245" t="s">
        <v>90</v>
      </c>
      <c r="AB62" s="245" t="s">
        <v>340</v>
      </c>
    </row>
    <row r="63" spans="1:28" x14ac:dyDescent="0.15">
      <c r="A63" s="245" t="s">
        <v>51</v>
      </c>
      <c r="B63" s="245" t="s">
        <v>338</v>
      </c>
      <c r="C63" s="245">
        <v>2018</v>
      </c>
      <c r="D63" s="106" t="s">
        <v>401</v>
      </c>
      <c r="E63" s="245" t="s">
        <v>225</v>
      </c>
      <c r="F63" s="245" t="s">
        <v>202</v>
      </c>
      <c r="G63" s="245" t="s">
        <v>42</v>
      </c>
      <c r="H63" s="245" t="s">
        <v>165</v>
      </c>
      <c r="I63" s="245" t="s">
        <v>153</v>
      </c>
      <c r="J63" s="245" t="s">
        <v>38</v>
      </c>
      <c r="K63" s="245" t="s">
        <v>154</v>
      </c>
      <c r="L63" s="98">
        <v>2</v>
      </c>
      <c r="N63" s="130">
        <v>1</v>
      </c>
      <c r="O63" s="98">
        <v>0.95</v>
      </c>
      <c r="P63" s="98">
        <v>0.95</v>
      </c>
      <c r="Q63" s="131">
        <f>IF(OR(O63="",P63=""),"",AVERAGE(O63,P63))</f>
        <v>0.95</v>
      </c>
      <c r="R63" s="98">
        <v>16.2</v>
      </c>
      <c r="S63" s="98">
        <v>146</v>
      </c>
      <c r="T63" s="131">
        <f>IF(H63="","",IF(OR(H63="GREEN",H63="GK"),IF(S63&gt;=$AX$2,VLOOKUP(S63,$AX$2:$AY$12,2,1),""),IF(S63&gt;=$AZ$2,VLOOKUP(S63,$AZ$2:$BA$12,2,1),"")))</f>
        <v>22</v>
      </c>
      <c r="U63" s="98">
        <v>128</v>
      </c>
      <c r="V63" s="131">
        <f>IF(OR(N63="",U63="",T63=""),"",U63/N63*T63)</f>
        <v>2816</v>
      </c>
      <c r="W63" s="130">
        <v>6</v>
      </c>
      <c r="X63" s="245" t="s">
        <v>46</v>
      </c>
      <c r="Y63" s="245" t="s">
        <v>69</v>
      </c>
      <c r="Z63" s="130" t="s">
        <v>84</v>
      </c>
      <c r="AA63" s="245" t="s">
        <v>90</v>
      </c>
      <c r="AB63" s="245" t="s">
        <v>340</v>
      </c>
    </row>
    <row r="64" spans="1:28" x14ac:dyDescent="0.15">
      <c r="A64" s="245" t="s">
        <v>51</v>
      </c>
      <c r="B64" s="245" t="s">
        <v>338</v>
      </c>
      <c r="C64" s="245">
        <v>2018</v>
      </c>
      <c r="D64" s="106" t="s">
        <v>401</v>
      </c>
      <c r="E64" s="245" t="s">
        <v>225</v>
      </c>
      <c r="F64" s="245" t="s">
        <v>202</v>
      </c>
      <c r="G64" s="245" t="s">
        <v>42</v>
      </c>
      <c r="H64" s="245" t="s">
        <v>165</v>
      </c>
      <c r="I64" s="245" t="s">
        <v>153</v>
      </c>
      <c r="J64" s="245" t="s">
        <v>38</v>
      </c>
      <c r="K64" s="245" t="s">
        <v>154</v>
      </c>
      <c r="L64" s="98">
        <v>3</v>
      </c>
      <c r="N64" s="130">
        <v>1</v>
      </c>
      <c r="O64" s="98">
        <v>0.95</v>
      </c>
      <c r="P64" s="98">
        <v>0.85</v>
      </c>
      <c r="Q64" s="131">
        <f>IF(OR(O64="",P64=""),"",AVERAGE(O64,P64))</f>
        <v>0.89999999999999991</v>
      </c>
      <c r="R64" s="98">
        <v>16.5</v>
      </c>
      <c r="S64" s="98">
        <v>146</v>
      </c>
      <c r="T64" s="131">
        <f>IF(H64="","",IF(OR(H64="GREEN",H64="GK"),IF(S64&gt;=$AX$2,VLOOKUP(S64,$AX$2:$AY$12,2,1),""),IF(S64&gt;=$AZ$2,VLOOKUP(S64,$AZ$2:$BA$12,2,1),"")))</f>
        <v>22</v>
      </c>
      <c r="U64" s="98">
        <v>128</v>
      </c>
      <c r="V64" s="131">
        <f>IF(OR(N64="",U64="",T64=""),"",U64/N64*T64)</f>
        <v>2816</v>
      </c>
      <c r="W64" s="130">
        <v>6</v>
      </c>
      <c r="X64" s="245" t="s">
        <v>46</v>
      </c>
      <c r="Y64" s="245" t="s">
        <v>69</v>
      </c>
      <c r="Z64" s="130" t="s">
        <v>84</v>
      </c>
      <c r="AA64" s="245" t="s">
        <v>90</v>
      </c>
      <c r="AB64" s="245" t="s">
        <v>340</v>
      </c>
    </row>
    <row r="65" spans="5:6" x14ac:dyDescent="0.15">
      <c r="E65" s="245"/>
      <c r="F65" s="245"/>
    </row>
    <row r="66" spans="5:6" x14ac:dyDescent="0.15">
      <c r="E66" s="245"/>
      <c r="F66" s="245"/>
    </row>
    <row r="67" spans="5:6" x14ac:dyDescent="0.15">
      <c r="E67" s="245"/>
      <c r="F67" s="245"/>
    </row>
    <row r="68" spans="5:6" x14ac:dyDescent="0.15">
      <c r="E68" s="245"/>
      <c r="F68" s="245"/>
    </row>
    <row r="69" spans="5:6" x14ac:dyDescent="0.15">
      <c r="E69" s="245"/>
      <c r="F69" s="245"/>
    </row>
    <row r="70" spans="5:6" x14ac:dyDescent="0.15">
      <c r="E70" s="245"/>
      <c r="F70" s="245"/>
    </row>
    <row r="71" spans="5:6" x14ac:dyDescent="0.15">
      <c r="E71" s="245"/>
      <c r="F71" s="245"/>
    </row>
    <row r="72" spans="5:6" x14ac:dyDescent="0.15">
      <c r="E72" s="245"/>
      <c r="F72" s="245"/>
    </row>
    <row r="73" spans="5:6" x14ac:dyDescent="0.15">
      <c r="E73" s="245"/>
      <c r="F73" s="245"/>
    </row>
    <row r="74" spans="5:6" x14ac:dyDescent="0.15">
      <c r="E74" s="245"/>
      <c r="F74" s="245"/>
    </row>
    <row r="75" spans="5:6" x14ac:dyDescent="0.15">
      <c r="E75" s="245"/>
      <c r="F75" s="245"/>
    </row>
    <row r="76" spans="5:6" x14ac:dyDescent="0.15">
      <c r="E76" s="245"/>
      <c r="F76" s="245"/>
    </row>
    <row r="77" spans="5:6" x14ac:dyDescent="0.15">
      <c r="E77" s="245"/>
      <c r="F77" s="245"/>
    </row>
    <row r="78" spans="5:6" x14ac:dyDescent="0.15">
      <c r="E78" s="245"/>
      <c r="F78" s="245"/>
    </row>
    <row r="79" spans="5:6" x14ac:dyDescent="0.15">
      <c r="E79" s="245"/>
      <c r="F79" s="245"/>
    </row>
    <row r="80" spans="5:6" x14ac:dyDescent="0.15">
      <c r="E80" s="245"/>
      <c r="F80" s="245"/>
    </row>
    <row r="81" spans="5:6" x14ac:dyDescent="0.15">
      <c r="E81" s="245"/>
      <c r="F81" s="245"/>
    </row>
    <row r="82" spans="5:6" x14ac:dyDescent="0.15">
      <c r="E82" s="245"/>
      <c r="F82" s="245"/>
    </row>
    <row r="83" spans="5:6" x14ac:dyDescent="0.15">
      <c r="E83" s="245"/>
      <c r="F83" s="245"/>
    </row>
    <row r="84" spans="5:6" x14ac:dyDescent="0.15">
      <c r="E84" s="245"/>
      <c r="F84" s="245"/>
    </row>
    <row r="85" spans="5:6" x14ac:dyDescent="0.15">
      <c r="E85" s="245"/>
      <c r="F85" s="245"/>
    </row>
    <row r="86" spans="5:6" x14ac:dyDescent="0.15">
      <c r="E86" s="245"/>
      <c r="F86" s="245"/>
    </row>
    <row r="87" spans="5:6" x14ac:dyDescent="0.15">
      <c r="E87" s="245"/>
      <c r="F87" s="245"/>
    </row>
    <row r="88" spans="5:6" x14ac:dyDescent="0.15">
      <c r="E88" s="245"/>
      <c r="F88" s="245"/>
    </row>
    <row r="89" spans="5:6" x14ac:dyDescent="0.15">
      <c r="E89" s="245"/>
      <c r="F89" s="245"/>
    </row>
    <row r="90" spans="5:6" x14ac:dyDescent="0.15">
      <c r="E90" s="245"/>
      <c r="F90" s="245"/>
    </row>
    <row r="91" spans="5:6" x14ac:dyDescent="0.15">
      <c r="E91" s="245"/>
      <c r="F91" s="245"/>
    </row>
    <row r="92" spans="5:6" x14ac:dyDescent="0.15">
      <c r="E92" s="245"/>
      <c r="F92" s="245"/>
    </row>
    <row r="93" spans="5:6" x14ac:dyDescent="0.15">
      <c r="E93" s="245"/>
      <c r="F93" s="245"/>
    </row>
    <row r="94" spans="5:6" x14ac:dyDescent="0.15">
      <c r="E94" s="245"/>
      <c r="F94" s="245"/>
    </row>
    <row r="95" spans="5:6" x14ac:dyDescent="0.15">
      <c r="E95" s="245"/>
      <c r="F95" s="245"/>
    </row>
    <row r="96" spans="5:6" x14ac:dyDescent="0.15">
      <c r="E96" s="245"/>
      <c r="F96" s="245"/>
    </row>
    <row r="97" spans="5:6" x14ac:dyDescent="0.15">
      <c r="E97" s="245"/>
      <c r="F97" s="245"/>
    </row>
    <row r="98" spans="5:6" x14ac:dyDescent="0.15">
      <c r="E98" s="245"/>
      <c r="F98" s="245"/>
    </row>
    <row r="99" spans="5:6" x14ac:dyDescent="0.15">
      <c r="E99" s="245"/>
      <c r="F99" s="245"/>
    </row>
    <row r="100" spans="5:6" x14ac:dyDescent="0.15">
      <c r="E100" s="245"/>
      <c r="F100" s="245"/>
    </row>
    <row r="101" spans="5:6" x14ac:dyDescent="0.15">
      <c r="E101" s="245"/>
      <c r="F101" s="245"/>
    </row>
    <row r="102" spans="5:6" x14ac:dyDescent="0.15">
      <c r="E102" s="245"/>
      <c r="F102" s="245"/>
    </row>
    <row r="103" spans="5:6" x14ac:dyDescent="0.15">
      <c r="E103" s="245"/>
      <c r="F103" s="245"/>
    </row>
    <row r="104" spans="5:6" x14ac:dyDescent="0.15">
      <c r="E104" s="245"/>
      <c r="F104" s="245"/>
    </row>
    <row r="105" spans="5:6" x14ac:dyDescent="0.15">
      <c r="E105" s="245"/>
      <c r="F105" s="245"/>
    </row>
    <row r="106" spans="5:6" x14ac:dyDescent="0.15">
      <c r="E106" s="245"/>
      <c r="F106" s="245"/>
    </row>
    <row r="107" spans="5:6" x14ac:dyDescent="0.15">
      <c r="E107" s="245"/>
      <c r="F107" s="245"/>
    </row>
    <row r="108" spans="5:6" x14ac:dyDescent="0.15">
      <c r="E108" s="245"/>
      <c r="F108" s="245"/>
    </row>
    <row r="109" spans="5:6" x14ac:dyDescent="0.15">
      <c r="E109" s="245"/>
      <c r="F109" s="245"/>
    </row>
    <row r="110" spans="5:6" x14ac:dyDescent="0.15">
      <c r="E110" s="245"/>
      <c r="F110" s="245"/>
    </row>
    <row r="111" spans="5:6" x14ac:dyDescent="0.15">
      <c r="E111" s="245"/>
      <c r="F111" s="245"/>
    </row>
    <row r="112" spans="5:6" x14ac:dyDescent="0.15">
      <c r="E112" s="245"/>
      <c r="F112" s="245"/>
    </row>
    <row r="113" spans="5:6" x14ac:dyDescent="0.15">
      <c r="E113" s="245"/>
      <c r="F113" s="245"/>
    </row>
    <row r="114" spans="5:6" x14ac:dyDescent="0.15">
      <c r="E114" s="245"/>
      <c r="F114" s="245"/>
    </row>
    <row r="115" spans="5:6" x14ac:dyDescent="0.15">
      <c r="E115" s="245"/>
      <c r="F115" s="245"/>
    </row>
    <row r="116" spans="5:6" x14ac:dyDescent="0.15">
      <c r="E116" s="245"/>
      <c r="F116" s="245"/>
    </row>
    <row r="117" spans="5:6" x14ac:dyDescent="0.15">
      <c r="E117" s="245"/>
      <c r="F117" s="245"/>
    </row>
    <row r="118" spans="5:6" x14ac:dyDescent="0.15">
      <c r="E118" s="245"/>
      <c r="F118" s="245"/>
    </row>
    <row r="119" spans="5:6" x14ac:dyDescent="0.15">
      <c r="E119" s="245"/>
      <c r="F119" s="245"/>
    </row>
    <row r="120" spans="5:6" x14ac:dyDescent="0.15">
      <c r="E120" s="245"/>
      <c r="F120" s="245"/>
    </row>
    <row r="121" spans="5:6" x14ac:dyDescent="0.15">
      <c r="E121" s="245"/>
      <c r="F121" s="245"/>
    </row>
    <row r="122" spans="5:6" x14ac:dyDescent="0.15">
      <c r="E122" s="245"/>
      <c r="F122" s="245"/>
    </row>
    <row r="123" spans="5:6" x14ac:dyDescent="0.15">
      <c r="E123" s="245"/>
      <c r="F123" s="245"/>
    </row>
    <row r="124" spans="5:6" x14ac:dyDescent="0.15">
      <c r="E124" s="245"/>
      <c r="F124" s="245"/>
    </row>
    <row r="125" spans="5:6" x14ac:dyDescent="0.15">
      <c r="E125" s="245"/>
      <c r="F125" s="245"/>
    </row>
    <row r="126" spans="5:6" x14ac:dyDescent="0.15">
      <c r="E126" s="245"/>
      <c r="F126" s="245"/>
    </row>
    <row r="127" spans="5:6" x14ac:dyDescent="0.15">
      <c r="E127" s="245"/>
      <c r="F127" s="245"/>
    </row>
    <row r="128" spans="5:6" x14ac:dyDescent="0.15">
      <c r="E128" s="245"/>
      <c r="F128" s="245"/>
    </row>
    <row r="129" spans="5:6" x14ac:dyDescent="0.15">
      <c r="E129" s="245"/>
      <c r="F129" s="245"/>
    </row>
    <row r="130" spans="5:6" x14ac:dyDescent="0.15">
      <c r="E130" s="245"/>
      <c r="F130" s="245"/>
    </row>
    <row r="131" spans="5:6" x14ac:dyDescent="0.15">
      <c r="E131" s="245"/>
      <c r="F131" s="245"/>
    </row>
    <row r="132" spans="5:6" x14ac:dyDescent="0.15">
      <c r="E132" s="245"/>
      <c r="F132" s="245"/>
    </row>
    <row r="133" spans="5:6" x14ac:dyDescent="0.15">
      <c r="E133" s="245"/>
      <c r="F133" s="245"/>
    </row>
    <row r="134" spans="5:6" x14ac:dyDescent="0.15">
      <c r="E134" s="245"/>
      <c r="F134" s="245"/>
    </row>
    <row r="135" spans="5:6" x14ac:dyDescent="0.15">
      <c r="E135" s="245"/>
      <c r="F135" s="245"/>
    </row>
    <row r="136" spans="5:6" x14ac:dyDescent="0.15">
      <c r="E136" s="245"/>
      <c r="F136" s="245"/>
    </row>
    <row r="137" spans="5:6" x14ac:dyDescent="0.15">
      <c r="E137" s="245"/>
      <c r="F137" s="245"/>
    </row>
    <row r="138" spans="5:6" x14ac:dyDescent="0.15">
      <c r="E138" s="245"/>
      <c r="F138" s="245"/>
    </row>
    <row r="139" spans="5:6" x14ac:dyDescent="0.15">
      <c r="E139" s="245"/>
      <c r="F139" s="245"/>
    </row>
    <row r="140" spans="5:6" x14ac:dyDescent="0.15">
      <c r="E140" s="245"/>
      <c r="F140" s="245"/>
    </row>
    <row r="141" spans="5:6" x14ac:dyDescent="0.15">
      <c r="E141" s="245"/>
      <c r="F141" s="245"/>
    </row>
    <row r="142" spans="5:6" x14ac:dyDescent="0.15">
      <c r="E142" s="245"/>
      <c r="F142" s="245"/>
    </row>
    <row r="143" spans="5:6" x14ac:dyDescent="0.15">
      <c r="E143" s="245"/>
      <c r="F143" s="245"/>
    </row>
    <row r="144" spans="5:6" x14ac:dyDescent="0.15">
      <c r="E144" s="245"/>
      <c r="F144" s="245"/>
    </row>
    <row r="145" spans="5:6" x14ac:dyDescent="0.15">
      <c r="E145" s="245"/>
      <c r="F145" s="245"/>
    </row>
    <row r="146" spans="5:6" x14ac:dyDescent="0.15">
      <c r="E146" s="245"/>
      <c r="F146" s="245"/>
    </row>
    <row r="147" spans="5:6" x14ac:dyDescent="0.15">
      <c r="E147" s="245"/>
      <c r="F147" s="245"/>
    </row>
    <row r="148" spans="5:6" x14ac:dyDescent="0.15">
      <c r="E148" s="245"/>
      <c r="F148" s="245"/>
    </row>
    <row r="149" spans="5:6" x14ac:dyDescent="0.15">
      <c r="E149" s="245"/>
      <c r="F149" s="245"/>
    </row>
    <row r="150" spans="5:6" x14ac:dyDescent="0.15">
      <c r="E150" s="245"/>
      <c r="F150" s="245"/>
    </row>
    <row r="151" spans="5:6" x14ac:dyDescent="0.15">
      <c r="E151" s="245"/>
      <c r="F151" s="245"/>
    </row>
    <row r="152" spans="5:6" x14ac:dyDescent="0.15">
      <c r="E152" s="245"/>
      <c r="F152" s="245"/>
    </row>
    <row r="153" spans="5:6" x14ac:dyDescent="0.15">
      <c r="E153" s="245"/>
      <c r="F153" s="245"/>
    </row>
    <row r="154" spans="5:6" x14ac:dyDescent="0.15">
      <c r="E154" s="245"/>
      <c r="F154" s="245"/>
    </row>
    <row r="155" spans="5:6" x14ac:dyDescent="0.15">
      <c r="E155" s="245"/>
      <c r="F155" s="245"/>
    </row>
    <row r="156" spans="5:6" x14ac:dyDescent="0.15">
      <c r="E156" s="245"/>
      <c r="F156" s="245"/>
    </row>
    <row r="157" spans="5:6" x14ac:dyDescent="0.15">
      <c r="E157" s="245"/>
      <c r="F157" s="245"/>
    </row>
    <row r="158" spans="5:6" x14ac:dyDescent="0.15">
      <c r="E158" s="245"/>
      <c r="F158" s="245"/>
    </row>
    <row r="159" spans="5:6" x14ac:dyDescent="0.15">
      <c r="E159" s="245"/>
      <c r="F159" s="245"/>
    </row>
    <row r="160" spans="5:6" x14ac:dyDescent="0.15">
      <c r="E160" s="245"/>
      <c r="F160" s="245"/>
    </row>
    <row r="161" spans="5:6" x14ac:dyDescent="0.15">
      <c r="E161" s="245"/>
      <c r="F161" s="245"/>
    </row>
    <row r="162" spans="5:6" x14ac:dyDescent="0.15">
      <c r="E162" s="245"/>
      <c r="F162" s="245"/>
    </row>
    <row r="163" spans="5:6" x14ac:dyDescent="0.15">
      <c r="E163" s="245"/>
      <c r="F163" s="245"/>
    </row>
    <row r="164" spans="5:6" x14ac:dyDescent="0.15">
      <c r="E164" s="245"/>
      <c r="F164" s="245"/>
    </row>
    <row r="165" spans="5:6" x14ac:dyDescent="0.15">
      <c r="E165" s="245"/>
      <c r="F165" s="245"/>
    </row>
    <row r="166" spans="5:6" x14ac:dyDescent="0.15">
      <c r="E166" s="245"/>
      <c r="F166" s="245"/>
    </row>
    <row r="167" spans="5:6" x14ac:dyDescent="0.15">
      <c r="E167" s="245"/>
      <c r="F167" s="245"/>
    </row>
    <row r="168" spans="5:6" x14ac:dyDescent="0.15">
      <c r="E168" s="245"/>
      <c r="F168" s="245"/>
    </row>
    <row r="169" spans="5:6" x14ac:dyDescent="0.15">
      <c r="E169" s="245"/>
      <c r="F169" s="245"/>
    </row>
    <row r="170" spans="5:6" x14ac:dyDescent="0.15">
      <c r="E170" s="245"/>
      <c r="F170" s="245"/>
    </row>
    <row r="171" spans="5:6" x14ac:dyDescent="0.15">
      <c r="E171" s="245"/>
      <c r="F171" s="245"/>
    </row>
    <row r="172" spans="5:6" x14ac:dyDescent="0.15">
      <c r="E172" s="245"/>
      <c r="F172" s="245"/>
    </row>
    <row r="173" spans="5:6" x14ac:dyDescent="0.15">
      <c r="E173" s="245"/>
      <c r="F173" s="245"/>
    </row>
    <row r="174" spans="5:6" x14ac:dyDescent="0.15">
      <c r="E174" s="245"/>
      <c r="F174" s="245"/>
    </row>
    <row r="175" spans="5:6" x14ac:dyDescent="0.15">
      <c r="E175" s="245"/>
      <c r="F175" s="245"/>
    </row>
    <row r="176" spans="5:6" x14ac:dyDescent="0.15">
      <c r="E176" s="245"/>
      <c r="F176" s="245"/>
    </row>
    <row r="177" spans="5:6" x14ac:dyDescent="0.15">
      <c r="E177" s="245"/>
      <c r="F177" s="245"/>
    </row>
    <row r="178" spans="5:6" x14ac:dyDescent="0.15">
      <c r="E178" s="245"/>
      <c r="F178" s="245"/>
    </row>
    <row r="179" spans="5:6" x14ac:dyDescent="0.15">
      <c r="E179" s="245"/>
      <c r="F179" s="245"/>
    </row>
    <row r="180" spans="5:6" x14ac:dyDescent="0.15">
      <c r="E180" s="245"/>
      <c r="F180" s="245"/>
    </row>
    <row r="181" spans="5:6" x14ac:dyDescent="0.15">
      <c r="E181" s="245"/>
      <c r="F181" s="245"/>
    </row>
    <row r="182" spans="5:6" x14ac:dyDescent="0.15">
      <c r="E182" s="245"/>
      <c r="F182" s="245"/>
    </row>
    <row r="183" spans="5:6" x14ac:dyDescent="0.15">
      <c r="E183" s="245"/>
      <c r="F183" s="245"/>
    </row>
    <row r="184" spans="5:6" x14ac:dyDescent="0.15">
      <c r="E184" s="245"/>
      <c r="F184" s="245"/>
    </row>
    <row r="185" spans="5:6" x14ac:dyDescent="0.15">
      <c r="E185" s="245"/>
      <c r="F185" s="245"/>
    </row>
    <row r="186" spans="5:6" x14ac:dyDescent="0.15">
      <c r="E186" s="245"/>
      <c r="F186" s="245"/>
    </row>
    <row r="187" spans="5:6" x14ac:dyDescent="0.15">
      <c r="E187" s="245"/>
      <c r="F187" s="245"/>
    </row>
    <row r="188" spans="5:6" x14ac:dyDescent="0.15">
      <c r="E188" s="245"/>
      <c r="F188" s="245"/>
    </row>
    <row r="189" spans="5:6" x14ac:dyDescent="0.15">
      <c r="E189" s="245"/>
      <c r="F189" s="245"/>
    </row>
    <row r="190" spans="5:6" x14ac:dyDescent="0.15">
      <c r="E190" s="245"/>
      <c r="F190" s="245"/>
    </row>
    <row r="191" spans="5:6" x14ac:dyDescent="0.15">
      <c r="E191" s="245"/>
      <c r="F191" s="245"/>
    </row>
    <row r="192" spans="5:6" x14ac:dyDescent="0.15">
      <c r="E192" s="245"/>
      <c r="F192" s="245"/>
    </row>
    <row r="193" spans="5:6" x14ac:dyDescent="0.15">
      <c r="E193" s="245"/>
      <c r="F193" s="245"/>
    </row>
    <row r="194" spans="5:6" x14ac:dyDescent="0.15">
      <c r="E194" s="245"/>
      <c r="F194" s="245"/>
    </row>
    <row r="195" spans="5:6" x14ac:dyDescent="0.15">
      <c r="E195" s="245"/>
      <c r="F195" s="245"/>
    </row>
    <row r="196" spans="5:6" x14ac:dyDescent="0.15">
      <c r="E196" s="245"/>
      <c r="F196" s="245"/>
    </row>
    <row r="197" spans="5:6" x14ac:dyDescent="0.15">
      <c r="E197" s="245"/>
      <c r="F197" s="245"/>
    </row>
    <row r="198" spans="5:6" x14ac:dyDescent="0.15">
      <c r="E198" s="245"/>
      <c r="F198" s="245"/>
    </row>
    <row r="199" spans="5:6" x14ac:dyDescent="0.15">
      <c r="E199" s="245"/>
      <c r="F199" s="245"/>
    </row>
    <row r="200" spans="5:6" x14ac:dyDescent="0.15">
      <c r="E200" s="245"/>
      <c r="F200" s="245"/>
    </row>
    <row r="201" spans="5:6" x14ac:dyDescent="0.15">
      <c r="E201" s="245"/>
      <c r="F201" s="245"/>
    </row>
    <row r="202" spans="5:6" x14ac:dyDescent="0.15">
      <c r="E202" s="245"/>
      <c r="F202" s="245"/>
    </row>
    <row r="203" spans="5:6" x14ac:dyDescent="0.15">
      <c r="E203" s="245"/>
      <c r="F203" s="245"/>
    </row>
    <row r="204" spans="5:6" x14ac:dyDescent="0.15">
      <c r="E204" s="245"/>
      <c r="F204" s="245"/>
    </row>
    <row r="205" spans="5:6" x14ac:dyDescent="0.15">
      <c r="E205" s="245"/>
      <c r="F205" s="245"/>
    </row>
    <row r="206" spans="5:6" x14ac:dyDescent="0.15">
      <c r="E206" s="245"/>
      <c r="F206" s="245"/>
    </row>
    <row r="207" spans="5:6" x14ac:dyDescent="0.15">
      <c r="E207" s="245"/>
      <c r="F207" s="245"/>
    </row>
    <row r="208" spans="5:6" x14ac:dyDescent="0.15">
      <c r="E208" s="245"/>
      <c r="F208" s="245"/>
    </row>
    <row r="209" spans="5:6" x14ac:dyDescent="0.15">
      <c r="E209" s="245"/>
      <c r="F209" s="245"/>
    </row>
    <row r="210" spans="5:6" x14ac:dyDescent="0.15">
      <c r="E210" s="245"/>
      <c r="F210" s="245"/>
    </row>
    <row r="211" spans="5:6" x14ac:dyDescent="0.15">
      <c r="E211" s="245"/>
      <c r="F211" s="245"/>
    </row>
    <row r="212" spans="5:6" x14ac:dyDescent="0.15">
      <c r="E212" s="245"/>
      <c r="F212" s="245"/>
    </row>
    <row r="213" spans="5:6" x14ac:dyDescent="0.15">
      <c r="E213" s="245"/>
      <c r="F213" s="245"/>
    </row>
    <row r="214" spans="5:6" x14ac:dyDescent="0.15">
      <c r="E214" s="245"/>
      <c r="F214" s="245"/>
    </row>
    <row r="215" spans="5:6" x14ac:dyDescent="0.15">
      <c r="E215" s="245"/>
      <c r="F215" s="245"/>
    </row>
    <row r="216" spans="5:6" x14ac:dyDescent="0.15">
      <c r="E216" s="245"/>
      <c r="F216" s="245"/>
    </row>
    <row r="217" spans="5:6" x14ac:dyDescent="0.15">
      <c r="E217" s="245"/>
      <c r="F217" s="245"/>
    </row>
    <row r="218" spans="5:6" x14ac:dyDescent="0.15">
      <c r="E218" s="245"/>
      <c r="F218" s="245"/>
    </row>
    <row r="219" spans="5:6" x14ac:dyDescent="0.15">
      <c r="E219" s="245"/>
      <c r="F219" s="245"/>
    </row>
    <row r="220" spans="5:6" x14ac:dyDescent="0.15">
      <c r="E220" s="245"/>
      <c r="F220" s="245"/>
    </row>
    <row r="221" spans="5:6" x14ac:dyDescent="0.15">
      <c r="E221" s="245"/>
      <c r="F221" s="245"/>
    </row>
    <row r="222" spans="5:6" x14ac:dyDescent="0.15">
      <c r="E222" s="245"/>
      <c r="F222" s="245"/>
    </row>
    <row r="223" spans="5:6" x14ac:dyDescent="0.15">
      <c r="E223" s="245"/>
      <c r="F223" s="245"/>
    </row>
    <row r="224" spans="5:6" x14ac:dyDescent="0.15">
      <c r="E224" s="245"/>
      <c r="F224" s="245"/>
    </row>
    <row r="225" spans="5:6" x14ac:dyDescent="0.15">
      <c r="E225" s="245"/>
      <c r="F225" s="245"/>
    </row>
    <row r="226" spans="5:6" x14ac:dyDescent="0.15">
      <c r="E226" s="245"/>
      <c r="F226" s="245"/>
    </row>
    <row r="227" spans="5:6" x14ac:dyDescent="0.15">
      <c r="E227" s="245"/>
      <c r="F227" s="245"/>
    </row>
    <row r="228" spans="5:6" x14ac:dyDescent="0.15">
      <c r="E228" s="245"/>
      <c r="F228" s="245"/>
    </row>
    <row r="229" spans="5:6" x14ac:dyDescent="0.15">
      <c r="E229" s="245"/>
      <c r="F229" s="245"/>
    </row>
    <row r="230" spans="5:6" x14ac:dyDescent="0.15">
      <c r="E230" s="245"/>
      <c r="F230" s="245"/>
    </row>
    <row r="231" spans="5:6" x14ac:dyDescent="0.15">
      <c r="E231" s="245"/>
      <c r="F231" s="245"/>
    </row>
    <row r="232" spans="5:6" x14ac:dyDescent="0.15">
      <c r="E232" s="245"/>
      <c r="F232" s="245"/>
    </row>
    <row r="233" spans="5:6" x14ac:dyDescent="0.15">
      <c r="E233" s="245"/>
      <c r="F233" s="245"/>
    </row>
    <row r="234" spans="5:6" x14ac:dyDescent="0.15">
      <c r="E234" s="245"/>
      <c r="F234" s="245"/>
    </row>
    <row r="235" spans="5:6" x14ac:dyDescent="0.15">
      <c r="E235" s="245"/>
      <c r="F235" s="245"/>
    </row>
    <row r="236" spans="5:6" x14ac:dyDescent="0.15">
      <c r="E236" s="245"/>
      <c r="F236" s="245"/>
    </row>
    <row r="237" spans="5:6" x14ac:dyDescent="0.15">
      <c r="E237" s="245"/>
      <c r="F237" s="245"/>
    </row>
    <row r="238" spans="5:6" x14ac:dyDescent="0.15">
      <c r="E238" s="245"/>
      <c r="F238" s="245"/>
    </row>
    <row r="239" spans="5:6" x14ac:dyDescent="0.15">
      <c r="E239" s="245"/>
      <c r="F239" s="245"/>
    </row>
    <row r="240" spans="5:6" x14ac:dyDescent="0.15">
      <c r="E240" s="245"/>
      <c r="F240" s="245"/>
    </row>
    <row r="241" spans="5:6" x14ac:dyDescent="0.15">
      <c r="E241" s="245"/>
      <c r="F241" s="245"/>
    </row>
    <row r="242" spans="5:6" x14ac:dyDescent="0.15">
      <c r="E242" s="245"/>
      <c r="F242" s="245"/>
    </row>
    <row r="243" spans="5:6" x14ac:dyDescent="0.15">
      <c r="E243" s="245"/>
      <c r="F243" s="245"/>
    </row>
    <row r="244" spans="5:6" x14ac:dyDescent="0.15">
      <c r="E244" s="245"/>
      <c r="F244" s="245"/>
    </row>
    <row r="245" spans="5:6" x14ac:dyDescent="0.15">
      <c r="E245" s="245"/>
      <c r="F245" s="245"/>
    </row>
    <row r="246" spans="5:6" x14ac:dyDescent="0.15">
      <c r="E246" s="245"/>
      <c r="F246" s="245"/>
    </row>
    <row r="247" spans="5:6" x14ac:dyDescent="0.15">
      <c r="E247" s="245"/>
      <c r="F247" s="245"/>
    </row>
    <row r="248" spans="5:6" x14ac:dyDescent="0.15">
      <c r="E248" s="245"/>
      <c r="F248" s="245"/>
    </row>
    <row r="249" spans="5:6" x14ac:dyDescent="0.15">
      <c r="E249" s="245"/>
      <c r="F249" s="245"/>
    </row>
    <row r="250" spans="5:6" x14ac:dyDescent="0.15">
      <c r="E250" s="245"/>
      <c r="F250" s="245"/>
    </row>
    <row r="251" spans="5:6" x14ac:dyDescent="0.15">
      <c r="E251" s="245"/>
      <c r="F251" s="245"/>
    </row>
    <row r="252" spans="5:6" x14ac:dyDescent="0.15">
      <c r="E252" s="245"/>
      <c r="F252" s="245"/>
    </row>
    <row r="253" spans="5:6" x14ac:dyDescent="0.15">
      <c r="E253" s="245"/>
      <c r="F253" s="245"/>
    </row>
    <row r="254" spans="5:6" x14ac:dyDescent="0.15">
      <c r="E254" s="245"/>
      <c r="F254" s="245"/>
    </row>
    <row r="255" spans="5:6" x14ac:dyDescent="0.15">
      <c r="E255" s="245"/>
      <c r="F255" s="245"/>
    </row>
    <row r="256" spans="5:6" x14ac:dyDescent="0.15">
      <c r="E256" s="245"/>
      <c r="F256" s="245"/>
    </row>
    <row r="257" spans="5:6" x14ac:dyDescent="0.15">
      <c r="E257" s="245"/>
      <c r="F257" s="245"/>
    </row>
    <row r="258" spans="5:6" x14ac:dyDescent="0.15">
      <c r="E258" s="245"/>
      <c r="F258" s="245"/>
    </row>
    <row r="259" spans="5:6" x14ac:dyDescent="0.15">
      <c r="E259" s="245"/>
      <c r="F259" s="245"/>
    </row>
    <row r="260" spans="5:6" x14ac:dyDescent="0.15">
      <c r="E260" s="245"/>
      <c r="F260" s="245"/>
    </row>
    <row r="261" spans="5:6" x14ac:dyDescent="0.15">
      <c r="E261" s="245"/>
      <c r="F261" s="245"/>
    </row>
    <row r="262" spans="5:6" x14ac:dyDescent="0.15">
      <c r="E262" s="245"/>
      <c r="F262" s="245"/>
    </row>
    <row r="263" spans="5:6" x14ac:dyDescent="0.15">
      <c r="E263" s="245"/>
      <c r="F263" s="245"/>
    </row>
    <row r="264" spans="5:6" x14ac:dyDescent="0.15">
      <c r="E264" s="245"/>
      <c r="F264" s="245"/>
    </row>
    <row r="265" spans="5:6" x14ac:dyDescent="0.15">
      <c r="E265" s="245"/>
      <c r="F265" s="245"/>
    </row>
    <row r="266" spans="5:6" x14ac:dyDescent="0.15">
      <c r="E266" s="245"/>
      <c r="F266" s="245"/>
    </row>
    <row r="267" spans="5:6" x14ac:dyDescent="0.15">
      <c r="E267" s="245"/>
      <c r="F267" s="245"/>
    </row>
    <row r="268" spans="5:6" x14ac:dyDescent="0.15">
      <c r="E268" s="245"/>
      <c r="F268" s="245"/>
    </row>
    <row r="269" spans="5:6" x14ac:dyDescent="0.15">
      <c r="E269" s="245"/>
      <c r="F269" s="245"/>
    </row>
    <row r="270" spans="5:6" x14ac:dyDescent="0.15">
      <c r="E270" s="245"/>
      <c r="F270" s="245"/>
    </row>
    <row r="271" spans="5:6" x14ac:dyDescent="0.15">
      <c r="E271" s="245"/>
      <c r="F271" s="245"/>
    </row>
    <row r="272" spans="5:6" x14ac:dyDescent="0.15">
      <c r="E272" s="245"/>
      <c r="F272" s="245"/>
    </row>
    <row r="273" spans="5:6" x14ac:dyDescent="0.15">
      <c r="E273" s="245"/>
      <c r="F273" s="245"/>
    </row>
    <row r="274" spans="5:6" x14ac:dyDescent="0.15">
      <c r="E274" s="245"/>
      <c r="F274" s="245"/>
    </row>
    <row r="275" spans="5:6" x14ac:dyDescent="0.15">
      <c r="E275" s="245"/>
      <c r="F275" s="245"/>
    </row>
    <row r="276" spans="5:6" x14ac:dyDescent="0.15">
      <c r="E276" s="245"/>
      <c r="F276" s="245"/>
    </row>
    <row r="277" spans="5:6" x14ac:dyDescent="0.15">
      <c r="E277" s="245"/>
      <c r="F277" s="245"/>
    </row>
    <row r="278" spans="5:6" x14ac:dyDescent="0.15">
      <c r="E278" s="245"/>
      <c r="F278" s="245"/>
    </row>
    <row r="279" spans="5:6" x14ac:dyDescent="0.15">
      <c r="E279" s="245"/>
      <c r="F279" s="245"/>
    </row>
    <row r="280" spans="5:6" x14ac:dyDescent="0.15">
      <c r="E280" s="245"/>
      <c r="F280" s="245"/>
    </row>
    <row r="281" spans="5:6" x14ac:dyDescent="0.15">
      <c r="E281" s="245"/>
      <c r="F281" s="245"/>
    </row>
    <row r="282" spans="5:6" x14ac:dyDescent="0.15">
      <c r="E282" s="245"/>
      <c r="F282" s="245"/>
    </row>
    <row r="283" spans="5:6" x14ac:dyDescent="0.15">
      <c r="E283" s="245"/>
      <c r="F283" s="245"/>
    </row>
    <row r="284" spans="5:6" x14ac:dyDescent="0.15">
      <c r="E284" s="245"/>
      <c r="F284" s="245"/>
    </row>
    <row r="285" spans="5:6" x14ac:dyDescent="0.15">
      <c r="E285" s="245"/>
      <c r="F285" s="245"/>
    </row>
    <row r="286" spans="5:6" x14ac:dyDescent="0.15">
      <c r="E286" s="245"/>
      <c r="F286" s="245"/>
    </row>
    <row r="287" spans="5:6" x14ac:dyDescent="0.15">
      <c r="E287" s="245"/>
      <c r="F287" s="245"/>
    </row>
    <row r="288" spans="5:6" x14ac:dyDescent="0.15">
      <c r="E288" s="245"/>
      <c r="F288" s="245"/>
    </row>
    <row r="289" spans="5:6" x14ac:dyDescent="0.15">
      <c r="E289" s="245"/>
      <c r="F289" s="245"/>
    </row>
    <row r="290" spans="5:6" x14ac:dyDescent="0.15">
      <c r="E290" s="245"/>
      <c r="F290" s="245"/>
    </row>
    <row r="291" spans="5:6" x14ac:dyDescent="0.15">
      <c r="E291" s="245"/>
      <c r="F291" s="245"/>
    </row>
    <row r="292" spans="5:6" x14ac:dyDescent="0.15">
      <c r="E292" s="245"/>
      <c r="F292" s="245"/>
    </row>
    <row r="293" spans="5:6" x14ac:dyDescent="0.15">
      <c r="E293" s="245"/>
      <c r="F293" s="245"/>
    </row>
    <row r="294" spans="5:6" x14ac:dyDescent="0.15">
      <c r="E294" s="245"/>
      <c r="F294" s="245"/>
    </row>
    <row r="295" spans="5:6" x14ac:dyDescent="0.15">
      <c r="E295" s="245"/>
      <c r="F295" s="245"/>
    </row>
    <row r="296" spans="5:6" x14ac:dyDescent="0.15">
      <c r="E296" s="245"/>
      <c r="F296" s="245"/>
    </row>
    <row r="297" spans="5:6" x14ac:dyDescent="0.15">
      <c r="E297" s="245"/>
      <c r="F297" s="245"/>
    </row>
    <row r="298" spans="5:6" x14ac:dyDescent="0.15">
      <c r="E298" s="245"/>
      <c r="F298" s="245"/>
    </row>
    <row r="299" spans="5:6" x14ac:dyDescent="0.15">
      <c r="E299" s="245"/>
      <c r="F299" s="245"/>
    </row>
    <row r="300" spans="5:6" x14ac:dyDescent="0.15">
      <c r="E300" s="245"/>
      <c r="F300" s="245"/>
    </row>
    <row r="301" spans="5:6" x14ac:dyDescent="0.15">
      <c r="E301" s="245"/>
      <c r="F301" s="245"/>
    </row>
    <row r="302" spans="5:6" x14ac:dyDescent="0.15">
      <c r="E302" s="245"/>
      <c r="F302" s="245"/>
    </row>
    <row r="303" spans="5:6" x14ac:dyDescent="0.15">
      <c r="E303" s="245"/>
      <c r="F303" s="245"/>
    </row>
    <row r="304" spans="5:6" x14ac:dyDescent="0.15">
      <c r="E304" s="245"/>
      <c r="F304" s="245"/>
    </row>
    <row r="305" spans="5:6" x14ac:dyDescent="0.15">
      <c r="E305" s="245"/>
      <c r="F305" s="245"/>
    </row>
    <row r="306" spans="5:6" x14ac:dyDescent="0.15">
      <c r="E306" s="245"/>
      <c r="F306" s="245"/>
    </row>
    <row r="307" spans="5:6" x14ac:dyDescent="0.15">
      <c r="E307" s="245"/>
      <c r="F307" s="245"/>
    </row>
    <row r="308" spans="5:6" x14ac:dyDescent="0.15">
      <c r="E308" s="245"/>
      <c r="F308" s="245"/>
    </row>
    <row r="309" spans="5:6" x14ac:dyDescent="0.15">
      <c r="E309" s="245"/>
      <c r="F309" s="245"/>
    </row>
    <row r="310" spans="5:6" x14ac:dyDescent="0.15">
      <c r="E310" s="245"/>
      <c r="F310" s="245"/>
    </row>
    <row r="311" spans="5:6" x14ac:dyDescent="0.15">
      <c r="E311" s="245"/>
      <c r="F311" s="245"/>
    </row>
    <row r="312" spans="5:6" x14ac:dyDescent="0.15">
      <c r="E312" s="245"/>
      <c r="F312" s="245"/>
    </row>
    <row r="313" spans="5:6" x14ac:dyDescent="0.15">
      <c r="E313" s="245"/>
      <c r="F313" s="245"/>
    </row>
    <row r="314" spans="5:6" x14ac:dyDescent="0.15">
      <c r="E314" s="245"/>
      <c r="F314" s="245"/>
    </row>
    <row r="315" spans="5:6" x14ac:dyDescent="0.15">
      <c r="E315" s="245"/>
      <c r="F315" s="245"/>
    </row>
    <row r="316" spans="5:6" x14ac:dyDescent="0.15">
      <c r="E316" s="245"/>
      <c r="F316" s="245"/>
    </row>
    <row r="317" spans="5:6" x14ac:dyDescent="0.15">
      <c r="E317" s="245"/>
      <c r="F317" s="245"/>
    </row>
    <row r="318" spans="5:6" x14ac:dyDescent="0.15">
      <c r="E318" s="245"/>
      <c r="F318" s="245"/>
    </row>
    <row r="319" spans="5:6" x14ac:dyDescent="0.15">
      <c r="E319" s="245"/>
      <c r="F319" s="245"/>
    </row>
    <row r="320" spans="5:6" x14ac:dyDescent="0.15">
      <c r="E320" s="245"/>
      <c r="F320" s="245"/>
    </row>
    <row r="321" spans="5:6" x14ac:dyDescent="0.15">
      <c r="E321" s="245"/>
      <c r="F321" s="245"/>
    </row>
    <row r="322" spans="5:6" x14ac:dyDescent="0.15">
      <c r="E322" s="245"/>
      <c r="F322" s="245"/>
    </row>
    <row r="323" spans="5:6" x14ac:dyDescent="0.15">
      <c r="E323" s="245"/>
      <c r="F323" s="245"/>
    </row>
    <row r="324" spans="5:6" x14ac:dyDescent="0.15">
      <c r="E324" s="245"/>
      <c r="F324" s="245"/>
    </row>
    <row r="325" spans="5:6" x14ac:dyDescent="0.15">
      <c r="E325" s="245"/>
      <c r="F325" s="245"/>
    </row>
    <row r="326" spans="5:6" x14ac:dyDescent="0.15">
      <c r="E326" s="245"/>
      <c r="F326" s="245"/>
    </row>
    <row r="327" spans="5:6" x14ac:dyDescent="0.15">
      <c r="E327" s="245"/>
      <c r="F327" s="245"/>
    </row>
    <row r="328" spans="5:6" x14ac:dyDescent="0.15">
      <c r="E328" s="245"/>
      <c r="F328" s="245"/>
    </row>
    <row r="329" spans="5:6" x14ac:dyDescent="0.15">
      <c r="E329" s="245"/>
      <c r="F329" s="245"/>
    </row>
    <row r="330" spans="5:6" x14ac:dyDescent="0.15">
      <c r="E330" s="245"/>
      <c r="F330" s="245"/>
    </row>
    <row r="331" spans="5:6" x14ac:dyDescent="0.15">
      <c r="E331" s="245"/>
      <c r="F331" s="245"/>
    </row>
    <row r="332" spans="5:6" x14ac:dyDescent="0.15">
      <c r="E332" s="245"/>
      <c r="F332" s="245"/>
    </row>
    <row r="333" spans="5:6" x14ac:dyDescent="0.15">
      <c r="E333" s="245"/>
      <c r="F333" s="245"/>
    </row>
    <row r="334" spans="5:6" x14ac:dyDescent="0.15">
      <c r="E334" s="245"/>
      <c r="F334" s="245"/>
    </row>
    <row r="335" spans="5:6" x14ac:dyDescent="0.15">
      <c r="E335" s="245"/>
      <c r="F335" s="245"/>
    </row>
    <row r="336" spans="5:6" x14ac:dyDescent="0.15">
      <c r="E336" s="245"/>
      <c r="F336" s="245"/>
    </row>
    <row r="337" spans="5:6" x14ac:dyDescent="0.15">
      <c r="E337" s="245"/>
      <c r="F337" s="245"/>
    </row>
    <row r="338" spans="5:6" x14ac:dyDescent="0.15">
      <c r="E338" s="245"/>
      <c r="F338" s="245"/>
    </row>
    <row r="339" spans="5:6" x14ac:dyDescent="0.15">
      <c r="E339" s="245"/>
      <c r="F339" s="245"/>
    </row>
    <row r="340" spans="5:6" x14ac:dyDescent="0.15">
      <c r="E340" s="245"/>
      <c r="F340" s="245"/>
    </row>
    <row r="341" spans="5:6" x14ac:dyDescent="0.15">
      <c r="E341" s="245"/>
      <c r="F341" s="245"/>
    </row>
    <row r="342" spans="5:6" x14ac:dyDescent="0.15">
      <c r="E342" s="245"/>
      <c r="F342" s="245"/>
    </row>
    <row r="343" spans="5:6" x14ac:dyDescent="0.15">
      <c r="E343" s="245"/>
      <c r="F343" s="245"/>
    </row>
    <row r="344" spans="5:6" x14ac:dyDescent="0.15">
      <c r="E344" s="245"/>
      <c r="F344" s="245"/>
    </row>
    <row r="345" spans="5:6" x14ac:dyDescent="0.15">
      <c r="E345" s="245"/>
      <c r="F345" s="245"/>
    </row>
    <row r="346" spans="5:6" x14ac:dyDescent="0.15">
      <c r="E346" s="245"/>
      <c r="F346" s="245"/>
    </row>
    <row r="347" spans="5:6" x14ac:dyDescent="0.15">
      <c r="E347" s="245"/>
      <c r="F347" s="245"/>
    </row>
    <row r="348" spans="5:6" x14ac:dyDescent="0.15">
      <c r="E348" s="245"/>
      <c r="F348" s="245"/>
    </row>
    <row r="349" spans="5:6" x14ac:dyDescent="0.15">
      <c r="E349" s="245"/>
      <c r="F349" s="245"/>
    </row>
    <row r="350" spans="5:6" x14ac:dyDescent="0.15">
      <c r="E350" s="245"/>
      <c r="F350" s="245"/>
    </row>
    <row r="351" spans="5:6" x14ac:dyDescent="0.15">
      <c r="E351" s="245"/>
      <c r="F351" s="245"/>
    </row>
    <row r="352" spans="5:6" x14ac:dyDescent="0.15">
      <c r="E352" s="245"/>
      <c r="F352" s="245"/>
    </row>
    <row r="353" spans="5:6" x14ac:dyDescent="0.15">
      <c r="E353" s="245"/>
      <c r="F353" s="245"/>
    </row>
    <row r="354" spans="5:6" x14ac:dyDescent="0.15">
      <c r="E354" s="245"/>
      <c r="F354" s="245"/>
    </row>
    <row r="355" spans="5:6" x14ac:dyDescent="0.15">
      <c r="E355" s="245"/>
      <c r="F355" s="245"/>
    </row>
    <row r="356" spans="5:6" x14ac:dyDescent="0.15">
      <c r="E356" s="245"/>
      <c r="F356" s="245"/>
    </row>
    <row r="357" spans="5:6" x14ac:dyDescent="0.15">
      <c r="E357" s="245"/>
      <c r="F357" s="245"/>
    </row>
    <row r="358" spans="5:6" x14ac:dyDescent="0.15">
      <c r="E358" s="245"/>
      <c r="F358" s="245"/>
    </row>
    <row r="359" spans="5:6" x14ac:dyDescent="0.15">
      <c r="E359" s="245"/>
      <c r="F359" s="245"/>
    </row>
    <row r="360" spans="5:6" x14ac:dyDescent="0.15">
      <c r="E360" s="245"/>
      <c r="F360" s="245"/>
    </row>
    <row r="361" spans="5:6" x14ac:dyDescent="0.15">
      <c r="E361" s="245"/>
      <c r="F361" s="245"/>
    </row>
    <row r="362" spans="5:6" x14ac:dyDescent="0.15">
      <c r="E362" s="245"/>
      <c r="F362" s="245"/>
    </row>
    <row r="363" spans="5:6" x14ac:dyDescent="0.15">
      <c r="E363" s="245"/>
      <c r="F363" s="245"/>
    </row>
    <row r="364" spans="5:6" x14ac:dyDescent="0.15">
      <c r="E364" s="245"/>
      <c r="F364" s="245"/>
    </row>
    <row r="365" spans="5:6" x14ac:dyDescent="0.15">
      <c r="E365" s="245"/>
      <c r="F365" s="245"/>
    </row>
    <row r="366" spans="5:6" x14ac:dyDescent="0.15">
      <c r="E366" s="245"/>
      <c r="F366" s="245"/>
    </row>
    <row r="367" spans="5:6" x14ac:dyDescent="0.15">
      <c r="E367" s="245"/>
      <c r="F367" s="245"/>
    </row>
    <row r="368" spans="5:6" x14ac:dyDescent="0.15">
      <c r="E368" s="245"/>
      <c r="F368" s="245"/>
    </row>
    <row r="369" spans="5:6" x14ac:dyDescent="0.15">
      <c r="E369" s="245"/>
      <c r="F369" s="245"/>
    </row>
    <row r="370" spans="5:6" x14ac:dyDescent="0.15">
      <c r="E370" s="245"/>
      <c r="F370" s="245"/>
    </row>
    <row r="371" spans="5:6" x14ac:dyDescent="0.15">
      <c r="E371" s="245"/>
      <c r="F371" s="245"/>
    </row>
    <row r="372" spans="5:6" x14ac:dyDescent="0.15">
      <c r="E372" s="245"/>
      <c r="F372" s="245"/>
    </row>
    <row r="373" spans="5:6" x14ac:dyDescent="0.15">
      <c r="E373" s="245"/>
      <c r="F373" s="245"/>
    </row>
    <row r="374" spans="5:6" x14ac:dyDescent="0.15">
      <c r="E374" s="245"/>
      <c r="F374" s="245"/>
    </row>
    <row r="375" spans="5:6" x14ac:dyDescent="0.15">
      <c r="E375" s="245"/>
      <c r="F375" s="245"/>
    </row>
    <row r="376" spans="5:6" x14ac:dyDescent="0.15">
      <c r="E376" s="245"/>
      <c r="F376" s="245"/>
    </row>
    <row r="377" spans="5:6" x14ac:dyDescent="0.15">
      <c r="E377" s="245"/>
      <c r="F377" s="245"/>
    </row>
    <row r="378" spans="5:6" x14ac:dyDescent="0.15">
      <c r="E378" s="245"/>
      <c r="F378" s="245"/>
    </row>
    <row r="379" spans="5:6" x14ac:dyDescent="0.15">
      <c r="E379" s="245"/>
      <c r="F379" s="245"/>
    </row>
    <row r="380" spans="5:6" x14ac:dyDescent="0.15">
      <c r="E380" s="245"/>
      <c r="F380" s="245"/>
    </row>
    <row r="381" spans="5:6" x14ac:dyDescent="0.15">
      <c r="E381" s="245"/>
      <c r="F381" s="245"/>
    </row>
    <row r="382" spans="5:6" x14ac:dyDescent="0.15">
      <c r="E382" s="245"/>
      <c r="F382" s="245"/>
    </row>
    <row r="383" spans="5:6" x14ac:dyDescent="0.15">
      <c r="E383" s="245"/>
      <c r="F383" s="245"/>
    </row>
    <row r="384" spans="5:6" x14ac:dyDescent="0.15">
      <c r="E384" s="245"/>
      <c r="F384" s="245"/>
    </row>
    <row r="385" spans="5:6" x14ac:dyDescent="0.15">
      <c r="E385" s="245"/>
      <c r="F385" s="245"/>
    </row>
    <row r="386" spans="5:6" x14ac:dyDescent="0.15">
      <c r="E386" s="245"/>
      <c r="F386" s="245"/>
    </row>
    <row r="387" spans="5:6" x14ac:dyDescent="0.15">
      <c r="E387" s="245"/>
      <c r="F387" s="245"/>
    </row>
    <row r="388" spans="5:6" x14ac:dyDescent="0.15">
      <c r="E388" s="245"/>
      <c r="F388" s="245"/>
    </row>
    <row r="389" spans="5:6" x14ac:dyDescent="0.15">
      <c r="E389" s="245"/>
      <c r="F389" s="245"/>
    </row>
    <row r="390" spans="5:6" x14ac:dyDescent="0.15">
      <c r="E390" s="245"/>
      <c r="F390" s="245"/>
    </row>
    <row r="391" spans="5:6" x14ac:dyDescent="0.15">
      <c r="E391" s="245"/>
      <c r="F391" s="245"/>
    </row>
    <row r="392" spans="5:6" x14ac:dyDescent="0.15">
      <c r="E392" s="245"/>
      <c r="F392" s="245"/>
    </row>
    <row r="393" spans="5:6" x14ac:dyDescent="0.15">
      <c r="E393" s="245"/>
      <c r="F393" s="245"/>
    </row>
    <row r="394" spans="5:6" x14ac:dyDescent="0.15">
      <c r="E394" s="245"/>
      <c r="F394" s="245"/>
    </row>
    <row r="395" spans="5:6" x14ac:dyDescent="0.15">
      <c r="E395" s="245"/>
      <c r="F395" s="245"/>
    </row>
    <row r="396" spans="5:6" x14ac:dyDescent="0.15">
      <c r="E396" s="245"/>
      <c r="F396" s="245"/>
    </row>
    <row r="397" spans="5:6" x14ac:dyDescent="0.15">
      <c r="E397" s="245"/>
      <c r="F397" s="245"/>
    </row>
    <row r="398" spans="5:6" x14ac:dyDescent="0.15">
      <c r="E398" s="245"/>
      <c r="F398" s="245"/>
    </row>
    <row r="399" spans="5:6" x14ac:dyDescent="0.15">
      <c r="E399" s="245"/>
      <c r="F399" s="245"/>
    </row>
    <row r="400" spans="5:6" x14ac:dyDescent="0.15">
      <c r="E400" s="245"/>
      <c r="F400" s="245"/>
    </row>
    <row r="401" spans="5:6" x14ac:dyDescent="0.15">
      <c r="E401" s="245"/>
      <c r="F401" s="245"/>
    </row>
    <row r="402" spans="5:6" x14ac:dyDescent="0.15">
      <c r="E402" s="245"/>
      <c r="F402" s="245"/>
    </row>
    <row r="403" spans="5:6" x14ac:dyDescent="0.15">
      <c r="E403" s="245"/>
      <c r="F403" s="245"/>
    </row>
    <row r="404" spans="5:6" x14ac:dyDescent="0.15">
      <c r="E404" s="245"/>
      <c r="F404" s="245"/>
    </row>
    <row r="405" spans="5:6" x14ac:dyDescent="0.15">
      <c r="E405" s="245"/>
      <c r="F405" s="245"/>
    </row>
    <row r="406" spans="5:6" x14ac:dyDescent="0.15">
      <c r="E406" s="245"/>
      <c r="F406" s="245"/>
    </row>
    <row r="407" spans="5:6" x14ac:dyDescent="0.15">
      <c r="E407" s="245"/>
      <c r="F407" s="245"/>
    </row>
    <row r="408" spans="5:6" x14ac:dyDescent="0.15">
      <c r="E408" s="245"/>
      <c r="F408" s="245"/>
    </row>
    <row r="409" spans="5:6" x14ac:dyDescent="0.15">
      <c r="E409" s="245"/>
      <c r="F409" s="245"/>
    </row>
    <row r="410" spans="5:6" x14ac:dyDescent="0.15">
      <c r="E410" s="245"/>
      <c r="F410" s="245"/>
    </row>
    <row r="411" spans="5:6" x14ac:dyDescent="0.15">
      <c r="E411" s="245"/>
      <c r="F411" s="245"/>
    </row>
    <row r="412" spans="5:6" x14ac:dyDescent="0.15">
      <c r="E412" s="245"/>
      <c r="F412" s="245"/>
    </row>
    <row r="413" spans="5:6" x14ac:dyDescent="0.15">
      <c r="E413" s="245"/>
      <c r="F413" s="245"/>
    </row>
    <row r="414" spans="5:6" x14ac:dyDescent="0.15">
      <c r="E414" s="245"/>
      <c r="F414" s="245"/>
    </row>
    <row r="415" spans="5:6" x14ac:dyDescent="0.15">
      <c r="E415" s="245"/>
      <c r="F415" s="245"/>
    </row>
    <row r="416" spans="5:6" x14ac:dyDescent="0.15">
      <c r="E416" s="245"/>
      <c r="F416" s="245"/>
    </row>
    <row r="417" spans="5:6" x14ac:dyDescent="0.15">
      <c r="E417" s="245"/>
      <c r="F417" s="245"/>
    </row>
    <row r="418" spans="5:6" x14ac:dyDescent="0.15">
      <c r="E418" s="245"/>
      <c r="F418" s="245"/>
    </row>
    <row r="419" spans="5:6" x14ac:dyDescent="0.15">
      <c r="E419" s="245"/>
      <c r="F419" s="245"/>
    </row>
    <row r="420" spans="5:6" x14ac:dyDescent="0.15">
      <c r="E420" s="245"/>
      <c r="F420" s="245"/>
    </row>
    <row r="421" spans="5:6" x14ac:dyDescent="0.15">
      <c r="E421" s="245"/>
      <c r="F421" s="245"/>
    </row>
    <row r="422" spans="5:6" x14ac:dyDescent="0.15">
      <c r="E422" s="245"/>
      <c r="F422" s="245"/>
    </row>
    <row r="423" spans="5:6" x14ac:dyDescent="0.15">
      <c r="E423" s="245"/>
      <c r="F423" s="245"/>
    </row>
    <row r="424" spans="5:6" x14ac:dyDescent="0.15">
      <c r="E424" s="245"/>
      <c r="F424" s="245"/>
    </row>
    <row r="425" spans="5:6" x14ac:dyDescent="0.15">
      <c r="E425" s="245"/>
      <c r="F425" s="245"/>
    </row>
    <row r="426" spans="5:6" x14ac:dyDescent="0.15">
      <c r="E426" s="245"/>
      <c r="F426" s="245"/>
    </row>
    <row r="427" spans="5:6" x14ac:dyDescent="0.15">
      <c r="E427" s="245"/>
      <c r="F427" s="245"/>
    </row>
    <row r="428" spans="5:6" x14ac:dyDescent="0.15">
      <c r="E428" s="245"/>
      <c r="F428" s="245"/>
    </row>
    <row r="429" spans="5:6" x14ac:dyDescent="0.15">
      <c r="E429" s="245"/>
      <c r="F429" s="245"/>
    </row>
    <row r="430" spans="5:6" x14ac:dyDescent="0.15">
      <c r="E430" s="245"/>
      <c r="F430" s="245"/>
    </row>
    <row r="431" spans="5:6" x14ac:dyDescent="0.15">
      <c r="E431" s="245"/>
      <c r="F431" s="245"/>
    </row>
    <row r="432" spans="5:6" x14ac:dyDescent="0.15">
      <c r="E432" s="245"/>
      <c r="F432" s="245"/>
    </row>
    <row r="433" spans="5:6" x14ac:dyDescent="0.15">
      <c r="E433" s="245"/>
      <c r="F433" s="245"/>
    </row>
    <row r="434" spans="5:6" x14ac:dyDescent="0.15">
      <c r="E434" s="245"/>
      <c r="F434" s="245"/>
    </row>
    <row r="435" spans="5:6" x14ac:dyDescent="0.15">
      <c r="E435" s="245"/>
      <c r="F435" s="245"/>
    </row>
    <row r="436" spans="5:6" x14ac:dyDescent="0.15">
      <c r="E436" s="245"/>
      <c r="F436" s="245"/>
    </row>
    <row r="437" spans="5:6" x14ac:dyDescent="0.15">
      <c r="E437" s="245"/>
      <c r="F437" s="245"/>
    </row>
    <row r="438" spans="5:6" x14ac:dyDescent="0.15">
      <c r="E438" s="245"/>
      <c r="F438" s="245"/>
    </row>
    <row r="439" spans="5:6" x14ac:dyDescent="0.15">
      <c r="E439" s="245"/>
      <c r="F439" s="245"/>
    </row>
    <row r="440" spans="5:6" x14ac:dyDescent="0.15">
      <c r="E440" s="245"/>
      <c r="F440" s="245"/>
    </row>
    <row r="441" spans="5:6" x14ac:dyDescent="0.15">
      <c r="E441" s="245"/>
      <c r="F441" s="245"/>
    </row>
    <row r="442" spans="5:6" x14ac:dyDescent="0.15">
      <c r="E442" s="245"/>
      <c r="F442" s="245"/>
    </row>
    <row r="443" spans="5:6" x14ac:dyDescent="0.15">
      <c r="E443" s="245"/>
      <c r="F443" s="245"/>
    </row>
    <row r="444" spans="5:6" x14ac:dyDescent="0.15">
      <c r="E444" s="245"/>
      <c r="F444" s="245"/>
    </row>
    <row r="445" spans="5:6" x14ac:dyDescent="0.15">
      <c r="E445" s="245"/>
      <c r="F445" s="245"/>
    </row>
    <row r="446" spans="5:6" x14ac:dyDescent="0.15">
      <c r="E446" s="245"/>
      <c r="F446" s="245"/>
    </row>
    <row r="447" spans="5:6" x14ac:dyDescent="0.15">
      <c r="E447" s="245"/>
      <c r="F447" s="245"/>
    </row>
    <row r="448" spans="5:6" x14ac:dyDescent="0.15">
      <c r="E448" s="245"/>
      <c r="F448" s="245"/>
    </row>
    <row r="449" spans="5:6" x14ac:dyDescent="0.15">
      <c r="E449" s="245"/>
      <c r="F449" s="245"/>
    </row>
    <row r="450" spans="5:6" x14ac:dyDescent="0.15">
      <c r="E450" s="245"/>
      <c r="F450" s="245"/>
    </row>
    <row r="451" spans="5:6" x14ac:dyDescent="0.15">
      <c r="E451" s="245"/>
      <c r="F451" s="245"/>
    </row>
    <row r="452" spans="5:6" x14ac:dyDescent="0.15">
      <c r="E452" s="245"/>
      <c r="F452" s="245"/>
    </row>
    <row r="453" spans="5:6" x14ac:dyDescent="0.15">
      <c r="E453" s="245"/>
      <c r="F453" s="245"/>
    </row>
    <row r="454" spans="5:6" x14ac:dyDescent="0.15">
      <c r="E454" s="245"/>
      <c r="F454" s="245"/>
    </row>
    <row r="455" spans="5:6" x14ac:dyDescent="0.15">
      <c r="E455" s="245"/>
      <c r="F455" s="245"/>
    </row>
    <row r="456" spans="5:6" x14ac:dyDescent="0.15">
      <c r="E456" s="245"/>
      <c r="F456" s="245"/>
    </row>
    <row r="457" spans="5:6" x14ac:dyDescent="0.15">
      <c r="E457" s="245"/>
      <c r="F457" s="245"/>
    </row>
    <row r="458" spans="5:6" x14ac:dyDescent="0.15">
      <c r="E458" s="245"/>
      <c r="F458" s="245"/>
    </row>
    <row r="459" spans="5:6" x14ac:dyDescent="0.15">
      <c r="E459" s="245"/>
      <c r="F459" s="245"/>
    </row>
    <row r="460" spans="5:6" x14ac:dyDescent="0.15">
      <c r="E460" s="245"/>
      <c r="F460" s="245"/>
    </row>
    <row r="461" spans="5:6" x14ac:dyDescent="0.15">
      <c r="E461" s="245"/>
      <c r="F461" s="245"/>
    </row>
    <row r="462" spans="5:6" x14ac:dyDescent="0.15">
      <c r="E462" s="245"/>
      <c r="F462" s="245"/>
    </row>
    <row r="463" spans="5:6" x14ac:dyDescent="0.15">
      <c r="E463" s="245"/>
      <c r="F463" s="245"/>
    </row>
    <row r="464" spans="5:6" x14ac:dyDescent="0.15">
      <c r="E464" s="245"/>
      <c r="F464" s="245"/>
    </row>
    <row r="465" spans="5:6" x14ac:dyDescent="0.15">
      <c r="E465" s="245"/>
      <c r="F465" s="245"/>
    </row>
    <row r="466" spans="5:6" x14ac:dyDescent="0.15">
      <c r="E466" s="245"/>
      <c r="F466" s="245"/>
    </row>
    <row r="467" spans="5:6" x14ac:dyDescent="0.15">
      <c r="E467" s="245"/>
      <c r="F467" s="245"/>
    </row>
    <row r="468" spans="5:6" x14ac:dyDescent="0.15">
      <c r="E468" s="245"/>
      <c r="F468" s="245"/>
    </row>
    <row r="469" spans="5:6" x14ac:dyDescent="0.15">
      <c r="E469" s="245"/>
      <c r="F469" s="245"/>
    </row>
    <row r="470" spans="5:6" x14ac:dyDescent="0.15">
      <c r="E470" s="245"/>
      <c r="F470" s="245"/>
    </row>
    <row r="471" spans="5:6" x14ac:dyDescent="0.15">
      <c r="E471" s="245"/>
      <c r="F471" s="245"/>
    </row>
    <row r="472" spans="5:6" x14ac:dyDescent="0.15">
      <c r="E472" s="245"/>
      <c r="F472" s="245"/>
    </row>
    <row r="473" spans="5:6" x14ac:dyDescent="0.15">
      <c r="E473" s="245"/>
      <c r="F473" s="245"/>
    </row>
    <row r="474" spans="5:6" x14ac:dyDescent="0.15">
      <c r="E474" s="245"/>
      <c r="F474" s="245"/>
    </row>
    <row r="475" spans="5:6" x14ac:dyDescent="0.15">
      <c r="E475" s="245"/>
      <c r="F475" s="245"/>
    </row>
    <row r="476" spans="5:6" x14ac:dyDescent="0.15">
      <c r="E476" s="245"/>
      <c r="F476" s="245"/>
    </row>
    <row r="477" spans="5:6" x14ac:dyDescent="0.15">
      <c r="E477" s="245"/>
      <c r="F477" s="245"/>
    </row>
    <row r="478" spans="5:6" x14ac:dyDescent="0.15">
      <c r="E478" s="245"/>
      <c r="F478" s="245"/>
    </row>
    <row r="479" spans="5:6" x14ac:dyDescent="0.15">
      <c r="E479" s="245"/>
      <c r="F479" s="245"/>
    </row>
    <row r="480" spans="5:6" x14ac:dyDescent="0.15">
      <c r="E480" s="245"/>
      <c r="F480" s="245"/>
    </row>
    <row r="481" spans="5:6" x14ac:dyDescent="0.15">
      <c r="E481" s="245"/>
      <c r="F481" s="245"/>
    </row>
    <row r="482" spans="5:6" x14ac:dyDescent="0.15">
      <c r="E482" s="245"/>
      <c r="F482" s="245"/>
    </row>
    <row r="483" spans="5:6" x14ac:dyDescent="0.15">
      <c r="E483" s="245"/>
      <c r="F483" s="245"/>
    </row>
    <row r="484" spans="5:6" x14ac:dyDescent="0.15">
      <c r="E484" s="245"/>
      <c r="F484" s="245"/>
    </row>
    <row r="485" spans="5:6" x14ac:dyDescent="0.15">
      <c r="E485" s="245"/>
      <c r="F485" s="245"/>
    </row>
    <row r="486" spans="5:6" x14ac:dyDescent="0.15">
      <c r="E486" s="245"/>
      <c r="F486" s="245"/>
    </row>
    <row r="487" spans="5:6" x14ac:dyDescent="0.15">
      <c r="E487" s="245"/>
      <c r="F487" s="245"/>
    </row>
    <row r="488" spans="5:6" x14ac:dyDescent="0.15">
      <c r="E488" s="245"/>
      <c r="F488" s="245"/>
    </row>
    <row r="489" spans="5:6" x14ac:dyDescent="0.15">
      <c r="E489" s="245"/>
      <c r="F489" s="245"/>
    </row>
    <row r="490" spans="5:6" x14ac:dyDescent="0.15">
      <c r="E490" s="245"/>
      <c r="F490" s="245"/>
    </row>
    <row r="491" spans="5:6" x14ac:dyDescent="0.15">
      <c r="E491" s="245"/>
      <c r="F491" s="245"/>
    </row>
    <row r="492" spans="5:6" x14ac:dyDescent="0.15">
      <c r="E492" s="245"/>
      <c r="F492" s="245"/>
    </row>
    <row r="493" spans="5:6" x14ac:dyDescent="0.15">
      <c r="E493" s="245"/>
      <c r="F493" s="245"/>
    </row>
    <row r="494" spans="5:6" x14ac:dyDescent="0.15">
      <c r="E494" s="245"/>
      <c r="F494" s="245"/>
    </row>
    <row r="495" spans="5:6" x14ac:dyDescent="0.15">
      <c r="E495" s="245"/>
      <c r="F495" s="245"/>
    </row>
    <row r="496" spans="5:6" x14ac:dyDescent="0.15">
      <c r="E496" s="245"/>
      <c r="F496" s="245"/>
    </row>
    <row r="497" spans="5:6" x14ac:dyDescent="0.15">
      <c r="E497" s="245"/>
      <c r="F497" s="245"/>
    </row>
    <row r="498" spans="5:6" x14ac:dyDescent="0.15">
      <c r="E498" s="245"/>
      <c r="F498" s="245"/>
    </row>
    <row r="499" spans="5:6" x14ac:dyDescent="0.15">
      <c r="E499" s="245"/>
      <c r="F499" s="245"/>
    </row>
    <row r="500" spans="5:6" x14ac:dyDescent="0.15">
      <c r="E500" s="245"/>
      <c r="F500" s="245"/>
    </row>
    <row r="501" spans="5:6" x14ac:dyDescent="0.15">
      <c r="E501" s="245"/>
      <c r="F501" s="245"/>
    </row>
    <row r="502" spans="5:6" x14ac:dyDescent="0.15">
      <c r="E502" s="245"/>
      <c r="F502" s="245"/>
    </row>
    <row r="503" spans="5:6" x14ac:dyDescent="0.15">
      <c r="E503" s="245"/>
      <c r="F503" s="245"/>
    </row>
    <row r="504" spans="5:6" x14ac:dyDescent="0.15">
      <c r="E504" s="245"/>
      <c r="F504" s="245"/>
    </row>
    <row r="505" spans="5:6" x14ac:dyDescent="0.15">
      <c r="E505" s="245"/>
      <c r="F505" s="245"/>
    </row>
    <row r="506" spans="5:6" x14ac:dyDescent="0.15">
      <c r="E506" s="245"/>
      <c r="F506" s="245"/>
    </row>
    <row r="507" spans="5:6" x14ac:dyDescent="0.15">
      <c r="E507" s="245"/>
      <c r="F507" s="245"/>
    </row>
    <row r="508" spans="5:6" x14ac:dyDescent="0.15">
      <c r="E508" s="245"/>
      <c r="F508" s="245"/>
    </row>
    <row r="509" spans="5:6" x14ac:dyDescent="0.15">
      <c r="E509" s="245"/>
      <c r="F509" s="245"/>
    </row>
    <row r="510" spans="5:6" x14ac:dyDescent="0.15">
      <c r="E510" s="245"/>
      <c r="F510" s="245"/>
    </row>
    <row r="511" spans="5:6" x14ac:dyDescent="0.15">
      <c r="E511" s="245"/>
      <c r="F511" s="245"/>
    </row>
    <row r="512" spans="5:6" x14ac:dyDescent="0.15">
      <c r="E512" s="245"/>
      <c r="F512" s="245"/>
    </row>
    <row r="513" spans="5:6" x14ac:dyDescent="0.15">
      <c r="E513" s="245"/>
      <c r="F513" s="245"/>
    </row>
    <row r="514" spans="5:6" x14ac:dyDescent="0.15">
      <c r="E514" s="245"/>
      <c r="F514" s="245"/>
    </row>
    <row r="515" spans="5:6" x14ac:dyDescent="0.15">
      <c r="E515" s="245"/>
      <c r="F515" s="245"/>
    </row>
    <row r="516" spans="5:6" x14ac:dyDescent="0.15">
      <c r="E516" s="245"/>
      <c r="F516" s="245"/>
    </row>
    <row r="517" spans="5:6" x14ac:dyDescent="0.15">
      <c r="E517" s="245"/>
      <c r="F517" s="245"/>
    </row>
    <row r="518" spans="5:6" x14ac:dyDescent="0.15">
      <c r="E518" s="245"/>
      <c r="F518" s="245"/>
    </row>
    <row r="519" spans="5:6" x14ac:dyDescent="0.15">
      <c r="E519" s="245"/>
      <c r="F519" s="245"/>
    </row>
    <row r="520" spans="5:6" x14ac:dyDescent="0.15">
      <c r="E520" s="245"/>
      <c r="F520" s="245"/>
    </row>
    <row r="521" spans="5:6" x14ac:dyDescent="0.15">
      <c r="E521" s="245"/>
      <c r="F521" s="245"/>
    </row>
    <row r="522" spans="5:6" x14ac:dyDescent="0.15">
      <c r="E522" s="245"/>
      <c r="F522" s="245"/>
    </row>
    <row r="523" spans="5:6" x14ac:dyDescent="0.15">
      <c r="E523" s="245"/>
      <c r="F523" s="245"/>
    </row>
    <row r="524" spans="5:6" x14ac:dyDescent="0.15">
      <c r="E524" s="245"/>
      <c r="F524" s="245"/>
    </row>
    <row r="525" spans="5:6" x14ac:dyDescent="0.15">
      <c r="E525" s="245"/>
      <c r="F525" s="245"/>
    </row>
    <row r="526" spans="5:6" x14ac:dyDescent="0.15">
      <c r="E526" s="245"/>
      <c r="F526" s="245"/>
    </row>
    <row r="527" spans="5:6" x14ac:dyDescent="0.15">
      <c r="E527" s="245"/>
      <c r="F527" s="245"/>
    </row>
    <row r="528" spans="5:6" x14ac:dyDescent="0.15">
      <c r="E528" s="245"/>
      <c r="F528" s="245"/>
    </row>
    <row r="529" spans="5:6" x14ac:dyDescent="0.15">
      <c r="E529" s="245"/>
      <c r="F529" s="245"/>
    </row>
    <row r="530" spans="5:6" x14ac:dyDescent="0.15">
      <c r="E530" s="245"/>
      <c r="F530" s="245"/>
    </row>
    <row r="531" spans="5:6" x14ac:dyDescent="0.15">
      <c r="E531" s="245"/>
      <c r="F531" s="245"/>
    </row>
    <row r="532" spans="5:6" x14ac:dyDescent="0.15">
      <c r="E532" s="245"/>
      <c r="F532" s="245"/>
    </row>
    <row r="533" spans="5:6" x14ac:dyDescent="0.15">
      <c r="E533" s="245"/>
      <c r="F533" s="245"/>
    </row>
    <row r="534" spans="5:6" x14ac:dyDescent="0.15">
      <c r="E534" s="245"/>
      <c r="F534" s="245"/>
    </row>
    <row r="535" spans="5:6" x14ac:dyDescent="0.15">
      <c r="E535" s="245"/>
      <c r="F535" s="245"/>
    </row>
    <row r="536" spans="5:6" x14ac:dyDescent="0.15">
      <c r="E536" s="245"/>
      <c r="F536" s="245"/>
    </row>
    <row r="537" spans="5:6" x14ac:dyDescent="0.15">
      <c r="E537" s="245"/>
      <c r="F537" s="245"/>
    </row>
    <row r="538" spans="5:6" x14ac:dyDescent="0.15">
      <c r="E538" s="245"/>
      <c r="F538" s="245"/>
    </row>
    <row r="539" spans="5:6" x14ac:dyDescent="0.15">
      <c r="E539" s="245"/>
      <c r="F539" s="245"/>
    </row>
    <row r="540" spans="5:6" x14ac:dyDescent="0.15">
      <c r="E540" s="245"/>
      <c r="F540" s="245"/>
    </row>
    <row r="541" spans="5:6" x14ac:dyDescent="0.15">
      <c r="E541" s="245"/>
      <c r="F541" s="245"/>
    </row>
    <row r="542" spans="5:6" x14ac:dyDescent="0.15">
      <c r="E542" s="245"/>
      <c r="F542" s="245"/>
    </row>
    <row r="543" spans="5:6" x14ac:dyDescent="0.15">
      <c r="E543" s="245"/>
      <c r="F543" s="245"/>
    </row>
    <row r="544" spans="5:6" x14ac:dyDescent="0.15">
      <c r="E544" s="245"/>
      <c r="F544" s="245"/>
    </row>
    <row r="545" spans="5:6" x14ac:dyDescent="0.15">
      <c r="E545" s="245"/>
      <c r="F545" s="245"/>
    </row>
    <row r="546" spans="5:6" x14ac:dyDescent="0.15">
      <c r="E546" s="245"/>
      <c r="F546" s="245"/>
    </row>
    <row r="547" spans="5:6" x14ac:dyDescent="0.15">
      <c r="E547" s="245"/>
      <c r="F547" s="245"/>
    </row>
    <row r="548" spans="5:6" x14ac:dyDescent="0.15">
      <c r="E548" s="245"/>
      <c r="F548" s="245"/>
    </row>
    <row r="549" spans="5:6" x14ac:dyDescent="0.15">
      <c r="E549" s="245"/>
      <c r="F549" s="245"/>
    </row>
    <row r="550" spans="5:6" x14ac:dyDescent="0.15">
      <c r="E550" s="245"/>
      <c r="F550" s="245"/>
    </row>
    <row r="551" spans="5:6" x14ac:dyDescent="0.15">
      <c r="E551" s="245"/>
      <c r="F551" s="245"/>
    </row>
    <row r="552" spans="5:6" x14ac:dyDescent="0.15">
      <c r="E552" s="245"/>
      <c r="F552" s="245"/>
    </row>
    <row r="553" spans="5:6" x14ac:dyDescent="0.15">
      <c r="E553" s="245"/>
      <c r="F553" s="245"/>
    </row>
    <row r="554" spans="5:6" x14ac:dyDescent="0.15">
      <c r="E554" s="245"/>
      <c r="F554" s="245"/>
    </row>
    <row r="555" spans="5:6" x14ac:dyDescent="0.15">
      <c r="E555" s="245"/>
      <c r="F555" s="245"/>
    </row>
    <row r="556" spans="5:6" x14ac:dyDescent="0.15">
      <c r="E556" s="245"/>
      <c r="F556" s="245"/>
    </row>
    <row r="557" spans="5:6" x14ac:dyDescent="0.15">
      <c r="E557" s="245"/>
      <c r="F557" s="245"/>
    </row>
    <row r="558" spans="5:6" x14ac:dyDescent="0.15">
      <c r="E558" s="245"/>
      <c r="F558" s="245"/>
    </row>
    <row r="559" spans="5:6" x14ac:dyDescent="0.15">
      <c r="E559" s="245"/>
      <c r="F559" s="245"/>
    </row>
    <row r="560" spans="5:6" x14ac:dyDescent="0.15">
      <c r="E560" s="245"/>
      <c r="F560" s="245"/>
    </row>
    <row r="561" spans="5:6" x14ac:dyDescent="0.15">
      <c r="E561" s="245"/>
      <c r="F561" s="245"/>
    </row>
    <row r="562" spans="5:6" x14ac:dyDescent="0.15">
      <c r="E562" s="245"/>
      <c r="F562" s="245"/>
    </row>
    <row r="563" spans="5:6" x14ac:dyDescent="0.15">
      <c r="E563" s="245"/>
      <c r="F563" s="245"/>
    </row>
    <row r="564" spans="5:6" x14ac:dyDescent="0.15">
      <c r="E564" s="245"/>
      <c r="F564" s="245"/>
    </row>
    <row r="565" spans="5:6" x14ac:dyDescent="0.15">
      <c r="E565" s="245"/>
      <c r="F565" s="245"/>
    </row>
    <row r="566" spans="5:6" x14ac:dyDescent="0.15">
      <c r="E566" s="245"/>
      <c r="F566" s="245"/>
    </row>
    <row r="567" spans="5:6" x14ac:dyDescent="0.15">
      <c r="E567" s="245"/>
      <c r="F567" s="245"/>
    </row>
    <row r="568" spans="5:6" x14ac:dyDescent="0.15">
      <c r="E568" s="245"/>
      <c r="F568" s="245"/>
    </row>
    <row r="569" spans="5:6" x14ac:dyDescent="0.15">
      <c r="E569" s="245"/>
      <c r="F569" s="245"/>
    </row>
    <row r="570" spans="5:6" x14ac:dyDescent="0.15">
      <c r="E570" s="245"/>
      <c r="F570" s="245"/>
    </row>
    <row r="571" spans="5:6" x14ac:dyDescent="0.15">
      <c r="E571" s="245"/>
      <c r="F571" s="245"/>
    </row>
    <row r="572" spans="5:6" x14ac:dyDescent="0.15">
      <c r="E572" s="245"/>
      <c r="F572" s="245"/>
    </row>
    <row r="573" spans="5:6" x14ac:dyDescent="0.15">
      <c r="E573" s="245"/>
      <c r="F573" s="245"/>
    </row>
    <row r="574" spans="5:6" x14ac:dyDescent="0.15">
      <c r="E574" s="245"/>
      <c r="F574" s="245"/>
    </row>
    <row r="575" spans="5:6" x14ac:dyDescent="0.15">
      <c r="E575" s="245"/>
      <c r="F575" s="245"/>
    </row>
    <row r="576" spans="5:6" x14ac:dyDescent="0.15">
      <c r="E576" s="245"/>
      <c r="F576" s="245"/>
    </row>
    <row r="577" spans="5:6" x14ac:dyDescent="0.15">
      <c r="E577" s="245"/>
      <c r="F577" s="245"/>
    </row>
    <row r="578" spans="5:6" x14ac:dyDescent="0.15">
      <c r="E578" s="245"/>
      <c r="F578" s="245"/>
    </row>
    <row r="579" spans="5:6" x14ac:dyDescent="0.15">
      <c r="E579" s="245"/>
      <c r="F579" s="245"/>
    </row>
    <row r="580" spans="5:6" x14ac:dyDescent="0.15">
      <c r="E580" s="245"/>
      <c r="F580" s="245"/>
    </row>
    <row r="581" spans="5:6" x14ac:dyDescent="0.15">
      <c r="E581" s="245"/>
      <c r="F581" s="245"/>
    </row>
    <row r="582" spans="5:6" x14ac:dyDescent="0.15">
      <c r="E582" s="245"/>
      <c r="F582" s="245"/>
    </row>
    <row r="583" spans="5:6" x14ac:dyDescent="0.15">
      <c r="E583" s="245"/>
      <c r="F583" s="245"/>
    </row>
    <row r="584" spans="5:6" x14ac:dyDescent="0.15">
      <c r="E584" s="245"/>
      <c r="F584" s="245"/>
    </row>
    <row r="585" spans="5:6" x14ac:dyDescent="0.15">
      <c r="E585" s="245"/>
      <c r="F585" s="245"/>
    </row>
    <row r="586" spans="5:6" x14ac:dyDescent="0.15">
      <c r="E586" s="245"/>
      <c r="F586" s="245"/>
    </row>
    <row r="587" spans="5:6" x14ac:dyDescent="0.15">
      <c r="E587" s="245"/>
      <c r="F587" s="245"/>
    </row>
    <row r="588" spans="5:6" x14ac:dyDescent="0.15">
      <c r="E588" s="245"/>
      <c r="F588" s="245"/>
    </row>
    <row r="589" spans="5:6" x14ac:dyDescent="0.15">
      <c r="E589" s="245"/>
      <c r="F589" s="245"/>
    </row>
    <row r="590" spans="5:6" x14ac:dyDescent="0.15">
      <c r="E590" s="245"/>
      <c r="F590" s="245"/>
    </row>
    <row r="591" spans="5:6" x14ac:dyDescent="0.15">
      <c r="E591" s="245"/>
      <c r="F591" s="245"/>
    </row>
    <row r="592" spans="5:6" x14ac:dyDescent="0.15">
      <c r="E592" s="245"/>
      <c r="F592" s="245"/>
    </row>
    <row r="593" spans="5:6" x14ac:dyDescent="0.15">
      <c r="E593" s="245"/>
      <c r="F593" s="245"/>
    </row>
    <row r="594" spans="5:6" x14ac:dyDescent="0.15">
      <c r="E594" s="245"/>
      <c r="F594" s="245"/>
    </row>
    <row r="595" spans="5:6" x14ac:dyDescent="0.15">
      <c r="E595" s="245"/>
      <c r="F595" s="245"/>
    </row>
    <row r="596" spans="5:6" x14ac:dyDescent="0.15">
      <c r="E596" s="245"/>
      <c r="F596" s="245"/>
    </row>
    <row r="597" spans="5:6" x14ac:dyDescent="0.15">
      <c r="E597" s="245"/>
      <c r="F597" s="245"/>
    </row>
    <row r="598" spans="5:6" x14ac:dyDescent="0.15">
      <c r="E598" s="245"/>
      <c r="F598" s="245"/>
    </row>
    <row r="599" spans="5:6" x14ac:dyDescent="0.15">
      <c r="E599" s="245"/>
      <c r="F599" s="245"/>
    </row>
    <row r="600" spans="5:6" x14ac:dyDescent="0.15">
      <c r="E600" s="245"/>
      <c r="F600" s="245"/>
    </row>
    <row r="601" spans="5:6" x14ac:dyDescent="0.15">
      <c r="E601" s="245"/>
      <c r="F601" s="245"/>
    </row>
    <row r="602" spans="5:6" x14ac:dyDescent="0.15">
      <c r="E602" s="245"/>
      <c r="F602" s="245"/>
    </row>
    <row r="603" spans="5:6" x14ac:dyDescent="0.15">
      <c r="E603" s="245"/>
      <c r="F603" s="245"/>
    </row>
    <row r="604" spans="5:6" x14ac:dyDescent="0.15">
      <c r="E604" s="245"/>
      <c r="F604" s="245"/>
    </row>
    <row r="605" spans="5:6" x14ac:dyDescent="0.15">
      <c r="E605" s="245"/>
      <c r="F605" s="245"/>
    </row>
    <row r="606" spans="5:6" x14ac:dyDescent="0.15">
      <c r="E606" s="245"/>
      <c r="F606" s="245"/>
    </row>
    <row r="607" spans="5:6" x14ac:dyDescent="0.15">
      <c r="E607" s="245"/>
      <c r="F607" s="245"/>
    </row>
    <row r="608" spans="5:6" x14ac:dyDescent="0.15">
      <c r="E608" s="245"/>
      <c r="F608" s="245"/>
    </row>
    <row r="609" spans="5:6" x14ac:dyDescent="0.15">
      <c r="E609" s="245"/>
      <c r="F609" s="245"/>
    </row>
    <row r="610" spans="5:6" x14ac:dyDescent="0.15">
      <c r="E610" s="245"/>
      <c r="F610" s="245"/>
    </row>
    <row r="611" spans="5:6" x14ac:dyDescent="0.15">
      <c r="E611" s="245"/>
      <c r="F611" s="245"/>
    </row>
    <row r="612" spans="5:6" x14ac:dyDescent="0.15">
      <c r="E612" s="245"/>
      <c r="F612" s="245"/>
    </row>
    <row r="613" spans="5:6" x14ac:dyDescent="0.15">
      <c r="E613" s="245"/>
      <c r="F613" s="245"/>
    </row>
    <row r="614" spans="5:6" x14ac:dyDescent="0.15">
      <c r="E614" s="245"/>
      <c r="F614" s="245"/>
    </row>
    <row r="615" spans="5:6" x14ac:dyDescent="0.15">
      <c r="E615" s="245"/>
      <c r="F615" s="245"/>
    </row>
    <row r="616" spans="5:6" x14ac:dyDescent="0.15">
      <c r="E616" s="245"/>
      <c r="F616" s="245"/>
    </row>
    <row r="617" spans="5:6" x14ac:dyDescent="0.15">
      <c r="E617" s="245"/>
      <c r="F617" s="245"/>
    </row>
    <row r="618" spans="5:6" x14ac:dyDescent="0.15">
      <c r="E618" s="245"/>
      <c r="F618" s="245"/>
    </row>
    <row r="619" spans="5:6" x14ac:dyDescent="0.15">
      <c r="E619" s="245"/>
      <c r="F619" s="245"/>
    </row>
    <row r="620" spans="5:6" x14ac:dyDescent="0.15">
      <c r="E620" s="245"/>
      <c r="F620" s="245"/>
    </row>
    <row r="621" spans="5:6" x14ac:dyDescent="0.15">
      <c r="E621" s="245"/>
      <c r="F621" s="245"/>
    </row>
    <row r="622" spans="5:6" x14ac:dyDescent="0.15">
      <c r="E622" s="245"/>
      <c r="F622" s="245"/>
    </row>
    <row r="623" spans="5:6" x14ac:dyDescent="0.15">
      <c r="E623" s="245"/>
      <c r="F623" s="245"/>
    </row>
    <row r="624" spans="5:6" x14ac:dyDescent="0.15">
      <c r="E624" s="245"/>
      <c r="F624" s="245"/>
    </row>
    <row r="625" spans="5:6" x14ac:dyDescent="0.15">
      <c r="E625" s="245"/>
      <c r="F625" s="245"/>
    </row>
    <row r="626" spans="5:6" x14ac:dyDescent="0.15">
      <c r="E626" s="245"/>
      <c r="F626" s="245"/>
    </row>
    <row r="627" spans="5:6" x14ac:dyDescent="0.15">
      <c r="E627" s="245"/>
      <c r="F627" s="245"/>
    </row>
    <row r="628" spans="5:6" x14ac:dyDescent="0.15">
      <c r="E628" s="245"/>
      <c r="F628" s="245"/>
    </row>
    <row r="629" spans="5:6" x14ac:dyDescent="0.15">
      <c r="E629" s="245"/>
      <c r="F629" s="245"/>
    </row>
    <row r="630" spans="5:6" x14ac:dyDescent="0.15">
      <c r="E630" s="245"/>
      <c r="F630" s="245"/>
    </row>
    <row r="631" spans="5:6" x14ac:dyDescent="0.15">
      <c r="E631" s="245"/>
      <c r="F631" s="245"/>
    </row>
    <row r="632" spans="5:6" x14ac:dyDescent="0.15">
      <c r="E632" s="245"/>
      <c r="F632" s="245"/>
    </row>
    <row r="633" spans="5:6" x14ac:dyDescent="0.15">
      <c r="E633" s="245"/>
      <c r="F633" s="245"/>
    </row>
    <row r="634" spans="5:6" x14ac:dyDescent="0.15">
      <c r="E634" s="245"/>
      <c r="F634" s="245"/>
    </row>
    <row r="635" spans="5:6" x14ac:dyDescent="0.15">
      <c r="E635" s="245"/>
      <c r="F635" s="245"/>
    </row>
    <row r="636" spans="5:6" x14ac:dyDescent="0.15">
      <c r="E636" s="245"/>
      <c r="F636" s="245"/>
    </row>
    <row r="637" spans="5:6" x14ac:dyDescent="0.15">
      <c r="E637" s="245"/>
      <c r="F637" s="245"/>
    </row>
    <row r="638" spans="5:6" x14ac:dyDescent="0.15">
      <c r="E638" s="245"/>
      <c r="F638" s="245"/>
    </row>
    <row r="639" spans="5:6" x14ac:dyDescent="0.15">
      <c r="E639" s="245"/>
      <c r="F639" s="245"/>
    </row>
    <row r="640" spans="5:6" x14ac:dyDescent="0.15">
      <c r="E640" s="245"/>
      <c r="F640" s="245"/>
    </row>
    <row r="641" spans="5:6" x14ac:dyDescent="0.15">
      <c r="E641" s="245"/>
      <c r="F641" s="245"/>
    </row>
    <row r="642" spans="5:6" x14ac:dyDescent="0.15">
      <c r="E642" s="245"/>
      <c r="F642" s="245"/>
    </row>
    <row r="643" spans="5:6" x14ac:dyDescent="0.15">
      <c r="E643" s="245"/>
      <c r="F643" s="245"/>
    </row>
    <row r="644" spans="5:6" x14ac:dyDescent="0.15">
      <c r="E644" s="245"/>
      <c r="F644" s="245"/>
    </row>
    <row r="645" spans="5:6" x14ac:dyDescent="0.15">
      <c r="E645" s="245"/>
      <c r="F645" s="245"/>
    </row>
    <row r="646" spans="5:6" x14ac:dyDescent="0.15">
      <c r="E646" s="245"/>
      <c r="F646" s="245"/>
    </row>
    <row r="647" spans="5:6" x14ac:dyDescent="0.15">
      <c r="E647" s="245"/>
      <c r="F647" s="245"/>
    </row>
    <row r="648" spans="5:6" x14ac:dyDescent="0.15">
      <c r="E648" s="245"/>
      <c r="F648" s="245"/>
    </row>
    <row r="649" spans="5:6" x14ac:dyDescent="0.15">
      <c r="E649" s="245"/>
      <c r="F649" s="245"/>
    </row>
    <row r="650" spans="5:6" x14ac:dyDescent="0.15">
      <c r="E650" s="245"/>
      <c r="F650" s="245"/>
    </row>
    <row r="651" spans="5:6" x14ac:dyDescent="0.15">
      <c r="E651" s="245"/>
      <c r="F651" s="245"/>
    </row>
    <row r="652" spans="5:6" x14ac:dyDescent="0.15">
      <c r="E652" s="245"/>
      <c r="F652" s="245"/>
    </row>
    <row r="653" spans="5:6" x14ac:dyDescent="0.15">
      <c r="E653" s="245"/>
      <c r="F653" s="245"/>
    </row>
    <row r="654" spans="5:6" x14ac:dyDescent="0.15">
      <c r="E654" s="245"/>
      <c r="F654" s="245"/>
    </row>
    <row r="655" spans="5:6" x14ac:dyDescent="0.15">
      <c r="E655" s="245"/>
      <c r="F655" s="245"/>
    </row>
    <row r="656" spans="5:6" x14ac:dyDescent="0.15">
      <c r="E656" s="245"/>
      <c r="F656" s="245"/>
    </row>
    <row r="657" spans="5:6" x14ac:dyDescent="0.15">
      <c r="E657" s="245"/>
      <c r="F657" s="245"/>
    </row>
    <row r="658" spans="5:6" x14ac:dyDescent="0.15">
      <c r="E658" s="245"/>
      <c r="F658" s="245"/>
    </row>
    <row r="659" spans="5:6" x14ac:dyDescent="0.15">
      <c r="E659" s="245"/>
      <c r="F659" s="245"/>
    </row>
    <row r="660" spans="5:6" x14ac:dyDescent="0.15">
      <c r="E660" s="245"/>
      <c r="F660" s="245"/>
    </row>
    <row r="661" spans="5:6" x14ac:dyDescent="0.15">
      <c r="E661" s="245"/>
      <c r="F661" s="245"/>
    </row>
    <row r="662" spans="5:6" x14ac:dyDescent="0.15">
      <c r="E662" s="245"/>
      <c r="F662" s="245"/>
    </row>
    <row r="663" spans="5:6" x14ac:dyDescent="0.15">
      <c r="E663" s="245"/>
      <c r="F663" s="245"/>
    </row>
    <row r="664" spans="5:6" x14ac:dyDescent="0.15">
      <c r="E664" s="245"/>
      <c r="F664" s="245"/>
    </row>
    <row r="665" spans="5:6" x14ac:dyDescent="0.15">
      <c r="E665" s="245"/>
      <c r="F665" s="245"/>
    </row>
    <row r="666" spans="5:6" x14ac:dyDescent="0.15">
      <c r="E666" s="245"/>
      <c r="F666" s="245"/>
    </row>
    <row r="667" spans="5:6" x14ac:dyDescent="0.15">
      <c r="E667" s="245"/>
      <c r="F667" s="245"/>
    </row>
    <row r="668" spans="5:6" x14ac:dyDescent="0.15">
      <c r="E668" s="245"/>
      <c r="F668" s="245"/>
    </row>
    <row r="669" spans="5:6" x14ac:dyDescent="0.15">
      <c r="E669" s="245"/>
      <c r="F669" s="245"/>
    </row>
    <row r="670" spans="5:6" x14ac:dyDescent="0.15">
      <c r="E670" s="245"/>
      <c r="F670" s="245"/>
    </row>
    <row r="671" spans="5:6" x14ac:dyDescent="0.15">
      <c r="E671" s="245"/>
      <c r="F671" s="245"/>
    </row>
    <row r="672" spans="5:6" x14ac:dyDescent="0.15">
      <c r="E672" s="245"/>
      <c r="F672" s="245"/>
    </row>
    <row r="673" spans="5:6" x14ac:dyDescent="0.15">
      <c r="E673" s="245"/>
      <c r="F673" s="245"/>
    </row>
    <row r="674" spans="5:6" x14ac:dyDescent="0.15">
      <c r="E674" s="245"/>
      <c r="F674" s="245"/>
    </row>
    <row r="675" spans="5:6" x14ac:dyDescent="0.15">
      <c r="E675" s="245"/>
      <c r="F675" s="245"/>
    </row>
    <row r="676" spans="5:6" x14ac:dyDescent="0.15">
      <c r="E676" s="245"/>
      <c r="F676" s="245"/>
    </row>
    <row r="677" spans="5:6" x14ac:dyDescent="0.15">
      <c r="E677" s="245"/>
      <c r="F677" s="245"/>
    </row>
    <row r="678" spans="5:6" x14ac:dyDescent="0.15">
      <c r="E678" s="245"/>
      <c r="F678" s="245"/>
    </row>
    <row r="679" spans="5:6" x14ac:dyDescent="0.15">
      <c r="E679" s="245"/>
      <c r="F679" s="245"/>
    </row>
    <row r="680" spans="5:6" x14ac:dyDescent="0.15">
      <c r="E680" s="245"/>
      <c r="F680" s="245"/>
    </row>
    <row r="681" spans="5:6" x14ac:dyDescent="0.15">
      <c r="E681" s="245"/>
      <c r="F681" s="245"/>
    </row>
    <row r="682" spans="5:6" x14ac:dyDescent="0.15">
      <c r="E682" s="245"/>
      <c r="F682" s="245"/>
    </row>
    <row r="683" spans="5:6" x14ac:dyDescent="0.15">
      <c r="E683" s="245"/>
      <c r="F683" s="245"/>
    </row>
    <row r="684" spans="5:6" x14ac:dyDescent="0.15">
      <c r="E684" s="245"/>
      <c r="F684" s="245"/>
    </row>
    <row r="685" spans="5:6" x14ac:dyDescent="0.15">
      <c r="E685" s="245"/>
      <c r="F685" s="245"/>
    </row>
    <row r="686" spans="5:6" x14ac:dyDescent="0.15">
      <c r="E686" s="245"/>
      <c r="F686" s="245"/>
    </row>
    <row r="687" spans="5:6" x14ac:dyDescent="0.15">
      <c r="E687" s="245"/>
      <c r="F687" s="245"/>
    </row>
    <row r="688" spans="5:6" x14ac:dyDescent="0.15">
      <c r="E688" s="245"/>
      <c r="F688" s="245"/>
    </row>
    <row r="689" spans="5:6" x14ac:dyDescent="0.15">
      <c r="E689" s="245"/>
      <c r="F689" s="245"/>
    </row>
    <row r="690" spans="5:6" x14ac:dyDescent="0.15">
      <c r="E690" s="245"/>
      <c r="F690" s="245"/>
    </row>
    <row r="691" spans="5:6" x14ac:dyDescent="0.15">
      <c r="E691" s="245"/>
      <c r="F691" s="245"/>
    </row>
    <row r="692" spans="5:6" x14ac:dyDescent="0.15">
      <c r="E692" s="245"/>
      <c r="F692" s="245"/>
    </row>
    <row r="693" spans="5:6" x14ac:dyDescent="0.15">
      <c r="E693" s="245"/>
      <c r="F693" s="245"/>
    </row>
    <row r="694" spans="5:6" x14ac:dyDescent="0.15">
      <c r="E694" s="245"/>
      <c r="F694" s="245"/>
    </row>
    <row r="695" spans="5:6" x14ac:dyDescent="0.15">
      <c r="E695" s="245"/>
      <c r="F695" s="245"/>
    </row>
    <row r="696" spans="5:6" x14ac:dyDescent="0.15">
      <c r="E696" s="245"/>
      <c r="F696" s="245"/>
    </row>
    <row r="697" spans="5:6" x14ac:dyDescent="0.15">
      <c r="E697" s="245"/>
      <c r="F697" s="245"/>
    </row>
    <row r="698" spans="5:6" x14ac:dyDescent="0.15">
      <c r="E698" s="245"/>
      <c r="F698" s="245"/>
    </row>
    <row r="699" spans="5:6" x14ac:dyDescent="0.15">
      <c r="E699" s="245"/>
      <c r="F699" s="245"/>
    </row>
    <row r="700" spans="5:6" x14ac:dyDescent="0.15">
      <c r="E700" s="245"/>
      <c r="F700" s="245"/>
    </row>
    <row r="701" spans="5:6" x14ac:dyDescent="0.15">
      <c r="E701" s="245"/>
      <c r="F701" s="245"/>
    </row>
    <row r="702" spans="5:6" x14ac:dyDescent="0.15">
      <c r="E702" s="245"/>
      <c r="F702" s="245"/>
    </row>
    <row r="703" spans="5:6" x14ac:dyDescent="0.15">
      <c r="E703" s="245"/>
      <c r="F703" s="245"/>
    </row>
    <row r="704" spans="5:6" x14ac:dyDescent="0.15">
      <c r="E704" s="245"/>
      <c r="F704" s="245"/>
    </row>
    <row r="705" spans="5:5" x14ac:dyDescent="0.15">
      <c r="E705" s="245"/>
    </row>
  </sheetData>
  <autoFilter ref="A1:BA64"/>
  <phoneticPr fontId="3"/>
  <dataValidations count="13">
    <dataValidation type="decimal" allowBlank="1" showInputMessage="1" showErrorMessage="1" error="硬度を正しく入力して下さい。" sqref="O2:P473">
      <formula1>0</formula1>
      <formula2>7</formula2>
    </dataValidation>
    <dataValidation type="list" allowBlank="1" showInputMessage="1" showErrorMessage="1" sqref="H65511:H65588 H131047:H131124 H196583:H196660 H262119:H262196 H327655:H327732 H393191:H393268 H458727:H458804 H524263:H524340 H589799:H589876 H655335:H655412 H720871:H720948 H786407:H786484 H851943:H852020 H917479:H917556 H983015:H983092 JD2:JD55 JD65511:JD65588 JD131047:JD131124 JD196583:JD196660 JD262119:JD262196 JD327655:JD327732 JD393191:JD393268 JD458727:JD458804 JD524263:JD524340 JD589799:JD589876 JD655335:JD655412 JD720871:JD720948 JD786407:JD786484 JD851943:JD852020 JD917479:JD917556 JD983015:JD983092 SZ2:SZ55 SZ65511:SZ65588 SZ131047:SZ131124 SZ196583:SZ196660 SZ262119:SZ262196 SZ327655:SZ327732 SZ393191:SZ393268 SZ458727:SZ458804 SZ524263:SZ524340 SZ589799:SZ589876 SZ655335:SZ655412 SZ720871:SZ720948 SZ786407:SZ786484 SZ851943:SZ852020 SZ917479:SZ917556 SZ983015:SZ983092 ACV2:ACV55 ACV65511:ACV65588 ACV131047:ACV131124 ACV196583:ACV196660 ACV262119:ACV262196 ACV327655:ACV327732 ACV393191:ACV393268 ACV458727:ACV458804 ACV524263:ACV524340 ACV589799:ACV589876 ACV655335:ACV655412 ACV720871:ACV720948 ACV786407:ACV786484 ACV851943:ACV852020 ACV917479:ACV917556 ACV983015:ACV983092 AMR2:AMR55 AMR65511:AMR65588 AMR131047:AMR131124 AMR196583:AMR196660 AMR262119:AMR262196 AMR327655:AMR327732 AMR393191:AMR393268 AMR458727:AMR458804 AMR524263:AMR524340 AMR589799:AMR589876 AMR655335:AMR655412 AMR720871:AMR720948 AMR786407:AMR786484 AMR851943:AMR852020 AMR917479:AMR917556 AMR983015:AMR983092 AWN2:AWN55 AWN65511:AWN65588 AWN131047:AWN131124 AWN196583:AWN196660 AWN262119:AWN262196 AWN327655:AWN327732 AWN393191:AWN393268 AWN458727:AWN458804 AWN524263:AWN524340 AWN589799:AWN589876 AWN655335:AWN655412 AWN720871:AWN720948 AWN786407:AWN786484 AWN851943:AWN852020 AWN917479:AWN917556 AWN983015:AWN983092 BGJ2:BGJ55 BGJ65511:BGJ65588 BGJ131047:BGJ131124 BGJ196583:BGJ196660 BGJ262119:BGJ262196 BGJ327655:BGJ327732 BGJ393191:BGJ393268 BGJ458727:BGJ458804 BGJ524263:BGJ524340 BGJ589799:BGJ589876 BGJ655335:BGJ655412 BGJ720871:BGJ720948 BGJ786407:BGJ786484 BGJ851943:BGJ852020 BGJ917479:BGJ917556 BGJ983015:BGJ983092 BQF2:BQF55 BQF65511:BQF65588 BQF131047:BQF131124 BQF196583:BQF196660 BQF262119:BQF262196 BQF327655:BQF327732 BQF393191:BQF393268 BQF458727:BQF458804 BQF524263:BQF524340 BQF589799:BQF589876 BQF655335:BQF655412 BQF720871:BQF720948 BQF786407:BQF786484 BQF851943:BQF852020 BQF917479:BQF917556 BQF983015:BQF983092 CAB2:CAB55 CAB65511:CAB65588 CAB131047:CAB131124 CAB196583:CAB196660 CAB262119:CAB262196 CAB327655:CAB327732 CAB393191:CAB393268 CAB458727:CAB458804 CAB524263:CAB524340 CAB589799:CAB589876 CAB655335:CAB655412 CAB720871:CAB720948 CAB786407:CAB786484 CAB851943:CAB852020 CAB917479:CAB917556 CAB983015:CAB983092 CJX2:CJX55 CJX65511:CJX65588 CJX131047:CJX131124 CJX196583:CJX196660 CJX262119:CJX262196 CJX327655:CJX327732 CJX393191:CJX393268 CJX458727:CJX458804 CJX524263:CJX524340 CJX589799:CJX589876 CJX655335:CJX655412 CJX720871:CJX720948 CJX786407:CJX786484 CJX851943:CJX852020 CJX917479:CJX917556 CJX983015:CJX983092 CTT2:CTT55 CTT65511:CTT65588 CTT131047:CTT131124 CTT196583:CTT196660 CTT262119:CTT262196 CTT327655:CTT327732 CTT393191:CTT393268 CTT458727:CTT458804 CTT524263:CTT524340 CTT589799:CTT589876 CTT655335:CTT655412 CTT720871:CTT720948 CTT786407:CTT786484 CTT851943:CTT852020 CTT917479:CTT917556 CTT983015:CTT983092 DDP2:DDP55 DDP65511:DDP65588 DDP131047:DDP131124 DDP196583:DDP196660 DDP262119:DDP262196 DDP327655:DDP327732 DDP393191:DDP393268 DDP458727:DDP458804 DDP524263:DDP524340 DDP589799:DDP589876 DDP655335:DDP655412 DDP720871:DDP720948 DDP786407:DDP786484 DDP851943:DDP852020 DDP917479:DDP917556 DDP983015:DDP983092 DNL2:DNL55 DNL65511:DNL65588 DNL131047:DNL131124 DNL196583:DNL196660 DNL262119:DNL262196 DNL327655:DNL327732 DNL393191:DNL393268 DNL458727:DNL458804 DNL524263:DNL524340 DNL589799:DNL589876 DNL655335:DNL655412 DNL720871:DNL720948 DNL786407:DNL786484 DNL851943:DNL852020 DNL917479:DNL917556 DNL983015:DNL983092 DXH2:DXH55 DXH65511:DXH65588 DXH131047:DXH131124 DXH196583:DXH196660 DXH262119:DXH262196 DXH327655:DXH327732 DXH393191:DXH393268 DXH458727:DXH458804 DXH524263:DXH524340 DXH589799:DXH589876 DXH655335:DXH655412 DXH720871:DXH720948 DXH786407:DXH786484 DXH851943:DXH852020 DXH917479:DXH917556 DXH983015:DXH983092 EHD2:EHD55 EHD65511:EHD65588 EHD131047:EHD131124 EHD196583:EHD196660 EHD262119:EHD262196 EHD327655:EHD327732 EHD393191:EHD393268 EHD458727:EHD458804 EHD524263:EHD524340 EHD589799:EHD589876 EHD655335:EHD655412 EHD720871:EHD720948 EHD786407:EHD786484 EHD851943:EHD852020 EHD917479:EHD917556 EHD983015:EHD983092 EQZ2:EQZ55 EQZ65511:EQZ65588 EQZ131047:EQZ131124 EQZ196583:EQZ196660 EQZ262119:EQZ262196 EQZ327655:EQZ327732 EQZ393191:EQZ393268 EQZ458727:EQZ458804 EQZ524263:EQZ524340 EQZ589799:EQZ589876 EQZ655335:EQZ655412 EQZ720871:EQZ720948 EQZ786407:EQZ786484 EQZ851943:EQZ852020 EQZ917479:EQZ917556 EQZ983015:EQZ983092 FAV2:FAV55 FAV65511:FAV65588 FAV131047:FAV131124 FAV196583:FAV196660 FAV262119:FAV262196 FAV327655:FAV327732 FAV393191:FAV393268 FAV458727:FAV458804 FAV524263:FAV524340 FAV589799:FAV589876 FAV655335:FAV655412 FAV720871:FAV720948 FAV786407:FAV786484 FAV851943:FAV852020 FAV917479:FAV917556 FAV983015:FAV983092 FKR2:FKR55 FKR65511:FKR65588 FKR131047:FKR131124 FKR196583:FKR196660 FKR262119:FKR262196 FKR327655:FKR327732 FKR393191:FKR393268 FKR458727:FKR458804 FKR524263:FKR524340 FKR589799:FKR589876 FKR655335:FKR655412 FKR720871:FKR720948 FKR786407:FKR786484 FKR851943:FKR852020 FKR917479:FKR917556 FKR983015:FKR983092 FUN2:FUN55 FUN65511:FUN65588 FUN131047:FUN131124 FUN196583:FUN196660 FUN262119:FUN262196 FUN327655:FUN327732 FUN393191:FUN393268 FUN458727:FUN458804 FUN524263:FUN524340 FUN589799:FUN589876 FUN655335:FUN655412 FUN720871:FUN720948 FUN786407:FUN786484 FUN851943:FUN852020 FUN917479:FUN917556 FUN983015:FUN983092 GEJ2:GEJ55 GEJ65511:GEJ65588 GEJ131047:GEJ131124 GEJ196583:GEJ196660 GEJ262119:GEJ262196 GEJ327655:GEJ327732 GEJ393191:GEJ393268 GEJ458727:GEJ458804 GEJ524263:GEJ524340 GEJ589799:GEJ589876 GEJ655335:GEJ655412 GEJ720871:GEJ720948 GEJ786407:GEJ786484 GEJ851943:GEJ852020 GEJ917479:GEJ917556 GEJ983015:GEJ983092 GOF2:GOF55 GOF65511:GOF65588 GOF131047:GOF131124 GOF196583:GOF196660 GOF262119:GOF262196 GOF327655:GOF327732 GOF393191:GOF393268 GOF458727:GOF458804 GOF524263:GOF524340 GOF589799:GOF589876 GOF655335:GOF655412 GOF720871:GOF720948 GOF786407:GOF786484 GOF851943:GOF852020 GOF917479:GOF917556 GOF983015:GOF983092 GYB2:GYB55 GYB65511:GYB65588 GYB131047:GYB131124 GYB196583:GYB196660 GYB262119:GYB262196 GYB327655:GYB327732 GYB393191:GYB393268 GYB458727:GYB458804 GYB524263:GYB524340 GYB589799:GYB589876 GYB655335:GYB655412 GYB720871:GYB720948 GYB786407:GYB786484 GYB851943:GYB852020 GYB917479:GYB917556 GYB983015:GYB983092 HHX2:HHX55 HHX65511:HHX65588 HHX131047:HHX131124 HHX196583:HHX196660 HHX262119:HHX262196 HHX327655:HHX327732 HHX393191:HHX393268 HHX458727:HHX458804 HHX524263:HHX524340 HHX589799:HHX589876 HHX655335:HHX655412 HHX720871:HHX720948 HHX786407:HHX786484 HHX851943:HHX852020 HHX917479:HHX917556 HHX983015:HHX983092 HRT2:HRT55 HRT65511:HRT65588 HRT131047:HRT131124 HRT196583:HRT196660 HRT262119:HRT262196 HRT327655:HRT327732 HRT393191:HRT393268 HRT458727:HRT458804 HRT524263:HRT524340 HRT589799:HRT589876 HRT655335:HRT655412 HRT720871:HRT720948 HRT786407:HRT786484 HRT851943:HRT852020 HRT917479:HRT917556 HRT983015:HRT983092 IBP2:IBP55 IBP65511:IBP65588 IBP131047:IBP131124 IBP196583:IBP196660 IBP262119:IBP262196 IBP327655:IBP327732 IBP393191:IBP393268 IBP458727:IBP458804 IBP524263:IBP524340 IBP589799:IBP589876 IBP655335:IBP655412 IBP720871:IBP720948 IBP786407:IBP786484 IBP851943:IBP852020 IBP917479:IBP917556 IBP983015:IBP983092 ILL2:ILL55 ILL65511:ILL65588 ILL131047:ILL131124 ILL196583:ILL196660 ILL262119:ILL262196 ILL327655:ILL327732 ILL393191:ILL393268 ILL458727:ILL458804 ILL524263:ILL524340 ILL589799:ILL589876 ILL655335:ILL655412 ILL720871:ILL720948 ILL786407:ILL786484 ILL851943:ILL852020 ILL917479:ILL917556 ILL983015:ILL983092 IVH2:IVH55 IVH65511:IVH65588 IVH131047:IVH131124 IVH196583:IVH196660 IVH262119:IVH262196 IVH327655:IVH327732 IVH393191:IVH393268 IVH458727:IVH458804 IVH524263:IVH524340 IVH589799:IVH589876 IVH655335:IVH655412 IVH720871:IVH720948 IVH786407:IVH786484 IVH851943:IVH852020 IVH917479:IVH917556 IVH983015:IVH983092 JFD2:JFD55 JFD65511:JFD65588 JFD131047:JFD131124 JFD196583:JFD196660 JFD262119:JFD262196 JFD327655:JFD327732 JFD393191:JFD393268 JFD458727:JFD458804 JFD524263:JFD524340 JFD589799:JFD589876 JFD655335:JFD655412 JFD720871:JFD720948 JFD786407:JFD786484 JFD851943:JFD852020 JFD917479:JFD917556 JFD983015:JFD983092 JOZ2:JOZ55 JOZ65511:JOZ65588 JOZ131047:JOZ131124 JOZ196583:JOZ196660 JOZ262119:JOZ262196 JOZ327655:JOZ327732 JOZ393191:JOZ393268 JOZ458727:JOZ458804 JOZ524263:JOZ524340 JOZ589799:JOZ589876 JOZ655335:JOZ655412 JOZ720871:JOZ720948 JOZ786407:JOZ786484 JOZ851943:JOZ852020 JOZ917479:JOZ917556 JOZ983015:JOZ983092 JYV2:JYV55 JYV65511:JYV65588 JYV131047:JYV131124 JYV196583:JYV196660 JYV262119:JYV262196 JYV327655:JYV327732 JYV393191:JYV393268 JYV458727:JYV458804 JYV524263:JYV524340 JYV589799:JYV589876 JYV655335:JYV655412 JYV720871:JYV720948 JYV786407:JYV786484 JYV851943:JYV852020 JYV917479:JYV917556 JYV983015:JYV983092 KIR2:KIR55 KIR65511:KIR65588 KIR131047:KIR131124 KIR196583:KIR196660 KIR262119:KIR262196 KIR327655:KIR327732 KIR393191:KIR393268 KIR458727:KIR458804 KIR524263:KIR524340 KIR589799:KIR589876 KIR655335:KIR655412 KIR720871:KIR720948 KIR786407:KIR786484 KIR851943:KIR852020 KIR917479:KIR917556 KIR983015:KIR983092 KSN2:KSN55 KSN65511:KSN65588 KSN131047:KSN131124 KSN196583:KSN196660 KSN262119:KSN262196 KSN327655:KSN327732 KSN393191:KSN393268 KSN458727:KSN458804 KSN524263:KSN524340 KSN589799:KSN589876 KSN655335:KSN655412 KSN720871:KSN720948 KSN786407:KSN786484 KSN851943:KSN852020 KSN917479:KSN917556 KSN983015:KSN983092 LCJ2:LCJ55 LCJ65511:LCJ65588 LCJ131047:LCJ131124 LCJ196583:LCJ196660 LCJ262119:LCJ262196 LCJ327655:LCJ327732 LCJ393191:LCJ393268 LCJ458727:LCJ458804 LCJ524263:LCJ524340 LCJ589799:LCJ589876 LCJ655335:LCJ655412 LCJ720871:LCJ720948 LCJ786407:LCJ786484 LCJ851943:LCJ852020 LCJ917479:LCJ917556 LCJ983015:LCJ983092 LMF2:LMF55 LMF65511:LMF65588 LMF131047:LMF131124 LMF196583:LMF196660 LMF262119:LMF262196 LMF327655:LMF327732 LMF393191:LMF393268 LMF458727:LMF458804 LMF524263:LMF524340 LMF589799:LMF589876 LMF655335:LMF655412 LMF720871:LMF720948 LMF786407:LMF786484 LMF851943:LMF852020 LMF917479:LMF917556 LMF983015:LMF983092 LWB2:LWB55 LWB65511:LWB65588 LWB131047:LWB131124 LWB196583:LWB196660 LWB262119:LWB262196 LWB327655:LWB327732 LWB393191:LWB393268 LWB458727:LWB458804 LWB524263:LWB524340 LWB589799:LWB589876 LWB655335:LWB655412 LWB720871:LWB720948 LWB786407:LWB786484 LWB851943:LWB852020 LWB917479:LWB917556 LWB983015:LWB983092 MFX2:MFX55 MFX65511:MFX65588 MFX131047:MFX131124 MFX196583:MFX196660 MFX262119:MFX262196 MFX327655:MFX327732 MFX393191:MFX393268 MFX458727:MFX458804 MFX524263:MFX524340 MFX589799:MFX589876 MFX655335:MFX655412 MFX720871:MFX720948 MFX786407:MFX786484 MFX851943:MFX852020 MFX917479:MFX917556 MFX983015:MFX983092 MPT2:MPT55 MPT65511:MPT65588 MPT131047:MPT131124 MPT196583:MPT196660 MPT262119:MPT262196 MPT327655:MPT327732 MPT393191:MPT393268 MPT458727:MPT458804 MPT524263:MPT524340 MPT589799:MPT589876 MPT655335:MPT655412 MPT720871:MPT720948 MPT786407:MPT786484 MPT851943:MPT852020 MPT917479:MPT917556 MPT983015:MPT983092 MZP2:MZP55 MZP65511:MZP65588 MZP131047:MZP131124 MZP196583:MZP196660 MZP262119:MZP262196 MZP327655:MZP327732 MZP393191:MZP393268 MZP458727:MZP458804 MZP524263:MZP524340 MZP589799:MZP589876 MZP655335:MZP655412 MZP720871:MZP720948 MZP786407:MZP786484 MZP851943:MZP852020 MZP917479:MZP917556 MZP983015:MZP983092 NJL2:NJL55 NJL65511:NJL65588 NJL131047:NJL131124 NJL196583:NJL196660 NJL262119:NJL262196 NJL327655:NJL327732 NJL393191:NJL393268 NJL458727:NJL458804 NJL524263:NJL524340 NJL589799:NJL589876 NJL655335:NJL655412 NJL720871:NJL720948 NJL786407:NJL786484 NJL851943:NJL852020 NJL917479:NJL917556 NJL983015:NJL983092 NTH2:NTH55 NTH65511:NTH65588 NTH131047:NTH131124 NTH196583:NTH196660 NTH262119:NTH262196 NTH327655:NTH327732 NTH393191:NTH393268 NTH458727:NTH458804 NTH524263:NTH524340 NTH589799:NTH589876 NTH655335:NTH655412 NTH720871:NTH720948 NTH786407:NTH786484 NTH851943:NTH852020 NTH917479:NTH917556 NTH983015:NTH983092 ODD2:ODD55 ODD65511:ODD65588 ODD131047:ODD131124 ODD196583:ODD196660 ODD262119:ODD262196 ODD327655:ODD327732 ODD393191:ODD393268 ODD458727:ODD458804 ODD524263:ODD524340 ODD589799:ODD589876 ODD655335:ODD655412 ODD720871:ODD720948 ODD786407:ODD786484 ODD851943:ODD852020 ODD917479:ODD917556 ODD983015:ODD983092 OMZ2:OMZ55 OMZ65511:OMZ65588 OMZ131047:OMZ131124 OMZ196583:OMZ196660 OMZ262119:OMZ262196 OMZ327655:OMZ327732 OMZ393191:OMZ393268 OMZ458727:OMZ458804 OMZ524263:OMZ524340 OMZ589799:OMZ589876 OMZ655335:OMZ655412 OMZ720871:OMZ720948 OMZ786407:OMZ786484 OMZ851943:OMZ852020 OMZ917479:OMZ917556 OMZ983015:OMZ983092 OWV2:OWV55 OWV65511:OWV65588 OWV131047:OWV131124 OWV196583:OWV196660 OWV262119:OWV262196 OWV327655:OWV327732 OWV393191:OWV393268 OWV458727:OWV458804 OWV524263:OWV524340 OWV589799:OWV589876 OWV655335:OWV655412 OWV720871:OWV720948 OWV786407:OWV786484 OWV851943:OWV852020 OWV917479:OWV917556 OWV983015:OWV983092 PGR2:PGR55 PGR65511:PGR65588 PGR131047:PGR131124 PGR196583:PGR196660 PGR262119:PGR262196 PGR327655:PGR327732 PGR393191:PGR393268 PGR458727:PGR458804 PGR524263:PGR524340 PGR589799:PGR589876 PGR655335:PGR655412 PGR720871:PGR720948 PGR786407:PGR786484 PGR851943:PGR852020 PGR917479:PGR917556 PGR983015:PGR983092 PQN2:PQN55 PQN65511:PQN65588 PQN131047:PQN131124 PQN196583:PQN196660 PQN262119:PQN262196 PQN327655:PQN327732 PQN393191:PQN393268 PQN458727:PQN458804 PQN524263:PQN524340 PQN589799:PQN589876 PQN655335:PQN655412 PQN720871:PQN720948 PQN786407:PQN786484 PQN851943:PQN852020 PQN917479:PQN917556 PQN983015:PQN983092 QAJ2:QAJ55 QAJ65511:QAJ65588 QAJ131047:QAJ131124 QAJ196583:QAJ196660 QAJ262119:QAJ262196 QAJ327655:QAJ327732 QAJ393191:QAJ393268 QAJ458727:QAJ458804 QAJ524263:QAJ524340 QAJ589799:QAJ589876 QAJ655335:QAJ655412 QAJ720871:QAJ720948 QAJ786407:QAJ786484 QAJ851943:QAJ852020 QAJ917479:QAJ917556 QAJ983015:QAJ983092 QKF2:QKF55 QKF65511:QKF65588 QKF131047:QKF131124 QKF196583:QKF196660 QKF262119:QKF262196 QKF327655:QKF327732 QKF393191:QKF393268 QKF458727:QKF458804 QKF524263:QKF524340 QKF589799:QKF589876 QKF655335:QKF655412 QKF720871:QKF720948 QKF786407:QKF786484 QKF851943:QKF852020 QKF917479:QKF917556 QKF983015:QKF983092 QUB2:QUB55 QUB65511:QUB65588 QUB131047:QUB131124 QUB196583:QUB196660 QUB262119:QUB262196 QUB327655:QUB327732 QUB393191:QUB393268 QUB458727:QUB458804 QUB524263:QUB524340 QUB589799:QUB589876 QUB655335:QUB655412 QUB720871:QUB720948 QUB786407:QUB786484 QUB851943:QUB852020 QUB917479:QUB917556 QUB983015:QUB983092 RDX2:RDX55 RDX65511:RDX65588 RDX131047:RDX131124 RDX196583:RDX196660 RDX262119:RDX262196 RDX327655:RDX327732 RDX393191:RDX393268 RDX458727:RDX458804 RDX524263:RDX524340 RDX589799:RDX589876 RDX655335:RDX655412 RDX720871:RDX720948 RDX786407:RDX786484 RDX851943:RDX852020 RDX917479:RDX917556 RDX983015:RDX983092 RNT2:RNT55 RNT65511:RNT65588 RNT131047:RNT131124 RNT196583:RNT196660 RNT262119:RNT262196 RNT327655:RNT327732 RNT393191:RNT393268 RNT458727:RNT458804 RNT524263:RNT524340 RNT589799:RNT589876 RNT655335:RNT655412 RNT720871:RNT720948 RNT786407:RNT786484 RNT851943:RNT852020 RNT917479:RNT917556 RNT983015:RNT983092 RXP2:RXP55 RXP65511:RXP65588 RXP131047:RXP131124 RXP196583:RXP196660 RXP262119:RXP262196 RXP327655:RXP327732 RXP393191:RXP393268 RXP458727:RXP458804 RXP524263:RXP524340 RXP589799:RXP589876 RXP655335:RXP655412 RXP720871:RXP720948 RXP786407:RXP786484 RXP851943:RXP852020 RXP917479:RXP917556 RXP983015:RXP983092 SHL2:SHL55 SHL65511:SHL65588 SHL131047:SHL131124 SHL196583:SHL196660 SHL262119:SHL262196 SHL327655:SHL327732 SHL393191:SHL393268 SHL458727:SHL458804 SHL524263:SHL524340 SHL589799:SHL589876 SHL655335:SHL655412 SHL720871:SHL720948 SHL786407:SHL786484 SHL851943:SHL852020 SHL917479:SHL917556 SHL983015:SHL983092 SRH2:SRH55 SRH65511:SRH65588 SRH131047:SRH131124 SRH196583:SRH196660 SRH262119:SRH262196 SRH327655:SRH327732 SRH393191:SRH393268 SRH458727:SRH458804 SRH524263:SRH524340 SRH589799:SRH589876 SRH655335:SRH655412 SRH720871:SRH720948 SRH786407:SRH786484 SRH851943:SRH852020 SRH917479:SRH917556 SRH983015:SRH983092 TBD2:TBD55 TBD65511:TBD65588 TBD131047:TBD131124 TBD196583:TBD196660 TBD262119:TBD262196 TBD327655:TBD327732 TBD393191:TBD393268 TBD458727:TBD458804 TBD524263:TBD524340 TBD589799:TBD589876 TBD655335:TBD655412 TBD720871:TBD720948 TBD786407:TBD786484 TBD851943:TBD852020 TBD917479:TBD917556 TBD983015:TBD983092 TKZ2:TKZ55 TKZ65511:TKZ65588 TKZ131047:TKZ131124 TKZ196583:TKZ196660 TKZ262119:TKZ262196 TKZ327655:TKZ327732 TKZ393191:TKZ393268 TKZ458727:TKZ458804 TKZ524263:TKZ524340 TKZ589799:TKZ589876 TKZ655335:TKZ655412 TKZ720871:TKZ720948 TKZ786407:TKZ786484 TKZ851943:TKZ852020 TKZ917479:TKZ917556 TKZ983015:TKZ983092 TUV2:TUV55 TUV65511:TUV65588 TUV131047:TUV131124 TUV196583:TUV196660 TUV262119:TUV262196 TUV327655:TUV327732 TUV393191:TUV393268 TUV458727:TUV458804 TUV524263:TUV524340 TUV589799:TUV589876 TUV655335:TUV655412 TUV720871:TUV720948 TUV786407:TUV786484 TUV851943:TUV852020 TUV917479:TUV917556 TUV983015:TUV983092 UER2:UER55 UER65511:UER65588 UER131047:UER131124 UER196583:UER196660 UER262119:UER262196 UER327655:UER327732 UER393191:UER393268 UER458727:UER458804 UER524263:UER524340 UER589799:UER589876 UER655335:UER655412 UER720871:UER720948 UER786407:UER786484 UER851943:UER852020 UER917479:UER917556 UER983015:UER983092 UON2:UON55 UON65511:UON65588 UON131047:UON131124 UON196583:UON196660 UON262119:UON262196 UON327655:UON327732 UON393191:UON393268 UON458727:UON458804 UON524263:UON524340 UON589799:UON589876 UON655335:UON655412 UON720871:UON720948 UON786407:UON786484 UON851943:UON852020 UON917479:UON917556 UON983015:UON983092 UYJ2:UYJ55 UYJ65511:UYJ65588 UYJ131047:UYJ131124 UYJ196583:UYJ196660 UYJ262119:UYJ262196 UYJ327655:UYJ327732 UYJ393191:UYJ393268 UYJ458727:UYJ458804 UYJ524263:UYJ524340 UYJ589799:UYJ589876 UYJ655335:UYJ655412 UYJ720871:UYJ720948 UYJ786407:UYJ786484 UYJ851943:UYJ852020 UYJ917479:UYJ917556 UYJ983015:UYJ983092 VIF2:VIF55 VIF65511:VIF65588 VIF131047:VIF131124 VIF196583:VIF196660 VIF262119:VIF262196 VIF327655:VIF327732 VIF393191:VIF393268 VIF458727:VIF458804 VIF524263:VIF524340 VIF589799:VIF589876 VIF655335:VIF655412 VIF720871:VIF720948 VIF786407:VIF786484 VIF851943:VIF852020 VIF917479:VIF917556 VIF983015:VIF983092 VSB2:VSB55 VSB65511:VSB65588 VSB131047:VSB131124 VSB196583:VSB196660 VSB262119:VSB262196 VSB327655:VSB327732 VSB393191:VSB393268 VSB458727:VSB458804 VSB524263:VSB524340 VSB589799:VSB589876 VSB655335:VSB655412 VSB720871:VSB720948 VSB786407:VSB786484 VSB851943:VSB852020 VSB917479:VSB917556 VSB983015:VSB983092 WBX2:WBX55 WBX65511:WBX65588 WBX131047:WBX131124 WBX196583:WBX196660 WBX262119:WBX262196 WBX327655:WBX327732 WBX393191:WBX393268 WBX458727:WBX458804 WBX524263:WBX524340 WBX589799:WBX589876 WBX655335:WBX655412 WBX720871:WBX720948 WBX786407:WBX786484 WBX851943:WBX852020 WBX917479:WBX917556 WBX983015:WBX983092 WLT2:WLT55 WLT65511:WLT65588 WLT131047:WLT131124 WLT196583:WLT196660 WLT262119:WLT262196 WLT327655:WLT327732 WLT393191:WLT393268 WLT458727:WLT458804 WLT524263:WLT524340 WLT589799:WLT589876 WLT655335:WLT655412 WLT720871:WLT720948 WLT786407:WLT786484 WLT851943:WLT852020 WLT917479:WLT917556 WLT983015:WLT983092 WVP2:WVP55 WVP65511:WVP65588 WVP131047:WVP131124 WVP196583:WVP196660 WVP262119:WVP262196 WVP327655:WVP327732 WVP393191:WVP393268 WVP458727:WVP458804 WVP524263:WVP524340 WVP589799:WVP589876 WVP655335:WVP655412 WVP720871:WVP720948 WVP786407:WVP786484 WVP851943:WVP852020 WVP917479:WVP917556 WVP983015:WVP983092">
      <formula1>$AL$4:$AL$12</formula1>
    </dataValidation>
    <dataValidation type="list" allowBlank="1" showInputMessage="1" showErrorMessage="1" sqref="J2:J473 J65511:J65588 J131047:J131124 J196583:J196660 J262119:J262196 J327655:J327732 J393191:J393268 J458727:J458804 J524263:J524340 J589799:J589876 J655335:J655412 J720871:J720948 J786407:J786484 J851943:J852020 J917479:J917556 J983015:J983092 JF2:JF55 JF65511:JF65588 JF131047:JF131124 JF196583:JF196660 JF262119:JF262196 JF327655:JF327732 JF393191:JF393268 JF458727:JF458804 JF524263:JF524340 JF589799:JF589876 JF655335:JF655412 JF720871:JF720948 JF786407:JF786484 JF851943:JF852020 JF917479:JF917556 JF983015:JF983092 TB2:TB55 TB65511:TB65588 TB131047:TB131124 TB196583:TB196660 TB262119:TB262196 TB327655:TB327732 TB393191:TB393268 TB458727:TB458804 TB524263:TB524340 TB589799:TB589876 TB655335:TB655412 TB720871:TB720948 TB786407:TB786484 TB851943:TB852020 TB917479:TB917556 TB983015:TB983092 ACX2:ACX55 ACX65511:ACX65588 ACX131047:ACX131124 ACX196583:ACX196660 ACX262119:ACX262196 ACX327655:ACX327732 ACX393191:ACX393268 ACX458727:ACX458804 ACX524263:ACX524340 ACX589799:ACX589876 ACX655335:ACX655412 ACX720871:ACX720948 ACX786407:ACX786484 ACX851943:ACX852020 ACX917479:ACX917556 ACX983015:ACX983092 AMT2:AMT55 AMT65511:AMT65588 AMT131047:AMT131124 AMT196583:AMT196660 AMT262119:AMT262196 AMT327655:AMT327732 AMT393191:AMT393268 AMT458727:AMT458804 AMT524263:AMT524340 AMT589799:AMT589876 AMT655335:AMT655412 AMT720871:AMT720948 AMT786407:AMT786484 AMT851943:AMT852020 AMT917479:AMT917556 AMT983015:AMT983092 AWP2:AWP55 AWP65511:AWP65588 AWP131047:AWP131124 AWP196583:AWP196660 AWP262119:AWP262196 AWP327655:AWP327732 AWP393191:AWP393268 AWP458727:AWP458804 AWP524263:AWP524340 AWP589799:AWP589876 AWP655335:AWP655412 AWP720871:AWP720948 AWP786407:AWP786484 AWP851943:AWP852020 AWP917479:AWP917556 AWP983015:AWP983092 BGL2:BGL55 BGL65511:BGL65588 BGL131047:BGL131124 BGL196583:BGL196660 BGL262119:BGL262196 BGL327655:BGL327732 BGL393191:BGL393268 BGL458727:BGL458804 BGL524263:BGL524340 BGL589799:BGL589876 BGL655335:BGL655412 BGL720871:BGL720948 BGL786407:BGL786484 BGL851943:BGL852020 BGL917479:BGL917556 BGL983015:BGL983092 BQH2:BQH55 BQH65511:BQH65588 BQH131047:BQH131124 BQH196583:BQH196660 BQH262119:BQH262196 BQH327655:BQH327732 BQH393191:BQH393268 BQH458727:BQH458804 BQH524263:BQH524340 BQH589799:BQH589876 BQH655335:BQH655412 BQH720871:BQH720948 BQH786407:BQH786484 BQH851943:BQH852020 BQH917479:BQH917556 BQH983015:BQH983092 CAD2:CAD55 CAD65511:CAD65588 CAD131047:CAD131124 CAD196583:CAD196660 CAD262119:CAD262196 CAD327655:CAD327732 CAD393191:CAD393268 CAD458727:CAD458804 CAD524263:CAD524340 CAD589799:CAD589876 CAD655335:CAD655412 CAD720871:CAD720948 CAD786407:CAD786484 CAD851943:CAD852020 CAD917479:CAD917556 CAD983015:CAD983092 CJZ2:CJZ55 CJZ65511:CJZ65588 CJZ131047:CJZ131124 CJZ196583:CJZ196660 CJZ262119:CJZ262196 CJZ327655:CJZ327732 CJZ393191:CJZ393268 CJZ458727:CJZ458804 CJZ524263:CJZ524340 CJZ589799:CJZ589876 CJZ655335:CJZ655412 CJZ720871:CJZ720948 CJZ786407:CJZ786484 CJZ851943:CJZ852020 CJZ917479:CJZ917556 CJZ983015:CJZ983092 CTV2:CTV55 CTV65511:CTV65588 CTV131047:CTV131124 CTV196583:CTV196660 CTV262119:CTV262196 CTV327655:CTV327732 CTV393191:CTV393268 CTV458727:CTV458804 CTV524263:CTV524340 CTV589799:CTV589876 CTV655335:CTV655412 CTV720871:CTV720948 CTV786407:CTV786484 CTV851943:CTV852020 CTV917479:CTV917556 CTV983015:CTV983092 DDR2:DDR55 DDR65511:DDR65588 DDR131047:DDR131124 DDR196583:DDR196660 DDR262119:DDR262196 DDR327655:DDR327732 DDR393191:DDR393268 DDR458727:DDR458804 DDR524263:DDR524340 DDR589799:DDR589876 DDR655335:DDR655412 DDR720871:DDR720948 DDR786407:DDR786484 DDR851943:DDR852020 DDR917479:DDR917556 DDR983015:DDR983092 DNN2:DNN55 DNN65511:DNN65588 DNN131047:DNN131124 DNN196583:DNN196660 DNN262119:DNN262196 DNN327655:DNN327732 DNN393191:DNN393268 DNN458727:DNN458804 DNN524263:DNN524340 DNN589799:DNN589876 DNN655335:DNN655412 DNN720871:DNN720948 DNN786407:DNN786484 DNN851943:DNN852020 DNN917479:DNN917556 DNN983015:DNN983092 DXJ2:DXJ55 DXJ65511:DXJ65588 DXJ131047:DXJ131124 DXJ196583:DXJ196660 DXJ262119:DXJ262196 DXJ327655:DXJ327732 DXJ393191:DXJ393268 DXJ458727:DXJ458804 DXJ524263:DXJ524340 DXJ589799:DXJ589876 DXJ655335:DXJ655412 DXJ720871:DXJ720948 DXJ786407:DXJ786484 DXJ851943:DXJ852020 DXJ917479:DXJ917556 DXJ983015:DXJ983092 EHF2:EHF55 EHF65511:EHF65588 EHF131047:EHF131124 EHF196583:EHF196660 EHF262119:EHF262196 EHF327655:EHF327732 EHF393191:EHF393268 EHF458727:EHF458804 EHF524263:EHF524340 EHF589799:EHF589876 EHF655335:EHF655412 EHF720871:EHF720948 EHF786407:EHF786484 EHF851943:EHF852020 EHF917479:EHF917556 EHF983015:EHF983092 ERB2:ERB55 ERB65511:ERB65588 ERB131047:ERB131124 ERB196583:ERB196660 ERB262119:ERB262196 ERB327655:ERB327732 ERB393191:ERB393268 ERB458727:ERB458804 ERB524263:ERB524340 ERB589799:ERB589876 ERB655335:ERB655412 ERB720871:ERB720948 ERB786407:ERB786484 ERB851943:ERB852020 ERB917479:ERB917556 ERB983015:ERB983092 FAX2:FAX55 FAX65511:FAX65588 FAX131047:FAX131124 FAX196583:FAX196660 FAX262119:FAX262196 FAX327655:FAX327732 FAX393191:FAX393268 FAX458727:FAX458804 FAX524263:FAX524340 FAX589799:FAX589876 FAX655335:FAX655412 FAX720871:FAX720948 FAX786407:FAX786484 FAX851943:FAX852020 FAX917479:FAX917556 FAX983015:FAX983092 FKT2:FKT55 FKT65511:FKT65588 FKT131047:FKT131124 FKT196583:FKT196660 FKT262119:FKT262196 FKT327655:FKT327732 FKT393191:FKT393268 FKT458727:FKT458804 FKT524263:FKT524340 FKT589799:FKT589876 FKT655335:FKT655412 FKT720871:FKT720948 FKT786407:FKT786484 FKT851943:FKT852020 FKT917479:FKT917556 FKT983015:FKT983092 FUP2:FUP55 FUP65511:FUP65588 FUP131047:FUP131124 FUP196583:FUP196660 FUP262119:FUP262196 FUP327655:FUP327732 FUP393191:FUP393268 FUP458727:FUP458804 FUP524263:FUP524340 FUP589799:FUP589876 FUP655335:FUP655412 FUP720871:FUP720948 FUP786407:FUP786484 FUP851943:FUP852020 FUP917479:FUP917556 FUP983015:FUP983092 GEL2:GEL55 GEL65511:GEL65588 GEL131047:GEL131124 GEL196583:GEL196660 GEL262119:GEL262196 GEL327655:GEL327732 GEL393191:GEL393268 GEL458727:GEL458804 GEL524263:GEL524340 GEL589799:GEL589876 GEL655335:GEL655412 GEL720871:GEL720948 GEL786407:GEL786484 GEL851943:GEL852020 GEL917479:GEL917556 GEL983015:GEL983092 GOH2:GOH55 GOH65511:GOH65588 GOH131047:GOH131124 GOH196583:GOH196660 GOH262119:GOH262196 GOH327655:GOH327732 GOH393191:GOH393268 GOH458727:GOH458804 GOH524263:GOH524340 GOH589799:GOH589876 GOH655335:GOH655412 GOH720871:GOH720948 GOH786407:GOH786484 GOH851943:GOH852020 GOH917479:GOH917556 GOH983015:GOH983092 GYD2:GYD55 GYD65511:GYD65588 GYD131047:GYD131124 GYD196583:GYD196660 GYD262119:GYD262196 GYD327655:GYD327732 GYD393191:GYD393268 GYD458727:GYD458804 GYD524263:GYD524340 GYD589799:GYD589876 GYD655335:GYD655412 GYD720871:GYD720948 GYD786407:GYD786484 GYD851943:GYD852020 GYD917479:GYD917556 GYD983015:GYD983092 HHZ2:HHZ55 HHZ65511:HHZ65588 HHZ131047:HHZ131124 HHZ196583:HHZ196660 HHZ262119:HHZ262196 HHZ327655:HHZ327732 HHZ393191:HHZ393268 HHZ458727:HHZ458804 HHZ524263:HHZ524340 HHZ589799:HHZ589876 HHZ655335:HHZ655412 HHZ720871:HHZ720948 HHZ786407:HHZ786484 HHZ851943:HHZ852020 HHZ917479:HHZ917556 HHZ983015:HHZ983092 HRV2:HRV55 HRV65511:HRV65588 HRV131047:HRV131124 HRV196583:HRV196660 HRV262119:HRV262196 HRV327655:HRV327732 HRV393191:HRV393268 HRV458727:HRV458804 HRV524263:HRV524340 HRV589799:HRV589876 HRV655335:HRV655412 HRV720871:HRV720948 HRV786407:HRV786484 HRV851943:HRV852020 HRV917479:HRV917556 HRV983015:HRV983092 IBR2:IBR55 IBR65511:IBR65588 IBR131047:IBR131124 IBR196583:IBR196660 IBR262119:IBR262196 IBR327655:IBR327732 IBR393191:IBR393268 IBR458727:IBR458804 IBR524263:IBR524340 IBR589799:IBR589876 IBR655335:IBR655412 IBR720871:IBR720948 IBR786407:IBR786484 IBR851943:IBR852020 IBR917479:IBR917556 IBR983015:IBR983092 ILN2:ILN55 ILN65511:ILN65588 ILN131047:ILN131124 ILN196583:ILN196660 ILN262119:ILN262196 ILN327655:ILN327732 ILN393191:ILN393268 ILN458727:ILN458804 ILN524263:ILN524340 ILN589799:ILN589876 ILN655335:ILN655412 ILN720871:ILN720948 ILN786407:ILN786484 ILN851943:ILN852020 ILN917479:ILN917556 ILN983015:ILN983092 IVJ2:IVJ55 IVJ65511:IVJ65588 IVJ131047:IVJ131124 IVJ196583:IVJ196660 IVJ262119:IVJ262196 IVJ327655:IVJ327732 IVJ393191:IVJ393268 IVJ458727:IVJ458804 IVJ524263:IVJ524340 IVJ589799:IVJ589876 IVJ655335:IVJ655412 IVJ720871:IVJ720948 IVJ786407:IVJ786484 IVJ851943:IVJ852020 IVJ917479:IVJ917556 IVJ983015:IVJ983092 JFF2:JFF55 JFF65511:JFF65588 JFF131047:JFF131124 JFF196583:JFF196660 JFF262119:JFF262196 JFF327655:JFF327732 JFF393191:JFF393268 JFF458727:JFF458804 JFF524263:JFF524340 JFF589799:JFF589876 JFF655335:JFF655412 JFF720871:JFF720948 JFF786407:JFF786484 JFF851943:JFF852020 JFF917479:JFF917556 JFF983015:JFF983092 JPB2:JPB55 JPB65511:JPB65588 JPB131047:JPB131124 JPB196583:JPB196660 JPB262119:JPB262196 JPB327655:JPB327732 JPB393191:JPB393268 JPB458727:JPB458804 JPB524263:JPB524340 JPB589799:JPB589876 JPB655335:JPB655412 JPB720871:JPB720948 JPB786407:JPB786484 JPB851943:JPB852020 JPB917479:JPB917556 JPB983015:JPB983092 JYX2:JYX55 JYX65511:JYX65588 JYX131047:JYX131124 JYX196583:JYX196660 JYX262119:JYX262196 JYX327655:JYX327732 JYX393191:JYX393268 JYX458727:JYX458804 JYX524263:JYX524340 JYX589799:JYX589876 JYX655335:JYX655412 JYX720871:JYX720948 JYX786407:JYX786484 JYX851943:JYX852020 JYX917479:JYX917556 JYX983015:JYX983092 KIT2:KIT55 KIT65511:KIT65588 KIT131047:KIT131124 KIT196583:KIT196660 KIT262119:KIT262196 KIT327655:KIT327732 KIT393191:KIT393268 KIT458727:KIT458804 KIT524263:KIT524340 KIT589799:KIT589876 KIT655335:KIT655412 KIT720871:KIT720948 KIT786407:KIT786484 KIT851943:KIT852020 KIT917479:KIT917556 KIT983015:KIT983092 KSP2:KSP55 KSP65511:KSP65588 KSP131047:KSP131124 KSP196583:KSP196660 KSP262119:KSP262196 KSP327655:KSP327732 KSP393191:KSP393268 KSP458727:KSP458804 KSP524263:KSP524340 KSP589799:KSP589876 KSP655335:KSP655412 KSP720871:KSP720948 KSP786407:KSP786484 KSP851943:KSP852020 KSP917479:KSP917556 KSP983015:KSP983092 LCL2:LCL55 LCL65511:LCL65588 LCL131047:LCL131124 LCL196583:LCL196660 LCL262119:LCL262196 LCL327655:LCL327732 LCL393191:LCL393268 LCL458727:LCL458804 LCL524263:LCL524340 LCL589799:LCL589876 LCL655335:LCL655412 LCL720871:LCL720948 LCL786407:LCL786484 LCL851943:LCL852020 LCL917479:LCL917556 LCL983015:LCL983092 LMH2:LMH55 LMH65511:LMH65588 LMH131047:LMH131124 LMH196583:LMH196660 LMH262119:LMH262196 LMH327655:LMH327732 LMH393191:LMH393268 LMH458727:LMH458804 LMH524263:LMH524340 LMH589799:LMH589876 LMH655335:LMH655412 LMH720871:LMH720948 LMH786407:LMH786484 LMH851943:LMH852020 LMH917479:LMH917556 LMH983015:LMH983092 LWD2:LWD55 LWD65511:LWD65588 LWD131047:LWD131124 LWD196583:LWD196660 LWD262119:LWD262196 LWD327655:LWD327732 LWD393191:LWD393268 LWD458727:LWD458804 LWD524263:LWD524340 LWD589799:LWD589876 LWD655335:LWD655412 LWD720871:LWD720948 LWD786407:LWD786484 LWD851943:LWD852020 LWD917479:LWD917556 LWD983015:LWD983092 MFZ2:MFZ55 MFZ65511:MFZ65588 MFZ131047:MFZ131124 MFZ196583:MFZ196660 MFZ262119:MFZ262196 MFZ327655:MFZ327732 MFZ393191:MFZ393268 MFZ458727:MFZ458804 MFZ524263:MFZ524340 MFZ589799:MFZ589876 MFZ655335:MFZ655412 MFZ720871:MFZ720948 MFZ786407:MFZ786484 MFZ851943:MFZ852020 MFZ917479:MFZ917556 MFZ983015:MFZ983092 MPV2:MPV55 MPV65511:MPV65588 MPV131047:MPV131124 MPV196583:MPV196660 MPV262119:MPV262196 MPV327655:MPV327732 MPV393191:MPV393268 MPV458727:MPV458804 MPV524263:MPV524340 MPV589799:MPV589876 MPV655335:MPV655412 MPV720871:MPV720948 MPV786407:MPV786484 MPV851943:MPV852020 MPV917479:MPV917556 MPV983015:MPV983092 MZR2:MZR55 MZR65511:MZR65588 MZR131047:MZR131124 MZR196583:MZR196660 MZR262119:MZR262196 MZR327655:MZR327732 MZR393191:MZR393268 MZR458727:MZR458804 MZR524263:MZR524340 MZR589799:MZR589876 MZR655335:MZR655412 MZR720871:MZR720948 MZR786407:MZR786484 MZR851943:MZR852020 MZR917479:MZR917556 MZR983015:MZR983092 NJN2:NJN55 NJN65511:NJN65588 NJN131047:NJN131124 NJN196583:NJN196660 NJN262119:NJN262196 NJN327655:NJN327732 NJN393191:NJN393268 NJN458727:NJN458804 NJN524263:NJN524340 NJN589799:NJN589876 NJN655335:NJN655412 NJN720871:NJN720948 NJN786407:NJN786484 NJN851943:NJN852020 NJN917479:NJN917556 NJN983015:NJN983092 NTJ2:NTJ55 NTJ65511:NTJ65588 NTJ131047:NTJ131124 NTJ196583:NTJ196660 NTJ262119:NTJ262196 NTJ327655:NTJ327732 NTJ393191:NTJ393268 NTJ458727:NTJ458804 NTJ524263:NTJ524340 NTJ589799:NTJ589876 NTJ655335:NTJ655412 NTJ720871:NTJ720948 NTJ786407:NTJ786484 NTJ851943:NTJ852020 NTJ917479:NTJ917556 NTJ983015:NTJ983092 ODF2:ODF55 ODF65511:ODF65588 ODF131047:ODF131124 ODF196583:ODF196660 ODF262119:ODF262196 ODF327655:ODF327732 ODF393191:ODF393268 ODF458727:ODF458804 ODF524263:ODF524340 ODF589799:ODF589876 ODF655335:ODF655412 ODF720871:ODF720948 ODF786407:ODF786484 ODF851943:ODF852020 ODF917479:ODF917556 ODF983015:ODF983092 ONB2:ONB55 ONB65511:ONB65588 ONB131047:ONB131124 ONB196583:ONB196660 ONB262119:ONB262196 ONB327655:ONB327732 ONB393191:ONB393268 ONB458727:ONB458804 ONB524263:ONB524340 ONB589799:ONB589876 ONB655335:ONB655412 ONB720871:ONB720948 ONB786407:ONB786484 ONB851943:ONB852020 ONB917479:ONB917556 ONB983015:ONB983092 OWX2:OWX55 OWX65511:OWX65588 OWX131047:OWX131124 OWX196583:OWX196660 OWX262119:OWX262196 OWX327655:OWX327732 OWX393191:OWX393268 OWX458727:OWX458804 OWX524263:OWX524340 OWX589799:OWX589876 OWX655335:OWX655412 OWX720871:OWX720948 OWX786407:OWX786484 OWX851943:OWX852020 OWX917479:OWX917556 OWX983015:OWX983092 PGT2:PGT55 PGT65511:PGT65588 PGT131047:PGT131124 PGT196583:PGT196660 PGT262119:PGT262196 PGT327655:PGT327732 PGT393191:PGT393268 PGT458727:PGT458804 PGT524263:PGT524340 PGT589799:PGT589876 PGT655335:PGT655412 PGT720871:PGT720948 PGT786407:PGT786484 PGT851943:PGT852020 PGT917479:PGT917556 PGT983015:PGT983092 PQP2:PQP55 PQP65511:PQP65588 PQP131047:PQP131124 PQP196583:PQP196660 PQP262119:PQP262196 PQP327655:PQP327732 PQP393191:PQP393268 PQP458727:PQP458804 PQP524263:PQP524340 PQP589799:PQP589876 PQP655335:PQP655412 PQP720871:PQP720948 PQP786407:PQP786484 PQP851943:PQP852020 PQP917479:PQP917556 PQP983015:PQP983092 QAL2:QAL55 QAL65511:QAL65588 QAL131047:QAL131124 QAL196583:QAL196660 QAL262119:QAL262196 QAL327655:QAL327732 QAL393191:QAL393268 QAL458727:QAL458804 QAL524263:QAL524340 QAL589799:QAL589876 QAL655335:QAL655412 QAL720871:QAL720948 QAL786407:QAL786484 QAL851943:QAL852020 QAL917479:QAL917556 QAL983015:QAL983092 QKH2:QKH55 QKH65511:QKH65588 QKH131047:QKH131124 QKH196583:QKH196660 QKH262119:QKH262196 QKH327655:QKH327732 QKH393191:QKH393268 QKH458727:QKH458804 QKH524263:QKH524340 QKH589799:QKH589876 QKH655335:QKH655412 QKH720871:QKH720948 QKH786407:QKH786484 QKH851943:QKH852020 QKH917479:QKH917556 QKH983015:QKH983092 QUD2:QUD55 QUD65511:QUD65588 QUD131047:QUD131124 QUD196583:QUD196660 QUD262119:QUD262196 QUD327655:QUD327732 QUD393191:QUD393268 QUD458727:QUD458804 QUD524263:QUD524340 QUD589799:QUD589876 QUD655335:QUD655412 QUD720871:QUD720948 QUD786407:QUD786484 QUD851943:QUD852020 QUD917479:QUD917556 QUD983015:QUD983092 RDZ2:RDZ55 RDZ65511:RDZ65588 RDZ131047:RDZ131124 RDZ196583:RDZ196660 RDZ262119:RDZ262196 RDZ327655:RDZ327732 RDZ393191:RDZ393268 RDZ458727:RDZ458804 RDZ524263:RDZ524340 RDZ589799:RDZ589876 RDZ655335:RDZ655412 RDZ720871:RDZ720948 RDZ786407:RDZ786484 RDZ851943:RDZ852020 RDZ917479:RDZ917556 RDZ983015:RDZ983092 RNV2:RNV55 RNV65511:RNV65588 RNV131047:RNV131124 RNV196583:RNV196660 RNV262119:RNV262196 RNV327655:RNV327732 RNV393191:RNV393268 RNV458727:RNV458804 RNV524263:RNV524340 RNV589799:RNV589876 RNV655335:RNV655412 RNV720871:RNV720948 RNV786407:RNV786484 RNV851943:RNV852020 RNV917479:RNV917556 RNV983015:RNV983092 RXR2:RXR55 RXR65511:RXR65588 RXR131047:RXR131124 RXR196583:RXR196660 RXR262119:RXR262196 RXR327655:RXR327732 RXR393191:RXR393268 RXR458727:RXR458804 RXR524263:RXR524340 RXR589799:RXR589876 RXR655335:RXR655412 RXR720871:RXR720948 RXR786407:RXR786484 RXR851943:RXR852020 RXR917479:RXR917556 RXR983015:RXR983092 SHN2:SHN55 SHN65511:SHN65588 SHN131047:SHN131124 SHN196583:SHN196660 SHN262119:SHN262196 SHN327655:SHN327732 SHN393191:SHN393268 SHN458727:SHN458804 SHN524263:SHN524340 SHN589799:SHN589876 SHN655335:SHN655412 SHN720871:SHN720948 SHN786407:SHN786484 SHN851943:SHN852020 SHN917479:SHN917556 SHN983015:SHN983092 SRJ2:SRJ55 SRJ65511:SRJ65588 SRJ131047:SRJ131124 SRJ196583:SRJ196660 SRJ262119:SRJ262196 SRJ327655:SRJ327732 SRJ393191:SRJ393268 SRJ458727:SRJ458804 SRJ524263:SRJ524340 SRJ589799:SRJ589876 SRJ655335:SRJ655412 SRJ720871:SRJ720948 SRJ786407:SRJ786484 SRJ851943:SRJ852020 SRJ917479:SRJ917556 SRJ983015:SRJ983092 TBF2:TBF55 TBF65511:TBF65588 TBF131047:TBF131124 TBF196583:TBF196660 TBF262119:TBF262196 TBF327655:TBF327732 TBF393191:TBF393268 TBF458727:TBF458804 TBF524263:TBF524340 TBF589799:TBF589876 TBF655335:TBF655412 TBF720871:TBF720948 TBF786407:TBF786484 TBF851943:TBF852020 TBF917479:TBF917556 TBF983015:TBF983092 TLB2:TLB55 TLB65511:TLB65588 TLB131047:TLB131124 TLB196583:TLB196660 TLB262119:TLB262196 TLB327655:TLB327732 TLB393191:TLB393268 TLB458727:TLB458804 TLB524263:TLB524340 TLB589799:TLB589876 TLB655335:TLB655412 TLB720871:TLB720948 TLB786407:TLB786484 TLB851943:TLB852020 TLB917479:TLB917556 TLB983015:TLB983092 TUX2:TUX55 TUX65511:TUX65588 TUX131047:TUX131124 TUX196583:TUX196660 TUX262119:TUX262196 TUX327655:TUX327732 TUX393191:TUX393268 TUX458727:TUX458804 TUX524263:TUX524340 TUX589799:TUX589876 TUX655335:TUX655412 TUX720871:TUX720948 TUX786407:TUX786484 TUX851943:TUX852020 TUX917479:TUX917556 TUX983015:TUX983092 UET2:UET55 UET65511:UET65588 UET131047:UET131124 UET196583:UET196660 UET262119:UET262196 UET327655:UET327732 UET393191:UET393268 UET458727:UET458804 UET524263:UET524340 UET589799:UET589876 UET655335:UET655412 UET720871:UET720948 UET786407:UET786484 UET851943:UET852020 UET917479:UET917556 UET983015:UET983092 UOP2:UOP55 UOP65511:UOP65588 UOP131047:UOP131124 UOP196583:UOP196660 UOP262119:UOP262196 UOP327655:UOP327732 UOP393191:UOP393268 UOP458727:UOP458804 UOP524263:UOP524340 UOP589799:UOP589876 UOP655335:UOP655412 UOP720871:UOP720948 UOP786407:UOP786484 UOP851943:UOP852020 UOP917479:UOP917556 UOP983015:UOP983092 UYL2:UYL55 UYL65511:UYL65588 UYL131047:UYL131124 UYL196583:UYL196660 UYL262119:UYL262196 UYL327655:UYL327732 UYL393191:UYL393268 UYL458727:UYL458804 UYL524263:UYL524340 UYL589799:UYL589876 UYL655335:UYL655412 UYL720871:UYL720948 UYL786407:UYL786484 UYL851943:UYL852020 UYL917479:UYL917556 UYL983015:UYL983092 VIH2:VIH55 VIH65511:VIH65588 VIH131047:VIH131124 VIH196583:VIH196660 VIH262119:VIH262196 VIH327655:VIH327732 VIH393191:VIH393268 VIH458727:VIH458804 VIH524263:VIH524340 VIH589799:VIH589876 VIH655335:VIH655412 VIH720871:VIH720948 VIH786407:VIH786484 VIH851943:VIH852020 VIH917479:VIH917556 VIH983015:VIH983092 VSD2:VSD55 VSD65511:VSD65588 VSD131047:VSD131124 VSD196583:VSD196660 VSD262119:VSD262196 VSD327655:VSD327732 VSD393191:VSD393268 VSD458727:VSD458804 VSD524263:VSD524340 VSD589799:VSD589876 VSD655335:VSD655412 VSD720871:VSD720948 VSD786407:VSD786484 VSD851943:VSD852020 VSD917479:VSD917556 VSD983015:VSD983092 WBZ2:WBZ55 WBZ65511:WBZ65588 WBZ131047:WBZ131124 WBZ196583:WBZ196660 WBZ262119:WBZ262196 WBZ327655:WBZ327732 WBZ393191:WBZ393268 WBZ458727:WBZ458804 WBZ524263:WBZ524340 WBZ589799:WBZ589876 WBZ655335:WBZ655412 WBZ720871:WBZ720948 WBZ786407:WBZ786484 WBZ851943:WBZ852020 WBZ917479:WBZ917556 WBZ983015:WBZ983092 WLV2:WLV55 WLV65511:WLV65588 WLV131047:WLV131124 WLV196583:WLV196660 WLV262119:WLV262196 WLV327655:WLV327732 WLV393191:WLV393268 WLV458727:WLV458804 WLV524263:WLV524340 WLV589799:WLV589876 WLV655335:WLV655412 WLV720871:WLV720948 WLV786407:WLV786484 WLV851943:WLV852020 WLV917479:WLV917556 WLV983015:WLV983092 WVR2:WVR55 WVR65511:WVR65588 WVR131047:WVR131124 WVR196583:WVR196660 WVR262119:WVR262196 WVR327655:WVR327732 WVR393191:WVR393268 WVR458727:WVR458804 WVR524263:WVR524340 WVR589799:WVR589876 WVR655335:WVR655412 WVR720871:WVR720948 WVR786407:WVR786484 WVR851943:WVR852020 WVR917479:WVR917556 WVR983015:WVR983092">
      <formula1>$AP$2:$AP$22</formula1>
    </dataValidation>
    <dataValidation type="list" allowBlank="1" showInputMessage="1" showErrorMessage="1" sqref="K2:K473 K65511:K65588 K131047:K131124 K196583:K196660 K262119:K262196 K327655:K327732 K393191:K393268 K458727:K458804 K524263:K524340 K589799:K589876 K655335:K655412 K720871:K720948 K786407:K786484 K851943:K852020 K917479:K917556 K983015:K983092 JG2:JG55 JG65511:JG65588 JG131047:JG131124 JG196583:JG196660 JG262119:JG262196 JG327655:JG327732 JG393191:JG393268 JG458727:JG458804 JG524263:JG524340 JG589799:JG589876 JG655335:JG655412 JG720871:JG720948 JG786407:JG786484 JG851943:JG852020 JG917479:JG917556 JG983015:JG983092 TC2:TC55 TC65511:TC65588 TC131047:TC131124 TC196583:TC196660 TC262119:TC262196 TC327655:TC327732 TC393191:TC393268 TC458727:TC458804 TC524263:TC524340 TC589799:TC589876 TC655335:TC655412 TC720871:TC720948 TC786407:TC786484 TC851943:TC852020 TC917479:TC917556 TC983015:TC983092 ACY2:ACY55 ACY65511:ACY65588 ACY131047:ACY131124 ACY196583:ACY196660 ACY262119:ACY262196 ACY327655:ACY327732 ACY393191:ACY393268 ACY458727:ACY458804 ACY524263:ACY524340 ACY589799:ACY589876 ACY655335:ACY655412 ACY720871:ACY720948 ACY786407:ACY786484 ACY851943:ACY852020 ACY917479:ACY917556 ACY983015:ACY983092 AMU2:AMU55 AMU65511:AMU65588 AMU131047:AMU131124 AMU196583:AMU196660 AMU262119:AMU262196 AMU327655:AMU327732 AMU393191:AMU393268 AMU458727:AMU458804 AMU524263:AMU524340 AMU589799:AMU589876 AMU655335:AMU655412 AMU720871:AMU720948 AMU786407:AMU786484 AMU851943:AMU852020 AMU917479:AMU917556 AMU983015:AMU983092 AWQ2:AWQ55 AWQ65511:AWQ65588 AWQ131047:AWQ131124 AWQ196583:AWQ196660 AWQ262119:AWQ262196 AWQ327655:AWQ327732 AWQ393191:AWQ393268 AWQ458727:AWQ458804 AWQ524263:AWQ524340 AWQ589799:AWQ589876 AWQ655335:AWQ655412 AWQ720871:AWQ720948 AWQ786407:AWQ786484 AWQ851943:AWQ852020 AWQ917479:AWQ917556 AWQ983015:AWQ983092 BGM2:BGM55 BGM65511:BGM65588 BGM131047:BGM131124 BGM196583:BGM196660 BGM262119:BGM262196 BGM327655:BGM327732 BGM393191:BGM393268 BGM458727:BGM458804 BGM524263:BGM524340 BGM589799:BGM589876 BGM655335:BGM655412 BGM720871:BGM720948 BGM786407:BGM786484 BGM851943:BGM852020 BGM917479:BGM917556 BGM983015:BGM983092 BQI2:BQI55 BQI65511:BQI65588 BQI131047:BQI131124 BQI196583:BQI196660 BQI262119:BQI262196 BQI327655:BQI327732 BQI393191:BQI393268 BQI458727:BQI458804 BQI524263:BQI524340 BQI589799:BQI589876 BQI655335:BQI655412 BQI720871:BQI720948 BQI786407:BQI786484 BQI851943:BQI852020 BQI917479:BQI917556 BQI983015:BQI983092 CAE2:CAE55 CAE65511:CAE65588 CAE131047:CAE131124 CAE196583:CAE196660 CAE262119:CAE262196 CAE327655:CAE327732 CAE393191:CAE393268 CAE458727:CAE458804 CAE524263:CAE524340 CAE589799:CAE589876 CAE655335:CAE655412 CAE720871:CAE720948 CAE786407:CAE786484 CAE851943:CAE852020 CAE917479:CAE917556 CAE983015:CAE983092 CKA2:CKA55 CKA65511:CKA65588 CKA131047:CKA131124 CKA196583:CKA196660 CKA262119:CKA262196 CKA327655:CKA327732 CKA393191:CKA393268 CKA458727:CKA458804 CKA524263:CKA524340 CKA589799:CKA589876 CKA655335:CKA655412 CKA720871:CKA720948 CKA786407:CKA786484 CKA851943:CKA852020 CKA917479:CKA917556 CKA983015:CKA983092 CTW2:CTW55 CTW65511:CTW65588 CTW131047:CTW131124 CTW196583:CTW196660 CTW262119:CTW262196 CTW327655:CTW327732 CTW393191:CTW393268 CTW458727:CTW458804 CTW524263:CTW524340 CTW589799:CTW589876 CTW655335:CTW655412 CTW720871:CTW720948 CTW786407:CTW786484 CTW851943:CTW852020 CTW917479:CTW917556 CTW983015:CTW983092 DDS2:DDS55 DDS65511:DDS65588 DDS131047:DDS131124 DDS196583:DDS196660 DDS262119:DDS262196 DDS327655:DDS327732 DDS393191:DDS393268 DDS458727:DDS458804 DDS524263:DDS524340 DDS589799:DDS589876 DDS655335:DDS655412 DDS720871:DDS720948 DDS786407:DDS786484 DDS851943:DDS852020 DDS917479:DDS917556 DDS983015:DDS983092 DNO2:DNO55 DNO65511:DNO65588 DNO131047:DNO131124 DNO196583:DNO196660 DNO262119:DNO262196 DNO327655:DNO327732 DNO393191:DNO393268 DNO458727:DNO458804 DNO524263:DNO524340 DNO589799:DNO589876 DNO655335:DNO655412 DNO720871:DNO720948 DNO786407:DNO786484 DNO851943:DNO852020 DNO917479:DNO917556 DNO983015:DNO983092 DXK2:DXK55 DXK65511:DXK65588 DXK131047:DXK131124 DXK196583:DXK196660 DXK262119:DXK262196 DXK327655:DXK327732 DXK393191:DXK393268 DXK458727:DXK458804 DXK524263:DXK524340 DXK589799:DXK589876 DXK655335:DXK655412 DXK720871:DXK720948 DXK786407:DXK786484 DXK851943:DXK852020 DXK917479:DXK917556 DXK983015:DXK983092 EHG2:EHG55 EHG65511:EHG65588 EHG131047:EHG131124 EHG196583:EHG196660 EHG262119:EHG262196 EHG327655:EHG327732 EHG393191:EHG393268 EHG458727:EHG458804 EHG524263:EHG524340 EHG589799:EHG589876 EHG655335:EHG655412 EHG720871:EHG720948 EHG786407:EHG786484 EHG851943:EHG852020 EHG917479:EHG917556 EHG983015:EHG983092 ERC2:ERC55 ERC65511:ERC65588 ERC131047:ERC131124 ERC196583:ERC196660 ERC262119:ERC262196 ERC327655:ERC327732 ERC393191:ERC393268 ERC458727:ERC458804 ERC524263:ERC524340 ERC589799:ERC589876 ERC655335:ERC655412 ERC720871:ERC720948 ERC786407:ERC786484 ERC851943:ERC852020 ERC917479:ERC917556 ERC983015:ERC983092 FAY2:FAY55 FAY65511:FAY65588 FAY131047:FAY131124 FAY196583:FAY196660 FAY262119:FAY262196 FAY327655:FAY327732 FAY393191:FAY393268 FAY458727:FAY458804 FAY524263:FAY524340 FAY589799:FAY589876 FAY655335:FAY655412 FAY720871:FAY720948 FAY786407:FAY786484 FAY851943:FAY852020 FAY917479:FAY917556 FAY983015:FAY983092 FKU2:FKU55 FKU65511:FKU65588 FKU131047:FKU131124 FKU196583:FKU196660 FKU262119:FKU262196 FKU327655:FKU327732 FKU393191:FKU393268 FKU458727:FKU458804 FKU524263:FKU524340 FKU589799:FKU589876 FKU655335:FKU655412 FKU720871:FKU720948 FKU786407:FKU786484 FKU851943:FKU852020 FKU917479:FKU917556 FKU983015:FKU983092 FUQ2:FUQ55 FUQ65511:FUQ65588 FUQ131047:FUQ131124 FUQ196583:FUQ196660 FUQ262119:FUQ262196 FUQ327655:FUQ327732 FUQ393191:FUQ393268 FUQ458727:FUQ458804 FUQ524263:FUQ524340 FUQ589799:FUQ589876 FUQ655335:FUQ655412 FUQ720871:FUQ720948 FUQ786407:FUQ786484 FUQ851943:FUQ852020 FUQ917479:FUQ917556 FUQ983015:FUQ983092 GEM2:GEM55 GEM65511:GEM65588 GEM131047:GEM131124 GEM196583:GEM196660 GEM262119:GEM262196 GEM327655:GEM327732 GEM393191:GEM393268 GEM458727:GEM458804 GEM524263:GEM524340 GEM589799:GEM589876 GEM655335:GEM655412 GEM720871:GEM720948 GEM786407:GEM786484 GEM851943:GEM852020 GEM917479:GEM917556 GEM983015:GEM983092 GOI2:GOI55 GOI65511:GOI65588 GOI131047:GOI131124 GOI196583:GOI196660 GOI262119:GOI262196 GOI327655:GOI327732 GOI393191:GOI393268 GOI458727:GOI458804 GOI524263:GOI524340 GOI589799:GOI589876 GOI655335:GOI655412 GOI720871:GOI720948 GOI786407:GOI786484 GOI851943:GOI852020 GOI917479:GOI917556 GOI983015:GOI983092 GYE2:GYE55 GYE65511:GYE65588 GYE131047:GYE131124 GYE196583:GYE196660 GYE262119:GYE262196 GYE327655:GYE327732 GYE393191:GYE393268 GYE458727:GYE458804 GYE524263:GYE524340 GYE589799:GYE589876 GYE655335:GYE655412 GYE720871:GYE720948 GYE786407:GYE786484 GYE851943:GYE852020 GYE917479:GYE917556 GYE983015:GYE983092 HIA2:HIA55 HIA65511:HIA65588 HIA131047:HIA131124 HIA196583:HIA196660 HIA262119:HIA262196 HIA327655:HIA327732 HIA393191:HIA393268 HIA458727:HIA458804 HIA524263:HIA524340 HIA589799:HIA589876 HIA655335:HIA655412 HIA720871:HIA720948 HIA786407:HIA786484 HIA851943:HIA852020 HIA917479:HIA917556 HIA983015:HIA983092 HRW2:HRW55 HRW65511:HRW65588 HRW131047:HRW131124 HRW196583:HRW196660 HRW262119:HRW262196 HRW327655:HRW327732 HRW393191:HRW393268 HRW458727:HRW458804 HRW524263:HRW524340 HRW589799:HRW589876 HRW655335:HRW655412 HRW720871:HRW720948 HRW786407:HRW786484 HRW851943:HRW852020 HRW917479:HRW917556 HRW983015:HRW983092 IBS2:IBS55 IBS65511:IBS65588 IBS131047:IBS131124 IBS196583:IBS196660 IBS262119:IBS262196 IBS327655:IBS327732 IBS393191:IBS393268 IBS458727:IBS458804 IBS524263:IBS524340 IBS589799:IBS589876 IBS655335:IBS655412 IBS720871:IBS720948 IBS786407:IBS786484 IBS851943:IBS852020 IBS917479:IBS917556 IBS983015:IBS983092 ILO2:ILO55 ILO65511:ILO65588 ILO131047:ILO131124 ILO196583:ILO196660 ILO262119:ILO262196 ILO327655:ILO327732 ILO393191:ILO393268 ILO458727:ILO458804 ILO524263:ILO524340 ILO589799:ILO589876 ILO655335:ILO655412 ILO720871:ILO720948 ILO786407:ILO786484 ILO851943:ILO852020 ILO917479:ILO917556 ILO983015:ILO983092 IVK2:IVK55 IVK65511:IVK65588 IVK131047:IVK131124 IVK196583:IVK196660 IVK262119:IVK262196 IVK327655:IVK327732 IVK393191:IVK393268 IVK458727:IVK458804 IVK524263:IVK524340 IVK589799:IVK589876 IVK655335:IVK655412 IVK720871:IVK720948 IVK786407:IVK786484 IVK851943:IVK852020 IVK917479:IVK917556 IVK983015:IVK983092 JFG2:JFG55 JFG65511:JFG65588 JFG131047:JFG131124 JFG196583:JFG196660 JFG262119:JFG262196 JFG327655:JFG327732 JFG393191:JFG393268 JFG458727:JFG458804 JFG524263:JFG524340 JFG589799:JFG589876 JFG655335:JFG655412 JFG720871:JFG720948 JFG786407:JFG786484 JFG851943:JFG852020 JFG917479:JFG917556 JFG983015:JFG983092 JPC2:JPC55 JPC65511:JPC65588 JPC131047:JPC131124 JPC196583:JPC196660 JPC262119:JPC262196 JPC327655:JPC327732 JPC393191:JPC393268 JPC458727:JPC458804 JPC524263:JPC524340 JPC589799:JPC589876 JPC655335:JPC655412 JPC720871:JPC720948 JPC786407:JPC786484 JPC851943:JPC852020 JPC917479:JPC917556 JPC983015:JPC983092 JYY2:JYY55 JYY65511:JYY65588 JYY131047:JYY131124 JYY196583:JYY196660 JYY262119:JYY262196 JYY327655:JYY327732 JYY393191:JYY393268 JYY458727:JYY458804 JYY524263:JYY524340 JYY589799:JYY589876 JYY655335:JYY655412 JYY720871:JYY720948 JYY786407:JYY786484 JYY851943:JYY852020 JYY917479:JYY917556 JYY983015:JYY983092 KIU2:KIU55 KIU65511:KIU65588 KIU131047:KIU131124 KIU196583:KIU196660 KIU262119:KIU262196 KIU327655:KIU327732 KIU393191:KIU393268 KIU458727:KIU458804 KIU524263:KIU524340 KIU589799:KIU589876 KIU655335:KIU655412 KIU720871:KIU720948 KIU786407:KIU786484 KIU851943:KIU852020 KIU917479:KIU917556 KIU983015:KIU983092 KSQ2:KSQ55 KSQ65511:KSQ65588 KSQ131047:KSQ131124 KSQ196583:KSQ196660 KSQ262119:KSQ262196 KSQ327655:KSQ327732 KSQ393191:KSQ393268 KSQ458727:KSQ458804 KSQ524263:KSQ524340 KSQ589799:KSQ589876 KSQ655335:KSQ655412 KSQ720871:KSQ720948 KSQ786407:KSQ786484 KSQ851943:KSQ852020 KSQ917479:KSQ917556 KSQ983015:KSQ983092 LCM2:LCM55 LCM65511:LCM65588 LCM131047:LCM131124 LCM196583:LCM196660 LCM262119:LCM262196 LCM327655:LCM327732 LCM393191:LCM393268 LCM458727:LCM458804 LCM524263:LCM524340 LCM589799:LCM589876 LCM655335:LCM655412 LCM720871:LCM720948 LCM786407:LCM786484 LCM851943:LCM852020 LCM917479:LCM917556 LCM983015:LCM983092 LMI2:LMI55 LMI65511:LMI65588 LMI131047:LMI131124 LMI196583:LMI196660 LMI262119:LMI262196 LMI327655:LMI327732 LMI393191:LMI393268 LMI458727:LMI458804 LMI524263:LMI524340 LMI589799:LMI589876 LMI655335:LMI655412 LMI720871:LMI720948 LMI786407:LMI786484 LMI851943:LMI852020 LMI917479:LMI917556 LMI983015:LMI983092 LWE2:LWE55 LWE65511:LWE65588 LWE131047:LWE131124 LWE196583:LWE196660 LWE262119:LWE262196 LWE327655:LWE327732 LWE393191:LWE393268 LWE458727:LWE458804 LWE524263:LWE524340 LWE589799:LWE589876 LWE655335:LWE655412 LWE720871:LWE720948 LWE786407:LWE786484 LWE851943:LWE852020 LWE917479:LWE917556 LWE983015:LWE983092 MGA2:MGA55 MGA65511:MGA65588 MGA131047:MGA131124 MGA196583:MGA196660 MGA262119:MGA262196 MGA327655:MGA327732 MGA393191:MGA393268 MGA458727:MGA458804 MGA524263:MGA524340 MGA589799:MGA589876 MGA655335:MGA655412 MGA720871:MGA720948 MGA786407:MGA786484 MGA851943:MGA852020 MGA917479:MGA917556 MGA983015:MGA983092 MPW2:MPW55 MPW65511:MPW65588 MPW131047:MPW131124 MPW196583:MPW196660 MPW262119:MPW262196 MPW327655:MPW327732 MPW393191:MPW393268 MPW458727:MPW458804 MPW524263:MPW524340 MPW589799:MPW589876 MPW655335:MPW655412 MPW720871:MPW720948 MPW786407:MPW786484 MPW851943:MPW852020 MPW917479:MPW917556 MPW983015:MPW983092 MZS2:MZS55 MZS65511:MZS65588 MZS131047:MZS131124 MZS196583:MZS196660 MZS262119:MZS262196 MZS327655:MZS327732 MZS393191:MZS393268 MZS458727:MZS458804 MZS524263:MZS524340 MZS589799:MZS589876 MZS655335:MZS655412 MZS720871:MZS720948 MZS786407:MZS786484 MZS851943:MZS852020 MZS917479:MZS917556 MZS983015:MZS983092 NJO2:NJO55 NJO65511:NJO65588 NJO131047:NJO131124 NJO196583:NJO196660 NJO262119:NJO262196 NJO327655:NJO327732 NJO393191:NJO393268 NJO458727:NJO458804 NJO524263:NJO524340 NJO589799:NJO589876 NJO655335:NJO655412 NJO720871:NJO720948 NJO786407:NJO786484 NJO851943:NJO852020 NJO917479:NJO917556 NJO983015:NJO983092 NTK2:NTK55 NTK65511:NTK65588 NTK131047:NTK131124 NTK196583:NTK196660 NTK262119:NTK262196 NTK327655:NTK327732 NTK393191:NTK393268 NTK458727:NTK458804 NTK524263:NTK524340 NTK589799:NTK589876 NTK655335:NTK655412 NTK720871:NTK720948 NTK786407:NTK786484 NTK851943:NTK852020 NTK917479:NTK917556 NTK983015:NTK983092 ODG2:ODG55 ODG65511:ODG65588 ODG131047:ODG131124 ODG196583:ODG196660 ODG262119:ODG262196 ODG327655:ODG327732 ODG393191:ODG393268 ODG458727:ODG458804 ODG524263:ODG524340 ODG589799:ODG589876 ODG655335:ODG655412 ODG720871:ODG720948 ODG786407:ODG786484 ODG851943:ODG852020 ODG917479:ODG917556 ODG983015:ODG983092 ONC2:ONC55 ONC65511:ONC65588 ONC131047:ONC131124 ONC196583:ONC196660 ONC262119:ONC262196 ONC327655:ONC327732 ONC393191:ONC393268 ONC458727:ONC458804 ONC524263:ONC524340 ONC589799:ONC589876 ONC655335:ONC655412 ONC720871:ONC720948 ONC786407:ONC786484 ONC851943:ONC852020 ONC917479:ONC917556 ONC983015:ONC983092 OWY2:OWY55 OWY65511:OWY65588 OWY131047:OWY131124 OWY196583:OWY196660 OWY262119:OWY262196 OWY327655:OWY327732 OWY393191:OWY393268 OWY458727:OWY458804 OWY524263:OWY524340 OWY589799:OWY589876 OWY655335:OWY655412 OWY720871:OWY720948 OWY786407:OWY786484 OWY851943:OWY852020 OWY917479:OWY917556 OWY983015:OWY983092 PGU2:PGU55 PGU65511:PGU65588 PGU131047:PGU131124 PGU196583:PGU196660 PGU262119:PGU262196 PGU327655:PGU327732 PGU393191:PGU393268 PGU458727:PGU458804 PGU524263:PGU524340 PGU589799:PGU589876 PGU655335:PGU655412 PGU720871:PGU720948 PGU786407:PGU786484 PGU851943:PGU852020 PGU917479:PGU917556 PGU983015:PGU983092 PQQ2:PQQ55 PQQ65511:PQQ65588 PQQ131047:PQQ131124 PQQ196583:PQQ196660 PQQ262119:PQQ262196 PQQ327655:PQQ327732 PQQ393191:PQQ393268 PQQ458727:PQQ458804 PQQ524263:PQQ524340 PQQ589799:PQQ589876 PQQ655335:PQQ655412 PQQ720871:PQQ720948 PQQ786407:PQQ786484 PQQ851943:PQQ852020 PQQ917479:PQQ917556 PQQ983015:PQQ983092 QAM2:QAM55 QAM65511:QAM65588 QAM131047:QAM131124 QAM196583:QAM196660 QAM262119:QAM262196 QAM327655:QAM327732 QAM393191:QAM393268 QAM458727:QAM458804 QAM524263:QAM524340 QAM589799:QAM589876 QAM655335:QAM655412 QAM720871:QAM720948 QAM786407:QAM786484 QAM851943:QAM852020 QAM917479:QAM917556 QAM983015:QAM983092 QKI2:QKI55 QKI65511:QKI65588 QKI131047:QKI131124 QKI196583:QKI196660 QKI262119:QKI262196 QKI327655:QKI327732 QKI393191:QKI393268 QKI458727:QKI458804 QKI524263:QKI524340 QKI589799:QKI589876 QKI655335:QKI655412 QKI720871:QKI720948 QKI786407:QKI786484 QKI851943:QKI852020 QKI917479:QKI917556 QKI983015:QKI983092 QUE2:QUE55 QUE65511:QUE65588 QUE131047:QUE131124 QUE196583:QUE196660 QUE262119:QUE262196 QUE327655:QUE327732 QUE393191:QUE393268 QUE458727:QUE458804 QUE524263:QUE524340 QUE589799:QUE589876 QUE655335:QUE655412 QUE720871:QUE720948 QUE786407:QUE786484 QUE851943:QUE852020 QUE917479:QUE917556 QUE983015:QUE983092 REA2:REA55 REA65511:REA65588 REA131047:REA131124 REA196583:REA196660 REA262119:REA262196 REA327655:REA327732 REA393191:REA393268 REA458727:REA458804 REA524263:REA524340 REA589799:REA589876 REA655335:REA655412 REA720871:REA720948 REA786407:REA786484 REA851943:REA852020 REA917479:REA917556 REA983015:REA983092 RNW2:RNW55 RNW65511:RNW65588 RNW131047:RNW131124 RNW196583:RNW196660 RNW262119:RNW262196 RNW327655:RNW327732 RNW393191:RNW393268 RNW458727:RNW458804 RNW524263:RNW524340 RNW589799:RNW589876 RNW655335:RNW655412 RNW720871:RNW720948 RNW786407:RNW786484 RNW851943:RNW852020 RNW917479:RNW917556 RNW983015:RNW983092 RXS2:RXS55 RXS65511:RXS65588 RXS131047:RXS131124 RXS196583:RXS196660 RXS262119:RXS262196 RXS327655:RXS327732 RXS393191:RXS393268 RXS458727:RXS458804 RXS524263:RXS524340 RXS589799:RXS589876 RXS655335:RXS655412 RXS720871:RXS720948 RXS786407:RXS786484 RXS851943:RXS852020 RXS917479:RXS917556 RXS983015:RXS983092 SHO2:SHO55 SHO65511:SHO65588 SHO131047:SHO131124 SHO196583:SHO196660 SHO262119:SHO262196 SHO327655:SHO327732 SHO393191:SHO393268 SHO458727:SHO458804 SHO524263:SHO524340 SHO589799:SHO589876 SHO655335:SHO655412 SHO720871:SHO720948 SHO786407:SHO786484 SHO851943:SHO852020 SHO917479:SHO917556 SHO983015:SHO983092 SRK2:SRK55 SRK65511:SRK65588 SRK131047:SRK131124 SRK196583:SRK196660 SRK262119:SRK262196 SRK327655:SRK327732 SRK393191:SRK393268 SRK458727:SRK458804 SRK524263:SRK524340 SRK589799:SRK589876 SRK655335:SRK655412 SRK720871:SRK720948 SRK786407:SRK786484 SRK851943:SRK852020 SRK917479:SRK917556 SRK983015:SRK983092 TBG2:TBG55 TBG65511:TBG65588 TBG131047:TBG131124 TBG196583:TBG196660 TBG262119:TBG262196 TBG327655:TBG327732 TBG393191:TBG393268 TBG458727:TBG458804 TBG524263:TBG524340 TBG589799:TBG589876 TBG655335:TBG655412 TBG720871:TBG720948 TBG786407:TBG786484 TBG851943:TBG852020 TBG917479:TBG917556 TBG983015:TBG983092 TLC2:TLC55 TLC65511:TLC65588 TLC131047:TLC131124 TLC196583:TLC196660 TLC262119:TLC262196 TLC327655:TLC327732 TLC393191:TLC393268 TLC458727:TLC458804 TLC524263:TLC524340 TLC589799:TLC589876 TLC655335:TLC655412 TLC720871:TLC720948 TLC786407:TLC786484 TLC851943:TLC852020 TLC917479:TLC917556 TLC983015:TLC983092 TUY2:TUY55 TUY65511:TUY65588 TUY131047:TUY131124 TUY196583:TUY196660 TUY262119:TUY262196 TUY327655:TUY327732 TUY393191:TUY393268 TUY458727:TUY458804 TUY524263:TUY524340 TUY589799:TUY589876 TUY655335:TUY655412 TUY720871:TUY720948 TUY786407:TUY786484 TUY851943:TUY852020 TUY917479:TUY917556 TUY983015:TUY983092 UEU2:UEU55 UEU65511:UEU65588 UEU131047:UEU131124 UEU196583:UEU196660 UEU262119:UEU262196 UEU327655:UEU327732 UEU393191:UEU393268 UEU458727:UEU458804 UEU524263:UEU524340 UEU589799:UEU589876 UEU655335:UEU655412 UEU720871:UEU720948 UEU786407:UEU786484 UEU851943:UEU852020 UEU917479:UEU917556 UEU983015:UEU983092 UOQ2:UOQ55 UOQ65511:UOQ65588 UOQ131047:UOQ131124 UOQ196583:UOQ196660 UOQ262119:UOQ262196 UOQ327655:UOQ327732 UOQ393191:UOQ393268 UOQ458727:UOQ458804 UOQ524263:UOQ524340 UOQ589799:UOQ589876 UOQ655335:UOQ655412 UOQ720871:UOQ720948 UOQ786407:UOQ786484 UOQ851943:UOQ852020 UOQ917479:UOQ917556 UOQ983015:UOQ983092 UYM2:UYM55 UYM65511:UYM65588 UYM131047:UYM131124 UYM196583:UYM196660 UYM262119:UYM262196 UYM327655:UYM327732 UYM393191:UYM393268 UYM458727:UYM458804 UYM524263:UYM524340 UYM589799:UYM589876 UYM655335:UYM655412 UYM720871:UYM720948 UYM786407:UYM786484 UYM851943:UYM852020 UYM917479:UYM917556 UYM983015:UYM983092 VII2:VII55 VII65511:VII65588 VII131047:VII131124 VII196583:VII196660 VII262119:VII262196 VII327655:VII327732 VII393191:VII393268 VII458727:VII458804 VII524263:VII524340 VII589799:VII589876 VII655335:VII655412 VII720871:VII720948 VII786407:VII786484 VII851943:VII852020 VII917479:VII917556 VII983015:VII983092 VSE2:VSE55 VSE65511:VSE65588 VSE131047:VSE131124 VSE196583:VSE196660 VSE262119:VSE262196 VSE327655:VSE327732 VSE393191:VSE393268 VSE458727:VSE458804 VSE524263:VSE524340 VSE589799:VSE589876 VSE655335:VSE655412 VSE720871:VSE720948 VSE786407:VSE786484 VSE851943:VSE852020 VSE917479:VSE917556 VSE983015:VSE983092 WCA2:WCA55 WCA65511:WCA65588 WCA131047:WCA131124 WCA196583:WCA196660 WCA262119:WCA262196 WCA327655:WCA327732 WCA393191:WCA393268 WCA458727:WCA458804 WCA524263:WCA524340 WCA589799:WCA589876 WCA655335:WCA655412 WCA720871:WCA720948 WCA786407:WCA786484 WCA851943:WCA852020 WCA917479:WCA917556 WCA983015:WCA983092 WLW2:WLW55 WLW65511:WLW65588 WLW131047:WLW131124 WLW196583:WLW196660 WLW262119:WLW262196 WLW327655:WLW327732 WLW393191:WLW393268 WLW458727:WLW458804 WLW524263:WLW524340 WLW589799:WLW589876 WLW655335:WLW655412 WLW720871:WLW720948 WLW786407:WLW786484 WLW851943:WLW852020 WLW917479:WLW917556 WLW983015:WLW983092 WVS2:WVS55 WVS65511:WVS65588 WVS131047:WVS131124 WVS196583:WVS196660 WVS262119:WVS262196 WVS327655:WVS327732 WVS393191:WVS393268 WVS458727:WVS458804 WVS524263:WVS524340 WVS589799:WVS589876 WVS655335:WVS655412 WVS720871:WVS720948 WVS786407:WVS786484 WVS851943:WVS852020 WVS917479:WVS917556 WVS983015:WVS983092">
      <formula1>$AR$2:$AR$22</formula1>
    </dataValidation>
    <dataValidation type="list" allowBlank="1" showInputMessage="1" showErrorMessage="1" sqref="H2:H473">
      <formula1>$AL$2:$AL$8</formula1>
    </dataValidation>
    <dataValidation type="list" allowBlank="1" showInputMessage="1" showErrorMessage="1" sqref="Y2:AA473 JU2:JW55 ANI2:ANK55 BQW2:BQY55 CUK2:CUM55 DXY2:DYA55 FBM2:FBO55 GFA2:GFC55 HIO2:HIQ55 IMC2:IME55 JPQ2:JPS55 KTE2:KTG55 LWS2:LWU55 NAG2:NAI55 ODU2:ODW55 PHI2:PHK55 QKW2:QKY55 ROK2:ROM55 SRY2:SSA55 TVM2:TVO55 UZA2:UZC55 WCO2:WCQ55 TQ2:TS55 AXE2:AXG55 CAS2:CAU55 DEG2:DEI55 EHU2:EHW55 FLI2:FLK55 GOW2:GOY55 HSK2:HSM55 IVY2:IWA55 JZM2:JZO55 LDA2:LDC55 MGO2:MGQ55 NKC2:NKE55 ONQ2:ONS55 PRE2:PRG55 QUS2:QUU55 RYG2:RYI55 TBU2:TBW55 UFI2:UFK55 VIW2:VIY55 WMK2:WMM55 ADM2:ADO55 BHA2:BHC55 CKO2:CKQ55 DOC2:DOE55 ERQ2:ERS55 FVE2:FVG55 GYS2:GYU55 ICG2:ICI55 JFU2:JFW55 KJI2:KJK55 LMW2:LMY55 MQK2:MQM55 NTY2:NUA55 OXM2:OXO55 QBA2:QBC55 REO2:REQ55 SIC2:SIE55 TLQ2:TLS55 UPE2:UPG55 VSS2:VSU55 WWG2:WWI55 Y983015:AA983092 ADM983015:ADO983092 BHA983015:BHC983092 CKO983015:CKQ983092 DOC983015:DOE983092 ERQ983015:ERS983092 FVE983015:FVG983092 GYS983015:GYU983092 ICG983015:ICI983092 JFU983015:JFW983092 KJI983015:KJK983092 LMW983015:LMY983092 MQK983015:MQM983092 NTY983015:NUA983092 OXM983015:OXO983092 QBA983015:QBC983092 REO983015:REQ983092 SIC983015:SIE983092 TLQ983015:TLS983092 UPE983015:UPG983092 VSS983015:VSU983092 WWG983015:WWI983092 Y65511:AA65588 ADM65511:ADO65588 BHA65511:BHC65588 CKO65511:CKQ65588 DOC65511:DOE65588 ERQ65511:ERS65588 FVE65511:FVG65588 GYS65511:GYU65588 ICG65511:ICI65588 JFU65511:JFW65588 KJI65511:KJK65588 LMW65511:LMY65588 MQK65511:MQM65588 NTY65511:NUA65588 OXM65511:OXO65588 QBA65511:QBC65588 REO65511:REQ65588 SIC65511:SIE65588 TLQ65511:TLS65588 UPE65511:UPG65588 VSS65511:VSU65588 WWG65511:WWI65588 JU65511:JW65588 ANI65511:ANK65588 BQW65511:BQY65588 CUK65511:CUM65588 DXY65511:DYA65588 FBM65511:FBO65588 GFA65511:GFC65588 HIO65511:HIQ65588 IMC65511:IME65588 JPQ65511:JPS65588 KTE65511:KTG65588 LWS65511:LWU65588 NAG65511:NAI65588 ODU65511:ODW65588 PHI65511:PHK65588 QKW65511:QKY65588 ROK65511:ROM65588 SRY65511:SSA65588 TVM65511:TVO65588 UZA65511:UZC65588 WCO65511:WCQ65588 TQ65511:TS65588 AXE65511:AXG65588 CAS65511:CAU65588 DEG65511:DEI65588 EHU65511:EHW65588 FLI65511:FLK65588 GOW65511:GOY65588 HSK65511:HSM65588 IVY65511:IWA65588 JZM65511:JZO65588 LDA65511:LDC65588 MGO65511:MGQ65588 NKC65511:NKE65588 ONQ65511:ONS65588 PRE65511:PRG65588 QUS65511:QUU65588 RYG65511:RYI65588 TBU65511:TBW65588 UFI65511:UFK65588 VIW65511:VIY65588 WMK65511:WMM65588 Y131047:AA131124 ADM131047:ADO131124 BHA131047:BHC131124 CKO131047:CKQ131124 DOC131047:DOE131124 ERQ131047:ERS131124 FVE131047:FVG131124 GYS131047:GYU131124 ICG131047:ICI131124 JFU131047:JFW131124 KJI131047:KJK131124 LMW131047:LMY131124 MQK131047:MQM131124 NTY131047:NUA131124 OXM131047:OXO131124 QBA131047:QBC131124 REO131047:REQ131124 SIC131047:SIE131124 TLQ131047:TLS131124 UPE131047:UPG131124 VSS131047:VSU131124 WWG131047:WWI131124 JU131047:JW131124 ANI131047:ANK131124 BQW131047:BQY131124 CUK131047:CUM131124 DXY131047:DYA131124 FBM131047:FBO131124 GFA131047:GFC131124 HIO131047:HIQ131124 IMC131047:IME131124 JPQ131047:JPS131124 KTE131047:KTG131124 LWS131047:LWU131124 NAG131047:NAI131124 ODU131047:ODW131124 PHI131047:PHK131124 QKW131047:QKY131124 ROK131047:ROM131124 SRY131047:SSA131124 TVM131047:TVO131124 UZA131047:UZC131124 WCO131047:WCQ131124 TQ131047:TS131124 AXE131047:AXG131124 CAS131047:CAU131124 DEG131047:DEI131124 EHU131047:EHW131124 FLI131047:FLK131124 GOW131047:GOY131124 HSK131047:HSM131124 IVY131047:IWA131124 JZM131047:JZO131124 LDA131047:LDC131124 MGO131047:MGQ131124 NKC131047:NKE131124 ONQ131047:ONS131124 PRE131047:PRG131124 QUS131047:QUU131124 RYG131047:RYI131124 TBU131047:TBW131124 UFI131047:UFK131124 VIW131047:VIY131124 WMK131047:WMM131124 Y196583:AA196660 ADM196583:ADO196660 BHA196583:BHC196660 CKO196583:CKQ196660 DOC196583:DOE196660 ERQ196583:ERS196660 FVE196583:FVG196660 GYS196583:GYU196660 ICG196583:ICI196660 JFU196583:JFW196660 KJI196583:KJK196660 LMW196583:LMY196660 MQK196583:MQM196660 NTY196583:NUA196660 OXM196583:OXO196660 QBA196583:QBC196660 REO196583:REQ196660 SIC196583:SIE196660 TLQ196583:TLS196660 UPE196583:UPG196660 VSS196583:VSU196660 WWG196583:WWI196660 JU196583:JW196660 ANI196583:ANK196660 BQW196583:BQY196660 CUK196583:CUM196660 DXY196583:DYA196660 FBM196583:FBO196660 GFA196583:GFC196660 HIO196583:HIQ196660 IMC196583:IME196660 JPQ196583:JPS196660 KTE196583:KTG196660 LWS196583:LWU196660 NAG196583:NAI196660 ODU196583:ODW196660 PHI196583:PHK196660 QKW196583:QKY196660 ROK196583:ROM196660 SRY196583:SSA196660 TVM196583:TVO196660 UZA196583:UZC196660 WCO196583:WCQ196660 TQ196583:TS196660 AXE196583:AXG196660 CAS196583:CAU196660 DEG196583:DEI196660 EHU196583:EHW196660 FLI196583:FLK196660 GOW196583:GOY196660 HSK196583:HSM196660 IVY196583:IWA196660 JZM196583:JZO196660 LDA196583:LDC196660 MGO196583:MGQ196660 NKC196583:NKE196660 ONQ196583:ONS196660 PRE196583:PRG196660 QUS196583:QUU196660 RYG196583:RYI196660 TBU196583:TBW196660 UFI196583:UFK196660 VIW196583:VIY196660 WMK196583:WMM196660 Y262119:AA262196 ADM262119:ADO262196 BHA262119:BHC262196 CKO262119:CKQ262196 DOC262119:DOE262196 ERQ262119:ERS262196 FVE262119:FVG262196 GYS262119:GYU262196 ICG262119:ICI262196 JFU262119:JFW262196 KJI262119:KJK262196 LMW262119:LMY262196 MQK262119:MQM262196 NTY262119:NUA262196 OXM262119:OXO262196 QBA262119:QBC262196 REO262119:REQ262196 SIC262119:SIE262196 TLQ262119:TLS262196 UPE262119:UPG262196 VSS262119:VSU262196 WWG262119:WWI262196 JU262119:JW262196 ANI262119:ANK262196 BQW262119:BQY262196 CUK262119:CUM262196 DXY262119:DYA262196 FBM262119:FBO262196 GFA262119:GFC262196 HIO262119:HIQ262196 IMC262119:IME262196 JPQ262119:JPS262196 KTE262119:KTG262196 LWS262119:LWU262196 NAG262119:NAI262196 ODU262119:ODW262196 PHI262119:PHK262196 QKW262119:QKY262196 ROK262119:ROM262196 SRY262119:SSA262196 TVM262119:TVO262196 UZA262119:UZC262196 WCO262119:WCQ262196 TQ262119:TS262196 AXE262119:AXG262196 CAS262119:CAU262196 DEG262119:DEI262196 EHU262119:EHW262196 FLI262119:FLK262196 GOW262119:GOY262196 HSK262119:HSM262196 IVY262119:IWA262196 JZM262119:JZO262196 LDA262119:LDC262196 MGO262119:MGQ262196 NKC262119:NKE262196 ONQ262119:ONS262196 PRE262119:PRG262196 QUS262119:QUU262196 RYG262119:RYI262196 TBU262119:TBW262196 UFI262119:UFK262196 VIW262119:VIY262196 WMK262119:WMM262196 Y327655:AA327732 ADM327655:ADO327732 BHA327655:BHC327732 CKO327655:CKQ327732 DOC327655:DOE327732 ERQ327655:ERS327732 FVE327655:FVG327732 GYS327655:GYU327732 ICG327655:ICI327732 JFU327655:JFW327732 KJI327655:KJK327732 LMW327655:LMY327732 MQK327655:MQM327732 NTY327655:NUA327732 OXM327655:OXO327732 QBA327655:QBC327732 REO327655:REQ327732 SIC327655:SIE327732 TLQ327655:TLS327732 UPE327655:UPG327732 VSS327655:VSU327732 WWG327655:WWI327732 JU327655:JW327732 ANI327655:ANK327732 BQW327655:BQY327732 CUK327655:CUM327732 DXY327655:DYA327732 FBM327655:FBO327732 GFA327655:GFC327732 HIO327655:HIQ327732 IMC327655:IME327732 JPQ327655:JPS327732 KTE327655:KTG327732 LWS327655:LWU327732 NAG327655:NAI327732 ODU327655:ODW327732 PHI327655:PHK327732 QKW327655:QKY327732 ROK327655:ROM327732 SRY327655:SSA327732 TVM327655:TVO327732 UZA327655:UZC327732 WCO327655:WCQ327732 TQ327655:TS327732 AXE327655:AXG327732 CAS327655:CAU327732 DEG327655:DEI327732 EHU327655:EHW327732 FLI327655:FLK327732 GOW327655:GOY327732 HSK327655:HSM327732 IVY327655:IWA327732 JZM327655:JZO327732 LDA327655:LDC327732 MGO327655:MGQ327732 NKC327655:NKE327732 ONQ327655:ONS327732 PRE327655:PRG327732 QUS327655:QUU327732 RYG327655:RYI327732 TBU327655:TBW327732 UFI327655:UFK327732 VIW327655:VIY327732 WMK327655:WMM327732 Y393191:AA393268 ADM393191:ADO393268 BHA393191:BHC393268 CKO393191:CKQ393268 DOC393191:DOE393268 ERQ393191:ERS393268 FVE393191:FVG393268 GYS393191:GYU393268 ICG393191:ICI393268 JFU393191:JFW393268 KJI393191:KJK393268 LMW393191:LMY393268 MQK393191:MQM393268 NTY393191:NUA393268 OXM393191:OXO393268 QBA393191:QBC393268 REO393191:REQ393268 SIC393191:SIE393268 TLQ393191:TLS393268 UPE393191:UPG393268 VSS393191:VSU393268 WWG393191:WWI393268 JU393191:JW393268 ANI393191:ANK393268 BQW393191:BQY393268 CUK393191:CUM393268 DXY393191:DYA393268 FBM393191:FBO393268 GFA393191:GFC393268 HIO393191:HIQ393268 IMC393191:IME393268 JPQ393191:JPS393268 KTE393191:KTG393268 LWS393191:LWU393268 NAG393191:NAI393268 ODU393191:ODW393268 PHI393191:PHK393268 QKW393191:QKY393268 ROK393191:ROM393268 SRY393191:SSA393268 TVM393191:TVO393268 UZA393191:UZC393268 WCO393191:WCQ393268 TQ393191:TS393268 AXE393191:AXG393268 CAS393191:CAU393268 DEG393191:DEI393268 EHU393191:EHW393268 FLI393191:FLK393268 GOW393191:GOY393268 HSK393191:HSM393268 IVY393191:IWA393268 JZM393191:JZO393268 LDA393191:LDC393268 MGO393191:MGQ393268 NKC393191:NKE393268 ONQ393191:ONS393268 PRE393191:PRG393268 QUS393191:QUU393268 RYG393191:RYI393268 TBU393191:TBW393268 UFI393191:UFK393268 VIW393191:VIY393268 WMK393191:WMM393268 Y458727:AA458804 ADM458727:ADO458804 BHA458727:BHC458804 CKO458727:CKQ458804 DOC458727:DOE458804 ERQ458727:ERS458804 FVE458727:FVG458804 GYS458727:GYU458804 ICG458727:ICI458804 JFU458727:JFW458804 KJI458727:KJK458804 LMW458727:LMY458804 MQK458727:MQM458804 NTY458727:NUA458804 OXM458727:OXO458804 QBA458727:QBC458804 REO458727:REQ458804 SIC458727:SIE458804 TLQ458727:TLS458804 UPE458727:UPG458804 VSS458727:VSU458804 WWG458727:WWI458804 JU458727:JW458804 ANI458727:ANK458804 BQW458727:BQY458804 CUK458727:CUM458804 DXY458727:DYA458804 FBM458727:FBO458804 GFA458727:GFC458804 HIO458727:HIQ458804 IMC458727:IME458804 JPQ458727:JPS458804 KTE458727:KTG458804 LWS458727:LWU458804 NAG458727:NAI458804 ODU458727:ODW458804 PHI458727:PHK458804 QKW458727:QKY458804 ROK458727:ROM458804 SRY458727:SSA458804 TVM458727:TVO458804 UZA458727:UZC458804 WCO458727:WCQ458804 TQ458727:TS458804 AXE458727:AXG458804 CAS458727:CAU458804 DEG458727:DEI458804 EHU458727:EHW458804 FLI458727:FLK458804 GOW458727:GOY458804 HSK458727:HSM458804 IVY458727:IWA458804 JZM458727:JZO458804 LDA458727:LDC458804 MGO458727:MGQ458804 NKC458727:NKE458804 ONQ458727:ONS458804 PRE458727:PRG458804 QUS458727:QUU458804 RYG458727:RYI458804 TBU458727:TBW458804 UFI458727:UFK458804 VIW458727:VIY458804 WMK458727:WMM458804 Y524263:AA524340 ADM524263:ADO524340 BHA524263:BHC524340 CKO524263:CKQ524340 DOC524263:DOE524340 ERQ524263:ERS524340 FVE524263:FVG524340 GYS524263:GYU524340 ICG524263:ICI524340 JFU524263:JFW524340 KJI524263:KJK524340 LMW524263:LMY524340 MQK524263:MQM524340 NTY524263:NUA524340 OXM524263:OXO524340 QBA524263:QBC524340 REO524263:REQ524340 SIC524263:SIE524340 TLQ524263:TLS524340 UPE524263:UPG524340 VSS524263:VSU524340 WWG524263:WWI524340 JU524263:JW524340 ANI524263:ANK524340 BQW524263:BQY524340 CUK524263:CUM524340 DXY524263:DYA524340 FBM524263:FBO524340 GFA524263:GFC524340 HIO524263:HIQ524340 IMC524263:IME524340 JPQ524263:JPS524340 KTE524263:KTG524340 LWS524263:LWU524340 NAG524263:NAI524340 ODU524263:ODW524340 PHI524263:PHK524340 QKW524263:QKY524340 ROK524263:ROM524340 SRY524263:SSA524340 TVM524263:TVO524340 UZA524263:UZC524340 WCO524263:WCQ524340 TQ524263:TS524340 AXE524263:AXG524340 CAS524263:CAU524340 DEG524263:DEI524340 EHU524263:EHW524340 FLI524263:FLK524340 GOW524263:GOY524340 HSK524263:HSM524340 IVY524263:IWA524340 JZM524263:JZO524340 LDA524263:LDC524340 MGO524263:MGQ524340 NKC524263:NKE524340 ONQ524263:ONS524340 PRE524263:PRG524340 QUS524263:QUU524340 RYG524263:RYI524340 TBU524263:TBW524340 UFI524263:UFK524340 VIW524263:VIY524340 WMK524263:WMM524340 Y589799:AA589876 ADM589799:ADO589876 BHA589799:BHC589876 CKO589799:CKQ589876 DOC589799:DOE589876 ERQ589799:ERS589876 FVE589799:FVG589876 GYS589799:GYU589876 ICG589799:ICI589876 JFU589799:JFW589876 KJI589799:KJK589876 LMW589799:LMY589876 MQK589799:MQM589876 NTY589799:NUA589876 OXM589799:OXO589876 QBA589799:QBC589876 REO589799:REQ589876 SIC589799:SIE589876 TLQ589799:TLS589876 UPE589799:UPG589876 VSS589799:VSU589876 WWG589799:WWI589876 JU589799:JW589876 ANI589799:ANK589876 BQW589799:BQY589876 CUK589799:CUM589876 DXY589799:DYA589876 FBM589799:FBO589876 GFA589799:GFC589876 HIO589799:HIQ589876 IMC589799:IME589876 JPQ589799:JPS589876 KTE589799:KTG589876 LWS589799:LWU589876 NAG589799:NAI589876 ODU589799:ODW589876 PHI589799:PHK589876 QKW589799:QKY589876 ROK589799:ROM589876 SRY589799:SSA589876 TVM589799:TVO589876 UZA589799:UZC589876 WCO589799:WCQ589876 TQ589799:TS589876 AXE589799:AXG589876 CAS589799:CAU589876 DEG589799:DEI589876 EHU589799:EHW589876 FLI589799:FLK589876 GOW589799:GOY589876 HSK589799:HSM589876 IVY589799:IWA589876 JZM589799:JZO589876 LDA589799:LDC589876 MGO589799:MGQ589876 NKC589799:NKE589876 ONQ589799:ONS589876 PRE589799:PRG589876 QUS589799:QUU589876 RYG589799:RYI589876 TBU589799:TBW589876 UFI589799:UFK589876 VIW589799:VIY589876 WMK589799:WMM589876 Y655335:AA655412 ADM655335:ADO655412 BHA655335:BHC655412 CKO655335:CKQ655412 DOC655335:DOE655412 ERQ655335:ERS655412 FVE655335:FVG655412 GYS655335:GYU655412 ICG655335:ICI655412 JFU655335:JFW655412 KJI655335:KJK655412 LMW655335:LMY655412 MQK655335:MQM655412 NTY655335:NUA655412 OXM655335:OXO655412 QBA655335:QBC655412 REO655335:REQ655412 SIC655335:SIE655412 TLQ655335:TLS655412 UPE655335:UPG655412 VSS655335:VSU655412 WWG655335:WWI655412 JU655335:JW655412 ANI655335:ANK655412 BQW655335:BQY655412 CUK655335:CUM655412 DXY655335:DYA655412 FBM655335:FBO655412 GFA655335:GFC655412 HIO655335:HIQ655412 IMC655335:IME655412 JPQ655335:JPS655412 KTE655335:KTG655412 LWS655335:LWU655412 NAG655335:NAI655412 ODU655335:ODW655412 PHI655335:PHK655412 QKW655335:QKY655412 ROK655335:ROM655412 SRY655335:SSA655412 TVM655335:TVO655412 UZA655335:UZC655412 WCO655335:WCQ655412 TQ655335:TS655412 AXE655335:AXG655412 CAS655335:CAU655412 DEG655335:DEI655412 EHU655335:EHW655412 FLI655335:FLK655412 GOW655335:GOY655412 HSK655335:HSM655412 IVY655335:IWA655412 JZM655335:JZO655412 LDA655335:LDC655412 MGO655335:MGQ655412 NKC655335:NKE655412 ONQ655335:ONS655412 PRE655335:PRG655412 QUS655335:QUU655412 RYG655335:RYI655412 TBU655335:TBW655412 UFI655335:UFK655412 VIW655335:VIY655412 WMK655335:WMM655412 Y720871:AA720948 ADM720871:ADO720948 BHA720871:BHC720948 CKO720871:CKQ720948 DOC720871:DOE720948 ERQ720871:ERS720948 FVE720871:FVG720948 GYS720871:GYU720948 ICG720871:ICI720948 JFU720871:JFW720948 KJI720871:KJK720948 LMW720871:LMY720948 MQK720871:MQM720948 NTY720871:NUA720948 OXM720871:OXO720948 QBA720871:QBC720948 REO720871:REQ720948 SIC720871:SIE720948 TLQ720871:TLS720948 UPE720871:UPG720948 VSS720871:VSU720948 WWG720871:WWI720948 JU720871:JW720948 ANI720871:ANK720948 BQW720871:BQY720948 CUK720871:CUM720948 DXY720871:DYA720948 FBM720871:FBO720948 GFA720871:GFC720948 HIO720871:HIQ720948 IMC720871:IME720948 JPQ720871:JPS720948 KTE720871:KTG720948 LWS720871:LWU720948 NAG720871:NAI720948 ODU720871:ODW720948 PHI720871:PHK720948 QKW720871:QKY720948 ROK720871:ROM720948 SRY720871:SSA720948 TVM720871:TVO720948 UZA720871:UZC720948 WCO720871:WCQ720948 TQ720871:TS720948 AXE720871:AXG720948 CAS720871:CAU720948 DEG720871:DEI720948 EHU720871:EHW720948 FLI720871:FLK720948 GOW720871:GOY720948 HSK720871:HSM720948 IVY720871:IWA720948 JZM720871:JZO720948 LDA720871:LDC720948 MGO720871:MGQ720948 NKC720871:NKE720948 ONQ720871:ONS720948 PRE720871:PRG720948 QUS720871:QUU720948 RYG720871:RYI720948 TBU720871:TBW720948 UFI720871:UFK720948 VIW720871:VIY720948 WMK720871:WMM720948 Y786407:AA786484 ADM786407:ADO786484 BHA786407:BHC786484 CKO786407:CKQ786484 DOC786407:DOE786484 ERQ786407:ERS786484 FVE786407:FVG786484 GYS786407:GYU786484 ICG786407:ICI786484 JFU786407:JFW786484 KJI786407:KJK786484 LMW786407:LMY786484 MQK786407:MQM786484 NTY786407:NUA786484 OXM786407:OXO786484 QBA786407:QBC786484 REO786407:REQ786484 SIC786407:SIE786484 TLQ786407:TLS786484 UPE786407:UPG786484 VSS786407:VSU786484 WWG786407:WWI786484 JU786407:JW786484 ANI786407:ANK786484 BQW786407:BQY786484 CUK786407:CUM786484 DXY786407:DYA786484 FBM786407:FBO786484 GFA786407:GFC786484 HIO786407:HIQ786484 IMC786407:IME786484 JPQ786407:JPS786484 KTE786407:KTG786484 LWS786407:LWU786484 NAG786407:NAI786484 ODU786407:ODW786484 PHI786407:PHK786484 QKW786407:QKY786484 ROK786407:ROM786484 SRY786407:SSA786484 TVM786407:TVO786484 UZA786407:UZC786484 WCO786407:WCQ786484 TQ786407:TS786484 AXE786407:AXG786484 CAS786407:CAU786484 DEG786407:DEI786484 EHU786407:EHW786484 FLI786407:FLK786484 GOW786407:GOY786484 HSK786407:HSM786484 IVY786407:IWA786484 JZM786407:JZO786484 LDA786407:LDC786484 MGO786407:MGQ786484 NKC786407:NKE786484 ONQ786407:ONS786484 PRE786407:PRG786484 QUS786407:QUU786484 RYG786407:RYI786484 TBU786407:TBW786484 UFI786407:UFK786484 VIW786407:VIY786484 WMK786407:WMM786484 Y851943:AA852020 ADM851943:ADO852020 BHA851943:BHC852020 CKO851943:CKQ852020 DOC851943:DOE852020 ERQ851943:ERS852020 FVE851943:FVG852020 GYS851943:GYU852020 ICG851943:ICI852020 JFU851943:JFW852020 KJI851943:KJK852020 LMW851943:LMY852020 MQK851943:MQM852020 NTY851943:NUA852020 OXM851943:OXO852020 QBA851943:QBC852020 REO851943:REQ852020 SIC851943:SIE852020 TLQ851943:TLS852020 UPE851943:UPG852020 VSS851943:VSU852020 WWG851943:WWI852020 JU851943:JW852020 ANI851943:ANK852020 BQW851943:BQY852020 CUK851943:CUM852020 DXY851943:DYA852020 FBM851943:FBO852020 GFA851943:GFC852020 HIO851943:HIQ852020 IMC851943:IME852020 JPQ851943:JPS852020 KTE851943:KTG852020 LWS851943:LWU852020 NAG851943:NAI852020 ODU851943:ODW852020 PHI851943:PHK852020 QKW851943:QKY852020 ROK851943:ROM852020 SRY851943:SSA852020 TVM851943:TVO852020 UZA851943:UZC852020 WCO851943:WCQ852020 TQ851943:TS852020 AXE851943:AXG852020 CAS851943:CAU852020 DEG851943:DEI852020 EHU851943:EHW852020 FLI851943:FLK852020 GOW851943:GOY852020 HSK851943:HSM852020 IVY851943:IWA852020 JZM851943:JZO852020 LDA851943:LDC852020 MGO851943:MGQ852020 NKC851943:NKE852020 ONQ851943:ONS852020 PRE851943:PRG852020 QUS851943:QUU852020 RYG851943:RYI852020 TBU851943:TBW852020 UFI851943:UFK852020 VIW851943:VIY852020 WMK851943:WMM852020 Y917479:AA917556 ADM917479:ADO917556 BHA917479:BHC917556 CKO917479:CKQ917556 DOC917479:DOE917556 ERQ917479:ERS917556 FVE917479:FVG917556 GYS917479:GYU917556 ICG917479:ICI917556 JFU917479:JFW917556 KJI917479:KJK917556 LMW917479:LMY917556 MQK917479:MQM917556 NTY917479:NUA917556 OXM917479:OXO917556 QBA917479:QBC917556 REO917479:REQ917556 SIC917479:SIE917556 TLQ917479:TLS917556 UPE917479:UPG917556 VSS917479:VSU917556 WWG917479:WWI917556 JU917479:JW917556 ANI917479:ANK917556 BQW917479:BQY917556 CUK917479:CUM917556 DXY917479:DYA917556 FBM917479:FBO917556 GFA917479:GFC917556 HIO917479:HIQ917556 IMC917479:IME917556 JPQ917479:JPS917556 KTE917479:KTG917556 LWS917479:LWU917556 NAG917479:NAI917556 ODU917479:ODW917556 PHI917479:PHK917556 QKW917479:QKY917556 ROK917479:ROM917556 SRY917479:SSA917556 TVM917479:TVO917556 UZA917479:UZC917556 WCO917479:WCQ917556 TQ917479:TS917556 AXE917479:AXG917556 CAS917479:CAU917556 DEG917479:DEI917556 EHU917479:EHW917556 FLI917479:FLK917556 GOW917479:GOY917556 HSK917479:HSM917556 IVY917479:IWA917556 JZM917479:JZO917556 LDA917479:LDC917556 MGO917479:MGQ917556 NKC917479:NKE917556 ONQ917479:ONS917556 PRE917479:PRG917556 QUS917479:QUU917556 RYG917479:RYI917556 TBU917479:TBW917556 UFI917479:UFK917556 VIW917479:VIY917556 WMK917479:WMM917556 JU983015:JW983092 ANI983015:ANK983092 BQW983015:BQY983092 CUK983015:CUM983092 DXY983015:DYA983092 FBM983015:FBO983092 GFA983015:GFC983092 HIO983015:HIQ983092 IMC983015:IME983092 JPQ983015:JPS983092 KTE983015:KTG983092 LWS983015:LWU983092 NAG983015:NAI983092 ODU983015:ODW983092 PHI983015:PHK983092 QKW983015:QKY983092 ROK983015:ROM983092 SRY983015:SSA983092 TVM983015:TVO983092 UZA983015:UZC983092 WCO983015:WCQ983092 TQ983015:TS983092 AXE983015:AXG983092 CAS983015:CAU983092 DEG983015:DEI983092 EHU983015:EHW983092 FLI983015:FLK983092 GOW983015:GOY983092 HSK983015:HSM983092 IVY983015:IWA983092 JZM983015:JZO983092 LDA983015:LDC983092 MGO983015:MGQ983092 NKC983015:NKE983092 ONQ983015:ONS983092 PRE983015:PRG983092 QUS983015:QUU983092 RYG983015:RYI983092 TBU983015:TBW983092 UFI983015:UFK983092 VIW983015:VIY983092 WMK983015:WMM983092">
      <formula1>$AV$2:$AV$19</formula1>
    </dataValidation>
    <dataValidation type="list" allowBlank="1" showInputMessage="1" showErrorMessage="1" sqref="X2:X473 X65511:X65588 X131047:X131124 X196583:X196660 X262119:X262196 X327655:X327732 X393191:X393268 X458727:X458804 X524263:X524340 X589799:X589876 X655335:X655412 X720871:X720948 X786407:X786484 X851943:X852020 X917479:X917556 X983015:X983092 JT2:JT55 JT65511:JT65588 JT131047:JT131124 JT196583:JT196660 JT262119:JT262196 JT327655:JT327732 JT393191:JT393268 JT458727:JT458804 JT524263:JT524340 JT589799:JT589876 JT655335:JT655412 JT720871:JT720948 JT786407:JT786484 JT851943:JT852020 JT917479:JT917556 JT983015:JT983092 TP2:TP55 TP65511:TP65588 TP131047:TP131124 TP196583:TP196660 TP262119:TP262196 TP327655:TP327732 TP393191:TP393268 TP458727:TP458804 TP524263:TP524340 TP589799:TP589876 TP655335:TP655412 TP720871:TP720948 TP786407:TP786484 TP851943:TP852020 TP917479:TP917556 TP983015:TP983092 ADL2:ADL55 ADL65511:ADL65588 ADL131047:ADL131124 ADL196583:ADL196660 ADL262119:ADL262196 ADL327655:ADL327732 ADL393191:ADL393268 ADL458727:ADL458804 ADL524263:ADL524340 ADL589799:ADL589876 ADL655335:ADL655412 ADL720871:ADL720948 ADL786407:ADL786484 ADL851943:ADL852020 ADL917479:ADL917556 ADL983015:ADL983092 ANH2:ANH55 ANH65511:ANH65588 ANH131047:ANH131124 ANH196583:ANH196660 ANH262119:ANH262196 ANH327655:ANH327732 ANH393191:ANH393268 ANH458727:ANH458804 ANH524263:ANH524340 ANH589799:ANH589876 ANH655335:ANH655412 ANH720871:ANH720948 ANH786407:ANH786484 ANH851943:ANH852020 ANH917479:ANH917556 ANH983015:ANH983092 AXD2:AXD55 AXD65511:AXD65588 AXD131047:AXD131124 AXD196583:AXD196660 AXD262119:AXD262196 AXD327655:AXD327732 AXD393191:AXD393268 AXD458727:AXD458804 AXD524263:AXD524340 AXD589799:AXD589876 AXD655335:AXD655412 AXD720871:AXD720948 AXD786407:AXD786484 AXD851943:AXD852020 AXD917479:AXD917556 AXD983015:AXD983092 BGZ2:BGZ55 BGZ65511:BGZ65588 BGZ131047:BGZ131124 BGZ196583:BGZ196660 BGZ262119:BGZ262196 BGZ327655:BGZ327732 BGZ393191:BGZ393268 BGZ458727:BGZ458804 BGZ524263:BGZ524340 BGZ589799:BGZ589876 BGZ655335:BGZ655412 BGZ720871:BGZ720948 BGZ786407:BGZ786484 BGZ851943:BGZ852020 BGZ917479:BGZ917556 BGZ983015:BGZ983092 BQV2:BQV55 BQV65511:BQV65588 BQV131047:BQV131124 BQV196583:BQV196660 BQV262119:BQV262196 BQV327655:BQV327732 BQV393191:BQV393268 BQV458727:BQV458804 BQV524263:BQV524340 BQV589799:BQV589876 BQV655335:BQV655412 BQV720871:BQV720948 BQV786407:BQV786484 BQV851943:BQV852020 BQV917479:BQV917556 BQV983015:BQV983092 CAR2:CAR55 CAR65511:CAR65588 CAR131047:CAR131124 CAR196583:CAR196660 CAR262119:CAR262196 CAR327655:CAR327732 CAR393191:CAR393268 CAR458727:CAR458804 CAR524263:CAR524340 CAR589799:CAR589876 CAR655335:CAR655412 CAR720871:CAR720948 CAR786407:CAR786484 CAR851943:CAR852020 CAR917479:CAR917556 CAR983015:CAR983092 CKN2:CKN55 CKN65511:CKN65588 CKN131047:CKN131124 CKN196583:CKN196660 CKN262119:CKN262196 CKN327655:CKN327732 CKN393191:CKN393268 CKN458727:CKN458804 CKN524263:CKN524340 CKN589799:CKN589876 CKN655335:CKN655412 CKN720871:CKN720948 CKN786407:CKN786484 CKN851943:CKN852020 CKN917479:CKN917556 CKN983015:CKN983092 CUJ2:CUJ55 CUJ65511:CUJ65588 CUJ131047:CUJ131124 CUJ196583:CUJ196660 CUJ262119:CUJ262196 CUJ327655:CUJ327732 CUJ393191:CUJ393268 CUJ458727:CUJ458804 CUJ524263:CUJ524340 CUJ589799:CUJ589876 CUJ655335:CUJ655412 CUJ720871:CUJ720948 CUJ786407:CUJ786484 CUJ851943:CUJ852020 CUJ917479:CUJ917556 CUJ983015:CUJ983092 DEF2:DEF55 DEF65511:DEF65588 DEF131047:DEF131124 DEF196583:DEF196660 DEF262119:DEF262196 DEF327655:DEF327732 DEF393191:DEF393268 DEF458727:DEF458804 DEF524263:DEF524340 DEF589799:DEF589876 DEF655335:DEF655412 DEF720871:DEF720948 DEF786407:DEF786484 DEF851943:DEF852020 DEF917479:DEF917556 DEF983015:DEF983092 DOB2:DOB55 DOB65511:DOB65588 DOB131047:DOB131124 DOB196583:DOB196660 DOB262119:DOB262196 DOB327655:DOB327732 DOB393191:DOB393268 DOB458727:DOB458804 DOB524263:DOB524340 DOB589799:DOB589876 DOB655335:DOB655412 DOB720871:DOB720948 DOB786407:DOB786484 DOB851943:DOB852020 DOB917479:DOB917556 DOB983015:DOB983092 DXX2:DXX55 DXX65511:DXX65588 DXX131047:DXX131124 DXX196583:DXX196660 DXX262119:DXX262196 DXX327655:DXX327732 DXX393191:DXX393268 DXX458727:DXX458804 DXX524263:DXX524340 DXX589799:DXX589876 DXX655335:DXX655412 DXX720871:DXX720948 DXX786407:DXX786484 DXX851943:DXX852020 DXX917479:DXX917556 DXX983015:DXX983092 EHT2:EHT55 EHT65511:EHT65588 EHT131047:EHT131124 EHT196583:EHT196660 EHT262119:EHT262196 EHT327655:EHT327732 EHT393191:EHT393268 EHT458727:EHT458804 EHT524263:EHT524340 EHT589799:EHT589876 EHT655335:EHT655412 EHT720871:EHT720948 EHT786407:EHT786484 EHT851943:EHT852020 EHT917479:EHT917556 EHT983015:EHT983092 ERP2:ERP55 ERP65511:ERP65588 ERP131047:ERP131124 ERP196583:ERP196660 ERP262119:ERP262196 ERP327655:ERP327732 ERP393191:ERP393268 ERP458727:ERP458804 ERP524263:ERP524340 ERP589799:ERP589876 ERP655335:ERP655412 ERP720871:ERP720948 ERP786407:ERP786484 ERP851943:ERP852020 ERP917479:ERP917556 ERP983015:ERP983092 FBL2:FBL55 FBL65511:FBL65588 FBL131047:FBL131124 FBL196583:FBL196660 FBL262119:FBL262196 FBL327655:FBL327732 FBL393191:FBL393268 FBL458727:FBL458804 FBL524263:FBL524340 FBL589799:FBL589876 FBL655335:FBL655412 FBL720871:FBL720948 FBL786407:FBL786484 FBL851943:FBL852020 FBL917479:FBL917556 FBL983015:FBL983092 FLH2:FLH55 FLH65511:FLH65588 FLH131047:FLH131124 FLH196583:FLH196660 FLH262119:FLH262196 FLH327655:FLH327732 FLH393191:FLH393268 FLH458727:FLH458804 FLH524263:FLH524340 FLH589799:FLH589876 FLH655335:FLH655412 FLH720871:FLH720948 FLH786407:FLH786484 FLH851943:FLH852020 FLH917479:FLH917556 FLH983015:FLH983092 FVD2:FVD55 FVD65511:FVD65588 FVD131047:FVD131124 FVD196583:FVD196660 FVD262119:FVD262196 FVD327655:FVD327732 FVD393191:FVD393268 FVD458727:FVD458804 FVD524263:FVD524340 FVD589799:FVD589876 FVD655335:FVD655412 FVD720871:FVD720948 FVD786407:FVD786484 FVD851943:FVD852020 FVD917479:FVD917556 FVD983015:FVD983092 GEZ2:GEZ55 GEZ65511:GEZ65588 GEZ131047:GEZ131124 GEZ196583:GEZ196660 GEZ262119:GEZ262196 GEZ327655:GEZ327732 GEZ393191:GEZ393268 GEZ458727:GEZ458804 GEZ524263:GEZ524340 GEZ589799:GEZ589876 GEZ655335:GEZ655412 GEZ720871:GEZ720948 GEZ786407:GEZ786484 GEZ851943:GEZ852020 GEZ917479:GEZ917556 GEZ983015:GEZ983092 GOV2:GOV55 GOV65511:GOV65588 GOV131047:GOV131124 GOV196583:GOV196660 GOV262119:GOV262196 GOV327655:GOV327732 GOV393191:GOV393268 GOV458727:GOV458804 GOV524263:GOV524340 GOV589799:GOV589876 GOV655335:GOV655412 GOV720871:GOV720948 GOV786407:GOV786484 GOV851943:GOV852020 GOV917479:GOV917556 GOV983015:GOV983092 GYR2:GYR55 GYR65511:GYR65588 GYR131047:GYR131124 GYR196583:GYR196660 GYR262119:GYR262196 GYR327655:GYR327732 GYR393191:GYR393268 GYR458727:GYR458804 GYR524263:GYR524340 GYR589799:GYR589876 GYR655335:GYR655412 GYR720871:GYR720948 GYR786407:GYR786484 GYR851943:GYR852020 GYR917479:GYR917556 GYR983015:GYR983092 HIN2:HIN55 HIN65511:HIN65588 HIN131047:HIN131124 HIN196583:HIN196660 HIN262119:HIN262196 HIN327655:HIN327732 HIN393191:HIN393268 HIN458727:HIN458804 HIN524263:HIN524340 HIN589799:HIN589876 HIN655335:HIN655412 HIN720871:HIN720948 HIN786407:HIN786484 HIN851943:HIN852020 HIN917479:HIN917556 HIN983015:HIN983092 HSJ2:HSJ55 HSJ65511:HSJ65588 HSJ131047:HSJ131124 HSJ196583:HSJ196660 HSJ262119:HSJ262196 HSJ327655:HSJ327732 HSJ393191:HSJ393268 HSJ458727:HSJ458804 HSJ524263:HSJ524340 HSJ589799:HSJ589876 HSJ655335:HSJ655412 HSJ720871:HSJ720948 HSJ786407:HSJ786484 HSJ851943:HSJ852020 HSJ917479:HSJ917556 HSJ983015:HSJ983092 ICF2:ICF55 ICF65511:ICF65588 ICF131047:ICF131124 ICF196583:ICF196660 ICF262119:ICF262196 ICF327655:ICF327732 ICF393191:ICF393268 ICF458727:ICF458804 ICF524263:ICF524340 ICF589799:ICF589876 ICF655335:ICF655412 ICF720871:ICF720948 ICF786407:ICF786484 ICF851943:ICF852020 ICF917479:ICF917556 ICF983015:ICF983092 IMB2:IMB55 IMB65511:IMB65588 IMB131047:IMB131124 IMB196583:IMB196660 IMB262119:IMB262196 IMB327655:IMB327732 IMB393191:IMB393268 IMB458727:IMB458804 IMB524263:IMB524340 IMB589799:IMB589876 IMB655335:IMB655412 IMB720871:IMB720948 IMB786407:IMB786484 IMB851943:IMB852020 IMB917479:IMB917556 IMB983015:IMB983092 IVX2:IVX55 IVX65511:IVX65588 IVX131047:IVX131124 IVX196583:IVX196660 IVX262119:IVX262196 IVX327655:IVX327732 IVX393191:IVX393268 IVX458727:IVX458804 IVX524263:IVX524340 IVX589799:IVX589876 IVX655335:IVX655412 IVX720871:IVX720948 IVX786407:IVX786484 IVX851943:IVX852020 IVX917479:IVX917556 IVX983015:IVX983092 JFT2:JFT55 JFT65511:JFT65588 JFT131047:JFT131124 JFT196583:JFT196660 JFT262119:JFT262196 JFT327655:JFT327732 JFT393191:JFT393268 JFT458727:JFT458804 JFT524263:JFT524340 JFT589799:JFT589876 JFT655335:JFT655412 JFT720871:JFT720948 JFT786407:JFT786484 JFT851943:JFT852020 JFT917479:JFT917556 JFT983015:JFT983092 JPP2:JPP55 JPP65511:JPP65588 JPP131047:JPP131124 JPP196583:JPP196660 JPP262119:JPP262196 JPP327655:JPP327732 JPP393191:JPP393268 JPP458727:JPP458804 JPP524263:JPP524340 JPP589799:JPP589876 JPP655335:JPP655412 JPP720871:JPP720948 JPP786407:JPP786484 JPP851943:JPP852020 JPP917479:JPP917556 JPP983015:JPP983092 JZL2:JZL55 JZL65511:JZL65588 JZL131047:JZL131124 JZL196583:JZL196660 JZL262119:JZL262196 JZL327655:JZL327732 JZL393191:JZL393268 JZL458727:JZL458804 JZL524263:JZL524340 JZL589799:JZL589876 JZL655335:JZL655412 JZL720871:JZL720948 JZL786407:JZL786484 JZL851943:JZL852020 JZL917479:JZL917556 JZL983015:JZL983092 KJH2:KJH55 KJH65511:KJH65588 KJH131047:KJH131124 KJH196583:KJH196660 KJH262119:KJH262196 KJH327655:KJH327732 KJH393191:KJH393268 KJH458727:KJH458804 KJH524263:KJH524340 KJH589799:KJH589876 KJH655335:KJH655412 KJH720871:KJH720948 KJH786407:KJH786484 KJH851943:KJH852020 KJH917479:KJH917556 KJH983015:KJH983092 KTD2:KTD55 KTD65511:KTD65588 KTD131047:KTD131124 KTD196583:KTD196660 KTD262119:KTD262196 KTD327655:KTD327732 KTD393191:KTD393268 KTD458727:KTD458804 KTD524263:KTD524340 KTD589799:KTD589876 KTD655335:KTD655412 KTD720871:KTD720948 KTD786407:KTD786484 KTD851943:KTD852020 KTD917479:KTD917556 KTD983015:KTD983092 LCZ2:LCZ55 LCZ65511:LCZ65588 LCZ131047:LCZ131124 LCZ196583:LCZ196660 LCZ262119:LCZ262196 LCZ327655:LCZ327732 LCZ393191:LCZ393268 LCZ458727:LCZ458804 LCZ524263:LCZ524340 LCZ589799:LCZ589876 LCZ655335:LCZ655412 LCZ720871:LCZ720948 LCZ786407:LCZ786484 LCZ851943:LCZ852020 LCZ917479:LCZ917556 LCZ983015:LCZ983092 LMV2:LMV55 LMV65511:LMV65588 LMV131047:LMV131124 LMV196583:LMV196660 LMV262119:LMV262196 LMV327655:LMV327732 LMV393191:LMV393268 LMV458727:LMV458804 LMV524263:LMV524340 LMV589799:LMV589876 LMV655335:LMV655412 LMV720871:LMV720948 LMV786407:LMV786484 LMV851943:LMV852020 LMV917479:LMV917556 LMV983015:LMV983092 LWR2:LWR55 LWR65511:LWR65588 LWR131047:LWR131124 LWR196583:LWR196660 LWR262119:LWR262196 LWR327655:LWR327732 LWR393191:LWR393268 LWR458727:LWR458804 LWR524263:LWR524340 LWR589799:LWR589876 LWR655335:LWR655412 LWR720871:LWR720948 LWR786407:LWR786484 LWR851943:LWR852020 LWR917479:LWR917556 LWR983015:LWR983092 MGN2:MGN55 MGN65511:MGN65588 MGN131047:MGN131124 MGN196583:MGN196660 MGN262119:MGN262196 MGN327655:MGN327732 MGN393191:MGN393268 MGN458727:MGN458804 MGN524263:MGN524340 MGN589799:MGN589876 MGN655335:MGN655412 MGN720871:MGN720948 MGN786407:MGN786484 MGN851943:MGN852020 MGN917479:MGN917556 MGN983015:MGN983092 MQJ2:MQJ55 MQJ65511:MQJ65588 MQJ131047:MQJ131124 MQJ196583:MQJ196660 MQJ262119:MQJ262196 MQJ327655:MQJ327732 MQJ393191:MQJ393268 MQJ458727:MQJ458804 MQJ524263:MQJ524340 MQJ589799:MQJ589876 MQJ655335:MQJ655412 MQJ720871:MQJ720948 MQJ786407:MQJ786484 MQJ851943:MQJ852020 MQJ917479:MQJ917556 MQJ983015:MQJ983092 NAF2:NAF55 NAF65511:NAF65588 NAF131047:NAF131124 NAF196583:NAF196660 NAF262119:NAF262196 NAF327655:NAF327732 NAF393191:NAF393268 NAF458727:NAF458804 NAF524263:NAF524340 NAF589799:NAF589876 NAF655335:NAF655412 NAF720871:NAF720948 NAF786407:NAF786484 NAF851943:NAF852020 NAF917479:NAF917556 NAF983015:NAF983092 NKB2:NKB55 NKB65511:NKB65588 NKB131047:NKB131124 NKB196583:NKB196660 NKB262119:NKB262196 NKB327655:NKB327732 NKB393191:NKB393268 NKB458727:NKB458804 NKB524263:NKB524340 NKB589799:NKB589876 NKB655335:NKB655412 NKB720871:NKB720948 NKB786407:NKB786484 NKB851943:NKB852020 NKB917479:NKB917556 NKB983015:NKB983092 NTX2:NTX55 NTX65511:NTX65588 NTX131047:NTX131124 NTX196583:NTX196660 NTX262119:NTX262196 NTX327655:NTX327732 NTX393191:NTX393268 NTX458727:NTX458804 NTX524263:NTX524340 NTX589799:NTX589876 NTX655335:NTX655412 NTX720871:NTX720948 NTX786407:NTX786484 NTX851943:NTX852020 NTX917479:NTX917556 NTX983015:NTX983092 ODT2:ODT55 ODT65511:ODT65588 ODT131047:ODT131124 ODT196583:ODT196660 ODT262119:ODT262196 ODT327655:ODT327732 ODT393191:ODT393268 ODT458727:ODT458804 ODT524263:ODT524340 ODT589799:ODT589876 ODT655335:ODT655412 ODT720871:ODT720948 ODT786407:ODT786484 ODT851943:ODT852020 ODT917479:ODT917556 ODT983015:ODT983092 ONP2:ONP55 ONP65511:ONP65588 ONP131047:ONP131124 ONP196583:ONP196660 ONP262119:ONP262196 ONP327655:ONP327732 ONP393191:ONP393268 ONP458727:ONP458804 ONP524263:ONP524340 ONP589799:ONP589876 ONP655335:ONP655412 ONP720871:ONP720948 ONP786407:ONP786484 ONP851943:ONP852020 ONP917479:ONP917556 ONP983015:ONP983092 OXL2:OXL55 OXL65511:OXL65588 OXL131047:OXL131124 OXL196583:OXL196660 OXL262119:OXL262196 OXL327655:OXL327732 OXL393191:OXL393268 OXL458727:OXL458804 OXL524263:OXL524340 OXL589799:OXL589876 OXL655335:OXL655412 OXL720871:OXL720948 OXL786407:OXL786484 OXL851943:OXL852020 OXL917479:OXL917556 OXL983015:OXL983092 PHH2:PHH55 PHH65511:PHH65588 PHH131047:PHH131124 PHH196583:PHH196660 PHH262119:PHH262196 PHH327655:PHH327732 PHH393191:PHH393268 PHH458727:PHH458804 PHH524263:PHH524340 PHH589799:PHH589876 PHH655335:PHH655412 PHH720871:PHH720948 PHH786407:PHH786484 PHH851943:PHH852020 PHH917479:PHH917556 PHH983015:PHH983092 PRD2:PRD55 PRD65511:PRD65588 PRD131047:PRD131124 PRD196583:PRD196660 PRD262119:PRD262196 PRD327655:PRD327732 PRD393191:PRD393268 PRD458727:PRD458804 PRD524263:PRD524340 PRD589799:PRD589876 PRD655335:PRD655412 PRD720871:PRD720948 PRD786407:PRD786484 PRD851943:PRD852020 PRD917479:PRD917556 PRD983015:PRD983092 QAZ2:QAZ55 QAZ65511:QAZ65588 QAZ131047:QAZ131124 QAZ196583:QAZ196660 QAZ262119:QAZ262196 QAZ327655:QAZ327732 QAZ393191:QAZ393268 QAZ458727:QAZ458804 QAZ524263:QAZ524340 QAZ589799:QAZ589876 QAZ655335:QAZ655412 QAZ720871:QAZ720948 QAZ786407:QAZ786484 QAZ851943:QAZ852020 QAZ917479:QAZ917556 QAZ983015:QAZ983092 QKV2:QKV55 QKV65511:QKV65588 QKV131047:QKV131124 QKV196583:QKV196660 QKV262119:QKV262196 QKV327655:QKV327732 QKV393191:QKV393268 QKV458727:QKV458804 QKV524263:QKV524340 QKV589799:QKV589876 QKV655335:QKV655412 QKV720871:QKV720948 QKV786407:QKV786484 QKV851943:QKV852020 QKV917479:QKV917556 QKV983015:QKV983092 QUR2:QUR55 QUR65511:QUR65588 QUR131047:QUR131124 QUR196583:QUR196660 QUR262119:QUR262196 QUR327655:QUR327732 QUR393191:QUR393268 QUR458727:QUR458804 QUR524263:QUR524340 QUR589799:QUR589876 QUR655335:QUR655412 QUR720871:QUR720948 QUR786407:QUR786484 QUR851943:QUR852020 QUR917479:QUR917556 QUR983015:QUR983092 REN2:REN55 REN65511:REN65588 REN131047:REN131124 REN196583:REN196660 REN262119:REN262196 REN327655:REN327732 REN393191:REN393268 REN458727:REN458804 REN524263:REN524340 REN589799:REN589876 REN655335:REN655412 REN720871:REN720948 REN786407:REN786484 REN851943:REN852020 REN917479:REN917556 REN983015:REN983092 ROJ2:ROJ55 ROJ65511:ROJ65588 ROJ131047:ROJ131124 ROJ196583:ROJ196660 ROJ262119:ROJ262196 ROJ327655:ROJ327732 ROJ393191:ROJ393268 ROJ458727:ROJ458804 ROJ524263:ROJ524340 ROJ589799:ROJ589876 ROJ655335:ROJ655412 ROJ720871:ROJ720948 ROJ786407:ROJ786484 ROJ851943:ROJ852020 ROJ917479:ROJ917556 ROJ983015:ROJ983092 RYF2:RYF55 RYF65511:RYF65588 RYF131047:RYF131124 RYF196583:RYF196660 RYF262119:RYF262196 RYF327655:RYF327732 RYF393191:RYF393268 RYF458727:RYF458804 RYF524263:RYF524340 RYF589799:RYF589876 RYF655335:RYF655412 RYF720871:RYF720948 RYF786407:RYF786484 RYF851943:RYF852020 RYF917479:RYF917556 RYF983015:RYF983092 SIB2:SIB55 SIB65511:SIB65588 SIB131047:SIB131124 SIB196583:SIB196660 SIB262119:SIB262196 SIB327655:SIB327732 SIB393191:SIB393268 SIB458727:SIB458804 SIB524263:SIB524340 SIB589799:SIB589876 SIB655335:SIB655412 SIB720871:SIB720948 SIB786407:SIB786484 SIB851943:SIB852020 SIB917479:SIB917556 SIB983015:SIB983092 SRX2:SRX55 SRX65511:SRX65588 SRX131047:SRX131124 SRX196583:SRX196660 SRX262119:SRX262196 SRX327655:SRX327732 SRX393191:SRX393268 SRX458727:SRX458804 SRX524263:SRX524340 SRX589799:SRX589876 SRX655335:SRX655412 SRX720871:SRX720948 SRX786407:SRX786484 SRX851943:SRX852020 SRX917479:SRX917556 SRX983015:SRX983092 TBT2:TBT55 TBT65511:TBT65588 TBT131047:TBT131124 TBT196583:TBT196660 TBT262119:TBT262196 TBT327655:TBT327732 TBT393191:TBT393268 TBT458727:TBT458804 TBT524263:TBT524340 TBT589799:TBT589876 TBT655335:TBT655412 TBT720871:TBT720948 TBT786407:TBT786484 TBT851943:TBT852020 TBT917479:TBT917556 TBT983015:TBT983092 TLP2:TLP55 TLP65511:TLP65588 TLP131047:TLP131124 TLP196583:TLP196660 TLP262119:TLP262196 TLP327655:TLP327732 TLP393191:TLP393268 TLP458727:TLP458804 TLP524263:TLP524340 TLP589799:TLP589876 TLP655335:TLP655412 TLP720871:TLP720948 TLP786407:TLP786484 TLP851943:TLP852020 TLP917479:TLP917556 TLP983015:TLP983092 TVL2:TVL55 TVL65511:TVL65588 TVL131047:TVL131124 TVL196583:TVL196660 TVL262119:TVL262196 TVL327655:TVL327732 TVL393191:TVL393268 TVL458727:TVL458804 TVL524263:TVL524340 TVL589799:TVL589876 TVL655335:TVL655412 TVL720871:TVL720948 TVL786407:TVL786484 TVL851943:TVL852020 TVL917479:TVL917556 TVL983015:TVL983092 UFH2:UFH55 UFH65511:UFH65588 UFH131047:UFH131124 UFH196583:UFH196660 UFH262119:UFH262196 UFH327655:UFH327732 UFH393191:UFH393268 UFH458727:UFH458804 UFH524263:UFH524340 UFH589799:UFH589876 UFH655335:UFH655412 UFH720871:UFH720948 UFH786407:UFH786484 UFH851943:UFH852020 UFH917479:UFH917556 UFH983015:UFH983092 UPD2:UPD55 UPD65511:UPD65588 UPD131047:UPD131124 UPD196583:UPD196660 UPD262119:UPD262196 UPD327655:UPD327732 UPD393191:UPD393268 UPD458727:UPD458804 UPD524263:UPD524340 UPD589799:UPD589876 UPD655335:UPD655412 UPD720871:UPD720948 UPD786407:UPD786484 UPD851943:UPD852020 UPD917479:UPD917556 UPD983015:UPD983092 UYZ2:UYZ55 UYZ65511:UYZ65588 UYZ131047:UYZ131124 UYZ196583:UYZ196660 UYZ262119:UYZ262196 UYZ327655:UYZ327732 UYZ393191:UYZ393268 UYZ458727:UYZ458804 UYZ524263:UYZ524340 UYZ589799:UYZ589876 UYZ655335:UYZ655412 UYZ720871:UYZ720948 UYZ786407:UYZ786484 UYZ851943:UYZ852020 UYZ917479:UYZ917556 UYZ983015:UYZ983092 VIV2:VIV55 VIV65511:VIV65588 VIV131047:VIV131124 VIV196583:VIV196660 VIV262119:VIV262196 VIV327655:VIV327732 VIV393191:VIV393268 VIV458727:VIV458804 VIV524263:VIV524340 VIV589799:VIV589876 VIV655335:VIV655412 VIV720871:VIV720948 VIV786407:VIV786484 VIV851943:VIV852020 VIV917479:VIV917556 VIV983015:VIV983092 VSR2:VSR55 VSR65511:VSR65588 VSR131047:VSR131124 VSR196583:VSR196660 VSR262119:VSR262196 VSR327655:VSR327732 VSR393191:VSR393268 VSR458727:VSR458804 VSR524263:VSR524340 VSR589799:VSR589876 VSR655335:VSR655412 VSR720871:VSR720948 VSR786407:VSR786484 VSR851943:VSR852020 VSR917479:VSR917556 VSR983015:VSR983092 WCN2:WCN55 WCN65511:WCN65588 WCN131047:WCN131124 WCN196583:WCN196660 WCN262119:WCN262196 WCN327655:WCN327732 WCN393191:WCN393268 WCN458727:WCN458804 WCN524263:WCN524340 WCN589799:WCN589876 WCN655335:WCN655412 WCN720871:WCN720948 WCN786407:WCN786484 WCN851943:WCN852020 WCN917479:WCN917556 WCN983015:WCN983092 WMJ2:WMJ55 WMJ65511:WMJ65588 WMJ131047:WMJ131124 WMJ196583:WMJ196660 WMJ262119:WMJ262196 WMJ327655:WMJ327732 WMJ393191:WMJ393268 WMJ458727:WMJ458804 WMJ524263:WMJ524340 WMJ589799:WMJ589876 WMJ655335:WMJ655412 WMJ720871:WMJ720948 WMJ786407:WMJ786484 WMJ851943:WMJ852020 WMJ917479:WMJ917556 WMJ983015:WMJ983092 WWF2:WWF55 WWF65511:WWF65588 WWF131047:WWF131124 WWF196583:WWF196660 WWF262119:WWF262196 WWF327655:WWF327732 WWF393191:WWF393268 WWF458727:WWF458804 WWF524263:WWF524340 WWF589799:WWF589876 WWF655335:WWF655412 WWF720871:WWF720948 WWF786407:WWF786484 WWF851943:WWF852020 WWF917479:WWF917556 WWF983015:WWF983092">
      <formula1>$AT$2:$AT$3</formula1>
    </dataValidation>
    <dataValidation type="list" allowBlank="1" showInputMessage="1" showErrorMessage="1" sqref="F2:F704 F65511:F65588 F131047:F131124 F196583:F196660 F262119:F262196 F327655:F327732 F393191:F393268 F458727:F458804 F524263:F524340 F589799:F589876 F655335:F655412 F720871:F720948 F786407:F786484 F851943:F852020 F917479:F917556 F983015:F983092 JB2:JB55 JB65511:JB65588 JB131047:JB131124 JB196583:JB196660 JB262119:JB262196 JB327655:JB327732 JB393191:JB393268 JB458727:JB458804 JB524263:JB524340 JB589799:JB589876 JB655335:JB655412 JB720871:JB720948 JB786407:JB786484 JB851943:JB852020 JB917479:JB917556 JB983015:JB983092 SX2:SX55 SX65511:SX65588 SX131047:SX131124 SX196583:SX196660 SX262119:SX262196 SX327655:SX327732 SX393191:SX393268 SX458727:SX458804 SX524263:SX524340 SX589799:SX589876 SX655335:SX655412 SX720871:SX720948 SX786407:SX786484 SX851943:SX852020 SX917479:SX917556 SX983015:SX983092 ACT2:ACT55 ACT65511:ACT65588 ACT131047:ACT131124 ACT196583:ACT196660 ACT262119:ACT262196 ACT327655:ACT327732 ACT393191:ACT393268 ACT458727:ACT458804 ACT524263:ACT524340 ACT589799:ACT589876 ACT655335:ACT655412 ACT720871:ACT720948 ACT786407:ACT786484 ACT851943:ACT852020 ACT917479:ACT917556 ACT983015:ACT983092 AMP2:AMP55 AMP65511:AMP65588 AMP131047:AMP131124 AMP196583:AMP196660 AMP262119:AMP262196 AMP327655:AMP327732 AMP393191:AMP393268 AMP458727:AMP458804 AMP524263:AMP524340 AMP589799:AMP589876 AMP655335:AMP655412 AMP720871:AMP720948 AMP786407:AMP786484 AMP851943:AMP852020 AMP917479:AMP917556 AMP983015:AMP983092 AWL2:AWL55 AWL65511:AWL65588 AWL131047:AWL131124 AWL196583:AWL196660 AWL262119:AWL262196 AWL327655:AWL327732 AWL393191:AWL393268 AWL458727:AWL458804 AWL524263:AWL524340 AWL589799:AWL589876 AWL655335:AWL655412 AWL720871:AWL720948 AWL786407:AWL786484 AWL851943:AWL852020 AWL917479:AWL917556 AWL983015:AWL983092 BGH2:BGH55 BGH65511:BGH65588 BGH131047:BGH131124 BGH196583:BGH196660 BGH262119:BGH262196 BGH327655:BGH327732 BGH393191:BGH393268 BGH458727:BGH458804 BGH524263:BGH524340 BGH589799:BGH589876 BGH655335:BGH655412 BGH720871:BGH720948 BGH786407:BGH786484 BGH851943:BGH852020 BGH917479:BGH917556 BGH983015:BGH983092 BQD2:BQD55 BQD65511:BQD65588 BQD131047:BQD131124 BQD196583:BQD196660 BQD262119:BQD262196 BQD327655:BQD327732 BQD393191:BQD393268 BQD458727:BQD458804 BQD524263:BQD524340 BQD589799:BQD589876 BQD655335:BQD655412 BQD720871:BQD720948 BQD786407:BQD786484 BQD851943:BQD852020 BQD917479:BQD917556 BQD983015:BQD983092 BZZ2:BZZ55 BZZ65511:BZZ65588 BZZ131047:BZZ131124 BZZ196583:BZZ196660 BZZ262119:BZZ262196 BZZ327655:BZZ327732 BZZ393191:BZZ393268 BZZ458727:BZZ458804 BZZ524263:BZZ524340 BZZ589799:BZZ589876 BZZ655335:BZZ655412 BZZ720871:BZZ720948 BZZ786407:BZZ786484 BZZ851943:BZZ852020 BZZ917479:BZZ917556 BZZ983015:BZZ983092 CJV2:CJV55 CJV65511:CJV65588 CJV131047:CJV131124 CJV196583:CJV196660 CJV262119:CJV262196 CJV327655:CJV327732 CJV393191:CJV393268 CJV458727:CJV458804 CJV524263:CJV524340 CJV589799:CJV589876 CJV655335:CJV655412 CJV720871:CJV720948 CJV786407:CJV786484 CJV851943:CJV852020 CJV917479:CJV917556 CJV983015:CJV983092 CTR2:CTR55 CTR65511:CTR65588 CTR131047:CTR131124 CTR196583:CTR196660 CTR262119:CTR262196 CTR327655:CTR327732 CTR393191:CTR393268 CTR458727:CTR458804 CTR524263:CTR524340 CTR589799:CTR589876 CTR655335:CTR655412 CTR720871:CTR720948 CTR786407:CTR786484 CTR851943:CTR852020 CTR917479:CTR917556 CTR983015:CTR983092 DDN2:DDN55 DDN65511:DDN65588 DDN131047:DDN131124 DDN196583:DDN196660 DDN262119:DDN262196 DDN327655:DDN327732 DDN393191:DDN393268 DDN458727:DDN458804 DDN524263:DDN524340 DDN589799:DDN589876 DDN655335:DDN655412 DDN720871:DDN720948 DDN786407:DDN786484 DDN851943:DDN852020 DDN917479:DDN917556 DDN983015:DDN983092 DNJ2:DNJ55 DNJ65511:DNJ65588 DNJ131047:DNJ131124 DNJ196583:DNJ196660 DNJ262119:DNJ262196 DNJ327655:DNJ327732 DNJ393191:DNJ393268 DNJ458727:DNJ458804 DNJ524263:DNJ524340 DNJ589799:DNJ589876 DNJ655335:DNJ655412 DNJ720871:DNJ720948 DNJ786407:DNJ786484 DNJ851943:DNJ852020 DNJ917479:DNJ917556 DNJ983015:DNJ983092 DXF2:DXF55 DXF65511:DXF65588 DXF131047:DXF131124 DXF196583:DXF196660 DXF262119:DXF262196 DXF327655:DXF327732 DXF393191:DXF393268 DXF458727:DXF458804 DXF524263:DXF524340 DXF589799:DXF589876 DXF655335:DXF655412 DXF720871:DXF720948 DXF786407:DXF786484 DXF851943:DXF852020 DXF917479:DXF917556 DXF983015:DXF983092 EHB2:EHB55 EHB65511:EHB65588 EHB131047:EHB131124 EHB196583:EHB196660 EHB262119:EHB262196 EHB327655:EHB327732 EHB393191:EHB393268 EHB458727:EHB458804 EHB524263:EHB524340 EHB589799:EHB589876 EHB655335:EHB655412 EHB720871:EHB720948 EHB786407:EHB786484 EHB851943:EHB852020 EHB917479:EHB917556 EHB983015:EHB983092 EQX2:EQX55 EQX65511:EQX65588 EQX131047:EQX131124 EQX196583:EQX196660 EQX262119:EQX262196 EQX327655:EQX327732 EQX393191:EQX393268 EQX458727:EQX458804 EQX524263:EQX524340 EQX589799:EQX589876 EQX655335:EQX655412 EQX720871:EQX720948 EQX786407:EQX786484 EQX851943:EQX852020 EQX917479:EQX917556 EQX983015:EQX983092 FAT2:FAT55 FAT65511:FAT65588 FAT131047:FAT131124 FAT196583:FAT196660 FAT262119:FAT262196 FAT327655:FAT327732 FAT393191:FAT393268 FAT458727:FAT458804 FAT524263:FAT524340 FAT589799:FAT589876 FAT655335:FAT655412 FAT720871:FAT720948 FAT786407:FAT786484 FAT851943:FAT852020 FAT917479:FAT917556 FAT983015:FAT983092 FKP2:FKP55 FKP65511:FKP65588 FKP131047:FKP131124 FKP196583:FKP196660 FKP262119:FKP262196 FKP327655:FKP327732 FKP393191:FKP393268 FKP458727:FKP458804 FKP524263:FKP524340 FKP589799:FKP589876 FKP655335:FKP655412 FKP720871:FKP720948 FKP786407:FKP786484 FKP851943:FKP852020 FKP917479:FKP917556 FKP983015:FKP983092 FUL2:FUL55 FUL65511:FUL65588 FUL131047:FUL131124 FUL196583:FUL196660 FUL262119:FUL262196 FUL327655:FUL327732 FUL393191:FUL393268 FUL458727:FUL458804 FUL524263:FUL524340 FUL589799:FUL589876 FUL655335:FUL655412 FUL720871:FUL720948 FUL786407:FUL786484 FUL851943:FUL852020 FUL917479:FUL917556 FUL983015:FUL983092 GEH2:GEH55 GEH65511:GEH65588 GEH131047:GEH131124 GEH196583:GEH196660 GEH262119:GEH262196 GEH327655:GEH327732 GEH393191:GEH393268 GEH458727:GEH458804 GEH524263:GEH524340 GEH589799:GEH589876 GEH655335:GEH655412 GEH720871:GEH720948 GEH786407:GEH786484 GEH851943:GEH852020 GEH917479:GEH917556 GEH983015:GEH983092 GOD2:GOD55 GOD65511:GOD65588 GOD131047:GOD131124 GOD196583:GOD196660 GOD262119:GOD262196 GOD327655:GOD327732 GOD393191:GOD393268 GOD458727:GOD458804 GOD524263:GOD524340 GOD589799:GOD589876 GOD655335:GOD655412 GOD720871:GOD720948 GOD786407:GOD786484 GOD851943:GOD852020 GOD917479:GOD917556 GOD983015:GOD983092 GXZ2:GXZ55 GXZ65511:GXZ65588 GXZ131047:GXZ131124 GXZ196583:GXZ196660 GXZ262119:GXZ262196 GXZ327655:GXZ327732 GXZ393191:GXZ393268 GXZ458727:GXZ458804 GXZ524263:GXZ524340 GXZ589799:GXZ589876 GXZ655335:GXZ655412 GXZ720871:GXZ720948 GXZ786407:GXZ786484 GXZ851943:GXZ852020 GXZ917479:GXZ917556 GXZ983015:GXZ983092 HHV2:HHV55 HHV65511:HHV65588 HHV131047:HHV131124 HHV196583:HHV196660 HHV262119:HHV262196 HHV327655:HHV327732 HHV393191:HHV393268 HHV458727:HHV458804 HHV524263:HHV524340 HHV589799:HHV589876 HHV655335:HHV655412 HHV720871:HHV720948 HHV786407:HHV786484 HHV851943:HHV852020 HHV917479:HHV917556 HHV983015:HHV983092 HRR2:HRR55 HRR65511:HRR65588 HRR131047:HRR131124 HRR196583:HRR196660 HRR262119:HRR262196 HRR327655:HRR327732 HRR393191:HRR393268 HRR458727:HRR458804 HRR524263:HRR524340 HRR589799:HRR589876 HRR655335:HRR655412 HRR720871:HRR720948 HRR786407:HRR786484 HRR851943:HRR852020 HRR917479:HRR917556 HRR983015:HRR983092 IBN2:IBN55 IBN65511:IBN65588 IBN131047:IBN131124 IBN196583:IBN196660 IBN262119:IBN262196 IBN327655:IBN327732 IBN393191:IBN393268 IBN458727:IBN458804 IBN524263:IBN524340 IBN589799:IBN589876 IBN655335:IBN655412 IBN720871:IBN720948 IBN786407:IBN786484 IBN851943:IBN852020 IBN917479:IBN917556 IBN983015:IBN983092 ILJ2:ILJ55 ILJ65511:ILJ65588 ILJ131047:ILJ131124 ILJ196583:ILJ196660 ILJ262119:ILJ262196 ILJ327655:ILJ327732 ILJ393191:ILJ393268 ILJ458727:ILJ458804 ILJ524263:ILJ524340 ILJ589799:ILJ589876 ILJ655335:ILJ655412 ILJ720871:ILJ720948 ILJ786407:ILJ786484 ILJ851943:ILJ852020 ILJ917479:ILJ917556 ILJ983015:ILJ983092 IVF2:IVF55 IVF65511:IVF65588 IVF131047:IVF131124 IVF196583:IVF196660 IVF262119:IVF262196 IVF327655:IVF327732 IVF393191:IVF393268 IVF458727:IVF458804 IVF524263:IVF524340 IVF589799:IVF589876 IVF655335:IVF655412 IVF720871:IVF720948 IVF786407:IVF786484 IVF851943:IVF852020 IVF917479:IVF917556 IVF983015:IVF983092 JFB2:JFB55 JFB65511:JFB65588 JFB131047:JFB131124 JFB196583:JFB196660 JFB262119:JFB262196 JFB327655:JFB327732 JFB393191:JFB393268 JFB458727:JFB458804 JFB524263:JFB524340 JFB589799:JFB589876 JFB655335:JFB655412 JFB720871:JFB720948 JFB786407:JFB786484 JFB851943:JFB852020 JFB917479:JFB917556 JFB983015:JFB983092 JOX2:JOX55 JOX65511:JOX65588 JOX131047:JOX131124 JOX196583:JOX196660 JOX262119:JOX262196 JOX327655:JOX327732 JOX393191:JOX393268 JOX458727:JOX458804 JOX524263:JOX524340 JOX589799:JOX589876 JOX655335:JOX655412 JOX720871:JOX720948 JOX786407:JOX786484 JOX851943:JOX852020 JOX917479:JOX917556 JOX983015:JOX983092 JYT2:JYT55 JYT65511:JYT65588 JYT131047:JYT131124 JYT196583:JYT196660 JYT262119:JYT262196 JYT327655:JYT327732 JYT393191:JYT393268 JYT458727:JYT458804 JYT524263:JYT524340 JYT589799:JYT589876 JYT655335:JYT655412 JYT720871:JYT720948 JYT786407:JYT786484 JYT851943:JYT852020 JYT917479:JYT917556 JYT983015:JYT983092 KIP2:KIP55 KIP65511:KIP65588 KIP131047:KIP131124 KIP196583:KIP196660 KIP262119:KIP262196 KIP327655:KIP327732 KIP393191:KIP393268 KIP458727:KIP458804 KIP524263:KIP524340 KIP589799:KIP589876 KIP655335:KIP655412 KIP720871:KIP720948 KIP786407:KIP786484 KIP851943:KIP852020 KIP917479:KIP917556 KIP983015:KIP983092 KSL2:KSL55 KSL65511:KSL65588 KSL131047:KSL131124 KSL196583:KSL196660 KSL262119:KSL262196 KSL327655:KSL327732 KSL393191:KSL393268 KSL458727:KSL458804 KSL524263:KSL524340 KSL589799:KSL589876 KSL655335:KSL655412 KSL720871:KSL720948 KSL786407:KSL786484 KSL851943:KSL852020 KSL917479:KSL917556 KSL983015:KSL983092 LCH2:LCH55 LCH65511:LCH65588 LCH131047:LCH131124 LCH196583:LCH196660 LCH262119:LCH262196 LCH327655:LCH327732 LCH393191:LCH393268 LCH458727:LCH458804 LCH524263:LCH524340 LCH589799:LCH589876 LCH655335:LCH655412 LCH720871:LCH720948 LCH786407:LCH786484 LCH851943:LCH852020 LCH917479:LCH917556 LCH983015:LCH983092 LMD2:LMD55 LMD65511:LMD65588 LMD131047:LMD131124 LMD196583:LMD196660 LMD262119:LMD262196 LMD327655:LMD327732 LMD393191:LMD393268 LMD458727:LMD458804 LMD524263:LMD524340 LMD589799:LMD589876 LMD655335:LMD655412 LMD720871:LMD720948 LMD786407:LMD786484 LMD851943:LMD852020 LMD917479:LMD917556 LMD983015:LMD983092 LVZ2:LVZ55 LVZ65511:LVZ65588 LVZ131047:LVZ131124 LVZ196583:LVZ196660 LVZ262119:LVZ262196 LVZ327655:LVZ327732 LVZ393191:LVZ393268 LVZ458727:LVZ458804 LVZ524263:LVZ524340 LVZ589799:LVZ589876 LVZ655335:LVZ655412 LVZ720871:LVZ720948 LVZ786407:LVZ786484 LVZ851943:LVZ852020 LVZ917479:LVZ917556 LVZ983015:LVZ983092 MFV2:MFV55 MFV65511:MFV65588 MFV131047:MFV131124 MFV196583:MFV196660 MFV262119:MFV262196 MFV327655:MFV327732 MFV393191:MFV393268 MFV458727:MFV458804 MFV524263:MFV524340 MFV589799:MFV589876 MFV655335:MFV655412 MFV720871:MFV720948 MFV786407:MFV786484 MFV851943:MFV852020 MFV917479:MFV917556 MFV983015:MFV983092 MPR2:MPR55 MPR65511:MPR65588 MPR131047:MPR131124 MPR196583:MPR196660 MPR262119:MPR262196 MPR327655:MPR327732 MPR393191:MPR393268 MPR458727:MPR458804 MPR524263:MPR524340 MPR589799:MPR589876 MPR655335:MPR655412 MPR720871:MPR720948 MPR786407:MPR786484 MPR851943:MPR852020 MPR917479:MPR917556 MPR983015:MPR983092 MZN2:MZN55 MZN65511:MZN65588 MZN131047:MZN131124 MZN196583:MZN196660 MZN262119:MZN262196 MZN327655:MZN327732 MZN393191:MZN393268 MZN458727:MZN458804 MZN524263:MZN524340 MZN589799:MZN589876 MZN655335:MZN655412 MZN720871:MZN720948 MZN786407:MZN786484 MZN851943:MZN852020 MZN917479:MZN917556 MZN983015:MZN983092 NJJ2:NJJ55 NJJ65511:NJJ65588 NJJ131047:NJJ131124 NJJ196583:NJJ196660 NJJ262119:NJJ262196 NJJ327655:NJJ327732 NJJ393191:NJJ393268 NJJ458727:NJJ458804 NJJ524263:NJJ524340 NJJ589799:NJJ589876 NJJ655335:NJJ655412 NJJ720871:NJJ720948 NJJ786407:NJJ786484 NJJ851943:NJJ852020 NJJ917479:NJJ917556 NJJ983015:NJJ983092 NTF2:NTF55 NTF65511:NTF65588 NTF131047:NTF131124 NTF196583:NTF196660 NTF262119:NTF262196 NTF327655:NTF327732 NTF393191:NTF393268 NTF458727:NTF458804 NTF524263:NTF524340 NTF589799:NTF589876 NTF655335:NTF655412 NTF720871:NTF720948 NTF786407:NTF786484 NTF851943:NTF852020 NTF917479:NTF917556 NTF983015:NTF983092 ODB2:ODB55 ODB65511:ODB65588 ODB131047:ODB131124 ODB196583:ODB196660 ODB262119:ODB262196 ODB327655:ODB327732 ODB393191:ODB393268 ODB458727:ODB458804 ODB524263:ODB524340 ODB589799:ODB589876 ODB655335:ODB655412 ODB720871:ODB720948 ODB786407:ODB786484 ODB851943:ODB852020 ODB917479:ODB917556 ODB983015:ODB983092 OMX2:OMX55 OMX65511:OMX65588 OMX131047:OMX131124 OMX196583:OMX196660 OMX262119:OMX262196 OMX327655:OMX327732 OMX393191:OMX393268 OMX458727:OMX458804 OMX524263:OMX524340 OMX589799:OMX589876 OMX655335:OMX655412 OMX720871:OMX720948 OMX786407:OMX786484 OMX851943:OMX852020 OMX917479:OMX917556 OMX983015:OMX983092 OWT2:OWT55 OWT65511:OWT65588 OWT131047:OWT131124 OWT196583:OWT196660 OWT262119:OWT262196 OWT327655:OWT327732 OWT393191:OWT393268 OWT458727:OWT458804 OWT524263:OWT524340 OWT589799:OWT589876 OWT655335:OWT655412 OWT720871:OWT720948 OWT786407:OWT786484 OWT851943:OWT852020 OWT917479:OWT917556 OWT983015:OWT983092 PGP2:PGP55 PGP65511:PGP65588 PGP131047:PGP131124 PGP196583:PGP196660 PGP262119:PGP262196 PGP327655:PGP327732 PGP393191:PGP393268 PGP458727:PGP458804 PGP524263:PGP524340 PGP589799:PGP589876 PGP655335:PGP655412 PGP720871:PGP720948 PGP786407:PGP786484 PGP851943:PGP852020 PGP917479:PGP917556 PGP983015:PGP983092 PQL2:PQL55 PQL65511:PQL65588 PQL131047:PQL131124 PQL196583:PQL196660 PQL262119:PQL262196 PQL327655:PQL327732 PQL393191:PQL393268 PQL458727:PQL458804 PQL524263:PQL524340 PQL589799:PQL589876 PQL655335:PQL655412 PQL720871:PQL720948 PQL786407:PQL786484 PQL851943:PQL852020 PQL917479:PQL917556 PQL983015:PQL983092 QAH2:QAH55 QAH65511:QAH65588 QAH131047:QAH131124 QAH196583:QAH196660 QAH262119:QAH262196 QAH327655:QAH327732 QAH393191:QAH393268 QAH458727:QAH458804 QAH524263:QAH524340 QAH589799:QAH589876 QAH655335:QAH655412 QAH720871:QAH720948 QAH786407:QAH786484 QAH851943:QAH852020 QAH917479:QAH917556 QAH983015:QAH983092 QKD2:QKD55 QKD65511:QKD65588 QKD131047:QKD131124 QKD196583:QKD196660 QKD262119:QKD262196 QKD327655:QKD327732 QKD393191:QKD393268 QKD458727:QKD458804 QKD524263:QKD524340 QKD589799:QKD589876 QKD655335:QKD655412 QKD720871:QKD720948 QKD786407:QKD786484 QKD851943:QKD852020 QKD917479:QKD917556 QKD983015:QKD983092 QTZ2:QTZ55 QTZ65511:QTZ65588 QTZ131047:QTZ131124 QTZ196583:QTZ196660 QTZ262119:QTZ262196 QTZ327655:QTZ327732 QTZ393191:QTZ393268 QTZ458727:QTZ458804 QTZ524263:QTZ524340 QTZ589799:QTZ589876 QTZ655335:QTZ655412 QTZ720871:QTZ720948 QTZ786407:QTZ786484 QTZ851943:QTZ852020 QTZ917479:QTZ917556 QTZ983015:QTZ983092 RDV2:RDV55 RDV65511:RDV65588 RDV131047:RDV131124 RDV196583:RDV196660 RDV262119:RDV262196 RDV327655:RDV327732 RDV393191:RDV393268 RDV458727:RDV458804 RDV524263:RDV524340 RDV589799:RDV589876 RDV655335:RDV655412 RDV720871:RDV720948 RDV786407:RDV786484 RDV851943:RDV852020 RDV917479:RDV917556 RDV983015:RDV983092 RNR2:RNR55 RNR65511:RNR65588 RNR131047:RNR131124 RNR196583:RNR196660 RNR262119:RNR262196 RNR327655:RNR327732 RNR393191:RNR393268 RNR458727:RNR458804 RNR524263:RNR524340 RNR589799:RNR589876 RNR655335:RNR655412 RNR720871:RNR720948 RNR786407:RNR786484 RNR851943:RNR852020 RNR917479:RNR917556 RNR983015:RNR983092 RXN2:RXN55 RXN65511:RXN65588 RXN131047:RXN131124 RXN196583:RXN196660 RXN262119:RXN262196 RXN327655:RXN327732 RXN393191:RXN393268 RXN458727:RXN458804 RXN524263:RXN524340 RXN589799:RXN589876 RXN655335:RXN655412 RXN720871:RXN720948 RXN786407:RXN786484 RXN851943:RXN852020 RXN917479:RXN917556 RXN983015:RXN983092 SHJ2:SHJ55 SHJ65511:SHJ65588 SHJ131047:SHJ131124 SHJ196583:SHJ196660 SHJ262119:SHJ262196 SHJ327655:SHJ327732 SHJ393191:SHJ393268 SHJ458727:SHJ458804 SHJ524263:SHJ524340 SHJ589799:SHJ589876 SHJ655335:SHJ655412 SHJ720871:SHJ720948 SHJ786407:SHJ786484 SHJ851943:SHJ852020 SHJ917479:SHJ917556 SHJ983015:SHJ983092 SRF2:SRF55 SRF65511:SRF65588 SRF131047:SRF131124 SRF196583:SRF196660 SRF262119:SRF262196 SRF327655:SRF327732 SRF393191:SRF393268 SRF458727:SRF458804 SRF524263:SRF524340 SRF589799:SRF589876 SRF655335:SRF655412 SRF720871:SRF720948 SRF786407:SRF786484 SRF851943:SRF852020 SRF917479:SRF917556 SRF983015:SRF983092 TBB2:TBB55 TBB65511:TBB65588 TBB131047:TBB131124 TBB196583:TBB196660 TBB262119:TBB262196 TBB327655:TBB327732 TBB393191:TBB393268 TBB458727:TBB458804 TBB524263:TBB524340 TBB589799:TBB589876 TBB655335:TBB655412 TBB720871:TBB720948 TBB786407:TBB786484 TBB851943:TBB852020 TBB917479:TBB917556 TBB983015:TBB983092 TKX2:TKX55 TKX65511:TKX65588 TKX131047:TKX131124 TKX196583:TKX196660 TKX262119:TKX262196 TKX327655:TKX327732 TKX393191:TKX393268 TKX458727:TKX458804 TKX524263:TKX524340 TKX589799:TKX589876 TKX655335:TKX655412 TKX720871:TKX720948 TKX786407:TKX786484 TKX851943:TKX852020 TKX917479:TKX917556 TKX983015:TKX983092 TUT2:TUT55 TUT65511:TUT65588 TUT131047:TUT131124 TUT196583:TUT196660 TUT262119:TUT262196 TUT327655:TUT327732 TUT393191:TUT393268 TUT458727:TUT458804 TUT524263:TUT524340 TUT589799:TUT589876 TUT655335:TUT655412 TUT720871:TUT720948 TUT786407:TUT786484 TUT851943:TUT852020 TUT917479:TUT917556 TUT983015:TUT983092 UEP2:UEP55 UEP65511:UEP65588 UEP131047:UEP131124 UEP196583:UEP196660 UEP262119:UEP262196 UEP327655:UEP327732 UEP393191:UEP393268 UEP458727:UEP458804 UEP524263:UEP524340 UEP589799:UEP589876 UEP655335:UEP655412 UEP720871:UEP720948 UEP786407:UEP786484 UEP851943:UEP852020 UEP917479:UEP917556 UEP983015:UEP983092 UOL2:UOL55 UOL65511:UOL65588 UOL131047:UOL131124 UOL196583:UOL196660 UOL262119:UOL262196 UOL327655:UOL327732 UOL393191:UOL393268 UOL458727:UOL458804 UOL524263:UOL524340 UOL589799:UOL589876 UOL655335:UOL655412 UOL720871:UOL720948 UOL786407:UOL786484 UOL851943:UOL852020 UOL917479:UOL917556 UOL983015:UOL983092 UYH2:UYH55 UYH65511:UYH65588 UYH131047:UYH131124 UYH196583:UYH196660 UYH262119:UYH262196 UYH327655:UYH327732 UYH393191:UYH393268 UYH458727:UYH458804 UYH524263:UYH524340 UYH589799:UYH589876 UYH655335:UYH655412 UYH720871:UYH720948 UYH786407:UYH786484 UYH851943:UYH852020 UYH917479:UYH917556 UYH983015:UYH983092 VID2:VID55 VID65511:VID65588 VID131047:VID131124 VID196583:VID196660 VID262119:VID262196 VID327655:VID327732 VID393191:VID393268 VID458727:VID458804 VID524263:VID524340 VID589799:VID589876 VID655335:VID655412 VID720871:VID720948 VID786407:VID786484 VID851943:VID852020 VID917479:VID917556 VID983015:VID983092 VRZ2:VRZ55 VRZ65511:VRZ65588 VRZ131047:VRZ131124 VRZ196583:VRZ196660 VRZ262119:VRZ262196 VRZ327655:VRZ327732 VRZ393191:VRZ393268 VRZ458727:VRZ458804 VRZ524263:VRZ524340 VRZ589799:VRZ589876 VRZ655335:VRZ655412 VRZ720871:VRZ720948 VRZ786407:VRZ786484 VRZ851943:VRZ852020 VRZ917479:VRZ917556 VRZ983015:VRZ983092 WBV2:WBV55 WBV65511:WBV65588 WBV131047:WBV131124 WBV196583:WBV196660 WBV262119:WBV262196 WBV327655:WBV327732 WBV393191:WBV393268 WBV458727:WBV458804 WBV524263:WBV524340 WBV589799:WBV589876 WBV655335:WBV655412 WBV720871:WBV720948 WBV786407:WBV786484 WBV851943:WBV852020 WBV917479:WBV917556 WBV983015:WBV983092 WLR2:WLR55 WLR65511:WLR65588 WLR131047:WLR131124 WLR196583:WLR196660 WLR262119:WLR262196 WLR327655:WLR327732 WLR393191:WLR393268 WLR458727:WLR458804 WLR524263:WLR524340 WLR589799:WLR589876 WLR655335:WLR655412 WLR720871:WLR720948 WLR786407:WLR786484 WLR851943:WLR852020 WLR917479:WLR917556 WLR983015:WLR983092 WVN2:WVN55 WVN65511:WVN65588 WVN131047:WVN131124 WVN196583:WVN196660 WVN262119:WVN262196 WVN327655:WVN327732 WVN393191:WVN393268 WVN458727:WVN458804 WVN524263:WVN524340 WVN589799:WVN589876 WVN655335:WVN655412 WVN720871:WVN720948 WVN786407:WVN786484 WVN851943:WVN852020 WVN917479:WVN917556 WVN983015:WVN983092">
      <formula1>$AH$2:$AH$11</formula1>
    </dataValidation>
    <dataValidation type="list" allowBlank="1" showInputMessage="1" showErrorMessage="1" sqref="E2:E705 E65511:E65588 E131047:E131124 E196583:E196660 E262119:E262196 E327655:E327732 E393191:E393268 E458727:E458804 E524263:E524340 E589799:E589876 E655335:E655412 E720871:E720948 E786407:E786484 E851943:E852020 E917479:E917556 E983015:E983092 JA2:JA55 JA65511:JA65588 JA131047:JA131124 JA196583:JA196660 JA262119:JA262196 JA327655:JA327732 JA393191:JA393268 JA458727:JA458804 JA524263:JA524340 JA589799:JA589876 JA655335:JA655412 JA720871:JA720948 JA786407:JA786484 JA851943:JA852020 JA917479:JA917556 JA983015:JA983092 SW2:SW55 SW65511:SW65588 SW131047:SW131124 SW196583:SW196660 SW262119:SW262196 SW327655:SW327732 SW393191:SW393268 SW458727:SW458804 SW524263:SW524340 SW589799:SW589876 SW655335:SW655412 SW720871:SW720948 SW786407:SW786484 SW851943:SW852020 SW917479:SW917556 SW983015:SW983092 ACS2:ACS55 ACS65511:ACS65588 ACS131047:ACS131124 ACS196583:ACS196660 ACS262119:ACS262196 ACS327655:ACS327732 ACS393191:ACS393268 ACS458727:ACS458804 ACS524263:ACS524340 ACS589799:ACS589876 ACS655335:ACS655412 ACS720871:ACS720948 ACS786407:ACS786484 ACS851943:ACS852020 ACS917479:ACS917556 ACS983015:ACS983092 AMO2:AMO55 AMO65511:AMO65588 AMO131047:AMO131124 AMO196583:AMO196660 AMO262119:AMO262196 AMO327655:AMO327732 AMO393191:AMO393268 AMO458727:AMO458804 AMO524263:AMO524340 AMO589799:AMO589876 AMO655335:AMO655412 AMO720871:AMO720948 AMO786407:AMO786484 AMO851943:AMO852020 AMO917479:AMO917556 AMO983015:AMO983092 AWK2:AWK55 AWK65511:AWK65588 AWK131047:AWK131124 AWK196583:AWK196660 AWK262119:AWK262196 AWK327655:AWK327732 AWK393191:AWK393268 AWK458727:AWK458804 AWK524263:AWK524340 AWK589799:AWK589876 AWK655335:AWK655412 AWK720871:AWK720948 AWK786407:AWK786484 AWK851943:AWK852020 AWK917479:AWK917556 AWK983015:AWK983092 BGG2:BGG55 BGG65511:BGG65588 BGG131047:BGG131124 BGG196583:BGG196660 BGG262119:BGG262196 BGG327655:BGG327732 BGG393191:BGG393268 BGG458727:BGG458804 BGG524263:BGG524340 BGG589799:BGG589876 BGG655335:BGG655412 BGG720871:BGG720948 BGG786407:BGG786484 BGG851943:BGG852020 BGG917479:BGG917556 BGG983015:BGG983092 BQC2:BQC55 BQC65511:BQC65588 BQC131047:BQC131124 BQC196583:BQC196660 BQC262119:BQC262196 BQC327655:BQC327732 BQC393191:BQC393268 BQC458727:BQC458804 BQC524263:BQC524340 BQC589799:BQC589876 BQC655335:BQC655412 BQC720871:BQC720948 BQC786407:BQC786484 BQC851943:BQC852020 BQC917479:BQC917556 BQC983015:BQC983092 BZY2:BZY55 BZY65511:BZY65588 BZY131047:BZY131124 BZY196583:BZY196660 BZY262119:BZY262196 BZY327655:BZY327732 BZY393191:BZY393268 BZY458727:BZY458804 BZY524263:BZY524340 BZY589799:BZY589876 BZY655335:BZY655412 BZY720871:BZY720948 BZY786407:BZY786484 BZY851943:BZY852020 BZY917479:BZY917556 BZY983015:BZY983092 CJU2:CJU55 CJU65511:CJU65588 CJU131047:CJU131124 CJU196583:CJU196660 CJU262119:CJU262196 CJU327655:CJU327732 CJU393191:CJU393268 CJU458727:CJU458804 CJU524263:CJU524340 CJU589799:CJU589876 CJU655335:CJU655412 CJU720871:CJU720948 CJU786407:CJU786484 CJU851943:CJU852020 CJU917479:CJU917556 CJU983015:CJU983092 CTQ2:CTQ55 CTQ65511:CTQ65588 CTQ131047:CTQ131124 CTQ196583:CTQ196660 CTQ262119:CTQ262196 CTQ327655:CTQ327732 CTQ393191:CTQ393268 CTQ458727:CTQ458804 CTQ524263:CTQ524340 CTQ589799:CTQ589876 CTQ655335:CTQ655412 CTQ720871:CTQ720948 CTQ786407:CTQ786484 CTQ851943:CTQ852020 CTQ917479:CTQ917556 CTQ983015:CTQ983092 DDM2:DDM55 DDM65511:DDM65588 DDM131047:DDM131124 DDM196583:DDM196660 DDM262119:DDM262196 DDM327655:DDM327732 DDM393191:DDM393268 DDM458727:DDM458804 DDM524263:DDM524340 DDM589799:DDM589876 DDM655335:DDM655412 DDM720871:DDM720948 DDM786407:DDM786484 DDM851943:DDM852020 DDM917479:DDM917556 DDM983015:DDM983092 DNI2:DNI55 DNI65511:DNI65588 DNI131047:DNI131124 DNI196583:DNI196660 DNI262119:DNI262196 DNI327655:DNI327732 DNI393191:DNI393268 DNI458727:DNI458804 DNI524263:DNI524340 DNI589799:DNI589876 DNI655335:DNI655412 DNI720871:DNI720948 DNI786407:DNI786484 DNI851943:DNI852020 DNI917479:DNI917556 DNI983015:DNI983092 DXE2:DXE55 DXE65511:DXE65588 DXE131047:DXE131124 DXE196583:DXE196660 DXE262119:DXE262196 DXE327655:DXE327732 DXE393191:DXE393268 DXE458727:DXE458804 DXE524263:DXE524340 DXE589799:DXE589876 DXE655335:DXE655412 DXE720871:DXE720948 DXE786407:DXE786484 DXE851943:DXE852020 DXE917479:DXE917556 DXE983015:DXE983092 EHA2:EHA55 EHA65511:EHA65588 EHA131047:EHA131124 EHA196583:EHA196660 EHA262119:EHA262196 EHA327655:EHA327732 EHA393191:EHA393268 EHA458727:EHA458804 EHA524263:EHA524340 EHA589799:EHA589876 EHA655335:EHA655412 EHA720871:EHA720948 EHA786407:EHA786484 EHA851943:EHA852020 EHA917479:EHA917556 EHA983015:EHA983092 EQW2:EQW55 EQW65511:EQW65588 EQW131047:EQW131124 EQW196583:EQW196660 EQW262119:EQW262196 EQW327655:EQW327732 EQW393191:EQW393268 EQW458727:EQW458804 EQW524263:EQW524340 EQW589799:EQW589876 EQW655335:EQW655412 EQW720871:EQW720948 EQW786407:EQW786484 EQW851943:EQW852020 EQW917479:EQW917556 EQW983015:EQW983092 FAS2:FAS55 FAS65511:FAS65588 FAS131047:FAS131124 FAS196583:FAS196660 FAS262119:FAS262196 FAS327655:FAS327732 FAS393191:FAS393268 FAS458727:FAS458804 FAS524263:FAS524340 FAS589799:FAS589876 FAS655335:FAS655412 FAS720871:FAS720948 FAS786407:FAS786484 FAS851943:FAS852020 FAS917479:FAS917556 FAS983015:FAS983092 FKO2:FKO55 FKO65511:FKO65588 FKO131047:FKO131124 FKO196583:FKO196660 FKO262119:FKO262196 FKO327655:FKO327732 FKO393191:FKO393268 FKO458727:FKO458804 FKO524263:FKO524340 FKO589799:FKO589876 FKO655335:FKO655412 FKO720871:FKO720948 FKO786407:FKO786484 FKO851943:FKO852020 FKO917479:FKO917556 FKO983015:FKO983092 FUK2:FUK55 FUK65511:FUK65588 FUK131047:FUK131124 FUK196583:FUK196660 FUK262119:FUK262196 FUK327655:FUK327732 FUK393191:FUK393268 FUK458727:FUK458804 FUK524263:FUK524340 FUK589799:FUK589876 FUK655335:FUK655412 FUK720871:FUK720948 FUK786407:FUK786484 FUK851943:FUK852020 FUK917479:FUK917556 FUK983015:FUK983092 GEG2:GEG55 GEG65511:GEG65588 GEG131047:GEG131124 GEG196583:GEG196660 GEG262119:GEG262196 GEG327655:GEG327732 GEG393191:GEG393268 GEG458727:GEG458804 GEG524263:GEG524340 GEG589799:GEG589876 GEG655335:GEG655412 GEG720871:GEG720948 GEG786407:GEG786484 GEG851943:GEG852020 GEG917479:GEG917556 GEG983015:GEG983092 GOC2:GOC55 GOC65511:GOC65588 GOC131047:GOC131124 GOC196583:GOC196660 GOC262119:GOC262196 GOC327655:GOC327732 GOC393191:GOC393268 GOC458727:GOC458804 GOC524263:GOC524340 GOC589799:GOC589876 GOC655335:GOC655412 GOC720871:GOC720948 GOC786407:GOC786484 GOC851943:GOC852020 GOC917479:GOC917556 GOC983015:GOC983092 GXY2:GXY55 GXY65511:GXY65588 GXY131047:GXY131124 GXY196583:GXY196660 GXY262119:GXY262196 GXY327655:GXY327732 GXY393191:GXY393268 GXY458727:GXY458804 GXY524263:GXY524340 GXY589799:GXY589876 GXY655335:GXY655412 GXY720871:GXY720948 GXY786407:GXY786484 GXY851943:GXY852020 GXY917479:GXY917556 GXY983015:GXY983092 HHU2:HHU55 HHU65511:HHU65588 HHU131047:HHU131124 HHU196583:HHU196660 HHU262119:HHU262196 HHU327655:HHU327732 HHU393191:HHU393268 HHU458727:HHU458804 HHU524263:HHU524340 HHU589799:HHU589876 HHU655335:HHU655412 HHU720871:HHU720948 HHU786407:HHU786484 HHU851943:HHU852020 HHU917479:HHU917556 HHU983015:HHU983092 HRQ2:HRQ55 HRQ65511:HRQ65588 HRQ131047:HRQ131124 HRQ196583:HRQ196660 HRQ262119:HRQ262196 HRQ327655:HRQ327732 HRQ393191:HRQ393268 HRQ458727:HRQ458804 HRQ524263:HRQ524340 HRQ589799:HRQ589876 HRQ655335:HRQ655412 HRQ720871:HRQ720948 HRQ786407:HRQ786484 HRQ851943:HRQ852020 HRQ917479:HRQ917556 HRQ983015:HRQ983092 IBM2:IBM55 IBM65511:IBM65588 IBM131047:IBM131124 IBM196583:IBM196660 IBM262119:IBM262196 IBM327655:IBM327732 IBM393191:IBM393268 IBM458727:IBM458804 IBM524263:IBM524340 IBM589799:IBM589876 IBM655335:IBM655412 IBM720871:IBM720948 IBM786407:IBM786484 IBM851943:IBM852020 IBM917479:IBM917556 IBM983015:IBM983092 ILI2:ILI55 ILI65511:ILI65588 ILI131047:ILI131124 ILI196583:ILI196660 ILI262119:ILI262196 ILI327655:ILI327732 ILI393191:ILI393268 ILI458727:ILI458804 ILI524263:ILI524340 ILI589799:ILI589876 ILI655335:ILI655412 ILI720871:ILI720948 ILI786407:ILI786484 ILI851943:ILI852020 ILI917479:ILI917556 ILI983015:ILI983092 IVE2:IVE55 IVE65511:IVE65588 IVE131047:IVE131124 IVE196583:IVE196660 IVE262119:IVE262196 IVE327655:IVE327732 IVE393191:IVE393268 IVE458727:IVE458804 IVE524263:IVE524340 IVE589799:IVE589876 IVE655335:IVE655412 IVE720871:IVE720948 IVE786407:IVE786484 IVE851943:IVE852020 IVE917479:IVE917556 IVE983015:IVE983092 JFA2:JFA55 JFA65511:JFA65588 JFA131047:JFA131124 JFA196583:JFA196660 JFA262119:JFA262196 JFA327655:JFA327732 JFA393191:JFA393268 JFA458727:JFA458804 JFA524263:JFA524340 JFA589799:JFA589876 JFA655335:JFA655412 JFA720871:JFA720948 JFA786407:JFA786484 JFA851943:JFA852020 JFA917479:JFA917556 JFA983015:JFA983092 JOW2:JOW55 JOW65511:JOW65588 JOW131047:JOW131124 JOW196583:JOW196660 JOW262119:JOW262196 JOW327655:JOW327732 JOW393191:JOW393268 JOW458727:JOW458804 JOW524263:JOW524340 JOW589799:JOW589876 JOW655335:JOW655412 JOW720871:JOW720948 JOW786407:JOW786484 JOW851943:JOW852020 JOW917479:JOW917556 JOW983015:JOW983092 JYS2:JYS55 JYS65511:JYS65588 JYS131047:JYS131124 JYS196583:JYS196660 JYS262119:JYS262196 JYS327655:JYS327732 JYS393191:JYS393268 JYS458727:JYS458804 JYS524263:JYS524340 JYS589799:JYS589876 JYS655335:JYS655412 JYS720871:JYS720948 JYS786407:JYS786484 JYS851943:JYS852020 JYS917479:JYS917556 JYS983015:JYS983092 KIO2:KIO55 KIO65511:KIO65588 KIO131047:KIO131124 KIO196583:KIO196660 KIO262119:KIO262196 KIO327655:KIO327732 KIO393191:KIO393268 KIO458727:KIO458804 KIO524263:KIO524340 KIO589799:KIO589876 KIO655335:KIO655412 KIO720871:KIO720948 KIO786407:KIO786484 KIO851943:KIO852020 KIO917479:KIO917556 KIO983015:KIO983092 KSK2:KSK55 KSK65511:KSK65588 KSK131047:KSK131124 KSK196583:KSK196660 KSK262119:KSK262196 KSK327655:KSK327732 KSK393191:KSK393268 KSK458727:KSK458804 KSK524263:KSK524340 KSK589799:KSK589876 KSK655335:KSK655412 KSK720871:KSK720948 KSK786407:KSK786484 KSK851943:KSK852020 KSK917479:KSK917556 KSK983015:KSK983092 LCG2:LCG55 LCG65511:LCG65588 LCG131047:LCG131124 LCG196583:LCG196660 LCG262119:LCG262196 LCG327655:LCG327732 LCG393191:LCG393268 LCG458727:LCG458804 LCG524263:LCG524340 LCG589799:LCG589876 LCG655335:LCG655412 LCG720871:LCG720948 LCG786407:LCG786484 LCG851943:LCG852020 LCG917479:LCG917556 LCG983015:LCG983092 LMC2:LMC55 LMC65511:LMC65588 LMC131047:LMC131124 LMC196583:LMC196660 LMC262119:LMC262196 LMC327655:LMC327732 LMC393191:LMC393268 LMC458727:LMC458804 LMC524263:LMC524340 LMC589799:LMC589876 LMC655335:LMC655412 LMC720871:LMC720948 LMC786407:LMC786484 LMC851943:LMC852020 LMC917479:LMC917556 LMC983015:LMC983092 LVY2:LVY55 LVY65511:LVY65588 LVY131047:LVY131124 LVY196583:LVY196660 LVY262119:LVY262196 LVY327655:LVY327732 LVY393191:LVY393268 LVY458727:LVY458804 LVY524263:LVY524340 LVY589799:LVY589876 LVY655335:LVY655412 LVY720871:LVY720948 LVY786407:LVY786484 LVY851943:LVY852020 LVY917479:LVY917556 LVY983015:LVY983092 MFU2:MFU55 MFU65511:MFU65588 MFU131047:MFU131124 MFU196583:MFU196660 MFU262119:MFU262196 MFU327655:MFU327732 MFU393191:MFU393268 MFU458727:MFU458804 MFU524263:MFU524340 MFU589799:MFU589876 MFU655335:MFU655412 MFU720871:MFU720948 MFU786407:MFU786484 MFU851943:MFU852020 MFU917479:MFU917556 MFU983015:MFU983092 MPQ2:MPQ55 MPQ65511:MPQ65588 MPQ131047:MPQ131124 MPQ196583:MPQ196660 MPQ262119:MPQ262196 MPQ327655:MPQ327732 MPQ393191:MPQ393268 MPQ458727:MPQ458804 MPQ524263:MPQ524340 MPQ589799:MPQ589876 MPQ655335:MPQ655412 MPQ720871:MPQ720948 MPQ786407:MPQ786484 MPQ851943:MPQ852020 MPQ917479:MPQ917556 MPQ983015:MPQ983092 MZM2:MZM55 MZM65511:MZM65588 MZM131047:MZM131124 MZM196583:MZM196660 MZM262119:MZM262196 MZM327655:MZM327732 MZM393191:MZM393268 MZM458727:MZM458804 MZM524263:MZM524340 MZM589799:MZM589876 MZM655335:MZM655412 MZM720871:MZM720948 MZM786407:MZM786484 MZM851943:MZM852020 MZM917479:MZM917556 MZM983015:MZM983092 NJI2:NJI55 NJI65511:NJI65588 NJI131047:NJI131124 NJI196583:NJI196660 NJI262119:NJI262196 NJI327655:NJI327732 NJI393191:NJI393268 NJI458727:NJI458804 NJI524263:NJI524340 NJI589799:NJI589876 NJI655335:NJI655412 NJI720871:NJI720948 NJI786407:NJI786484 NJI851943:NJI852020 NJI917479:NJI917556 NJI983015:NJI983092 NTE2:NTE55 NTE65511:NTE65588 NTE131047:NTE131124 NTE196583:NTE196660 NTE262119:NTE262196 NTE327655:NTE327732 NTE393191:NTE393268 NTE458727:NTE458804 NTE524263:NTE524340 NTE589799:NTE589876 NTE655335:NTE655412 NTE720871:NTE720948 NTE786407:NTE786484 NTE851943:NTE852020 NTE917479:NTE917556 NTE983015:NTE983092 ODA2:ODA55 ODA65511:ODA65588 ODA131047:ODA131124 ODA196583:ODA196660 ODA262119:ODA262196 ODA327655:ODA327732 ODA393191:ODA393268 ODA458727:ODA458804 ODA524263:ODA524340 ODA589799:ODA589876 ODA655335:ODA655412 ODA720871:ODA720948 ODA786407:ODA786484 ODA851943:ODA852020 ODA917479:ODA917556 ODA983015:ODA983092 OMW2:OMW55 OMW65511:OMW65588 OMW131047:OMW131124 OMW196583:OMW196660 OMW262119:OMW262196 OMW327655:OMW327732 OMW393191:OMW393268 OMW458727:OMW458804 OMW524263:OMW524340 OMW589799:OMW589876 OMW655335:OMW655412 OMW720871:OMW720948 OMW786407:OMW786484 OMW851943:OMW852020 OMW917479:OMW917556 OMW983015:OMW983092 OWS2:OWS55 OWS65511:OWS65588 OWS131047:OWS131124 OWS196583:OWS196660 OWS262119:OWS262196 OWS327655:OWS327732 OWS393191:OWS393268 OWS458727:OWS458804 OWS524263:OWS524340 OWS589799:OWS589876 OWS655335:OWS655412 OWS720871:OWS720948 OWS786407:OWS786484 OWS851943:OWS852020 OWS917479:OWS917556 OWS983015:OWS983092 PGO2:PGO55 PGO65511:PGO65588 PGO131047:PGO131124 PGO196583:PGO196660 PGO262119:PGO262196 PGO327655:PGO327732 PGO393191:PGO393268 PGO458727:PGO458804 PGO524263:PGO524340 PGO589799:PGO589876 PGO655335:PGO655412 PGO720871:PGO720948 PGO786407:PGO786484 PGO851943:PGO852020 PGO917479:PGO917556 PGO983015:PGO983092 PQK2:PQK55 PQK65511:PQK65588 PQK131047:PQK131124 PQK196583:PQK196660 PQK262119:PQK262196 PQK327655:PQK327732 PQK393191:PQK393268 PQK458727:PQK458804 PQK524263:PQK524340 PQK589799:PQK589876 PQK655335:PQK655412 PQK720871:PQK720948 PQK786407:PQK786484 PQK851943:PQK852020 PQK917479:PQK917556 PQK983015:PQK983092 QAG2:QAG55 QAG65511:QAG65588 QAG131047:QAG131124 QAG196583:QAG196660 QAG262119:QAG262196 QAG327655:QAG327732 QAG393191:QAG393268 QAG458727:QAG458804 QAG524263:QAG524340 QAG589799:QAG589876 QAG655335:QAG655412 QAG720871:QAG720948 QAG786407:QAG786484 QAG851943:QAG852020 QAG917479:QAG917556 QAG983015:QAG983092 QKC2:QKC55 QKC65511:QKC65588 QKC131047:QKC131124 QKC196583:QKC196660 QKC262119:QKC262196 QKC327655:QKC327732 QKC393191:QKC393268 QKC458727:QKC458804 QKC524263:QKC524340 QKC589799:QKC589876 QKC655335:QKC655412 QKC720871:QKC720948 QKC786407:QKC786484 QKC851943:QKC852020 QKC917479:QKC917556 QKC983015:QKC983092 QTY2:QTY55 QTY65511:QTY65588 QTY131047:QTY131124 QTY196583:QTY196660 QTY262119:QTY262196 QTY327655:QTY327732 QTY393191:QTY393268 QTY458727:QTY458804 QTY524263:QTY524340 QTY589799:QTY589876 QTY655335:QTY655412 QTY720871:QTY720948 QTY786407:QTY786484 QTY851943:QTY852020 QTY917479:QTY917556 QTY983015:QTY983092 RDU2:RDU55 RDU65511:RDU65588 RDU131047:RDU131124 RDU196583:RDU196660 RDU262119:RDU262196 RDU327655:RDU327732 RDU393191:RDU393268 RDU458727:RDU458804 RDU524263:RDU524340 RDU589799:RDU589876 RDU655335:RDU655412 RDU720871:RDU720948 RDU786407:RDU786484 RDU851943:RDU852020 RDU917479:RDU917556 RDU983015:RDU983092 RNQ2:RNQ55 RNQ65511:RNQ65588 RNQ131047:RNQ131124 RNQ196583:RNQ196660 RNQ262119:RNQ262196 RNQ327655:RNQ327732 RNQ393191:RNQ393268 RNQ458727:RNQ458804 RNQ524263:RNQ524340 RNQ589799:RNQ589876 RNQ655335:RNQ655412 RNQ720871:RNQ720948 RNQ786407:RNQ786484 RNQ851943:RNQ852020 RNQ917479:RNQ917556 RNQ983015:RNQ983092 RXM2:RXM55 RXM65511:RXM65588 RXM131047:RXM131124 RXM196583:RXM196660 RXM262119:RXM262196 RXM327655:RXM327732 RXM393191:RXM393268 RXM458727:RXM458804 RXM524263:RXM524340 RXM589799:RXM589876 RXM655335:RXM655412 RXM720871:RXM720948 RXM786407:RXM786484 RXM851943:RXM852020 RXM917479:RXM917556 RXM983015:RXM983092 SHI2:SHI55 SHI65511:SHI65588 SHI131047:SHI131124 SHI196583:SHI196660 SHI262119:SHI262196 SHI327655:SHI327732 SHI393191:SHI393268 SHI458727:SHI458804 SHI524263:SHI524340 SHI589799:SHI589876 SHI655335:SHI655412 SHI720871:SHI720948 SHI786407:SHI786484 SHI851943:SHI852020 SHI917479:SHI917556 SHI983015:SHI983092 SRE2:SRE55 SRE65511:SRE65588 SRE131047:SRE131124 SRE196583:SRE196660 SRE262119:SRE262196 SRE327655:SRE327732 SRE393191:SRE393268 SRE458727:SRE458804 SRE524263:SRE524340 SRE589799:SRE589876 SRE655335:SRE655412 SRE720871:SRE720948 SRE786407:SRE786484 SRE851943:SRE852020 SRE917479:SRE917556 SRE983015:SRE983092 TBA2:TBA55 TBA65511:TBA65588 TBA131047:TBA131124 TBA196583:TBA196660 TBA262119:TBA262196 TBA327655:TBA327732 TBA393191:TBA393268 TBA458727:TBA458804 TBA524263:TBA524340 TBA589799:TBA589876 TBA655335:TBA655412 TBA720871:TBA720948 TBA786407:TBA786484 TBA851943:TBA852020 TBA917479:TBA917556 TBA983015:TBA983092 TKW2:TKW55 TKW65511:TKW65588 TKW131047:TKW131124 TKW196583:TKW196660 TKW262119:TKW262196 TKW327655:TKW327732 TKW393191:TKW393268 TKW458727:TKW458804 TKW524263:TKW524340 TKW589799:TKW589876 TKW655335:TKW655412 TKW720871:TKW720948 TKW786407:TKW786484 TKW851943:TKW852020 TKW917479:TKW917556 TKW983015:TKW983092 TUS2:TUS55 TUS65511:TUS65588 TUS131047:TUS131124 TUS196583:TUS196660 TUS262119:TUS262196 TUS327655:TUS327732 TUS393191:TUS393268 TUS458727:TUS458804 TUS524263:TUS524340 TUS589799:TUS589876 TUS655335:TUS655412 TUS720871:TUS720948 TUS786407:TUS786484 TUS851943:TUS852020 TUS917479:TUS917556 TUS983015:TUS983092 UEO2:UEO55 UEO65511:UEO65588 UEO131047:UEO131124 UEO196583:UEO196660 UEO262119:UEO262196 UEO327655:UEO327732 UEO393191:UEO393268 UEO458727:UEO458804 UEO524263:UEO524340 UEO589799:UEO589876 UEO655335:UEO655412 UEO720871:UEO720948 UEO786407:UEO786484 UEO851943:UEO852020 UEO917479:UEO917556 UEO983015:UEO983092 UOK2:UOK55 UOK65511:UOK65588 UOK131047:UOK131124 UOK196583:UOK196660 UOK262119:UOK262196 UOK327655:UOK327732 UOK393191:UOK393268 UOK458727:UOK458804 UOK524263:UOK524340 UOK589799:UOK589876 UOK655335:UOK655412 UOK720871:UOK720948 UOK786407:UOK786484 UOK851943:UOK852020 UOK917479:UOK917556 UOK983015:UOK983092 UYG2:UYG55 UYG65511:UYG65588 UYG131047:UYG131124 UYG196583:UYG196660 UYG262119:UYG262196 UYG327655:UYG327732 UYG393191:UYG393268 UYG458727:UYG458804 UYG524263:UYG524340 UYG589799:UYG589876 UYG655335:UYG655412 UYG720871:UYG720948 UYG786407:UYG786484 UYG851943:UYG852020 UYG917479:UYG917556 UYG983015:UYG983092 VIC2:VIC55 VIC65511:VIC65588 VIC131047:VIC131124 VIC196583:VIC196660 VIC262119:VIC262196 VIC327655:VIC327732 VIC393191:VIC393268 VIC458727:VIC458804 VIC524263:VIC524340 VIC589799:VIC589876 VIC655335:VIC655412 VIC720871:VIC720948 VIC786407:VIC786484 VIC851943:VIC852020 VIC917479:VIC917556 VIC983015:VIC983092 VRY2:VRY55 VRY65511:VRY65588 VRY131047:VRY131124 VRY196583:VRY196660 VRY262119:VRY262196 VRY327655:VRY327732 VRY393191:VRY393268 VRY458727:VRY458804 VRY524263:VRY524340 VRY589799:VRY589876 VRY655335:VRY655412 VRY720871:VRY720948 VRY786407:VRY786484 VRY851943:VRY852020 VRY917479:VRY917556 VRY983015:VRY983092 WBU2:WBU55 WBU65511:WBU65588 WBU131047:WBU131124 WBU196583:WBU196660 WBU262119:WBU262196 WBU327655:WBU327732 WBU393191:WBU393268 WBU458727:WBU458804 WBU524263:WBU524340 WBU589799:WBU589876 WBU655335:WBU655412 WBU720871:WBU720948 WBU786407:WBU786484 WBU851943:WBU852020 WBU917479:WBU917556 WBU983015:WBU983092 WLQ2:WLQ55 WLQ65511:WLQ65588 WLQ131047:WLQ131124 WLQ196583:WLQ196660 WLQ262119:WLQ262196 WLQ327655:WLQ327732 WLQ393191:WLQ393268 WLQ458727:WLQ458804 WLQ524263:WLQ524340 WLQ589799:WLQ589876 WLQ655335:WLQ655412 WLQ720871:WLQ720948 WLQ786407:WLQ786484 WLQ851943:WLQ852020 WLQ917479:WLQ917556 WLQ983015:WLQ983092 WVM2:WVM55 WVM65511:WVM65588 WVM131047:WVM131124 WVM196583:WVM196660 WVM262119:WVM262196 WVM327655:WVM327732 WVM393191:WVM393268 WVM458727:WVM458804 WVM524263:WVM524340 WVM589799:WVM589876 WVM655335:WVM655412 WVM720871:WVM720948 WVM786407:WVM786484 WVM851943:WVM852020 WVM917479:WVM917556 WVM983015:WVM983092">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1 IX65511 ST65511 ACP65511 AML65511 AWH65511 BGD65511 BPZ65511 BZV65511 CJR65511 CTN65511 DDJ65511 DNF65511 DXB65511 EGX65511 EQT65511 FAP65511 FKL65511 FUH65511 GED65511 GNZ65511 GXV65511 HHR65511 HRN65511 IBJ65511 ILF65511 IVB65511 JEX65511 JOT65511 JYP65511 KIL65511 KSH65511 LCD65511 LLZ65511 LVV65511 MFR65511 MPN65511 MZJ65511 NJF65511 NTB65511 OCX65511 OMT65511 OWP65511 PGL65511 PQH65511 QAD65511 QJZ65511 QTV65511 RDR65511 RNN65511 RXJ65511 SHF65511 SRB65511 TAX65511 TKT65511 TUP65511 UEL65511 UOH65511 UYD65511 VHZ65511 VRV65511 WBR65511 WLN65511 WVJ65511 B131047 IX131047 ST131047 ACP131047 AML131047 AWH131047 BGD131047 BPZ131047 BZV131047 CJR131047 CTN131047 DDJ131047 DNF131047 DXB131047 EGX131047 EQT131047 FAP131047 FKL131047 FUH131047 GED131047 GNZ131047 GXV131047 HHR131047 HRN131047 IBJ131047 ILF131047 IVB131047 JEX131047 JOT131047 JYP131047 KIL131047 KSH131047 LCD131047 LLZ131047 LVV131047 MFR131047 MPN131047 MZJ131047 NJF131047 NTB131047 OCX131047 OMT131047 OWP131047 PGL131047 PQH131047 QAD131047 QJZ131047 QTV131047 RDR131047 RNN131047 RXJ131047 SHF131047 SRB131047 TAX131047 TKT131047 TUP131047 UEL131047 UOH131047 UYD131047 VHZ131047 VRV131047 WBR131047 WLN131047 WVJ131047 B196583 IX196583 ST196583 ACP196583 AML196583 AWH196583 BGD196583 BPZ196583 BZV196583 CJR196583 CTN196583 DDJ196583 DNF196583 DXB196583 EGX196583 EQT196583 FAP196583 FKL196583 FUH196583 GED196583 GNZ196583 GXV196583 HHR196583 HRN196583 IBJ196583 ILF196583 IVB196583 JEX196583 JOT196583 JYP196583 KIL196583 KSH196583 LCD196583 LLZ196583 LVV196583 MFR196583 MPN196583 MZJ196583 NJF196583 NTB196583 OCX196583 OMT196583 OWP196583 PGL196583 PQH196583 QAD196583 QJZ196583 QTV196583 RDR196583 RNN196583 RXJ196583 SHF196583 SRB196583 TAX196583 TKT196583 TUP196583 UEL196583 UOH196583 UYD196583 VHZ196583 VRV196583 WBR196583 WLN196583 WVJ196583 B262119 IX262119 ST262119 ACP262119 AML262119 AWH262119 BGD262119 BPZ262119 BZV262119 CJR262119 CTN262119 DDJ262119 DNF262119 DXB262119 EGX262119 EQT262119 FAP262119 FKL262119 FUH262119 GED262119 GNZ262119 GXV262119 HHR262119 HRN262119 IBJ262119 ILF262119 IVB262119 JEX262119 JOT262119 JYP262119 KIL262119 KSH262119 LCD262119 LLZ262119 LVV262119 MFR262119 MPN262119 MZJ262119 NJF262119 NTB262119 OCX262119 OMT262119 OWP262119 PGL262119 PQH262119 QAD262119 QJZ262119 QTV262119 RDR262119 RNN262119 RXJ262119 SHF262119 SRB262119 TAX262119 TKT262119 TUP262119 UEL262119 UOH262119 UYD262119 VHZ262119 VRV262119 WBR262119 WLN262119 WVJ262119 B327655 IX327655 ST327655 ACP327655 AML327655 AWH327655 BGD327655 BPZ327655 BZV327655 CJR327655 CTN327655 DDJ327655 DNF327655 DXB327655 EGX327655 EQT327655 FAP327655 FKL327655 FUH327655 GED327655 GNZ327655 GXV327655 HHR327655 HRN327655 IBJ327655 ILF327655 IVB327655 JEX327655 JOT327655 JYP327655 KIL327655 KSH327655 LCD327655 LLZ327655 LVV327655 MFR327655 MPN327655 MZJ327655 NJF327655 NTB327655 OCX327655 OMT327655 OWP327655 PGL327655 PQH327655 QAD327655 QJZ327655 QTV327655 RDR327655 RNN327655 RXJ327655 SHF327655 SRB327655 TAX327655 TKT327655 TUP327655 UEL327655 UOH327655 UYD327655 VHZ327655 VRV327655 WBR327655 WLN327655 WVJ327655 B393191 IX393191 ST393191 ACP393191 AML393191 AWH393191 BGD393191 BPZ393191 BZV393191 CJR393191 CTN393191 DDJ393191 DNF393191 DXB393191 EGX393191 EQT393191 FAP393191 FKL393191 FUH393191 GED393191 GNZ393191 GXV393191 HHR393191 HRN393191 IBJ393191 ILF393191 IVB393191 JEX393191 JOT393191 JYP393191 KIL393191 KSH393191 LCD393191 LLZ393191 LVV393191 MFR393191 MPN393191 MZJ393191 NJF393191 NTB393191 OCX393191 OMT393191 OWP393191 PGL393191 PQH393191 QAD393191 QJZ393191 QTV393191 RDR393191 RNN393191 RXJ393191 SHF393191 SRB393191 TAX393191 TKT393191 TUP393191 UEL393191 UOH393191 UYD393191 VHZ393191 VRV393191 WBR393191 WLN393191 WVJ393191 B458727 IX458727 ST458727 ACP458727 AML458727 AWH458727 BGD458727 BPZ458727 BZV458727 CJR458727 CTN458727 DDJ458727 DNF458727 DXB458727 EGX458727 EQT458727 FAP458727 FKL458727 FUH458727 GED458727 GNZ458727 GXV458727 HHR458727 HRN458727 IBJ458727 ILF458727 IVB458727 JEX458727 JOT458727 JYP458727 KIL458727 KSH458727 LCD458727 LLZ458727 LVV458727 MFR458727 MPN458727 MZJ458727 NJF458727 NTB458727 OCX458727 OMT458727 OWP458727 PGL458727 PQH458727 QAD458727 QJZ458727 QTV458727 RDR458727 RNN458727 RXJ458727 SHF458727 SRB458727 TAX458727 TKT458727 TUP458727 UEL458727 UOH458727 UYD458727 VHZ458727 VRV458727 WBR458727 WLN458727 WVJ458727 B524263 IX524263 ST524263 ACP524263 AML524263 AWH524263 BGD524263 BPZ524263 BZV524263 CJR524263 CTN524263 DDJ524263 DNF524263 DXB524263 EGX524263 EQT524263 FAP524263 FKL524263 FUH524263 GED524263 GNZ524263 GXV524263 HHR524263 HRN524263 IBJ524263 ILF524263 IVB524263 JEX524263 JOT524263 JYP524263 KIL524263 KSH524263 LCD524263 LLZ524263 LVV524263 MFR524263 MPN524263 MZJ524263 NJF524263 NTB524263 OCX524263 OMT524263 OWP524263 PGL524263 PQH524263 QAD524263 QJZ524263 QTV524263 RDR524263 RNN524263 RXJ524263 SHF524263 SRB524263 TAX524263 TKT524263 TUP524263 UEL524263 UOH524263 UYD524263 VHZ524263 VRV524263 WBR524263 WLN524263 WVJ524263 B589799 IX589799 ST589799 ACP589799 AML589799 AWH589799 BGD589799 BPZ589799 BZV589799 CJR589799 CTN589799 DDJ589799 DNF589799 DXB589799 EGX589799 EQT589799 FAP589799 FKL589799 FUH589799 GED589799 GNZ589799 GXV589799 HHR589799 HRN589799 IBJ589799 ILF589799 IVB589799 JEX589799 JOT589799 JYP589799 KIL589799 KSH589799 LCD589799 LLZ589799 LVV589799 MFR589799 MPN589799 MZJ589799 NJF589799 NTB589799 OCX589799 OMT589799 OWP589799 PGL589799 PQH589799 QAD589799 QJZ589799 QTV589799 RDR589799 RNN589799 RXJ589799 SHF589799 SRB589799 TAX589799 TKT589799 TUP589799 UEL589799 UOH589799 UYD589799 VHZ589799 VRV589799 WBR589799 WLN589799 WVJ589799 B655335 IX655335 ST655335 ACP655335 AML655335 AWH655335 BGD655335 BPZ655335 BZV655335 CJR655335 CTN655335 DDJ655335 DNF655335 DXB655335 EGX655335 EQT655335 FAP655335 FKL655335 FUH655335 GED655335 GNZ655335 GXV655335 HHR655335 HRN655335 IBJ655335 ILF655335 IVB655335 JEX655335 JOT655335 JYP655335 KIL655335 KSH655335 LCD655335 LLZ655335 LVV655335 MFR655335 MPN655335 MZJ655335 NJF655335 NTB655335 OCX655335 OMT655335 OWP655335 PGL655335 PQH655335 QAD655335 QJZ655335 QTV655335 RDR655335 RNN655335 RXJ655335 SHF655335 SRB655335 TAX655335 TKT655335 TUP655335 UEL655335 UOH655335 UYD655335 VHZ655335 VRV655335 WBR655335 WLN655335 WVJ655335 B720871 IX720871 ST720871 ACP720871 AML720871 AWH720871 BGD720871 BPZ720871 BZV720871 CJR720871 CTN720871 DDJ720871 DNF720871 DXB720871 EGX720871 EQT720871 FAP720871 FKL720871 FUH720871 GED720871 GNZ720871 GXV720871 HHR720871 HRN720871 IBJ720871 ILF720871 IVB720871 JEX720871 JOT720871 JYP720871 KIL720871 KSH720871 LCD720871 LLZ720871 LVV720871 MFR720871 MPN720871 MZJ720871 NJF720871 NTB720871 OCX720871 OMT720871 OWP720871 PGL720871 PQH720871 QAD720871 QJZ720871 QTV720871 RDR720871 RNN720871 RXJ720871 SHF720871 SRB720871 TAX720871 TKT720871 TUP720871 UEL720871 UOH720871 UYD720871 VHZ720871 VRV720871 WBR720871 WLN720871 WVJ720871 B786407 IX786407 ST786407 ACP786407 AML786407 AWH786407 BGD786407 BPZ786407 BZV786407 CJR786407 CTN786407 DDJ786407 DNF786407 DXB786407 EGX786407 EQT786407 FAP786407 FKL786407 FUH786407 GED786407 GNZ786407 GXV786407 HHR786407 HRN786407 IBJ786407 ILF786407 IVB786407 JEX786407 JOT786407 JYP786407 KIL786407 KSH786407 LCD786407 LLZ786407 LVV786407 MFR786407 MPN786407 MZJ786407 NJF786407 NTB786407 OCX786407 OMT786407 OWP786407 PGL786407 PQH786407 QAD786407 QJZ786407 QTV786407 RDR786407 RNN786407 RXJ786407 SHF786407 SRB786407 TAX786407 TKT786407 TUP786407 UEL786407 UOH786407 UYD786407 VHZ786407 VRV786407 WBR786407 WLN786407 WVJ786407 B851943 IX851943 ST851943 ACP851943 AML851943 AWH851943 BGD851943 BPZ851943 BZV851943 CJR851943 CTN851943 DDJ851943 DNF851943 DXB851943 EGX851943 EQT851943 FAP851943 FKL851943 FUH851943 GED851943 GNZ851943 GXV851943 HHR851943 HRN851943 IBJ851943 ILF851943 IVB851943 JEX851943 JOT851943 JYP851943 KIL851943 KSH851943 LCD851943 LLZ851943 LVV851943 MFR851943 MPN851943 MZJ851943 NJF851943 NTB851943 OCX851943 OMT851943 OWP851943 PGL851943 PQH851943 QAD851943 QJZ851943 QTV851943 RDR851943 RNN851943 RXJ851943 SHF851943 SRB851943 TAX851943 TKT851943 TUP851943 UEL851943 UOH851943 UYD851943 VHZ851943 VRV851943 WBR851943 WLN851943 WVJ851943 B917479 IX917479 ST917479 ACP917479 AML917479 AWH917479 BGD917479 BPZ917479 BZV917479 CJR917479 CTN917479 DDJ917479 DNF917479 DXB917479 EGX917479 EQT917479 FAP917479 FKL917479 FUH917479 GED917479 GNZ917479 GXV917479 HHR917479 HRN917479 IBJ917479 ILF917479 IVB917479 JEX917479 JOT917479 JYP917479 KIL917479 KSH917479 LCD917479 LLZ917479 LVV917479 MFR917479 MPN917479 MZJ917479 NJF917479 NTB917479 OCX917479 OMT917479 OWP917479 PGL917479 PQH917479 QAD917479 QJZ917479 QTV917479 RDR917479 RNN917479 RXJ917479 SHF917479 SRB917479 TAX917479 TKT917479 TUP917479 UEL917479 UOH917479 UYD917479 VHZ917479 VRV917479 WBR917479 WLN917479 WVJ917479 B983015 IX983015 ST983015 ACP983015 AML983015 AWH983015 BGD983015 BPZ983015 BZV983015 CJR983015 CTN983015 DDJ983015 DNF983015 DXB983015 EGX983015 EQT983015 FAP983015 FKL983015 FUH983015 GED983015 GNZ983015 GXV983015 HHR983015 HRN983015 IBJ983015 ILF983015 IVB983015 JEX983015 JOT983015 JYP983015 KIL983015 KSH983015 LCD983015 LLZ983015 LVV983015 MFR983015 MPN983015 MZJ983015 NJF983015 NTB983015 OCX983015 OMT983015 OWP983015 PGL983015 PQH983015 QAD983015 QJZ983015 QTV983015 RDR983015 RNN983015 RXJ983015 SHF983015 SRB983015 TAX983015 TKT983015 TUP983015 UEL983015 UOH983015 UYD983015 VHZ983015 VRV983015 WBR983015 WLN983015 WVJ983015 B2:B64"/>
    <dataValidation type="list" allowBlank="1" showInputMessage="1" showErrorMessage="1" sqref="A2:A473 A65511:A65588 A131047:A131124 A196583:A196660 A262119:A262196 A327655:A327732 A393191:A393268 A458727:A458804 A524263:A524340 A589799:A589876 A655335:A655412 A720871:A720948 A786407:A786484 A851943:A852020 A917479:A917556 A983015:A983092 IW2:IW55 IW65511:IW65588 IW131047:IW131124 IW196583:IW196660 IW262119:IW262196 IW327655:IW327732 IW393191:IW393268 IW458727:IW458804 IW524263:IW524340 IW589799:IW589876 IW655335:IW655412 IW720871:IW720948 IW786407:IW786484 IW851943:IW852020 IW917479:IW917556 IW983015:IW983092 SS2:SS55 SS65511:SS65588 SS131047:SS131124 SS196583:SS196660 SS262119:SS262196 SS327655:SS327732 SS393191:SS393268 SS458727:SS458804 SS524263:SS524340 SS589799:SS589876 SS655335:SS655412 SS720871:SS720948 SS786407:SS786484 SS851943:SS852020 SS917479:SS917556 SS983015:SS983092 ACO2:ACO55 ACO65511:ACO65588 ACO131047:ACO131124 ACO196583:ACO196660 ACO262119:ACO262196 ACO327655:ACO327732 ACO393191:ACO393268 ACO458727:ACO458804 ACO524263:ACO524340 ACO589799:ACO589876 ACO655335:ACO655412 ACO720871:ACO720948 ACO786407:ACO786484 ACO851943:ACO852020 ACO917479:ACO917556 ACO983015:ACO983092 AMK2:AMK55 AMK65511:AMK65588 AMK131047:AMK131124 AMK196583:AMK196660 AMK262119:AMK262196 AMK327655:AMK327732 AMK393191:AMK393268 AMK458727:AMK458804 AMK524263:AMK524340 AMK589799:AMK589876 AMK655335:AMK655412 AMK720871:AMK720948 AMK786407:AMK786484 AMK851943:AMK852020 AMK917479:AMK917556 AMK983015:AMK983092 AWG2:AWG55 AWG65511:AWG65588 AWG131047:AWG131124 AWG196583:AWG196660 AWG262119:AWG262196 AWG327655:AWG327732 AWG393191:AWG393268 AWG458727:AWG458804 AWG524263:AWG524340 AWG589799:AWG589876 AWG655335:AWG655412 AWG720871:AWG720948 AWG786407:AWG786484 AWG851943:AWG852020 AWG917479:AWG917556 AWG983015:AWG983092 BGC2:BGC55 BGC65511:BGC65588 BGC131047:BGC131124 BGC196583:BGC196660 BGC262119:BGC262196 BGC327655:BGC327732 BGC393191:BGC393268 BGC458727:BGC458804 BGC524263:BGC524340 BGC589799:BGC589876 BGC655335:BGC655412 BGC720871:BGC720948 BGC786407:BGC786484 BGC851943:BGC852020 BGC917479:BGC917556 BGC983015:BGC983092 BPY2:BPY55 BPY65511:BPY65588 BPY131047:BPY131124 BPY196583:BPY196660 BPY262119:BPY262196 BPY327655:BPY327732 BPY393191:BPY393268 BPY458727:BPY458804 BPY524263:BPY524340 BPY589799:BPY589876 BPY655335:BPY655412 BPY720871:BPY720948 BPY786407:BPY786484 BPY851943:BPY852020 BPY917479:BPY917556 BPY983015:BPY983092 BZU2:BZU55 BZU65511:BZU65588 BZU131047:BZU131124 BZU196583:BZU196660 BZU262119:BZU262196 BZU327655:BZU327732 BZU393191:BZU393268 BZU458727:BZU458804 BZU524263:BZU524340 BZU589799:BZU589876 BZU655335:BZU655412 BZU720871:BZU720948 BZU786407:BZU786484 BZU851943:BZU852020 BZU917479:BZU917556 BZU983015:BZU983092 CJQ2:CJQ55 CJQ65511:CJQ65588 CJQ131047:CJQ131124 CJQ196583:CJQ196660 CJQ262119:CJQ262196 CJQ327655:CJQ327732 CJQ393191:CJQ393268 CJQ458727:CJQ458804 CJQ524263:CJQ524340 CJQ589799:CJQ589876 CJQ655335:CJQ655412 CJQ720871:CJQ720948 CJQ786407:CJQ786484 CJQ851943:CJQ852020 CJQ917479:CJQ917556 CJQ983015:CJQ983092 CTM2:CTM55 CTM65511:CTM65588 CTM131047:CTM131124 CTM196583:CTM196660 CTM262119:CTM262196 CTM327655:CTM327732 CTM393191:CTM393268 CTM458727:CTM458804 CTM524263:CTM524340 CTM589799:CTM589876 CTM655335:CTM655412 CTM720871:CTM720948 CTM786407:CTM786484 CTM851943:CTM852020 CTM917479:CTM917556 CTM983015:CTM983092 DDI2:DDI55 DDI65511:DDI65588 DDI131047:DDI131124 DDI196583:DDI196660 DDI262119:DDI262196 DDI327655:DDI327732 DDI393191:DDI393268 DDI458727:DDI458804 DDI524263:DDI524340 DDI589799:DDI589876 DDI655335:DDI655412 DDI720871:DDI720948 DDI786407:DDI786484 DDI851943:DDI852020 DDI917479:DDI917556 DDI983015:DDI983092 DNE2:DNE55 DNE65511:DNE65588 DNE131047:DNE131124 DNE196583:DNE196660 DNE262119:DNE262196 DNE327655:DNE327732 DNE393191:DNE393268 DNE458727:DNE458804 DNE524263:DNE524340 DNE589799:DNE589876 DNE655335:DNE655412 DNE720871:DNE720948 DNE786407:DNE786484 DNE851943:DNE852020 DNE917479:DNE917556 DNE983015:DNE983092 DXA2:DXA55 DXA65511:DXA65588 DXA131047:DXA131124 DXA196583:DXA196660 DXA262119:DXA262196 DXA327655:DXA327732 DXA393191:DXA393268 DXA458727:DXA458804 DXA524263:DXA524340 DXA589799:DXA589876 DXA655335:DXA655412 DXA720871:DXA720948 DXA786407:DXA786484 DXA851943:DXA852020 DXA917479:DXA917556 DXA983015:DXA983092 EGW2:EGW55 EGW65511:EGW65588 EGW131047:EGW131124 EGW196583:EGW196660 EGW262119:EGW262196 EGW327655:EGW327732 EGW393191:EGW393268 EGW458727:EGW458804 EGW524263:EGW524340 EGW589799:EGW589876 EGW655335:EGW655412 EGW720871:EGW720948 EGW786407:EGW786484 EGW851943:EGW852020 EGW917479:EGW917556 EGW983015:EGW983092 EQS2:EQS55 EQS65511:EQS65588 EQS131047:EQS131124 EQS196583:EQS196660 EQS262119:EQS262196 EQS327655:EQS327732 EQS393191:EQS393268 EQS458727:EQS458804 EQS524263:EQS524340 EQS589799:EQS589876 EQS655335:EQS655412 EQS720871:EQS720948 EQS786407:EQS786484 EQS851943:EQS852020 EQS917479:EQS917556 EQS983015:EQS983092 FAO2:FAO55 FAO65511:FAO65588 FAO131047:FAO131124 FAO196583:FAO196660 FAO262119:FAO262196 FAO327655:FAO327732 FAO393191:FAO393268 FAO458727:FAO458804 FAO524263:FAO524340 FAO589799:FAO589876 FAO655335:FAO655412 FAO720871:FAO720948 FAO786407:FAO786484 FAO851943:FAO852020 FAO917479:FAO917556 FAO983015:FAO983092 FKK2:FKK55 FKK65511:FKK65588 FKK131047:FKK131124 FKK196583:FKK196660 FKK262119:FKK262196 FKK327655:FKK327732 FKK393191:FKK393268 FKK458727:FKK458804 FKK524263:FKK524340 FKK589799:FKK589876 FKK655335:FKK655412 FKK720871:FKK720948 FKK786407:FKK786484 FKK851943:FKK852020 FKK917479:FKK917556 FKK983015:FKK983092 FUG2:FUG55 FUG65511:FUG65588 FUG131047:FUG131124 FUG196583:FUG196660 FUG262119:FUG262196 FUG327655:FUG327732 FUG393191:FUG393268 FUG458727:FUG458804 FUG524263:FUG524340 FUG589799:FUG589876 FUG655335:FUG655412 FUG720871:FUG720948 FUG786407:FUG786484 FUG851943:FUG852020 FUG917479:FUG917556 FUG983015:FUG983092 GEC2:GEC55 GEC65511:GEC65588 GEC131047:GEC131124 GEC196583:GEC196660 GEC262119:GEC262196 GEC327655:GEC327732 GEC393191:GEC393268 GEC458727:GEC458804 GEC524263:GEC524340 GEC589799:GEC589876 GEC655335:GEC655412 GEC720871:GEC720948 GEC786407:GEC786484 GEC851943:GEC852020 GEC917479:GEC917556 GEC983015:GEC983092 GNY2:GNY55 GNY65511:GNY65588 GNY131047:GNY131124 GNY196583:GNY196660 GNY262119:GNY262196 GNY327655:GNY327732 GNY393191:GNY393268 GNY458727:GNY458804 GNY524263:GNY524340 GNY589799:GNY589876 GNY655335:GNY655412 GNY720871:GNY720948 GNY786407:GNY786484 GNY851943:GNY852020 GNY917479:GNY917556 GNY983015:GNY983092 GXU2:GXU55 GXU65511:GXU65588 GXU131047:GXU131124 GXU196583:GXU196660 GXU262119:GXU262196 GXU327655:GXU327732 GXU393191:GXU393268 GXU458727:GXU458804 GXU524263:GXU524340 GXU589799:GXU589876 GXU655335:GXU655412 GXU720871:GXU720948 GXU786407:GXU786484 GXU851943:GXU852020 GXU917479:GXU917556 GXU983015:GXU983092 HHQ2:HHQ55 HHQ65511:HHQ65588 HHQ131047:HHQ131124 HHQ196583:HHQ196660 HHQ262119:HHQ262196 HHQ327655:HHQ327732 HHQ393191:HHQ393268 HHQ458727:HHQ458804 HHQ524263:HHQ524340 HHQ589799:HHQ589876 HHQ655335:HHQ655412 HHQ720871:HHQ720948 HHQ786407:HHQ786484 HHQ851943:HHQ852020 HHQ917479:HHQ917556 HHQ983015:HHQ983092 HRM2:HRM55 HRM65511:HRM65588 HRM131047:HRM131124 HRM196583:HRM196660 HRM262119:HRM262196 HRM327655:HRM327732 HRM393191:HRM393268 HRM458727:HRM458804 HRM524263:HRM524340 HRM589799:HRM589876 HRM655335:HRM655412 HRM720871:HRM720948 HRM786407:HRM786484 HRM851943:HRM852020 HRM917479:HRM917556 HRM983015:HRM983092 IBI2:IBI55 IBI65511:IBI65588 IBI131047:IBI131124 IBI196583:IBI196660 IBI262119:IBI262196 IBI327655:IBI327732 IBI393191:IBI393268 IBI458727:IBI458804 IBI524263:IBI524340 IBI589799:IBI589876 IBI655335:IBI655412 IBI720871:IBI720948 IBI786407:IBI786484 IBI851943:IBI852020 IBI917479:IBI917556 IBI983015:IBI983092 ILE2:ILE55 ILE65511:ILE65588 ILE131047:ILE131124 ILE196583:ILE196660 ILE262119:ILE262196 ILE327655:ILE327732 ILE393191:ILE393268 ILE458727:ILE458804 ILE524263:ILE524340 ILE589799:ILE589876 ILE655335:ILE655412 ILE720871:ILE720948 ILE786407:ILE786484 ILE851943:ILE852020 ILE917479:ILE917556 ILE983015:ILE983092 IVA2:IVA55 IVA65511:IVA65588 IVA131047:IVA131124 IVA196583:IVA196660 IVA262119:IVA262196 IVA327655:IVA327732 IVA393191:IVA393268 IVA458727:IVA458804 IVA524263:IVA524340 IVA589799:IVA589876 IVA655335:IVA655412 IVA720871:IVA720948 IVA786407:IVA786484 IVA851943:IVA852020 IVA917479:IVA917556 IVA983015:IVA983092 JEW2:JEW55 JEW65511:JEW65588 JEW131047:JEW131124 JEW196583:JEW196660 JEW262119:JEW262196 JEW327655:JEW327732 JEW393191:JEW393268 JEW458727:JEW458804 JEW524263:JEW524340 JEW589799:JEW589876 JEW655335:JEW655412 JEW720871:JEW720948 JEW786407:JEW786484 JEW851943:JEW852020 JEW917479:JEW917556 JEW983015:JEW983092 JOS2:JOS55 JOS65511:JOS65588 JOS131047:JOS131124 JOS196583:JOS196660 JOS262119:JOS262196 JOS327655:JOS327732 JOS393191:JOS393268 JOS458727:JOS458804 JOS524263:JOS524340 JOS589799:JOS589876 JOS655335:JOS655412 JOS720871:JOS720948 JOS786407:JOS786484 JOS851943:JOS852020 JOS917479:JOS917556 JOS983015:JOS983092 JYO2:JYO55 JYO65511:JYO65588 JYO131047:JYO131124 JYO196583:JYO196660 JYO262119:JYO262196 JYO327655:JYO327732 JYO393191:JYO393268 JYO458727:JYO458804 JYO524263:JYO524340 JYO589799:JYO589876 JYO655335:JYO655412 JYO720871:JYO720948 JYO786407:JYO786484 JYO851943:JYO852020 JYO917479:JYO917556 JYO983015:JYO983092 KIK2:KIK55 KIK65511:KIK65588 KIK131047:KIK131124 KIK196583:KIK196660 KIK262119:KIK262196 KIK327655:KIK327732 KIK393191:KIK393268 KIK458727:KIK458804 KIK524263:KIK524340 KIK589799:KIK589876 KIK655335:KIK655412 KIK720871:KIK720948 KIK786407:KIK786484 KIK851943:KIK852020 KIK917479:KIK917556 KIK983015:KIK983092 KSG2:KSG55 KSG65511:KSG65588 KSG131047:KSG131124 KSG196583:KSG196660 KSG262119:KSG262196 KSG327655:KSG327732 KSG393191:KSG393268 KSG458727:KSG458804 KSG524263:KSG524340 KSG589799:KSG589876 KSG655335:KSG655412 KSG720871:KSG720948 KSG786407:KSG786484 KSG851943:KSG852020 KSG917479:KSG917556 KSG983015:KSG983092 LCC2:LCC55 LCC65511:LCC65588 LCC131047:LCC131124 LCC196583:LCC196660 LCC262119:LCC262196 LCC327655:LCC327732 LCC393191:LCC393268 LCC458727:LCC458804 LCC524263:LCC524340 LCC589799:LCC589876 LCC655335:LCC655412 LCC720871:LCC720948 LCC786407:LCC786484 LCC851943:LCC852020 LCC917479:LCC917556 LCC983015:LCC983092 LLY2:LLY55 LLY65511:LLY65588 LLY131047:LLY131124 LLY196583:LLY196660 LLY262119:LLY262196 LLY327655:LLY327732 LLY393191:LLY393268 LLY458727:LLY458804 LLY524263:LLY524340 LLY589799:LLY589876 LLY655335:LLY655412 LLY720871:LLY720948 LLY786407:LLY786484 LLY851943:LLY852020 LLY917479:LLY917556 LLY983015:LLY983092 LVU2:LVU55 LVU65511:LVU65588 LVU131047:LVU131124 LVU196583:LVU196660 LVU262119:LVU262196 LVU327655:LVU327732 LVU393191:LVU393268 LVU458727:LVU458804 LVU524263:LVU524340 LVU589799:LVU589876 LVU655335:LVU655412 LVU720871:LVU720948 LVU786407:LVU786484 LVU851943:LVU852020 LVU917479:LVU917556 LVU983015:LVU983092 MFQ2:MFQ55 MFQ65511:MFQ65588 MFQ131047:MFQ131124 MFQ196583:MFQ196660 MFQ262119:MFQ262196 MFQ327655:MFQ327732 MFQ393191:MFQ393268 MFQ458727:MFQ458804 MFQ524263:MFQ524340 MFQ589799:MFQ589876 MFQ655335:MFQ655412 MFQ720871:MFQ720948 MFQ786407:MFQ786484 MFQ851943:MFQ852020 MFQ917479:MFQ917556 MFQ983015:MFQ983092 MPM2:MPM55 MPM65511:MPM65588 MPM131047:MPM131124 MPM196583:MPM196660 MPM262119:MPM262196 MPM327655:MPM327732 MPM393191:MPM393268 MPM458727:MPM458804 MPM524263:MPM524340 MPM589799:MPM589876 MPM655335:MPM655412 MPM720871:MPM720948 MPM786407:MPM786484 MPM851943:MPM852020 MPM917479:MPM917556 MPM983015:MPM983092 MZI2:MZI55 MZI65511:MZI65588 MZI131047:MZI131124 MZI196583:MZI196660 MZI262119:MZI262196 MZI327655:MZI327732 MZI393191:MZI393268 MZI458727:MZI458804 MZI524263:MZI524340 MZI589799:MZI589876 MZI655335:MZI655412 MZI720871:MZI720948 MZI786407:MZI786484 MZI851943:MZI852020 MZI917479:MZI917556 MZI983015:MZI983092 NJE2:NJE55 NJE65511:NJE65588 NJE131047:NJE131124 NJE196583:NJE196660 NJE262119:NJE262196 NJE327655:NJE327732 NJE393191:NJE393268 NJE458727:NJE458804 NJE524263:NJE524340 NJE589799:NJE589876 NJE655335:NJE655412 NJE720871:NJE720948 NJE786407:NJE786484 NJE851943:NJE852020 NJE917479:NJE917556 NJE983015:NJE983092 NTA2:NTA55 NTA65511:NTA65588 NTA131047:NTA131124 NTA196583:NTA196660 NTA262119:NTA262196 NTA327655:NTA327732 NTA393191:NTA393268 NTA458727:NTA458804 NTA524263:NTA524340 NTA589799:NTA589876 NTA655335:NTA655412 NTA720871:NTA720948 NTA786407:NTA786484 NTA851943:NTA852020 NTA917479:NTA917556 NTA983015:NTA983092 OCW2:OCW55 OCW65511:OCW65588 OCW131047:OCW131124 OCW196583:OCW196660 OCW262119:OCW262196 OCW327655:OCW327732 OCW393191:OCW393268 OCW458727:OCW458804 OCW524263:OCW524340 OCW589799:OCW589876 OCW655335:OCW655412 OCW720871:OCW720948 OCW786407:OCW786484 OCW851943:OCW852020 OCW917479:OCW917556 OCW983015:OCW983092 OMS2:OMS55 OMS65511:OMS65588 OMS131047:OMS131124 OMS196583:OMS196660 OMS262119:OMS262196 OMS327655:OMS327732 OMS393191:OMS393268 OMS458727:OMS458804 OMS524263:OMS524340 OMS589799:OMS589876 OMS655335:OMS655412 OMS720871:OMS720948 OMS786407:OMS786484 OMS851943:OMS852020 OMS917479:OMS917556 OMS983015:OMS983092 OWO2:OWO55 OWO65511:OWO65588 OWO131047:OWO131124 OWO196583:OWO196660 OWO262119:OWO262196 OWO327655:OWO327732 OWO393191:OWO393268 OWO458727:OWO458804 OWO524263:OWO524340 OWO589799:OWO589876 OWO655335:OWO655412 OWO720871:OWO720948 OWO786407:OWO786484 OWO851943:OWO852020 OWO917479:OWO917556 OWO983015:OWO983092 PGK2:PGK55 PGK65511:PGK65588 PGK131047:PGK131124 PGK196583:PGK196660 PGK262119:PGK262196 PGK327655:PGK327732 PGK393191:PGK393268 PGK458727:PGK458804 PGK524263:PGK524340 PGK589799:PGK589876 PGK655335:PGK655412 PGK720871:PGK720948 PGK786407:PGK786484 PGK851943:PGK852020 PGK917479:PGK917556 PGK983015:PGK983092 PQG2:PQG55 PQG65511:PQG65588 PQG131047:PQG131124 PQG196583:PQG196660 PQG262119:PQG262196 PQG327655:PQG327732 PQG393191:PQG393268 PQG458727:PQG458804 PQG524263:PQG524340 PQG589799:PQG589876 PQG655335:PQG655412 PQG720871:PQG720948 PQG786407:PQG786484 PQG851943:PQG852020 PQG917479:PQG917556 PQG983015:PQG983092 QAC2:QAC55 QAC65511:QAC65588 QAC131047:QAC131124 QAC196583:QAC196660 QAC262119:QAC262196 QAC327655:QAC327732 QAC393191:QAC393268 QAC458727:QAC458804 QAC524263:QAC524340 QAC589799:QAC589876 QAC655335:QAC655412 QAC720871:QAC720948 QAC786407:QAC786484 QAC851943:QAC852020 QAC917479:QAC917556 QAC983015:QAC983092 QJY2:QJY55 QJY65511:QJY65588 QJY131047:QJY131124 QJY196583:QJY196660 QJY262119:QJY262196 QJY327655:QJY327732 QJY393191:QJY393268 QJY458727:QJY458804 QJY524263:QJY524340 QJY589799:QJY589876 QJY655335:QJY655412 QJY720871:QJY720948 QJY786407:QJY786484 QJY851943:QJY852020 QJY917479:QJY917556 QJY983015:QJY983092 QTU2:QTU55 QTU65511:QTU65588 QTU131047:QTU131124 QTU196583:QTU196660 QTU262119:QTU262196 QTU327655:QTU327732 QTU393191:QTU393268 QTU458727:QTU458804 QTU524263:QTU524340 QTU589799:QTU589876 QTU655335:QTU655412 QTU720871:QTU720948 QTU786407:QTU786484 QTU851943:QTU852020 QTU917479:QTU917556 QTU983015:QTU983092 RDQ2:RDQ55 RDQ65511:RDQ65588 RDQ131047:RDQ131124 RDQ196583:RDQ196660 RDQ262119:RDQ262196 RDQ327655:RDQ327732 RDQ393191:RDQ393268 RDQ458727:RDQ458804 RDQ524263:RDQ524340 RDQ589799:RDQ589876 RDQ655335:RDQ655412 RDQ720871:RDQ720948 RDQ786407:RDQ786484 RDQ851943:RDQ852020 RDQ917479:RDQ917556 RDQ983015:RDQ983092 RNM2:RNM55 RNM65511:RNM65588 RNM131047:RNM131124 RNM196583:RNM196660 RNM262119:RNM262196 RNM327655:RNM327732 RNM393191:RNM393268 RNM458727:RNM458804 RNM524263:RNM524340 RNM589799:RNM589876 RNM655335:RNM655412 RNM720871:RNM720948 RNM786407:RNM786484 RNM851943:RNM852020 RNM917479:RNM917556 RNM983015:RNM983092 RXI2:RXI55 RXI65511:RXI65588 RXI131047:RXI131124 RXI196583:RXI196660 RXI262119:RXI262196 RXI327655:RXI327732 RXI393191:RXI393268 RXI458727:RXI458804 RXI524263:RXI524340 RXI589799:RXI589876 RXI655335:RXI655412 RXI720871:RXI720948 RXI786407:RXI786484 RXI851943:RXI852020 RXI917479:RXI917556 RXI983015:RXI983092 SHE2:SHE55 SHE65511:SHE65588 SHE131047:SHE131124 SHE196583:SHE196660 SHE262119:SHE262196 SHE327655:SHE327732 SHE393191:SHE393268 SHE458727:SHE458804 SHE524263:SHE524340 SHE589799:SHE589876 SHE655335:SHE655412 SHE720871:SHE720948 SHE786407:SHE786484 SHE851943:SHE852020 SHE917479:SHE917556 SHE983015:SHE983092 SRA2:SRA55 SRA65511:SRA65588 SRA131047:SRA131124 SRA196583:SRA196660 SRA262119:SRA262196 SRA327655:SRA327732 SRA393191:SRA393268 SRA458727:SRA458804 SRA524263:SRA524340 SRA589799:SRA589876 SRA655335:SRA655412 SRA720871:SRA720948 SRA786407:SRA786484 SRA851943:SRA852020 SRA917479:SRA917556 SRA983015:SRA983092 TAW2:TAW55 TAW65511:TAW65588 TAW131047:TAW131124 TAW196583:TAW196660 TAW262119:TAW262196 TAW327655:TAW327732 TAW393191:TAW393268 TAW458727:TAW458804 TAW524263:TAW524340 TAW589799:TAW589876 TAW655335:TAW655412 TAW720871:TAW720948 TAW786407:TAW786484 TAW851943:TAW852020 TAW917479:TAW917556 TAW983015:TAW983092 TKS2:TKS55 TKS65511:TKS65588 TKS131047:TKS131124 TKS196583:TKS196660 TKS262119:TKS262196 TKS327655:TKS327732 TKS393191:TKS393268 TKS458727:TKS458804 TKS524263:TKS524340 TKS589799:TKS589876 TKS655335:TKS655412 TKS720871:TKS720948 TKS786407:TKS786484 TKS851943:TKS852020 TKS917479:TKS917556 TKS983015:TKS983092 TUO2:TUO55 TUO65511:TUO65588 TUO131047:TUO131124 TUO196583:TUO196660 TUO262119:TUO262196 TUO327655:TUO327732 TUO393191:TUO393268 TUO458727:TUO458804 TUO524263:TUO524340 TUO589799:TUO589876 TUO655335:TUO655412 TUO720871:TUO720948 TUO786407:TUO786484 TUO851943:TUO852020 TUO917479:TUO917556 TUO983015:TUO983092 UEK2:UEK55 UEK65511:UEK65588 UEK131047:UEK131124 UEK196583:UEK196660 UEK262119:UEK262196 UEK327655:UEK327732 UEK393191:UEK393268 UEK458727:UEK458804 UEK524263:UEK524340 UEK589799:UEK589876 UEK655335:UEK655412 UEK720871:UEK720948 UEK786407:UEK786484 UEK851943:UEK852020 UEK917479:UEK917556 UEK983015:UEK983092 UOG2:UOG55 UOG65511:UOG65588 UOG131047:UOG131124 UOG196583:UOG196660 UOG262119:UOG262196 UOG327655:UOG327732 UOG393191:UOG393268 UOG458727:UOG458804 UOG524263:UOG524340 UOG589799:UOG589876 UOG655335:UOG655412 UOG720871:UOG720948 UOG786407:UOG786484 UOG851943:UOG852020 UOG917479:UOG917556 UOG983015:UOG983092 UYC2:UYC55 UYC65511:UYC65588 UYC131047:UYC131124 UYC196583:UYC196660 UYC262119:UYC262196 UYC327655:UYC327732 UYC393191:UYC393268 UYC458727:UYC458804 UYC524263:UYC524340 UYC589799:UYC589876 UYC655335:UYC655412 UYC720871:UYC720948 UYC786407:UYC786484 UYC851943:UYC852020 UYC917479:UYC917556 UYC983015:UYC983092 VHY2:VHY55 VHY65511:VHY65588 VHY131047:VHY131124 VHY196583:VHY196660 VHY262119:VHY262196 VHY327655:VHY327732 VHY393191:VHY393268 VHY458727:VHY458804 VHY524263:VHY524340 VHY589799:VHY589876 VHY655335:VHY655412 VHY720871:VHY720948 VHY786407:VHY786484 VHY851943:VHY852020 VHY917479:VHY917556 VHY983015:VHY983092 VRU2:VRU55 VRU65511:VRU65588 VRU131047:VRU131124 VRU196583:VRU196660 VRU262119:VRU262196 VRU327655:VRU327732 VRU393191:VRU393268 VRU458727:VRU458804 VRU524263:VRU524340 VRU589799:VRU589876 VRU655335:VRU655412 VRU720871:VRU720948 VRU786407:VRU786484 VRU851943:VRU852020 VRU917479:VRU917556 VRU983015:VRU983092 WBQ2:WBQ55 WBQ65511:WBQ65588 WBQ131047:WBQ131124 WBQ196583:WBQ196660 WBQ262119:WBQ262196 WBQ327655:WBQ327732 WBQ393191:WBQ393268 WBQ458727:WBQ458804 WBQ524263:WBQ524340 WBQ589799:WBQ589876 WBQ655335:WBQ655412 WBQ720871:WBQ720948 WBQ786407:WBQ786484 WBQ851943:WBQ852020 WBQ917479:WBQ917556 WBQ983015:WBQ983092 WLM2:WLM55 WLM65511:WLM65588 WLM131047:WLM131124 WLM196583:WLM196660 WLM262119:WLM262196 WLM327655:WLM327732 WLM393191:WLM393268 WLM458727:WLM458804 WLM524263:WLM524340 WLM589799:WLM589876 WLM655335:WLM655412 WLM720871:WLM720948 WLM786407:WLM786484 WLM851943:WLM852020 WLM917479:WLM917556 WLM983015:WLM983092 WVI2:WVI55 WVI65511:WVI65588 WVI131047:WVI131124 WVI196583:WVI196660 WVI262119:WVI262196 WVI327655:WVI327732 WVI393191:WVI393268 WVI458727:WVI458804 WVI524263:WVI524340 WVI589799:WVI589876 WVI655335:WVI655412 WVI720871:WVI720948 WVI786407:WVI786484 WVI851943:WVI852020 WVI917479:WVI917556 WVI983015:WVI983092">
      <formula1>$AE$2:$AE$19</formula1>
    </dataValidation>
    <dataValidation type="list" allowBlank="1" showInputMessage="1" showErrorMessage="1" sqref="G2:G473 G65511:G65588 G131047:G131124 G196583:G196660 G262119:G262196 G327655:G327732 G393191:G393268 G458727:G458804 G524263:G524340 G589799:G589876 G655335:G655412 G720871:G720948 G786407:G786484 G851943:G852020 G917479:G917556 G983015:G983092 JC2:JC55 JC65511:JC65588 JC131047:JC131124 JC196583:JC196660 JC262119:JC262196 JC327655:JC327732 JC393191:JC393268 JC458727:JC458804 JC524263:JC524340 JC589799:JC589876 JC655335:JC655412 JC720871:JC720948 JC786407:JC786484 JC851943:JC852020 JC917479:JC917556 JC983015:JC983092 SY2:SY55 SY65511:SY65588 SY131047:SY131124 SY196583:SY196660 SY262119:SY262196 SY327655:SY327732 SY393191:SY393268 SY458727:SY458804 SY524263:SY524340 SY589799:SY589876 SY655335:SY655412 SY720871:SY720948 SY786407:SY786484 SY851943:SY852020 SY917479:SY917556 SY983015:SY983092 ACU2:ACU55 ACU65511:ACU65588 ACU131047:ACU131124 ACU196583:ACU196660 ACU262119:ACU262196 ACU327655:ACU327732 ACU393191:ACU393268 ACU458727:ACU458804 ACU524263:ACU524340 ACU589799:ACU589876 ACU655335:ACU655412 ACU720871:ACU720948 ACU786407:ACU786484 ACU851943:ACU852020 ACU917479:ACU917556 ACU983015:ACU983092 AMQ2:AMQ55 AMQ65511:AMQ65588 AMQ131047:AMQ131124 AMQ196583:AMQ196660 AMQ262119:AMQ262196 AMQ327655:AMQ327732 AMQ393191:AMQ393268 AMQ458727:AMQ458804 AMQ524263:AMQ524340 AMQ589799:AMQ589876 AMQ655335:AMQ655412 AMQ720871:AMQ720948 AMQ786407:AMQ786484 AMQ851943:AMQ852020 AMQ917479:AMQ917556 AMQ983015:AMQ983092 AWM2:AWM55 AWM65511:AWM65588 AWM131047:AWM131124 AWM196583:AWM196660 AWM262119:AWM262196 AWM327655:AWM327732 AWM393191:AWM393268 AWM458727:AWM458804 AWM524263:AWM524340 AWM589799:AWM589876 AWM655335:AWM655412 AWM720871:AWM720948 AWM786407:AWM786484 AWM851943:AWM852020 AWM917479:AWM917556 AWM983015:AWM983092 BGI2:BGI55 BGI65511:BGI65588 BGI131047:BGI131124 BGI196583:BGI196660 BGI262119:BGI262196 BGI327655:BGI327732 BGI393191:BGI393268 BGI458727:BGI458804 BGI524263:BGI524340 BGI589799:BGI589876 BGI655335:BGI655412 BGI720871:BGI720948 BGI786407:BGI786484 BGI851943:BGI852020 BGI917479:BGI917556 BGI983015:BGI983092 BQE2:BQE55 BQE65511:BQE65588 BQE131047:BQE131124 BQE196583:BQE196660 BQE262119:BQE262196 BQE327655:BQE327732 BQE393191:BQE393268 BQE458727:BQE458804 BQE524263:BQE524340 BQE589799:BQE589876 BQE655335:BQE655412 BQE720871:BQE720948 BQE786407:BQE786484 BQE851943:BQE852020 BQE917479:BQE917556 BQE983015:BQE983092 CAA2:CAA55 CAA65511:CAA65588 CAA131047:CAA131124 CAA196583:CAA196660 CAA262119:CAA262196 CAA327655:CAA327732 CAA393191:CAA393268 CAA458727:CAA458804 CAA524263:CAA524340 CAA589799:CAA589876 CAA655335:CAA655412 CAA720871:CAA720948 CAA786407:CAA786484 CAA851943:CAA852020 CAA917479:CAA917556 CAA983015:CAA983092 CJW2:CJW55 CJW65511:CJW65588 CJW131047:CJW131124 CJW196583:CJW196660 CJW262119:CJW262196 CJW327655:CJW327732 CJW393191:CJW393268 CJW458727:CJW458804 CJW524263:CJW524340 CJW589799:CJW589876 CJW655335:CJW655412 CJW720871:CJW720948 CJW786407:CJW786484 CJW851943:CJW852020 CJW917479:CJW917556 CJW983015:CJW983092 CTS2:CTS55 CTS65511:CTS65588 CTS131047:CTS131124 CTS196583:CTS196660 CTS262119:CTS262196 CTS327655:CTS327732 CTS393191:CTS393268 CTS458727:CTS458804 CTS524263:CTS524340 CTS589799:CTS589876 CTS655335:CTS655412 CTS720871:CTS720948 CTS786407:CTS786484 CTS851943:CTS852020 CTS917479:CTS917556 CTS983015:CTS983092 DDO2:DDO55 DDO65511:DDO65588 DDO131047:DDO131124 DDO196583:DDO196660 DDO262119:DDO262196 DDO327655:DDO327732 DDO393191:DDO393268 DDO458727:DDO458804 DDO524263:DDO524340 DDO589799:DDO589876 DDO655335:DDO655412 DDO720871:DDO720948 DDO786407:DDO786484 DDO851943:DDO852020 DDO917479:DDO917556 DDO983015:DDO983092 DNK2:DNK55 DNK65511:DNK65588 DNK131047:DNK131124 DNK196583:DNK196660 DNK262119:DNK262196 DNK327655:DNK327732 DNK393191:DNK393268 DNK458727:DNK458804 DNK524263:DNK524340 DNK589799:DNK589876 DNK655335:DNK655412 DNK720871:DNK720948 DNK786407:DNK786484 DNK851943:DNK852020 DNK917479:DNK917556 DNK983015:DNK983092 DXG2:DXG55 DXG65511:DXG65588 DXG131047:DXG131124 DXG196583:DXG196660 DXG262119:DXG262196 DXG327655:DXG327732 DXG393191:DXG393268 DXG458727:DXG458804 DXG524263:DXG524340 DXG589799:DXG589876 DXG655335:DXG655412 DXG720871:DXG720948 DXG786407:DXG786484 DXG851943:DXG852020 DXG917479:DXG917556 DXG983015:DXG983092 EHC2:EHC55 EHC65511:EHC65588 EHC131047:EHC131124 EHC196583:EHC196660 EHC262119:EHC262196 EHC327655:EHC327732 EHC393191:EHC393268 EHC458727:EHC458804 EHC524263:EHC524340 EHC589799:EHC589876 EHC655335:EHC655412 EHC720871:EHC720948 EHC786407:EHC786484 EHC851943:EHC852020 EHC917479:EHC917556 EHC983015:EHC983092 EQY2:EQY55 EQY65511:EQY65588 EQY131047:EQY131124 EQY196583:EQY196660 EQY262119:EQY262196 EQY327655:EQY327732 EQY393191:EQY393268 EQY458727:EQY458804 EQY524263:EQY524340 EQY589799:EQY589876 EQY655335:EQY655412 EQY720871:EQY720948 EQY786407:EQY786484 EQY851943:EQY852020 EQY917479:EQY917556 EQY983015:EQY983092 FAU2:FAU55 FAU65511:FAU65588 FAU131047:FAU131124 FAU196583:FAU196660 FAU262119:FAU262196 FAU327655:FAU327732 FAU393191:FAU393268 FAU458727:FAU458804 FAU524263:FAU524340 FAU589799:FAU589876 FAU655335:FAU655412 FAU720871:FAU720948 FAU786407:FAU786484 FAU851943:FAU852020 FAU917479:FAU917556 FAU983015:FAU983092 FKQ2:FKQ55 FKQ65511:FKQ65588 FKQ131047:FKQ131124 FKQ196583:FKQ196660 FKQ262119:FKQ262196 FKQ327655:FKQ327732 FKQ393191:FKQ393268 FKQ458727:FKQ458804 FKQ524263:FKQ524340 FKQ589799:FKQ589876 FKQ655335:FKQ655412 FKQ720871:FKQ720948 FKQ786407:FKQ786484 FKQ851943:FKQ852020 FKQ917479:FKQ917556 FKQ983015:FKQ983092 FUM2:FUM55 FUM65511:FUM65588 FUM131047:FUM131124 FUM196583:FUM196660 FUM262119:FUM262196 FUM327655:FUM327732 FUM393191:FUM393268 FUM458727:FUM458804 FUM524263:FUM524340 FUM589799:FUM589876 FUM655335:FUM655412 FUM720871:FUM720948 FUM786407:FUM786484 FUM851943:FUM852020 FUM917479:FUM917556 FUM983015:FUM983092 GEI2:GEI55 GEI65511:GEI65588 GEI131047:GEI131124 GEI196583:GEI196660 GEI262119:GEI262196 GEI327655:GEI327732 GEI393191:GEI393268 GEI458727:GEI458804 GEI524263:GEI524340 GEI589799:GEI589876 GEI655335:GEI655412 GEI720871:GEI720948 GEI786407:GEI786484 GEI851943:GEI852020 GEI917479:GEI917556 GEI983015:GEI983092 GOE2:GOE55 GOE65511:GOE65588 GOE131047:GOE131124 GOE196583:GOE196660 GOE262119:GOE262196 GOE327655:GOE327732 GOE393191:GOE393268 GOE458727:GOE458804 GOE524263:GOE524340 GOE589799:GOE589876 GOE655335:GOE655412 GOE720871:GOE720948 GOE786407:GOE786484 GOE851943:GOE852020 GOE917479:GOE917556 GOE983015:GOE983092 GYA2:GYA55 GYA65511:GYA65588 GYA131047:GYA131124 GYA196583:GYA196660 GYA262119:GYA262196 GYA327655:GYA327732 GYA393191:GYA393268 GYA458727:GYA458804 GYA524263:GYA524340 GYA589799:GYA589876 GYA655335:GYA655412 GYA720871:GYA720948 GYA786407:GYA786484 GYA851943:GYA852020 GYA917479:GYA917556 GYA983015:GYA983092 HHW2:HHW55 HHW65511:HHW65588 HHW131047:HHW131124 HHW196583:HHW196660 HHW262119:HHW262196 HHW327655:HHW327732 HHW393191:HHW393268 HHW458727:HHW458804 HHW524263:HHW524340 HHW589799:HHW589876 HHW655335:HHW655412 HHW720871:HHW720948 HHW786407:HHW786484 HHW851943:HHW852020 HHW917479:HHW917556 HHW983015:HHW983092 HRS2:HRS55 HRS65511:HRS65588 HRS131047:HRS131124 HRS196583:HRS196660 HRS262119:HRS262196 HRS327655:HRS327732 HRS393191:HRS393268 HRS458727:HRS458804 HRS524263:HRS524340 HRS589799:HRS589876 HRS655335:HRS655412 HRS720871:HRS720948 HRS786407:HRS786484 HRS851943:HRS852020 HRS917479:HRS917556 HRS983015:HRS983092 IBO2:IBO55 IBO65511:IBO65588 IBO131047:IBO131124 IBO196583:IBO196660 IBO262119:IBO262196 IBO327655:IBO327732 IBO393191:IBO393268 IBO458727:IBO458804 IBO524263:IBO524340 IBO589799:IBO589876 IBO655335:IBO655412 IBO720871:IBO720948 IBO786407:IBO786484 IBO851943:IBO852020 IBO917479:IBO917556 IBO983015:IBO983092 ILK2:ILK55 ILK65511:ILK65588 ILK131047:ILK131124 ILK196583:ILK196660 ILK262119:ILK262196 ILK327655:ILK327732 ILK393191:ILK393268 ILK458727:ILK458804 ILK524263:ILK524340 ILK589799:ILK589876 ILK655335:ILK655412 ILK720871:ILK720948 ILK786407:ILK786484 ILK851943:ILK852020 ILK917479:ILK917556 ILK983015:ILK983092 IVG2:IVG55 IVG65511:IVG65588 IVG131047:IVG131124 IVG196583:IVG196660 IVG262119:IVG262196 IVG327655:IVG327732 IVG393191:IVG393268 IVG458727:IVG458804 IVG524263:IVG524340 IVG589799:IVG589876 IVG655335:IVG655412 IVG720871:IVG720948 IVG786407:IVG786484 IVG851943:IVG852020 IVG917479:IVG917556 IVG983015:IVG983092 JFC2:JFC55 JFC65511:JFC65588 JFC131047:JFC131124 JFC196583:JFC196660 JFC262119:JFC262196 JFC327655:JFC327732 JFC393191:JFC393268 JFC458727:JFC458804 JFC524263:JFC524340 JFC589799:JFC589876 JFC655335:JFC655412 JFC720871:JFC720948 JFC786407:JFC786484 JFC851943:JFC852020 JFC917479:JFC917556 JFC983015:JFC983092 JOY2:JOY55 JOY65511:JOY65588 JOY131047:JOY131124 JOY196583:JOY196660 JOY262119:JOY262196 JOY327655:JOY327732 JOY393191:JOY393268 JOY458727:JOY458804 JOY524263:JOY524340 JOY589799:JOY589876 JOY655335:JOY655412 JOY720871:JOY720948 JOY786407:JOY786484 JOY851943:JOY852020 JOY917479:JOY917556 JOY983015:JOY983092 JYU2:JYU55 JYU65511:JYU65588 JYU131047:JYU131124 JYU196583:JYU196660 JYU262119:JYU262196 JYU327655:JYU327732 JYU393191:JYU393268 JYU458727:JYU458804 JYU524263:JYU524340 JYU589799:JYU589876 JYU655335:JYU655412 JYU720871:JYU720948 JYU786407:JYU786484 JYU851943:JYU852020 JYU917479:JYU917556 JYU983015:JYU983092 KIQ2:KIQ55 KIQ65511:KIQ65588 KIQ131047:KIQ131124 KIQ196583:KIQ196660 KIQ262119:KIQ262196 KIQ327655:KIQ327732 KIQ393191:KIQ393268 KIQ458727:KIQ458804 KIQ524263:KIQ524340 KIQ589799:KIQ589876 KIQ655335:KIQ655412 KIQ720871:KIQ720948 KIQ786407:KIQ786484 KIQ851943:KIQ852020 KIQ917479:KIQ917556 KIQ983015:KIQ983092 KSM2:KSM55 KSM65511:KSM65588 KSM131047:KSM131124 KSM196583:KSM196660 KSM262119:KSM262196 KSM327655:KSM327732 KSM393191:KSM393268 KSM458727:KSM458804 KSM524263:KSM524340 KSM589799:KSM589876 KSM655335:KSM655412 KSM720871:KSM720948 KSM786407:KSM786484 KSM851943:KSM852020 KSM917479:KSM917556 KSM983015:KSM983092 LCI2:LCI55 LCI65511:LCI65588 LCI131047:LCI131124 LCI196583:LCI196660 LCI262119:LCI262196 LCI327655:LCI327732 LCI393191:LCI393268 LCI458727:LCI458804 LCI524263:LCI524340 LCI589799:LCI589876 LCI655335:LCI655412 LCI720871:LCI720948 LCI786407:LCI786484 LCI851943:LCI852020 LCI917479:LCI917556 LCI983015:LCI983092 LME2:LME55 LME65511:LME65588 LME131047:LME131124 LME196583:LME196660 LME262119:LME262196 LME327655:LME327732 LME393191:LME393268 LME458727:LME458804 LME524263:LME524340 LME589799:LME589876 LME655335:LME655412 LME720871:LME720948 LME786407:LME786484 LME851943:LME852020 LME917479:LME917556 LME983015:LME983092 LWA2:LWA55 LWA65511:LWA65588 LWA131047:LWA131124 LWA196583:LWA196660 LWA262119:LWA262196 LWA327655:LWA327732 LWA393191:LWA393268 LWA458727:LWA458804 LWA524263:LWA524340 LWA589799:LWA589876 LWA655335:LWA655412 LWA720871:LWA720948 LWA786407:LWA786484 LWA851943:LWA852020 LWA917479:LWA917556 LWA983015:LWA983092 MFW2:MFW55 MFW65511:MFW65588 MFW131047:MFW131124 MFW196583:MFW196660 MFW262119:MFW262196 MFW327655:MFW327732 MFW393191:MFW393268 MFW458727:MFW458804 MFW524263:MFW524340 MFW589799:MFW589876 MFW655335:MFW655412 MFW720871:MFW720948 MFW786407:MFW786484 MFW851943:MFW852020 MFW917479:MFW917556 MFW983015:MFW983092 MPS2:MPS55 MPS65511:MPS65588 MPS131047:MPS131124 MPS196583:MPS196660 MPS262119:MPS262196 MPS327655:MPS327732 MPS393191:MPS393268 MPS458727:MPS458804 MPS524263:MPS524340 MPS589799:MPS589876 MPS655335:MPS655412 MPS720871:MPS720948 MPS786407:MPS786484 MPS851943:MPS852020 MPS917479:MPS917556 MPS983015:MPS983092 MZO2:MZO55 MZO65511:MZO65588 MZO131047:MZO131124 MZO196583:MZO196660 MZO262119:MZO262196 MZO327655:MZO327732 MZO393191:MZO393268 MZO458727:MZO458804 MZO524263:MZO524340 MZO589799:MZO589876 MZO655335:MZO655412 MZO720871:MZO720948 MZO786407:MZO786484 MZO851943:MZO852020 MZO917479:MZO917556 MZO983015:MZO983092 NJK2:NJK55 NJK65511:NJK65588 NJK131047:NJK131124 NJK196583:NJK196660 NJK262119:NJK262196 NJK327655:NJK327732 NJK393191:NJK393268 NJK458727:NJK458804 NJK524263:NJK524340 NJK589799:NJK589876 NJK655335:NJK655412 NJK720871:NJK720948 NJK786407:NJK786484 NJK851943:NJK852020 NJK917479:NJK917556 NJK983015:NJK983092 NTG2:NTG55 NTG65511:NTG65588 NTG131047:NTG131124 NTG196583:NTG196660 NTG262119:NTG262196 NTG327655:NTG327732 NTG393191:NTG393268 NTG458727:NTG458804 NTG524263:NTG524340 NTG589799:NTG589876 NTG655335:NTG655412 NTG720871:NTG720948 NTG786407:NTG786484 NTG851943:NTG852020 NTG917479:NTG917556 NTG983015:NTG983092 ODC2:ODC55 ODC65511:ODC65588 ODC131047:ODC131124 ODC196583:ODC196660 ODC262119:ODC262196 ODC327655:ODC327732 ODC393191:ODC393268 ODC458727:ODC458804 ODC524263:ODC524340 ODC589799:ODC589876 ODC655335:ODC655412 ODC720871:ODC720948 ODC786407:ODC786484 ODC851943:ODC852020 ODC917479:ODC917556 ODC983015:ODC983092 OMY2:OMY55 OMY65511:OMY65588 OMY131047:OMY131124 OMY196583:OMY196660 OMY262119:OMY262196 OMY327655:OMY327732 OMY393191:OMY393268 OMY458727:OMY458804 OMY524263:OMY524340 OMY589799:OMY589876 OMY655335:OMY655412 OMY720871:OMY720948 OMY786407:OMY786484 OMY851943:OMY852020 OMY917479:OMY917556 OMY983015:OMY983092 OWU2:OWU55 OWU65511:OWU65588 OWU131047:OWU131124 OWU196583:OWU196660 OWU262119:OWU262196 OWU327655:OWU327732 OWU393191:OWU393268 OWU458727:OWU458804 OWU524263:OWU524340 OWU589799:OWU589876 OWU655335:OWU655412 OWU720871:OWU720948 OWU786407:OWU786484 OWU851943:OWU852020 OWU917479:OWU917556 OWU983015:OWU983092 PGQ2:PGQ55 PGQ65511:PGQ65588 PGQ131047:PGQ131124 PGQ196583:PGQ196660 PGQ262119:PGQ262196 PGQ327655:PGQ327732 PGQ393191:PGQ393268 PGQ458727:PGQ458804 PGQ524263:PGQ524340 PGQ589799:PGQ589876 PGQ655335:PGQ655412 PGQ720871:PGQ720948 PGQ786407:PGQ786484 PGQ851943:PGQ852020 PGQ917479:PGQ917556 PGQ983015:PGQ983092 PQM2:PQM55 PQM65511:PQM65588 PQM131047:PQM131124 PQM196583:PQM196660 PQM262119:PQM262196 PQM327655:PQM327732 PQM393191:PQM393268 PQM458727:PQM458804 PQM524263:PQM524340 PQM589799:PQM589876 PQM655335:PQM655412 PQM720871:PQM720948 PQM786407:PQM786484 PQM851943:PQM852020 PQM917479:PQM917556 PQM983015:PQM983092 QAI2:QAI55 QAI65511:QAI65588 QAI131047:QAI131124 QAI196583:QAI196660 QAI262119:QAI262196 QAI327655:QAI327732 QAI393191:QAI393268 QAI458727:QAI458804 QAI524263:QAI524340 QAI589799:QAI589876 QAI655335:QAI655412 QAI720871:QAI720948 QAI786407:QAI786484 QAI851943:QAI852020 QAI917479:QAI917556 QAI983015:QAI983092 QKE2:QKE55 QKE65511:QKE65588 QKE131047:QKE131124 QKE196583:QKE196660 QKE262119:QKE262196 QKE327655:QKE327732 QKE393191:QKE393268 QKE458727:QKE458804 QKE524263:QKE524340 QKE589799:QKE589876 QKE655335:QKE655412 QKE720871:QKE720948 QKE786407:QKE786484 QKE851943:QKE852020 QKE917479:QKE917556 QKE983015:QKE983092 QUA2:QUA55 QUA65511:QUA65588 QUA131047:QUA131124 QUA196583:QUA196660 QUA262119:QUA262196 QUA327655:QUA327732 QUA393191:QUA393268 QUA458727:QUA458804 QUA524263:QUA524340 QUA589799:QUA589876 QUA655335:QUA655412 QUA720871:QUA720948 QUA786407:QUA786484 QUA851943:QUA852020 QUA917479:QUA917556 QUA983015:QUA983092 RDW2:RDW55 RDW65511:RDW65588 RDW131047:RDW131124 RDW196583:RDW196660 RDW262119:RDW262196 RDW327655:RDW327732 RDW393191:RDW393268 RDW458727:RDW458804 RDW524263:RDW524340 RDW589799:RDW589876 RDW655335:RDW655412 RDW720871:RDW720948 RDW786407:RDW786484 RDW851943:RDW852020 RDW917479:RDW917556 RDW983015:RDW983092 RNS2:RNS55 RNS65511:RNS65588 RNS131047:RNS131124 RNS196583:RNS196660 RNS262119:RNS262196 RNS327655:RNS327732 RNS393191:RNS393268 RNS458727:RNS458804 RNS524263:RNS524340 RNS589799:RNS589876 RNS655335:RNS655412 RNS720871:RNS720948 RNS786407:RNS786484 RNS851943:RNS852020 RNS917479:RNS917556 RNS983015:RNS983092 RXO2:RXO55 RXO65511:RXO65588 RXO131047:RXO131124 RXO196583:RXO196660 RXO262119:RXO262196 RXO327655:RXO327732 RXO393191:RXO393268 RXO458727:RXO458804 RXO524263:RXO524340 RXO589799:RXO589876 RXO655335:RXO655412 RXO720871:RXO720948 RXO786407:RXO786484 RXO851943:RXO852020 RXO917479:RXO917556 RXO983015:RXO983092 SHK2:SHK55 SHK65511:SHK65588 SHK131047:SHK131124 SHK196583:SHK196660 SHK262119:SHK262196 SHK327655:SHK327732 SHK393191:SHK393268 SHK458727:SHK458804 SHK524263:SHK524340 SHK589799:SHK589876 SHK655335:SHK655412 SHK720871:SHK720948 SHK786407:SHK786484 SHK851943:SHK852020 SHK917479:SHK917556 SHK983015:SHK983092 SRG2:SRG55 SRG65511:SRG65588 SRG131047:SRG131124 SRG196583:SRG196660 SRG262119:SRG262196 SRG327655:SRG327732 SRG393191:SRG393268 SRG458727:SRG458804 SRG524263:SRG524340 SRG589799:SRG589876 SRG655335:SRG655412 SRG720871:SRG720948 SRG786407:SRG786484 SRG851943:SRG852020 SRG917479:SRG917556 SRG983015:SRG983092 TBC2:TBC55 TBC65511:TBC65588 TBC131047:TBC131124 TBC196583:TBC196660 TBC262119:TBC262196 TBC327655:TBC327732 TBC393191:TBC393268 TBC458727:TBC458804 TBC524263:TBC524340 TBC589799:TBC589876 TBC655335:TBC655412 TBC720871:TBC720948 TBC786407:TBC786484 TBC851943:TBC852020 TBC917479:TBC917556 TBC983015:TBC983092 TKY2:TKY55 TKY65511:TKY65588 TKY131047:TKY131124 TKY196583:TKY196660 TKY262119:TKY262196 TKY327655:TKY327732 TKY393191:TKY393268 TKY458727:TKY458804 TKY524263:TKY524340 TKY589799:TKY589876 TKY655335:TKY655412 TKY720871:TKY720948 TKY786407:TKY786484 TKY851943:TKY852020 TKY917479:TKY917556 TKY983015:TKY983092 TUU2:TUU55 TUU65511:TUU65588 TUU131047:TUU131124 TUU196583:TUU196660 TUU262119:TUU262196 TUU327655:TUU327732 TUU393191:TUU393268 TUU458727:TUU458804 TUU524263:TUU524340 TUU589799:TUU589876 TUU655335:TUU655412 TUU720871:TUU720948 TUU786407:TUU786484 TUU851943:TUU852020 TUU917479:TUU917556 TUU983015:TUU983092 UEQ2:UEQ55 UEQ65511:UEQ65588 UEQ131047:UEQ131124 UEQ196583:UEQ196660 UEQ262119:UEQ262196 UEQ327655:UEQ327732 UEQ393191:UEQ393268 UEQ458727:UEQ458804 UEQ524263:UEQ524340 UEQ589799:UEQ589876 UEQ655335:UEQ655412 UEQ720871:UEQ720948 UEQ786407:UEQ786484 UEQ851943:UEQ852020 UEQ917479:UEQ917556 UEQ983015:UEQ983092 UOM2:UOM55 UOM65511:UOM65588 UOM131047:UOM131124 UOM196583:UOM196660 UOM262119:UOM262196 UOM327655:UOM327732 UOM393191:UOM393268 UOM458727:UOM458804 UOM524263:UOM524340 UOM589799:UOM589876 UOM655335:UOM655412 UOM720871:UOM720948 UOM786407:UOM786484 UOM851943:UOM852020 UOM917479:UOM917556 UOM983015:UOM983092 UYI2:UYI55 UYI65511:UYI65588 UYI131047:UYI131124 UYI196583:UYI196660 UYI262119:UYI262196 UYI327655:UYI327732 UYI393191:UYI393268 UYI458727:UYI458804 UYI524263:UYI524340 UYI589799:UYI589876 UYI655335:UYI655412 UYI720871:UYI720948 UYI786407:UYI786484 UYI851943:UYI852020 UYI917479:UYI917556 UYI983015:UYI983092 VIE2:VIE55 VIE65511:VIE65588 VIE131047:VIE131124 VIE196583:VIE196660 VIE262119:VIE262196 VIE327655:VIE327732 VIE393191:VIE393268 VIE458727:VIE458804 VIE524263:VIE524340 VIE589799:VIE589876 VIE655335:VIE655412 VIE720871:VIE720948 VIE786407:VIE786484 VIE851943:VIE852020 VIE917479:VIE917556 VIE983015:VIE983092 VSA2:VSA55 VSA65511:VSA65588 VSA131047:VSA131124 VSA196583:VSA196660 VSA262119:VSA262196 VSA327655:VSA327732 VSA393191:VSA393268 VSA458727:VSA458804 VSA524263:VSA524340 VSA589799:VSA589876 VSA655335:VSA655412 VSA720871:VSA720948 VSA786407:VSA786484 VSA851943:VSA852020 VSA917479:VSA917556 VSA983015:VSA983092 WBW2:WBW55 WBW65511:WBW65588 WBW131047:WBW131124 WBW196583:WBW196660 WBW262119:WBW262196 WBW327655:WBW327732 WBW393191:WBW393268 WBW458727:WBW458804 WBW524263:WBW524340 WBW589799:WBW589876 WBW655335:WBW655412 WBW720871:WBW720948 WBW786407:WBW786484 WBW851943:WBW852020 WBW917479:WBW917556 WBW983015:WBW983092 WLS2:WLS55 WLS65511:WLS65588 WLS131047:WLS131124 WLS196583:WLS196660 WLS262119:WLS262196 WLS327655:WLS327732 WLS393191:WLS393268 WLS458727:WLS458804 WLS524263:WLS524340 WLS589799:WLS589876 WLS655335:WLS655412 WLS720871:WLS720948 WLS786407:WLS786484 WLS851943:WLS852020 WLS917479:WLS917556 WLS983015:WLS983092 WVO2:WVO55 WVO65511:WVO65588 WVO131047:WVO131124 WVO196583:WVO196660 WVO262119:WVO262196 WVO327655:WVO327732 WVO393191:WVO393268 WVO458727:WVO458804 WVO524263:WVO524340 WVO589799:WVO589876 WVO655335:WVO655412 WVO720871:WVO720948 WVO786407:WVO786484 WVO851943:WVO852020 WVO917479:WVO917556 WVO983015:WVO983092">
      <formula1>$AJ$2:$AJ$4</formula1>
    </dataValidation>
    <dataValidation type="list" allowBlank="1" showInputMessage="1" showErrorMessage="1" sqref="I2:I473 I65511:I65588 I131047:I131124 I196583:I196660 I262119:I262196 I327655:I327732 I393191:I393268 I458727:I458804 I524263:I524340 I589799:I589876 I655335:I655412 I720871:I720948 I786407:I786484 I851943:I852020 I917479:I917556 I983015:I983092 JE2:JE55 JE65511:JE65588 JE131047:JE131124 JE196583:JE196660 JE262119:JE262196 JE327655:JE327732 JE393191:JE393268 JE458727:JE458804 JE524263:JE524340 JE589799:JE589876 JE655335:JE655412 JE720871:JE720948 JE786407:JE786484 JE851943:JE852020 JE917479:JE917556 JE983015:JE983092 TA2:TA55 TA65511:TA65588 TA131047:TA131124 TA196583:TA196660 TA262119:TA262196 TA327655:TA327732 TA393191:TA393268 TA458727:TA458804 TA524263:TA524340 TA589799:TA589876 TA655335:TA655412 TA720871:TA720948 TA786407:TA786484 TA851943:TA852020 TA917479:TA917556 TA983015:TA983092 ACW2:ACW55 ACW65511:ACW65588 ACW131047:ACW131124 ACW196583:ACW196660 ACW262119:ACW262196 ACW327655:ACW327732 ACW393191:ACW393268 ACW458727:ACW458804 ACW524263:ACW524340 ACW589799:ACW589876 ACW655335:ACW655412 ACW720871:ACW720948 ACW786407:ACW786484 ACW851943:ACW852020 ACW917479:ACW917556 ACW983015:ACW983092 AMS2:AMS55 AMS65511:AMS65588 AMS131047:AMS131124 AMS196583:AMS196660 AMS262119:AMS262196 AMS327655:AMS327732 AMS393191:AMS393268 AMS458727:AMS458804 AMS524263:AMS524340 AMS589799:AMS589876 AMS655335:AMS655412 AMS720871:AMS720948 AMS786407:AMS786484 AMS851943:AMS852020 AMS917479:AMS917556 AMS983015:AMS983092 AWO2:AWO55 AWO65511:AWO65588 AWO131047:AWO131124 AWO196583:AWO196660 AWO262119:AWO262196 AWO327655:AWO327732 AWO393191:AWO393268 AWO458727:AWO458804 AWO524263:AWO524340 AWO589799:AWO589876 AWO655335:AWO655412 AWO720871:AWO720948 AWO786407:AWO786484 AWO851943:AWO852020 AWO917479:AWO917556 AWO983015:AWO983092 BGK2:BGK55 BGK65511:BGK65588 BGK131047:BGK131124 BGK196583:BGK196660 BGK262119:BGK262196 BGK327655:BGK327732 BGK393191:BGK393268 BGK458727:BGK458804 BGK524263:BGK524340 BGK589799:BGK589876 BGK655335:BGK655412 BGK720871:BGK720948 BGK786407:BGK786484 BGK851943:BGK852020 BGK917479:BGK917556 BGK983015:BGK983092 BQG2:BQG55 BQG65511:BQG65588 BQG131047:BQG131124 BQG196583:BQG196660 BQG262119:BQG262196 BQG327655:BQG327732 BQG393191:BQG393268 BQG458727:BQG458804 BQG524263:BQG524340 BQG589799:BQG589876 BQG655335:BQG655412 BQG720871:BQG720948 BQG786407:BQG786484 BQG851943:BQG852020 BQG917479:BQG917556 BQG983015:BQG983092 CAC2:CAC55 CAC65511:CAC65588 CAC131047:CAC131124 CAC196583:CAC196660 CAC262119:CAC262196 CAC327655:CAC327732 CAC393191:CAC393268 CAC458727:CAC458804 CAC524263:CAC524340 CAC589799:CAC589876 CAC655335:CAC655412 CAC720871:CAC720948 CAC786407:CAC786484 CAC851943:CAC852020 CAC917479:CAC917556 CAC983015:CAC983092 CJY2:CJY55 CJY65511:CJY65588 CJY131047:CJY131124 CJY196583:CJY196660 CJY262119:CJY262196 CJY327655:CJY327732 CJY393191:CJY393268 CJY458727:CJY458804 CJY524263:CJY524340 CJY589799:CJY589876 CJY655335:CJY655412 CJY720871:CJY720948 CJY786407:CJY786484 CJY851943:CJY852020 CJY917479:CJY917556 CJY983015:CJY983092 CTU2:CTU55 CTU65511:CTU65588 CTU131047:CTU131124 CTU196583:CTU196660 CTU262119:CTU262196 CTU327655:CTU327732 CTU393191:CTU393268 CTU458727:CTU458804 CTU524263:CTU524340 CTU589799:CTU589876 CTU655335:CTU655412 CTU720871:CTU720948 CTU786407:CTU786484 CTU851943:CTU852020 CTU917479:CTU917556 CTU983015:CTU983092 DDQ2:DDQ55 DDQ65511:DDQ65588 DDQ131047:DDQ131124 DDQ196583:DDQ196660 DDQ262119:DDQ262196 DDQ327655:DDQ327732 DDQ393191:DDQ393268 DDQ458727:DDQ458804 DDQ524263:DDQ524340 DDQ589799:DDQ589876 DDQ655335:DDQ655412 DDQ720871:DDQ720948 DDQ786407:DDQ786484 DDQ851943:DDQ852020 DDQ917479:DDQ917556 DDQ983015:DDQ983092 DNM2:DNM55 DNM65511:DNM65588 DNM131047:DNM131124 DNM196583:DNM196660 DNM262119:DNM262196 DNM327655:DNM327732 DNM393191:DNM393268 DNM458727:DNM458804 DNM524263:DNM524340 DNM589799:DNM589876 DNM655335:DNM655412 DNM720871:DNM720948 DNM786407:DNM786484 DNM851943:DNM852020 DNM917479:DNM917556 DNM983015:DNM983092 DXI2:DXI55 DXI65511:DXI65588 DXI131047:DXI131124 DXI196583:DXI196660 DXI262119:DXI262196 DXI327655:DXI327732 DXI393191:DXI393268 DXI458727:DXI458804 DXI524263:DXI524340 DXI589799:DXI589876 DXI655335:DXI655412 DXI720871:DXI720948 DXI786407:DXI786484 DXI851943:DXI852020 DXI917479:DXI917556 DXI983015:DXI983092 EHE2:EHE55 EHE65511:EHE65588 EHE131047:EHE131124 EHE196583:EHE196660 EHE262119:EHE262196 EHE327655:EHE327732 EHE393191:EHE393268 EHE458727:EHE458804 EHE524263:EHE524340 EHE589799:EHE589876 EHE655335:EHE655412 EHE720871:EHE720948 EHE786407:EHE786484 EHE851943:EHE852020 EHE917479:EHE917556 EHE983015:EHE983092 ERA2:ERA55 ERA65511:ERA65588 ERA131047:ERA131124 ERA196583:ERA196660 ERA262119:ERA262196 ERA327655:ERA327732 ERA393191:ERA393268 ERA458727:ERA458804 ERA524263:ERA524340 ERA589799:ERA589876 ERA655335:ERA655412 ERA720871:ERA720948 ERA786407:ERA786484 ERA851943:ERA852020 ERA917479:ERA917556 ERA983015:ERA983092 FAW2:FAW55 FAW65511:FAW65588 FAW131047:FAW131124 FAW196583:FAW196660 FAW262119:FAW262196 FAW327655:FAW327732 FAW393191:FAW393268 FAW458727:FAW458804 FAW524263:FAW524340 FAW589799:FAW589876 FAW655335:FAW655412 FAW720871:FAW720948 FAW786407:FAW786484 FAW851943:FAW852020 FAW917479:FAW917556 FAW983015:FAW983092 FKS2:FKS55 FKS65511:FKS65588 FKS131047:FKS131124 FKS196583:FKS196660 FKS262119:FKS262196 FKS327655:FKS327732 FKS393191:FKS393268 FKS458727:FKS458804 FKS524263:FKS524340 FKS589799:FKS589876 FKS655335:FKS655412 FKS720871:FKS720948 FKS786407:FKS786484 FKS851943:FKS852020 FKS917479:FKS917556 FKS983015:FKS983092 FUO2:FUO55 FUO65511:FUO65588 FUO131047:FUO131124 FUO196583:FUO196660 FUO262119:FUO262196 FUO327655:FUO327732 FUO393191:FUO393268 FUO458727:FUO458804 FUO524263:FUO524340 FUO589799:FUO589876 FUO655335:FUO655412 FUO720871:FUO720948 FUO786407:FUO786484 FUO851943:FUO852020 FUO917479:FUO917556 FUO983015:FUO983092 GEK2:GEK55 GEK65511:GEK65588 GEK131047:GEK131124 GEK196583:GEK196660 GEK262119:GEK262196 GEK327655:GEK327732 GEK393191:GEK393268 GEK458727:GEK458804 GEK524263:GEK524340 GEK589799:GEK589876 GEK655335:GEK655412 GEK720871:GEK720948 GEK786407:GEK786484 GEK851943:GEK852020 GEK917479:GEK917556 GEK983015:GEK983092 GOG2:GOG55 GOG65511:GOG65588 GOG131047:GOG131124 GOG196583:GOG196660 GOG262119:GOG262196 GOG327655:GOG327732 GOG393191:GOG393268 GOG458727:GOG458804 GOG524263:GOG524340 GOG589799:GOG589876 GOG655335:GOG655412 GOG720871:GOG720948 GOG786407:GOG786484 GOG851943:GOG852020 GOG917479:GOG917556 GOG983015:GOG983092 GYC2:GYC55 GYC65511:GYC65588 GYC131047:GYC131124 GYC196583:GYC196660 GYC262119:GYC262196 GYC327655:GYC327732 GYC393191:GYC393268 GYC458727:GYC458804 GYC524263:GYC524340 GYC589799:GYC589876 GYC655335:GYC655412 GYC720871:GYC720948 GYC786407:GYC786484 GYC851943:GYC852020 GYC917479:GYC917556 GYC983015:GYC983092 HHY2:HHY55 HHY65511:HHY65588 HHY131047:HHY131124 HHY196583:HHY196660 HHY262119:HHY262196 HHY327655:HHY327732 HHY393191:HHY393268 HHY458727:HHY458804 HHY524263:HHY524340 HHY589799:HHY589876 HHY655335:HHY655412 HHY720871:HHY720948 HHY786407:HHY786484 HHY851943:HHY852020 HHY917479:HHY917556 HHY983015:HHY983092 HRU2:HRU55 HRU65511:HRU65588 HRU131047:HRU131124 HRU196583:HRU196660 HRU262119:HRU262196 HRU327655:HRU327732 HRU393191:HRU393268 HRU458727:HRU458804 HRU524263:HRU524340 HRU589799:HRU589876 HRU655335:HRU655412 HRU720871:HRU720948 HRU786407:HRU786484 HRU851943:HRU852020 HRU917479:HRU917556 HRU983015:HRU983092 IBQ2:IBQ55 IBQ65511:IBQ65588 IBQ131047:IBQ131124 IBQ196583:IBQ196660 IBQ262119:IBQ262196 IBQ327655:IBQ327732 IBQ393191:IBQ393268 IBQ458727:IBQ458804 IBQ524263:IBQ524340 IBQ589799:IBQ589876 IBQ655335:IBQ655412 IBQ720871:IBQ720948 IBQ786407:IBQ786484 IBQ851943:IBQ852020 IBQ917479:IBQ917556 IBQ983015:IBQ983092 ILM2:ILM55 ILM65511:ILM65588 ILM131047:ILM131124 ILM196583:ILM196660 ILM262119:ILM262196 ILM327655:ILM327732 ILM393191:ILM393268 ILM458727:ILM458804 ILM524263:ILM524340 ILM589799:ILM589876 ILM655335:ILM655412 ILM720871:ILM720948 ILM786407:ILM786484 ILM851943:ILM852020 ILM917479:ILM917556 ILM983015:ILM983092 IVI2:IVI55 IVI65511:IVI65588 IVI131047:IVI131124 IVI196583:IVI196660 IVI262119:IVI262196 IVI327655:IVI327732 IVI393191:IVI393268 IVI458727:IVI458804 IVI524263:IVI524340 IVI589799:IVI589876 IVI655335:IVI655412 IVI720871:IVI720948 IVI786407:IVI786484 IVI851943:IVI852020 IVI917479:IVI917556 IVI983015:IVI983092 JFE2:JFE55 JFE65511:JFE65588 JFE131047:JFE131124 JFE196583:JFE196660 JFE262119:JFE262196 JFE327655:JFE327732 JFE393191:JFE393268 JFE458727:JFE458804 JFE524263:JFE524340 JFE589799:JFE589876 JFE655335:JFE655412 JFE720871:JFE720948 JFE786407:JFE786484 JFE851943:JFE852020 JFE917479:JFE917556 JFE983015:JFE983092 JPA2:JPA55 JPA65511:JPA65588 JPA131047:JPA131124 JPA196583:JPA196660 JPA262119:JPA262196 JPA327655:JPA327732 JPA393191:JPA393268 JPA458727:JPA458804 JPA524263:JPA524340 JPA589799:JPA589876 JPA655335:JPA655412 JPA720871:JPA720948 JPA786407:JPA786484 JPA851943:JPA852020 JPA917479:JPA917556 JPA983015:JPA983092 JYW2:JYW55 JYW65511:JYW65588 JYW131047:JYW131124 JYW196583:JYW196660 JYW262119:JYW262196 JYW327655:JYW327732 JYW393191:JYW393268 JYW458727:JYW458804 JYW524263:JYW524340 JYW589799:JYW589876 JYW655335:JYW655412 JYW720871:JYW720948 JYW786407:JYW786484 JYW851943:JYW852020 JYW917479:JYW917556 JYW983015:JYW983092 KIS2:KIS55 KIS65511:KIS65588 KIS131047:KIS131124 KIS196583:KIS196660 KIS262119:KIS262196 KIS327655:KIS327732 KIS393191:KIS393268 KIS458727:KIS458804 KIS524263:KIS524340 KIS589799:KIS589876 KIS655335:KIS655412 KIS720871:KIS720948 KIS786407:KIS786484 KIS851943:KIS852020 KIS917479:KIS917556 KIS983015:KIS983092 KSO2:KSO55 KSO65511:KSO65588 KSO131047:KSO131124 KSO196583:KSO196660 KSO262119:KSO262196 KSO327655:KSO327732 KSO393191:KSO393268 KSO458727:KSO458804 KSO524263:KSO524340 KSO589799:KSO589876 KSO655335:KSO655412 KSO720871:KSO720948 KSO786407:KSO786484 KSO851943:KSO852020 KSO917479:KSO917556 KSO983015:KSO983092 LCK2:LCK55 LCK65511:LCK65588 LCK131047:LCK131124 LCK196583:LCK196660 LCK262119:LCK262196 LCK327655:LCK327732 LCK393191:LCK393268 LCK458727:LCK458804 LCK524263:LCK524340 LCK589799:LCK589876 LCK655335:LCK655412 LCK720871:LCK720948 LCK786407:LCK786484 LCK851943:LCK852020 LCK917479:LCK917556 LCK983015:LCK983092 LMG2:LMG55 LMG65511:LMG65588 LMG131047:LMG131124 LMG196583:LMG196660 LMG262119:LMG262196 LMG327655:LMG327732 LMG393191:LMG393268 LMG458727:LMG458804 LMG524263:LMG524340 LMG589799:LMG589876 LMG655335:LMG655412 LMG720871:LMG720948 LMG786407:LMG786484 LMG851943:LMG852020 LMG917479:LMG917556 LMG983015:LMG983092 LWC2:LWC55 LWC65511:LWC65588 LWC131047:LWC131124 LWC196583:LWC196660 LWC262119:LWC262196 LWC327655:LWC327732 LWC393191:LWC393268 LWC458727:LWC458804 LWC524263:LWC524340 LWC589799:LWC589876 LWC655335:LWC655412 LWC720871:LWC720948 LWC786407:LWC786484 LWC851943:LWC852020 LWC917479:LWC917556 LWC983015:LWC983092 MFY2:MFY55 MFY65511:MFY65588 MFY131047:MFY131124 MFY196583:MFY196660 MFY262119:MFY262196 MFY327655:MFY327732 MFY393191:MFY393268 MFY458727:MFY458804 MFY524263:MFY524340 MFY589799:MFY589876 MFY655335:MFY655412 MFY720871:MFY720948 MFY786407:MFY786484 MFY851943:MFY852020 MFY917479:MFY917556 MFY983015:MFY983092 MPU2:MPU55 MPU65511:MPU65588 MPU131047:MPU131124 MPU196583:MPU196660 MPU262119:MPU262196 MPU327655:MPU327732 MPU393191:MPU393268 MPU458727:MPU458804 MPU524263:MPU524340 MPU589799:MPU589876 MPU655335:MPU655412 MPU720871:MPU720948 MPU786407:MPU786484 MPU851943:MPU852020 MPU917479:MPU917556 MPU983015:MPU983092 MZQ2:MZQ55 MZQ65511:MZQ65588 MZQ131047:MZQ131124 MZQ196583:MZQ196660 MZQ262119:MZQ262196 MZQ327655:MZQ327732 MZQ393191:MZQ393268 MZQ458727:MZQ458804 MZQ524263:MZQ524340 MZQ589799:MZQ589876 MZQ655335:MZQ655412 MZQ720871:MZQ720948 MZQ786407:MZQ786484 MZQ851943:MZQ852020 MZQ917479:MZQ917556 MZQ983015:MZQ983092 NJM2:NJM55 NJM65511:NJM65588 NJM131047:NJM131124 NJM196583:NJM196660 NJM262119:NJM262196 NJM327655:NJM327732 NJM393191:NJM393268 NJM458727:NJM458804 NJM524263:NJM524340 NJM589799:NJM589876 NJM655335:NJM655412 NJM720871:NJM720948 NJM786407:NJM786484 NJM851943:NJM852020 NJM917479:NJM917556 NJM983015:NJM983092 NTI2:NTI55 NTI65511:NTI65588 NTI131047:NTI131124 NTI196583:NTI196660 NTI262119:NTI262196 NTI327655:NTI327732 NTI393191:NTI393268 NTI458727:NTI458804 NTI524263:NTI524340 NTI589799:NTI589876 NTI655335:NTI655412 NTI720871:NTI720948 NTI786407:NTI786484 NTI851943:NTI852020 NTI917479:NTI917556 NTI983015:NTI983092 ODE2:ODE55 ODE65511:ODE65588 ODE131047:ODE131124 ODE196583:ODE196660 ODE262119:ODE262196 ODE327655:ODE327732 ODE393191:ODE393268 ODE458727:ODE458804 ODE524263:ODE524340 ODE589799:ODE589876 ODE655335:ODE655412 ODE720871:ODE720948 ODE786407:ODE786484 ODE851943:ODE852020 ODE917479:ODE917556 ODE983015:ODE983092 ONA2:ONA55 ONA65511:ONA65588 ONA131047:ONA131124 ONA196583:ONA196660 ONA262119:ONA262196 ONA327655:ONA327732 ONA393191:ONA393268 ONA458727:ONA458804 ONA524263:ONA524340 ONA589799:ONA589876 ONA655335:ONA655412 ONA720871:ONA720948 ONA786407:ONA786484 ONA851943:ONA852020 ONA917479:ONA917556 ONA983015:ONA983092 OWW2:OWW55 OWW65511:OWW65588 OWW131047:OWW131124 OWW196583:OWW196660 OWW262119:OWW262196 OWW327655:OWW327732 OWW393191:OWW393268 OWW458727:OWW458804 OWW524263:OWW524340 OWW589799:OWW589876 OWW655335:OWW655412 OWW720871:OWW720948 OWW786407:OWW786484 OWW851943:OWW852020 OWW917479:OWW917556 OWW983015:OWW983092 PGS2:PGS55 PGS65511:PGS65588 PGS131047:PGS131124 PGS196583:PGS196660 PGS262119:PGS262196 PGS327655:PGS327732 PGS393191:PGS393268 PGS458727:PGS458804 PGS524263:PGS524340 PGS589799:PGS589876 PGS655335:PGS655412 PGS720871:PGS720948 PGS786407:PGS786484 PGS851943:PGS852020 PGS917479:PGS917556 PGS983015:PGS983092 PQO2:PQO55 PQO65511:PQO65588 PQO131047:PQO131124 PQO196583:PQO196660 PQO262119:PQO262196 PQO327655:PQO327732 PQO393191:PQO393268 PQO458727:PQO458804 PQO524263:PQO524340 PQO589799:PQO589876 PQO655335:PQO655412 PQO720871:PQO720948 PQO786407:PQO786484 PQO851943:PQO852020 PQO917479:PQO917556 PQO983015:PQO983092 QAK2:QAK55 QAK65511:QAK65588 QAK131047:QAK131124 QAK196583:QAK196660 QAK262119:QAK262196 QAK327655:QAK327732 QAK393191:QAK393268 QAK458727:QAK458804 QAK524263:QAK524340 QAK589799:QAK589876 QAK655335:QAK655412 QAK720871:QAK720948 QAK786407:QAK786484 QAK851943:QAK852020 QAK917479:QAK917556 QAK983015:QAK983092 QKG2:QKG55 QKG65511:QKG65588 QKG131047:QKG131124 QKG196583:QKG196660 QKG262119:QKG262196 QKG327655:QKG327732 QKG393191:QKG393268 QKG458727:QKG458804 QKG524263:QKG524340 QKG589799:QKG589876 QKG655335:QKG655412 QKG720871:QKG720948 QKG786407:QKG786484 QKG851943:QKG852020 QKG917479:QKG917556 QKG983015:QKG983092 QUC2:QUC55 QUC65511:QUC65588 QUC131047:QUC131124 QUC196583:QUC196660 QUC262119:QUC262196 QUC327655:QUC327732 QUC393191:QUC393268 QUC458727:QUC458804 QUC524263:QUC524340 QUC589799:QUC589876 QUC655335:QUC655412 QUC720871:QUC720948 QUC786407:QUC786484 QUC851943:QUC852020 QUC917479:QUC917556 QUC983015:QUC983092 RDY2:RDY55 RDY65511:RDY65588 RDY131047:RDY131124 RDY196583:RDY196660 RDY262119:RDY262196 RDY327655:RDY327732 RDY393191:RDY393268 RDY458727:RDY458804 RDY524263:RDY524340 RDY589799:RDY589876 RDY655335:RDY655412 RDY720871:RDY720948 RDY786407:RDY786484 RDY851943:RDY852020 RDY917479:RDY917556 RDY983015:RDY983092 RNU2:RNU55 RNU65511:RNU65588 RNU131047:RNU131124 RNU196583:RNU196660 RNU262119:RNU262196 RNU327655:RNU327732 RNU393191:RNU393268 RNU458727:RNU458804 RNU524263:RNU524340 RNU589799:RNU589876 RNU655335:RNU655412 RNU720871:RNU720948 RNU786407:RNU786484 RNU851943:RNU852020 RNU917479:RNU917556 RNU983015:RNU983092 RXQ2:RXQ55 RXQ65511:RXQ65588 RXQ131047:RXQ131124 RXQ196583:RXQ196660 RXQ262119:RXQ262196 RXQ327655:RXQ327732 RXQ393191:RXQ393268 RXQ458727:RXQ458804 RXQ524263:RXQ524340 RXQ589799:RXQ589876 RXQ655335:RXQ655412 RXQ720871:RXQ720948 RXQ786407:RXQ786484 RXQ851943:RXQ852020 RXQ917479:RXQ917556 RXQ983015:RXQ983092 SHM2:SHM55 SHM65511:SHM65588 SHM131047:SHM131124 SHM196583:SHM196660 SHM262119:SHM262196 SHM327655:SHM327732 SHM393191:SHM393268 SHM458727:SHM458804 SHM524263:SHM524340 SHM589799:SHM589876 SHM655335:SHM655412 SHM720871:SHM720948 SHM786407:SHM786484 SHM851943:SHM852020 SHM917479:SHM917556 SHM983015:SHM983092 SRI2:SRI55 SRI65511:SRI65588 SRI131047:SRI131124 SRI196583:SRI196660 SRI262119:SRI262196 SRI327655:SRI327732 SRI393191:SRI393268 SRI458727:SRI458804 SRI524263:SRI524340 SRI589799:SRI589876 SRI655335:SRI655412 SRI720871:SRI720948 SRI786407:SRI786484 SRI851943:SRI852020 SRI917479:SRI917556 SRI983015:SRI983092 TBE2:TBE55 TBE65511:TBE65588 TBE131047:TBE131124 TBE196583:TBE196660 TBE262119:TBE262196 TBE327655:TBE327732 TBE393191:TBE393268 TBE458727:TBE458804 TBE524263:TBE524340 TBE589799:TBE589876 TBE655335:TBE655412 TBE720871:TBE720948 TBE786407:TBE786484 TBE851943:TBE852020 TBE917479:TBE917556 TBE983015:TBE983092 TLA2:TLA55 TLA65511:TLA65588 TLA131047:TLA131124 TLA196583:TLA196660 TLA262119:TLA262196 TLA327655:TLA327732 TLA393191:TLA393268 TLA458727:TLA458804 TLA524263:TLA524340 TLA589799:TLA589876 TLA655335:TLA655412 TLA720871:TLA720948 TLA786407:TLA786484 TLA851943:TLA852020 TLA917479:TLA917556 TLA983015:TLA983092 TUW2:TUW55 TUW65511:TUW65588 TUW131047:TUW131124 TUW196583:TUW196660 TUW262119:TUW262196 TUW327655:TUW327732 TUW393191:TUW393268 TUW458727:TUW458804 TUW524263:TUW524340 TUW589799:TUW589876 TUW655335:TUW655412 TUW720871:TUW720948 TUW786407:TUW786484 TUW851943:TUW852020 TUW917479:TUW917556 TUW983015:TUW983092 UES2:UES55 UES65511:UES65588 UES131047:UES131124 UES196583:UES196660 UES262119:UES262196 UES327655:UES327732 UES393191:UES393268 UES458727:UES458804 UES524263:UES524340 UES589799:UES589876 UES655335:UES655412 UES720871:UES720948 UES786407:UES786484 UES851943:UES852020 UES917479:UES917556 UES983015:UES983092 UOO2:UOO55 UOO65511:UOO65588 UOO131047:UOO131124 UOO196583:UOO196660 UOO262119:UOO262196 UOO327655:UOO327732 UOO393191:UOO393268 UOO458727:UOO458804 UOO524263:UOO524340 UOO589799:UOO589876 UOO655335:UOO655412 UOO720871:UOO720948 UOO786407:UOO786484 UOO851943:UOO852020 UOO917479:UOO917556 UOO983015:UOO983092 UYK2:UYK55 UYK65511:UYK65588 UYK131047:UYK131124 UYK196583:UYK196660 UYK262119:UYK262196 UYK327655:UYK327732 UYK393191:UYK393268 UYK458727:UYK458804 UYK524263:UYK524340 UYK589799:UYK589876 UYK655335:UYK655412 UYK720871:UYK720948 UYK786407:UYK786484 UYK851943:UYK852020 UYK917479:UYK917556 UYK983015:UYK983092 VIG2:VIG55 VIG65511:VIG65588 VIG131047:VIG131124 VIG196583:VIG196660 VIG262119:VIG262196 VIG327655:VIG327732 VIG393191:VIG393268 VIG458727:VIG458804 VIG524263:VIG524340 VIG589799:VIG589876 VIG655335:VIG655412 VIG720871:VIG720948 VIG786407:VIG786484 VIG851943:VIG852020 VIG917479:VIG917556 VIG983015:VIG983092 VSC2:VSC55 VSC65511:VSC65588 VSC131047:VSC131124 VSC196583:VSC196660 VSC262119:VSC262196 VSC327655:VSC327732 VSC393191:VSC393268 VSC458727:VSC458804 VSC524263:VSC524340 VSC589799:VSC589876 VSC655335:VSC655412 VSC720871:VSC720948 VSC786407:VSC786484 VSC851943:VSC852020 VSC917479:VSC917556 VSC983015:VSC983092 WBY2:WBY55 WBY65511:WBY65588 WBY131047:WBY131124 WBY196583:WBY196660 WBY262119:WBY262196 WBY327655:WBY327732 WBY393191:WBY393268 WBY458727:WBY458804 WBY524263:WBY524340 WBY589799:WBY589876 WBY655335:WBY655412 WBY720871:WBY720948 WBY786407:WBY786484 WBY851943:WBY852020 WBY917479:WBY917556 WBY983015:WBY983092 WLU2:WLU55 WLU65511:WLU65588 WLU131047:WLU131124 WLU196583:WLU196660 WLU262119:WLU262196 WLU327655:WLU327732 WLU393191:WLU393268 WLU458727:WLU458804 WLU524263:WLU524340 WLU589799:WLU589876 WLU655335:WLU655412 WLU720871:WLU720948 WLU786407:WLU786484 WLU851943:WLU852020 WLU917479:WLU917556 WLU983015:WLU983092 WVQ2:WVQ55 WVQ65511:WVQ65588 WVQ131047:WVQ131124 WVQ196583:WVQ196660 WVQ262119:WVQ262196 WVQ327655:WVQ327732 WVQ393191:WVQ393268 WVQ458727:WVQ458804 WVQ524263:WVQ524340 WVQ589799:WVQ589876 WVQ655335:WVQ655412 WVQ720871:WVQ720948 WVQ786407:WVQ786484 WVQ851943:WVQ852020 WVQ917479:WVQ917556 WVQ983015:WVQ983092">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topLeftCell="A19" zoomScale="80" zoomScaleNormal="80" workbookViewId="0">
      <selection activeCell="A39" sqref="A39:XFD39"/>
    </sheetView>
  </sheetViews>
  <sheetFormatPr defaultRowHeight="13.5" x14ac:dyDescent="0.15"/>
  <cols>
    <col min="1" max="3" width="9" style="207" customWidth="1"/>
    <col min="4" max="4" width="10.5" style="207" customWidth="1"/>
    <col min="5" max="5" width="11.25" style="207" bestFit="1" customWidth="1"/>
    <col min="6" max="7" width="9" style="207"/>
    <col min="8" max="10" width="9" style="207" customWidth="1"/>
    <col min="11" max="11" width="11.375" style="207" customWidth="1"/>
    <col min="12" max="16" width="9" style="207" customWidth="1"/>
    <col min="17" max="17" width="9" style="216" customWidth="1"/>
    <col min="18" max="18" width="9" style="207"/>
    <col min="19" max="19" width="9.5" style="207" bestFit="1" customWidth="1"/>
    <col min="20" max="20" width="9" style="216" customWidth="1"/>
    <col min="21" max="21" width="9" style="207"/>
    <col min="22" max="22" width="9" style="216" customWidth="1"/>
    <col min="23" max="28" width="9" style="207"/>
    <col min="29" max="29" width="26.5" style="207" customWidth="1"/>
    <col min="30" max="32" width="9" style="207"/>
    <col min="33" max="33" width="15.75" style="207" bestFit="1" customWidth="1"/>
    <col min="34" max="34" width="15" style="207" bestFit="1" customWidth="1"/>
    <col min="35" max="256" width="9" style="207"/>
    <col min="257" max="259" width="9" style="207" customWidth="1"/>
    <col min="260" max="260" width="10.5" style="207" customWidth="1"/>
    <col min="261" max="261" width="11.25" style="207" bestFit="1" customWidth="1"/>
    <col min="262" max="263" width="9" style="207"/>
    <col min="264" max="273" width="9" style="207" customWidth="1"/>
    <col min="274" max="274" width="9" style="207"/>
    <col min="275" max="275" width="9.5" style="207" bestFit="1" customWidth="1"/>
    <col min="276" max="276" width="9" style="207" customWidth="1"/>
    <col min="277" max="277" width="9" style="207"/>
    <col min="278" max="278" width="9" style="207" customWidth="1"/>
    <col min="279" max="284" width="9" style="207"/>
    <col min="285" max="285" width="26.5" style="207" customWidth="1"/>
    <col min="286" max="288" width="9" style="207"/>
    <col min="289" max="289" width="14.75" style="207" bestFit="1" customWidth="1"/>
    <col min="290" max="512" width="9" style="207"/>
    <col min="513" max="515" width="9" style="207" customWidth="1"/>
    <col min="516" max="516" width="10.5" style="207" customWidth="1"/>
    <col min="517" max="517" width="11.25" style="207" bestFit="1" customWidth="1"/>
    <col min="518" max="519" width="9" style="207"/>
    <col min="520" max="529" width="9" style="207" customWidth="1"/>
    <col min="530" max="530" width="9" style="207"/>
    <col min="531" max="531" width="9.5" style="207" bestFit="1" customWidth="1"/>
    <col min="532" max="532" width="9" style="207" customWidth="1"/>
    <col min="533" max="533" width="9" style="207"/>
    <col min="534" max="534" width="9" style="207" customWidth="1"/>
    <col min="535" max="540" width="9" style="207"/>
    <col min="541" max="541" width="26.5" style="207" customWidth="1"/>
    <col min="542" max="544" width="9" style="207"/>
    <col min="545" max="545" width="14.75" style="207" bestFit="1" customWidth="1"/>
    <col min="546" max="768" width="9" style="207"/>
    <col min="769" max="771" width="9" style="207" customWidth="1"/>
    <col min="772" max="772" width="10.5" style="207" customWidth="1"/>
    <col min="773" max="773" width="11.25" style="207" bestFit="1" customWidth="1"/>
    <col min="774" max="775" width="9" style="207"/>
    <col min="776" max="785" width="9" style="207" customWidth="1"/>
    <col min="786" max="786" width="9" style="207"/>
    <col min="787" max="787" width="9.5" style="207" bestFit="1" customWidth="1"/>
    <col min="788" max="788" width="9" style="207" customWidth="1"/>
    <col min="789" max="789" width="9" style="207"/>
    <col min="790" max="790" width="9" style="207" customWidth="1"/>
    <col min="791" max="796" width="9" style="207"/>
    <col min="797" max="797" width="26.5" style="207" customWidth="1"/>
    <col min="798" max="800" width="9" style="207"/>
    <col min="801" max="801" width="14.75" style="207" bestFit="1" customWidth="1"/>
    <col min="802" max="1024" width="9" style="207"/>
    <col min="1025" max="1027" width="9" style="207" customWidth="1"/>
    <col min="1028" max="1028" width="10.5" style="207" customWidth="1"/>
    <col min="1029" max="1029" width="11.25" style="207" bestFit="1" customWidth="1"/>
    <col min="1030" max="1031" width="9" style="207"/>
    <col min="1032" max="1041" width="9" style="207" customWidth="1"/>
    <col min="1042" max="1042" width="9" style="207"/>
    <col min="1043" max="1043" width="9.5" style="207" bestFit="1" customWidth="1"/>
    <col min="1044" max="1044" width="9" style="207" customWidth="1"/>
    <col min="1045" max="1045" width="9" style="207"/>
    <col min="1046" max="1046" width="9" style="207" customWidth="1"/>
    <col min="1047" max="1052" width="9" style="207"/>
    <col min="1053" max="1053" width="26.5" style="207" customWidth="1"/>
    <col min="1054" max="1056" width="9" style="207"/>
    <col min="1057" max="1057" width="14.75" style="207" bestFit="1" customWidth="1"/>
    <col min="1058" max="1280" width="9" style="207"/>
    <col min="1281" max="1283" width="9" style="207" customWidth="1"/>
    <col min="1284" max="1284" width="10.5" style="207" customWidth="1"/>
    <col min="1285" max="1285" width="11.25" style="207" bestFit="1" customWidth="1"/>
    <col min="1286" max="1287" width="9" style="207"/>
    <col min="1288" max="1297" width="9" style="207" customWidth="1"/>
    <col min="1298" max="1298" width="9" style="207"/>
    <col min="1299" max="1299" width="9.5" style="207" bestFit="1" customWidth="1"/>
    <col min="1300" max="1300" width="9" style="207" customWidth="1"/>
    <col min="1301" max="1301" width="9" style="207"/>
    <col min="1302" max="1302" width="9" style="207" customWidth="1"/>
    <col min="1303" max="1308" width="9" style="207"/>
    <col min="1309" max="1309" width="26.5" style="207" customWidth="1"/>
    <col min="1310" max="1312" width="9" style="207"/>
    <col min="1313" max="1313" width="14.75" style="207" bestFit="1" customWidth="1"/>
    <col min="1314" max="1536" width="9" style="207"/>
    <col min="1537" max="1539" width="9" style="207" customWidth="1"/>
    <col min="1540" max="1540" width="10.5" style="207" customWidth="1"/>
    <col min="1541" max="1541" width="11.25" style="207" bestFit="1" customWidth="1"/>
    <col min="1542" max="1543" width="9" style="207"/>
    <col min="1544" max="1553" width="9" style="207" customWidth="1"/>
    <col min="1554" max="1554" width="9" style="207"/>
    <col min="1555" max="1555" width="9.5" style="207" bestFit="1" customWidth="1"/>
    <col min="1556" max="1556" width="9" style="207" customWidth="1"/>
    <col min="1557" max="1557" width="9" style="207"/>
    <col min="1558" max="1558" width="9" style="207" customWidth="1"/>
    <col min="1559" max="1564" width="9" style="207"/>
    <col min="1565" max="1565" width="26.5" style="207" customWidth="1"/>
    <col min="1566" max="1568" width="9" style="207"/>
    <col min="1569" max="1569" width="14.75" style="207" bestFit="1" customWidth="1"/>
    <col min="1570" max="1792" width="9" style="207"/>
    <col min="1793" max="1795" width="9" style="207" customWidth="1"/>
    <col min="1796" max="1796" width="10.5" style="207" customWidth="1"/>
    <col min="1797" max="1797" width="11.25" style="207" bestFit="1" customWidth="1"/>
    <col min="1798" max="1799" width="9" style="207"/>
    <col min="1800" max="1809" width="9" style="207" customWidth="1"/>
    <col min="1810" max="1810" width="9" style="207"/>
    <col min="1811" max="1811" width="9.5" style="207" bestFit="1" customWidth="1"/>
    <col min="1812" max="1812" width="9" style="207" customWidth="1"/>
    <col min="1813" max="1813" width="9" style="207"/>
    <col min="1814" max="1814" width="9" style="207" customWidth="1"/>
    <col min="1815" max="1820" width="9" style="207"/>
    <col min="1821" max="1821" width="26.5" style="207" customWidth="1"/>
    <col min="1822" max="1824" width="9" style="207"/>
    <col min="1825" max="1825" width="14.75" style="207" bestFit="1" customWidth="1"/>
    <col min="1826" max="2048" width="9" style="207"/>
    <col min="2049" max="2051" width="9" style="207" customWidth="1"/>
    <col min="2052" max="2052" width="10.5" style="207" customWidth="1"/>
    <col min="2053" max="2053" width="11.25" style="207" bestFit="1" customWidth="1"/>
    <col min="2054" max="2055" width="9" style="207"/>
    <col min="2056" max="2065" width="9" style="207" customWidth="1"/>
    <col min="2066" max="2066" width="9" style="207"/>
    <col min="2067" max="2067" width="9.5" style="207" bestFit="1" customWidth="1"/>
    <col min="2068" max="2068" width="9" style="207" customWidth="1"/>
    <col min="2069" max="2069" width="9" style="207"/>
    <col min="2070" max="2070" width="9" style="207" customWidth="1"/>
    <col min="2071" max="2076" width="9" style="207"/>
    <col min="2077" max="2077" width="26.5" style="207" customWidth="1"/>
    <col min="2078" max="2080" width="9" style="207"/>
    <col min="2081" max="2081" width="14.75" style="207" bestFit="1" customWidth="1"/>
    <col min="2082" max="2304" width="9" style="207"/>
    <col min="2305" max="2307" width="9" style="207" customWidth="1"/>
    <col min="2308" max="2308" width="10.5" style="207" customWidth="1"/>
    <col min="2309" max="2309" width="11.25" style="207" bestFit="1" customWidth="1"/>
    <col min="2310" max="2311" width="9" style="207"/>
    <col min="2312" max="2321" width="9" style="207" customWidth="1"/>
    <col min="2322" max="2322" width="9" style="207"/>
    <col min="2323" max="2323" width="9.5" style="207" bestFit="1" customWidth="1"/>
    <col min="2324" max="2324" width="9" style="207" customWidth="1"/>
    <col min="2325" max="2325" width="9" style="207"/>
    <col min="2326" max="2326" width="9" style="207" customWidth="1"/>
    <col min="2327" max="2332" width="9" style="207"/>
    <col min="2333" max="2333" width="26.5" style="207" customWidth="1"/>
    <col min="2334" max="2336" width="9" style="207"/>
    <col min="2337" max="2337" width="14.75" style="207" bestFit="1" customWidth="1"/>
    <col min="2338" max="2560" width="9" style="207"/>
    <col min="2561" max="2563" width="9" style="207" customWidth="1"/>
    <col min="2564" max="2564" width="10.5" style="207" customWidth="1"/>
    <col min="2565" max="2565" width="11.25" style="207" bestFit="1" customWidth="1"/>
    <col min="2566" max="2567" width="9" style="207"/>
    <col min="2568" max="2577" width="9" style="207" customWidth="1"/>
    <col min="2578" max="2578" width="9" style="207"/>
    <col min="2579" max="2579" width="9.5" style="207" bestFit="1" customWidth="1"/>
    <col min="2580" max="2580" width="9" style="207" customWidth="1"/>
    <col min="2581" max="2581" width="9" style="207"/>
    <col min="2582" max="2582" width="9" style="207" customWidth="1"/>
    <col min="2583" max="2588" width="9" style="207"/>
    <col min="2589" max="2589" width="26.5" style="207" customWidth="1"/>
    <col min="2590" max="2592" width="9" style="207"/>
    <col min="2593" max="2593" width="14.75" style="207" bestFit="1" customWidth="1"/>
    <col min="2594" max="2816" width="9" style="207"/>
    <col min="2817" max="2819" width="9" style="207" customWidth="1"/>
    <col min="2820" max="2820" width="10.5" style="207" customWidth="1"/>
    <col min="2821" max="2821" width="11.25" style="207" bestFit="1" customWidth="1"/>
    <col min="2822" max="2823" width="9" style="207"/>
    <col min="2824" max="2833" width="9" style="207" customWidth="1"/>
    <col min="2834" max="2834" width="9" style="207"/>
    <col min="2835" max="2835" width="9.5" style="207" bestFit="1" customWidth="1"/>
    <col min="2836" max="2836" width="9" style="207" customWidth="1"/>
    <col min="2837" max="2837" width="9" style="207"/>
    <col min="2838" max="2838" width="9" style="207" customWidth="1"/>
    <col min="2839" max="2844" width="9" style="207"/>
    <col min="2845" max="2845" width="26.5" style="207" customWidth="1"/>
    <col min="2846" max="2848" width="9" style="207"/>
    <col min="2849" max="2849" width="14.75" style="207" bestFit="1" customWidth="1"/>
    <col min="2850" max="3072" width="9" style="207"/>
    <col min="3073" max="3075" width="9" style="207" customWidth="1"/>
    <col min="3076" max="3076" width="10.5" style="207" customWidth="1"/>
    <col min="3077" max="3077" width="11.25" style="207" bestFit="1" customWidth="1"/>
    <col min="3078" max="3079" width="9" style="207"/>
    <col min="3080" max="3089" width="9" style="207" customWidth="1"/>
    <col min="3090" max="3090" width="9" style="207"/>
    <col min="3091" max="3091" width="9.5" style="207" bestFit="1" customWidth="1"/>
    <col min="3092" max="3092" width="9" style="207" customWidth="1"/>
    <col min="3093" max="3093" width="9" style="207"/>
    <col min="3094" max="3094" width="9" style="207" customWidth="1"/>
    <col min="3095" max="3100" width="9" style="207"/>
    <col min="3101" max="3101" width="26.5" style="207" customWidth="1"/>
    <col min="3102" max="3104" width="9" style="207"/>
    <col min="3105" max="3105" width="14.75" style="207" bestFit="1" customWidth="1"/>
    <col min="3106" max="3328" width="9" style="207"/>
    <col min="3329" max="3331" width="9" style="207" customWidth="1"/>
    <col min="3332" max="3332" width="10.5" style="207" customWidth="1"/>
    <col min="3333" max="3333" width="11.25" style="207" bestFit="1" customWidth="1"/>
    <col min="3334" max="3335" width="9" style="207"/>
    <col min="3336" max="3345" width="9" style="207" customWidth="1"/>
    <col min="3346" max="3346" width="9" style="207"/>
    <col min="3347" max="3347" width="9.5" style="207" bestFit="1" customWidth="1"/>
    <col min="3348" max="3348" width="9" style="207" customWidth="1"/>
    <col min="3349" max="3349" width="9" style="207"/>
    <col min="3350" max="3350" width="9" style="207" customWidth="1"/>
    <col min="3351" max="3356" width="9" style="207"/>
    <col min="3357" max="3357" width="26.5" style="207" customWidth="1"/>
    <col min="3358" max="3360" width="9" style="207"/>
    <col min="3361" max="3361" width="14.75" style="207" bestFit="1" customWidth="1"/>
    <col min="3362" max="3584" width="9" style="207"/>
    <col min="3585" max="3587" width="9" style="207" customWidth="1"/>
    <col min="3588" max="3588" width="10.5" style="207" customWidth="1"/>
    <col min="3589" max="3589" width="11.25" style="207" bestFit="1" customWidth="1"/>
    <col min="3590" max="3591" width="9" style="207"/>
    <col min="3592" max="3601" width="9" style="207" customWidth="1"/>
    <col min="3602" max="3602" width="9" style="207"/>
    <col min="3603" max="3603" width="9.5" style="207" bestFit="1" customWidth="1"/>
    <col min="3604" max="3604" width="9" style="207" customWidth="1"/>
    <col min="3605" max="3605" width="9" style="207"/>
    <col min="3606" max="3606" width="9" style="207" customWidth="1"/>
    <col min="3607" max="3612" width="9" style="207"/>
    <col min="3613" max="3613" width="26.5" style="207" customWidth="1"/>
    <col min="3614" max="3616" width="9" style="207"/>
    <col min="3617" max="3617" width="14.75" style="207" bestFit="1" customWidth="1"/>
    <col min="3618" max="3840" width="9" style="207"/>
    <col min="3841" max="3843" width="9" style="207" customWidth="1"/>
    <col min="3844" max="3844" width="10.5" style="207" customWidth="1"/>
    <col min="3845" max="3845" width="11.25" style="207" bestFit="1" customWidth="1"/>
    <col min="3846" max="3847" width="9" style="207"/>
    <col min="3848" max="3857" width="9" style="207" customWidth="1"/>
    <col min="3858" max="3858" width="9" style="207"/>
    <col min="3859" max="3859" width="9.5" style="207" bestFit="1" customWidth="1"/>
    <col min="3860" max="3860" width="9" style="207" customWidth="1"/>
    <col min="3861" max="3861" width="9" style="207"/>
    <col min="3862" max="3862" width="9" style="207" customWidth="1"/>
    <col min="3863" max="3868" width="9" style="207"/>
    <col min="3869" max="3869" width="26.5" style="207" customWidth="1"/>
    <col min="3870" max="3872" width="9" style="207"/>
    <col min="3873" max="3873" width="14.75" style="207" bestFit="1" customWidth="1"/>
    <col min="3874" max="4096" width="9" style="207"/>
    <col min="4097" max="4099" width="9" style="207" customWidth="1"/>
    <col min="4100" max="4100" width="10.5" style="207" customWidth="1"/>
    <col min="4101" max="4101" width="11.25" style="207" bestFit="1" customWidth="1"/>
    <col min="4102" max="4103" width="9" style="207"/>
    <col min="4104" max="4113" width="9" style="207" customWidth="1"/>
    <col min="4114" max="4114" width="9" style="207"/>
    <col min="4115" max="4115" width="9.5" style="207" bestFit="1" customWidth="1"/>
    <col min="4116" max="4116" width="9" style="207" customWidth="1"/>
    <col min="4117" max="4117" width="9" style="207"/>
    <col min="4118" max="4118" width="9" style="207" customWidth="1"/>
    <col min="4119" max="4124" width="9" style="207"/>
    <col min="4125" max="4125" width="26.5" style="207" customWidth="1"/>
    <col min="4126" max="4128" width="9" style="207"/>
    <col min="4129" max="4129" width="14.75" style="207" bestFit="1" customWidth="1"/>
    <col min="4130" max="4352" width="9" style="207"/>
    <col min="4353" max="4355" width="9" style="207" customWidth="1"/>
    <col min="4356" max="4356" width="10.5" style="207" customWidth="1"/>
    <col min="4357" max="4357" width="11.25" style="207" bestFit="1" customWidth="1"/>
    <col min="4358" max="4359" width="9" style="207"/>
    <col min="4360" max="4369" width="9" style="207" customWidth="1"/>
    <col min="4370" max="4370" width="9" style="207"/>
    <col min="4371" max="4371" width="9.5" style="207" bestFit="1" customWidth="1"/>
    <col min="4372" max="4372" width="9" style="207" customWidth="1"/>
    <col min="4373" max="4373" width="9" style="207"/>
    <col min="4374" max="4374" width="9" style="207" customWidth="1"/>
    <col min="4375" max="4380" width="9" style="207"/>
    <col min="4381" max="4381" width="26.5" style="207" customWidth="1"/>
    <col min="4382" max="4384" width="9" style="207"/>
    <col min="4385" max="4385" width="14.75" style="207" bestFit="1" customWidth="1"/>
    <col min="4386" max="4608" width="9" style="207"/>
    <col min="4609" max="4611" width="9" style="207" customWidth="1"/>
    <col min="4612" max="4612" width="10.5" style="207" customWidth="1"/>
    <col min="4613" max="4613" width="11.25" style="207" bestFit="1" customWidth="1"/>
    <col min="4614" max="4615" width="9" style="207"/>
    <col min="4616" max="4625" width="9" style="207" customWidth="1"/>
    <col min="4626" max="4626" width="9" style="207"/>
    <col min="4627" max="4627" width="9.5" style="207" bestFit="1" customWidth="1"/>
    <col min="4628" max="4628" width="9" style="207" customWidth="1"/>
    <col min="4629" max="4629" width="9" style="207"/>
    <col min="4630" max="4630" width="9" style="207" customWidth="1"/>
    <col min="4631" max="4636" width="9" style="207"/>
    <col min="4637" max="4637" width="26.5" style="207" customWidth="1"/>
    <col min="4638" max="4640" width="9" style="207"/>
    <col min="4641" max="4641" width="14.75" style="207" bestFit="1" customWidth="1"/>
    <col min="4642" max="4864" width="9" style="207"/>
    <col min="4865" max="4867" width="9" style="207" customWidth="1"/>
    <col min="4868" max="4868" width="10.5" style="207" customWidth="1"/>
    <col min="4869" max="4869" width="11.25" style="207" bestFit="1" customWidth="1"/>
    <col min="4870" max="4871" width="9" style="207"/>
    <col min="4872" max="4881" width="9" style="207" customWidth="1"/>
    <col min="4882" max="4882" width="9" style="207"/>
    <col min="4883" max="4883" width="9.5" style="207" bestFit="1" customWidth="1"/>
    <col min="4884" max="4884" width="9" style="207" customWidth="1"/>
    <col min="4885" max="4885" width="9" style="207"/>
    <col min="4886" max="4886" width="9" style="207" customWidth="1"/>
    <col min="4887" max="4892" width="9" style="207"/>
    <col min="4893" max="4893" width="26.5" style="207" customWidth="1"/>
    <col min="4894" max="4896" width="9" style="207"/>
    <col min="4897" max="4897" width="14.75" style="207" bestFit="1" customWidth="1"/>
    <col min="4898" max="5120" width="9" style="207"/>
    <col min="5121" max="5123" width="9" style="207" customWidth="1"/>
    <col min="5124" max="5124" width="10.5" style="207" customWidth="1"/>
    <col min="5125" max="5125" width="11.25" style="207" bestFit="1" customWidth="1"/>
    <col min="5126" max="5127" width="9" style="207"/>
    <col min="5128" max="5137" width="9" style="207" customWidth="1"/>
    <col min="5138" max="5138" width="9" style="207"/>
    <col min="5139" max="5139" width="9.5" style="207" bestFit="1" customWidth="1"/>
    <col min="5140" max="5140" width="9" style="207" customWidth="1"/>
    <col min="5141" max="5141" width="9" style="207"/>
    <col min="5142" max="5142" width="9" style="207" customWidth="1"/>
    <col min="5143" max="5148" width="9" style="207"/>
    <col min="5149" max="5149" width="26.5" style="207" customWidth="1"/>
    <col min="5150" max="5152" width="9" style="207"/>
    <col min="5153" max="5153" width="14.75" style="207" bestFit="1" customWidth="1"/>
    <col min="5154" max="5376" width="9" style="207"/>
    <col min="5377" max="5379" width="9" style="207" customWidth="1"/>
    <col min="5380" max="5380" width="10.5" style="207" customWidth="1"/>
    <col min="5381" max="5381" width="11.25" style="207" bestFit="1" customWidth="1"/>
    <col min="5382" max="5383" width="9" style="207"/>
    <col min="5384" max="5393" width="9" style="207" customWidth="1"/>
    <col min="5394" max="5394" width="9" style="207"/>
    <col min="5395" max="5395" width="9.5" style="207" bestFit="1" customWidth="1"/>
    <col min="5396" max="5396" width="9" style="207" customWidth="1"/>
    <col min="5397" max="5397" width="9" style="207"/>
    <col min="5398" max="5398" width="9" style="207" customWidth="1"/>
    <col min="5399" max="5404" width="9" style="207"/>
    <col min="5405" max="5405" width="26.5" style="207" customWidth="1"/>
    <col min="5406" max="5408" width="9" style="207"/>
    <col min="5409" max="5409" width="14.75" style="207" bestFit="1" customWidth="1"/>
    <col min="5410" max="5632" width="9" style="207"/>
    <col min="5633" max="5635" width="9" style="207" customWidth="1"/>
    <col min="5636" max="5636" width="10.5" style="207" customWidth="1"/>
    <col min="5637" max="5637" width="11.25" style="207" bestFit="1" customWidth="1"/>
    <col min="5638" max="5639" width="9" style="207"/>
    <col min="5640" max="5649" width="9" style="207" customWidth="1"/>
    <col min="5650" max="5650" width="9" style="207"/>
    <col min="5651" max="5651" width="9.5" style="207" bestFit="1" customWidth="1"/>
    <col min="5652" max="5652" width="9" style="207" customWidth="1"/>
    <col min="5653" max="5653" width="9" style="207"/>
    <col min="5654" max="5654" width="9" style="207" customWidth="1"/>
    <col min="5655" max="5660" width="9" style="207"/>
    <col min="5661" max="5661" width="26.5" style="207" customWidth="1"/>
    <col min="5662" max="5664" width="9" style="207"/>
    <col min="5665" max="5665" width="14.75" style="207" bestFit="1" customWidth="1"/>
    <col min="5666" max="5888" width="9" style="207"/>
    <col min="5889" max="5891" width="9" style="207" customWidth="1"/>
    <col min="5892" max="5892" width="10.5" style="207" customWidth="1"/>
    <col min="5893" max="5893" width="11.25" style="207" bestFit="1" customWidth="1"/>
    <col min="5894" max="5895" width="9" style="207"/>
    <col min="5896" max="5905" width="9" style="207" customWidth="1"/>
    <col min="5906" max="5906" width="9" style="207"/>
    <col min="5907" max="5907" width="9.5" style="207" bestFit="1" customWidth="1"/>
    <col min="5908" max="5908" width="9" style="207" customWidth="1"/>
    <col min="5909" max="5909" width="9" style="207"/>
    <col min="5910" max="5910" width="9" style="207" customWidth="1"/>
    <col min="5911" max="5916" width="9" style="207"/>
    <col min="5917" max="5917" width="26.5" style="207" customWidth="1"/>
    <col min="5918" max="5920" width="9" style="207"/>
    <col min="5921" max="5921" width="14.75" style="207" bestFit="1" customWidth="1"/>
    <col min="5922" max="6144" width="9" style="207"/>
    <col min="6145" max="6147" width="9" style="207" customWidth="1"/>
    <col min="6148" max="6148" width="10.5" style="207" customWidth="1"/>
    <col min="6149" max="6149" width="11.25" style="207" bestFit="1" customWidth="1"/>
    <col min="6150" max="6151" width="9" style="207"/>
    <col min="6152" max="6161" width="9" style="207" customWidth="1"/>
    <col min="6162" max="6162" width="9" style="207"/>
    <col min="6163" max="6163" width="9.5" style="207" bestFit="1" customWidth="1"/>
    <col min="6164" max="6164" width="9" style="207" customWidth="1"/>
    <col min="6165" max="6165" width="9" style="207"/>
    <col min="6166" max="6166" width="9" style="207" customWidth="1"/>
    <col min="6167" max="6172" width="9" style="207"/>
    <col min="6173" max="6173" width="26.5" style="207" customWidth="1"/>
    <col min="6174" max="6176" width="9" style="207"/>
    <col min="6177" max="6177" width="14.75" style="207" bestFit="1" customWidth="1"/>
    <col min="6178" max="6400" width="9" style="207"/>
    <col min="6401" max="6403" width="9" style="207" customWidth="1"/>
    <col min="6404" max="6404" width="10.5" style="207" customWidth="1"/>
    <col min="6405" max="6405" width="11.25" style="207" bestFit="1" customWidth="1"/>
    <col min="6406" max="6407" width="9" style="207"/>
    <col min="6408" max="6417" width="9" style="207" customWidth="1"/>
    <col min="6418" max="6418" width="9" style="207"/>
    <col min="6419" max="6419" width="9.5" style="207" bestFit="1" customWidth="1"/>
    <col min="6420" max="6420" width="9" style="207" customWidth="1"/>
    <col min="6421" max="6421" width="9" style="207"/>
    <col min="6422" max="6422" width="9" style="207" customWidth="1"/>
    <col min="6423" max="6428" width="9" style="207"/>
    <col min="6429" max="6429" width="26.5" style="207" customWidth="1"/>
    <col min="6430" max="6432" width="9" style="207"/>
    <col min="6433" max="6433" width="14.75" style="207" bestFit="1" customWidth="1"/>
    <col min="6434" max="6656" width="9" style="207"/>
    <col min="6657" max="6659" width="9" style="207" customWidth="1"/>
    <col min="6660" max="6660" width="10.5" style="207" customWidth="1"/>
    <col min="6661" max="6661" width="11.25" style="207" bestFit="1" customWidth="1"/>
    <col min="6662" max="6663" width="9" style="207"/>
    <col min="6664" max="6673" width="9" style="207" customWidth="1"/>
    <col min="6674" max="6674" width="9" style="207"/>
    <col min="6675" max="6675" width="9.5" style="207" bestFit="1" customWidth="1"/>
    <col min="6676" max="6676" width="9" style="207" customWidth="1"/>
    <col min="6677" max="6677" width="9" style="207"/>
    <col min="6678" max="6678" width="9" style="207" customWidth="1"/>
    <col min="6679" max="6684" width="9" style="207"/>
    <col min="6685" max="6685" width="26.5" style="207" customWidth="1"/>
    <col min="6686" max="6688" width="9" style="207"/>
    <col min="6689" max="6689" width="14.75" style="207" bestFit="1" customWidth="1"/>
    <col min="6690" max="6912" width="9" style="207"/>
    <col min="6913" max="6915" width="9" style="207" customWidth="1"/>
    <col min="6916" max="6916" width="10.5" style="207" customWidth="1"/>
    <col min="6917" max="6917" width="11.25" style="207" bestFit="1" customWidth="1"/>
    <col min="6918" max="6919" width="9" style="207"/>
    <col min="6920" max="6929" width="9" style="207" customWidth="1"/>
    <col min="6930" max="6930" width="9" style="207"/>
    <col min="6931" max="6931" width="9.5" style="207" bestFit="1" customWidth="1"/>
    <col min="6932" max="6932" width="9" style="207" customWidth="1"/>
    <col min="6933" max="6933" width="9" style="207"/>
    <col min="6934" max="6934" width="9" style="207" customWidth="1"/>
    <col min="6935" max="6940" width="9" style="207"/>
    <col min="6941" max="6941" width="26.5" style="207" customWidth="1"/>
    <col min="6942" max="6944" width="9" style="207"/>
    <col min="6945" max="6945" width="14.75" style="207" bestFit="1" customWidth="1"/>
    <col min="6946" max="7168" width="9" style="207"/>
    <col min="7169" max="7171" width="9" style="207" customWidth="1"/>
    <col min="7172" max="7172" width="10.5" style="207" customWidth="1"/>
    <col min="7173" max="7173" width="11.25" style="207" bestFit="1" customWidth="1"/>
    <col min="7174" max="7175" width="9" style="207"/>
    <col min="7176" max="7185" width="9" style="207" customWidth="1"/>
    <col min="7186" max="7186" width="9" style="207"/>
    <col min="7187" max="7187" width="9.5" style="207" bestFit="1" customWidth="1"/>
    <col min="7188" max="7188" width="9" style="207" customWidth="1"/>
    <col min="7189" max="7189" width="9" style="207"/>
    <col min="7190" max="7190" width="9" style="207" customWidth="1"/>
    <col min="7191" max="7196" width="9" style="207"/>
    <col min="7197" max="7197" width="26.5" style="207" customWidth="1"/>
    <col min="7198" max="7200" width="9" style="207"/>
    <col min="7201" max="7201" width="14.75" style="207" bestFit="1" customWidth="1"/>
    <col min="7202" max="7424" width="9" style="207"/>
    <col min="7425" max="7427" width="9" style="207" customWidth="1"/>
    <col min="7428" max="7428" width="10.5" style="207" customWidth="1"/>
    <col min="7429" max="7429" width="11.25" style="207" bestFit="1" customWidth="1"/>
    <col min="7430" max="7431" width="9" style="207"/>
    <col min="7432" max="7441" width="9" style="207" customWidth="1"/>
    <col min="7442" max="7442" width="9" style="207"/>
    <col min="7443" max="7443" width="9.5" style="207" bestFit="1" customWidth="1"/>
    <col min="7444" max="7444" width="9" style="207" customWidth="1"/>
    <col min="7445" max="7445" width="9" style="207"/>
    <col min="7446" max="7446" width="9" style="207" customWidth="1"/>
    <col min="7447" max="7452" width="9" style="207"/>
    <col min="7453" max="7453" width="26.5" style="207" customWidth="1"/>
    <col min="7454" max="7456" width="9" style="207"/>
    <col min="7457" max="7457" width="14.75" style="207" bestFit="1" customWidth="1"/>
    <col min="7458" max="7680" width="9" style="207"/>
    <col min="7681" max="7683" width="9" style="207" customWidth="1"/>
    <col min="7684" max="7684" width="10.5" style="207" customWidth="1"/>
    <col min="7685" max="7685" width="11.25" style="207" bestFit="1" customWidth="1"/>
    <col min="7686" max="7687" width="9" style="207"/>
    <col min="7688" max="7697" width="9" style="207" customWidth="1"/>
    <col min="7698" max="7698" width="9" style="207"/>
    <col min="7699" max="7699" width="9.5" style="207" bestFit="1" customWidth="1"/>
    <col min="7700" max="7700" width="9" style="207" customWidth="1"/>
    <col min="7701" max="7701" width="9" style="207"/>
    <col min="7702" max="7702" width="9" style="207" customWidth="1"/>
    <col min="7703" max="7708" width="9" style="207"/>
    <col min="7709" max="7709" width="26.5" style="207" customWidth="1"/>
    <col min="7710" max="7712" width="9" style="207"/>
    <col min="7713" max="7713" width="14.75" style="207" bestFit="1" customWidth="1"/>
    <col min="7714" max="7936" width="9" style="207"/>
    <col min="7937" max="7939" width="9" style="207" customWidth="1"/>
    <col min="7940" max="7940" width="10.5" style="207" customWidth="1"/>
    <col min="7941" max="7941" width="11.25" style="207" bestFit="1" customWidth="1"/>
    <col min="7942" max="7943" width="9" style="207"/>
    <col min="7944" max="7953" width="9" style="207" customWidth="1"/>
    <col min="7954" max="7954" width="9" style="207"/>
    <col min="7955" max="7955" width="9.5" style="207" bestFit="1" customWidth="1"/>
    <col min="7956" max="7956" width="9" style="207" customWidth="1"/>
    <col min="7957" max="7957" width="9" style="207"/>
    <col min="7958" max="7958" width="9" style="207" customWidth="1"/>
    <col min="7959" max="7964" width="9" style="207"/>
    <col min="7965" max="7965" width="26.5" style="207" customWidth="1"/>
    <col min="7966" max="7968" width="9" style="207"/>
    <col min="7969" max="7969" width="14.75" style="207" bestFit="1" customWidth="1"/>
    <col min="7970" max="8192" width="9" style="207"/>
    <col min="8193" max="8195" width="9" style="207" customWidth="1"/>
    <col min="8196" max="8196" width="10.5" style="207" customWidth="1"/>
    <col min="8197" max="8197" width="11.25" style="207" bestFit="1" customWidth="1"/>
    <col min="8198" max="8199" width="9" style="207"/>
    <col min="8200" max="8209" width="9" style="207" customWidth="1"/>
    <col min="8210" max="8210" width="9" style="207"/>
    <col min="8211" max="8211" width="9.5" style="207" bestFit="1" customWidth="1"/>
    <col min="8212" max="8212" width="9" style="207" customWidth="1"/>
    <col min="8213" max="8213" width="9" style="207"/>
    <col min="8214" max="8214" width="9" style="207" customWidth="1"/>
    <col min="8215" max="8220" width="9" style="207"/>
    <col min="8221" max="8221" width="26.5" style="207" customWidth="1"/>
    <col min="8222" max="8224" width="9" style="207"/>
    <col min="8225" max="8225" width="14.75" style="207" bestFit="1" customWidth="1"/>
    <col min="8226" max="8448" width="9" style="207"/>
    <col min="8449" max="8451" width="9" style="207" customWidth="1"/>
    <col min="8452" max="8452" width="10.5" style="207" customWidth="1"/>
    <col min="8453" max="8453" width="11.25" style="207" bestFit="1" customWidth="1"/>
    <col min="8454" max="8455" width="9" style="207"/>
    <col min="8456" max="8465" width="9" style="207" customWidth="1"/>
    <col min="8466" max="8466" width="9" style="207"/>
    <col min="8467" max="8467" width="9.5" style="207" bestFit="1" customWidth="1"/>
    <col min="8468" max="8468" width="9" style="207" customWidth="1"/>
    <col min="8469" max="8469" width="9" style="207"/>
    <col min="8470" max="8470" width="9" style="207" customWidth="1"/>
    <col min="8471" max="8476" width="9" style="207"/>
    <col min="8477" max="8477" width="26.5" style="207" customWidth="1"/>
    <col min="8478" max="8480" width="9" style="207"/>
    <col min="8481" max="8481" width="14.75" style="207" bestFit="1" customWidth="1"/>
    <col min="8482" max="8704" width="9" style="207"/>
    <col min="8705" max="8707" width="9" style="207" customWidth="1"/>
    <col min="8708" max="8708" width="10.5" style="207" customWidth="1"/>
    <col min="8709" max="8709" width="11.25" style="207" bestFit="1" customWidth="1"/>
    <col min="8710" max="8711" width="9" style="207"/>
    <col min="8712" max="8721" width="9" style="207" customWidth="1"/>
    <col min="8722" max="8722" width="9" style="207"/>
    <col min="8723" max="8723" width="9.5" style="207" bestFit="1" customWidth="1"/>
    <col min="8724" max="8724" width="9" style="207" customWidth="1"/>
    <col min="8725" max="8725" width="9" style="207"/>
    <col min="8726" max="8726" width="9" style="207" customWidth="1"/>
    <col min="8727" max="8732" width="9" style="207"/>
    <col min="8733" max="8733" width="26.5" style="207" customWidth="1"/>
    <col min="8734" max="8736" width="9" style="207"/>
    <col min="8737" max="8737" width="14.75" style="207" bestFit="1" customWidth="1"/>
    <col min="8738" max="8960" width="9" style="207"/>
    <col min="8961" max="8963" width="9" style="207" customWidth="1"/>
    <col min="8964" max="8964" width="10.5" style="207" customWidth="1"/>
    <col min="8965" max="8965" width="11.25" style="207" bestFit="1" customWidth="1"/>
    <col min="8966" max="8967" width="9" style="207"/>
    <col min="8968" max="8977" width="9" style="207" customWidth="1"/>
    <col min="8978" max="8978" width="9" style="207"/>
    <col min="8979" max="8979" width="9.5" style="207" bestFit="1" customWidth="1"/>
    <col min="8980" max="8980" width="9" style="207" customWidth="1"/>
    <col min="8981" max="8981" width="9" style="207"/>
    <col min="8982" max="8982" width="9" style="207" customWidth="1"/>
    <col min="8983" max="8988" width="9" style="207"/>
    <col min="8989" max="8989" width="26.5" style="207" customWidth="1"/>
    <col min="8990" max="8992" width="9" style="207"/>
    <col min="8993" max="8993" width="14.75" style="207" bestFit="1" customWidth="1"/>
    <col min="8994" max="9216" width="9" style="207"/>
    <col min="9217" max="9219" width="9" style="207" customWidth="1"/>
    <col min="9220" max="9220" width="10.5" style="207" customWidth="1"/>
    <col min="9221" max="9221" width="11.25" style="207" bestFit="1" customWidth="1"/>
    <col min="9222" max="9223" width="9" style="207"/>
    <col min="9224" max="9233" width="9" style="207" customWidth="1"/>
    <col min="9234" max="9234" width="9" style="207"/>
    <col min="9235" max="9235" width="9.5" style="207" bestFit="1" customWidth="1"/>
    <col min="9236" max="9236" width="9" style="207" customWidth="1"/>
    <col min="9237" max="9237" width="9" style="207"/>
    <col min="9238" max="9238" width="9" style="207" customWidth="1"/>
    <col min="9239" max="9244" width="9" style="207"/>
    <col min="9245" max="9245" width="26.5" style="207" customWidth="1"/>
    <col min="9246" max="9248" width="9" style="207"/>
    <col min="9249" max="9249" width="14.75" style="207" bestFit="1" customWidth="1"/>
    <col min="9250" max="9472" width="9" style="207"/>
    <col min="9473" max="9475" width="9" style="207" customWidth="1"/>
    <col min="9476" max="9476" width="10.5" style="207" customWidth="1"/>
    <col min="9477" max="9477" width="11.25" style="207" bestFit="1" customWidth="1"/>
    <col min="9478" max="9479" width="9" style="207"/>
    <col min="9480" max="9489" width="9" style="207" customWidth="1"/>
    <col min="9490" max="9490" width="9" style="207"/>
    <col min="9491" max="9491" width="9.5" style="207" bestFit="1" customWidth="1"/>
    <col min="9492" max="9492" width="9" style="207" customWidth="1"/>
    <col min="9493" max="9493" width="9" style="207"/>
    <col min="9494" max="9494" width="9" style="207" customWidth="1"/>
    <col min="9495" max="9500" width="9" style="207"/>
    <col min="9501" max="9501" width="26.5" style="207" customWidth="1"/>
    <col min="9502" max="9504" width="9" style="207"/>
    <col min="9505" max="9505" width="14.75" style="207" bestFit="1" customWidth="1"/>
    <col min="9506" max="9728" width="9" style="207"/>
    <col min="9729" max="9731" width="9" style="207" customWidth="1"/>
    <col min="9732" max="9732" width="10.5" style="207" customWidth="1"/>
    <col min="9733" max="9733" width="11.25" style="207" bestFit="1" customWidth="1"/>
    <col min="9734" max="9735" width="9" style="207"/>
    <col min="9736" max="9745" width="9" style="207" customWidth="1"/>
    <col min="9746" max="9746" width="9" style="207"/>
    <col min="9747" max="9747" width="9.5" style="207" bestFit="1" customWidth="1"/>
    <col min="9748" max="9748" width="9" style="207" customWidth="1"/>
    <col min="9749" max="9749" width="9" style="207"/>
    <col min="9750" max="9750" width="9" style="207" customWidth="1"/>
    <col min="9751" max="9756" width="9" style="207"/>
    <col min="9757" max="9757" width="26.5" style="207" customWidth="1"/>
    <col min="9758" max="9760" width="9" style="207"/>
    <col min="9761" max="9761" width="14.75" style="207" bestFit="1" customWidth="1"/>
    <col min="9762" max="9984" width="9" style="207"/>
    <col min="9985" max="9987" width="9" style="207" customWidth="1"/>
    <col min="9988" max="9988" width="10.5" style="207" customWidth="1"/>
    <col min="9989" max="9989" width="11.25" style="207" bestFit="1" customWidth="1"/>
    <col min="9990" max="9991" width="9" style="207"/>
    <col min="9992" max="10001" width="9" style="207" customWidth="1"/>
    <col min="10002" max="10002" width="9" style="207"/>
    <col min="10003" max="10003" width="9.5" style="207" bestFit="1" customWidth="1"/>
    <col min="10004" max="10004" width="9" style="207" customWidth="1"/>
    <col min="10005" max="10005" width="9" style="207"/>
    <col min="10006" max="10006" width="9" style="207" customWidth="1"/>
    <col min="10007" max="10012" width="9" style="207"/>
    <col min="10013" max="10013" width="26.5" style="207" customWidth="1"/>
    <col min="10014" max="10016" width="9" style="207"/>
    <col min="10017" max="10017" width="14.75" style="207" bestFit="1" customWidth="1"/>
    <col min="10018" max="10240" width="9" style="207"/>
    <col min="10241" max="10243" width="9" style="207" customWidth="1"/>
    <col min="10244" max="10244" width="10.5" style="207" customWidth="1"/>
    <col min="10245" max="10245" width="11.25" style="207" bestFit="1" customWidth="1"/>
    <col min="10246" max="10247" width="9" style="207"/>
    <col min="10248" max="10257" width="9" style="207" customWidth="1"/>
    <col min="10258" max="10258" width="9" style="207"/>
    <col min="10259" max="10259" width="9.5" style="207" bestFit="1" customWidth="1"/>
    <col min="10260" max="10260" width="9" style="207" customWidth="1"/>
    <col min="10261" max="10261" width="9" style="207"/>
    <col min="10262" max="10262" width="9" style="207" customWidth="1"/>
    <col min="10263" max="10268" width="9" style="207"/>
    <col min="10269" max="10269" width="26.5" style="207" customWidth="1"/>
    <col min="10270" max="10272" width="9" style="207"/>
    <col min="10273" max="10273" width="14.75" style="207" bestFit="1" customWidth="1"/>
    <col min="10274" max="10496" width="9" style="207"/>
    <col min="10497" max="10499" width="9" style="207" customWidth="1"/>
    <col min="10500" max="10500" width="10.5" style="207" customWidth="1"/>
    <col min="10501" max="10501" width="11.25" style="207" bestFit="1" customWidth="1"/>
    <col min="10502" max="10503" width="9" style="207"/>
    <col min="10504" max="10513" width="9" style="207" customWidth="1"/>
    <col min="10514" max="10514" width="9" style="207"/>
    <col min="10515" max="10515" width="9.5" style="207" bestFit="1" customWidth="1"/>
    <col min="10516" max="10516" width="9" style="207" customWidth="1"/>
    <col min="10517" max="10517" width="9" style="207"/>
    <col min="10518" max="10518" width="9" style="207" customWidth="1"/>
    <col min="10519" max="10524" width="9" style="207"/>
    <col min="10525" max="10525" width="26.5" style="207" customWidth="1"/>
    <col min="10526" max="10528" width="9" style="207"/>
    <col min="10529" max="10529" width="14.75" style="207" bestFit="1" customWidth="1"/>
    <col min="10530" max="10752" width="9" style="207"/>
    <col min="10753" max="10755" width="9" style="207" customWidth="1"/>
    <col min="10756" max="10756" width="10.5" style="207" customWidth="1"/>
    <col min="10757" max="10757" width="11.25" style="207" bestFit="1" customWidth="1"/>
    <col min="10758" max="10759" width="9" style="207"/>
    <col min="10760" max="10769" width="9" style="207" customWidth="1"/>
    <col min="10770" max="10770" width="9" style="207"/>
    <col min="10771" max="10771" width="9.5" style="207" bestFit="1" customWidth="1"/>
    <col min="10772" max="10772" width="9" style="207" customWidth="1"/>
    <col min="10773" max="10773" width="9" style="207"/>
    <col min="10774" max="10774" width="9" style="207" customWidth="1"/>
    <col min="10775" max="10780" width="9" style="207"/>
    <col min="10781" max="10781" width="26.5" style="207" customWidth="1"/>
    <col min="10782" max="10784" width="9" style="207"/>
    <col min="10785" max="10785" width="14.75" style="207" bestFit="1" customWidth="1"/>
    <col min="10786" max="11008" width="9" style="207"/>
    <col min="11009" max="11011" width="9" style="207" customWidth="1"/>
    <col min="11012" max="11012" width="10.5" style="207" customWidth="1"/>
    <col min="11013" max="11013" width="11.25" style="207" bestFit="1" customWidth="1"/>
    <col min="11014" max="11015" width="9" style="207"/>
    <col min="11016" max="11025" width="9" style="207" customWidth="1"/>
    <col min="11026" max="11026" width="9" style="207"/>
    <col min="11027" max="11027" width="9.5" style="207" bestFit="1" customWidth="1"/>
    <col min="11028" max="11028" width="9" style="207" customWidth="1"/>
    <col min="11029" max="11029" width="9" style="207"/>
    <col min="11030" max="11030" width="9" style="207" customWidth="1"/>
    <col min="11031" max="11036" width="9" style="207"/>
    <col min="11037" max="11037" width="26.5" style="207" customWidth="1"/>
    <col min="11038" max="11040" width="9" style="207"/>
    <col min="11041" max="11041" width="14.75" style="207" bestFit="1" customWidth="1"/>
    <col min="11042" max="11264" width="9" style="207"/>
    <col min="11265" max="11267" width="9" style="207" customWidth="1"/>
    <col min="11268" max="11268" width="10.5" style="207" customWidth="1"/>
    <col min="11269" max="11269" width="11.25" style="207" bestFit="1" customWidth="1"/>
    <col min="11270" max="11271" width="9" style="207"/>
    <col min="11272" max="11281" width="9" style="207" customWidth="1"/>
    <col min="11282" max="11282" width="9" style="207"/>
    <col min="11283" max="11283" width="9.5" style="207" bestFit="1" customWidth="1"/>
    <col min="11284" max="11284" width="9" style="207" customWidth="1"/>
    <col min="11285" max="11285" width="9" style="207"/>
    <col min="11286" max="11286" width="9" style="207" customWidth="1"/>
    <col min="11287" max="11292" width="9" style="207"/>
    <col min="11293" max="11293" width="26.5" style="207" customWidth="1"/>
    <col min="11294" max="11296" width="9" style="207"/>
    <col min="11297" max="11297" width="14.75" style="207" bestFit="1" customWidth="1"/>
    <col min="11298" max="11520" width="9" style="207"/>
    <col min="11521" max="11523" width="9" style="207" customWidth="1"/>
    <col min="11524" max="11524" width="10.5" style="207" customWidth="1"/>
    <col min="11525" max="11525" width="11.25" style="207" bestFit="1" customWidth="1"/>
    <col min="11526" max="11527" width="9" style="207"/>
    <col min="11528" max="11537" width="9" style="207" customWidth="1"/>
    <col min="11538" max="11538" width="9" style="207"/>
    <col min="11539" max="11539" width="9.5" style="207" bestFit="1" customWidth="1"/>
    <col min="11540" max="11540" width="9" style="207" customWidth="1"/>
    <col min="11541" max="11541" width="9" style="207"/>
    <col min="11542" max="11542" width="9" style="207" customWidth="1"/>
    <col min="11543" max="11548" width="9" style="207"/>
    <col min="11549" max="11549" width="26.5" style="207" customWidth="1"/>
    <col min="11550" max="11552" width="9" style="207"/>
    <col min="11553" max="11553" width="14.75" style="207" bestFit="1" customWidth="1"/>
    <col min="11554" max="11776" width="9" style="207"/>
    <col min="11777" max="11779" width="9" style="207" customWidth="1"/>
    <col min="11780" max="11780" width="10.5" style="207" customWidth="1"/>
    <col min="11781" max="11781" width="11.25" style="207" bestFit="1" customWidth="1"/>
    <col min="11782" max="11783" width="9" style="207"/>
    <col min="11784" max="11793" width="9" style="207" customWidth="1"/>
    <col min="11794" max="11794" width="9" style="207"/>
    <col min="11795" max="11795" width="9.5" style="207" bestFit="1" customWidth="1"/>
    <col min="11796" max="11796" width="9" style="207" customWidth="1"/>
    <col min="11797" max="11797" width="9" style="207"/>
    <col min="11798" max="11798" width="9" style="207" customWidth="1"/>
    <col min="11799" max="11804" width="9" style="207"/>
    <col min="11805" max="11805" width="26.5" style="207" customWidth="1"/>
    <col min="11806" max="11808" width="9" style="207"/>
    <col min="11809" max="11809" width="14.75" style="207" bestFit="1" customWidth="1"/>
    <col min="11810" max="12032" width="9" style="207"/>
    <col min="12033" max="12035" width="9" style="207" customWidth="1"/>
    <col min="12036" max="12036" width="10.5" style="207" customWidth="1"/>
    <col min="12037" max="12037" width="11.25" style="207" bestFit="1" customWidth="1"/>
    <col min="12038" max="12039" width="9" style="207"/>
    <col min="12040" max="12049" width="9" style="207" customWidth="1"/>
    <col min="12050" max="12050" width="9" style="207"/>
    <col min="12051" max="12051" width="9.5" style="207" bestFit="1" customWidth="1"/>
    <col min="12052" max="12052" width="9" style="207" customWidth="1"/>
    <col min="12053" max="12053" width="9" style="207"/>
    <col min="12054" max="12054" width="9" style="207" customWidth="1"/>
    <col min="12055" max="12060" width="9" style="207"/>
    <col min="12061" max="12061" width="26.5" style="207" customWidth="1"/>
    <col min="12062" max="12064" width="9" style="207"/>
    <col min="12065" max="12065" width="14.75" style="207" bestFit="1" customWidth="1"/>
    <col min="12066" max="12288" width="9" style="207"/>
    <col min="12289" max="12291" width="9" style="207" customWidth="1"/>
    <col min="12292" max="12292" width="10.5" style="207" customWidth="1"/>
    <col min="12293" max="12293" width="11.25" style="207" bestFit="1" customWidth="1"/>
    <col min="12294" max="12295" width="9" style="207"/>
    <col min="12296" max="12305" width="9" style="207" customWidth="1"/>
    <col min="12306" max="12306" width="9" style="207"/>
    <col min="12307" max="12307" width="9.5" style="207" bestFit="1" customWidth="1"/>
    <col min="12308" max="12308" width="9" style="207" customWidth="1"/>
    <col min="12309" max="12309" width="9" style="207"/>
    <col min="12310" max="12310" width="9" style="207" customWidth="1"/>
    <col min="12311" max="12316" width="9" style="207"/>
    <col min="12317" max="12317" width="26.5" style="207" customWidth="1"/>
    <col min="12318" max="12320" width="9" style="207"/>
    <col min="12321" max="12321" width="14.75" style="207" bestFit="1" customWidth="1"/>
    <col min="12322" max="12544" width="9" style="207"/>
    <col min="12545" max="12547" width="9" style="207" customWidth="1"/>
    <col min="12548" max="12548" width="10.5" style="207" customWidth="1"/>
    <col min="12549" max="12549" width="11.25" style="207" bestFit="1" customWidth="1"/>
    <col min="12550" max="12551" width="9" style="207"/>
    <col min="12552" max="12561" width="9" style="207" customWidth="1"/>
    <col min="12562" max="12562" width="9" style="207"/>
    <col min="12563" max="12563" width="9.5" style="207" bestFit="1" customWidth="1"/>
    <col min="12564" max="12564" width="9" style="207" customWidth="1"/>
    <col min="12565" max="12565" width="9" style="207"/>
    <col min="12566" max="12566" width="9" style="207" customWidth="1"/>
    <col min="12567" max="12572" width="9" style="207"/>
    <col min="12573" max="12573" width="26.5" style="207" customWidth="1"/>
    <col min="12574" max="12576" width="9" style="207"/>
    <col min="12577" max="12577" width="14.75" style="207" bestFit="1" customWidth="1"/>
    <col min="12578" max="12800" width="9" style="207"/>
    <col min="12801" max="12803" width="9" style="207" customWidth="1"/>
    <col min="12804" max="12804" width="10.5" style="207" customWidth="1"/>
    <col min="12805" max="12805" width="11.25" style="207" bestFit="1" customWidth="1"/>
    <col min="12806" max="12807" width="9" style="207"/>
    <col min="12808" max="12817" width="9" style="207" customWidth="1"/>
    <col min="12818" max="12818" width="9" style="207"/>
    <col min="12819" max="12819" width="9.5" style="207" bestFit="1" customWidth="1"/>
    <col min="12820" max="12820" width="9" style="207" customWidth="1"/>
    <col min="12821" max="12821" width="9" style="207"/>
    <col min="12822" max="12822" width="9" style="207" customWidth="1"/>
    <col min="12823" max="12828" width="9" style="207"/>
    <col min="12829" max="12829" width="26.5" style="207" customWidth="1"/>
    <col min="12830" max="12832" width="9" style="207"/>
    <col min="12833" max="12833" width="14.75" style="207" bestFit="1" customWidth="1"/>
    <col min="12834" max="13056" width="9" style="207"/>
    <col min="13057" max="13059" width="9" style="207" customWidth="1"/>
    <col min="13060" max="13060" width="10.5" style="207" customWidth="1"/>
    <col min="13061" max="13061" width="11.25" style="207" bestFit="1" customWidth="1"/>
    <col min="13062" max="13063" width="9" style="207"/>
    <col min="13064" max="13073" width="9" style="207" customWidth="1"/>
    <col min="13074" max="13074" width="9" style="207"/>
    <col min="13075" max="13075" width="9.5" style="207" bestFit="1" customWidth="1"/>
    <col min="13076" max="13076" width="9" style="207" customWidth="1"/>
    <col min="13077" max="13077" width="9" style="207"/>
    <col min="13078" max="13078" width="9" style="207" customWidth="1"/>
    <col min="13079" max="13084" width="9" style="207"/>
    <col min="13085" max="13085" width="26.5" style="207" customWidth="1"/>
    <col min="13086" max="13088" width="9" style="207"/>
    <col min="13089" max="13089" width="14.75" style="207" bestFit="1" customWidth="1"/>
    <col min="13090" max="13312" width="9" style="207"/>
    <col min="13313" max="13315" width="9" style="207" customWidth="1"/>
    <col min="13316" max="13316" width="10.5" style="207" customWidth="1"/>
    <col min="13317" max="13317" width="11.25" style="207" bestFit="1" customWidth="1"/>
    <col min="13318" max="13319" width="9" style="207"/>
    <col min="13320" max="13329" width="9" style="207" customWidth="1"/>
    <col min="13330" max="13330" width="9" style="207"/>
    <col min="13331" max="13331" width="9.5" style="207" bestFit="1" customWidth="1"/>
    <col min="13332" max="13332" width="9" style="207" customWidth="1"/>
    <col min="13333" max="13333" width="9" style="207"/>
    <col min="13334" max="13334" width="9" style="207" customWidth="1"/>
    <col min="13335" max="13340" width="9" style="207"/>
    <col min="13341" max="13341" width="26.5" style="207" customWidth="1"/>
    <col min="13342" max="13344" width="9" style="207"/>
    <col min="13345" max="13345" width="14.75" style="207" bestFit="1" customWidth="1"/>
    <col min="13346" max="13568" width="9" style="207"/>
    <col min="13569" max="13571" width="9" style="207" customWidth="1"/>
    <col min="13572" max="13572" width="10.5" style="207" customWidth="1"/>
    <col min="13573" max="13573" width="11.25" style="207" bestFit="1" customWidth="1"/>
    <col min="13574" max="13575" width="9" style="207"/>
    <col min="13576" max="13585" width="9" style="207" customWidth="1"/>
    <col min="13586" max="13586" width="9" style="207"/>
    <col min="13587" max="13587" width="9.5" style="207" bestFit="1" customWidth="1"/>
    <col min="13588" max="13588" width="9" style="207" customWidth="1"/>
    <col min="13589" max="13589" width="9" style="207"/>
    <col min="13590" max="13590" width="9" style="207" customWidth="1"/>
    <col min="13591" max="13596" width="9" style="207"/>
    <col min="13597" max="13597" width="26.5" style="207" customWidth="1"/>
    <col min="13598" max="13600" width="9" style="207"/>
    <col min="13601" max="13601" width="14.75" style="207" bestFit="1" customWidth="1"/>
    <col min="13602" max="13824" width="9" style="207"/>
    <col min="13825" max="13827" width="9" style="207" customWidth="1"/>
    <col min="13828" max="13828" width="10.5" style="207" customWidth="1"/>
    <col min="13829" max="13829" width="11.25" style="207" bestFit="1" customWidth="1"/>
    <col min="13830" max="13831" width="9" style="207"/>
    <col min="13832" max="13841" width="9" style="207" customWidth="1"/>
    <col min="13842" max="13842" width="9" style="207"/>
    <col min="13843" max="13843" width="9.5" style="207" bestFit="1" customWidth="1"/>
    <col min="13844" max="13844" width="9" style="207" customWidth="1"/>
    <col min="13845" max="13845" width="9" style="207"/>
    <col min="13846" max="13846" width="9" style="207" customWidth="1"/>
    <col min="13847" max="13852" width="9" style="207"/>
    <col min="13853" max="13853" width="26.5" style="207" customWidth="1"/>
    <col min="13854" max="13856" width="9" style="207"/>
    <col min="13857" max="13857" width="14.75" style="207" bestFit="1" customWidth="1"/>
    <col min="13858" max="14080" width="9" style="207"/>
    <col min="14081" max="14083" width="9" style="207" customWidth="1"/>
    <col min="14084" max="14084" width="10.5" style="207" customWidth="1"/>
    <col min="14085" max="14085" width="11.25" style="207" bestFit="1" customWidth="1"/>
    <col min="14086" max="14087" width="9" style="207"/>
    <col min="14088" max="14097" width="9" style="207" customWidth="1"/>
    <col min="14098" max="14098" width="9" style="207"/>
    <col min="14099" max="14099" width="9.5" style="207" bestFit="1" customWidth="1"/>
    <col min="14100" max="14100" width="9" style="207" customWidth="1"/>
    <col min="14101" max="14101" width="9" style="207"/>
    <col min="14102" max="14102" width="9" style="207" customWidth="1"/>
    <col min="14103" max="14108" width="9" style="207"/>
    <col min="14109" max="14109" width="26.5" style="207" customWidth="1"/>
    <col min="14110" max="14112" width="9" style="207"/>
    <col min="14113" max="14113" width="14.75" style="207" bestFit="1" customWidth="1"/>
    <col min="14114" max="14336" width="9" style="207"/>
    <col min="14337" max="14339" width="9" style="207" customWidth="1"/>
    <col min="14340" max="14340" width="10.5" style="207" customWidth="1"/>
    <col min="14341" max="14341" width="11.25" style="207" bestFit="1" customWidth="1"/>
    <col min="14342" max="14343" width="9" style="207"/>
    <col min="14344" max="14353" width="9" style="207" customWidth="1"/>
    <col min="14354" max="14354" width="9" style="207"/>
    <col min="14355" max="14355" width="9.5" style="207" bestFit="1" customWidth="1"/>
    <col min="14356" max="14356" width="9" style="207" customWidth="1"/>
    <col min="14357" max="14357" width="9" style="207"/>
    <col min="14358" max="14358" width="9" style="207" customWidth="1"/>
    <col min="14359" max="14364" width="9" style="207"/>
    <col min="14365" max="14365" width="26.5" style="207" customWidth="1"/>
    <col min="14366" max="14368" width="9" style="207"/>
    <col min="14369" max="14369" width="14.75" style="207" bestFit="1" customWidth="1"/>
    <col min="14370" max="14592" width="9" style="207"/>
    <col min="14593" max="14595" width="9" style="207" customWidth="1"/>
    <col min="14596" max="14596" width="10.5" style="207" customWidth="1"/>
    <col min="14597" max="14597" width="11.25" style="207" bestFit="1" customWidth="1"/>
    <col min="14598" max="14599" width="9" style="207"/>
    <col min="14600" max="14609" width="9" style="207" customWidth="1"/>
    <col min="14610" max="14610" width="9" style="207"/>
    <col min="14611" max="14611" width="9.5" style="207" bestFit="1" customWidth="1"/>
    <col min="14612" max="14612" width="9" style="207" customWidth="1"/>
    <col min="14613" max="14613" width="9" style="207"/>
    <col min="14614" max="14614" width="9" style="207" customWidth="1"/>
    <col min="14615" max="14620" width="9" style="207"/>
    <col min="14621" max="14621" width="26.5" style="207" customWidth="1"/>
    <col min="14622" max="14624" width="9" style="207"/>
    <col min="14625" max="14625" width="14.75" style="207" bestFit="1" customWidth="1"/>
    <col min="14626" max="14848" width="9" style="207"/>
    <col min="14849" max="14851" width="9" style="207" customWidth="1"/>
    <col min="14852" max="14852" width="10.5" style="207" customWidth="1"/>
    <col min="14853" max="14853" width="11.25" style="207" bestFit="1" customWidth="1"/>
    <col min="14854" max="14855" width="9" style="207"/>
    <col min="14856" max="14865" width="9" style="207" customWidth="1"/>
    <col min="14866" max="14866" width="9" style="207"/>
    <col min="14867" max="14867" width="9.5" style="207" bestFit="1" customWidth="1"/>
    <col min="14868" max="14868" width="9" style="207" customWidth="1"/>
    <col min="14869" max="14869" width="9" style="207"/>
    <col min="14870" max="14870" width="9" style="207" customWidth="1"/>
    <col min="14871" max="14876" width="9" style="207"/>
    <col min="14877" max="14877" width="26.5" style="207" customWidth="1"/>
    <col min="14878" max="14880" width="9" style="207"/>
    <col min="14881" max="14881" width="14.75" style="207" bestFit="1" customWidth="1"/>
    <col min="14882" max="15104" width="9" style="207"/>
    <col min="15105" max="15107" width="9" style="207" customWidth="1"/>
    <col min="15108" max="15108" width="10.5" style="207" customWidth="1"/>
    <col min="15109" max="15109" width="11.25" style="207" bestFit="1" customWidth="1"/>
    <col min="15110" max="15111" width="9" style="207"/>
    <col min="15112" max="15121" width="9" style="207" customWidth="1"/>
    <col min="15122" max="15122" width="9" style="207"/>
    <col min="15123" max="15123" width="9.5" style="207" bestFit="1" customWidth="1"/>
    <col min="15124" max="15124" width="9" style="207" customWidth="1"/>
    <col min="15125" max="15125" width="9" style="207"/>
    <col min="15126" max="15126" width="9" style="207" customWidth="1"/>
    <col min="15127" max="15132" width="9" style="207"/>
    <col min="15133" max="15133" width="26.5" style="207" customWidth="1"/>
    <col min="15134" max="15136" width="9" style="207"/>
    <col min="15137" max="15137" width="14.75" style="207" bestFit="1" customWidth="1"/>
    <col min="15138" max="15360" width="9" style="207"/>
    <col min="15361" max="15363" width="9" style="207" customWidth="1"/>
    <col min="15364" max="15364" width="10.5" style="207" customWidth="1"/>
    <col min="15365" max="15365" width="11.25" style="207" bestFit="1" customWidth="1"/>
    <col min="15366" max="15367" width="9" style="207"/>
    <col min="15368" max="15377" width="9" style="207" customWidth="1"/>
    <col min="15378" max="15378" width="9" style="207"/>
    <col min="15379" max="15379" width="9.5" style="207" bestFit="1" customWidth="1"/>
    <col min="15380" max="15380" width="9" style="207" customWidth="1"/>
    <col min="15381" max="15381" width="9" style="207"/>
    <col min="15382" max="15382" width="9" style="207" customWidth="1"/>
    <col min="15383" max="15388" width="9" style="207"/>
    <col min="15389" max="15389" width="26.5" style="207" customWidth="1"/>
    <col min="15390" max="15392" width="9" style="207"/>
    <col min="15393" max="15393" width="14.75" style="207" bestFit="1" customWidth="1"/>
    <col min="15394" max="15616" width="9" style="207"/>
    <col min="15617" max="15619" width="9" style="207" customWidth="1"/>
    <col min="15620" max="15620" width="10.5" style="207" customWidth="1"/>
    <col min="15621" max="15621" width="11.25" style="207" bestFit="1" customWidth="1"/>
    <col min="15622" max="15623" width="9" style="207"/>
    <col min="15624" max="15633" width="9" style="207" customWidth="1"/>
    <col min="15634" max="15634" width="9" style="207"/>
    <col min="15635" max="15635" width="9.5" style="207" bestFit="1" customWidth="1"/>
    <col min="15636" max="15636" width="9" style="207" customWidth="1"/>
    <col min="15637" max="15637" width="9" style="207"/>
    <col min="15638" max="15638" width="9" style="207" customWidth="1"/>
    <col min="15639" max="15644" width="9" style="207"/>
    <col min="15645" max="15645" width="26.5" style="207" customWidth="1"/>
    <col min="15646" max="15648" width="9" style="207"/>
    <col min="15649" max="15649" width="14.75" style="207" bestFit="1" customWidth="1"/>
    <col min="15650" max="15872" width="9" style="207"/>
    <col min="15873" max="15875" width="9" style="207" customWidth="1"/>
    <col min="15876" max="15876" width="10.5" style="207" customWidth="1"/>
    <col min="15877" max="15877" width="11.25" style="207" bestFit="1" customWidth="1"/>
    <col min="15878" max="15879" width="9" style="207"/>
    <col min="15880" max="15889" width="9" style="207" customWidth="1"/>
    <col min="15890" max="15890" width="9" style="207"/>
    <col min="15891" max="15891" width="9.5" style="207" bestFit="1" customWidth="1"/>
    <col min="15892" max="15892" width="9" style="207" customWidth="1"/>
    <col min="15893" max="15893" width="9" style="207"/>
    <col min="15894" max="15894" width="9" style="207" customWidth="1"/>
    <col min="15895" max="15900" width="9" style="207"/>
    <col min="15901" max="15901" width="26.5" style="207" customWidth="1"/>
    <col min="15902" max="15904" width="9" style="207"/>
    <col min="15905" max="15905" width="14.75" style="207" bestFit="1" customWidth="1"/>
    <col min="15906" max="16128" width="9" style="207"/>
    <col min="16129" max="16131" width="9" style="207" customWidth="1"/>
    <col min="16132" max="16132" width="10.5" style="207" customWidth="1"/>
    <col min="16133" max="16133" width="11.25" style="207" bestFit="1" customWidth="1"/>
    <col min="16134" max="16135" width="9" style="207"/>
    <col min="16136" max="16145" width="9" style="207" customWidth="1"/>
    <col min="16146" max="16146" width="9" style="207"/>
    <col min="16147" max="16147" width="9.5" style="207" bestFit="1" customWidth="1"/>
    <col min="16148" max="16148" width="9" style="207" customWidth="1"/>
    <col min="16149" max="16149" width="9" style="207"/>
    <col min="16150" max="16150" width="9" style="207" customWidth="1"/>
    <col min="16151" max="16156" width="9" style="207"/>
    <col min="16157" max="16157" width="26.5" style="207" customWidth="1"/>
    <col min="16158" max="16160" width="9" style="207"/>
    <col min="16161" max="16161" width="14.75" style="207" bestFit="1" customWidth="1"/>
    <col min="16162" max="16384" width="9" style="207"/>
  </cols>
  <sheetData>
    <row r="1" spans="1:53" ht="44.25" customHeight="1" x14ac:dyDescent="0.15">
      <c r="A1" s="132" t="s">
        <v>403</v>
      </c>
      <c r="B1" s="201" t="s">
        <v>1</v>
      </c>
      <c r="C1" s="201" t="s">
        <v>404</v>
      </c>
      <c r="D1" s="202" t="s">
        <v>3</v>
      </c>
      <c r="E1" s="202" t="s">
        <v>405</v>
      </c>
      <c r="F1" s="202" t="s">
        <v>5</v>
      </c>
      <c r="G1" s="202" t="s">
        <v>6</v>
      </c>
      <c r="H1" s="202" t="s">
        <v>406</v>
      </c>
      <c r="I1" s="202" t="s">
        <v>8</v>
      </c>
      <c r="J1" s="202" t="s">
        <v>9</v>
      </c>
      <c r="K1" s="202" t="s">
        <v>10</v>
      </c>
      <c r="L1" s="202" t="s">
        <v>407</v>
      </c>
      <c r="M1" s="202" t="s">
        <v>12</v>
      </c>
      <c r="N1" s="202" t="s">
        <v>13</v>
      </c>
      <c r="O1" s="202" t="s">
        <v>408</v>
      </c>
      <c r="P1" s="202" t="s">
        <v>409</v>
      </c>
      <c r="Q1" s="203" t="s">
        <v>16</v>
      </c>
      <c r="R1" s="202" t="s">
        <v>410</v>
      </c>
      <c r="S1" s="202" t="s">
        <v>411</v>
      </c>
      <c r="T1" s="203" t="s">
        <v>19</v>
      </c>
      <c r="U1" s="204" t="s">
        <v>108</v>
      </c>
      <c r="V1" s="205" t="s">
        <v>20</v>
      </c>
      <c r="W1" s="202" t="s">
        <v>21</v>
      </c>
      <c r="X1" s="202" t="s">
        <v>22</v>
      </c>
      <c r="Y1" s="202" t="s">
        <v>23</v>
      </c>
      <c r="Z1" s="202" t="s">
        <v>24</v>
      </c>
      <c r="AA1" s="133" t="s">
        <v>25</v>
      </c>
      <c r="AB1" s="134" t="s">
        <v>412</v>
      </c>
      <c r="AC1" s="135"/>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413</v>
      </c>
      <c r="AY1" s="213" t="s">
        <v>414</v>
      </c>
      <c r="AZ1" s="213" t="s">
        <v>415</v>
      </c>
      <c r="BA1" s="214" t="s">
        <v>416</v>
      </c>
    </row>
    <row r="2" spans="1:53" s="142" customFormat="1" x14ac:dyDescent="0.15">
      <c r="A2" s="136" t="s">
        <v>61</v>
      </c>
      <c r="B2" s="136" t="s">
        <v>417</v>
      </c>
      <c r="C2" s="136">
        <v>2018</v>
      </c>
      <c r="D2" s="137" t="s">
        <v>418</v>
      </c>
      <c r="E2" s="136" t="s">
        <v>245</v>
      </c>
      <c r="F2" s="136" t="s">
        <v>244</v>
      </c>
      <c r="G2" s="136" t="s">
        <v>42</v>
      </c>
      <c r="H2" s="246" t="s">
        <v>155</v>
      </c>
      <c r="I2" s="246" t="s">
        <v>153</v>
      </c>
      <c r="J2" s="136" t="s">
        <v>38</v>
      </c>
      <c r="K2" s="246" t="s">
        <v>154</v>
      </c>
      <c r="L2" s="246">
        <v>1</v>
      </c>
      <c r="M2" s="246"/>
      <c r="N2" s="246">
        <v>1</v>
      </c>
      <c r="O2" s="246">
        <v>0.6</v>
      </c>
      <c r="P2" s="246">
        <v>0.6</v>
      </c>
      <c r="Q2" s="138">
        <f t="shared" ref="Q2:Q65" si="0">IF(OR(O2="",P2=""),"",AVERAGE(O2,P2))</f>
        <v>0.6</v>
      </c>
      <c r="R2" s="246">
        <v>16.8</v>
      </c>
      <c r="S2" s="246">
        <v>142</v>
      </c>
      <c r="T2" s="139">
        <f t="shared" ref="T2:T65" si="1">IF(H2="","",IF(OR(H2="GREEN",H2="GK"),IF(S2&gt;=$AX$2,VLOOKUP(S2,$AX$2:$AY$15,2,1),""),IF(S2&gt;=$AZ$2,VLOOKUP(S2,$AZ$2:$BA$15,2,1),"")))</f>
        <v>22</v>
      </c>
      <c r="U2" s="246">
        <v>148</v>
      </c>
      <c r="V2" s="140">
        <f t="shared" ref="V2:V65" si="2">IF(OR(N2="",U2="",T2=""),"",U2/N2*T2)</f>
        <v>3256</v>
      </c>
      <c r="W2" s="246">
        <v>2</v>
      </c>
      <c r="X2" s="136" t="s">
        <v>39</v>
      </c>
      <c r="Y2" s="246" t="s">
        <v>90</v>
      </c>
      <c r="Z2" s="246" t="s">
        <v>102</v>
      </c>
      <c r="AA2" s="246" t="s">
        <v>78</v>
      </c>
      <c r="AB2" s="136" t="s">
        <v>419</v>
      </c>
      <c r="AC2" s="141"/>
      <c r="AE2" s="217" t="s">
        <v>35</v>
      </c>
      <c r="AG2" s="49" t="s">
        <v>245</v>
      </c>
      <c r="AH2" s="49" t="s">
        <v>244</v>
      </c>
      <c r="AJ2" s="143" t="s">
        <v>36</v>
      </c>
      <c r="AL2" s="218" t="s">
        <v>127</v>
      </c>
      <c r="AN2" s="143" t="s">
        <v>37</v>
      </c>
      <c r="AP2" s="218" t="s">
        <v>38</v>
      </c>
      <c r="AR2" s="218" t="s">
        <v>420</v>
      </c>
      <c r="AT2" s="143" t="s">
        <v>39</v>
      </c>
      <c r="AV2" s="218" t="s">
        <v>40</v>
      </c>
      <c r="AX2" s="144">
        <v>1</v>
      </c>
      <c r="AY2" s="145">
        <v>50</v>
      </c>
      <c r="AZ2" s="145">
        <v>1</v>
      </c>
      <c r="BA2" s="146">
        <v>50</v>
      </c>
    </row>
    <row r="3" spans="1:53" x14ac:dyDescent="0.15">
      <c r="A3" s="136" t="s">
        <v>61</v>
      </c>
      <c r="B3" s="136" t="s">
        <v>421</v>
      </c>
      <c r="C3" s="136">
        <v>2018</v>
      </c>
      <c r="D3" s="137" t="s">
        <v>418</v>
      </c>
      <c r="E3" s="136" t="s">
        <v>245</v>
      </c>
      <c r="F3" s="136" t="s">
        <v>244</v>
      </c>
      <c r="G3" s="136" t="s">
        <v>42</v>
      </c>
      <c r="H3" s="246" t="s">
        <v>155</v>
      </c>
      <c r="I3" s="246" t="s">
        <v>153</v>
      </c>
      <c r="J3" s="136" t="s">
        <v>38</v>
      </c>
      <c r="K3" s="246" t="s">
        <v>154</v>
      </c>
      <c r="L3" s="246">
        <v>2</v>
      </c>
      <c r="M3" s="246"/>
      <c r="N3" s="246">
        <v>1</v>
      </c>
      <c r="O3" s="246">
        <v>0.65</v>
      </c>
      <c r="P3" s="246">
        <v>0.6</v>
      </c>
      <c r="Q3" s="138">
        <f t="shared" si="0"/>
        <v>0.625</v>
      </c>
      <c r="R3" s="246">
        <v>17.100000000000001</v>
      </c>
      <c r="S3" s="246">
        <v>141</v>
      </c>
      <c r="T3" s="139">
        <f t="shared" si="1"/>
        <v>22</v>
      </c>
      <c r="U3" s="246">
        <v>148</v>
      </c>
      <c r="V3" s="140">
        <f t="shared" si="2"/>
        <v>3256</v>
      </c>
      <c r="W3" s="246">
        <v>2</v>
      </c>
      <c r="X3" s="136" t="s">
        <v>39</v>
      </c>
      <c r="Y3" s="246" t="s">
        <v>90</v>
      </c>
      <c r="Z3" s="246" t="s">
        <v>102</v>
      </c>
      <c r="AA3" s="246" t="s">
        <v>78</v>
      </c>
      <c r="AB3" s="136" t="s">
        <v>419</v>
      </c>
      <c r="AC3" s="141"/>
      <c r="AE3" s="222" t="s">
        <v>41</v>
      </c>
      <c r="AG3" s="49" t="s">
        <v>246</v>
      </c>
      <c r="AH3" s="49" t="s">
        <v>247</v>
      </c>
      <c r="AJ3" s="223" t="s">
        <v>42</v>
      </c>
      <c r="AL3" s="223" t="s">
        <v>128</v>
      </c>
      <c r="AN3" s="223" t="s">
        <v>43</v>
      </c>
      <c r="AP3" s="223" t="s">
        <v>44</v>
      </c>
      <c r="AR3" s="237" t="s">
        <v>45</v>
      </c>
      <c r="AT3" s="223" t="s">
        <v>46</v>
      </c>
      <c r="AV3" s="237" t="s">
        <v>47</v>
      </c>
      <c r="AX3" s="224">
        <v>72</v>
      </c>
      <c r="AY3" s="225">
        <v>46</v>
      </c>
      <c r="AZ3" s="225">
        <v>71</v>
      </c>
      <c r="BA3" s="226">
        <v>42</v>
      </c>
    </row>
    <row r="4" spans="1:53" x14ac:dyDescent="0.15">
      <c r="A4" s="136" t="s">
        <v>61</v>
      </c>
      <c r="B4" s="136" t="s">
        <v>421</v>
      </c>
      <c r="C4" s="136">
        <v>2018</v>
      </c>
      <c r="D4" s="137" t="s">
        <v>418</v>
      </c>
      <c r="E4" s="136" t="s">
        <v>245</v>
      </c>
      <c r="F4" s="136" t="s">
        <v>244</v>
      </c>
      <c r="G4" s="136" t="s">
        <v>42</v>
      </c>
      <c r="H4" s="246" t="s">
        <v>155</v>
      </c>
      <c r="I4" s="246" t="s">
        <v>153</v>
      </c>
      <c r="J4" s="136" t="s">
        <v>38</v>
      </c>
      <c r="K4" s="246" t="s">
        <v>154</v>
      </c>
      <c r="L4" s="246">
        <v>3</v>
      </c>
      <c r="M4" s="246"/>
      <c r="N4" s="246">
        <v>1</v>
      </c>
      <c r="O4" s="246">
        <v>0.6</v>
      </c>
      <c r="P4" s="246">
        <v>0.55000000000000004</v>
      </c>
      <c r="Q4" s="138">
        <f t="shared" si="0"/>
        <v>0.57499999999999996</v>
      </c>
      <c r="R4" s="246">
        <v>16.899999999999999</v>
      </c>
      <c r="S4" s="246">
        <v>139</v>
      </c>
      <c r="T4" s="139">
        <f t="shared" si="1"/>
        <v>22</v>
      </c>
      <c r="U4" s="246">
        <v>148</v>
      </c>
      <c r="V4" s="140">
        <f t="shared" si="2"/>
        <v>3256</v>
      </c>
      <c r="W4" s="246">
        <v>2</v>
      </c>
      <c r="X4" s="136" t="s">
        <v>39</v>
      </c>
      <c r="Y4" s="246" t="s">
        <v>90</v>
      </c>
      <c r="Z4" s="246" t="s">
        <v>102</v>
      </c>
      <c r="AA4" s="246" t="s">
        <v>78</v>
      </c>
      <c r="AB4" s="136" t="s">
        <v>419</v>
      </c>
      <c r="AC4" s="141"/>
      <c r="AE4" s="222" t="s">
        <v>34</v>
      </c>
      <c r="AG4" s="49" t="s">
        <v>248</v>
      </c>
      <c r="AH4" s="49" t="s">
        <v>249</v>
      </c>
      <c r="AJ4" s="227" t="s">
        <v>48</v>
      </c>
      <c r="AL4" s="227" t="s">
        <v>129</v>
      </c>
      <c r="AN4" s="228" t="s">
        <v>49</v>
      </c>
      <c r="AP4" s="223" t="s">
        <v>422</v>
      </c>
      <c r="AR4" s="237" t="s">
        <v>423</v>
      </c>
      <c r="AT4" s="228"/>
      <c r="AV4" s="237" t="s">
        <v>50</v>
      </c>
      <c r="AX4" s="224">
        <v>75</v>
      </c>
      <c r="AY4" s="225">
        <v>42</v>
      </c>
      <c r="AZ4" s="225">
        <v>76</v>
      </c>
      <c r="BA4" s="226">
        <v>39</v>
      </c>
    </row>
    <row r="5" spans="1:53" x14ac:dyDescent="0.15">
      <c r="A5" s="136" t="s">
        <v>61</v>
      </c>
      <c r="B5" s="136" t="s">
        <v>421</v>
      </c>
      <c r="C5" s="136">
        <v>2018</v>
      </c>
      <c r="D5" s="137" t="s">
        <v>344</v>
      </c>
      <c r="E5" s="136" t="s">
        <v>245</v>
      </c>
      <c r="F5" s="136" t="s">
        <v>244</v>
      </c>
      <c r="G5" s="136" t="s">
        <v>42</v>
      </c>
      <c r="H5" s="246" t="s">
        <v>165</v>
      </c>
      <c r="I5" s="246" t="s">
        <v>153</v>
      </c>
      <c r="J5" s="136" t="s">
        <v>38</v>
      </c>
      <c r="K5" s="246" t="s">
        <v>154</v>
      </c>
      <c r="L5" s="246">
        <v>1</v>
      </c>
      <c r="M5" s="246"/>
      <c r="N5" s="246">
        <v>1</v>
      </c>
      <c r="O5" s="246">
        <v>0.5</v>
      </c>
      <c r="P5" s="246">
        <v>0.55000000000000004</v>
      </c>
      <c r="Q5" s="138">
        <f t="shared" si="0"/>
        <v>0.52500000000000002</v>
      </c>
      <c r="R5" s="246">
        <v>16.100000000000001</v>
      </c>
      <c r="S5" s="246">
        <v>132</v>
      </c>
      <c r="T5" s="139">
        <f t="shared" si="1"/>
        <v>25</v>
      </c>
      <c r="U5" s="246">
        <v>166</v>
      </c>
      <c r="V5" s="140">
        <f t="shared" si="2"/>
        <v>4150</v>
      </c>
      <c r="W5" s="246">
        <v>2</v>
      </c>
      <c r="X5" s="136" t="s">
        <v>39</v>
      </c>
      <c r="Y5" s="246" t="s">
        <v>90</v>
      </c>
      <c r="Z5" s="246" t="s">
        <v>102</v>
      </c>
      <c r="AA5" s="246" t="s">
        <v>78</v>
      </c>
      <c r="AB5" s="136" t="s">
        <v>419</v>
      </c>
      <c r="AC5" s="141"/>
      <c r="AE5" s="222" t="s">
        <v>51</v>
      </c>
      <c r="AG5" s="49" t="s">
        <v>250</v>
      </c>
      <c r="AH5" s="49" t="s">
        <v>251</v>
      </c>
      <c r="AJ5" s="227"/>
      <c r="AL5" s="229" t="s">
        <v>424</v>
      </c>
      <c r="AN5" s="229" t="s">
        <v>425</v>
      </c>
      <c r="AP5" s="223" t="s">
        <v>426</v>
      </c>
      <c r="AR5" s="237" t="s">
        <v>54</v>
      </c>
      <c r="AT5" s="246"/>
      <c r="AV5" s="237" t="s">
        <v>55</v>
      </c>
      <c r="AX5" s="224">
        <v>84</v>
      </c>
      <c r="AY5" s="225">
        <v>39</v>
      </c>
      <c r="AZ5" s="225">
        <v>84</v>
      </c>
      <c r="BA5" s="226">
        <v>36</v>
      </c>
    </row>
    <row r="6" spans="1:53" x14ac:dyDescent="0.15">
      <c r="A6" s="136" t="s">
        <v>61</v>
      </c>
      <c r="B6" s="136" t="s">
        <v>421</v>
      </c>
      <c r="C6" s="136">
        <v>2018</v>
      </c>
      <c r="D6" s="137" t="s">
        <v>344</v>
      </c>
      <c r="E6" s="136" t="s">
        <v>245</v>
      </c>
      <c r="F6" s="136" t="s">
        <v>244</v>
      </c>
      <c r="G6" s="136" t="s">
        <v>42</v>
      </c>
      <c r="H6" s="246" t="s">
        <v>165</v>
      </c>
      <c r="I6" s="246" t="s">
        <v>153</v>
      </c>
      <c r="J6" s="136" t="s">
        <v>38</v>
      </c>
      <c r="K6" s="246" t="s">
        <v>154</v>
      </c>
      <c r="L6" s="246">
        <v>2</v>
      </c>
      <c r="M6" s="246"/>
      <c r="N6" s="246">
        <v>1</v>
      </c>
      <c r="O6" s="246">
        <v>0.5</v>
      </c>
      <c r="P6" s="246">
        <v>0.5</v>
      </c>
      <c r="Q6" s="138">
        <f t="shared" si="0"/>
        <v>0.5</v>
      </c>
      <c r="R6" s="246">
        <v>16.8</v>
      </c>
      <c r="S6" s="246">
        <v>127</v>
      </c>
      <c r="T6" s="139">
        <f t="shared" si="1"/>
        <v>27</v>
      </c>
      <c r="U6" s="246">
        <v>166</v>
      </c>
      <c r="V6" s="140">
        <f t="shared" si="2"/>
        <v>4482</v>
      </c>
      <c r="W6" s="246">
        <v>2</v>
      </c>
      <c r="X6" s="136" t="s">
        <v>39</v>
      </c>
      <c r="Y6" s="246" t="s">
        <v>90</v>
      </c>
      <c r="Z6" s="246" t="s">
        <v>102</v>
      </c>
      <c r="AA6" s="246" t="s">
        <v>78</v>
      </c>
      <c r="AB6" s="136" t="s">
        <v>419</v>
      </c>
      <c r="AC6" s="141"/>
      <c r="AE6" s="222" t="s">
        <v>56</v>
      </c>
      <c r="AG6" s="49" t="s">
        <v>252</v>
      </c>
      <c r="AH6" s="49" t="s">
        <v>253</v>
      </c>
      <c r="AJ6" s="227"/>
      <c r="AL6" s="229" t="s">
        <v>427</v>
      </c>
      <c r="AN6" s="229" t="s">
        <v>428</v>
      </c>
      <c r="AP6" s="223" t="s">
        <v>53</v>
      </c>
      <c r="AR6" s="237" t="s">
        <v>59</v>
      </c>
      <c r="AT6" s="246"/>
      <c r="AV6" s="237" t="s">
        <v>60</v>
      </c>
      <c r="AX6" s="224">
        <v>97</v>
      </c>
      <c r="AY6" s="225">
        <v>36</v>
      </c>
      <c r="AZ6" s="225">
        <v>99</v>
      </c>
      <c r="BA6" s="226">
        <v>33</v>
      </c>
    </row>
    <row r="7" spans="1:53" x14ac:dyDescent="0.15">
      <c r="A7" s="136" t="s">
        <v>61</v>
      </c>
      <c r="B7" s="136" t="s">
        <v>421</v>
      </c>
      <c r="C7" s="136">
        <v>2018</v>
      </c>
      <c r="D7" s="137" t="s">
        <v>344</v>
      </c>
      <c r="E7" s="136" t="s">
        <v>245</v>
      </c>
      <c r="F7" s="136" t="s">
        <v>244</v>
      </c>
      <c r="G7" s="136" t="s">
        <v>42</v>
      </c>
      <c r="H7" s="246" t="s">
        <v>165</v>
      </c>
      <c r="I7" s="246" t="s">
        <v>153</v>
      </c>
      <c r="J7" s="136" t="s">
        <v>38</v>
      </c>
      <c r="K7" s="246" t="s">
        <v>154</v>
      </c>
      <c r="L7" s="246">
        <v>3</v>
      </c>
      <c r="M7" s="246"/>
      <c r="N7" s="246">
        <v>1</v>
      </c>
      <c r="O7" s="246">
        <v>0.55000000000000004</v>
      </c>
      <c r="P7" s="246">
        <v>0.6</v>
      </c>
      <c r="Q7" s="138">
        <f t="shared" si="0"/>
        <v>0.57499999999999996</v>
      </c>
      <c r="R7" s="246">
        <v>17.3</v>
      </c>
      <c r="S7" s="246">
        <v>132</v>
      </c>
      <c r="T7" s="139">
        <f t="shared" si="1"/>
        <v>25</v>
      </c>
      <c r="U7" s="246">
        <v>166</v>
      </c>
      <c r="V7" s="140">
        <f t="shared" si="2"/>
        <v>4150</v>
      </c>
      <c r="W7" s="246">
        <v>2</v>
      </c>
      <c r="X7" s="136" t="s">
        <v>39</v>
      </c>
      <c r="Y7" s="246" t="s">
        <v>90</v>
      </c>
      <c r="Z7" s="246" t="s">
        <v>102</v>
      </c>
      <c r="AA7" s="246" t="s">
        <v>78</v>
      </c>
      <c r="AB7" s="136" t="s">
        <v>419</v>
      </c>
      <c r="AC7" s="141"/>
      <c r="AE7" s="222" t="s">
        <v>61</v>
      </c>
      <c r="AG7" s="49" t="s">
        <v>254</v>
      </c>
      <c r="AH7" s="49" t="s">
        <v>255</v>
      </c>
      <c r="AJ7" s="227"/>
      <c r="AL7" s="234" t="s">
        <v>429</v>
      </c>
      <c r="AN7" s="147"/>
      <c r="AP7" s="223" t="s">
        <v>58</v>
      </c>
      <c r="AR7" s="230" t="s">
        <v>122</v>
      </c>
      <c r="AT7" s="246"/>
      <c r="AV7" s="237" t="s">
        <v>64</v>
      </c>
      <c r="AX7" s="224">
        <v>109</v>
      </c>
      <c r="AY7" s="225">
        <v>33</v>
      </c>
      <c r="AZ7" s="225">
        <v>113</v>
      </c>
      <c r="BA7" s="226">
        <v>30</v>
      </c>
    </row>
    <row r="8" spans="1:53" x14ac:dyDescent="0.15">
      <c r="A8" s="136" t="s">
        <v>61</v>
      </c>
      <c r="B8" s="136" t="s">
        <v>374</v>
      </c>
      <c r="C8" s="136">
        <v>2018</v>
      </c>
      <c r="D8" s="137" t="s">
        <v>344</v>
      </c>
      <c r="E8" s="136" t="s">
        <v>246</v>
      </c>
      <c r="F8" s="136" t="s">
        <v>247</v>
      </c>
      <c r="G8" s="136" t="s">
        <v>42</v>
      </c>
      <c r="H8" s="246" t="s">
        <v>155</v>
      </c>
      <c r="I8" s="246" t="s">
        <v>153</v>
      </c>
      <c r="J8" s="136" t="s">
        <v>38</v>
      </c>
      <c r="K8" s="246" t="s">
        <v>154</v>
      </c>
      <c r="L8" s="246">
        <v>1</v>
      </c>
      <c r="M8" s="246"/>
      <c r="N8" s="246">
        <v>4</v>
      </c>
      <c r="O8" s="246">
        <v>0.8</v>
      </c>
      <c r="P8" s="246">
        <v>0.8</v>
      </c>
      <c r="Q8" s="138">
        <f t="shared" si="0"/>
        <v>0.8</v>
      </c>
      <c r="R8" s="246">
        <v>17.100000000000001</v>
      </c>
      <c r="S8" s="246">
        <v>105</v>
      </c>
      <c r="T8" s="139">
        <f t="shared" si="1"/>
        <v>33</v>
      </c>
      <c r="U8" s="246">
        <v>398</v>
      </c>
      <c r="V8" s="140">
        <f t="shared" si="2"/>
        <v>3283.5</v>
      </c>
      <c r="W8" s="246">
        <v>6</v>
      </c>
      <c r="X8" s="136" t="s">
        <v>46</v>
      </c>
      <c r="Y8" s="246" t="s">
        <v>69</v>
      </c>
      <c r="Z8" s="246" t="s">
        <v>84</v>
      </c>
      <c r="AA8" s="246" t="s">
        <v>90</v>
      </c>
      <c r="AB8" s="136" t="s">
        <v>430</v>
      </c>
      <c r="AC8" s="141"/>
      <c r="AE8" s="222" t="s">
        <v>59</v>
      </c>
      <c r="AG8" s="49" t="s">
        <v>256</v>
      </c>
      <c r="AH8" s="49" t="s">
        <v>257</v>
      </c>
      <c r="AJ8" s="228"/>
      <c r="AL8" s="141" t="s">
        <v>369</v>
      </c>
      <c r="AN8" s="229"/>
      <c r="AP8" s="223" t="s">
        <v>62</v>
      </c>
      <c r="AR8" s="237" t="s">
        <v>81</v>
      </c>
      <c r="AT8" s="246"/>
      <c r="AV8" s="237" t="s">
        <v>97</v>
      </c>
      <c r="AX8" s="224">
        <v>119</v>
      </c>
      <c r="AY8" s="225">
        <v>30</v>
      </c>
      <c r="AZ8" s="225">
        <v>121</v>
      </c>
      <c r="BA8" s="226">
        <v>27</v>
      </c>
    </row>
    <row r="9" spans="1:53" x14ac:dyDescent="0.15">
      <c r="A9" s="136" t="s">
        <v>61</v>
      </c>
      <c r="B9" s="136" t="s">
        <v>374</v>
      </c>
      <c r="C9" s="136">
        <v>2018</v>
      </c>
      <c r="D9" s="137" t="s">
        <v>344</v>
      </c>
      <c r="E9" s="136" t="s">
        <v>246</v>
      </c>
      <c r="F9" s="136" t="s">
        <v>247</v>
      </c>
      <c r="G9" s="136" t="s">
        <v>42</v>
      </c>
      <c r="H9" s="246" t="s">
        <v>155</v>
      </c>
      <c r="I9" s="246" t="s">
        <v>153</v>
      </c>
      <c r="J9" s="136" t="s">
        <v>38</v>
      </c>
      <c r="K9" s="246" t="s">
        <v>154</v>
      </c>
      <c r="L9" s="246">
        <v>2</v>
      </c>
      <c r="M9" s="246"/>
      <c r="N9" s="246">
        <v>4</v>
      </c>
      <c r="O9" s="246">
        <v>0.7</v>
      </c>
      <c r="P9" s="246">
        <v>0.75</v>
      </c>
      <c r="Q9" s="138">
        <f t="shared" si="0"/>
        <v>0.72499999999999998</v>
      </c>
      <c r="R9" s="246">
        <v>17.2</v>
      </c>
      <c r="S9" s="246">
        <v>100</v>
      </c>
      <c r="T9" s="139">
        <f t="shared" si="1"/>
        <v>33</v>
      </c>
      <c r="U9" s="246">
        <v>398</v>
      </c>
      <c r="V9" s="140">
        <f t="shared" si="2"/>
        <v>3283.5</v>
      </c>
      <c r="W9" s="246">
        <v>6</v>
      </c>
      <c r="X9" s="136" t="s">
        <v>46</v>
      </c>
      <c r="Y9" s="246" t="s">
        <v>69</v>
      </c>
      <c r="Z9" s="246" t="s">
        <v>84</v>
      </c>
      <c r="AA9" s="246" t="s">
        <v>90</v>
      </c>
      <c r="AB9" s="136" t="s">
        <v>430</v>
      </c>
      <c r="AC9" s="141"/>
      <c r="AE9" s="222" t="s">
        <v>98</v>
      </c>
      <c r="AG9" s="49" t="s">
        <v>133</v>
      </c>
      <c r="AH9" s="49" t="s">
        <v>258</v>
      </c>
      <c r="AJ9" s="246"/>
      <c r="AL9" s="229"/>
      <c r="AN9" s="229"/>
      <c r="AP9" s="223" t="s">
        <v>95</v>
      </c>
      <c r="AR9" s="230" t="s">
        <v>89</v>
      </c>
      <c r="AT9" s="246"/>
      <c r="AV9" s="237" t="s">
        <v>102</v>
      </c>
      <c r="AX9" s="224">
        <v>128</v>
      </c>
      <c r="AY9" s="225">
        <v>27</v>
      </c>
      <c r="AZ9" s="225">
        <v>129</v>
      </c>
      <c r="BA9" s="226">
        <v>25</v>
      </c>
    </row>
    <row r="10" spans="1:53" x14ac:dyDescent="0.15">
      <c r="A10" s="136" t="s">
        <v>61</v>
      </c>
      <c r="B10" s="136" t="s">
        <v>377</v>
      </c>
      <c r="C10" s="136">
        <v>2018</v>
      </c>
      <c r="D10" s="137" t="s">
        <v>344</v>
      </c>
      <c r="E10" s="136" t="s">
        <v>246</v>
      </c>
      <c r="F10" s="136" t="s">
        <v>247</v>
      </c>
      <c r="G10" s="136" t="s">
        <v>42</v>
      </c>
      <c r="H10" s="246" t="s">
        <v>155</v>
      </c>
      <c r="I10" s="246" t="s">
        <v>153</v>
      </c>
      <c r="J10" s="136" t="s">
        <v>38</v>
      </c>
      <c r="K10" s="246" t="s">
        <v>154</v>
      </c>
      <c r="L10" s="246">
        <v>3</v>
      </c>
      <c r="M10" s="246"/>
      <c r="N10" s="246">
        <v>4</v>
      </c>
      <c r="O10" s="246">
        <v>0.7</v>
      </c>
      <c r="P10" s="246">
        <v>0.7</v>
      </c>
      <c r="Q10" s="138">
        <f t="shared" si="0"/>
        <v>0.7</v>
      </c>
      <c r="R10" s="246">
        <v>16.8</v>
      </c>
      <c r="S10" s="246">
        <v>103</v>
      </c>
      <c r="T10" s="139">
        <f t="shared" si="1"/>
        <v>33</v>
      </c>
      <c r="U10" s="246">
        <v>398</v>
      </c>
      <c r="V10" s="140">
        <f t="shared" si="2"/>
        <v>3283.5</v>
      </c>
      <c r="W10" s="246">
        <v>6</v>
      </c>
      <c r="X10" s="136" t="s">
        <v>46</v>
      </c>
      <c r="Y10" s="246" t="s">
        <v>69</v>
      </c>
      <c r="Z10" s="246" t="s">
        <v>84</v>
      </c>
      <c r="AA10" s="246" t="s">
        <v>90</v>
      </c>
      <c r="AB10" s="136" t="s">
        <v>431</v>
      </c>
      <c r="AC10" s="141"/>
      <c r="AE10" s="222" t="s">
        <v>103</v>
      </c>
      <c r="AG10" s="49" t="s">
        <v>259</v>
      </c>
      <c r="AH10" s="49" t="s">
        <v>260</v>
      </c>
      <c r="AJ10" s="246"/>
      <c r="AL10" s="227"/>
      <c r="AN10" s="246"/>
      <c r="AP10" s="223" t="s">
        <v>100</v>
      </c>
      <c r="AR10" s="230" t="s">
        <v>123</v>
      </c>
      <c r="AT10" s="246"/>
      <c r="AV10" s="237" t="s">
        <v>106</v>
      </c>
      <c r="AX10" s="224">
        <v>138</v>
      </c>
      <c r="AY10" s="225">
        <v>25</v>
      </c>
      <c r="AZ10" s="225">
        <v>138</v>
      </c>
      <c r="BA10" s="226">
        <v>22</v>
      </c>
    </row>
    <row r="11" spans="1:53" x14ac:dyDescent="0.15">
      <c r="A11" s="136" t="s">
        <v>61</v>
      </c>
      <c r="B11" s="136" t="s">
        <v>377</v>
      </c>
      <c r="C11" s="136">
        <v>2018</v>
      </c>
      <c r="D11" s="137" t="s">
        <v>344</v>
      </c>
      <c r="E11" s="136" t="s">
        <v>246</v>
      </c>
      <c r="F11" s="136" t="s">
        <v>247</v>
      </c>
      <c r="G11" s="136" t="s">
        <v>42</v>
      </c>
      <c r="H11" s="246" t="s">
        <v>165</v>
      </c>
      <c r="I11" s="246" t="s">
        <v>153</v>
      </c>
      <c r="J11" s="136" t="s">
        <v>38</v>
      </c>
      <c r="K11" s="246" t="s">
        <v>154</v>
      </c>
      <c r="L11" s="246">
        <v>1</v>
      </c>
      <c r="M11" s="246"/>
      <c r="N11" s="246">
        <v>4</v>
      </c>
      <c r="O11" s="246">
        <v>0.6</v>
      </c>
      <c r="P11" s="246">
        <v>0.6</v>
      </c>
      <c r="Q11" s="138">
        <f t="shared" si="0"/>
        <v>0.6</v>
      </c>
      <c r="R11" s="246">
        <v>17.600000000000001</v>
      </c>
      <c r="S11" s="246">
        <v>109</v>
      </c>
      <c r="T11" s="139">
        <f t="shared" si="1"/>
        <v>33</v>
      </c>
      <c r="U11" s="246">
        <v>498</v>
      </c>
      <c r="V11" s="140">
        <f t="shared" si="2"/>
        <v>4108.5</v>
      </c>
      <c r="W11" s="246">
        <v>6</v>
      </c>
      <c r="X11" s="136" t="s">
        <v>46</v>
      </c>
      <c r="Y11" s="246" t="s">
        <v>69</v>
      </c>
      <c r="Z11" s="246" t="s">
        <v>84</v>
      </c>
      <c r="AA11" s="246" t="s">
        <v>90</v>
      </c>
      <c r="AB11" s="136" t="s">
        <v>431</v>
      </c>
      <c r="AC11" s="141"/>
      <c r="AE11" s="222" t="s">
        <v>65</v>
      </c>
      <c r="AG11" s="49" t="s">
        <v>261</v>
      </c>
      <c r="AH11" s="49" t="s">
        <v>260</v>
      </c>
      <c r="AJ11" s="246"/>
      <c r="AL11" s="148"/>
      <c r="AN11" s="246"/>
      <c r="AP11" s="223" t="s">
        <v>104</v>
      </c>
      <c r="AR11" s="230" t="s">
        <v>87</v>
      </c>
      <c r="AV11" s="149" t="s">
        <v>432</v>
      </c>
      <c r="AX11" s="224">
        <v>151</v>
      </c>
      <c r="AY11" s="225">
        <v>22</v>
      </c>
      <c r="AZ11" s="225">
        <v>152</v>
      </c>
      <c r="BA11" s="226">
        <v>18</v>
      </c>
    </row>
    <row r="12" spans="1:53" x14ac:dyDescent="0.15">
      <c r="A12" s="136" t="s">
        <v>61</v>
      </c>
      <c r="B12" s="136" t="s">
        <v>384</v>
      </c>
      <c r="C12" s="136">
        <v>2018</v>
      </c>
      <c r="D12" s="137" t="s">
        <v>344</v>
      </c>
      <c r="E12" s="136" t="s">
        <v>246</v>
      </c>
      <c r="F12" s="136" t="s">
        <v>247</v>
      </c>
      <c r="G12" s="136" t="s">
        <v>42</v>
      </c>
      <c r="H12" s="246" t="s">
        <v>165</v>
      </c>
      <c r="I12" s="246" t="s">
        <v>153</v>
      </c>
      <c r="J12" s="136" t="s">
        <v>38</v>
      </c>
      <c r="K12" s="246" t="s">
        <v>154</v>
      </c>
      <c r="L12" s="246">
        <v>2</v>
      </c>
      <c r="M12" s="246"/>
      <c r="N12" s="246">
        <v>4</v>
      </c>
      <c r="O12" s="246">
        <v>0.6</v>
      </c>
      <c r="P12" s="246">
        <v>0.55000000000000004</v>
      </c>
      <c r="Q12" s="138">
        <f t="shared" si="0"/>
        <v>0.57499999999999996</v>
      </c>
      <c r="R12" s="246">
        <v>17.8</v>
      </c>
      <c r="S12" s="246">
        <v>109</v>
      </c>
      <c r="T12" s="139">
        <f t="shared" si="1"/>
        <v>33</v>
      </c>
      <c r="U12" s="246">
        <v>498</v>
      </c>
      <c r="V12" s="140">
        <f t="shared" si="2"/>
        <v>4108.5</v>
      </c>
      <c r="W12" s="246">
        <v>6</v>
      </c>
      <c r="X12" s="136" t="s">
        <v>46</v>
      </c>
      <c r="Y12" s="246" t="s">
        <v>69</v>
      </c>
      <c r="Z12" s="246" t="s">
        <v>84</v>
      </c>
      <c r="AA12" s="246" t="s">
        <v>90</v>
      </c>
      <c r="AB12" s="136" t="s">
        <v>433</v>
      </c>
      <c r="AC12" s="141"/>
      <c r="AE12" s="222" t="s">
        <v>70</v>
      </c>
      <c r="AG12" s="223"/>
      <c r="AH12" s="222"/>
      <c r="AJ12" s="246"/>
      <c r="AL12" s="148"/>
      <c r="AN12" s="246"/>
      <c r="AP12" s="223" t="s">
        <v>67</v>
      </c>
      <c r="AR12" s="230" t="s">
        <v>124</v>
      </c>
      <c r="AV12" s="149" t="s">
        <v>434</v>
      </c>
      <c r="AX12" s="224">
        <v>180</v>
      </c>
      <c r="AY12" s="225">
        <v>18</v>
      </c>
      <c r="AZ12" s="225">
        <v>181</v>
      </c>
      <c r="BA12" s="226">
        <v>16</v>
      </c>
    </row>
    <row r="13" spans="1:53" x14ac:dyDescent="0.15">
      <c r="A13" s="136" t="s">
        <v>61</v>
      </c>
      <c r="B13" s="136" t="s">
        <v>388</v>
      </c>
      <c r="C13" s="136">
        <v>2018</v>
      </c>
      <c r="D13" s="137" t="s">
        <v>344</v>
      </c>
      <c r="E13" s="136" t="s">
        <v>246</v>
      </c>
      <c r="F13" s="136" t="s">
        <v>247</v>
      </c>
      <c r="G13" s="136" t="s">
        <v>42</v>
      </c>
      <c r="H13" s="246" t="s">
        <v>165</v>
      </c>
      <c r="I13" s="246" t="s">
        <v>153</v>
      </c>
      <c r="J13" s="136" t="s">
        <v>38</v>
      </c>
      <c r="K13" s="246" t="s">
        <v>154</v>
      </c>
      <c r="L13" s="246">
        <v>3</v>
      </c>
      <c r="M13" s="246"/>
      <c r="N13" s="246">
        <v>4</v>
      </c>
      <c r="O13" s="246">
        <v>0.5</v>
      </c>
      <c r="P13" s="246">
        <v>0.55000000000000004</v>
      </c>
      <c r="Q13" s="138">
        <f t="shared" si="0"/>
        <v>0.52500000000000002</v>
      </c>
      <c r="R13" s="246">
        <v>17.600000000000001</v>
      </c>
      <c r="S13" s="246">
        <v>113</v>
      </c>
      <c r="T13" s="139">
        <f t="shared" si="1"/>
        <v>30</v>
      </c>
      <c r="U13" s="246">
        <v>498</v>
      </c>
      <c r="V13" s="140">
        <f t="shared" si="2"/>
        <v>3735</v>
      </c>
      <c r="W13" s="246">
        <v>6</v>
      </c>
      <c r="X13" s="136" t="s">
        <v>46</v>
      </c>
      <c r="Y13" s="246" t="s">
        <v>69</v>
      </c>
      <c r="Z13" s="246" t="s">
        <v>84</v>
      </c>
      <c r="AA13" s="246" t="s">
        <v>90</v>
      </c>
      <c r="AB13" s="136" t="s">
        <v>435</v>
      </c>
      <c r="AC13" s="141"/>
      <c r="AE13" s="222" t="s">
        <v>73</v>
      </c>
      <c r="AG13" s="223"/>
      <c r="AH13" s="222"/>
      <c r="AJ13" s="246"/>
      <c r="AL13" s="150"/>
      <c r="AN13" s="246"/>
      <c r="AP13" s="223" t="s">
        <v>71</v>
      </c>
      <c r="AR13" s="230" t="s">
        <v>103</v>
      </c>
      <c r="AV13" s="149" t="s">
        <v>436</v>
      </c>
      <c r="AX13" s="224"/>
      <c r="AY13" s="225"/>
      <c r="AZ13" s="225"/>
      <c r="BA13" s="226"/>
    </row>
    <row r="14" spans="1:53" x14ac:dyDescent="0.15">
      <c r="A14" s="136" t="s">
        <v>61</v>
      </c>
      <c r="B14" s="136" t="s">
        <v>390</v>
      </c>
      <c r="C14" s="136">
        <v>2018</v>
      </c>
      <c r="D14" s="137" t="s">
        <v>344</v>
      </c>
      <c r="E14" s="136" t="s">
        <v>248</v>
      </c>
      <c r="F14" s="136" t="s">
        <v>249</v>
      </c>
      <c r="G14" s="136" t="s">
        <v>42</v>
      </c>
      <c r="H14" s="246" t="s">
        <v>155</v>
      </c>
      <c r="I14" s="246" t="s">
        <v>153</v>
      </c>
      <c r="J14" s="136" t="s">
        <v>38</v>
      </c>
      <c r="K14" s="246" t="s">
        <v>154</v>
      </c>
      <c r="L14" s="246">
        <v>1</v>
      </c>
      <c r="M14" s="246"/>
      <c r="N14" s="246">
        <v>5</v>
      </c>
      <c r="O14" s="246">
        <v>0.5</v>
      </c>
      <c r="P14" s="246">
        <v>0.5</v>
      </c>
      <c r="Q14" s="138">
        <f t="shared" si="0"/>
        <v>0.5</v>
      </c>
      <c r="R14" s="246">
        <v>16.100000000000001</v>
      </c>
      <c r="S14" s="246">
        <v>82</v>
      </c>
      <c r="T14" s="139">
        <f t="shared" si="1"/>
        <v>39</v>
      </c>
      <c r="U14" s="246">
        <v>298</v>
      </c>
      <c r="V14" s="140">
        <f t="shared" si="2"/>
        <v>2324.4</v>
      </c>
      <c r="W14" s="246">
        <v>13</v>
      </c>
      <c r="X14" s="136" t="s">
        <v>46</v>
      </c>
      <c r="Y14" s="246" t="s">
        <v>55</v>
      </c>
      <c r="Z14" s="246" t="s">
        <v>102</v>
      </c>
      <c r="AA14" s="246" t="s">
        <v>90</v>
      </c>
      <c r="AB14" s="136" t="s">
        <v>437</v>
      </c>
      <c r="AC14" s="141"/>
      <c r="AE14" s="222" t="s">
        <v>76</v>
      </c>
      <c r="AG14" s="223"/>
      <c r="AH14" s="222"/>
      <c r="AL14" s="234"/>
      <c r="AP14" s="223" t="s">
        <v>74</v>
      </c>
      <c r="AR14" s="230" t="s">
        <v>125</v>
      </c>
      <c r="AV14" s="149" t="s">
        <v>438</v>
      </c>
      <c r="AX14" s="224"/>
      <c r="AY14" s="225"/>
      <c r="AZ14" s="225"/>
      <c r="BA14" s="226"/>
    </row>
    <row r="15" spans="1:53" x14ac:dyDescent="0.15">
      <c r="A15" s="136" t="s">
        <v>61</v>
      </c>
      <c r="B15" s="136" t="s">
        <v>390</v>
      </c>
      <c r="C15" s="136">
        <v>2018</v>
      </c>
      <c r="D15" s="137" t="s">
        <v>344</v>
      </c>
      <c r="E15" s="136" t="s">
        <v>248</v>
      </c>
      <c r="F15" s="136" t="s">
        <v>249</v>
      </c>
      <c r="G15" s="136" t="s">
        <v>42</v>
      </c>
      <c r="H15" s="246" t="s">
        <v>155</v>
      </c>
      <c r="I15" s="246" t="s">
        <v>153</v>
      </c>
      <c r="J15" s="136" t="s">
        <v>38</v>
      </c>
      <c r="K15" s="246" t="s">
        <v>154</v>
      </c>
      <c r="L15" s="246">
        <v>2</v>
      </c>
      <c r="M15" s="246"/>
      <c r="N15" s="246">
        <v>5</v>
      </c>
      <c r="O15" s="246">
        <v>0.5</v>
      </c>
      <c r="P15" s="246">
        <v>0.5</v>
      </c>
      <c r="Q15" s="138">
        <f t="shared" si="0"/>
        <v>0.5</v>
      </c>
      <c r="R15" s="141">
        <v>16.399999999999999</v>
      </c>
      <c r="S15" s="246">
        <v>84</v>
      </c>
      <c r="T15" s="139">
        <f t="shared" si="1"/>
        <v>36</v>
      </c>
      <c r="U15" s="246">
        <v>298</v>
      </c>
      <c r="V15" s="140">
        <f t="shared" si="2"/>
        <v>2145.6</v>
      </c>
      <c r="W15" s="246">
        <v>13</v>
      </c>
      <c r="X15" s="136" t="s">
        <v>46</v>
      </c>
      <c r="Y15" s="246" t="s">
        <v>55</v>
      </c>
      <c r="Z15" s="246" t="s">
        <v>102</v>
      </c>
      <c r="AA15" s="246" t="s">
        <v>90</v>
      </c>
      <c r="AB15" s="136" t="s">
        <v>437</v>
      </c>
      <c r="AC15" s="141"/>
      <c r="AE15" s="222" t="s">
        <v>79</v>
      </c>
      <c r="AG15" s="223"/>
      <c r="AH15" s="223"/>
      <c r="AL15" s="234"/>
      <c r="AP15" s="223" t="s">
        <v>77</v>
      </c>
      <c r="AR15" s="230" t="s">
        <v>94</v>
      </c>
      <c r="AV15" s="149" t="s">
        <v>439</v>
      </c>
      <c r="AX15" s="231"/>
      <c r="AY15" s="232"/>
      <c r="AZ15" s="232"/>
      <c r="BA15" s="233"/>
    </row>
    <row r="16" spans="1:53" x14ac:dyDescent="0.15">
      <c r="A16" s="136" t="s">
        <v>61</v>
      </c>
      <c r="B16" s="136" t="s">
        <v>392</v>
      </c>
      <c r="C16" s="136">
        <v>2018</v>
      </c>
      <c r="D16" s="137" t="s">
        <v>344</v>
      </c>
      <c r="E16" s="136" t="s">
        <v>248</v>
      </c>
      <c r="F16" s="136" t="s">
        <v>249</v>
      </c>
      <c r="G16" s="136" t="s">
        <v>42</v>
      </c>
      <c r="H16" s="246" t="s">
        <v>155</v>
      </c>
      <c r="I16" s="246" t="s">
        <v>153</v>
      </c>
      <c r="J16" s="136" t="s">
        <v>38</v>
      </c>
      <c r="K16" s="246" t="s">
        <v>154</v>
      </c>
      <c r="L16" s="246">
        <v>3</v>
      </c>
      <c r="M16" s="246"/>
      <c r="N16" s="246">
        <v>5</v>
      </c>
      <c r="O16" s="246">
        <v>0.6</v>
      </c>
      <c r="P16" s="246">
        <v>0.55000000000000004</v>
      </c>
      <c r="Q16" s="138">
        <f t="shared" si="0"/>
        <v>0.57499999999999996</v>
      </c>
      <c r="R16" s="246">
        <v>16.399999999999999</v>
      </c>
      <c r="S16" s="246">
        <v>94</v>
      </c>
      <c r="T16" s="139">
        <f t="shared" si="1"/>
        <v>36</v>
      </c>
      <c r="U16" s="246">
        <v>298</v>
      </c>
      <c r="V16" s="140">
        <f t="shared" si="2"/>
        <v>2145.6</v>
      </c>
      <c r="W16" s="246">
        <v>13</v>
      </c>
      <c r="X16" s="136" t="s">
        <v>46</v>
      </c>
      <c r="Y16" s="246" t="s">
        <v>55</v>
      </c>
      <c r="Z16" s="246" t="s">
        <v>102</v>
      </c>
      <c r="AA16" s="246" t="s">
        <v>90</v>
      </c>
      <c r="AB16" s="136" t="s">
        <v>440</v>
      </c>
      <c r="AC16" s="141"/>
      <c r="AE16" s="222" t="s">
        <v>82</v>
      </c>
      <c r="AG16" s="223"/>
      <c r="AH16" s="223"/>
      <c r="AP16" s="223" t="s">
        <v>80</v>
      </c>
      <c r="AR16" s="237" t="s">
        <v>63</v>
      </c>
      <c r="AV16" s="149" t="s">
        <v>441</v>
      </c>
    </row>
    <row r="17" spans="1:48" x14ac:dyDescent="0.15">
      <c r="A17" s="136" t="s">
        <v>61</v>
      </c>
      <c r="B17" s="136" t="s">
        <v>392</v>
      </c>
      <c r="C17" s="136">
        <v>2018</v>
      </c>
      <c r="D17" s="137" t="s">
        <v>344</v>
      </c>
      <c r="E17" s="136" t="s">
        <v>248</v>
      </c>
      <c r="F17" s="136" t="s">
        <v>249</v>
      </c>
      <c r="G17" s="136" t="s">
        <v>42</v>
      </c>
      <c r="H17" s="246" t="s">
        <v>165</v>
      </c>
      <c r="I17" s="246" t="s">
        <v>153</v>
      </c>
      <c r="J17" s="136" t="s">
        <v>38</v>
      </c>
      <c r="K17" s="246" t="s">
        <v>154</v>
      </c>
      <c r="L17" s="246">
        <v>1</v>
      </c>
      <c r="M17" s="246"/>
      <c r="N17" s="246">
        <v>1</v>
      </c>
      <c r="O17" s="246">
        <v>0.65</v>
      </c>
      <c r="P17" s="246">
        <v>0.65</v>
      </c>
      <c r="Q17" s="138">
        <f t="shared" si="0"/>
        <v>0.65</v>
      </c>
      <c r="R17" s="246">
        <v>15.7</v>
      </c>
      <c r="S17" s="246">
        <v>173</v>
      </c>
      <c r="T17" s="139">
        <f t="shared" si="1"/>
        <v>18</v>
      </c>
      <c r="U17" s="246">
        <v>158</v>
      </c>
      <c r="V17" s="140">
        <f t="shared" si="2"/>
        <v>2844</v>
      </c>
      <c r="W17" s="246">
        <v>13</v>
      </c>
      <c r="X17" s="136" t="s">
        <v>46</v>
      </c>
      <c r="Y17" s="246" t="s">
        <v>55</v>
      </c>
      <c r="Z17" s="246" t="s">
        <v>102</v>
      </c>
      <c r="AA17" s="246" t="s">
        <v>90</v>
      </c>
      <c r="AB17" s="136" t="s">
        <v>440</v>
      </c>
      <c r="AC17" s="141"/>
      <c r="AE17" s="222" t="s">
        <v>85</v>
      </c>
      <c r="AP17" s="238" t="s">
        <v>110</v>
      </c>
      <c r="AR17" s="237" t="s">
        <v>96</v>
      </c>
      <c r="AV17" s="149" t="s">
        <v>442</v>
      </c>
    </row>
    <row r="18" spans="1:48" x14ac:dyDescent="0.15">
      <c r="A18" s="136" t="s">
        <v>61</v>
      </c>
      <c r="B18" s="136" t="s">
        <v>392</v>
      </c>
      <c r="C18" s="136">
        <v>2018</v>
      </c>
      <c r="D18" s="137" t="s">
        <v>344</v>
      </c>
      <c r="E18" s="136" t="s">
        <v>248</v>
      </c>
      <c r="F18" s="136" t="s">
        <v>249</v>
      </c>
      <c r="G18" s="136" t="s">
        <v>42</v>
      </c>
      <c r="H18" s="246" t="s">
        <v>165</v>
      </c>
      <c r="I18" s="246" t="s">
        <v>153</v>
      </c>
      <c r="J18" s="136" t="s">
        <v>38</v>
      </c>
      <c r="K18" s="246" t="s">
        <v>154</v>
      </c>
      <c r="L18" s="246">
        <v>2</v>
      </c>
      <c r="M18" s="246"/>
      <c r="N18" s="246">
        <v>1</v>
      </c>
      <c r="O18" s="246">
        <v>0.6</v>
      </c>
      <c r="P18" s="246">
        <v>0.65</v>
      </c>
      <c r="Q18" s="138">
        <f t="shared" si="0"/>
        <v>0.625</v>
      </c>
      <c r="R18" s="246">
        <v>16.100000000000001</v>
      </c>
      <c r="S18" s="246">
        <v>171</v>
      </c>
      <c r="T18" s="139">
        <f t="shared" si="1"/>
        <v>18</v>
      </c>
      <c r="U18" s="246">
        <v>158</v>
      </c>
      <c r="V18" s="140">
        <f t="shared" si="2"/>
        <v>2844</v>
      </c>
      <c r="W18" s="246">
        <v>13</v>
      </c>
      <c r="X18" s="136" t="s">
        <v>46</v>
      </c>
      <c r="Y18" s="246" t="s">
        <v>55</v>
      </c>
      <c r="Z18" s="246" t="s">
        <v>102</v>
      </c>
      <c r="AA18" s="246" t="s">
        <v>90</v>
      </c>
      <c r="AB18" s="136" t="s">
        <v>440</v>
      </c>
      <c r="AC18" s="141"/>
      <c r="AE18" s="222" t="s">
        <v>87</v>
      </c>
      <c r="AP18" s="238" t="s">
        <v>111</v>
      </c>
      <c r="AR18" s="237" t="s">
        <v>101</v>
      </c>
      <c r="AV18" s="149" t="s">
        <v>370</v>
      </c>
    </row>
    <row r="19" spans="1:48" x14ac:dyDescent="0.15">
      <c r="A19" s="136" t="s">
        <v>61</v>
      </c>
      <c r="B19" s="136" t="s">
        <v>384</v>
      </c>
      <c r="C19" s="136">
        <v>2018</v>
      </c>
      <c r="D19" s="137" t="s">
        <v>344</v>
      </c>
      <c r="E19" s="136" t="s">
        <v>248</v>
      </c>
      <c r="F19" s="136" t="s">
        <v>249</v>
      </c>
      <c r="G19" s="136" t="s">
        <v>42</v>
      </c>
      <c r="H19" s="246" t="s">
        <v>165</v>
      </c>
      <c r="I19" s="246" t="s">
        <v>153</v>
      </c>
      <c r="J19" s="136" t="s">
        <v>38</v>
      </c>
      <c r="K19" s="246" t="s">
        <v>154</v>
      </c>
      <c r="L19" s="246">
        <v>3</v>
      </c>
      <c r="M19" s="246"/>
      <c r="N19" s="246">
        <v>1</v>
      </c>
      <c r="O19" s="246">
        <v>0.6</v>
      </c>
      <c r="P19" s="246">
        <v>0.6</v>
      </c>
      <c r="Q19" s="138">
        <f t="shared" si="0"/>
        <v>0.6</v>
      </c>
      <c r="R19" s="246">
        <v>16.100000000000001</v>
      </c>
      <c r="S19" s="246">
        <v>150</v>
      </c>
      <c r="T19" s="139">
        <f t="shared" si="1"/>
        <v>22</v>
      </c>
      <c r="U19" s="246">
        <v>158</v>
      </c>
      <c r="V19" s="140">
        <f t="shared" si="2"/>
        <v>3476</v>
      </c>
      <c r="W19" s="246">
        <v>13</v>
      </c>
      <c r="X19" s="136" t="s">
        <v>46</v>
      </c>
      <c r="Y19" s="246" t="s">
        <v>55</v>
      </c>
      <c r="Z19" s="246" t="s">
        <v>102</v>
      </c>
      <c r="AA19" s="246" t="s">
        <v>90</v>
      </c>
      <c r="AB19" s="136" t="s">
        <v>433</v>
      </c>
      <c r="AC19" s="141"/>
      <c r="AE19" s="235" t="s">
        <v>89</v>
      </c>
      <c r="AP19" s="238" t="s">
        <v>112</v>
      </c>
      <c r="AR19" s="230" t="s">
        <v>126</v>
      </c>
      <c r="AV19" s="149" t="s">
        <v>443</v>
      </c>
    </row>
    <row r="20" spans="1:48" x14ac:dyDescent="0.15">
      <c r="A20" s="136" t="s">
        <v>61</v>
      </c>
      <c r="B20" s="136" t="s">
        <v>384</v>
      </c>
      <c r="C20" s="136">
        <v>2018</v>
      </c>
      <c r="D20" s="137" t="s">
        <v>344</v>
      </c>
      <c r="E20" s="136" t="s">
        <v>250</v>
      </c>
      <c r="F20" s="136" t="s">
        <v>251</v>
      </c>
      <c r="G20" s="136" t="s">
        <v>42</v>
      </c>
      <c r="H20" s="246" t="s">
        <v>155</v>
      </c>
      <c r="I20" s="246" t="s">
        <v>153</v>
      </c>
      <c r="J20" s="136" t="s">
        <v>38</v>
      </c>
      <c r="K20" s="246" t="s">
        <v>154</v>
      </c>
      <c r="L20" s="246">
        <v>1</v>
      </c>
      <c r="M20" s="246"/>
      <c r="N20" s="246">
        <v>1</v>
      </c>
      <c r="O20" s="246">
        <v>0.5</v>
      </c>
      <c r="P20" s="246">
        <v>0.5</v>
      </c>
      <c r="Q20" s="138">
        <f t="shared" si="0"/>
        <v>0.5</v>
      </c>
      <c r="R20" s="246">
        <v>17.7</v>
      </c>
      <c r="S20" s="246">
        <v>129</v>
      </c>
      <c r="T20" s="139">
        <f t="shared" si="1"/>
        <v>25</v>
      </c>
      <c r="U20" s="246">
        <v>105</v>
      </c>
      <c r="V20" s="140">
        <f t="shared" si="2"/>
        <v>2625</v>
      </c>
      <c r="W20" s="246">
        <v>20</v>
      </c>
      <c r="X20" s="136" t="s">
        <v>46</v>
      </c>
      <c r="Y20" s="246" t="s">
        <v>69</v>
      </c>
      <c r="Z20" s="246" t="s">
        <v>90</v>
      </c>
      <c r="AA20" s="246" t="s">
        <v>84</v>
      </c>
      <c r="AB20" s="136" t="s">
        <v>433</v>
      </c>
      <c r="AC20" s="141"/>
      <c r="AE20" s="222"/>
      <c r="AG20" s="246"/>
      <c r="AH20" s="246"/>
      <c r="AJ20" s="246"/>
      <c r="AN20" s="246"/>
      <c r="AP20" s="238" t="s">
        <v>113</v>
      </c>
      <c r="AR20" s="237" t="s">
        <v>105</v>
      </c>
      <c r="AV20" s="149" t="s">
        <v>444</v>
      </c>
    </row>
    <row r="21" spans="1:48" x14ac:dyDescent="0.15">
      <c r="A21" s="136" t="s">
        <v>61</v>
      </c>
      <c r="B21" s="136" t="s">
        <v>384</v>
      </c>
      <c r="C21" s="136">
        <v>2018</v>
      </c>
      <c r="D21" s="137" t="s">
        <v>344</v>
      </c>
      <c r="E21" s="136" t="s">
        <v>250</v>
      </c>
      <c r="F21" s="136" t="s">
        <v>251</v>
      </c>
      <c r="G21" s="136" t="s">
        <v>42</v>
      </c>
      <c r="H21" s="246" t="s">
        <v>155</v>
      </c>
      <c r="I21" s="246" t="s">
        <v>153</v>
      </c>
      <c r="J21" s="136" t="s">
        <v>38</v>
      </c>
      <c r="K21" s="246" t="s">
        <v>154</v>
      </c>
      <c r="L21" s="246">
        <v>2</v>
      </c>
      <c r="M21" s="246"/>
      <c r="N21" s="246">
        <v>1</v>
      </c>
      <c r="O21" s="246">
        <v>0.55000000000000004</v>
      </c>
      <c r="P21" s="246">
        <v>0.6</v>
      </c>
      <c r="Q21" s="138">
        <f t="shared" si="0"/>
        <v>0.57499999999999996</v>
      </c>
      <c r="R21" s="246">
        <v>17.3</v>
      </c>
      <c r="S21" s="246">
        <v>115</v>
      </c>
      <c r="T21" s="139">
        <f t="shared" si="1"/>
        <v>30</v>
      </c>
      <c r="U21" s="246">
        <v>105</v>
      </c>
      <c r="V21" s="140">
        <f t="shared" si="2"/>
        <v>3150</v>
      </c>
      <c r="W21" s="246">
        <v>20</v>
      </c>
      <c r="X21" s="136" t="s">
        <v>46</v>
      </c>
      <c r="Y21" s="246" t="s">
        <v>69</v>
      </c>
      <c r="Z21" s="246" t="s">
        <v>90</v>
      </c>
      <c r="AA21" s="246" t="s">
        <v>84</v>
      </c>
      <c r="AB21" s="136" t="s">
        <v>433</v>
      </c>
      <c r="AC21" s="141"/>
      <c r="AE21" s="222"/>
      <c r="AG21" s="246"/>
      <c r="AH21" s="246"/>
      <c r="AL21" s="246"/>
      <c r="AN21" s="246"/>
      <c r="AP21" s="238" t="s">
        <v>114</v>
      </c>
      <c r="AR21" s="237" t="s">
        <v>68</v>
      </c>
      <c r="AV21" s="149" t="s">
        <v>445</v>
      </c>
    </row>
    <row r="22" spans="1:48" x14ac:dyDescent="0.15">
      <c r="A22" s="136" t="s">
        <v>61</v>
      </c>
      <c r="B22" s="136" t="s">
        <v>384</v>
      </c>
      <c r="C22" s="136">
        <v>2018</v>
      </c>
      <c r="D22" s="137" t="s">
        <v>344</v>
      </c>
      <c r="E22" s="136" t="s">
        <v>250</v>
      </c>
      <c r="F22" s="136" t="s">
        <v>251</v>
      </c>
      <c r="G22" s="136" t="s">
        <v>42</v>
      </c>
      <c r="H22" s="246" t="s">
        <v>155</v>
      </c>
      <c r="I22" s="246" t="s">
        <v>153</v>
      </c>
      <c r="J22" s="136" t="s">
        <v>38</v>
      </c>
      <c r="K22" s="246" t="s">
        <v>154</v>
      </c>
      <c r="L22" s="246">
        <v>3</v>
      </c>
      <c r="M22" s="246"/>
      <c r="N22" s="141">
        <v>1</v>
      </c>
      <c r="O22" s="141">
        <v>0.5</v>
      </c>
      <c r="P22" s="246">
        <v>0.5</v>
      </c>
      <c r="Q22" s="138">
        <f t="shared" si="0"/>
        <v>0.5</v>
      </c>
      <c r="R22" s="246">
        <v>17.100000000000001</v>
      </c>
      <c r="S22" s="246">
        <v>115</v>
      </c>
      <c r="T22" s="139">
        <f t="shared" si="1"/>
        <v>30</v>
      </c>
      <c r="U22" s="246">
        <v>105</v>
      </c>
      <c r="V22" s="140">
        <f t="shared" si="2"/>
        <v>3150</v>
      </c>
      <c r="W22" s="246">
        <v>20</v>
      </c>
      <c r="X22" s="136" t="s">
        <v>46</v>
      </c>
      <c r="Y22" s="246" t="s">
        <v>69</v>
      </c>
      <c r="Z22" s="246" t="s">
        <v>90</v>
      </c>
      <c r="AA22" s="246" t="s">
        <v>84</v>
      </c>
      <c r="AB22" s="136" t="s">
        <v>433</v>
      </c>
      <c r="AC22" s="141"/>
      <c r="AE22" s="235"/>
      <c r="AG22" s="246"/>
      <c r="AH22" s="246"/>
      <c r="AL22" s="246"/>
      <c r="AP22" s="238" t="s">
        <v>115</v>
      </c>
      <c r="AR22" s="237" t="s">
        <v>83</v>
      </c>
      <c r="AV22" s="223"/>
    </row>
    <row r="23" spans="1:48" x14ac:dyDescent="0.15">
      <c r="A23" s="136" t="s">
        <v>61</v>
      </c>
      <c r="B23" s="136" t="s">
        <v>384</v>
      </c>
      <c r="C23" s="136">
        <v>2018</v>
      </c>
      <c r="D23" s="137" t="s">
        <v>344</v>
      </c>
      <c r="E23" s="136" t="s">
        <v>250</v>
      </c>
      <c r="F23" s="136" t="s">
        <v>251</v>
      </c>
      <c r="G23" s="136" t="s">
        <v>42</v>
      </c>
      <c r="H23" s="246" t="s">
        <v>165</v>
      </c>
      <c r="I23" s="246" t="s">
        <v>153</v>
      </c>
      <c r="J23" s="136" t="s">
        <v>38</v>
      </c>
      <c r="K23" s="246" t="s">
        <v>154</v>
      </c>
      <c r="L23" s="246">
        <v>1</v>
      </c>
      <c r="M23" s="246"/>
      <c r="N23" s="246">
        <v>4</v>
      </c>
      <c r="O23" s="246">
        <v>0.5</v>
      </c>
      <c r="P23" s="246">
        <v>0.5</v>
      </c>
      <c r="Q23" s="138">
        <f t="shared" si="0"/>
        <v>0.5</v>
      </c>
      <c r="R23" s="246">
        <v>17.7</v>
      </c>
      <c r="S23" s="246">
        <v>100</v>
      </c>
      <c r="T23" s="139">
        <f t="shared" si="1"/>
        <v>33</v>
      </c>
      <c r="U23" s="246">
        <v>429</v>
      </c>
      <c r="V23" s="140">
        <f t="shared" si="2"/>
        <v>3539.25</v>
      </c>
      <c r="W23" s="246">
        <v>20</v>
      </c>
      <c r="X23" s="136" t="s">
        <v>46</v>
      </c>
      <c r="Y23" s="246" t="s">
        <v>69</v>
      </c>
      <c r="Z23" s="246" t="s">
        <v>90</v>
      </c>
      <c r="AA23" s="246" t="s">
        <v>84</v>
      </c>
      <c r="AB23" s="136" t="s">
        <v>433</v>
      </c>
      <c r="AC23" s="141"/>
      <c r="AE23" s="222"/>
      <c r="AG23" s="246"/>
      <c r="AH23" s="246"/>
      <c r="AL23" s="246"/>
      <c r="AP23" s="238" t="s">
        <v>397</v>
      </c>
      <c r="AR23" s="237" t="s">
        <v>61</v>
      </c>
      <c r="AV23" s="246"/>
    </row>
    <row r="24" spans="1:48" x14ac:dyDescent="0.15">
      <c r="A24" s="136" t="s">
        <v>61</v>
      </c>
      <c r="B24" s="136" t="s">
        <v>384</v>
      </c>
      <c r="C24" s="136">
        <v>2018</v>
      </c>
      <c r="D24" s="137" t="s">
        <v>344</v>
      </c>
      <c r="E24" s="136" t="s">
        <v>250</v>
      </c>
      <c r="F24" s="136" t="s">
        <v>251</v>
      </c>
      <c r="G24" s="136" t="s">
        <v>42</v>
      </c>
      <c r="H24" s="246" t="s">
        <v>165</v>
      </c>
      <c r="I24" s="246" t="s">
        <v>153</v>
      </c>
      <c r="J24" s="136" t="s">
        <v>38</v>
      </c>
      <c r="K24" s="246" t="s">
        <v>154</v>
      </c>
      <c r="L24" s="246">
        <v>2</v>
      </c>
      <c r="M24" s="246"/>
      <c r="N24" s="246">
        <v>4</v>
      </c>
      <c r="O24" s="246">
        <v>0.5</v>
      </c>
      <c r="P24" s="246">
        <v>0.55000000000000004</v>
      </c>
      <c r="Q24" s="138">
        <f t="shared" si="0"/>
        <v>0.52500000000000002</v>
      </c>
      <c r="R24" s="246">
        <v>18.100000000000001</v>
      </c>
      <c r="S24" s="246">
        <v>106</v>
      </c>
      <c r="T24" s="139">
        <f t="shared" si="1"/>
        <v>33</v>
      </c>
      <c r="U24" s="246">
        <v>429</v>
      </c>
      <c r="V24" s="140">
        <f t="shared" si="2"/>
        <v>3539.25</v>
      </c>
      <c r="W24" s="246">
        <v>20</v>
      </c>
      <c r="X24" s="136" t="s">
        <v>46</v>
      </c>
      <c r="Y24" s="246" t="s">
        <v>69</v>
      </c>
      <c r="Z24" s="246" t="s">
        <v>90</v>
      </c>
      <c r="AA24" s="246" t="s">
        <v>84</v>
      </c>
      <c r="AB24" s="136" t="s">
        <v>433</v>
      </c>
      <c r="AC24" s="141"/>
      <c r="AE24" s="222"/>
      <c r="AG24" s="246"/>
      <c r="AH24" s="246"/>
      <c r="AL24" s="246"/>
      <c r="AP24" s="238" t="s">
        <v>398</v>
      </c>
      <c r="AR24" s="237" t="s">
        <v>91</v>
      </c>
      <c r="AV24" s="246"/>
    </row>
    <row r="25" spans="1:48" x14ac:dyDescent="0.15">
      <c r="A25" s="136" t="s">
        <v>61</v>
      </c>
      <c r="B25" s="136" t="s">
        <v>384</v>
      </c>
      <c r="C25" s="136">
        <v>2018</v>
      </c>
      <c r="D25" s="137" t="s">
        <v>344</v>
      </c>
      <c r="E25" s="136" t="s">
        <v>250</v>
      </c>
      <c r="F25" s="136" t="s">
        <v>251</v>
      </c>
      <c r="G25" s="136" t="s">
        <v>42</v>
      </c>
      <c r="H25" s="246" t="s">
        <v>165</v>
      </c>
      <c r="I25" s="246" t="s">
        <v>153</v>
      </c>
      <c r="J25" s="136" t="s">
        <v>38</v>
      </c>
      <c r="K25" s="246" t="s">
        <v>154</v>
      </c>
      <c r="L25" s="246">
        <v>3</v>
      </c>
      <c r="M25" s="246"/>
      <c r="N25" s="246">
        <v>4</v>
      </c>
      <c r="O25" s="246">
        <v>0.5</v>
      </c>
      <c r="P25" s="246">
        <v>0.6</v>
      </c>
      <c r="Q25" s="138">
        <f t="shared" si="0"/>
        <v>0.55000000000000004</v>
      </c>
      <c r="R25" s="246">
        <v>18</v>
      </c>
      <c r="S25" s="246">
        <v>107</v>
      </c>
      <c r="T25" s="139">
        <f t="shared" si="1"/>
        <v>33</v>
      </c>
      <c r="U25" s="246">
        <v>429</v>
      </c>
      <c r="V25" s="140">
        <f t="shared" si="2"/>
        <v>3539.25</v>
      </c>
      <c r="W25" s="246">
        <v>20</v>
      </c>
      <c r="X25" s="136" t="s">
        <v>46</v>
      </c>
      <c r="Y25" s="246" t="s">
        <v>69</v>
      </c>
      <c r="Z25" s="246" t="s">
        <v>90</v>
      </c>
      <c r="AA25" s="246" t="s">
        <v>84</v>
      </c>
      <c r="AB25" s="136" t="s">
        <v>433</v>
      </c>
      <c r="AC25" s="141"/>
      <c r="AE25" s="235"/>
      <c r="AG25" s="246"/>
      <c r="AH25" s="246"/>
      <c r="AL25" s="246"/>
      <c r="AP25" s="238" t="s">
        <v>116</v>
      </c>
      <c r="AR25" s="42" t="s">
        <v>92</v>
      </c>
      <c r="AV25" s="246"/>
    </row>
    <row r="26" spans="1:48" x14ac:dyDescent="0.15">
      <c r="A26" s="136" t="s">
        <v>61</v>
      </c>
      <c r="B26" s="136" t="s">
        <v>384</v>
      </c>
      <c r="C26" s="136">
        <v>2018</v>
      </c>
      <c r="D26" s="137" t="s">
        <v>344</v>
      </c>
      <c r="E26" s="136" t="s">
        <v>250</v>
      </c>
      <c r="F26" s="136" t="s">
        <v>251</v>
      </c>
      <c r="G26" s="136" t="s">
        <v>42</v>
      </c>
      <c r="H26" s="246" t="s">
        <v>155</v>
      </c>
      <c r="I26" s="246" t="s">
        <v>156</v>
      </c>
      <c r="J26" s="136" t="s">
        <v>38</v>
      </c>
      <c r="K26" s="246" t="s">
        <v>154</v>
      </c>
      <c r="L26" s="246">
        <v>1</v>
      </c>
      <c r="M26" s="246"/>
      <c r="N26" s="246">
        <v>4</v>
      </c>
      <c r="O26" s="246">
        <v>0.5</v>
      </c>
      <c r="P26" s="141">
        <v>0.5</v>
      </c>
      <c r="Q26" s="138">
        <f t="shared" si="0"/>
        <v>0.5</v>
      </c>
      <c r="R26" s="246">
        <v>17.399999999999999</v>
      </c>
      <c r="S26" s="246">
        <v>92</v>
      </c>
      <c r="T26" s="139">
        <f t="shared" si="1"/>
        <v>36</v>
      </c>
      <c r="U26" s="246">
        <v>429</v>
      </c>
      <c r="V26" s="140">
        <f t="shared" si="2"/>
        <v>3861</v>
      </c>
      <c r="W26" s="246">
        <v>20</v>
      </c>
      <c r="X26" s="136" t="s">
        <v>46</v>
      </c>
      <c r="Y26" s="246" t="s">
        <v>69</v>
      </c>
      <c r="Z26" s="246" t="s">
        <v>90</v>
      </c>
      <c r="AA26" s="246" t="s">
        <v>84</v>
      </c>
      <c r="AB26" s="136" t="s">
        <v>433</v>
      </c>
      <c r="AC26" s="141"/>
      <c r="AD26" s="234"/>
      <c r="AE26" s="235"/>
      <c r="AG26" s="246"/>
      <c r="AH26" s="246"/>
      <c r="AP26" s="238" t="s">
        <v>117</v>
      </c>
      <c r="AR26" s="223" t="s">
        <v>290</v>
      </c>
      <c r="AV26" s="246"/>
    </row>
    <row r="27" spans="1:48" x14ac:dyDescent="0.15">
      <c r="A27" s="136" t="s">
        <v>61</v>
      </c>
      <c r="B27" s="136" t="s">
        <v>384</v>
      </c>
      <c r="C27" s="136">
        <v>2018</v>
      </c>
      <c r="D27" s="137" t="s">
        <v>344</v>
      </c>
      <c r="E27" s="136" t="s">
        <v>250</v>
      </c>
      <c r="F27" s="136" t="s">
        <v>251</v>
      </c>
      <c r="G27" s="136" t="s">
        <v>42</v>
      </c>
      <c r="H27" s="246" t="s">
        <v>155</v>
      </c>
      <c r="I27" s="246" t="s">
        <v>156</v>
      </c>
      <c r="J27" s="136" t="s">
        <v>38</v>
      </c>
      <c r="K27" s="246" t="s">
        <v>154</v>
      </c>
      <c r="L27" s="246">
        <v>2</v>
      </c>
      <c r="M27" s="246"/>
      <c r="N27" s="246">
        <v>4</v>
      </c>
      <c r="O27" s="246">
        <v>0.55000000000000004</v>
      </c>
      <c r="P27" s="141">
        <v>0.6</v>
      </c>
      <c r="Q27" s="138">
        <f t="shared" si="0"/>
        <v>0.57499999999999996</v>
      </c>
      <c r="R27" s="246">
        <v>17.399999999999999</v>
      </c>
      <c r="S27" s="246">
        <v>94</v>
      </c>
      <c r="T27" s="139">
        <f t="shared" si="1"/>
        <v>36</v>
      </c>
      <c r="U27" s="246">
        <v>429</v>
      </c>
      <c r="V27" s="140">
        <f t="shared" si="2"/>
        <v>3861</v>
      </c>
      <c r="W27" s="246">
        <v>20</v>
      </c>
      <c r="X27" s="136" t="s">
        <v>46</v>
      </c>
      <c r="Y27" s="246" t="s">
        <v>69</v>
      </c>
      <c r="Z27" s="246" t="s">
        <v>90</v>
      </c>
      <c r="AA27" s="246" t="s">
        <v>84</v>
      </c>
      <c r="AB27" s="136" t="s">
        <v>433</v>
      </c>
      <c r="AC27" s="141"/>
      <c r="AD27" s="234"/>
      <c r="AE27" s="228"/>
      <c r="AG27" s="246"/>
      <c r="AH27" s="246"/>
      <c r="AP27" s="238" t="s">
        <v>118</v>
      </c>
      <c r="AR27" s="223"/>
      <c r="AV27" s="246"/>
    </row>
    <row r="28" spans="1:48" x14ac:dyDescent="0.15">
      <c r="A28" s="136" t="s">
        <v>61</v>
      </c>
      <c r="B28" s="136" t="s">
        <v>384</v>
      </c>
      <c r="C28" s="136">
        <v>2018</v>
      </c>
      <c r="D28" s="137" t="s">
        <v>344</v>
      </c>
      <c r="E28" s="136" t="s">
        <v>250</v>
      </c>
      <c r="F28" s="136" t="s">
        <v>251</v>
      </c>
      <c r="G28" s="136" t="s">
        <v>42</v>
      </c>
      <c r="H28" s="246" t="s">
        <v>155</v>
      </c>
      <c r="I28" s="246" t="s">
        <v>156</v>
      </c>
      <c r="J28" s="136" t="s">
        <v>38</v>
      </c>
      <c r="K28" s="246" t="s">
        <v>154</v>
      </c>
      <c r="L28" s="246">
        <v>3</v>
      </c>
      <c r="M28" s="246"/>
      <c r="N28" s="246">
        <v>4</v>
      </c>
      <c r="O28" s="246">
        <v>0.6</v>
      </c>
      <c r="P28" s="141">
        <v>0.6</v>
      </c>
      <c r="Q28" s="138">
        <f t="shared" si="0"/>
        <v>0.6</v>
      </c>
      <c r="R28" s="246">
        <v>17</v>
      </c>
      <c r="S28" s="246">
        <v>97</v>
      </c>
      <c r="T28" s="139">
        <f t="shared" si="1"/>
        <v>36</v>
      </c>
      <c r="U28" s="246">
        <v>429</v>
      </c>
      <c r="V28" s="140">
        <f t="shared" si="2"/>
        <v>3861</v>
      </c>
      <c r="W28" s="246">
        <v>20</v>
      </c>
      <c r="X28" s="136" t="s">
        <v>46</v>
      </c>
      <c r="Y28" s="246" t="s">
        <v>69</v>
      </c>
      <c r="Z28" s="246" t="s">
        <v>90</v>
      </c>
      <c r="AA28" s="246" t="s">
        <v>84</v>
      </c>
      <c r="AB28" s="136" t="s">
        <v>433</v>
      </c>
      <c r="AC28" s="141"/>
      <c r="AD28" s="234"/>
      <c r="AE28" s="246"/>
      <c r="AG28" s="246"/>
      <c r="AH28" s="246"/>
      <c r="AP28" s="227"/>
      <c r="AR28" s="223"/>
      <c r="AV28" s="246"/>
    </row>
    <row r="29" spans="1:48" x14ac:dyDescent="0.15">
      <c r="A29" s="136" t="s">
        <v>61</v>
      </c>
      <c r="B29" s="136" t="s">
        <v>384</v>
      </c>
      <c r="C29" s="136">
        <v>2018</v>
      </c>
      <c r="D29" s="137" t="s">
        <v>344</v>
      </c>
      <c r="E29" s="136" t="s">
        <v>250</v>
      </c>
      <c r="F29" s="136" t="s">
        <v>251</v>
      </c>
      <c r="G29" s="136" t="s">
        <v>42</v>
      </c>
      <c r="H29" s="246" t="s">
        <v>129</v>
      </c>
      <c r="I29" s="246" t="s">
        <v>153</v>
      </c>
      <c r="J29" s="136" t="s">
        <v>241</v>
      </c>
      <c r="K29" s="246" t="s">
        <v>59</v>
      </c>
      <c r="L29" s="246">
        <v>1</v>
      </c>
      <c r="M29" s="246"/>
      <c r="N29" s="246">
        <v>5</v>
      </c>
      <c r="O29" s="246">
        <v>0.55000000000000004</v>
      </c>
      <c r="P29" s="246">
        <v>0.6</v>
      </c>
      <c r="Q29" s="138">
        <f t="shared" si="0"/>
        <v>0.57499999999999996</v>
      </c>
      <c r="R29" s="246">
        <v>18.7</v>
      </c>
      <c r="S29" s="246">
        <v>65</v>
      </c>
      <c r="T29" s="139">
        <f t="shared" si="1"/>
        <v>50</v>
      </c>
      <c r="U29" s="246">
        <v>429</v>
      </c>
      <c r="V29" s="140">
        <f t="shared" si="2"/>
        <v>4290</v>
      </c>
      <c r="W29" s="246">
        <v>20</v>
      </c>
      <c r="X29" s="136" t="s">
        <v>46</v>
      </c>
      <c r="Y29" s="246" t="s">
        <v>69</v>
      </c>
      <c r="Z29" s="246" t="s">
        <v>90</v>
      </c>
      <c r="AA29" s="246" t="s">
        <v>84</v>
      </c>
      <c r="AB29" s="136" t="s">
        <v>433</v>
      </c>
      <c r="AC29" s="141"/>
    </row>
    <row r="30" spans="1:48" x14ac:dyDescent="0.15">
      <c r="A30" s="136" t="s">
        <v>61</v>
      </c>
      <c r="B30" s="136" t="s">
        <v>384</v>
      </c>
      <c r="C30" s="136">
        <v>2018</v>
      </c>
      <c r="D30" s="137" t="s">
        <v>344</v>
      </c>
      <c r="E30" s="136" t="s">
        <v>250</v>
      </c>
      <c r="F30" s="136" t="s">
        <v>251</v>
      </c>
      <c r="G30" s="136" t="s">
        <v>42</v>
      </c>
      <c r="H30" s="246" t="s">
        <v>129</v>
      </c>
      <c r="I30" s="246" t="s">
        <v>153</v>
      </c>
      <c r="J30" s="136" t="s">
        <v>241</v>
      </c>
      <c r="K30" s="246" t="s">
        <v>59</v>
      </c>
      <c r="L30" s="246">
        <v>2</v>
      </c>
      <c r="M30" s="246"/>
      <c r="N30" s="246">
        <v>5</v>
      </c>
      <c r="O30" s="246">
        <v>0.5</v>
      </c>
      <c r="P30" s="246">
        <v>0.5</v>
      </c>
      <c r="Q30" s="138">
        <f t="shared" si="0"/>
        <v>0.5</v>
      </c>
      <c r="R30" s="246">
        <v>18.7</v>
      </c>
      <c r="S30" s="246">
        <v>67</v>
      </c>
      <c r="T30" s="139">
        <f t="shared" si="1"/>
        <v>50</v>
      </c>
      <c r="U30" s="246">
        <v>429</v>
      </c>
      <c r="V30" s="140">
        <f t="shared" si="2"/>
        <v>4290</v>
      </c>
      <c r="W30" s="246">
        <v>20</v>
      </c>
      <c r="X30" s="136" t="s">
        <v>46</v>
      </c>
      <c r="Y30" s="246" t="s">
        <v>69</v>
      </c>
      <c r="Z30" s="246" t="s">
        <v>90</v>
      </c>
      <c r="AA30" s="246" t="s">
        <v>84</v>
      </c>
      <c r="AB30" s="136" t="s">
        <v>433</v>
      </c>
      <c r="AC30" s="141"/>
    </row>
    <row r="31" spans="1:48" x14ac:dyDescent="0.15">
      <c r="A31" s="136" t="s">
        <v>61</v>
      </c>
      <c r="B31" s="136" t="s">
        <v>384</v>
      </c>
      <c r="C31" s="136">
        <v>2018</v>
      </c>
      <c r="D31" s="137" t="s">
        <v>344</v>
      </c>
      <c r="E31" s="136" t="s">
        <v>250</v>
      </c>
      <c r="F31" s="136" t="s">
        <v>251</v>
      </c>
      <c r="G31" s="136" t="s">
        <v>42</v>
      </c>
      <c r="H31" s="246" t="s">
        <v>129</v>
      </c>
      <c r="I31" s="246" t="s">
        <v>153</v>
      </c>
      <c r="J31" s="136" t="s">
        <v>241</v>
      </c>
      <c r="K31" s="246" t="s">
        <v>59</v>
      </c>
      <c r="L31" s="246">
        <v>3</v>
      </c>
      <c r="M31" s="246"/>
      <c r="N31" s="246">
        <v>5</v>
      </c>
      <c r="O31" s="246">
        <v>0.5</v>
      </c>
      <c r="P31" s="246">
        <v>0.5</v>
      </c>
      <c r="Q31" s="138">
        <f t="shared" si="0"/>
        <v>0.5</v>
      </c>
      <c r="R31" s="246">
        <v>18.5</v>
      </c>
      <c r="S31" s="246">
        <v>67</v>
      </c>
      <c r="T31" s="139">
        <f t="shared" si="1"/>
        <v>50</v>
      </c>
      <c r="U31" s="246">
        <v>429</v>
      </c>
      <c r="V31" s="140">
        <f t="shared" si="2"/>
        <v>4290</v>
      </c>
      <c r="W31" s="246">
        <v>20</v>
      </c>
      <c r="X31" s="136" t="s">
        <v>46</v>
      </c>
      <c r="Y31" s="246" t="s">
        <v>69</v>
      </c>
      <c r="Z31" s="246" t="s">
        <v>90</v>
      </c>
      <c r="AA31" s="246" t="s">
        <v>84</v>
      </c>
      <c r="AB31" s="136" t="s">
        <v>433</v>
      </c>
      <c r="AC31" s="141"/>
    </row>
    <row r="32" spans="1:48" x14ac:dyDescent="0.15">
      <c r="A32" s="136" t="s">
        <v>61</v>
      </c>
      <c r="B32" s="136" t="s">
        <v>384</v>
      </c>
      <c r="C32" s="136">
        <v>2018</v>
      </c>
      <c r="D32" s="137" t="s">
        <v>344</v>
      </c>
      <c r="E32" s="136" t="s">
        <v>252</v>
      </c>
      <c r="F32" s="136" t="s">
        <v>253</v>
      </c>
      <c r="G32" s="136" t="s">
        <v>42</v>
      </c>
      <c r="H32" s="246" t="s">
        <v>155</v>
      </c>
      <c r="I32" s="246" t="s">
        <v>153</v>
      </c>
      <c r="J32" s="136" t="s">
        <v>38</v>
      </c>
      <c r="K32" s="246" t="s">
        <v>154</v>
      </c>
      <c r="L32" s="246">
        <v>1</v>
      </c>
      <c r="M32" s="246"/>
      <c r="N32" s="246">
        <v>5</v>
      </c>
      <c r="O32" s="246">
        <v>0.7</v>
      </c>
      <c r="P32" s="246">
        <v>0.65</v>
      </c>
      <c r="Q32" s="138">
        <f t="shared" si="0"/>
        <v>0.67500000000000004</v>
      </c>
      <c r="R32" s="246">
        <v>16.100000000000001</v>
      </c>
      <c r="S32" s="246">
        <v>86</v>
      </c>
      <c r="T32" s="139">
        <f t="shared" si="1"/>
        <v>36</v>
      </c>
      <c r="U32" s="246">
        <v>429</v>
      </c>
      <c r="V32" s="140">
        <f t="shared" si="2"/>
        <v>3088.7999999999997</v>
      </c>
      <c r="W32" s="246">
        <v>12</v>
      </c>
      <c r="X32" s="136" t="s">
        <v>39</v>
      </c>
      <c r="Y32" s="246" t="s">
        <v>90</v>
      </c>
      <c r="Z32" s="246" t="s">
        <v>69</v>
      </c>
      <c r="AA32" s="246" t="s">
        <v>84</v>
      </c>
      <c r="AB32" s="136" t="s">
        <v>433</v>
      </c>
      <c r="AC32" s="141"/>
    </row>
    <row r="33" spans="1:29" x14ac:dyDescent="0.15">
      <c r="A33" s="136" t="s">
        <v>61</v>
      </c>
      <c r="B33" s="136" t="s">
        <v>384</v>
      </c>
      <c r="C33" s="136">
        <v>2018</v>
      </c>
      <c r="D33" s="137" t="s">
        <v>344</v>
      </c>
      <c r="E33" s="136" t="s">
        <v>252</v>
      </c>
      <c r="F33" s="136" t="s">
        <v>253</v>
      </c>
      <c r="G33" s="136" t="s">
        <v>42</v>
      </c>
      <c r="H33" s="246" t="s">
        <v>155</v>
      </c>
      <c r="I33" s="246" t="s">
        <v>153</v>
      </c>
      <c r="J33" s="136" t="s">
        <v>38</v>
      </c>
      <c r="K33" s="246" t="s">
        <v>154</v>
      </c>
      <c r="L33" s="246">
        <v>2</v>
      </c>
      <c r="M33" s="246"/>
      <c r="N33" s="246">
        <v>5</v>
      </c>
      <c r="O33" s="246">
        <v>0.65</v>
      </c>
      <c r="P33" s="246">
        <v>0.6</v>
      </c>
      <c r="Q33" s="138">
        <f t="shared" si="0"/>
        <v>0.625</v>
      </c>
      <c r="R33" s="246">
        <v>16.8</v>
      </c>
      <c r="S33" s="246">
        <v>90</v>
      </c>
      <c r="T33" s="139">
        <f t="shared" si="1"/>
        <v>36</v>
      </c>
      <c r="U33" s="246">
        <v>429</v>
      </c>
      <c r="V33" s="140">
        <f t="shared" si="2"/>
        <v>3088.7999999999997</v>
      </c>
      <c r="W33" s="246">
        <v>12</v>
      </c>
      <c r="X33" s="136" t="s">
        <v>39</v>
      </c>
      <c r="Y33" s="246" t="s">
        <v>90</v>
      </c>
      <c r="Z33" s="246" t="s">
        <v>69</v>
      </c>
      <c r="AA33" s="246" t="s">
        <v>84</v>
      </c>
      <c r="AB33" s="136" t="s">
        <v>433</v>
      </c>
      <c r="AC33" s="141"/>
    </row>
    <row r="34" spans="1:29" x14ac:dyDescent="0.15">
      <c r="A34" s="136" t="s">
        <v>61</v>
      </c>
      <c r="B34" s="136" t="s">
        <v>384</v>
      </c>
      <c r="C34" s="136">
        <v>2018</v>
      </c>
      <c r="D34" s="137" t="s">
        <v>344</v>
      </c>
      <c r="E34" s="136" t="s">
        <v>252</v>
      </c>
      <c r="F34" s="136" t="s">
        <v>253</v>
      </c>
      <c r="G34" s="136" t="s">
        <v>42</v>
      </c>
      <c r="H34" s="246" t="s">
        <v>155</v>
      </c>
      <c r="I34" s="246" t="s">
        <v>153</v>
      </c>
      <c r="J34" s="136" t="s">
        <v>38</v>
      </c>
      <c r="K34" s="246" t="s">
        <v>154</v>
      </c>
      <c r="L34" s="246">
        <v>3</v>
      </c>
      <c r="M34" s="246"/>
      <c r="N34" s="246">
        <v>5</v>
      </c>
      <c r="O34" s="246">
        <v>0.6</v>
      </c>
      <c r="P34" s="246">
        <v>0.6</v>
      </c>
      <c r="Q34" s="138">
        <f t="shared" si="0"/>
        <v>0.6</v>
      </c>
      <c r="R34" s="246">
        <v>16.399999999999999</v>
      </c>
      <c r="S34" s="246">
        <v>92</v>
      </c>
      <c r="T34" s="139">
        <f t="shared" si="1"/>
        <v>36</v>
      </c>
      <c r="U34" s="246">
        <v>429</v>
      </c>
      <c r="V34" s="140">
        <f t="shared" si="2"/>
        <v>3088.7999999999997</v>
      </c>
      <c r="W34" s="246">
        <v>12</v>
      </c>
      <c r="X34" s="136" t="s">
        <v>39</v>
      </c>
      <c r="Y34" s="246" t="s">
        <v>90</v>
      </c>
      <c r="Z34" s="246" t="s">
        <v>69</v>
      </c>
      <c r="AA34" s="246" t="s">
        <v>84</v>
      </c>
      <c r="AB34" s="136" t="s">
        <v>433</v>
      </c>
      <c r="AC34" s="141"/>
    </row>
    <row r="35" spans="1:29" x14ac:dyDescent="0.15">
      <c r="A35" s="136" t="s">
        <v>61</v>
      </c>
      <c r="B35" s="136" t="s">
        <v>384</v>
      </c>
      <c r="C35" s="136">
        <v>2018</v>
      </c>
      <c r="D35" s="137" t="s">
        <v>344</v>
      </c>
      <c r="E35" s="136" t="s">
        <v>252</v>
      </c>
      <c r="F35" s="136" t="s">
        <v>253</v>
      </c>
      <c r="G35" s="136" t="s">
        <v>42</v>
      </c>
      <c r="H35" s="246" t="s">
        <v>165</v>
      </c>
      <c r="I35" s="246" t="s">
        <v>153</v>
      </c>
      <c r="J35" s="136" t="s">
        <v>38</v>
      </c>
      <c r="K35" s="246" t="s">
        <v>154</v>
      </c>
      <c r="L35" s="246">
        <v>1</v>
      </c>
      <c r="M35" s="246"/>
      <c r="N35" s="246">
        <v>1</v>
      </c>
      <c r="O35" s="246">
        <v>0.7</v>
      </c>
      <c r="P35" s="246">
        <v>0.6</v>
      </c>
      <c r="Q35" s="138">
        <f t="shared" si="0"/>
        <v>0.64999999999999991</v>
      </c>
      <c r="R35" s="246">
        <v>17.2</v>
      </c>
      <c r="S35" s="246">
        <v>135</v>
      </c>
      <c r="T35" s="139">
        <f t="shared" si="1"/>
        <v>25</v>
      </c>
      <c r="U35" s="246">
        <v>138</v>
      </c>
      <c r="V35" s="140">
        <f t="shared" si="2"/>
        <v>3450</v>
      </c>
      <c r="W35" s="246">
        <v>12</v>
      </c>
      <c r="X35" s="136" t="s">
        <v>39</v>
      </c>
      <c r="Y35" s="246" t="s">
        <v>90</v>
      </c>
      <c r="Z35" s="246" t="s">
        <v>69</v>
      </c>
      <c r="AA35" s="246" t="s">
        <v>84</v>
      </c>
      <c r="AB35" s="136" t="s">
        <v>433</v>
      </c>
      <c r="AC35" s="141"/>
    </row>
    <row r="36" spans="1:29" x14ac:dyDescent="0.15">
      <c r="A36" s="136" t="s">
        <v>61</v>
      </c>
      <c r="B36" s="136" t="s">
        <v>384</v>
      </c>
      <c r="C36" s="136">
        <v>2018</v>
      </c>
      <c r="D36" s="137" t="s">
        <v>344</v>
      </c>
      <c r="E36" s="136" t="s">
        <v>252</v>
      </c>
      <c r="F36" s="136" t="s">
        <v>253</v>
      </c>
      <c r="G36" s="136" t="s">
        <v>42</v>
      </c>
      <c r="H36" s="246" t="s">
        <v>165</v>
      </c>
      <c r="I36" s="246" t="s">
        <v>153</v>
      </c>
      <c r="J36" s="136" t="s">
        <v>38</v>
      </c>
      <c r="K36" s="246" t="s">
        <v>154</v>
      </c>
      <c r="L36" s="246">
        <v>2</v>
      </c>
      <c r="M36" s="246"/>
      <c r="N36" s="246">
        <v>1</v>
      </c>
      <c r="O36" s="246">
        <v>0.6</v>
      </c>
      <c r="P36" s="246">
        <v>0.55000000000000004</v>
      </c>
      <c r="Q36" s="138">
        <f t="shared" si="0"/>
        <v>0.57499999999999996</v>
      </c>
      <c r="R36" s="246">
        <v>17.399999999999999</v>
      </c>
      <c r="S36" s="246">
        <v>131</v>
      </c>
      <c r="T36" s="139">
        <f t="shared" si="1"/>
        <v>25</v>
      </c>
      <c r="U36" s="246">
        <v>138</v>
      </c>
      <c r="V36" s="140">
        <f t="shared" si="2"/>
        <v>3450</v>
      </c>
      <c r="W36" s="246">
        <v>12</v>
      </c>
      <c r="X36" s="136" t="s">
        <v>39</v>
      </c>
      <c r="Y36" s="246" t="s">
        <v>90</v>
      </c>
      <c r="Z36" s="246" t="s">
        <v>69</v>
      </c>
      <c r="AA36" s="246" t="s">
        <v>84</v>
      </c>
      <c r="AB36" s="136" t="s">
        <v>433</v>
      </c>
      <c r="AC36" s="141"/>
    </row>
    <row r="37" spans="1:29" x14ac:dyDescent="0.15">
      <c r="A37" s="136" t="s">
        <v>61</v>
      </c>
      <c r="B37" s="136" t="s">
        <v>384</v>
      </c>
      <c r="C37" s="136">
        <v>2018</v>
      </c>
      <c r="D37" s="137" t="s">
        <v>344</v>
      </c>
      <c r="E37" s="136" t="s">
        <v>252</v>
      </c>
      <c r="F37" s="136" t="s">
        <v>253</v>
      </c>
      <c r="G37" s="136" t="s">
        <v>42</v>
      </c>
      <c r="H37" s="246" t="s">
        <v>165</v>
      </c>
      <c r="I37" s="246" t="s">
        <v>153</v>
      </c>
      <c r="J37" s="136" t="s">
        <v>38</v>
      </c>
      <c r="K37" s="246" t="s">
        <v>154</v>
      </c>
      <c r="L37" s="246">
        <v>3</v>
      </c>
      <c r="M37" s="246"/>
      <c r="N37" s="246">
        <v>1</v>
      </c>
      <c r="O37" s="246">
        <v>0.6</v>
      </c>
      <c r="P37" s="246">
        <v>0.55000000000000004</v>
      </c>
      <c r="Q37" s="138">
        <f t="shared" si="0"/>
        <v>0.57499999999999996</v>
      </c>
      <c r="R37" s="246">
        <v>17.600000000000001</v>
      </c>
      <c r="S37" s="246">
        <v>137</v>
      </c>
      <c r="T37" s="139">
        <f t="shared" si="1"/>
        <v>25</v>
      </c>
      <c r="U37" s="246">
        <v>138</v>
      </c>
      <c r="V37" s="140">
        <f t="shared" si="2"/>
        <v>3450</v>
      </c>
      <c r="W37" s="246">
        <v>12</v>
      </c>
      <c r="X37" s="136" t="s">
        <v>39</v>
      </c>
      <c r="Y37" s="246" t="s">
        <v>90</v>
      </c>
      <c r="Z37" s="246" t="s">
        <v>69</v>
      </c>
      <c r="AA37" s="246" t="s">
        <v>84</v>
      </c>
      <c r="AB37" s="136" t="s">
        <v>433</v>
      </c>
      <c r="AC37" s="141"/>
    </row>
    <row r="38" spans="1:29" x14ac:dyDescent="0.15">
      <c r="A38" s="136" t="s">
        <v>61</v>
      </c>
      <c r="B38" s="136" t="s">
        <v>384</v>
      </c>
      <c r="C38" s="136">
        <v>2018</v>
      </c>
      <c r="D38" s="137" t="s">
        <v>344</v>
      </c>
      <c r="E38" s="136" t="s">
        <v>252</v>
      </c>
      <c r="F38" s="136" t="s">
        <v>253</v>
      </c>
      <c r="G38" s="136" t="s">
        <v>42</v>
      </c>
      <c r="H38" s="246" t="s">
        <v>129</v>
      </c>
      <c r="I38" s="246" t="s">
        <v>153</v>
      </c>
      <c r="J38" s="136" t="s">
        <v>241</v>
      </c>
      <c r="K38" s="246" t="s">
        <v>59</v>
      </c>
      <c r="L38" s="246">
        <v>1</v>
      </c>
      <c r="M38" s="246"/>
      <c r="N38" s="246">
        <v>4</v>
      </c>
      <c r="O38" s="246">
        <v>0.5</v>
      </c>
      <c r="P38" s="246">
        <v>0.5</v>
      </c>
      <c r="Q38" s="138">
        <f t="shared" si="0"/>
        <v>0.5</v>
      </c>
      <c r="R38" s="246">
        <v>17.8</v>
      </c>
      <c r="S38" s="246">
        <v>88</v>
      </c>
      <c r="T38" s="139">
        <f t="shared" si="1"/>
        <v>36</v>
      </c>
      <c r="U38" s="246">
        <v>321</v>
      </c>
      <c r="V38" s="140">
        <f t="shared" si="2"/>
        <v>2889</v>
      </c>
      <c r="W38" s="246">
        <v>12</v>
      </c>
      <c r="X38" s="136" t="s">
        <v>39</v>
      </c>
      <c r="Y38" s="246" t="s">
        <v>90</v>
      </c>
      <c r="Z38" s="246" t="s">
        <v>69</v>
      </c>
      <c r="AA38" s="246" t="s">
        <v>84</v>
      </c>
      <c r="AB38" s="136" t="s">
        <v>433</v>
      </c>
      <c r="AC38" s="141"/>
    </row>
    <row r="39" spans="1:29" x14ac:dyDescent="0.15">
      <c r="A39" s="136" t="s">
        <v>61</v>
      </c>
      <c r="B39" s="136" t="s">
        <v>384</v>
      </c>
      <c r="C39" s="136">
        <v>2018</v>
      </c>
      <c r="D39" s="137" t="s">
        <v>344</v>
      </c>
      <c r="E39" s="136" t="s">
        <v>252</v>
      </c>
      <c r="F39" s="136" t="s">
        <v>253</v>
      </c>
      <c r="G39" s="136" t="s">
        <v>42</v>
      </c>
      <c r="H39" s="246" t="s">
        <v>129</v>
      </c>
      <c r="I39" s="246" t="s">
        <v>153</v>
      </c>
      <c r="J39" s="136" t="s">
        <v>241</v>
      </c>
      <c r="K39" s="246" t="s">
        <v>59</v>
      </c>
      <c r="L39" s="246">
        <v>2</v>
      </c>
      <c r="M39" s="246"/>
      <c r="N39" s="246">
        <v>4</v>
      </c>
      <c r="O39" s="246">
        <v>0.5</v>
      </c>
      <c r="P39" s="246">
        <v>0.55000000000000004</v>
      </c>
      <c r="Q39" s="138">
        <f t="shared" si="0"/>
        <v>0.52500000000000002</v>
      </c>
      <c r="R39" s="246">
        <v>17.600000000000001</v>
      </c>
      <c r="S39" s="246">
        <v>98</v>
      </c>
      <c r="T39" s="139">
        <f t="shared" si="1"/>
        <v>36</v>
      </c>
      <c r="U39" s="246">
        <v>321</v>
      </c>
      <c r="V39" s="140">
        <f t="shared" si="2"/>
        <v>2889</v>
      </c>
      <c r="W39" s="246">
        <v>12</v>
      </c>
      <c r="X39" s="136" t="s">
        <v>39</v>
      </c>
      <c r="Y39" s="246" t="s">
        <v>90</v>
      </c>
      <c r="Z39" s="246" t="s">
        <v>69</v>
      </c>
      <c r="AA39" s="246" t="s">
        <v>84</v>
      </c>
      <c r="AB39" s="136" t="s">
        <v>433</v>
      </c>
      <c r="AC39" s="141"/>
    </row>
    <row r="40" spans="1:29" x14ac:dyDescent="0.15">
      <c r="A40" s="136" t="s">
        <v>61</v>
      </c>
      <c r="B40" s="136" t="s">
        <v>384</v>
      </c>
      <c r="C40" s="136">
        <v>2018</v>
      </c>
      <c r="D40" s="137" t="s">
        <v>344</v>
      </c>
      <c r="E40" s="136" t="s">
        <v>252</v>
      </c>
      <c r="F40" s="136" t="s">
        <v>253</v>
      </c>
      <c r="G40" s="136" t="s">
        <v>42</v>
      </c>
      <c r="H40" s="246" t="s">
        <v>129</v>
      </c>
      <c r="I40" s="246" t="s">
        <v>153</v>
      </c>
      <c r="J40" s="136" t="s">
        <v>241</v>
      </c>
      <c r="K40" s="246" t="s">
        <v>59</v>
      </c>
      <c r="L40" s="246">
        <v>3</v>
      </c>
      <c r="M40" s="246"/>
      <c r="N40" s="246">
        <v>4</v>
      </c>
      <c r="O40" s="246">
        <v>0.5</v>
      </c>
      <c r="P40" s="246">
        <v>0.5</v>
      </c>
      <c r="Q40" s="138">
        <f t="shared" si="0"/>
        <v>0.5</v>
      </c>
      <c r="R40" s="246">
        <v>17.600000000000001</v>
      </c>
      <c r="S40" s="246">
        <v>87</v>
      </c>
      <c r="T40" s="139">
        <f t="shared" si="1"/>
        <v>36</v>
      </c>
      <c r="U40" s="246">
        <v>321</v>
      </c>
      <c r="V40" s="140">
        <f t="shared" si="2"/>
        <v>2889</v>
      </c>
      <c r="W40" s="246">
        <v>12</v>
      </c>
      <c r="X40" s="136" t="s">
        <v>39</v>
      </c>
      <c r="Y40" s="246" t="s">
        <v>90</v>
      </c>
      <c r="Z40" s="246" t="s">
        <v>69</v>
      </c>
      <c r="AA40" s="246" t="s">
        <v>84</v>
      </c>
      <c r="AB40" s="136" t="s">
        <v>433</v>
      </c>
      <c r="AC40" s="141"/>
    </row>
    <row r="41" spans="1:29" x14ac:dyDescent="0.15">
      <c r="A41" s="136" t="s">
        <v>61</v>
      </c>
      <c r="B41" s="136" t="s">
        <v>384</v>
      </c>
      <c r="C41" s="136">
        <v>2018</v>
      </c>
      <c r="D41" s="137" t="s">
        <v>344</v>
      </c>
      <c r="E41" s="136" t="s">
        <v>254</v>
      </c>
      <c r="F41" s="136" t="s">
        <v>255</v>
      </c>
      <c r="G41" s="136" t="s">
        <v>42</v>
      </c>
      <c r="H41" s="246" t="s">
        <v>155</v>
      </c>
      <c r="I41" s="246" t="s">
        <v>153</v>
      </c>
      <c r="J41" s="136" t="s">
        <v>38</v>
      </c>
      <c r="K41" s="246" t="s">
        <v>154</v>
      </c>
      <c r="L41" s="246">
        <v>1</v>
      </c>
      <c r="M41" s="246"/>
      <c r="N41" s="246">
        <v>1</v>
      </c>
      <c r="O41" s="246">
        <v>0.5</v>
      </c>
      <c r="P41" s="246">
        <v>0.5</v>
      </c>
      <c r="Q41" s="138">
        <f t="shared" si="0"/>
        <v>0.5</v>
      </c>
      <c r="R41" s="246">
        <v>15.8</v>
      </c>
      <c r="S41" s="246">
        <v>140</v>
      </c>
      <c r="T41" s="139">
        <f t="shared" si="1"/>
        <v>22</v>
      </c>
      <c r="U41" s="246">
        <v>98</v>
      </c>
      <c r="V41" s="140">
        <f t="shared" si="2"/>
        <v>2156</v>
      </c>
      <c r="W41" s="246">
        <v>3</v>
      </c>
      <c r="X41" s="136" t="s">
        <v>39</v>
      </c>
      <c r="Y41" s="246" t="s">
        <v>69</v>
      </c>
      <c r="Z41" s="246" t="s">
        <v>90</v>
      </c>
      <c r="AA41" s="246" t="s">
        <v>102</v>
      </c>
      <c r="AB41" s="136" t="s">
        <v>433</v>
      </c>
      <c r="AC41" s="141"/>
    </row>
    <row r="42" spans="1:29" x14ac:dyDescent="0.15">
      <c r="A42" s="136" t="s">
        <v>61</v>
      </c>
      <c r="B42" s="136" t="s">
        <v>384</v>
      </c>
      <c r="C42" s="136">
        <v>2018</v>
      </c>
      <c r="D42" s="137" t="s">
        <v>344</v>
      </c>
      <c r="E42" s="136" t="s">
        <v>254</v>
      </c>
      <c r="F42" s="136" t="s">
        <v>255</v>
      </c>
      <c r="G42" s="136" t="s">
        <v>42</v>
      </c>
      <c r="H42" s="246" t="s">
        <v>155</v>
      </c>
      <c r="I42" s="246" t="s">
        <v>153</v>
      </c>
      <c r="J42" s="136" t="s">
        <v>38</v>
      </c>
      <c r="K42" s="246" t="s">
        <v>154</v>
      </c>
      <c r="L42" s="246">
        <v>2</v>
      </c>
      <c r="M42" s="246"/>
      <c r="N42" s="246">
        <v>1</v>
      </c>
      <c r="O42" s="246">
        <v>0.55000000000000004</v>
      </c>
      <c r="P42" s="246">
        <v>0.5</v>
      </c>
      <c r="Q42" s="138">
        <f t="shared" si="0"/>
        <v>0.52500000000000002</v>
      </c>
      <c r="R42" s="246">
        <v>16.100000000000001</v>
      </c>
      <c r="S42" s="246">
        <v>137</v>
      </c>
      <c r="T42" s="139">
        <f t="shared" si="1"/>
        <v>25</v>
      </c>
      <c r="U42" s="246">
        <v>98</v>
      </c>
      <c r="V42" s="140">
        <f t="shared" si="2"/>
        <v>2450</v>
      </c>
      <c r="W42" s="246">
        <v>3</v>
      </c>
      <c r="X42" s="136" t="s">
        <v>39</v>
      </c>
      <c r="Y42" s="246" t="s">
        <v>69</v>
      </c>
      <c r="Z42" s="246" t="s">
        <v>90</v>
      </c>
      <c r="AA42" s="246" t="s">
        <v>102</v>
      </c>
      <c r="AB42" s="136" t="s">
        <v>433</v>
      </c>
      <c r="AC42" s="141"/>
    </row>
    <row r="43" spans="1:29" x14ac:dyDescent="0.15">
      <c r="A43" s="136" t="s">
        <v>61</v>
      </c>
      <c r="B43" s="136" t="s">
        <v>384</v>
      </c>
      <c r="C43" s="136">
        <v>2018</v>
      </c>
      <c r="D43" s="137" t="s">
        <v>344</v>
      </c>
      <c r="E43" s="136" t="s">
        <v>254</v>
      </c>
      <c r="F43" s="136" t="s">
        <v>255</v>
      </c>
      <c r="G43" s="136" t="s">
        <v>42</v>
      </c>
      <c r="H43" s="246" t="s">
        <v>155</v>
      </c>
      <c r="I43" s="246" t="s">
        <v>153</v>
      </c>
      <c r="J43" s="136" t="s">
        <v>38</v>
      </c>
      <c r="K43" s="246" t="s">
        <v>154</v>
      </c>
      <c r="L43" s="246">
        <v>3</v>
      </c>
      <c r="M43" s="246"/>
      <c r="N43" s="246">
        <v>1</v>
      </c>
      <c r="O43" s="246">
        <v>0.6</v>
      </c>
      <c r="P43" s="246">
        <v>0.55000000000000004</v>
      </c>
      <c r="Q43" s="138">
        <f t="shared" si="0"/>
        <v>0.57499999999999996</v>
      </c>
      <c r="R43" s="246">
        <v>16.399999999999999</v>
      </c>
      <c r="S43" s="246">
        <v>142</v>
      </c>
      <c r="T43" s="139">
        <f t="shared" si="1"/>
        <v>22</v>
      </c>
      <c r="U43" s="246">
        <v>98</v>
      </c>
      <c r="V43" s="140">
        <f t="shared" si="2"/>
        <v>2156</v>
      </c>
      <c r="W43" s="246">
        <v>3</v>
      </c>
      <c r="X43" s="136" t="s">
        <v>39</v>
      </c>
      <c r="Y43" s="246" t="s">
        <v>69</v>
      </c>
      <c r="Z43" s="246" t="s">
        <v>90</v>
      </c>
      <c r="AA43" s="246" t="s">
        <v>102</v>
      </c>
      <c r="AB43" s="136" t="s">
        <v>433</v>
      </c>
      <c r="AC43" s="141"/>
    </row>
    <row r="44" spans="1:29" x14ac:dyDescent="0.15">
      <c r="A44" s="136" t="s">
        <v>61</v>
      </c>
      <c r="B44" s="136" t="s">
        <v>384</v>
      </c>
      <c r="C44" s="136">
        <v>2018</v>
      </c>
      <c r="D44" s="137" t="s">
        <v>344</v>
      </c>
      <c r="E44" s="136" t="s">
        <v>254</v>
      </c>
      <c r="F44" s="136" t="s">
        <v>255</v>
      </c>
      <c r="G44" s="136" t="s">
        <v>42</v>
      </c>
      <c r="H44" s="246" t="s">
        <v>165</v>
      </c>
      <c r="I44" s="246" t="s">
        <v>153</v>
      </c>
      <c r="J44" s="136" t="s">
        <v>38</v>
      </c>
      <c r="K44" s="246" t="s">
        <v>154</v>
      </c>
      <c r="L44" s="246">
        <v>1</v>
      </c>
      <c r="M44" s="246"/>
      <c r="N44" s="246">
        <v>1</v>
      </c>
      <c r="O44" s="246">
        <v>0.7</v>
      </c>
      <c r="P44" s="246">
        <v>0.75</v>
      </c>
      <c r="Q44" s="138">
        <f t="shared" si="0"/>
        <v>0.72499999999999998</v>
      </c>
      <c r="R44" s="246">
        <v>17.7</v>
      </c>
      <c r="S44" s="246">
        <v>129</v>
      </c>
      <c r="T44" s="139">
        <f t="shared" si="1"/>
        <v>25</v>
      </c>
      <c r="U44" s="246">
        <v>138</v>
      </c>
      <c r="V44" s="140">
        <f t="shared" si="2"/>
        <v>3450</v>
      </c>
      <c r="W44" s="246">
        <v>3</v>
      </c>
      <c r="X44" s="136" t="s">
        <v>39</v>
      </c>
      <c r="Y44" s="246" t="s">
        <v>69</v>
      </c>
      <c r="Z44" s="246" t="s">
        <v>90</v>
      </c>
      <c r="AA44" s="246" t="s">
        <v>102</v>
      </c>
      <c r="AB44" s="136" t="s">
        <v>433</v>
      </c>
      <c r="AC44" s="141"/>
    </row>
    <row r="45" spans="1:29" x14ac:dyDescent="0.15">
      <c r="A45" s="136" t="s">
        <v>61</v>
      </c>
      <c r="B45" s="136" t="s">
        <v>384</v>
      </c>
      <c r="C45" s="136">
        <v>2018</v>
      </c>
      <c r="D45" s="137" t="s">
        <v>344</v>
      </c>
      <c r="E45" s="136" t="s">
        <v>254</v>
      </c>
      <c r="F45" s="136" t="s">
        <v>255</v>
      </c>
      <c r="G45" s="136" t="s">
        <v>42</v>
      </c>
      <c r="H45" s="246" t="s">
        <v>165</v>
      </c>
      <c r="I45" s="246" t="s">
        <v>153</v>
      </c>
      <c r="J45" s="136" t="s">
        <v>38</v>
      </c>
      <c r="K45" s="246" t="s">
        <v>154</v>
      </c>
      <c r="L45" s="246">
        <v>2</v>
      </c>
      <c r="M45" s="246"/>
      <c r="N45" s="246">
        <v>1</v>
      </c>
      <c r="O45" s="246">
        <v>0.7</v>
      </c>
      <c r="P45" s="246">
        <v>0.7</v>
      </c>
      <c r="Q45" s="138">
        <f t="shared" si="0"/>
        <v>0.7</v>
      </c>
      <c r="R45" s="246">
        <v>17.3</v>
      </c>
      <c r="S45" s="246">
        <v>139</v>
      </c>
      <c r="T45" s="139">
        <f t="shared" si="1"/>
        <v>22</v>
      </c>
      <c r="U45" s="246">
        <v>138</v>
      </c>
      <c r="V45" s="140">
        <f t="shared" si="2"/>
        <v>3036</v>
      </c>
      <c r="W45" s="246">
        <v>3</v>
      </c>
      <c r="X45" s="136" t="s">
        <v>39</v>
      </c>
      <c r="Y45" s="246" t="s">
        <v>69</v>
      </c>
      <c r="Z45" s="246" t="s">
        <v>90</v>
      </c>
      <c r="AA45" s="246" t="s">
        <v>102</v>
      </c>
      <c r="AB45" s="136" t="s">
        <v>433</v>
      </c>
      <c r="AC45" s="141"/>
    </row>
    <row r="46" spans="1:29" x14ac:dyDescent="0.15">
      <c r="A46" s="136" t="s">
        <v>61</v>
      </c>
      <c r="B46" s="136" t="s">
        <v>384</v>
      </c>
      <c r="C46" s="136">
        <v>2018</v>
      </c>
      <c r="D46" s="137" t="s">
        <v>344</v>
      </c>
      <c r="E46" s="136" t="s">
        <v>254</v>
      </c>
      <c r="F46" s="136" t="s">
        <v>255</v>
      </c>
      <c r="G46" s="136" t="s">
        <v>42</v>
      </c>
      <c r="H46" s="246" t="s">
        <v>165</v>
      </c>
      <c r="I46" s="246" t="s">
        <v>153</v>
      </c>
      <c r="J46" s="136" t="s">
        <v>38</v>
      </c>
      <c r="K46" s="246" t="s">
        <v>154</v>
      </c>
      <c r="L46" s="246">
        <v>3</v>
      </c>
      <c r="M46" s="246"/>
      <c r="N46" s="246">
        <v>1</v>
      </c>
      <c r="O46" s="246">
        <v>0.65</v>
      </c>
      <c r="P46" s="246">
        <v>0.6</v>
      </c>
      <c r="Q46" s="138">
        <f t="shared" si="0"/>
        <v>0.625</v>
      </c>
      <c r="R46" s="246">
        <v>17.3</v>
      </c>
      <c r="S46" s="246">
        <v>126</v>
      </c>
      <c r="T46" s="139">
        <f t="shared" si="1"/>
        <v>27</v>
      </c>
      <c r="U46" s="246">
        <v>138</v>
      </c>
      <c r="V46" s="140">
        <f t="shared" si="2"/>
        <v>3726</v>
      </c>
      <c r="W46" s="246">
        <v>3</v>
      </c>
      <c r="X46" s="136" t="s">
        <v>39</v>
      </c>
      <c r="Y46" s="246" t="s">
        <v>69</v>
      </c>
      <c r="Z46" s="246" t="s">
        <v>90</v>
      </c>
      <c r="AA46" s="246" t="s">
        <v>102</v>
      </c>
      <c r="AB46" s="136" t="s">
        <v>433</v>
      </c>
      <c r="AC46" s="141"/>
    </row>
    <row r="47" spans="1:29" x14ac:dyDescent="0.15">
      <c r="A47" s="136" t="s">
        <v>61</v>
      </c>
      <c r="B47" s="136" t="s">
        <v>384</v>
      </c>
      <c r="C47" s="136">
        <v>2018</v>
      </c>
      <c r="D47" s="137" t="s">
        <v>344</v>
      </c>
      <c r="E47" s="136" t="s">
        <v>256</v>
      </c>
      <c r="F47" s="136" t="s">
        <v>257</v>
      </c>
      <c r="G47" s="136" t="s">
        <v>42</v>
      </c>
      <c r="H47" s="246" t="s">
        <v>155</v>
      </c>
      <c r="I47" s="246" t="s">
        <v>153</v>
      </c>
      <c r="J47" s="136" t="s">
        <v>38</v>
      </c>
      <c r="K47" s="246" t="s">
        <v>154</v>
      </c>
      <c r="L47" s="246">
        <v>1</v>
      </c>
      <c r="M47" s="246"/>
      <c r="N47" s="246">
        <v>4</v>
      </c>
      <c r="O47" s="246">
        <v>0.6</v>
      </c>
      <c r="P47" s="246">
        <v>0.6</v>
      </c>
      <c r="Q47" s="138">
        <f t="shared" si="0"/>
        <v>0.6</v>
      </c>
      <c r="R47" s="246">
        <v>17.5</v>
      </c>
      <c r="S47" s="246">
        <v>95</v>
      </c>
      <c r="T47" s="139">
        <f t="shared" si="1"/>
        <v>36</v>
      </c>
      <c r="U47" s="246">
        <v>429</v>
      </c>
      <c r="V47" s="140">
        <f t="shared" si="2"/>
        <v>3861</v>
      </c>
      <c r="W47" s="246">
        <v>8</v>
      </c>
      <c r="X47" s="136" t="s">
        <v>39</v>
      </c>
      <c r="Y47" s="246" t="s">
        <v>102</v>
      </c>
      <c r="Z47" s="246" t="s">
        <v>69</v>
      </c>
      <c r="AA47" s="246" t="s">
        <v>84</v>
      </c>
      <c r="AB47" s="136" t="s">
        <v>433</v>
      </c>
      <c r="AC47" s="141"/>
    </row>
    <row r="48" spans="1:29" x14ac:dyDescent="0.15">
      <c r="A48" s="136" t="s">
        <v>61</v>
      </c>
      <c r="B48" s="136" t="s">
        <v>384</v>
      </c>
      <c r="C48" s="136">
        <v>2018</v>
      </c>
      <c r="D48" s="137" t="s">
        <v>344</v>
      </c>
      <c r="E48" s="136" t="s">
        <v>256</v>
      </c>
      <c r="F48" s="136" t="s">
        <v>257</v>
      </c>
      <c r="G48" s="136" t="s">
        <v>42</v>
      </c>
      <c r="H48" s="246" t="s">
        <v>155</v>
      </c>
      <c r="I48" s="246" t="s">
        <v>153</v>
      </c>
      <c r="J48" s="136" t="s">
        <v>38</v>
      </c>
      <c r="K48" s="246" t="s">
        <v>154</v>
      </c>
      <c r="L48" s="246">
        <v>2</v>
      </c>
      <c r="M48" s="246"/>
      <c r="N48" s="246">
        <v>4</v>
      </c>
      <c r="O48" s="246">
        <v>0.6</v>
      </c>
      <c r="P48" s="246">
        <v>0.55000000000000004</v>
      </c>
      <c r="Q48" s="138">
        <f t="shared" si="0"/>
        <v>0.57499999999999996</v>
      </c>
      <c r="R48" s="246">
        <v>17.5</v>
      </c>
      <c r="S48" s="246">
        <v>100</v>
      </c>
      <c r="T48" s="139">
        <f t="shared" si="1"/>
        <v>33</v>
      </c>
      <c r="U48" s="246">
        <v>429</v>
      </c>
      <c r="V48" s="140">
        <f t="shared" si="2"/>
        <v>3539.25</v>
      </c>
      <c r="W48" s="246">
        <v>8</v>
      </c>
      <c r="X48" s="136" t="s">
        <v>39</v>
      </c>
      <c r="Y48" s="246" t="s">
        <v>102</v>
      </c>
      <c r="Z48" s="246" t="s">
        <v>69</v>
      </c>
      <c r="AA48" s="246" t="s">
        <v>84</v>
      </c>
      <c r="AB48" s="136" t="s">
        <v>433</v>
      </c>
      <c r="AC48" s="141"/>
    </row>
    <row r="49" spans="1:29" x14ac:dyDescent="0.15">
      <c r="A49" s="136" t="s">
        <v>61</v>
      </c>
      <c r="B49" s="136" t="s">
        <v>384</v>
      </c>
      <c r="C49" s="136">
        <v>2018</v>
      </c>
      <c r="D49" s="137" t="s">
        <v>344</v>
      </c>
      <c r="E49" s="136" t="s">
        <v>256</v>
      </c>
      <c r="F49" s="136" t="s">
        <v>257</v>
      </c>
      <c r="G49" s="136" t="s">
        <v>42</v>
      </c>
      <c r="H49" s="246" t="s">
        <v>155</v>
      </c>
      <c r="I49" s="246" t="s">
        <v>153</v>
      </c>
      <c r="J49" s="136" t="s">
        <v>38</v>
      </c>
      <c r="K49" s="246" t="s">
        <v>154</v>
      </c>
      <c r="L49" s="246">
        <v>3</v>
      </c>
      <c r="M49" s="246"/>
      <c r="N49" s="246">
        <v>4</v>
      </c>
      <c r="O49" s="246">
        <v>0.6</v>
      </c>
      <c r="P49" s="246">
        <v>0.5</v>
      </c>
      <c r="Q49" s="138">
        <f t="shared" si="0"/>
        <v>0.55000000000000004</v>
      </c>
      <c r="R49" s="246">
        <v>17.399999999999999</v>
      </c>
      <c r="S49" s="246">
        <v>97</v>
      </c>
      <c r="T49" s="139">
        <f t="shared" si="1"/>
        <v>36</v>
      </c>
      <c r="U49" s="246">
        <v>429</v>
      </c>
      <c r="V49" s="140">
        <f t="shared" si="2"/>
        <v>3861</v>
      </c>
      <c r="W49" s="246">
        <v>8</v>
      </c>
      <c r="X49" s="136" t="s">
        <v>39</v>
      </c>
      <c r="Y49" s="246" t="s">
        <v>102</v>
      </c>
      <c r="Z49" s="246" t="s">
        <v>69</v>
      </c>
      <c r="AA49" s="246" t="s">
        <v>84</v>
      </c>
      <c r="AB49" s="136" t="s">
        <v>433</v>
      </c>
      <c r="AC49" s="141"/>
    </row>
    <row r="50" spans="1:29" x14ac:dyDescent="0.15">
      <c r="A50" s="136" t="s">
        <v>61</v>
      </c>
      <c r="B50" s="136" t="s">
        <v>384</v>
      </c>
      <c r="C50" s="136">
        <v>2018</v>
      </c>
      <c r="D50" s="137" t="s">
        <v>344</v>
      </c>
      <c r="E50" s="136" t="s">
        <v>256</v>
      </c>
      <c r="F50" s="136" t="s">
        <v>257</v>
      </c>
      <c r="G50" s="136" t="s">
        <v>42</v>
      </c>
      <c r="H50" s="246" t="s">
        <v>165</v>
      </c>
      <c r="I50" s="246" t="s">
        <v>153</v>
      </c>
      <c r="J50" s="136" t="s">
        <v>38</v>
      </c>
      <c r="K50" s="246" t="s">
        <v>154</v>
      </c>
      <c r="L50" s="246">
        <v>1</v>
      </c>
      <c r="M50" s="246"/>
      <c r="N50" s="246">
        <v>3</v>
      </c>
      <c r="O50" s="246">
        <v>0.7</v>
      </c>
      <c r="P50" s="246">
        <v>0.7</v>
      </c>
      <c r="Q50" s="138">
        <f t="shared" si="0"/>
        <v>0.7</v>
      </c>
      <c r="R50" s="246">
        <v>17.2</v>
      </c>
      <c r="S50" s="246">
        <v>136</v>
      </c>
      <c r="T50" s="139">
        <f t="shared" si="1"/>
        <v>25</v>
      </c>
      <c r="U50" s="246">
        <v>494</v>
      </c>
      <c r="V50" s="140">
        <f t="shared" si="2"/>
        <v>4116.6666666666661</v>
      </c>
      <c r="W50" s="246">
        <v>8</v>
      </c>
      <c r="X50" s="136" t="s">
        <v>39</v>
      </c>
      <c r="Y50" s="246" t="s">
        <v>102</v>
      </c>
      <c r="Z50" s="246" t="s">
        <v>69</v>
      </c>
      <c r="AA50" s="246" t="s">
        <v>84</v>
      </c>
      <c r="AB50" s="136" t="s">
        <v>433</v>
      </c>
      <c r="AC50" s="141"/>
    </row>
    <row r="51" spans="1:29" x14ac:dyDescent="0.15">
      <c r="A51" s="136" t="s">
        <v>61</v>
      </c>
      <c r="B51" s="136" t="s">
        <v>384</v>
      </c>
      <c r="C51" s="136">
        <v>2018</v>
      </c>
      <c r="D51" s="137" t="s">
        <v>344</v>
      </c>
      <c r="E51" s="136" t="s">
        <v>256</v>
      </c>
      <c r="F51" s="136" t="s">
        <v>257</v>
      </c>
      <c r="G51" s="136" t="s">
        <v>42</v>
      </c>
      <c r="H51" s="246" t="s">
        <v>165</v>
      </c>
      <c r="I51" s="246" t="s">
        <v>153</v>
      </c>
      <c r="J51" s="136" t="s">
        <v>38</v>
      </c>
      <c r="K51" s="246" t="s">
        <v>154</v>
      </c>
      <c r="L51" s="246">
        <v>2</v>
      </c>
      <c r="M51" s="246"/>
      <c r="N51" s="246">
        <v>3</v>
      </c>
      <c r="O51" s="246">
        <v>0.7</v>
      </c>
      <c r="P51" s="246">
        <v>0.7</v>
      </c>
      <c r="Q51" s="138">
        <f t="shared" si="0"/>
        <v>0.7</v>
      </c>
      <c r="R51" s="246">
        <v>17.8</v>
      </c>
      <c r="S51" s="246">
        <v>129</v>
      </c>
      <c r="T51" s="139">
        <f t="shared" si="1"/>
        <v>25</v>
      </c>
      <c r="U51" s="246">
        <v>494</v>
      </c>
      <c r="V51" s="140">
        <f t="shared" si="2"/>
        <v>4116.6666666666661</v>
      </c>
      <c r="W51" s="246">
        <v>8</v>
      </c>
      <c r="X51" s="136" t="s">
        <v>39</v>
      </c>
      <c r="Y51" s="246" t="s">
        <v>102</v>
      </c>
      <c r="Z51" s="246" t="s">
        <v>69</v>
      </c>
      <c r="AA51" s="246" t="s">
        <v>84</v>
      </c>
      <c r="AB51" s="136" t="s">
        <v>433</v>
      </c>
      <c r="AC51" s="141"/>
    </row>
    <row r="52" spans="1:29" x14ac:dyDescent="0.15">
      <c r="A52" s="136" t="s">
        <v>61</v>
      </c>
      <c r="B52" s="136" t="s">
        <v>384</v>
      </c>
      <c r="C52" s="136">
        <v>2018</v>
      </c>
      <c r="D52" s="137" t="s">
        <v>344</v>
      </c>
      <c r="E52" s="136" t="s">
        <v>256</v>
      </c>
      <c r="F52" s="136" t="s">
        <v>257</v>
      </c>
      <c r="G52" s="136" t="s">
        <v>42</v>
      </c>
      <c r="H52" s="246" t="s">
        <v>165</v>
      </c>
      <c r="I52" s="246" t="s">
        <v>153</v>
      </c>
      <c r="J52" s="136" t="s">
        <v>38</v>
      </c>
      <c r="K52" s="246" t="s">
        <v>154</v>
      </c>
      <c r="L52" s="246">
        <v>3</v>
      </c>
      <c r="M52" s="246"/>
      <c r="N52" s="246">
        <v>3</v>
      </c>
      <c r="O52" s="246">
        <v>0.65</v>
      </c>
      <c r="P52" s="246">
        <v>0.6</v>
      </c>
      <c r="Q52" s="138">
        <f t="shared" si="0"/>
        <v>0.625</v>
      </c>
      <c r="R52" s="246">
        <v>17.600000000000001</v>
      </c>
      <c r="S52" s="246">
        <v>129</v>
      </c>
      <c r="T52" s="139">
        <f t="shared" si="1"/>
        <v>25</v>
      </c>
      <c r="U52" s="246">
        <v>494</v>
      </c>
      <c r="V52" s="140">
        <f t="shared" si="2"/>
        <v>4116.6666666666661</v>
      </c>
      <c r="W52" s="246">
        <v>8</v>
      </c>
      <c r="X52" s="136" t="s">
        <v>39</v>
      </c>
      <c r="Y52" s="246" t="s">
        <v>102</v>
      </c>
      <c r="Z52" s="246" t="s">
        <v>69</v>
      </c>
      <c r="AA52" s="246" t="s">
        <v>84</v>
      </c>
      <c r="AB52" s="136" t="s">
        <v>433</v>
      </c>
      <c r="AC52" s="141"/>
    </row>
    <row r="53" spans="1:29" x14ac:dyDescent="0.15">
      <c r="A53" s="136" t="s">
        <v>61</v>
      </c>
      <c r="B53" s="136" t="s">
        <v>384</v>
      </c>
      <c r="C53" s="136">
        <v>2018</v>
      </c>
      <c r="D53" s="137" t="s">
        <v>344</v>
      </c>
      <c r="E53" s="136" t="s">
        <v>133</v>
      </c>
      <c r="F53" s="136" t="s">
        <v>258</v>
      </c>
      <c r="G53" s="136" t="s">
        <v>42</v>
      </c>
      <c r="H53" s="246" t="s">
        <v>155</v>
      </c>
      <c r="I53" s="246" t="s">
        <v>153</v>
      </c>
      <c r="J53" s="136" t="s">
        <v>38</v>
      </c>
      <c r="K53" s="246" t="s">
        <v>154</v>
      </c>
      <c r="L53" s="246">
        <v>1</v>
      </c>
      <c r="M53" s="246"/>
      <c r="N53" s="246">
        <v>1</v>
      </c>
      <c r="O53" s="246">
        <v>0.5</v>
      </c>
      <c r="P53" s="246">
        <v>0.5</v>
      </c>
      <c r="Q53" s="138">
        <f t="shared" si="0"/>
        <v>0.5</v>
      </c>
      <c r="R53" s="246">
        <v>15.8</v>
      </c>
      <c r="S53" s="246">
        <v>140</v>
      </c>
      <c r="T53" s="139">
        <f t="shared" si="1"/>
        <v>22</v>
      </c>
      <c r="U53" s="246">
        <v>105</v>
      </c>
      <c r="V53" s="140">
        <f t="shared" si="2"/>
        <v>2310</v>
      </c>
      <c r="W53" s="246">
        <v>15</v>
      </c>
      <c r="X53" s="136" t="s">
        <v>46</v>
      </c>
      <c r="Y53" s="246" t="s">
        <v>69</v>
      </c>
      <c r="Z53" s="246" t="s">
        <v>102</v>
      </c>
      <c r="AA53" s="246" t="s">
        <v>90</v>
      </c>
      <c r="AB53" s="136" t="s">
        <v>433</v>
      </c>
      <c r="AC53" s="246"/>
    </row>
    <row r="54" spans="1:29" x14ac:dyDescent="0.15">
      <c r="A54" s="136" t="s">
        <v>61</v>
      </c>
      <c r="B54" s="136" t="s">
        <v>384</v>
      </c>
      <c r="C54" s="136">
        <v>2018</v>
      </c>
      <c r="D54" s="137" t="s">
        <v>344</v>
      </c>
      <c r="E54" s="136" t="s">
        <v>133</v>
      </c>
      <c r="F54" s="136" t="s">
        <v>258</v>
      </c>
      <c r="G54" s="136" t="s">
        <v>42</v>
      </c>
      <c r="H54" s="246" t="s">
        <v>155</v>
      </c>
      <c r="I54" s="246" t="s">
        <v>153</v>
      </c>
      <c r="J54" s="136" t="s">
        <v>38</v>
      </c>
      <c r="K54" s="246" t="s">
        <v>154</v>
      </c>
      <c r="L54" s="246">
        <v>2</v>
      </c>
      <c r="M54" s="246"/>
      <c r="N54" s="246">
        <v>1</v>
      </c>
      <c r="O54" s="246">
        <v>0.55000000000000004</v>
      </c>
      <c r="P54" s="246">
        <v>0.5</v>
      </c>
      <c r="Q54" s="138">
        <f t="shared" si="0"/>
        <v>0.52500000000000002</v>
      </c>
      <c r="R54" s="246">
        <v>16.100000000000001</v>
      </c>
      <c r="S54" s="246">
        <v>144</v>
      </c>
      <c r="T54" s="139">
        <f t="shared" si="1"/>
        <v>22</v>
      </c>
      <c r="U54" s="246">
        <v>105</v>
      </c>
      <c r="V54" s="140">
        <f t="shared" si="2"/>
        <v>2310</v>
      </c>
      <c r="W54" s="246">
        <v>15</v>
      </c>
      <c r="X54" s="136" t="s">
        <v>46</v>
      </c>
      <c r="Y54" s="246" t="s">
        <v>69</v>
      </c>
      <c r="Z54" s="246" t="s">
        <v>102</v>
      </c>
      <c r="AA54" s="246" t="s">
        <v>90</v>
      </c>
      <c r="AB54" s="136" t="s">
        <v>433</v>
      </c>
      <c r="AC54" s="246"/>
    </row>
    <row r="55" spans="1:29" x14ac:dyDescent="0.15">
      <c r="A55" s="136" t="s">
        <v>61</v>
      </c>
      <c r="B55" s="136" t="s">
        <v>384</v>
      </c>
      <c r="C55" s="136">
        <v>2018</v>
      </c>
      <c r="D55" s="137" t="s">
        <v>344</v>
      </c>
      <c r="E55" s="136" t="s">
        <v>133</v>
      </c>
      <c r="F55" s="136" t="s">
        <v>258</v>
      </c>
      <c r="G55" s="136" t="s">
        <v>42</v>
      </c>
      <c r="H55" s="246" t="s">
        <v>155</v>
      </c>
      <c r="I55" s="246" t="s">
        <v>153</v>
      </c>
      <c r="J55" s="136" t="s">
        <v>38</v>
      </c>
      <c r="K55" s="246" t="s">
        <v>154</v>
      </c>
      <c r="L55" s="246">
        <v>3</v>
      </c>
      <c r="M55" s="246"/>
      <c r="N55" s="246">
        <v>1</v>
      </c>
      <c r="O55" s="246">
        <v>0.5</v>
      </c>
      <c r="P55" s="246">
        <v>0.5</v>
      </c>
      <c r="Q55" s="138">
        <f t="shared" si="0"/>
        <v>0.5</v>
      </c>
      <c r="R55" s="246">
        <v>16.3</v>
      </c>
      <c r="S55" s="246">
        <v>143</v>
      </c>
      <c r="T55" s="139">
        <f t="shared" si="1"/>
        <v>22</v>
      </c>
      <c r="U55" s="246">
        <v>105</v>
      </c>
      <c r="V55" s="140">
        <f t="shared" si="2"/>
        <v>2310</v>
      </c>
      <c r="W55" s="246">
        <v>15</v>
      </c>
      <c r="X55" s="136" t="s">
        <v>46</v>
      </c>
      <c r="Y55" s="246" t="s">
        <v>69</v>
      </c>
      <c r="Z55" s="246" t="s">
        <v>102</v>
      </c>
      <c r="AA55" s="246" t="s">
        <v>90</v>
      </c>
      <c r="AB55" s="136" t="s">
        <v>433</v>
      </c>
      <c r="AC55" s="246"/>
    </row>
    <row r="56" spans="1:29" x14ac:dyDescent="0.15">
      <c r="A56" s="136" t="s">
        <v>61</v>
      </c>
      <c r="B56" s="136" t="s">
        <v>384</v>
      </c>
      <c r="C56" s="136">
        <v>2018</v>
      </c>
      <c r="D56" s="137" t="s">
        <v>344</v>
      </c>
      <c r="E56" s="136" t="s">
        <v>133</v>
      </c>
      <c r="F56" s="136" t="s">
        <v>258</v>
      </c>
      <c r="G56" s="136" t="s">
        <v>42</v>
      </c>
      <c r="H56" s="246" t="s">
        <v>165</v>
      </c>
      <c r="I56" s="246" t="s">
        <v>153</v>
      </c>
      <c r="J56" s="136" t="s">
        <v>38</v>
      </c>
      <c r="K56" s="246" t="s">
        <v>154</v>
      </c>
      <c r="L56" s="246">
        <v>1</v>
      </c>
      <c r="M56" s="246"/>
      <c r="N56" s="246">
        <v>1</v>
      </c>
      <c r="O56" s="246">
        <v>0.6</v>
      </c>
      <c r="P56" s="246">
        <v>0.6</v>
      </c>
      <c r="Q56" s="138">
        <f t="shared" si="0"/>
        <v>0.6</v>
      </c>
      <c r="R56" s="246">
        <v>17.5</v>
      </c>
      <c r="S56" s="246">
        <v>153</v>
      </c>
      <c r="T56" s="139">
        <f t="shared" si="1"/>
        <v>18</v>
      </c>
      <c r="U56" s="246">
        <v>159</v>
      </c>
      <c r="V56" s="140">
        <f t="shared" si="2"/>
        <v>2862</v>
      </c>
      <c r="W56" s="246">
        <v>15</v>
      </c>
      <c r="X56" s="136" t="s">
        <v>46</v>
      </c>
      <c r="Y56" s="246" t="s">
        <v>69</v>
      </c>
      <c r="Z56" s="246" t="s">
        <v>102</v>
      </c>
      <c r="AA56" s="246" t="s">
        <v>90</v>
      </c>
      <c r="AB56" s="136" t="s">
        <v>433</v>
      </c>
      <c r="AC56" s="246"/>
    </row>
    <row r="57" spans="1:29" x14ac:dyDescent="0.15">
      <c r="A57" s="136" t="s">
        <v>61</v>
      </c>
      <c r="B57" s="136" t="s">
        <v>384</v>
      </c>
      <c r="C57" s="136">
        <v>2018</v>
      </c>
      <c r="D57" s="137" t="s">
        <v>344</v>
      </c>
      <c r="E57" s="136" t="s">
        <v>133</v>
      </c>
      <c r="F57" s="136" t="s">
        <v>258</v>
      </c>
      <c r="G57" s="136" t="s">
        <v>42</v>
      </c>
      <c r="H57" s="246" t="s">
        <v>165</v>
      </c>
      <c r="I57" s="246" t="s">
        <v>153</v>
      </c>
      <c r="J57" s="136" t="s">
        <v>38</v>
      </c>
      <c r="K57" s="246" t="s">
        <v>154</v>
      </c>
      <c r="L57" s="246">
        <v>2</v>
      </c>
      <c r="M57" s="246"/>
      <c r="N57" s="246">
        <v>1</v>
      </c>
      <c r="O57" s="246">
        <v>0.6</v>
      </c>
      <c r="P57" s="246">
        <v>0.55000000000000004</v>
      </c>
      <c r="Q57" s="138">
        <f t="shared" si="0"/>
        <v>0.57499999999999996</v>
      </c>
      <c r="R57" s="246">
        <v>17.5</v>
      </c>
      <c r="S57" s="246">
        <v>170</v>
      </c>
      <c r="T57" s="139">
        <f t="shared" si="1"/>
        <v>18</v>
      </c>
      <c r="U57" s="246">
        <v>159</v>
      </c>
      <c r="V57" s="140">
        <f t="shared" si="2"/>
        <v>2862</v>
      </c>
      <c r="W57" s="246">
        <v>15</v>
      </c>
      <c r="X57" s="136" t="s">
        <v>46</v>
      </c>
      <c r="Y57" s="246" t="s">
        <v>69</v>
      </c>
      <c r="Z57" s="246" t="s">
        <v>102</v>
      </c>
      <c r="AA57" s="246" t="s">
        <v>90</v>
      </c>
      <c r="AB57" s="136" t="s">
        <v>433</v>
      </c>
      <c r="AC57" s="246"/>
    </row>
    <row r="58" spans="1:29" x14ac:dyDescent="0.15">
      <c r="A58" s="136" t="s">
        <v>61</v>
      </c>
      <c r="B58" s="136" t="s">
        <v>384</v>
      </c>
      <c r="C58" s="136">
        <v>2018</v>
      </c>
      <c r="D58" s="137" t="s">
        <v>344</v>
      </c>
      <c r="E58" s="136" t="s">
        <v>133</v>
      </c>
      <c r="F58" s="136" t="s">
        <v>258</v>
      </c>
      <c r="G58" s="136" t="s">
        <v>42</v>
      </c>
      <c r="H58" s="246" t="s">
        <v>165</v>
      </c>
      <c r="I58" s="246" t="s">
        <v>153</v>
      </c>
      <c r="J58" s="136" t="s">
        <v>38</v>
      </c>
      <c r="K58" s="246" t="s">
        <v>154</v>
      </c>
      <c r="L58" s="246">
        <v>3</v>
      </c>
      <c r="M58" s="246"/>
      <c r="N58" s="246">
        <v>1</v>
      </c>
      <c r="O58" s="246">
        <v>0.6</v>
      </c>
      <c r="P58" s="246">
        <v>0.6</v>
      </c>
      <c r="Q58" s="138">
        <f t="shared" si="0"/>
        <v>0.6</v>
      </c>
      <c r="R58" s="246">
        <v>17.100000000000001</v>
      </c>
      <c r="S58" s="246">
        <v>160</v>
      </c>
      <c r="T58" s="139">
        <f t="shared" si="1"/>
        <v>18</v>
      </c>
      <c r="U58" s="246">
        <v>159</v>
      </c>
      <c r="V58" s="140">
        <f t="shared" si="2"/>
        <v>2862</v>
      </c>
      <c r="W58" s="246">
        <v>15</v>
      </c>
      <c r="X58" s="136" t="s">
        <v>46</v>
      </c>
      <c r="Y58" s="246" t="s">
        <v>69</v>
      </c>
      <c r="Z58" s="246" t="s">
        <v>102</v>
      </c>
      <c r="AA58" s="246" t="s">
        <v>90</v>
      </c>
      <c r="AB58" s="136" t="s">
        <v>433</v>
      </c>
      <c r="AC58" s="246"/>
    </row>
    <row r="59" spans="1:29" x14ac:dyDescent="0.15">
      <c r="A59" s="136" t="s">
        <v>61</v>
      </c>
      <c r="B59" s="136" t="s">
        <v>384</v>
      </c>
      <c r="C59" s="136">
        <v>2018</v>
      </c>
      <c r="D59" s="137" t="s">
        <v>344</v>
      </c>
      <c r="E59" s="136" t="s">
        <v>133</v>
      </c>
      <c r="F59" s="136" t="s">
        <v>258</v>
      </c>
      <c r="G59" s="136" t="s">
        <v>42</v>
      </c>
      <c r="H59" s="246" t="s">
        <v>128</v>
      </c>
      <c r="I59" s="246" t="s">
        <v>153</v>
      </c>
      <c r="J59" s="136" t="s">
        <v>80</v>
      </c>
      <c r="K59" s="246" t="s">
        <v>45</v>
      </c>
      <c r="L59" s="246">
        <v>1</v>
      </c>
      <c r="M59" s="246"/>
      <c r="N59" s="246">
        <v>5</v>
      </c>
      <c r="O59" s="246">
        <v>0.9</v>
      </c>
      <c r="P59" s="246">
        <v>0.9</v>
      </c>
      <c r="Q59" s="138">
        <f t="shared" si="0"/>
        <v>0.9</v>
      </c>
      <c r="R59" s="246">
        <v>15.7</v>
      </c>
      <c r="S59" s="246">
        <v>86</v>
      </c>
      <c r="T59" s="139">
        <f t="shared" si="1"/>
        <v>36</v>
      </c>
      <c r="U59" s="246">
        <v>429</v>
      </c>
      <c r="V59" s="140">
        <f t="shared" si="2"/>
        <v>3088.7999999999997</v>
      </c>
      <c r="W59" s="246">
        <v>15</v>
      </c>
      <c r="X59" s="136" t="s">
        <v>46</v>
      </c>
      <c r="Y59" s="246" t="s">
        <v>69</v>
      </c>
      <c r="Z59" s="246" t="s">
        <v>102</v>
      </c>
      <c r="AA59" s="246" t="s">
        <v>90</v>
      </c>
      <c r="AB59" s="136" t="s">
        <v>433</v>
      </c>
      <c r="AC59" s="141"/>
    </row>
    <row r="60" spans="1:29" x14ac:dyDescent="0.15">
      <c r="A60" s="136" t="s">
        <v>61</v>
      </c>
      <c r="B60" s="136" t="s">
        <v>384</v>
      </c>
      <c r="C60" s="136">
        <v>2018</v>
      </c>
      <c r="D60" s="137" t="s">
        <v>344</v>
      </c>
      <c r="E60" s="136" t="s">
        <v>133</v>
      </c>
      <c r="F60" s="136" t="s">
        <v>258</v>
      </c>
      <c r="G60" s="136" t="s">
        <v>42</v>
      </c>
      <c r="H60" s="246" t="s">
        <v>128</v>
      </c>
      <c r="I60" s="246" t="s">
        <v>153</v>
      </c>
      <c r="J60" s="136" t="s">
        <v>80</v>
      </c>
      <c r="K60" s="246" t="s">
        <v>45</v>
      </c>
      <c r="L60" s="246">
        <v>2</v>
      </c>
      <c r="M60" s="246"/>
      <c r="N60" s="246">
        <v>5</v>
      </c>
      <c r="O60" s="246">
        <v>0.85</v>
      </c>
      <c r="P60" s="246">
        <v>0.85</v>
      </c>
      <c r="Q60" s="138">
        <f t="shared" si="0"/>
        <v>0.85</v>
      </c>
      <c r="R60" s="246">
        <v>15.4</v>
      </c>
      <c r="S60" s="246">
        <v>87</v>
      </c>
      <c r="T60" s="139">
        <f t="shared" si="1"/>
        <v>36</v>
      </c>
      <c r="U60" s="246">
        <v>429</v>
      </c>
      <c r="V60" s="140">
        <f t="shared" si="2"/>
        <v>3088.7999999999997</v>
      </c>
      <c r="W60" s="246">
        <v>15</v>
      </c>
      <c r="X60" s="136" t="s">
        <v>46</v>
      </c>
      <c r="Y60" s="246" t="s">
        <v>69</v>
      </c>
      <c r="Z60" s="246" t="s">
        <v>102</v>
      </c>
      <c r="AA60" s="246" t="s">
        <v>90</v>
      </c>
      <c r="AB60" s="136" t="s">
        <v>433</v>
      </c>
      <c r="AC60" s="141"/>
    </row>
    <row r="61" spans="1:29" x14ac:dyDescent="0.15">
      <c r="A61" s="136" t="s">
        <v>61</v>
      </c>
      <c r="B61" s="136" t="s">
        <v>384</v>
      </c>
      <c r="C61" s="136">
        <v>2018</v>
      </c>
      <c r="D61" s="137" t="s">
        <v>344</v>
      </c>
      <c r="E61" s="136" t="s">
        <v>133</v>
      </c>
      <c r="F61" s="136" t="s">
        <v>258</v>
      </c>
      <c r="G61" s="136" t="s">
        <v>42</v>
      </c>
      <c r="H61" s="246" t="s">
        <v>128</v>
      </c>
      <c r="I61" s="246" t="s">
        <v>153</v>
      </c>
      <c r="J61" s="136" t="s">
        <v>80</v>
      </c>
      <c r="K61" s="246" t="s">
        <v>45</v>
      </c>
      <c r="L61" s="246">
        <v>3</v>
      </c>
      <c r="M61" s="246"/>
      <c r="N61" s="246">
        <v>5</v>
      </c>
      <c r="O61" s="246">
        <v>0.9</v>
      </c>
      <c r="P61" s="246">
        <v>0.9</v>
      </c>
      <c r="Q61" s="138">
        <f t="shared" si="0"/>
        <v>0.9</v>
      </c>
      <c r="R61" s="246">
        <v>16.100000000000001</v>
      </c>
      <c r="S61" s="246">
        <v>80</v>
      </c>
      <c r="T61" s="139">
        <f t="shared" si="1"/>
        <v>39</v>
      </c>
      <c r="U61" s="246">
        <v>429</v>
      </c>
      <c r="V61" s="140">
        <f t="shared" si="2"/>
        <v>3346.2</v>
      </c>
      <c r="W61" s="246">
        <v>15</v>
      </c>
      <c r="X61" s="136" t="s">
        <v>46</v>
      </c>
      <c r="Y61" s="246" t="s">
        <v>69</v>
      </c>
      <c r="Z61" s="246" t="s">
        <v>102</v>
      </c>
      <c r="AA61" s="246" t="s">
        <v>90</v>
      </c>
      <c r="AB61" s="136" t="s">
        <v>433</v>
      </c>
      <c r="AC61" s="141"/>
    </row>
    <row r="62" spans="1:29" x14ac:dyDescent="0.15">
      <c r="A62" s="136" t="s">
        <v>61</v>
      </c>
      <c r="B62" s="136" t="s">
        <v>384</v>
      </c>
      <c r="C62" s="136">
        <v>2018</v>
      </c>
      <c r="D62" s="137" t="s">
        <v>344</v>
      </c>
      <c r="E62" s="136" t="s">
        <v>259</v>
      </c>
      <c r="F62" s="136" t="s">
        <v>260</v>
      </c>
      <c r="G62" s="136" t="s">
        <v>42</v>
      </c>
      <c r="H62" s="246" t="s">
        <v>155</v>
      </c>
      <c r="I62" s="246" t="s">
        <v>153</v>
      </c>
      <c r="J62" s="136" t="s">
        <v>38</v>
      </c>
      <c r="K62" s="246" t="s">
        <v>154</v>
      </c>
      <c r="L62" s="246">
        <v>1</v>
      </c>
      <c r="M62" s="246"/>
      <c r="N62" s="246">
        <v>4</v>
      </c>
      <c r="O62" s="246">
        <v>0.5</v>
      </c>
      <c r="P62" s="246">
        <v>0.5</v>
      </c>
      <c r="Q62" s="138">
        <f t="shared" si="0"/>
        <v>0.5</v>
      </c>
      <c r="R62" s="246">
        <v>17.2</v>
      </c>
      <c r="S62" s="246">
        <v>107</v>
      </c>
      <c r="T62" s="139">
        <f t="shared" si="1"/>
        <v>33</v>
      </c>
      <c r="U62" s="246">
        <v>398</v>
      </c>
      <c r="V62" s="140">
        <f t="shared" si="2"/>
        <v>3283.5</v>
      </c>
      <c r="W62" s="246">
        <v>18</v>
      </c>
      <c r="X62" s="136" t="s">
        <v>46</v>
      </c>
      <c r="Y62" s="246" t="s">
        <v>90</v>
      </c>
      <c r="Z62" s="246" t="s">
        <v>84</v>
      </c>
      <c r="AA62" s="246" t="s">
        <v>78</v>
      </c>
      <c r="AB62" s="136" t="s">
        <v>433</v>
      </c>
      <c r="AC62" s="141"/>
    </row>
    <row r="63" spans="1:29" x14ac:dyDescent="0.15">
      <c r="A63" s="136" t="s">
        <v>61</v>
      </c>
      <c r="B63" s="136" t="s">
        <v>384</v>
      </c>
      <c r="C63" s="136">
        <v>2018</v>
      </c>
      <c r="D63" s="137" t="s">
        <v>344</v>
      </c>
      <c r="E63" s="136" t="s">
        <v>259</v>
      </c>
      <c r="F63" s="136" t="s">
        <v>260</v>
      </c>
      <c r="G63" s="136" t="s">
        <v>42</v>
      </c>
      <c r="H63" s="246" t="s">
        <v>155</v>
      </c>
      <c r="I63" s="246" t="s">
        <v>153</v>
      </c>
      <c r="J63" s="136" t="s">
        <v>38</v>
      </c>
      <c r="K63" s="246" t="s">
        <v>154</v>
      </c>
      <c r="L63" s="246">
        <v>2</v>
      </c>
      <c r="M63" s="246"/>
      <c r="N63" s="246">
        <v>4</v>
      </c>
      <c r="O63" s="246">
        <v>0.5</v>
      </c>
      <c r="P63" s="246">
        <v>0.55000000000000004</v>
      </c>
      <c r="Q63" s="138">
        <f t="shared" si="0"/>
        <v>0.52500000000000002</v>
      </c>
      <c r="R63" s="246">
        <v>17.3</v>
      </c>
      <c r="S63" s="246">
        <v>98</v>
      </c>
      <c r="T63" s="139">
        <f t="shared" si="1"/>
        <v>36</v>
      </c>
      <c r="U63" s="246">
        <v>398</v>
      </c>
      <c r="V63" s="140">
        <f t="shared" si="2"/>
        <v>3582</v>
      </c>
      <c r="W63" s="246">
        <v>18</v>
      </c>
      <c r="X63" s="136" t="s">
        <v>46</v>
      </c>
      <c r="Y63" s="246" t="s">
        <v>90</v>
      </c>
      <c r="Z63" s="246" t="s">
        <v>84</v>
      </c>
      <c r="AA63" s="246" t="s">
        <v>78</v>
      </c>
      <c r="AB63" s="136" t="s">
        <v>433</v>
      </c>
      <c r="AC63" s="141"/>
    </row>
    <row r="64" spans="1:29" x14ac:dyDescent="0.15">
      <c r="A64" s="136" t="s">
        <v>61</v>
      </c>
      <c r="B64" s="136" t="s">
        <v>384</v>
      </c>
      <c r="C64" s="136">
        <v>2018</v>
      </c>
      <c r="D64" s="137" t="s">
        <v>344</v>
      </c>
      <c r="E64" s="136" t="s">
        <v>259</v>
      </c>
      <c r="F64" s="136" t="s">
        <v>260</v>
      </c>
      <c r="G64" s="136" t="s">
        <v>42</v>
      </c>
      <c r="H64" s="246" t="s">
        <v>155</v>
      </c>
      <c r="I64" s="246" t="s">
        <v>153</v>
      </c>
      <c r="J64" s="136" t="s">
        <v>38</v>
      </c>
      <c r="K64" s="246" t="s">
        <v>154</v>
      </c>
      <c r="L64" s="246">
        <v>3</v>
      </c>
      <c r="M64" s="246"/>
      <c r="N64" s="246">
        <v>4</v>
      </c>
      <c r="O64" s="246">
        <v>0.5</v>
      </c>
      <c r="P64" s="246">
        <v>0.6</v>
      </c>
      <c r="Q64" s="138">
        <f t="shared" si="0"/>
        <v>0.55000000000000004</v>
      </c>
      <c r="R64" s="246">
        <v>16.8</v>
      </c>
      <c r="S64" s="246">
        <v>99</v>
      </c>
      <c r="T64" s="139">
        <f t="shared" si="1"/>
        <v>33</v>
      </c>
      <c r="U64" s="246">
        <v>398</v>
      </c>
      <c r="V64" s="140">
        <f t="shared" si="2"/>
        <v>3283.5</v>
      </c>
      <c r="W64" s="246">
        <v>18</v>
      </c>
      <c r="X64" s="136" t="s">
        <v>46</v>
      </c>
      <c r="Y64" s="246" t="s">
        <v>90</v>
      </c>
      <c r="Z64" s="246" t="s">
        <v>84</v>
      </c>
      <c r="AA64" s="246" t="s">
        <v>78</v>
      </c>
      <c r="AB64" s="136" t="s">
        <v>433</v>
      </c>
      <c r="AC64" s="141"/>
    </row>
    <row r="65" spans="1:29" x14ac:dyDescent="0.15">
      <c r="A65" s="136" t="s">
        <v>61</v>
      </c>
      <c r="B65" s="136" t="s">
        <v>384</v>
      </c>
      <c r="C65" s="136">
        <v>2018</v>
      </c>
      <c r="D65" s="137" t="s">
        <v>344</v>
      </c>
      <c r="E65" s="136" t="s">
        <v>259</v>
      </c>
      <c r="F65" s="136" t="s">
        <v>260</v>
      </c>
      <c r="G65" s="136" t="s">
        <v>42</v>
      </c>
      <c r="H65" s="246" t="s">
        <v>165</v>
      </c>
      <c r="I65" s="246" t="s">
        <v>153</v>
      </c>
      <c r="J65" s="136" t="s">
        <v>38</v>
      </c>
      <c r="K65" s="246" t="s">
        <v>154</v>
      </c>
      <c r="L65" s="246">
        <v>1</v>
      </c>
      <c r="M65" s="246"/>
      <c r="N65" s="246">
        <v>1</v>
      </c>
      <c r="O65" s="246">
        <v>0.6</v>
      </c>
      <c r="P65" s="246">
        <v>0.6</v>
      </c>
      <c r="Q65" s="138">
        <f t="shared" si="0"/>
        <v>0.6</v>
      </c>
      <c r="R65" s="246">
        <v>17.5</v>
      </c>
      <c r="S65" s="246">
        <v>136</v>
      </c>
      <c r="T65" s="139">
        <f t="shared" si="1"/>
        <v>25</v>
      </c>
      <c r="U65" s="246">
        <v>158</v>
      </c>
      <c r="V65" s="140">
        <f t="shared" si="2"/>
        <v>3950</v>
      </c>
      <c r="W65" s="246">
        <v>18</v>
      </c>
      <c r="X65" s="136" t="s">
        <v>46</v>
      </c>
      <c r="Y65" s="246" t="s">
        <v>90</v>
      </c>
      <c r="Z65" s="246" t="s">
        <v>84</v>
      </c>
      <c r="AA65" s="246" t="s">
        <v>78</v>
      </c>
      <c r="AB65" s="136" t="s">
        <v>433</v>
      </c>
      <c r="AC65" s="141"/>
    </row>
    <row r="66" spans="1:29" x14ac:dyDescent="0.15">
      <c r="A66" s="136" t="s">
        <v>61</v>
      </c>
      <c r="B66" s="136" t="s">
        <v>384</v>
      </c>
      <c r="C66" s="136">
        <v>2018</v>
      </c>
      <c r="D66" s="137" t="s">
        <v>344</v>
      </c>
      <c r="E66" s="136" t="s">
        <v>259</v>
      </c>
      <c r="F66" s="136" t="s">
        <v>260</v>
      </c>
      <c r="G66" s="136" t="s">
        <v>42</v>
      </c>
      <c r="H66" s="246" t="s">
        <v>165</v>
      </c>
      <c r="I66" s="246" t="s">
        <v>153</v>
      </c>
      <c r="J66" s="136" t="s">
        <v>38</v>
      </c>
      <c r="K66" s="246" t="s">
        <v>154</v>
      </c>
      <c r="L66" s="246">
        <v>2</v>
      </c>
      <c r="M66" s="246"/>
      <c r="N66" s="246">
        <v>1</v>
      </c>
      <c r="O66" s="246">
        <v>0.6</v>
      </c>
      <c r="P66" s="246">
        <v>0.5</v>
      </c>
      <c r="Q66" s="138">
        <f t="shared" ref="Q66:Q79" si="3">IF(OR(O66="",P66=""),"",AVERAGE(O66,P66))</f>
        <v>0.55000000000000004</v>
      </c>
      <c r="R66" s="246">
        <v>17.399999999999999</v>
      </c>
      <c r="S66" s="246">
        <v>140</v>
      </c>
      <c r="T66" s="139">
        <f t="shared" ref="T66:T79" si="4">IF(H66="","",IF(OR(H66="GREEN",H66="GK"),IF(S66&gt;=$AX$2,VLOOKUP(S66,$AX$2:$AY$15,2,1),""),IF(S66&gt;=$AZ$2,VLOOKUP(S66,$AZ$2:$BA$15,2,1),"")))</f>
        <v>22</v>
      </c>
      <c r="U66" s="246">
        <v>158</v>
      </c>
      <c r="V66" s="140">
        <f t="shared" ref="V66:V79" si="5">IF(OR(N66="",U66="",T66=""),"",U66/N66*T66)</f>
        <v>3476</v>
      </c>
      <c r="W66" s="246">
        <v>18</v>
      </c>
      <c r="X66" s="136" t="s">
        <v>46</v>
      </c>
      <c r="Y66" s="246" t="s">
        <v>90</v>
      </c>
      <c r="Z66" s="246" t="s">
        <v>84</v>
      </c>
      <c r="AA66" s="246" t="s">
        <v>78</v>
      </c>
      <c r="AB66" s="136" t="s">
        <v>433</v>
      </c>
      <c r="AC66" s="141"/>
    </row>
    <row r="67" spans="1:29" x14ac:dyDescent="0.15">
      <c r="A67" s="136" t="s">
        <v>61</v>
      </c>
      <c r="B67" s="136" t="s">
        <v>384</v>
      </c>
      <c r="C67" s="136">
        <v>2018</v>
      </c>
      <c r="D67" s="137" t="s">
        <v>344</v>
      </c>
      <c r="E67" s="136" t="s">
        <v>259</v>
      </c>
      <c r="F67" s="136" t="s">
        <v>260</v>
      </c>
      <c r="G67" s="136" t="s">
        <v>42</v>
      </c>
      <c r="H67" s="246" t="s">
        <v>165</v>
      </c>
      <c r="I67" s="246" t="s">
        <v>153</v>
      </c>
      <c r="J67" s="136" t="s">
        <v>38</v>
      </c>
      <c r="K67" s="246" t="s">
        <v>154</v>
      </c>
      <c r="L67" s="246">
        <v>3</v>
      </c>
      <c r="M67" s="246"/>
      <c r="N67" s="246">
        <v>1</v>
      </c>
      <c r="O67" s="246">
        <v>0.5</v>
      </c>
      <c r="P67" s="246">
        <v>0.55000000000000004</v>
      </c>
      <c r="Q67" s="138">
        <f t="shared" si="3"/>
        <v>0.52500000000000002</v>
      </c>
      <c r="R67" s="246">
        <v>17.399999999999999</v>
      </c>
      <c r="S67" s="246">
        <v>148</v>
      </c>
      <c r="T67" s="139">
        <f t="shared" si="4"/>
        <v>22</v>
      </c>
      <c r="U67" s="246">
        <v>158</v>
      </c>
      <c r="V67" s="140">
        <f t="shared" si="5"/>
        <v>3476</v>
      </c>
      <c r="W67" s="246">
        <v>18</v>
      </c>
      <c r="X67" s="136" t="s">
        <v>46</v>
      </c>
      <c r="Y67" s="246" t="s">
        <v>90</v>
      </c>
      <c r="Z67" s="246" t="s">
        <v>84</v>
      </c>
      <c r="AA67" s="246" t="s">
        <v>78</v>
      </c>
      <c r="AB67" s="136" t="s">
        <v>433</v>
      </c>
      <c r="AC67" s="141"/>
    </row>
    <row r="68" spans="1:29" x14ac:dyDescent="0.15">
      <c r="A68" s="136" t="s">
        <v>61</v>
      </c>
      <c r="B68" s="136" t="s">
        <v>384</v>
      </c>
      <c r="C68" s="136">
        <v>2018</v>
      </c>
      <c r="D68" s="137" t="s">
        <v>344</v>
      </c>
      <c r="E68" s="136" t="s">
        <v>261</v>
      </c>
      <c r="F68" s="136" t="s">
        <v>260</v>
      </c>
      <c r="G68" s="136" t="s">
        <v>42</v>
      </c>
      <c r="H68" s="246" t="s">
        <v>155</v>
      </c>
      <c r="I68" s="246" t="s">
        <v>153</v>
      </c>
      <c r="J68" s="136" t="s">
        <v>38</v>
      </c>
      <c r="K68" s="246" t="s">
        <v>154</v>
      </c>
      <c r="L68" s="246">
        <v>1</v>
      </c>
      <c r="M68" s="246"/>
      <c r="N68" s="246">
        <v>4</v>
      </c>
      <c r="O68" s="246">
        <v>0.8</v>
      </c>
      <c r="P68" s="246">
        <v>0.8</v>
      </c>
      <c r="Q68" s="138">
        <f t="shared" si="3"/>
        <v>0.8</v>
      </c>
      <c r="R68" s="246">
        <v>17.2</v>
      </c>
      <c r="S68" s="246">
        <v>925</v>
      </c>
      <c r="T68" s="139">
        <f t="shared" si="4"/>
        <v>16</v>
      </c>
      <c r="U68" s="246">
        <v>429</v>
      </c>
      <c r="V68" s="140">
        <f t="shared" si="5"/>
        <v>1716</v>
      </c>
      <c r="W68" s="246">
        <v>18</v>
      </c>
      <c r="X68" s="136" t="s">
        <v>46</v>
      </c>
      <c r="Y68" s="246" t="s">
        <v>90</v>
      </c>
      <c r="Z68" s="246" t="s">
        <v>78</v>
      </c>
      <c r="AA68" s="246" t="s">
        <v>69</v>
      </c>
      <c r="AB68" s="136" t="s">
        <v>433</v>
      </c>
      <c r="AC68" s="246"/>
    </row>
    <row r="69" spans="1:29" x14ac:dyDescent="0.15">
      <c r="A69" s="136" t="s">
        <v>61</v>
      </c>
      <c r="B69" s="136" t="s">
        <v>384</v>
      </c>
      <c r="C69" s="136">
        <v>2018</v>
      </c>
      <c r="D69" s="137" t="s">
        <v>344</v>
      </c>
      <c r="E69" s="136" t="s">
        <v>261</v>
      </c>
      <c r="F69" s="136" t="s">
        <v>260</v>
      </c>
      <c r="G69" s="136" t="s">
        <v>42</v>
      </c>
      <c r="H69" s="246" t="s">
        <v>155</v>
      </c>
      <c r="I69" s="246" t="s">
        <v>153</v>
      </c>
      <c r="J69" s="136" t="s">
        <v>38</v>
      </c>
      <c r="K69" s="246" t="s">
        <v>154</v>
      </c>
      <c r="L69" s="246">
        <v>2</v>
      </c>
      <c r="M69" s="246"/>
      <c r="N69" s="246">
        <v>4</v>
      </c>
      <c r="O69" s="246">
        <v>0.7</v>
      </c>
      <c r="P69" s="246">
        <v>0.7</v>
      </c>
      <c r="Q69" s="138">
        <f t="shared" si="3"/>
        <v>0.7</v>
      </c>
      <c r="R69" s="246">
        <v>17.2</v>
      </c>
      <c r="S69" s="246">
        <v>101</v>
      </c>
      <c r="T69" s="139">
        <f t="shared" si="4"/>
        <v>33</v>
      </c>
      <c r="U69" s="246">
        <v>429</v>
      </c>
      <c r="V69" s="140">
        <f t="shared" si="5"/>
        <v>3539.25</v>
      </c>
      <c r="W69" s="246">
        <v>18</v>
      </c>
      <c r="X69" s="136" t="s">
        <v>46</v>
      </c>
      <c r="Y69" s="246" t="s">
        <v>90</v>
      </c>
      <c r="Z69" s="246" t="s">
        <v>78</v>
      </c>
      <c r="AA69" s="246" t="s">
        <v>69</v>
      </c>
      <c r="AB69" s="136" t="s">
        <v>433</v>
      </c>
      <c r="AC69" s="246"/>
    </row>
    <row r="70" spans="1:29" x14ac:dyDescent="0.15">
      <c r="A70" s="136" t="s">
        <v>61</v>
      </c>
      <c r="B70" s="136" t="s">
        <v>384</v>
      </c>
      <c r="C70" s="136">
        <v>2018</v>
      </c>
      <c r="D70" s="137" t="s">
        <v>344</v>
      </c>
      <c r="E70" s="136" t="s">
        <v>261</v>
      </c>
      <c r="F70" s="136" t="s">
        <v>260</v>
      </c>
      <c r="G70" s="136" t="s">
        <v>42</v>
      </c>
      <c r="H70" s="246" t="s">
        <v>155</v>
      </c>
      <c r="I70" s="246" t="s">
        <v>153</v>
      </c>
      <c r="J70" s="136" t="s">
        <v>38</v>
      </c>
      <c r="K70" s="246" t="s">
        <v>154</v>
      </c>
      <c r="L70" s="246">
        <v>3</v>
      </c>
      <c r="M70" s="246"/>
      <c r="N70" s="246">
        <v>4</v>
      </c>
      <c r="O70" s="246">
        <v>0.75</v>
      </c>
      <c r="P70" s="246">
        <v>0.75</v>
      </c>
      <c r="Q70" s="138">
        <f t="shared" si="3"/>
        <v>0.75</v>
      </c>
      <c r="R70" s="246">
        <v>17.399999999999999</v>
      </c>
      <c r="S70" s="246">
        <v>103</v>
      </c>
      <c r="T70" s="139">
        <f t="shared" si="4"/>
        <v>33</v>
      </c>
      <c r="U70" s="246">
        <v>429</v>
      </c>
      <c r="V70" s="140">
        <f t="shared" si="5"/>
        <v>3539.25</v>
      </c>
      <c r="W70" s="246">
        <v>18</v>
      </c>
      <c r="X70" s="136" t="s">
        <v>46</v>
      </c>
      <c r="Y70" s="246" t="s">
        <v>90</v>
      </c>
      <c r="Z70" s="246" t="s">
        <v>78</v>
      </c>
      <c r="AA70" s="246" t="s">
        <v>69</v>
      </c>
      <c r="AB70" s="136" t="s">
        <v>433</v>
      </c>
      <c r="AC70" s="246"/>
    </row>
    <row r="71" spans="1:29" x14ac:dyDescent="0.15">
      <c r="A71" s="136" t="s">
        <v>61</v>
      </c>
      <c r="B71" s="136" t="s">
        <v>384</v>
      </c>
      <c r="C71" s="136">
        <v>2018</v>
      </c>
      <c r="D71" s="137" t="s">
        <v>344</v>
      </c>
      <c r="E71" s="136" t="s">
        <v>261</v>
      </c>
      <c r="F71" s="136" t="s">
        <v>260</v>
      </c>
      <c r="G71" s="136" t="s">
        <v>42</v>
      </c>
      <c r="H71" s="246" t="s">
        <v>165</v>
      </c>
      <c r="I71" s="246" t="s">
        <v>153</v>
      </c>
      <c r="J71" s="136" t="s">
        <v>38</v>
      </c>
      <c r="K71" s="246" t="s">
        <v>154</v>
      </c>
      <c r="L71" s="246">
        <v>1</v>
      </c>
      <c r="M71" s="246"/>
      <c r="N71" s="246">
        <v>3</v>
      </c>
      <c r="O71" s="246">
        <v>0.5</v>
      </c>
      <c r="P71" s="246">
        <v>0.57999999999999996</v>
      </c>
      <c r="Q71" s="138">
        <f t="shared" si="3"/>
        <v>0.54</v>
      </c>
      <c r="R71" s="246">
        <v>17.100000000000001</v>
      </c>
      <c r="S71" s="246">
        <v>129</v>
      </c>
      <c r="T71" s="139">
        <f t="shared" si="4"/>
        <v>25</v>
      </c>
      <c r="U71" s="246">
        <v>494</v>
      </c>
      <c r="V71" s="140">
        <f t="shared" si="5"/>
        <v>4116.6666666666661</v>
      </c>
      <c r="W71" s="246">
        <v>18</v>
      </c>
      <c r="X71" s="136" t="s">
        <v>46</v>
      </c>
      <c r="Y71" s="246" t="s">
        <v>90</v>
      </c>
      <c r="Z71" s="246" t="s">
        <v>78</v>
      </c>
      <c r="AA71" s="246" t="s">
        <v>69</v>
      </c>
      <c r="AB71" s="136" t="s">
        <v>433</v>
      </c>
      <c r="AC71" s="246"/>
    </row>
    <row r="72" spans="1:29" x14ac:dyDescent="0.15">
      <c r="A72" s="136" t="s">
        <v>61</v>
      </c>
      <c r="B72" s="136" t="s">
        <v>384</v>
      </c>
      <c r="C72" s="136">
        <v>2018</v>
      </c>
      <c r="D72" s="137" t="s">
        <v>344</v>
      </c>
      <c r="E72" s="136" t="s">
        <v>261</v>
      </c>
      <c r="F72" s="136" t="s">
        <v>260</v>
      </c>
      <c r="G72" s="136" t="s">
        <v>42</v>
      </c>
      <c r="H72" s="246" t="s">
        <v>165</v>
      </c>
      <c r="I72" s="246" t="s">
        <v>153</v>
      </c>
      <c r="J72" s="136" t="s">
        <v>38</v>
      </c>
      <c r="K72" s="246" t="s">
        <v>154</v>
      </c>
      <c r="L72" s="246">
        <v>2</v>
      </c>
      <c r="M72" s="246"/>
      <c r="N72" s="246">
        <v>3</v>
      </c>
      <c r="O72" s="246">
        <v>0.55000000000000004</v>
      </c>
      <c r="P72" s="246">
        <v>0.55000000000000004</v>
      </c>
      <c r="Q72" s="138">
        <f t="shared" si="3"/>
        <v>0.55000000000000004</v>
      </c>
      <c r="R72" s="246">
        <v>17.600000000000001</v>
      </c>
      <c r="S72" s="246">
        <v>127</v>
      </c>
      <c r="T72" s="139">
        <f t="shared" si="4"/>
        <v>27</v>
      </c>
      <c r="U72" s="246">
        <v>494</v>
      </c>
      <c r="V72" s="140">
        <f t="shared" si="5"/>
        <v>4446</v>
      </c>
      <c r="W72" s="246">
        <v>18</v>
      </c>
      <c r="X72" s="136" t="s">
        <v>46</v>
      </c>
      <c r="Y72" s="246" t="s">
        <v>90</v>
      </c>
      <c r="Z72" s="246" t="s">
        <v>78</v>
      </c>
      <c r="AA72" s="246" t="s">
        <v>69</v>
      </c>
      <c r="AB72" s="136" t="s">
        <v>433</v>
      </c>
      <c r="AC72" s="246"/>
    </row>
    <row r="73" spans="1:29" x14ac:dyDescent="0.15">
      <c r="A73" s="136" t="s">
        <v>61</v>
      </c>
      <c r="B73" s="136" t="s">
        <v>384</v>
      </c>
      <c r="C73" s="136">
        <v>2018</v>
      </c>
      <c r="D73" s="137" t="s">
        <v>344</v>
      </c>
      <c r="E73" s="136" t="s">
        <v>261</v>
      </c>
      <c r="F73" s="136" t="s">
        <v>260</v>
      </c>
      <c r="G73" s="136" t="s">
        <v>42</v>
      </c>
      <c r="H73" s="246" t="s">
        <v>165</v>
      </c>
      <c r="I73" s="246" t="s">
        <v>153</v>
      </c>
      <c r="J73" s="136" t="s">
        <v>38</v>
      </c>
      <c r="K73" s="246" t="s">
        <v>154</v>
      </c>
      <c r="L73" s="246">
        <v>3</v>
      </c>
      <c r="M73" s="246"/>
      <c r="N73" s="246">
        <v>3</v>
      </c>
      <c r="O73" s="246">
        <v>0.5</v>
      </c>
      <c r="P73" s="246">
        <v>0.5</v>
      </c>
      <c r="Q73" s="138">
        <f t="shared" si="3"/>
        <v>0.5</v>
      </c>
      <c r="R73" s="246">
        <v>17.5</v>
      </c>
      <c r="S73" s="246">
        <v>134</v>
      </c>
      <c r="T73" s="139">
        <f t="shared" si="4"/>
        <v>25</v>
      </c>
      <c r="U73" s="246">
        <v>494</v>
      </c>
      <c r="V73" s="140">
        <f t="shared" si="5"/>
        <v>4116.6666666666661</v>
      </c>
      <c r="W73" s="246">
        <v>18</v>
      </c>
      <c r="X73" s="136" t="s">
        <v>46</v>
      </c>
      <c r="Y73" s="246" t="s">
        <v>90</v>
      </c>
      <c r="Z73" s="246" t="s">
        <v>78</v>
      </c>
      <c r="AA73" s="246" t="s">
        <v>69</v>
      </c>
      <c r="AB73" s="136" t="s">
        <v>433</v>
      </c>
      <c r="AC73" s="246"/>
    </row>
    <row r="74" spans="1:29" x14ac:dyDescent="0.15">
      <c r="A74" s="136" t="s">
        <v>61</v>
      </c>
      <c r="B74" s="136" t="s">
        <v>384</v>
      </c>
      <c r="C74" s="136">
        <v>2018</v>
      </c>
      <c r="D74" s="137" t="s">
        <v>344</v>
      </c>
      <c r="E74" s="136" t="s">
        <v>261</v>
      </c>
      <c r="F74" s="136" t="s">
        <v>260</v>
      </c>
      <c r="G74" s="136" t="s">
        <v>42</v>
      </c>
      <c r="H74" s="246" t="s">
        <v>129</v>
      </c>
      <c r="I74" s="246" t="s">
        <v>153</v>
      </c>
      <c r="J74" s="136" t="s">
        <v>241</v>
      </c>
      <c r="K74" s="246" t="s">
        <v>59</v>
      </c>
      <c r="L74" s="246">
        <v>1</v>
      </c>
      <c r="M74" s="246"/>
      <c r="N74" s="246">
        <v>4</v>
      </c>
      <c r="O74" s="246">
        <v>0.5</v>
      </c>
      <c r="P74" s="246">
        <v>0.5</v>
      </c>
      <c r="Q74" s="138">
        <f t="shared" si="3"/>
        <v>0.5</v>
      </c>
      <c r="R74" s="246">
        <v>17</v>
      </c>
      <c r="S74" s="246">
        <v>68</v>
      </c>
      <c r="T74" s="139">
        <f t="shared" si="4"/>
        <v>50</v>
      </c>
      <c r="U74" s="246">
        <v>429</v>
      </c>
      <c r="V74" s="140">
        <f t="shared" si="5"/>
        <v>5362.5</v>
      </c>
      <c r="W74" s="246">
        <v>18</v>
      </c>
      <c r="X74" s="136" t="s">
        <v>46</v>
      </c>
      <c r="Y74" s="246" t="s">
        <v>90</v>
      </c>
      <c r="Z74" s="246" t="s">
        <v>78</v>
      </c>
      <c r="AA74" s="246" t="s">
        <v>69</v>
      </c>
      <c r="AB74" s="136" t="s">
        <v>433</v>
      </c>
      <c r="AC74" s="246"/>
    </row>
    <row r="75" spans="1:29" x14ac:dyDescent="0.15">
      <c r="A75" s="136" t="s">
        <v>61</v>
      </c>
      <c r="B75" s="136" t="s">
        <v>384</v>
      </c>
      <c r="C75" s="136">
        <v>2018</v>
      </c>
      <c r="D75" s="137" t="s">
        <v>344</v>
      </c>
      <c r="E75" s="136" t="s">
        <v>261</v>
      </c>
      <c r="F75" s="136" t="s">
        <v>260</v>
      </c>
      <c r="G75" s="136" t="s">
        <v>42</v>
      </c>
      <c r="H75" s="246" t="s">
        <v>129</v>
      </c>
      <c r="I75" s="246" t="s">
        <v>153</v>
      </c>
      <c r="J75" s="136" t="s">
        <v>241</v>
      </c>
      <c r="K75" s="246" t="s">
        <v>59</v>
      </c>
      <c r="L75" s="246">
        <v>2</v>
      </c>
      <c r="M75" s="246"/>
      <c r="N75" s="246">
        <v>4</v>
      </c>
      <c r="O75" s="246">
        <v>0.5</v>
      </c>
      <c r="P75" s="246">
        <v>0.55000000000000004</v>
      </c>
      <c r="Q75" s="138">
        <f t="shared" si="3"/>
        <v>0.52500000000000002</v>
      </c>
      <c r="R75" s="246">
        <v>17.2</v>
      </c>
      <c r="S75" s="246">
        <v>65</v>
      </c>
      <c r="T75" s="139">
        <f t="shared" si="4"/>
        <v>50</v>
      </c>
      <c r="U75" s="246">
        <v>429</v>
      </c>
      <c r="V75" s="140">
        <f t="shared" si="5"/>
        <v>5362.5</v>
      </c>
      <c r="W75" s="246">
        <v>18</v>
      </c>
      <c r="X75" s="136" t="s">
        <v>46</v>
      </c>
      <c r="Y75" s="246" t="s">
        <v>90</v>
      </c>
      <c r="Z75" s="246" t="s">
        <v>78</v>
      </c>
      <c r="AA75" s="246" t="s">
        <v>69</v>
      </c>
      <c r="AB75" s="136" t="s">
        <v>433</v>
      </c>
      <c r="AC75" s="246"/>
    </row>
    <row r="76" spans="1:29" x14ac:dyDescent="0.15">
      <c r="A76" s="136" t="s">
        <v>61</v>
      </c>
      <c r="B76" s="136" t="s">
        <v>384</v>
      </c>
      <c r="C76" s="136">
        <v>2018</v>
      </c>
      <c r="D76" s="137" t="s">
        <v>344</v>
      </c>
      <c r="E76" s="136" t="s">
        <v>261</v>
      </c>
      <c r="F76" s="136" t="s">
        <v>260</v>
      </c>
      <c r="G76" s="136" t="s">
        <v>42</v>
      </c>
      <c r="H76" s="246" t="s">
        <v>129</v>
      </c>
      <c r="I76" s="246" t="s">
        <v>153</v>
      </c>
      <c r="J76" s="136" t="s">
        <v>241</v>
      </c>
      <c r="K76" s="246" t="s">
        <v>59</v>
      </c>
      <c r="L76" s="246">
        <v>3</v>
      </c>
      <c r="M76" s="246"/>
      <c r="N76" s="246">
        <v>4</v>
      </c>
      <c r="O76" s="246">
        <v>0.6</v>
      </c>
      <c r="P76" s="246">
        <v>0.55000000000000004</v>
      </c>
      <c r="Q76" s="138">
        <f t="shared" si="3"/>
        <v>0.57499999999999996</v>
      </c>
      <c r="R76" s="246">
        <v>17.3</v>
      </c>
      <c r="S76" s="246">
        <v>67</v>
      </c>
      <c r="T76" s="139">
        <f t="shared" si="4"/>
        <v>50</v>
      </c>
      <c r="U76" s="246">
        <v>429</v>
      </c>
      <c r="V76" s="140">
        <f t="shared" si="5"/>
        <v>5362.5</v>
      </c>
      <c r="W76" s="246">
        <v>18</v>
      </c>
      <c r="X76" s="136" t="s">
        <v>46</v>
      </c>
      <c r="Y76" s="246" t="s">
        <v>90</v>
      </c>
      <c r="Z76" s="246" t="s">
        <v>78</v>
      </c>
      <c r="AA76" s="246" t="s">
        <v>69</v>
      </c>
      <c r="AB76" s="136" t="s">
        <v>433</v>
      </c>
      <c r="AC76" s="246"/>
    </row>
    <row r="77" spans="1:29" x14ac:dyDescent="0.15">
      <c r="A77" s="136"/>
      <c r="B77" s="136"/>
      <c r="C77" s="136"/>
      <c r="D77" s="137"/>
      <c r="E77" s="136"/>
      <c r="F77" s="136"/>
      <c r="G77" s="136"/>
      <c r="H77" s="246"/>
      <c r="I77" s="246"/>
      <c r="J77" s="136"/>
      <c r="K77" s="246"/>
      <c r="L77" s="246"/>
      <c r="M77" s="246"/>
      <c r="N77" s="246"/>
      <c r="O77" s="246"/>
      <c r="P77" s="246"/>
      <c r="Q77" s="138" t="str">
        <f t="shared" si="3"/>
        <v/>
      </c>
      <c r="R77" s="246"/>
      <c r="S77" s="246"/>
      <c r="T77" s="139" t="str">
        <f t="shared" si="4"/>
        <v/>
      </c>
      <c r="U77" s="246"/>
      <c r="V77" s="140" t="str">
        <f t="shared" si="5"/>
        <v/>
      </c>
      <c r="W77" s="246"/>
      <c r="X77" s="136"/>
      <c r="Y77" s="246"/>
      <c r="Z77" s="246"/>
      <c r="AA77" s="246"/>
      <c r="AB77" s="136"/>
      <c r="AC77" s="246"/>
    </row>
    <row r="78" spans="1:29" x14ac:dyDescent="0.15">
      <c r="A78" s="136"/>
      <c r="B78" s="136"/>
      <c r="C78" s="136"/>
      <c r="D78" s="137"/>
      <c r="E78" s="136"/>
      <c r="F78" s="136"/>
      <c r="G78" s="136"/>
      <c r="H78" s="246"/>
      <c r="I78" s="246"/>
      <c r="J78" s="136"/>
      <c r="K78" s="246"/>
      <c r="L78" s="246"/>
      <c r="M78" s="246"/>
      <c r="N78" s="246"/>
      <c r="O78" s="246"/>
      <c r="P78" s="246"/>
      <c r="Q78" s="138" t="str">
        <f t="shared" si="3"/>
        <v/>
      </c>
      <c r="R78" s="246"/>
      <c r="S78" s="246"/>
      <c r="T78" s="139" t="str">
        <f t="shared" si="4"/>
        <v/>
      </c>
      <c r="U78" s="246"/>
      <c r="V78" s="140" t="str">
        <f t="shared" si="5"/>
        <v/>
      </c>
      <c r="W78" s="246"/>
      <c r="X78" s="136"/>
      <c r="Y78" s="246"/>
      <c r="Z78" s="246"/>
      <c r="AA78" s="246"/>
      <c r="AB78" s="136"/>
      <c r="AC78" s="246"/>
    </row>
    <row r="79" spans="1:29" x14ac:dyDescent="0.15">
      <c r="A79" s="136"/>
      <c r="B79" s="136"/>
      <c r="C79" s="136"/>
      <c r="D79" s="137"/>
      <c r="E79" s="136"/>
      <c r="F79" s="136"/>
      <c r="G79" s="136"/>
      <c r="H79" s="246"/>
      <c r="I79" s="246"/>
      <c r="J79" s="136"/>
      <c r="K79" s="246"/>
      <c r="L79" s="246"/>
      <c r="M79" s="246"/>
      <c r="N79" s="246"/>
      <c r="O79" s="246"/>
      <c r="P79" s="246"/>
      <c r="Q79" s="138" t="str">
        <f t="shared" si="3"/>
        <v/>
      </c>
      <c r="R79" s="246"/>
      <c r="S79" s="246"/>
      <c r="T79" s="139" t="str">
        <f t="shared" si="4"/>
        <v/>
      </c>
      <c r="U79" s="246"/>
      <c r="V79" s="140" t="str">
        <f t="shared" si="5"/>
        <v/>
      </c>
      <c r="W79" s="246"/>
      <c r="X79" s="136"/>
      <c r="Y79" s="246"/>
      <c r="Z79" s="246"/>
      <c r="AA79" s="246"/>
      <c r="AB79" s="136"/>
      <c r="AC79" s="246"/>
    </row>
    <row r="80" spans="1:29" x14ac:dyDescent="0.15">
      <c r="A80" s="136"/>
      <c r="B80" s="136"/>
      <c r="C80" s="136"/>
      <c r="D80" s="137"/>
      <c r="E80" s="246"/>
      <c r="F80" s="246"/>
      <c r="G80" s="136"/>
      <c r="H80" s="246"/>
      <c r="I80" s="246"/>
      <c r="J80" s="136"/>
      <c r="K80" s="246"/>
      <c r="L80" s="246"/>
      <c r="M80" s="246"/>
      <c r="N80" s="246"/>
      <c r="O80" s="246"/>
      <c r="P80" s="246"/>
      <c r="Q80" s="138"/>
      <c r="R80" s="246"/>
      <c r="S80" s="246"/>
      <c r="T80" s="139"/>
      <c r="U80" s="246"/>
      <c r="V80" s="140"/>
      <c r="W80" s="246"/>
      <c r="X80" s="136"/>
      <c r="Y80" s="246"/>
      <c r="Z80" s="246"/>
      <c r="AA80" s="246"/>
      <c r="AB80" s="136"/>
      <c r="AC80" s="246"/>
    </row>
    <row r="81" spans="1:29" x14ac:dyDescent="0.15">
      <c r="A81" s="136"/>
      <c r="B81" s="136"/>
      <c r="C81" s="136"/>
      <c r="D81" s="137"/>
      <c r="E81" s="246"/>
      <c r="F81" s="246"/>
      <c r="G81" s="136"/>
      <c r="H81" s="246"/>
      <c r="I81" s="246"/>
      <c r="J81" s="136"/>
      <c r="K81" s="246"/>
      <c r="L81" s="246"/>
      <c r="M81" s="246"/>
      <c r="N81" s="246"/>
      <c r="O81" s="246"/>
      <c r="P81" s="246"/>
      <c r="Q81" s="138"/>
      <c r="R81" s="246"/>
      <c r="S81" s="246"/>
      <c r="T81" s="139"/>
      <c r="U81" s="246"/>
      <c r="V81" s="140"/>
      <c r="W81" s="246"/>
      <c r="X81" s="136"/>
      <c r="Y81" s="246"/>
      <c r="Z81" s="246"/>
      <c r="AA81" s="246"/>
      <c r="AB81" s="136"/>
      <c r="AC81" s="246"/>
    </row>
    <row r="82" spans="1:29" x14ac:dyDescent="0.15">
      <c r="A82" s="136"/>
      <c r="B82" s="136"/>
      <c r="C82" s="136"/>
      <c r="D82" s="137"/>
      <c r="E82" s="246"/>
      <c r="F82" s="246"/>
      <c r="G82" s="136"/>
      <c r="H82" s="246"/>
      <c r="I82" s="246"/>
      <c r="J82" s="136"/>
      <c r="K82" s="246"/>
      <c r="L82" s="246"/>
      <c r="M82" s="246"/>
      <c r="N82" s="246"/>
      <c r="O82" s="246"/>
      <c r="P82" s="246"/>
      <c r="Q82" s="138"/>
      <c r="R82" s="246"/>
      <c r="S82" s="246"/>
      <c r="T82" s="139"/>
      <c r="U82" s="246"/>
      <c r="V82" s="140"/>
      <c r="W82" s="246"/>
      <c r="X82" s="136"/>
      <c r="Y82" s="246"/>
      <c r="Z82" s="246"/>
      <c r="AA82" s="246"/>
      <c r="AB82" s="136"/>
      <c r="AC82" s="246"/>
    </row>
    <row r="83" spans="1:29" x14ac:dyDescent="0.15">
      <c r="A83" s="136"/>
      <c r="B83" s="136"/>
      <c r="C83" s="136"/>
      <c r="D83" s="137"/>
      <c r="E83" s="246"/>
      <c r="F83" s="246"/>
      <c r="G83" s="136"/>
      <c r="H83" s="246"/>
      <c r="I83" s="246"/>
      <c r="J83" s="136"/>
      <c r="K83" s="246"/>
      <c r="L83" s="246"/>
      <c r="M83" s="246"/>
      <c r="N83" s="246"/>
      <c r="O83" s="246"/>
      <c r="P83" s="246"/>
      <c r="Q83" s="138"/>
      <c r="R83" s="246"/>
      <c r="S83" s="246"/>
      <c r="T83" s="139"/>
      <c r="U83" s="246"/>
      <c r="V83" s="140"/>
      <c r="W83" s="246"/>
      <c r="X83" s="136"/>
      <c r="Y83" s="246"/>
      <c r="Z83" s="246"/>
      <c r="AA83" s="246"/>
      <c r="AB83" s="136"/>
      <c r="AC83" s="246"/>
    </row>
    <row r="84" spans="1:29" x14ac:dyDescent="0.15">
      <c r="A84" s="136"/>
      <c r="B84" s="136"/>
      <c r="C84" s="136"/>
      <c r="D84" s="137"/>
      <c r="E84" s="246"/>
      <c r="F84" s="246"/>
      <c r="G84" s="136"/>
      <c r="H84" s="246"/>
      <c r="I84" s="246"/>
      <c r="J84" s="136"/>
      <c r="K84" s="246"/>
      <c r="L84" s="246"/>
      <c r="M84" s="246"/>
      <c r="N84" s="246"/>
      <c r="O84" s="246"/>
      <c r="P84" s="246"/>
      <c r="Q84" s="138"/>
      <c r="R84" s="246"/>
      <c r="S84" s="246"/>
      <c r="T84" s="139"/>
      <c r="U84" s="246"/>
      <c r="V84" s="140"/>
      <c r="W84" s="246"/>
      <c r="X84" s="136"/>
      <c r="Y84" s="246"/>
      <c r="Z84" s="246"/>
      <c r="AA84" s="246"/>
      <c r="AB84" s="136"/>
      <c r="AC84" s="246"/>
    </row>
    <row r="85" spans="1:29" x14ac:dyDescent="0.15">
      <c r="A85" s="136"/>
      <c r="B85" s="136"/>
      <c r="C85" s="136"/>
      <c r="D85" s="137"/>
      <c r="E85" s="246"/>
      <c r="F85" s="246"/>
      <c r="G85" s="136"/>
      <c r="H85" s="246"/>
      <c r="I85" s="246"/>
      <c r="J85" s="136"/>
      <c r="K85" s="246"/>
      <c r="L85" s="246"/>
      <c r="M85" s="246"/>
      <c r="N85" s="246"/>
      <c r="O85" s="246"/>
      <c r="P85" s="246"/>
      <c r="Q85" s="138"/>
      <c r="R85" s="246"/>
      <c r="S85" s="246"/>
      <c r="T85" s="139"/>
      <c r="U85" s="246"/>
      <c r="V85" s="140"/>
      <c r="W85" s="246"/>
      <c r="X85" s="136"/>
      <c r="Y85" s="246"/>
      <c r="Z85" s="246"/>
      <c r="AA85" s="246"/>
      <c r="AB85" s="136"/>
      <c r="AC85" s="246"/>
    </row>
    <row r="86" spans="1:29" x14ac:dyDescent="0.15">
      <c r="A86" s="136"/>
      <c r="B86" s="136"/>
      <c r="C86" s="136"/>
      <c r="D86" s="137"/>
      <c r="E86" s="246"/>
      <c r="F86" s="246"/>
      <c r="G86" s="136"/>
      <c r="H86" s="246"/>
      <c r="I86" s="246"/>
      <c r="J86" s="136"/>
      <c r="K86" s="246"/>
      <c r="L86" s="246"/>
      <c r="M86" s="246"/>
      <c r="N86" s="246"/>
      <c r="O86" s="246"/>
      <c r="P86" s="246"/>
      <c r="Q86" s="138"/>
      <c r="R86" s="246"/>
      <c r="S86" s="246"/>
      <c r="T86" s="139"/>
      <c r="U86" s="246"/>
      <c r="V86" s="140"/>
      <c r="W86" s="246"/>
      <c r="X86" s="136"/>
      <c r="Y86" s="246"/>
      <c r="Z86" s="246"/>
      <c r="AA86" s="246"/>
      <c r="AB86" s="136"/>
      <c r="AC86" s="246"/>
    </row>
    <row r="87" spans="1:29" x14ac:dyDescent="0.15">
      <c r="A87" s="136"/>
      <c r="B87" s="136"/>
      <c r="C87" s="136"/>
      <c r="D87" s="137"/>
      <c r="E87" s="246"/>
      <c r="F87" s="246"/>
      <c r="G87" s="136"/>
      <c r="H87" s="246"/>
      <c r="I87" s="246"/>
      <c r="J87" s="136"/>
      <c r="K87" s="246"/>
      <c r="L87" s="246"/>
      <c r="M87" s="246"/>
      <c r="N87" s="246"/>
      <c r="O87" s="246"/>
      <c r="P87" s="246"/>
      <c r="Q87" s="138"/>
      <c r="R87" s="246"/>
      <c r="S87" s="246"/>
      <c r="T87" s="139"/>
      <c r="U87" s="246"/>
      <c r="V87" s="140"/>
      <c r="W87" s="246"/>
      <c r="X87" s="136"/>
      <c r="Y87" s="246"/>
      <c r="Z87" s="246"/>
      <c r="AA87" s="246"/>
      <c r="AB87" s="136"/>
      <c r="AC87" s="246"/>
    </row>
    <row r="88" spans="1:29" x14ac:dyDescent="0.15">
      <c r="A88" s="136"/>
      <c r="B88" s="136"/>
      <c r="C88" s="136"/>
      <c r="D88" s="137"/>
      <c r="E88" s="246"/>
      <c r="F88" s="246"/>
      <c r="G88" s="136"/>
      <c r="H88" s="246"/>
      <c r="I88" s="246"/>
      <c r="J88" s="136"/>
      <c r="K88" s="246"/>
      <c r="L88" s="246"/>
      <c r="M88" s="246"/>
      <c r="N88" s="246"/>
      <c r="O88" s="246"/>
      <c r="P88" s="246"/>
      <c r="Q88" s="138"/>
      <c r="R88" s="246"/>
      <c r="S88" s="246"/>
      <c r="T88" s="139"/>
      <c r="U88" s="246"/>
      <c r="V88" s="140"/>
      <c r="W88" s="246"/>
      <c r="X88" s="136"/>
      <c r="Y88" s="246"/>
      <c r="Z88" s="246"/>
      <c r="AA88" s="246"/>
      <c r="AB88" s="136"/>
      <c r="AC88" s="246"/>
    </row>
    <row r="89" spans="1:29" x14ac:dyDescent="0.15">
      <c r="K89" s="246"/>
      <c r="AC89" s="246"/>
    </row>
    <row r="90" spans="1:29" x14ac:dyDescent="0.15">
      <c r="A90" s="136"/>
      <c r="B90" s="136"/>
      <c r="C90" s="136"/>
      <c r="D90" s="137"/>
      <c r="E90" s="246"/>
      <c r="F90" s="246"/>
      <c r="G90" s="136"/>
      <c r="H90" s="246"/>
      <c r="I90" s="246"/>
      <c r="J90" s="136"/>
      <c r="K90" s="246"/>
      <c r="L90" s="246"/>
      <c r="M90" s="246"/>
      <c r="N90" s="246"/>
      <c r="O90" s="246"/>
      <c r="P90" s="246"/>
      <c r="Q90" s="138"/>
      <c r="R90" s="246"/>
      <c r="S90" s="246"/>
      <c r="T90" s="139"/>
      <c r="U90" s="246"/>
      <c r="V90" s="140"/>
      <c r="W90" s="246"/>
      <c r="X90" s="136"/>
      <c r="Y90" s="246"/>
      <c r="Z90" s="246"/>
      <c r="AA90" s="246"/>
      <c r="AB90" s="136"/>
      <c r="AC90" s="246"/>
    </row>
    <row r="91" spans="1:29" x14ac:dyDescent="0.15">
      <c r="A91" s="136"/>
      <c r="B91" s="136"/>
      <c r="C91" s="136"/>
      <c r="D91" s="137"/>
      <c r="E91" s="246"/>
      <c r="F91" s="246"/>
      <c r="G91" s="136"/>
      <c r="H91" s="246"/>
      <c r="I91" s="246"/>
      <c r="J91" s="136"/>
      <c r="K91" s="246"/>
      <c r="L91" s="246"/>
      <c r="M91" s="246"/>
      <c r="N91" s="246"/>
      <c r="O91" s="246"/>
      <c r="P91" s="246"/>
      <c r="Q91" s="138"/>
      <c r="R91" s="246"/>
      <c r="S91" s="246"/>
      <c r="T91" s="139"/>
      <c r="U91" s="246"/>
      <c r="V91" s="140"/>
      <c r="W91" s="246"/>
      <c r="X91" s="136"/>
      <c r="Y91" s="246"/>
      <c r="Z91" s="246"/>
      <c r="AA91" s="246"/>
      <c r="AB91" s="136"/>
      <c r="AC91" s="246"/>
    </row>
    <row r="92" spans="1:29" x14ac:dyDescent="0.15">
      <c r="A92" s="136"/>
      <c r="B92" s="136"/>
      <c r="C92" s="136"/>
      <c r="D92" s="137"/>
      <c r="E92" s="246"/>
      <c r="F92" s="246"/>
      <c r="G92" s="136"/>
      <c r="H92" s="246"/>
      <c r="I92" s="246"/>
      <c r="J92" s="136"/>
      <c r="K92" s="246"/>
      <c r="L92" s="246"/>
      <c r="M92" s="246"/>
      <c r="N92" s="246"/>
      <c r="O92" s="246"/>
      <c r="P92" s="246"/>
      <c r="Q92" s="138"/>
      <c r="R92" s="246"/>
      <c r="S92" s="246"/>
      <c r="T92" s="139"/>
      <c r="U92" s="246"/>
      <c r="V92" s="140"/>
      <c r="W92" s="246"/>
      <c r="X92" s="136"/>
      <c r="Y92" s="246"/>
      <c r="Z92" s="246"/>
      <c r="AA92" s="246"/>
      <c r="AB92" s="136"/>
      <c r="AC92" s="246"/>
    </row>
    <row r="93" spans="1:29" x14ac:dyDescent="0.15">
      <c r="A93" s="136"/>
      <c r="B93" s="136"/>
      <c r="C93" s="136"/>
      <c r="D93" s="137"/>
      <c r="E93" s="246"/>
      <c r="F93" s="246"/>
      <c r="G93" s="136"/>
      <c r="H93" s="246"/>
      <c r="I93" s="246"/>
      <c r="J93" s="136"/>
      <c r="K93" s="246"/>
      <c r="L93" s="246"/>
      <c r="M93" s="246"/>
      <c r="N93" s="246"/>
      <c r="O93" s="246"/>
      <c r="P93" s="246"/>
      <c r="Q93" s="138"/>
      <c r="R93" s="246"/>
      <c r="S93" s="246"/>
      <c r="T93" s="139"/>
      <c r="U93" s="246"/>
      <c r="V93" s="140"/>
      <c r="W93" s="246"/>
      <c r="X93" s="136"/>
      <c r="Y93" s="246"/>
      <c r="Z93" s="246"/>
      <c r="AA93" s="246"/>
      <c r="AB93" s="136"/>
      <c r="AC93" s="246"/>
    </row>
    <row r="94" spans="1:29" x14ac:dyDescent="0.15">
      <c r="A94" s="136"/>
      <c r="B94" s="136"/>
      <c r="C94" s="136"/>
      <c r="D94" s="137"/>
      <c r="E94" s="246"/>
      <c r="F94" s="246"/>
      <c r="G94" s="136"/>
      <c r="H94" s="246"/>
      <c r="I94" s="246"/>
      <c r="J94" s="136"/>
      <c r="K94" s="246"/>
      <c r="L94" s="246"/>
      <c r="M94" s="246"/>
      <c r="N94" s="246"/>
      <c r="O94" s="246"/>
      <c r="P94" s="246"/>
      <c r="Q94" s="138"/>
      <c r="R94" s="246"/>
      <c r="S94" s="246"/>
      <c r="T94" s="139"/>
      <c r="U94" s="246"/>
      <c r="V94" s="140"/>
      <c r="W94" s="246"/>
      <c r="X94" s="136"/>
      <c r="Y94" s="246"/>
      <c r="Z94" s="246"/>
      <c r="AA94" s="246"/>
      <c r="AB94" s="136"/>
      <c r="AC94" s="246"/>
    </row>
    <row r="95" spans="1:29" x14ac:dyDescent="0.15">
      <c r="A95" s="136"/>
      <c r="B95" s="136"/>
      <c r="C95" s="136"/>
      <c r="D95" s="137"/>
      <c r="E95" s="246"/>
      <c r="F95" s="246"/>
      <c r="G95" s="136"/>
      <c r="H95" s="246"/>
      <c r="I95" s="246"/>
      <c r="J95" s="136"/>
      <c r="K95" s="246"/>
      <c r="L95" s="246"/>
      <c r="M95" s="246"/>
      <c r="N95" s="246"/>
      <c r="O95" s="246"/>
      <c r="P95" s="246"/>
      <c r="Q95" s="138"/>
      <c r="R95" s="246"/>
      <c r="S95" s="246"/>
      <c r="T95" s="139"/>
      <c r="U95" s="246"/>
      <c r="V95" s="140"/>
      <c r="W95" s="246"/>
      <c r="X95" s="136"/>
      <c r="Y95" s="246"/>
      <c r="Z95" s="246"/>
      <c r="AA95" s="246"/>
      <c r="AB95" s="136"/>
      <c r="AC95" s="246"/>
    </row>
    <row r="96" spans="1:29" x14ac:dyDescent="0.15">
      <c r="A96" s="136"/>
      <c r="B96" s="136"/>
      <c r="C96" s="136"/>
      <c r="D96" s="137"/>
      <c r="E96" s="246"/>
      <c r="F96" s="246"/>
      <c r="G96" s="136"/>
      <c r="H96" s="246"/>
      <c r="I96" s="246"/>
      <c r="J96" s="136"/>
      <c r="K96" s="246"/>
      <c r="L96" s="246"/>
      <c r="M96" s="246"/>
      <c r="N96" s="246"/>
      <c r="O96" s="246"/>
      <c r="P96" s="246"/>
      <c r="Q96" s="138"/>
      <c r="R96" s="246"/>
      <c r="S96" s="246"/>
      <c r="T96" s="139"/>
      <c r="U96" s="246"/>
      <c r="V96" s="140"/>
      <c r="W96" s="246"/>
      <c r="X96" s="136"/>
      <c r="Y96" s="246"/>
      <c r="Z96" s="246"/>
      <c r="AA96" s="246"/>
      <c r="AB96" s="136"/>
      <c r="AC96" s="246"/>
    </row>
    <row r="97" spans="1:29" x14ac:dyDescent="0.15">
      <c r="A97" s="136"/>
      <c r="B97" s="136"/>
      <c r="C97" s="136"/>
      <c r="D97" s="137"/>
      <c r="E97" s="246"/>
      <c r="F97" s="246"/>
      <c r="G97" s="136"/>
      <c r="H97" s="246"/>
      <c r="I97" s="246"/>
      <c r="J97" s="136"/>
      <c r="K97" s="246"/>
      <c r="L97" s="246"/>
      <c r="M97" s="246"/>
      <c r="N97" s="246"/>
      <c r="O97" s="246"/>
      <c r="P97" s="246"/>
      <c r="Q97" s="138"/>
      <c r="R97" s="246"/>
      <c r="S97" s="246"/>
      <c r="T97" s="139"/>
      <c r="U97" s="246"/>
      <c r="V97" s="140"/>
      <c r="W97" s="246"/>
      <c r="X97" s="136"/>
      <c r="Y97" s="246"/>
      <c r="Z97" s="246"/>
      <c r="AA97" s="246"/>
      <c r="AB97" s="136"/>
      <c r="AC97" s="246"/>
    </row>
    <row r="98" spans="1:29" x14ac:dyDescent="0.15">
      <c r="A98" s="136"/>
      <c r="B98" s="136"/>
      <c r="C98" s="136"/>
      <c r="D98" s="137"/>
      <c r="E98" s="246"/>
      <c r="F98" s="246"/>
      <c r="G98" s="136"/>
      <c r="H98" s="246"/>
      <c r="I98" s="246"/>
      <c r="J98" s="136"/>
      <c r="K98" s="246"/>
      <c r="L98" s="246"/>
      <c r="M98" s="246"/>
      <c r="N98" s="246"/>
      <c r="O98" s="246"/>
      <c r="P98" s="246"/>
      <c r="Q98" s="138"/>
      <c r="R98" s="246"/>
      <c r="S98" s="246"/>
      <c r="T98" s="139"/>
      <c r="U98" s="246"/>
      <c r="V98" s="140"/>
      <c r="W98" s="246"/>
      <c r="X98" s="136"/>
      <c r="Y98" s="246"/>
      <c r="Z98" s="246"/>
      <c r="AA98" s="246"/>
      <c r="AB98" s="136"/>
      <c r="AC98" s="246"/>
    </row>
    <row r="99" spans="1:29" x14ac:dyDescent="0.15">
      <c r="A99" s="136"/>
      <c r="B99" s="136"/>
      <c r="C99" s="136"/>
      <c r="D99" s="137"/>
      <c r="E99" s="246"/>
      <c r="F99" s="246"/>
      <c r="G99" s="136"/>
      <c r="H99" s="246"/>
      <c r="I99" s="246"/>
      <c r="J99" s="136"/>
      <c r="K99" s="246"/>
      <c r="L99" s="246"/>
      <c r="M99" s="246"/>
      <c r="N99" s="246"/>
      <c r="O99" s="246"/>
      <c r="P99" s="246"/>
      <c r="Q99" s="138"/>
      <c r="R99" s="246"/>
      <c r="S99" s="246"/>
      <c r="T99" s="139"/>
      <c r="U99" s="246"/>
      <c r="V99" s="140"/>
      <c r="W99" s="246"/>
      <c r="X99" s="136"/>
      <c r="Y99" s="246"/>
      <c r="Z99" s="246"/>
      <c r="AA99" s="246"/>
      <c r="AB99" s="136"/>
      <c r="AC99" s="246"/>
    </row>
    <row r="100" spans="1:29" x14ac:dyDescent="0.15">
      <c r="A100" s="136"/>
      <c r="B100" s="136"/>
      <c r="C100" s="136"/>
      <c r="D100" s="137"/>
      <c r="E100" s="246"/>
      <c r="F100" s="246"/>
      <c r="G100" s="136"/>
      <c r="H100" s="246"/>
      <c r="I100" s="246"/>
      <c r="J100" s="136"/>
      <c r="K100" s="246"/>
      <c r="L100" s="246"/>
      <c r="M100" s="246"/>
      <c r="N100" s="246"/>
      <c r="O100" s="246"/>
      <c r="P100" s="246"/>
      <c r="Q100" s="138"/>
      <c r="R100" s="246"/>
      <c r="S100" s="246"/>
      <c r="T100" s="139"/>
      <c r="U100" s="246"/>
      <c r="V100" s="140"/>
      <c r="W100" s="246"/>
      <c r="X100" s="136"/>
      <c r="Y100" s="246"/>
      <c r="Z100" s="246"/>
      <c r="AA100" s="246"/>
      <c r="AB100" s="136"/>
      <c r="AC100" s="246"/>
    </row>
    <row r="101" spans="1:29" x14ac:dyDescent="0.15">
      <c r="A101" s="136"/>
      <c r="B101" s="136"/>
      <c r="C101" s="136"/>
      <c r="D101" s="137"/>
      <c r="E101" s="246"/>
      <c r="F101" s="246"/>
      <c r="G101" s="136"/>
      <c r="H101" s="246"/>
      <c r="I101" s="246"/>
      <c r="J101" s="136"/>
      <c r="K101" s="246"/>
      <c r="L101" s="246"/>
      <c r="M101" s="246"/>
      <c r="N101" s="246"/>
      <c r="O101" s="246"/>
      <c r="P101" s="246"/>
      <c r="Q101" s="138"/>
      <c r="R101" s="246"/>
      <c r="S101" s="246"/>
      <c r="T101" s="139"/>
      <c r="U101" s="246"/>
      <c r="V101" s="140"/>
      <c r="W101" s="246"/>
      <c r="X101" s="136"/>
      <c r="Y101" s="246"/>
      <c r="Z101" s="246"/>
      <c r="AA101" s="246"/>
      <c r="AB101" s="136"/>
      <c r="AC101" s="246"/>
    </row>
    <row r="102" spans="1:29" x14ac:dyDescent="0.15">
      <c r="A102" s="136"/>
      <c r="B102" s="136"/>
      <c r="C102" s="136"/>
      <c r="D102" s="137"/>
      <c r="E102" s="246"/>
      <c r="F102" s="246"/>
      <c r="G102" s="136"/>
      <c r="H102" s="246"/>
      <c r="I102" s="246"/>
      <c r="J102" s="136"/>
      <c r="K102" s="246"/>
      <c r="L102" s="246"/>
      <c r="M102" s="246"/>
      <c r="N102" s="246"/>
      <c r="O102" s="246"/>
      <c r="P102" s="246"/>
      <c r="Q102" s="138"/>
      <c r="R102" s="246"/>
      <c r="S102" s="246"/>
      <c r="T102" s="139"/>
      <c r="U102" s="246"/>
      <c r="V102" s="140"/>
      <c r="W102" s="246"/>
      <c r="X102" s="136"/>
      <c r="Y102" s="246"/>
      <c r="Z102" s="246"/>
      <c r="AA102" s="246"/>
      <c r="AB102" s="136"/>
      <c r="AC102" s="246"/>
    </row>
    <row r="103" spans="1:29" x14ac:dyDescent="0.15">
      <c r="A103" s="136"/>
      <c r="B103" s="136"/>
      <c r="C103" s="136"/>
      <c r="D103" s="137"/>
      <c r="E103" s="246"/>
      <c r="F103" s="246"/>
      <c r="G103" s="136"/>
      <c r="H103" s="246"/>
      <c r="I103" s="246"/>
      <c r="J103" s="136"/>
      <c r="K103" s="246"/>
      <c r="L103" s="246"/>
      <c r="M103" s="246"/>
      <c r="N103" s="246"/>
      <c r="O103" s="246"/>
      <c r="P103" s="246"/>
      <c r="Q103" s="138"/>
      <c r="R103" s="246"/>
      <c r="S103" s="246"/>
      <c r="T103" s="139"/>
      <c r="U103" s="246"/>
      <c r="V103" s="140"/>
      <c r="W103" s="246"/>
      <c r="X103" s="136"/>
      <c r="Y103" s="246"/>
      <c r="Z103" s="246"/>
      <c r="AA103" s="246"/>
      <c r="AB103" s="136"/>
      <c r="AC103" s="246"/>
    </row>
    <row r="104" spans="1:29" x14ac:dyDescent="0.15">
      <c r="A104" s="136"/>
      <c r="B104" s="136"/>
      <c r="C104" s="136"/>
      <c r="D104" s="137"/>
      <c r="E104" s="246"/>
      <c r="F104" s="246"/>
      <c r="G104" s="136"/>
      <c r="H104" s="246"/>
      <c r="I104" s="246"/>
      <c r="J104" s="136"/>
      <c r="K104" s="246"/>
      <c r="L104" s="246"/>
      <c r="M104" s="246"/>
      <c r="N104" s="246"/>
      <c r="O104" s="246"/>
      <c r="P104" s="246"/>
      <c r="Q104" s="138"/>
      <c r="R104" s="246"/>
      <c r="S104" s="246"/>
      <c r="T104" s="139"/>
      <c r="U104" s="246"/>
      <c r="V104" s="140"/>
      <c r="W104" s="246"/>
      <c r="X104" s="136"/>
      <c r="Y104" s="246"/>
      <c r="Z104" s="246"/>
      <c r="AA104" s="246"/>
      <c r="AB104" s="136"/>
      <c r="AC104" s="246"/>
    </row>
    <row r="105" spans="1:29" x14ac:dyDescent="0.15">
      <c r="A105" s="136"/>
      <c r="B105" s="136"/>
      <c r="C105" s="136"/>
      <c r="D105" s="137"/>
      <c r="E105" s="246"/>
      <c r="F105" s="246"/>
      <c r="G105" s="136"/>
      <c r="H105" s="246"/>
      <c r="I105" s="246"/>
      <c r="J105" s="136"/>
      <c r="K105" s="246"/>
      <c r="L105" s="246"/>
      <c r="M105" s="246"/>
      <c r="N105" s="246"/>
      <c r="O105" s="246"/>
      <c r="P105" s="246"/>
      <c r="Q105" s="138"/>
      <c r="R105" s="246"/>
      <c r="S105" s="246"/>
      <c r="T105" s="139"/>
      <c r="U105" s="246"/>
      <c r="V105" s="140"/>
      <c r="W105" s="246"/>
      <c r="X105" s="136"/>
      <c r="Y105" s="246"/>
      <c r="Z105" s="246"/>
      <c r="AA105" s="246"/>
      <c r="AB105" s="136"/>
      <c r="AC105" s="246"/>
    </row>
    <row r="106" spans="1:29" x14ac:dyDescent="0.15">
      <c r="A106" s="136"/>
      <c r="B106" s="136"/>
      <c r="C106" s="136"/>
      <c r="D106" s="137"/>
      <c r="E106" s="246"/>
      <c r="F106" s="246"/>
      <c r="G106" s="136"/>
      <c r="H106" s="246"/>
      <c r="I106" s="246"/>
      <c r="J106" s="136"/>
      <c r="K106" s="246"/>
      <c r="L106" s="246"/>
      <c r="M106" s="246"/>
      <c r="N106" s="246"/>
      <c r="O106" s="246"/>
      <c r="P106" s="246"/>
      <c r="Q106" s="138"/>
      <c r="R106" s="246"/>
      <c r="S106" s="246"/>
      <c r="T106" s="139"/>
      <c r="U106" s="246"/>
      <c r="V106" s="140"/>
      <c r="W106" s="246"/>
      <c r="X106" s="136"/>
      <c r="Y106" s="246"/>
      <c r="Z106" s="246"/>
      <c r="AA106" s="246"/>
      <c r="AB106" s="136"/>
      <c r="AC106" s="246"/>
    </row>
    <row r="107" spans="1:29" x14ac:dyDescent="0.15">
      <c r="A107" s="246"/>
      <c r="B107" s="246"/>
      <c r="C107" s="246"/>
      <c r="D107" s="246"/>
      <c r="E107" s="246"/>
      <c r="F107" s="246"/>
      <c r="G107" s="246"/>
      <c r="H107" s="246"/>
      <c r="I107" s="246"/>
      <c r="J107" s="246"/>
      <c r="K107" s="246"/>
      <c r="L107" s="246"/>
      <c r="M107" s="246"/>
      <c r="N107" s="246"/>
      <c r="O107" s="246"/>
      <c r="P107" s="246"/>
      <c r="Q107" s="139"/>
      <c r="R107" s="246"/>
      <c r="S107" s="246"/>
      <c r="T107" s="139"/>
      <c r="U107" s="246"/>
      <c r="V107" s="139"/>
      <c r="W107" s="246"/>
      <c r="X107" s="246"/>
      <c r="Y107" s="246"/>
      <c r="Z107" s="246"/>
      <c r="AA107" s="246"/>
      <c r="AB107" s="246"/>
      <c r="AC107" s="246"/>
    </row>
    <row r="108" spans="1:29" x14ac:dyDescent="0.15">
      <c r="A108" s="246"/>
      <c r="B108" s="246"/>
      <c r="C108" s="246"/>
      <c r="D108" s="246"/>
      <c r="E108" s="246"/>
      <c r="F108" s="246"/>
      <c r="G108" s="246"/>
      <c r="H108" s="246"/>
      <c r="I108" s="246"/>
      <c r="J108" s="246"/>
      <c r="K108" s="246"/>
      <c r="L108" s="246" t="s">
        <v>446</v>
      </c>
      <c r="M108" s="246"/>
      <c r="N108" s="246"/>
      <c r="O108" s="246"/>
      <c r="P108" s="246"/>
      <c r="Q108" s="139"/>
      <c r="R108" s="246"/>
      <c r="S108" s="246"/>
      <c r="T108" s="139"/>
      <c r="U108" s="246"/>
      <c r="V108" s="139"/>
      <c r="W108" s="246"/>
      <c r="X108" s="246"/>
      <c r="Y108" s="246"/>
      <c r="Z108" s="246"/>
      <c r="AA108" s="246"/>
      <c r="AB108" s="246"/>
      <c r="AC108" s="246"/>
    </row>
    <row r="109" spans="1:29" x14ac:dyDescent="0.15">
      <c r="K109" s="246"/>
    </row>
    <row r="110" spans="1:29" x14ac:dyDescent="0.15">
      <c r="K110" s="246"/>
    </row>
    <row r="111" spans="1:29" x14ac:dyDescent="0.15">
      <c r="K111" s="246"/>
    </row>
    <row r="112" spans="1:29" x14ac:dyDescent="0.15">
      <c r="K112" s="246"/>
    </row>
    <row r="113" spans="11:11" x14ac:dyDescent="0.15">
      <c r="K113" s="246"/>
    </row>
    <row r="114" spans="11:11" x14ac:dyDescent="0.15">
      <c r="K114" s="246"/>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P5:P13 N20:O22 P20:P37 N11:N13 O38:P88 O14:P19 N17:N19 N68:N7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J78" sqref="J78"/>
    </sheetView>
  </sheetViews>
  <sheetFormatPr defaultColWidth="8.875" defaultRowHeight="13.5" x14ac:dyDescent="0.15"/>
  <cols>
    <col min="1" max="3" width="8.875" style="207"/>
    <col min="4" max="4" width="13.5" style="207" bestFit="1" customWidth="1"/>
    <col min="5" max="5" width="9.625" style="207" bestFit="1" customWidth="1"/>
    <col min="6" max="16" width="8.875" style="207"/>
    <col min="17" max="17" width="8.875" style="216"/>
    <col min="18" max="19" width="8.875" style="207"/>
    <col min="20" max="20" width="8.875" style="216"/>
    <col min="21" max="21" width="8.875" style="207"/>
    <col min="22" max="22" width="8.875" style="216"/>
    <col min="23" max="32" width="8.875" style="207"/>
    <col min="33" max="33" width="19.625" style="207" bestFit="1" customWidth="1"/>
    <col min="34" max="259" width="8.875" style="207"/>
    <col min="260" max="260" width="10.5" style="207" bestFit="1" customWidth="1"/>
    <col min="261" max="261" width="9.625" style="207" bestFit="1" customWidth="1"/>
    <col min="262" max="515" width="8.875" style="207"/>
    <col min="516" max="516" width="10.5" style="207" bestFit="1" customWidth="1"/>
    <col min="517" max="517" width="9.625" style="207" bestFit="1" customWidth="1"/>
    <col min="518" max="771" width="8.875" style="207"/>
    <col min="772" max="772" width="10.5" style="207" bestFit="1" customWidth="1"/>
    <col min="773" max="773" width="9.625" style="207" bestFit="1" customWidth="1"/>
    <col min="774" max="1027" width="8.875" style="207"/>
    <col min="1028" max="1028" width="10.5" style="207" bestFit="1" customWidth="1"/>
    <col min="1029" max="1029" width="9.625" style="207" bestFit="1" customWidth="1"/>
    <col min="1030" max="1283" width="8.875" style="207"/>
    <col min="1284" max="1284" width="10.5" style="207" bestFit="1" customWidth="1"/>
    <col min="1285" max="1285" width="9.625" style="207" bestFit="1" customWidth="1"/>
    <col min="1286" max="1539" width="8.875" style="207"/>
    <col min="1540" max="1540" width="10.5" style="207" bestFit="1" customWidth="1"/>
    <col min="1541" max="1541" width="9.625" style="207" bestFit="1" customWidth="1"/>
    <col min="1542" max="1795" width="8.875" style="207"/>
    <col min="1796" max="1796" width="10.5" style="207" bestFit="1" customWidth="1"/>
    <col min="1797" max="1797" width="9.625" style="207" bestFit="1" customWidth="1"/>
    <col min="1798" max="2051" width="8.875" style="207"/>
    <col min="2052" max="2052" width="10.5" style="207" bestFit="1" customWidth="1"/>
    <col min="2053" max="2053" width="9.625" style="207" bestFit="1" customWidth="1"/>
    <col min="2054" max="2307" width="8.875" style="207"/>
    <col min="2308" max="2308" width="10.5" style="207" bestFit="1" customWidth="1"/>
    <col min="2309" max="2309" width="9.625" style="207" bestFit="1" customWidth="1"/>
    <col min="2310" max="2563" width="8.875" style="207"/>
    <col min="2564" max="2564" width="10.5" style="207" bestFit="1" customWidth="1"/>
    <col min="2565" max="2565" width="9.625" style="207" bestFit="1" customWidth="1"/>
    <col min="2566" max="2819" width="8.875" style="207"/>
    <col min="2820" max="2820" width="10.5" style="207" bestFit="1" customWidth="1"/>
    <col min="2821" max="2821" width="9.625" style="207" bestFit="1" customWidth="1"/>
    <col min="2822" max="3075" width="8.875" style="207"/>
    <col min="3076" max="3076" width="10.5" style="207" bestFit="1" customWidth="1"/>
    <col min="3077" max="3077" width="9.625" style="207" bestFit="1" customWidth="1"/>
    <col min="3078" max="3331" width="8.875" style="207"/>
    <col min="3332" max="3332" width="10.5" style="207" bestFit="1" customWidth="1"/>
    <col min="3333" max="3333" width="9.625" style="207" bestFit="1" customWidth="1"/>
    <col min="3334" max="3587" width="8.875" style="207"/>
    <col min="3588" max="3588" width="10.5" style="207" bestFit="1" customWidth="1"/>
    <col min="3589" max="3589" width="9.625" style="207" bestFit="1" customWidth="1"/>
    <col min="3590" max="3843" width="8.875" style="207"/>
    <col min="3844" max="3844" width="10.5" style="207" bestFit="1" customWidth="1"/>
    <col min="3845" max="3845" width="9.625" style="207" bestFit="1" customWidth="1"/>
    <col min="3846" max="4099" width="8.875" style="207"/>
    <col min="4100" max="4100" width="10.5" style="207" bestFit="1" customWidth="1"/>
    <col min="4101" max="4101" width="9.625" style="207" bestFit="1" customWidth="1"/>
    <col min="4102" max="4355" width="8.875" style="207"/>
    <col min="4356" max="4356" width="10.5" style="207" bestFit="1" customWidth="1"/>
    <col min="4357" max="4357" width="9.625" style="207" bestFit="1" customWidth="1"/>
    <col min="4358" max="4611" width="8.875" style="207"/>
    <col min="4612" max="4612" width="10.5" style="207" bestFit="1" customWidth="1"/>
    <col min="4613" max="4613" width="9.625" style="207" bestFit="1" customWidth="1"/>
    <col min="4614" max="4867" width="8.875" style="207"/>
    <col min="4868" max="4868" width="10.5" style="207" bestFit="1" customWidth="1"/>
    <col min="4869" max="4869" width="9.625" style="207" bestFit="1" customWidth="1"/>
    <col min="4870" max="5123" width="8.875" style="207"/>
    <col min="5124" max="5124" width="10.5" style="207" bestFit="1" customWidth="1"/>
    <col min="5125" max="5125" width="9.625" style="207" bestFit="1" customWidth="1"/>
    <col min="5126" max="5379" width="8.875" style="207"/>
    <col min="5380" max="5380" width="10.5" style="207" bestFit="1" customWidth="1"/>
    <col min="5381" max="5381" width="9.625" style="207" bestFit="1" customWidth="1"/>
    <col min="5382" max="5635" width="8.875" style="207"/>
    <col min="5636" max="5636" width="10.5" style="207" bestFit="1" customWidth="1"/>
    <col min="5637" max="5637" width="9.625" style="207" bestFit="1" customWidth="1"/>
    <col min="5638" max="5891" width="8.875" style="207"/>
    <col min="5892" max="5892" width="10.5" style="207" bestFit="1" customWidth="1"/>
    <col min="5893" max="5893" width="9.625" style="207" bestFit="1" customWidth="1"/>
    <col min="5894" max="6147" width="8.875" style="207"/>
    <col min="6148" max="6148" width="10.5" style="207" bestFit="1" customWidth="1"/>
    <col min="6149" max="6149" width="9.625" style="207" bestFit="1" customWidth="1"/>
    <col min="6150" max="6403" width="8.875" style="207"/>
    <col min="6404" max="6404" width="10.5" style="207" bestFit="1" customWidth="1"/>
    <col min="6405" max="6405" width="9.625" style="207" bestFit="1" customWidth="1"/>
    <col min="6406" max="6659" width="8.875" style="207"/>
    <col min="6660" max="6660" width="10.5" style="207" bestFit="1" customWidth="1"/>
    <col min="6661" max="6661" width="9.625" style="207" bestFit="1" customWidth="1"/>
    <col min="6662" max="6915" width="8.875" style="207"/>
    <col min="6916" max="6916" width="10.5" style="207" bestFit="1" customWidth="1"/>
    <col min="6917" max="6917" width="9.625" style="207" bestFit="1" customWidth="1"/>
    <col min="6918" max="7171" width="8.875" style="207"/>
    <col min="7172" max="7172" width="10.5" style="207" bestFit="1" customWidth="1"/>
    <col min="7173" max="7173" width="9.625" style="207" bestFit="1" customWidth="1"/>
    <col min="7174" max="7427" width="8.875" style="207"/>
    <col min="7428" max="7428" width="10.5" style="207" bestFit="1" customWidth="1"/>
    <col min="7429" max="7429" width="9.625" style="207" bestFit="1" customWidth="1"/>
    <col min="7430" max="7683" width="8.875" style="207"/>
    <col min="7684" max="7684" width="10.5" style="207" bestFit="1" customWidth="1"/>
    <col min="7685" max="7685" width="9.625" style="207" bestFit="1" customWidth="1"/>
    <col min="7686" max="7939" width="8.875" style="207"/>
    <col min="7940" max="7940" width="10.5" style="207" bestFit="1" customWidth="1"/>
    <col min="7941" max="7941" width="9.625" style="207" bestFit="1" customWidth="1"/>
    <col min="7942" max="8195" width="8.875" style="207"/>
    <col min="8196" max="8196" width="10.5" style="207" bestFit="1" customWidth="1"/>
    <col min="8197" max="8197" width="9.625" style="207" bestFit="1" customWidth="1"/>
    <col min="8198" max="8451" width="8.875" style="207"/>
    <col min="8452" max="8452" width="10.5" style="207" bestFit="1" customWidth="1"/>
    <col min="8453" max="8453" width="9.625" style="207" bestFit="1" customWidth="1"/>
    <col min="8454" max="8707" width="8.875" style="207"/>
    <col min="8708" max="8708" width="10.5" style="207" bestFit="1" customWidth="1"/>
    <col min="8709" max="8709" width="9.625" style="207" bestFit="1" customWidth="1"/>
    <col min="8710" max="8963" width="8.875" style="207"/>
    <col min="8964" max="8964" width="10.5" style="207" bestFit="1" customWidth="1"/>
    <col min="8965" max="8965" width="9.625" style="207" bestFit="1" customWidth="1"/>
    <col min="8966" max="9219" width="8.875" style="207"/>
    <col min="9220" max="9220" width="10.5" style="207" bestFit="1" customWidth="1"/>
    <col min="9221" max="9221" width="9.625" style="207" bestFit="1" customWidth="1"/>
    <col min="9222" max="9475" width="8.875" style="207"/>
    <col min="9476" max="9476" width="10.5" style="207" bestFit="1" customWidth="1"/>
    <col min="9477" max="9477" width="9.625" style="207" bestFit="1" customWidth="1"/>
    <col min="9478" max="9731" width="8.875" style="207"/>
    <col min="9732" max="9732" width="10.5" style="207" bestFit="1" customWidth="1"/>
    <col min="9733" max="9733" width="9.625" style="207" bestFit="1" customWidth="1"/>
    <col min="9734" max="9987" width="8.875" style="207"/>
    <col min="9988" max="9988" width="10.5" style="207" bestFit="1" customWidth="1"/>
    <col min="9989" max="9989" width="9.625" style="207" bestFit="1" customWidth="1"/>
    <col min="9990" max="10243" width="8.875" style="207"/>
    <col min="10244" max="10244" width="10.5" style="207" bestFit="1" customWidth="1"/>
    <col min="10245" max="10245" width="9.625" style="207" bestFit="1" customWidth="1"/>
    <col min="10246" max="10499" width="8.875" style="207"/>
    <col min="10500" max="10500" width="10.5" style="207" bestFit="1" customWidth="1"/>
    <col min="10501" max="10501" width="9.625" style="207" bestFit="1" customWidth="1"/>
    <col min="10502" max="10755" width="8.875" style="207"/>
    <col min="10756" max="10756" width="10.5" style="207" bestFit="1" customWidth="1"/>
    <col min="10757" max="10757" width="9.625" style="207" bestFit="1" customWidth="1"/>
    <col min="10758" max="11011" width="8.875" style="207"/>
    <col min="11012" max="11012" width="10.5" style="207" bestFit="1" customWidth="1"/>
    <col min="11013" max="11013" width="9.625" style="207" bestFit="1" customWidth="1"/>
    <col min="11014" max="11267" width="8.875" style="207"/>
    <col min="11268" max="11268" width="10.5" style="207" bestFit="1" customWidth="1"/>
    <col min="11269" max="11269" width="9.625" style="207" bestFit="1" customWidth="1"/>
    <col min="11270" max="11523" width="8.875" style="207"/>
    <col min="11524" max="11524" width="10.5" style="207" bestFit="1" customWidth="1"/>
    <col min="11525" max="11525" width="9.625" style="207" bestFit="1" customWidth="1"/>
    <col min="11526" max="11779" width="8.875" style="207"/>
    <col min="11780" max="11780" width="10.5" style="207" bestFit="1" customWidth="1"/>
    <col min="11781" max="11781" width="9.625" style="207" bestFit="1" customWidth="1"/>
    <col min="11782" max="12035" width="8.875" style="207"/>
    <col min="12036" max="12036" width="10.5" style="207" bestFit="1" customWidth="1"/>
    <col min="12037" max="12037" width="9.625" style="207" bestFit="1" customWidth="1"/>
    <col min="12038" max="12291" width="8.875" style="207"/>
    <col min="12292" max="12292" width="10.5" style="207" bestFit="1" customWidth="1"/>
    <col min="12293" max="12293" width="9.625" style="207" bestFit="1" customWidth="1"/>
    <col min="12294" max="12547" width="8.875" style="207"/>
    <col min="12548" max="12548" width="10.5" style="207" bestFit="1" customWidth="1"/>
    <col min="12549" max="12549" width="9.625" style="207" bestFit="1" customWidth="1"/>
    <col min="12550" max="12803" width="8.875" style="207"/>
    <col min="12804" max="12804" width="10.5" style="207" bestFit="1" customWidth="1"/>
    <col min="12805" max="12805" width="9.625" style="207" bestFit="1" customWidth="1"/>
    <col min="12806" max="13059" width="8.875" style="207"/>
    <col min="13060" max="13060" width="10.5" style="207" bestFit="1" customWidth="1"/>
    <col min="13061" max="13061" width="9.625" style="207" bestFit="1" customWidth="1"/>
    <col min="13062" max="13315" width="8.875" style="207"/>
    <col min="13316" max="13316" width="10.5" style="207" bestFit="1" customWidth="1"/>
    <col min="13317" max="13317" width="9.625" style="207" bestFit="1" customWidth="1"/>
    <col min="13318" max="13571" width="8.875" style="207"/>
    <col min="13572" max="13572" width="10.5" style="207" bestFit="1" customWidth="1"/>
    <col min="13573" max="13573" width="9.625" style="207" bestFit="1" customWidth="1"/>
    <col min="13574" max="13827" width="8.875" style="207"/>
    <col min="13828" max="13828" width="10.5" style="207" bestFit="1" customWidth="1"/>
    <col min="13829" max="13829" width="9.625" style="207" bestFit="1" customWidth="1"/>
    <col min="13830" max="14083" width="8.875" style="207"/>
    <col min="14084" max="14084" width="10.5" style="207" bestFit="1" customWidth="1"/>
    <col min="14085" max="14085" width="9.625" style="207" bestFit="1" customWidth="1"/>
    <col min="14086" max="14339" width="8.875" style="207"/>
    <col min="14340" max="14340" width="10.5" style="207" bestFit="1" customWidth="1"/>
    <col min="14341" max="14341" width="9.625" style="207" bestFit="1" customWidth="1"/>
    <col min="14342" max="14595" width="8.875" style="207"/>
    <col min="14596" max="14596" width="10.5" style="207" bestFit="1" customWidth="1"/>
    <col min="14597" max="14597" width="9.625" style="207" bestFit="1" customWidth="1"/>
    <col min="14598" max="14851" width="8.875" style="207"/>
    <col min="14852" max="14852" width="10.5" style="207" bestFit="1" customWidth="1"/>
    <col min="14853" max="14853" width="9.625" style="207" bestFit="1" customWidth="1"/>
    <col min="14854" max="15107" width="8.875" style="207"/>
    <col min="15108" max="15108" width="10.5" style="207" bestFit="1" customWidth="1"/>
    <col min="15109" max="15109" width="9.625" style="207" bestFit="1" customWidth="1"/>
    <col min="15110" max="15363" width="8.875" style="207"/>
    <col min="15364" max="15364" width="10.5" style="207" bestFit="1" customWidth="1"/>
    <col min="15365" max="15365" width="9.625" style="207" bestFit="1" customWidth="1"/>
    <col min="15366" max="15619" width="8.875" style="207"/>
    <col min="15620" max="15620" width="10.5" style="207" bestFit="1" customWidth="1"/>
    <col min="15621" max="15621" width="9.625" style="207" bestFit="1" customWidth="1"/>
    <col min="15622" max="15875" width="8.875" style="207"/>
    <col min="15876" max="15876" width="10.5" style="207" bestFit="1" customWidth="1"/>
    <col min="15877" max="15877" width="9.625" style="207" bestFit="1" customWidth="1"/>
    <col min="15878" max="16131" width="8.875" style="207"/>
    <col min="16132" max="16132" width="10.5" style="207" bestFit="1" customWidth="1"/>
    <col min="16133" max="16133" width="9.625" style="207" bestFit="1" customWidth="1"/>
    <col min="16134" max="16384" width="8.875" style="207"/>
  </cols>
  <sheetData>
    <row r="1" spans="1:53" ht="45" x14ac:dyDescent="0.15">
      <c r="A1" s="239" t="s">
        <v>0</v>
      </c>
      <c r="B1" s="201" t="s">
        <v>1</v>
      </c>
      <c r="C1" s="201" t="s">
        <v>157</v>
      </c>
      <c r="D1" s="202" t="s">
        <v>3</v>
      </c>
      <c r="E1" s="240" t="s">
        <v>4</v>
      </c>
      <c r="F1" s="240" t="s">
        <v>5</v>
      </c>
      <c r="G1" s="240" t="s">
        <v>6</v>
      </c>
      <c r="H1" s="240" t="s">
        <v>7</v>
      </c>
      <c r="I1" s="240" t="s">
        <v>8</v>
      </c>
      <c r="J1" s="240" t="s">
        <v>9</v>
      </c>
      <c r="K1" s="240" t="s">
        <v>10</v>
      </c>
      <c r="L1" s="202" t="s">
        <v>158</v>
      </c>
      <c r="M1" s="202" t="s">
        <v>12</v>
      </c>
      <c r="N1" s="202" t="s">
        <v>262</v>
      </c>
      <c r="O1" s="202" t="s">
        <v>159</v>
      </c>
      <c r="P1" s="202" t="s">
        <v>15</v>
      </c>
      <c r="Q1" s="203" t="s">
        <v>16</v>
      </c>
      <c r="R1" s="202" t="s">
        <v>17</v>
      </c>
      <c r="S1" s="202" t="s">
        <v>18</v>
      </c>
      <c r="T1" s="203" t="s">
        <v>19</v>
      </c>
      <c r="U1" s="204" t="s">
        <v>263</v>
      </c>
      <c r="V1" s="205" t="s">
        <v>20</v>
      </c>
      <c r="W1" s="202" t="s">
        <v>21</v>
      </c>
      <c r="X1" s="240" t="s">
        <v>22</v>
      </c>
      <c r="Y1" s="240" t="s">
        <v>23</v>
      </c>
      <c r="Z1" s="240" t="s">
        <v>24</v>
      </c>
      <c r="AA1" s="241" t="s">
        <v>25</v>
      </c>
      <c r="AB1" s="206" t="s">
        <v>160</v>
      </c>
      <c r="AE1" s="208" t="s">
        <v>0</v>
      </c>
      <c r="AF1" s="209"/>
      <c r="AG1" s="20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161</v>
      </c>
      <c r="AY1" s="213" t="s">
        <v>162</v>
      </c>
      <c r="AZ1" s="213" t="s">
        <v>163</v>
      </c>
      <c r="BA1" s="214" t="s">
        <v>164</v>
      </c>
    </row>
    <row r="2" spans="1:53" x14ac:dyDescent="0.15">
      <c r="A2" s="207" t="s">
        <v>59</v>
      </c>
      <c r="B2" s="236" t="s">
        <v>339</v>
      </c>
      <c r="C2" s="151">
        <v>2018</v>
      </c>
      <c r="D2" s="152" t="s">
        <v>447</v>
      </c>
      <c r="E2" s="207" t="s">
        <v>448</v>
      </c>
      <c r="F2" s="207" t="s">
        <v>304</v>
      </c>
      <c r="G2" s="207" t="s">
        <v>36</v>
      </c>
      <c r="H2" s="207" t="s">
        <v>165</v>
      </c>
      <c r="I2" s="207" t="s">
        <v>153</v>
      </c>
      <c r="J2" s="207" t="s">
        <v>38</v>
      </c>
      <c r="K2" s="207" t="s">
        <v>154</v>
      </c>
      <c r="L2" s="207">
        <v>1</v>
      </c>
      <c r="N2" s="207">
        <v>4</v>
      </c>
      <c r="O2" s="207">
        <v>0.57999999999999996</v>
      </c>
      <c r="P2" s="207">
        <v>0.55000000000000004</v>
      </c>
      <c r="Q2" s="244">
        <f>IF(OR(O2="",P2=""),"",AVERAGE(O2,P2))</f>
        <v>0.56499999999999995</v>
      </c>
      <c r="R2" s="207">
        <v>16.2</v>
      </c>
      <c r="S2" s="207">
        <v>129</v>
      </c>
      <c r="T2" s="216">
        <f t="shared" ref="T2:T73" si="0">IF(H2="","",IF(OR(H2="GREEN",H2="GK"),IF(S2&gt;=$AX$2,VLOOKUP(S2,$AX$2:$AY$12,2,1),""),IF(S2&gt;=$AZ$2,VLOOKUP(S2,$AZ$2:$BA$12,2,1),"")))</f>
        <v>25</v>
      </c>
      <c r="U2" s="207">
        <v>480</v>
      </c>
      <c r="V2" s="216">
        <f t="shared" ref="V2:V70" si="1">IF(J2="","",IF(OR(J2="GREEN",J2="GK"),IF(U2&gt;=$AX$2,VLOOKUP(U2,$AX$2:$AY$12,2,1),""),IF(U2&gt;=$AZ$2,VLOOKUP(U2,$AZ$2:$BA$12,2,1),"")))</f>
        <v>16</v>
      </c>
      <c r="W2" s="207">
        <v>3</v>
      </c>
      <c r="X2" s="207" t="s">
        <v>39</v>
      </c>
      <c r="Y2" s="207" t="s">
        <v>90</v>
      </c>
      <c r="Z2" s="207" t="s">
        <v>84</v>
      </c>
      <c r="AA2" s="207" t="s">
        <v>274</v>
      </c>
      <c r="AB2" s="236" t="s">
        <v>449</v>
      </c>
      <c r="AE2" s="217" t="s">
        <v>35</v>
      </c>
      <c r="AG2" s="153" t="s">
        <v>311</v>
      </c>
      <c r="AH2" s="154" t="s">
        <v>303</v>
      </c>
      <c r="AJ2" s="247" t="s">
        <v>36</v>
      </c>
      <c r="AL2" s="218" t="s">
        <v>127</v>
      </c>
      <c r="AN2" s="155" t="s">
        <v>450</v>
      </c>
      <c r="AP2" s="218" t="s">
        <v>38</v>
      </c>
      <c r="AR2" s="218" t="s">
        <v>451</v>
      </c>
      <c r="AT2" s="247" t="s">
        <v>39</v>
      </c>
      <c r="AV2" s="223" t="s">
        <v>55</v>
      </c>
      <c r="AX2" s="156">
        <v>1</v>
      </c>
      <c r="AY2" s="157">
        <v>50</v>
      </c>
      <c r="AZ2" s="157">
        <v>1</v>
      </c>
      <c r="BA2" s="158">
        <v>50</v>
      </c>
    </row>
    <row r="3" spans="1:53" x14ac:dyDescent="0.15">
      <c r="A3" s="207" t="s">
        <v>59</v>
      </c>
      <c r="B3" s="236" t="s">
        <v>452</v>
      </c>
      <c r="C3" s="151">
        <v>2018</v>
      </c>
      <c r="D3" s="152" t="s">
        <v>453</v>
      </c>
      <c r="E3" s="207" t="s">
        <v>454</v>
      </c>
      <c r="F3" s="207" t="s">
        <v>304</v>
      </c>
      <c r="G3" s="207" t="s">
        <v>36</v>
      </c>
      <c r="H3" s="207" t="s">
        <v>165</v>
      </c>
      <c r="I3" s="207" t="s">
        <v>153</v>
      </c>
      <c r="J3" s="207" t="s">
        <v>38</v>
      </c>
      <c r="K3" s="207" t="s">
        <v>154</v>
      </c>
      <c r="L3" s="207">
        <v>2</v>
      </c>
      <c r="N3" s="207">
        <v>4</v>
      </c>
      <c r="O3" s="207">
        <v>0.6</v>
      </c>
      <c r="P3" s="207">
        <v>0.57999999999999996</v>
      </c>
      <c r="Q3" s="244">
        <f t="shared" ref="Q3:Q73" si="2">IF(OR(O3="",P3=""),"",AVERAGE(O3,P3))</f>
        <v>0.59</v>
      </c>
      <c r="R3" s="207">
        <v>15.2</v>
      </c>
      <c r="S3" s="207">
        <v>135</v>
      </c>
      <c r="T3" s="216">
        <f t="shared" si="0"/>
        <v>25</v>
      </c>
      <c r="U3" s="207">
        <v>480</v>
      </c>
      <c r="V3" s="216">
        <f t="shared" si="1"/>
        <v>16</v>
      </c>
      <c r="W3" s="207">
        <v>3</v>
      </c>
      <c r="X3" s="207" t="s">
        <v>39</v>
      </c>
      <c r="Y3" s="207" t="s">
        <v>90</v>
      </c>
      <c r="Z3" s="207" t="s">
        <v>84</v>
      </c>
      <c r="AA3" s="207" t="s">
        <v>274</v>
      </c>
      <c r="AB3" s="236" t="s">
        <v>449</v>
      </c>
      <c r="AE3" s="222" t="s">
        <v>41</v>
      </c>
      <c r="AG3" s="153" t="s">
        <v>312</v>
      </c>
      <c r="AH3" s="154" t="s">
        <v>304</v>
      </c>
      <c r="AJ3" s="223" t="s">
        <v>42</v>
      </c>
      <c r="AL3" s="223" t="s">
        <v>128</v>
      </c>
      <c r="AN3" s="223" t="s">
        <v>43</v>
      </c>
      <c r="AP3" s="223" t="s">
        <v>44</v>
      </c>
      <c r="AR3" s="237" t="s">
        <v>45</v>
      </c>
      <c r="AT3" s="223" t="s">
        <v>46</v>
      </c>
      <c r="AV3" s="223" t="s">
        <v>455</v>
      </c>
      <c r="AX3" s="224">
        <v>72</v>
      </c>
      <c r="AY3" s="225">
        <v>46</v>
      </c>
      <c r="AZ3" s="225">
        <v>71</v>
      </c>
      <c r="BA3" s="226">
        <v>42</v>
      </c>
    </row>
    <row r="4" spans="1:53" x14ac:dyDescent="0.15">
      <c r="A4" s="207" t="s">
        <v>59</v>
      </c>
      <c r="B4" s="236" t="s">
        <v>456</v>
      </c>
      <c r="C4" s="151">
        <v>2018</v>
      </c>
      <c r="D4" s="152" t="s">
        <v>457</v>
      </c>
      <c r="E4" s="207" t="s">
        <v>458</v>
      </c>
      <c r="F4" s="207" t="s">
        <v>304</v>
      </c>
      <c r="G4" s="207" t="s">
        <v>36</v>
      </c>
      <c r="H4" s="207" t="s">
        <v>165</v>
      </c>
      <c r="I4" s="207" t="s">
        <v>459</v>
      </c>
      <c r="J4" s="207" t="s">
        <v>38</v>
      </c>
      <c r="K4" s="207" t="s">
        <v>154</v>
      </c>
      <c r="L4" s="207">
        <v>3</v>
      </c>
      <c r="N4" s="207">
        <v>4</v>
      </c>
      <c r="O4" s="207">
        <v>0.55000000000000004</v>
      </c>
      <c r="P4" s="207">
        <v>0.56999999999999995</v>
      </c>
      <c r="Q4" s="244">
        <f t="shared" si="2"/>
        <v>0.56000000000000005</v>
      </c>
      <c r="R4" s="207">
        <v>16.100000000000001</v>
      </c>
      <c r="S4" s="207">
        <v>145</v>
      </c>
      <c r="T4" s="216">
        <f t="shared" si="0"/>
        <v>22</v>
      </c>
      <c r="U4" s="207">
        <v>480</v>
      </c>
      <c r="V4" s="216">
        <f t="shared" si="1"/>
        <v>16</v>
      </c>
      <c r="W4" s="207">
        <v>3</v>
      </c>
      <c r="X4" s="207" t="s">
        <v>39</v>
      </c>
      <c r="Y4" s="207" t="s">
        <v>90</v>
      </c>
      <c r="Z4" s="207" t="s">
        <v>84</v>
      </c>
      <c r="AA4" s="207" t="s">
        <v>274</v>
      </c>
      <c r="AB4" s="236" t="s">
        <v>449</v>
      </c>
      <c r="AE4" s="222" t="s">
        <v>34</v>
      </c>
      <c r="AG4" s="153" t="s">
        <v>313</v>
      </c>
      <c r="AH4" s="154" t="s">
        <v>305</v>
      </c>
      <c r="AJ4" s="227" t="s">
        <v>48</v>
      </c>
      <c r="AL4" s="227" t="s">
        <v>129</v>
      </c>
      <c r="AN4" s="228" t="s">
        <v>49</v>
      </c>
      <c r="AP4" s="223" t="s">
        <v>460</v>
      </c>
      <c r="AR4" s="237" t="s">
        <v>264</v>
      </c>
      <c r="AT4" s="228"/>
      <c r="AV4" s="223" t="s">
        <v>461</v>
      </c>
      <c r="AX4" s="224">
        <v>75</v>
      </c>
      <c r="AY4" s="225">
        <v>42</v>
      </c>
      <c r="AZ4" s="225">
        <v>76</v>
      </c>
      <c r="BA4" s="226">
        <v>39</v>
      </c>
    </row>
    <row r="5" spans="1:53" x14ac:dyDescent="0.15">
      <c r="A5" s="207" t="s">
        <v>59</v>
      </c>
      <c r="B5" s="236" t="s">
        <v>456</v>
      </c>
      <c r="C5" s="151">
        <v>2018</v>
      </c>
      <c r="D5" s="152" t="s">
        <v>457</v>
      </c>
      <c r="E5" s="207" t="s">
        <v>458</v>
      </c>
      <c r="F5" s="207" t="s">
        <v>304</v>
      </c>
      <c r="G5" s="207" t="s">
        <v>36</v>
      </c>
      <c r="H5" s="207" t="s">
        <v>155</v>
      </c>
      <c r="I5" s="207" t="s">
        <v>153</v>
      </c>
      <c r="J5" s="207" t="s">
        <v>38</v>
      </c>
      <c r="K5" s="207" t="s">
        <v>154</v>
      </c>
      <c r="L5" s="207">
        <v>1</v>
      </c>
      <c r="N5" s="207">
        <v>4</v>
      </c>
      <c r="O5" s="207">
        <v>0.5</v>
      </c>
      <c r="P5" s="207">
        <v>0.4</v>
      </c>
      <c r="Q5" s="244">
        <f t="shared" si="2"/>
        <v>0.45</v>
      </c>
      <c r="R5" s="207">
        <v>13.9</v>
      </c>
      <c r="S5" s="207">
        <v>135</v>
      </c>
      <c r="T5" s="216">
        <f t="shared" si="0"/>
        <v>25</v>
      </c>
      <c r="U5" s="207">
        <v>398</v>
      </c>
      <c r="V5" s="216">
        <f t="shared" si="1"/>
        <v>16</v>
      </c>
      <c r="W5" s="207">
        <v>3</v>
      </c>
      <c r="X5" s="207" t="s">
        <v>39</v>
      </c>
      <c r="Y5" s="207" t="s">
        <v>90</v>
      </c>
      <c r="Z5" s="207" t="s">
        <v>84</v>
      </c>
      <c r="AA5" s="207" t="s">
        <v>274</v>
      </c>
      <c r="AB5" s="236" t="s">
        <v>449</v>
      </c>
      <c r="AE5" s="222" t="s">
        <v>51</v>
      </c>
      <c r="AG5" s="153" t="s">
        <v>265</v>
      </c>
      <c r="AH5" s="154" t="s">
        <v>306</v>
      </c>
      <c r="AJ5" s="228"/>
      <c r="AL5" s="229" t="s">
        <v>462</v>
      </c>
      <c r="AN5" s="72" t="s">
        <v>463</v>
      </c>
      <c r="AP5" s="223" t="s">
        <v>464</v>
      </c>
      <c r="AR5" s="237" t="s">
        <v>54</v>
      </c>
      <c r="AV5" s="223" t="s">
        <v>465</v>
      </c>
      <c r="AX5" s="224">
        <v>84</v>
      </c>
      <c r="AY5" s="225">
        <v>39</v>
      </c>
      <c r="AZ5" s="225">
        <v>84</v>
      </c>
      <c r="BA5" s="226">
        <v>36</v>
      </c>
    </row>
    <row r="6" spans="1:53" x14ac:dyDescent="0.15">
      <c r="A6" s="207" t="s">
        <v>59</v>
      </c>
      <c r="B6" s="236" t="s">
        <v>456</v>
      </c>
      <c r="C6" s="151">
        <v>2018</v>
      </c>
      <c r="D6" s="152" t="s">
        <v>457</v>
      </c>
      <c r="E6" s="207" t="s">
        <v>458</v>
      </c>
      <c r="F6" s="207" t="s">
        <v>304</v>
      </c>
      <c r="G6" s="207" t="s">
        <v>36</v>
      </c>
      <c r="H6" s="207" t="s">
        <v>155</v>
      </c>
      <c r="I6" s="207" t="s">
        <v>153</v>
      </c>
      <c r="J6" s="207" t="s">
        <v>38</v>
      </c>
      <c r="K6" s="207" t="s">
        <v>154</v>
      </c>
      <c r="L6" s="207">
        <v>2</v>
      </c>
      <c r="N6" s="207">
        <v>4</v>
      </c>
      <c r="O6" s="207">
        <v>0.25</v>
      </c>
      <c r="P6" s="207">
        <v>0.25</v>
      </c>
      <c r="Q6" s="244">
        <f t="shared" si="2"/>
        <v>0.25</v>
      </c>
      <c r="R6" s="207">
        <v>13.4</v>
      </c>
      <c r="S6" s="207">
        <v>144</v>
      </c>
      <c r="T6" s="216">
        <f t="shared" si="0"/>
        <v>22</v>
      </c>
      <c r="U6" s="207">
        <v>398</v>
      </c>
      <c r="V6" s="216">
        <f t="shared" si="1"/>
        <v>16</v>
      </c>
      <c r="W6" s="207">
        <v>3</v>
      </c>
      <c r="X6" s="207" t="s">
        <v>39</v>
      </c>
      <c r="Y6" s="207" t="s">
        <v>90</v>
      </c>
      <c r="Z6" s="207" t="s">
        <v>84</v>
      </c>
      <c r="AA6" s="207" t="s">
        <v>274</v>
      </c>
      <c r="AB6" s="236" t="s">
        <v>449</v>
      </c>
      <c r="AE6" s="222" t="s">
        <v>56</v>
      </c>
      <c r="AG6" s="153" t="s">
        <v>314</v>
      </c>
      <c r="AH6" s="154" t="s">
        <v>307</v>
      </c>
      <c r="AL6" s="229" t="s">
        <v>466</v>
      </c>
      <c r="AN6" s="229" t="s">
        <v>467</v>
      </c>
      <c r="AP6" s="223" t="s">
        <v>53</v>
      </c>
      <c r="AR6" s="237" t="s">
        <v>170</v>
      </c>
      <c r="AV6" s="223" t="s">
        <v>60</v>
      </c>
      <c r="AX6" s="224">
        <v>97</v>
      </c>
      <c r="AY6" s="225">
        <v>36</v>
      </c>
      <c r="AZ6" s="225">
        <v>99</v>
      </c>
      <c r="BA6" s="226">
        <v>33</v>
      </c>
    </row>
    <row r="7" spans="1:53" x14ac:dyDescent="0.15">
      <c r="A7" s="207" t="s">
        <v>59</v>
      </c>
      <c r="B7" s="236" t="s">
        <v>384</v>
      </c>
      <c r="C7" s="151">
        <v>2018</v>
      </c>
      <c r="D7" s="152" t="s">
        <v>468</v>
      </c>
      <c r="E7" s="207" t="s">
        <v>469</v>
      </c>
      <c r="F7" s="207" t="s">
        <v>304</v>
      </c>
      <c r="G7" s="207" t="s">
        <v>36</v>
      </c>
      <c r="H7" s="207" t="s">
        <v>470</v>
      </c>
      <c r="I7" s="207" t="s">
        <v>153</v>
      </c>
      <c r="J7" s="207" t="s">
        <v>38</v>
      </c>
      <c r="K7" s="207" t="s">
        <v>154</v>
      </c>
      <c r="L7" s="207">
        <v>3</v>
      </c>
      <c r="N7" s="207">
        <v>4</v>
      </c>
      <c r="O7" s="207">
        <v>0.45</v>
      </c>
      <c r="P7" s="207">
        <v>0.47</v>
      </c>
      <c r="Q7" s="244">
        <f t="shared" si="2"/>
        <v>0.45999999999999996</v>
      </c>
      <c r="R7" s="207">
        <v>13.7</v>
      </c>
      <c r="S7" s="207">
        <v>133</v>
      </c>
      <c r="T7" s="216">
        <f t="shared" si="0"/>
        <v>25</v>
      </c>
      <c r="U7" s="207">
        <v>398</v>
      </c>
      <c r="V7" s="216">
        <f t="shared" si="1"/>
        <v>16</v>
      </c>
      <c r="W7" s="207">
        <v>3</v>
      </c>
      <c r="X7" s="207" t="s">
        <v>39</v>
      </c>
      <c r="Y7" s="207" t="s">
        <v>90</v>
      </c>
      <c r="Z7" s="207" t="s">
        <v>84</v>
      </c>
      <c r="AA7" s="207" t="s">
        <v>274</v>
      </c>
      <c r="AB7" s="236" t="s">
        <v>449</v>
      </c>
      <c r="AE7" s="222" t="s">
        <v>61</v>
      </c>
      <c r="AG7" s="153" t="s">
        <v>315</v>
      </c>
      <c r="AH7" s="154" t="s">
        <v>308</v>
      </c>
      <c r="AL7" s="234" t="s">
        <v>471</v>
      </c>
      <c r="AP7" s="223" t="s">
        <v>58</v>
      </c>
      <c r="AR7" s="230" t="s">
        <v>266</v>
      </c>
      <c r="AV7" s="223" t="s">
        <v>64</v>
      </c>
      <c r="AX7" s="224">
        <v>109</v>
      </c>
      <c r="AY7" s="225">
        <v>33</v>
      </c>
      <c r="AZ7" s="225">
        <v>113</v>
      </c>
      <c r="BA7" s="226">
        <v>30</v>
      </c>
    </row>
    <row r="8" spans="1:53" x14ac:dyDescent="0.15">
      <c r="A8" s="207" t="s">
        <v>59</v>
      </c>
      <c r="B8" s="236" t="s">
        <v>472</v>
      </c>
      <c r="C8" s="151">
        <v>2018</v>
      </c>
      <c r="D8" s="152" t="s">
        <v>473</v>
      </c>
      <c r="E8" s="207" t="s">
        <v>311</v>
      </c>
      <c r="F8" s="207" t="s">
        <v>303</v>
      </c>
      <c r="G8" s="207" t="s">
        <v>36</v>
      </c>
      <c r="H8" s="207" t="s">
        <v>165</v>
      </c>
      <c r="I8" s="207" t="s">
        <v>153</v>
      </c>
      <c r="J8" s="207" t="s">
        <v>38</v>
      </c>
      <c r="K8" s="207" t="s">
        <v>154</v>
      </c>
      <c r="L8" s="207">
        <v>1</v>
      </c>
      <c r="N8" s="207">
        <v>1</v>
      </c>
      <c r="O8" s="207">
        <v>0.49</v>
      </c>
      <c r="P8" s="207">
        <v>0.66</v>
      </c>
      <c r="Q8" s="244">
        <f t="shared" si="2"/>
        <v>0.57499999999999996</v>
      </c>
      <c r="R8" s="207">
        <v>16.7</v>
      </c>
      <c r="S8" s="207">
        <v>169</v>
      </c>
      <c r="T8" s="216">
        <f t="shared" si="0"/>
        <v>18</v>
      </c>
      <c r="U8" s="207">
        <v>127</v>
      </c>
      <c r="V8" s="216">
        <f t="shared" si="1"/>
        <v>27</v>
      </c>
      <c r="W8" s="207">
        <v>6</v>
      </c>
      <c r="X8" s="207" t="s">
        <v>46</v>
      </c>
      <c r="Y8" s="207" t="s">
        <v>84</v>
      </c>
      <c r="Z8" s="207" t="s">
        <v>78</v>
      </c>
      <c r="AA8" s="207" t="s">
        <v>274</v>
      </c>
      <c r="AB8" s="236" t="s">
        <v>449</v>
      </c>
      <c r="AE8" s="222" t="s">
        <v>59</v>
      </c>
      <c r="AG8" s="159" t="s">
        <v>316</v>
      </c>
      <c r="AH8" s="154" t="s">
        <v>309</v>
      </c>
      <c r="AL8" s="234" t="s">
        <v>474</v>
      </c>
      <c r="AP8" s="223" t="s">
        <v>62</v>
      </c>
      <c r="AR8" s="237" t="s">
        <v>81</v>
      </c>
      <c r="AV8" s="223" t="s">
        <v>97</v>
      </c>
      <c r="AX8" s="224">
        <v>119</v>
      </c>
      <c r="AY8" s="225">
        <v>30</v>
      </c>
      <c r="AZ8" s="225">
        <v>121</v>
      </c>
      <c r="BA8" s="226">
        <v>27</v>
      </c>
    </row>
    <row r="9" spans="1:53" x14ac:dyDescent="0.15">
      <c r="A9" s="207" t="s">
        <v>59</v>
      </c>
      <c r="B9" s="236" t="s">
        <v>456</v>
      </c>
      <c r="C9" s="151">
        <v>2018</v>
      </c>
      <c r="D9" s="152" t="s">
        <v>457</v>
      </c>
      <c r="E9" s="207" t="s">
        <v>311</v>
      </c>
      <c r="F9" s="207" t="s">
        <v>303</v>
      </c>
      <c r="G9" s="207" t="s">
        <v>36</v>
      </c>
      <c r="H9" s="207" t="s">
        <v>165</v>
      </c>
      <c r="I9" s="207" t="s">
        <v>153</v>
      </c>
      <c r="J9" s="207" t="s">
        <v>38</v>
      </c>
      <c r="K9" s="207" t="s">
        <v>154</v>
      </c>
      <c r="L9" s="207">
        <v>2</v>
      </c>
      <c r="N9" s="207">
        <v>1</v>
      </c>
      <c r="O9" s="207">
        <v>0.56000000000000005</v>
      </c>
      <c r="P9" s="207">
        <v>0.68</v>
      </c>
      <c r="Q9" s="244">
        <f t="shared" si="2"/>
        <v>0.62000000000000011</v>
      </c>
      <c r="R9" s="207">
        <v>16.5</v>
      </c>
      <c r="S9" s="207">
        <v>166</v>
      </c>
      <c r="T9" s="216">
        <f t="shared" si="0"/>
        <v>18</v>
      </c>
      <c r="U9" s="207">
        <v>127</v>
      </c>
      <c r="V9" s="216">
        <f t="shared" si="1"/>
        <v>27</v>
      </c>
      <c r="W9" s="207">
        <v>6</v>
      </c>
      <c r="X9" s="207" t="s">
        <v>46</v>
      </c>
      <c r="Y9" s="207" t="s">
        <v>84</v>
      </c>
      <c r="Z9" s="207" t="s">
        <v>78</v>
      </c>
      <c r="AA9" s="207" t="s">
        <v>274</v>
      </c>
      <c r="AB9" s="236" t="s">
        <v>449</v>
      </c>
      <c r="AE9" s="222" t="s">
        <v>98</v>
      </c>
      <c r="AG9" s="159" t="s">
        <v>317</v>
      </c>
      <c r="AH9" s="154" t="s">
        <v>309</v>
      </c>
      <c r="AL9" s="229"/>
      <c r="AP9" s="223" t="s">
        <v>268</v>
      </c>
      <c r="AR9" s="230" t="s">
        <v>89</v>
      </c>
      <c r="AV9" s="223" t="s">
        <v>102</v>
      </c>
      <c r="AX9" s="224">
        <v>128</v>
      </c>
      <c r="AY9" s="225">
        <v>27</v>
      </c>
      <c r="AZ9" s="225">
        <v>129</v>
      </c>
      <c r="BA9" s="226">
        <v>25</v>
      </c>
    </row>
    <row r="10" spans="1:53" x14ac:dyDescent="0.15">
      <c r="A10" s="207" t="s">
        <v>59</v>
      </c>
      <c r="B10" s="236" t="s">
        <v>377</v>
      </c>
      <c r="C10" s="151">
        <v>2018</v>
      </c>
      <c r="D10" s="152" t="s">
        <v>475</v>
      </c>
      <c r="E10" s="207" t="s">
        <v>311</v>
      </c>
      <c r="F10" s="207" t="s">
        <v>303</v>
      </c>
      <c r="G10" s="207" t="s">
        <v>36</v>
      </c>
      <c r="H10" s="207" t="s">
        <v>165</v>
      </c>
      <c r="I10" s="207" t="s">
        <v>153</v>
      </c>
      <c r="J10" s="207" t="s">
        <v>38</v>
      </c>
      <c r="K10" s="207" t="s">
        <v>154</v>
      </c>
      <c r="L10" s="207">
        <v>3</v>
      </c>
      <c r="N10" s="207">
        <v>1</v>
      </c>
      <c r="O10" s="207">
        <v>0.57999999999999996</v>
      </c>
      <c r="P10" s="207">
        <v>0.64</v>
      </c>
      <c r="Q10" s="244">
        <f t="shared" si="2"/>
        <v>0.61</v>
      </c>
      <c r="R10" s="207">
        <v>16.2</v>
      </c>
      <c r="S10" s="207">
        <v>168</v>
      </c>
      <c r="T10" s="216">
        <f t="shared" si="0"/>
        <v>18</v>
      </c>
      <c r="U10" s="207">
        <v>127</v>
      </c>
      <c r="V10" s="216">
        <f t="shared" si="1"/>
        <v>27</v>
      </c>
      <c r="W10" s="207">
        <v>6</v>
      </c>
      <c r="X10" s="207" t="s">
        <v>46</v>
      </c>
      <c r="Y10" s="207" t="s">
        <v>84</v>
      </c>
      <c r="Z10" s="207" t="s">
        <v>78</v>
      </c>
      <c r="AA10" s="207" t="s">
        <v>274</v>
      </c>
      <c r="AB10" s="236" t="s">
        <v>449</v>
      </c>
      <c r="AE10" s="222" t="s">
        <v>103</v>
      </c>
      <c r="AG10" s="153" t="s">
        <v>318</v>
      </c>
      <c r="AH10" s="154" t="s">
        <v>306</v>
      </c>
      <c r="AL10" s="88"/>
      <c r="AP10" s="223" t="s">
        <v>100</v>
      </c>
      <c r="AR10" s="230" t="s">
        <v>123</v>
      </c>
      <c r="AV10" s="223" t="s">
        <v>106</v>
      </c>
      <c r="AX10" s="224">
        <v>138</v>
      </c>
      <c r="AY10" s="225">
        <v>25</v>
      </c>
      <c r="AZ10" s="225">
        <v>138</v>
      </c>
      <c r="BA10" s="226">
        <v>22</v>
      </c>
    </row>
    <row r="11" spans="1:53" x14ac:dyDescent="0.15">
      <c r="A11" s="207" t="s">
        <v>59</v>
      </c>
      <c r="B11" s="236" t="s">
        <v>456</v>
      </c>
      <c r="C11" s="151">
        <v>2018</v>
      </c>
      <c r="D11" s="152" t="s">
        <v>457</v>
      </c>
      <c r="E11" s="207" t="s">
        <v>311</v>
      </c>
      <c r="F11" s="207" t="s">
        <v>303</v>
      </c>
      <c r="G11" s="207" t="s">
        <v>36</v>
      </c>
      <c r="H11" s="207" t="s">
        <v>155</v>
      </c>
      <c r="I11" s="207" t="s">
        <v>153</v>
      </c>
      <c r="J11" s="207" t="s">
        <v>38</v>
      </c>
      <c r="K11" s="207" t="s">
        <v>154</v>
      </c>
      <c r="L11" s="207">
        <v>1</v>
      </c>
      <c r="N11" s="207">
        <v>4</v>
      </c>
      <c r="O11" s="207">
        <v>0.65</v>
      </c>
      <c r="P11" s="207">
        <v>0.7</v>
      </c>
      <c r="Q11" s="244">
        <f t="shared" si="2"/>
        <v>0.67500000000000004</v>
      </c>
      <c r="R11" s="207">
        <v>12.5</v>
      </c>
      <c r="S11" s="207">
        <v>92</v>
      </c>
      <c r="T11" s="216">
        <f t="shared" si="0"/>
        <v>36</v>
      </c>
      <c r="U11" s="207">
        <v>297</v>
      </c>
      <c r="V11" s="216">
        <f t="shared" si="1"/>
        <v>16</v>
      </c>
      <c r="W11" s="207">
        <v>6</v>
      </c>
      <c r="X11" s="207" t="s">
        <v>39</v>
      </c>
      <c r="Y11" s="207" t="s">
        <v>84</v>
      </c>
      <c r="Z11" s="207" t="s">
        <v>78</v>
      </c>
      <c r="AA11" s="207" t="s">
        <v>274</v>
      </c>
      <c r="AB11" s="236" t="s">
        <v>449</v>
      </c>
      <c r="AE11" s="222" t="s">
        <v>65</v>
      </c>
      <c r="AG11" s="159" t="s">
        <v>319</v>
      </c>
      <c r="AH11" s="154" t="s">
        <v>310</v>
      </c>
      <c r="AL11" s="88"/>
      <c r="AP11" s="223" t="s">
        <v>267</v>
      </c>
      <c r="AR11" s="230" t="s">
        <v>269</v>
      </c>
      <c r="AV11" s="223" t="s">
        <v>476</v>
      </c>
      <c r="AX11" s="224">
        <v>151</v>
      </c>
      <c r="AY11" s="225">
        <v>22</v>
      </c>
      <c r="AZ11" s="225">
        <v>152</v>
      </c>
      <c r="BA11" s="226">
        <v>18</v>
      </c>
    </row>
    <row r="12" spans="1:53" x14ac:dyDescent="0.15">
      <c r="A12" s="207" t="s">
        <v>59</v>
      </c>
      <c r="B12" s="236" t="s">
        <v>477</v>
      </c>
      <c r="C12" s="151">
        <v>2018</v>
      </c>
      <c r="D12" s="152" t="s">
        <v>478</v>
      </c>
      <c r="E12" s="207" t="s">
        <v>311</v>
      </c>
      <c r="F12" s="207" t="s">
        <v>303</v>
      </c>
      <c r="G12" s="207" t="s">
        <v>36</v>
      </c>
      <c r="H12" s="207" t="s">
        <v>155</v>
      </c>
      <c r="I12" s="207" t="s">
        <v>153</v>
      </c>
      <c r="J12" s="207" t="s">
        <v>38</v>
      </c>
      <c r="K12" s="207" t="s">
        <v>154</v>
      </c>
      <c r="L12" s="207">
        <v>2</v>
      </c>
      <c r="N12" s="207">
        <v>4</v>
      </c>
      <c r="O12" s="207">
        <v>0.7</v>
      </c>
      <c r="P12" s="207">
        <v>0.65</v>
      </c>
      <c r="Q12" s="244">
        <f t="shared" si="2"/>
        <v>0.67500000000000004</v>
      </c>
      <c r="R12" s="207">
        <v>13.3</v>
      </c>
      <c r="S12" s="207">
        <v>86</v>
      </c>
      <c r="T12" s="216">
        <f t="shared" si="0"/>
        <v>36</v>
      </c>
      <c r="U12" s="207">
        <v>297</v>
      </c>
      <c r="V12" s="216">
        <f t="shared" si="1"/>
        <v>16</v>
      </c>
      <c r="W12" s="207">
        <v>6</v>
      </c>
      <c r="X12" s="207" t="s">
        <v>39</v>
      </c>
      <c r="Y12" s="207" t="s">
        <v>84</v>
      </c>
      <c r="Z12" s="207" t="s">
        <v>78</v>
      </c>
      <c r="AA12" s="207" t="s">
        <v>274</v>
      </c>
      <c r="AB12" s="236" t="s">
        <v>449</v>
      </c>
      <c r="AE12" s="222" t="s">
        <v>70</v>
      </c>
      <c r="AG12" s="230"/>
      <c r="AH12" s="160"/>
      <c r="AL12" s="88"/>
      <c r="AP12" s="223" t="s">
        <v>67</v>
      </c>
      <c r="AR12" s="230" t="s">
        <v>124</v>
      </c>
      <c r="AV12" s="223" t="s">
        <v>72</v>
      </c>
      <c r="AX12" s="231">
        <v>180</v>
      </c>
      <c r="AY12" s="232">
        <v>18</v>
      </c>
      <c r="AZ12" s="232">
        <v>181</v>
      </c>
      <c r="BA12" s="233">
        <v>16</v>
      </c>
    </row>
    <row r="13" spans="1:53" x14ac:dyDescent="0.15">
      <c r="A13" s="207" t="s">
        <v>59</v>
      </c>
      <c r="B13" s="236" t="s">
        <v>388</v>
      </c>
      <c r="C13" s="151">
        <v>2018</v>
      </c>
      <c r="D13" s="152" t="s">
        <v>479</v>
      </c>
      <c r="E13" s="207" t="s">
        <v>311</v>
      </c>
      <c r="F13" s="207" t="s">
        <v>303</v>
      </c>
      <c r="G13" s="207" t="s">
        <v>36</v>
      </c>
      <c r="H13" s="207" t="s">
        <v>155</v>
      </c>
      <c r="I13" s="207" t="s">
        <v>153</v>
      </c>
      <c r="J13" s="207" t="s">
        <v>38</v>
      </c>
      <c r="K13" s="207" t="s">
        <v>154</v>
      </c>
      <c r="L13" s="207">
        <v>3</v>
      </c>
      <c r="N13" s="207">
        <v>4</v>
      </c>
      <c r="O13" s="207">
        <v>0.71</v>
      </c>
      <c r="P13" s="207">
        <v>0.64</v>
      </c>
      <c r="Q13" s="244">
        <f t="shared" si="2"/>
        <v>0.67500000000000004</v>
      </c>
      <c r="R13" s="207">
        <v>13.2</v>
      </c>
      <c r="S13" s="207">
        <v>89</v>
      </c>
      <c r="T13" s="216">
        <f t="shared" si="0"/>
        <v>36</v>
      </c>
      <c r="U13" s="207">
        <v>297</v>
      </c>
      <c r="V13" s="216">
        <f t="shared" si="1"/>
        <v>16</v>
      </c>
      <c r="W13" s="207">
        <v>6</v>
      </c>
      <c r="X13" s="207" t="s">
        <v>39</v>
      </c>
      <c r="Y13" s="207" t="s">
        <v>84</v>
      </c>
      <c r="Z13" s="207" t="s">
        <v>78</v>
      </c>
      <c r="AA13" s="207" t="s">
        <v>274</v>
      </c>
      <c r="AB13" s="236" t="s">
        <v>449</v>
      </c>
      <c r="AE13" s="222" t="s">
        <v>73</v>
      </c>
      <c r="AG13" s="223"/>
      <c r="AH13" s="223"/>
      <c r="AP13" s="223" t="s">
        <v>71</v>
      </c>
      <c r="AR13" s="230" t="s">
        <v>103</v>
      </c>
      <c r="AV13" s="223" t="s">
        <v>75</v>
      </c>
    </row>
    <row r="14" spans="1:53" x14ac:dyDescent="0.15">
      <c r="A14" s="207" t="s">
        <v>59</v>
      </c>
      <c r="B14" s="236" t="s">
        <v>390</v>
      </c>
      <c r="C14" s="151">
        <v>2018</v>
      </c>
      <c r="D14" s="152" t="s">
        <v>480</v>
      </c>
      <c r="E14" s="207" t="s">
        <v>265</v>
      </c>
      <c r="F14" s="207" t="s">
        <v>306</v>
      </c>
      <c r="G14" s="207" t="s">
        <v>36</v>
      </c>
      <c r="H14" s="207" t="s">
        <v>165</v>
      </c>
      <c r="I14" s="207" t="s">
        <v>153</v>
      </c>
      <c r="J14" s="207" t="s">
        <v>38</v>
      </c>
      <c r="K14" s="207" t="s">
        <v>154</v>
      </c>
      <c r="L14" s="207">
        <v>1</v>
      </c>
      <c r="N14" s="207">
        <v>3</v>
      </c>
      <c r="O14" s="207">
        <v>0.51</v>
      </c>
      <c r="P14" s="207">
        <v>0.5</v>
      </c>
      <c r="Q14" s="244">
        <f t="shared" si="2"/>
        <v>0.505</v>
      </c>
      <c r="R14" s="207">
        <v>15</v>
      </c>
      <c r="S14" s="207">
        <v>120</v>
      </c>
      <c r="T14" s="216">
        <f t="shared" si="0"/>
        <v>30</v>
      </c>
      <c r="U14" s="207">
        <v>399</v>
      </c>
      <c r="V14" s="216">
        <f t="shared" si="1"/>
        <v>16</v>
      </c>
      <c r="W14" s="207">
        <v>4</v>
      </c>
      <c r="X14" s="207" t="s">
        <v>39</v>
      </c>
      <c r="Y14" s="207" t="s">
        <v>90</v>
      </c>
      <c r="Z14" s="207" t="s">
        <v>84</v>
      </c>
      <c r="AA14" s="207" t="s">
        <v>274</v>
      </c>
      <c r="AB14" s="236" t="s">
        <v>449</v>
      </c>
      <c r="AE14" s="222" t="s">
        <v>76</v>
      </c>
      <c r="AG14" s="223"/>
      <c r="AH14" s="223"/>
      <c r="AP14" s="223" t="s">
        <v>270</v>
      </c>
      <c r="AR14" s="230" t="s">
        <v>125</v>
      </c>
      <c r="AV14" s="223" t="s">
        <v>78</v>
      </c>
    </row>
    <row r="15" spans="1:53" x14ac:dyDescent="0.15">
      <c r="A15" s="207" t="s">
        <v>59</v>
      </c>
      <c r="B15" s="236" t="s">
        <v>456</v>
      </c>
      <c r="C15" s="151">
        <v>2018</v>
      </c>
      <c r="D15" s="152" t="s">
        <v>457</v>
      </c>
      <c r="E15" s="207" t="s">
        <v>265</v>
      </c>
      <c r="F15" s="207" t="s">
        <v>306</v>
      </c>
      <c r="G15" s="207" t="s">
        <v>36</v>
      </c>
      <c r="H15" s="207" t="s">
        <v>165</v>
      </c>
      <c r="I15" s="207" t="s">
        <v>153</v>
      </c>
      <c r="J15" s="207" t="s">
        <v>38</v>
      </c>
      <c r="K15" s="207" t="s">
        <v>154</v>
      </c>
      <c r="L15" s="207">
        <v>2</v>
      </c>
      <c r="N15" s="207">
        <v>3</v>
      </c>
      <c r="O15" s="207">
        <v>0.45</v>
      </c>
      <c r="P15" s="207">
        <v>0.48</v>
      </c>
      <c r="Q15" s="244">
        <f t="shared" si="2"/>
        <v>0.46499999999999997</v>
      </c>
      <c r="R15" s="207">
        <v>15.7</v>
      </c>
      <c r="S15" s="207">
        <v>117</v>
      </c>
      <c r="T15" s="216">
        <f t="shared" si="0"/>
        <v>30</v>
      </c>
      <c r="U15" s="207">
        <v>399</v>
      </c>
      <c r="V15" s="216">
        <f t="shared" si="1"/>
        <v>16</v>
      </c>
      <c r="W15" s="207">
        <v>4</v>
      </c>
      <c r="X15" s="207" t="s">
        <v>39</v>
      </c>
      <c r="Y15" s="207" t="s">
        <v>90</v>
      </c>
      <c r="Z15" s="207" t="s">
        <v>84</v>
      </c>
      <c r="AA15" s="207" t="s">
        <v>274</v>
      </c>
      <c r="AB15" s="236" t="s">
        <v>449</v>
      </c>
      <c r="AE15" s="222" t="s">
        <v>79</v>
      </c>
      <c r="AG15" s="223"/>
      <c r="AH15" s="223"/>
      <c r="AP15" s="223" t="s">
        <v>271</v>
      </c>
      <c r="AR15" s="230" t="s">
        <v>94</v>
      </c>
      <c r="AV15" s="223" t="s">
        <v>107</v>
      </c>
    </row>
    <row r="16" spans="1:53" x14ac:dyDescent="0.15">
      <c r="A16" s="207" t="s">
        <v>59</v>
      </c>
      <c r="B16" s="236" t="s">
        <v>392</v>
      </c>
      <c r="C16" s="151">
        <v>2018</v>
      </c>
      <c r="D16" s="152" t="s">
        <v>481</v>
      </c>
      <c r="E16" s="207" t="s">
        <v>265</v>
      </c>
      <c r="F16" s="207" t="s">
        <v>306</v>
      </c>
      <c r="G16" s="207" t="s">
        <v>36</v>
      </c>
      <c r="H16" s="207" t="s">
        <v>165</v>
      </c>
      <c r="I16" s="207" t="s">
        <v>153</v>
      </c>
      <c r="J16" s="207" t="s">
        <v>38</v>
      </c>
      <c r="K16" s="207" t="s">
        <v>154</v>
      </c>
      <c r="L16" s="207">
        <v>3</v>
      </c>
      <c r="N16" s="207">
        <v>3</v>
      </c>
      <c r="O16" s="207">
        <v>0.53</v>
      </c>
      <c r="P16" s="207">
        <v>0.49</v>
      </c>
      <c r="Q16" s="244">
        <f t="shared" si="2"/>
        <v>0.51</v>
      </c>
      <c r="R16" s="207">
        <v>15.8</v>
      </c>
      <c r="S16" s="207">
        <v>119</v>
      </c>
      <c r="T16" s="216">
        <f t="shared" si="0"/>
        <v>30</v>
      </c>
      <c r="U16" s="207">
        <v>399</v>
      </c>
      <c r="V16" s="216">
        <f t="shared" si="1"/>
        <v>16</v>
      </c>
      <c r="W16" s="207">
        <v>4</v>
      </c>
      <c r="X16" s="207" t="s">
        <v>39</v>
      </c>
      <c r="Y16" s="207" t="s">
        <v>90</v>
      </c>
      <c r="Z16" s="207" t="s">
        <v>84</v>
      </c>
      <c r="AA16" s="207" t="s">
        <v>274</v>
      </c>
      <c r="AB16" s="236" t="s">
        <v>449</v>
      </c>
      <c r="AE16" s="222" t="s">
        <v>82</v>
      </c>
      <c r="AG16" s="228"/>
      <c r="AH16" s="228"/>
      <c r="AP16" s="223" t="s">
        <v>80</v>
      </c>
      <c r="AR16" s="237" t="s">
        <v>63</v>
      </c>
      <c r="AV16" s="223" t="s">
        <v>84</v>
      </c>
    </row>
    <row r="17" spans="1:48" x14ac:dyDescent="0.15">
      <c r="A17" s="207" t="s">
        <v>59</v>
      </c>
      <c r="B17" s="236" t="s">
        <v>456</v>
      </c>
      <c r="C17" s="151">
        <v>2018</v>
      </c>
      <c r="D17" s="152" t="s">
        <v>457</v>
      </c>
      <c r="E17" s="207" t="s">
        <v>265</v>
      </c>
      <c r="F17" s="207" t="s">
        <v>306</v>
      </c>
      <c r="G17" s="207" t="s">
        <v>36</v>
      </c>
      <c r="H17" s="207" t="s">
        <v>155</v>
      </c>
      <c r="I17" s="207" t="s">
        <v>153</v>
      </c>
      <c r="J17" s="207" t="s">
        <v>38</v>
      </c>
      <c r="K17" s="207" t="s">
        <v>154</v>
      </c>
      <c r="L17" s="207">
        <v>1</v>
      </c>
      <c r="N17" s="207">
        <v>4</v>
      </c>
      <c r="O17" s="207">
        <v>0.74</v>
      </c>
      <c r="P17" s="207">
        <v>0.78</v>
      </c>
      <c r="Q17" s="244">
        <f t="shared" si="2"/>
        <v>0.76</v>
      </c>
      <c r="R17" s="207">
        <v>14.7</v>
      </c>
      <c r="S17" s="207">
        <v>105</v>
      </c>
      <c r="T17" s="216">
        <f t="shared" si="0"/>
        <v>33</v>
      </c>
      <c r="U17" s="207">
        <v>399</v>
      </c>
      <c r="V17" s="216">
        <f t="shared" si="1"/>
        <v>16</v>
      </c>
      <c r="W17" s="207">
        <v>3</v>
      </c>
      <c r="X17" s="207" t="s">
        <v>39</v>
      </c>
      <c r="Y17" s="207" t="s">
        <v>90</v>
      </c>
      <c r="Z17" s="207" t="s">
        <v>84</v>
      </c>
      <c r="AA17" s="207" t="s">
        <v>274</v>
      </c>
      <c r="AB17" s="236" t="s">
        <v>449</v>
      </c>
      <c r="AE17" s="222" t="s">
        <v>85</v>
      </c>
      <c r="AP17" s="238" t="s">
        <v>110</v>
      </c>
      <c r="AR17" s="237" t="s">
        <v>96</v>
      </c>
      <c r="AV17" s="223" t="s">
        <v>86</v>
      </c>
    </row>
    <row r="18" spans="1:48" x14ac:dyDescent="0.15">
      <c r="A18" s="207" t="s">
        <v>59</v>
      </c>
      <c r="B18" s="236" t="s">
        <v>456</v>
      </c>
      <c r="C18" s="151">
        <v>2018</v>
      </c>
      <c r="D18" s="152" t="s">
        <v>457</v>
      </c>
      <c r="E18" s="207" t="s">
        <v>265</v>
      </c>
      <c r="F18" s="207" t="s">
        <v>306</v>
      </c>
      <c r="G18" s="207" t="s">
        <v>36</v>
      </c>
      <c r="H18" s="207" t="s">
        <v>155</v>
      </c>
      <c r="I18" s="207" t="s">
        <v>153</v>
      </c>
      <c r="J18" s="207" t="s">
        <v>38</v>
      </c>
      <c r="K18" s="207" t="s">
        <v>154</v>
      </c>
      <c r="L18" s="207">
        <v>2</v>
      </c>
      <c r="N18" s="207">
        <v>4</v>
      </c>
      <c r="O18" s="207">
        <v>0.79</v>
      </c>
      <c r="P18" s="207">
        <v>0.86</v>
      </c>
      <c r="Q18" s="244">
        <f t="shared" si="2"/>
        <v>0.82499999999999996</v>
      </c>
      <c r="R18" s="207">
        <v>14.6</v>
      </c>
      <c r="S18" s="207">
        <v>110</v>
      </c>
      <c r="T18" s="216">
        <f t="shared" si="0"/>
        <v>33</v>
      </c>
      <c r="U18" s="207">
        <v>399</v>
      </c>
      <c r="V18" s="216">
        <f t="shared" si="1"/>
        <v>16</v>
      </c>
      <c r="W18" s="207">
        <v>3</v>
      </c>
      <c r="X18" s="207" t="s">
        <v>39</v>
      </c>
      <c r="Y18" s="207" t="s">
        <v>90</v>
      </c>
      <c r="Z18" s="207" t="s">
        <v>84</v>
      </c>
      <c r="AA18" s="207" t="s">
        <v>274</v>
      </c>
      <c r="AB18" s="236" t="s">
        <v>449</v>
      </c>
      <c r="AE18" s="222" t="s">
        <v>87</v>
      </c>
      <c r="AP18" s="238" t="s">
        <v>273</v>
      </c>
      <c r="AR18" s="237" t="s">
        <v>101</v>
      </c>
      <c r="AV18" s="223" t="s">
        <v>88</v>
      </c>
    </row>
    <row r="19" spans="1:48" x14ac:dyDescent="0.15">
      <c r="A19" s="207" t="s">
        <v>59</v>
      </c>
      <c r="B19" s="236" t="s">
        <v>384</v>
      </c>
      <c r="C19" s="151">
        <v>2018</v>
      </c>
      <c r="D19" s="152" t="s">
        <v>468</v>
      </c>
      <c r="E19" s="207" t="s">
        <v>265</v>
      </c>
      <c r="F19" s="207" t="s">
        <v>306</v>
      </c>
      <c r="G19" s="207" t="s">
        <v>36</v>
      </c>
      <c r="H19" s="207" t="s">
        <v>155</v>
      </c>
      <c r="I19" s="207" t="s">
        <v>153</v>
      </c>
      <c r="J19" s="207" t="s">
        <v>38</v>
      </c>
      <c r="K19" s="207" t="s">
        <v>154</v>
      </c>
      <c r="L19" s="207">
        <v>3</v>
      </c>
      <c r="N19" s="207">
        <v>4</v>
      </c>
      <c r="O19" s="207">
        <v>0.75</v>
      </c>
      <c r="P19" s="207">
        <v>0.77</v>
      </c>
      <c r="Q19" s="244">
        <f t="shared" si="2"/>
        <v>0.76</v>
      </c>
      <c r="R19" s="207">
        <v>14.6</v>
      </c>
      <c r="S19" s="207">
        <v>109</v>
      </c>
      <c r="T19" s="216">
        <f t="shared" si="0"/>
        <v>33</v>
      </c>
      <c r="U19" s="207">
        <v>399</v>
      </c>
      <c r="V19" s="216">
        <f t="shared" si="1"/>
        <v>16</v>
      </c>
      <c r="W19" s="207">
        <v>3</v>
      </c>
      <c r="X19" s="207" t="s">
        <v>39</v>
      </c>
      <c r="Y19" s="207" t="s">
        <v>90</v>
      </c>
      <c r="Z19" s="207" t="s">
        <v>84</v>
      </c>
      <c r="AA19" s="207" t="s">
        <v>274</v>
      </c>
      <c r="AB19" s="236" t="s">
        <v>449</v>
      </c>
      <c r="AD19" s="236"/>
      <c r="AE19" s="235" t="s">
        <v>89</v>
      </c>
      <c r="AP19" s="238" t="s">
        <v>112</v>
      </c>
      <c r="AR19" s="230" t="s">
        <v>126</v>
      </c>
      <c r="AV19" s="223" t="s">
        <v>274</v>
      </c>
    </row>
    <row r="20" spans="1:48" x14ac:dyDescent="0.15">
      <c r="A20" s="207" t="s">
        <v>59</v>
      </c>
      <c r="B20" s="236" t="s">
        <v>456</v>
      </c>
      <c r="C20" s="151">
        <v>2018</v>
      </c>
      <c r="D20" s="152" t="s">
        <v>457</v>
      </c>
      <c r="E20" s="207" t="s">
        <v>318</v>
      </c>
      <c r="F20" s="207" t="s">
        <v>306</v>
      </c>
      <c r="G20" s="207" t="s">
        <v>36</v>
      </c>
      <c r="H20" s="207" t="s">
        <v>165</v>
      </c>
      <c r="I20" s="207" t="s">
        <v>153</v>
      </c>
      <c r="J20" s="207" t="s">
        <v>38</v>
      </c>
      <c r="K20" s="207" t="s">
        <v>154</v>
      </c>
      <c r="L20" s="207">
        <v>1</v>
      </c>
      <c r="N20" s="207">
        <v>4</v>
      </c>
      <c r="O20" s="207">
        <v>0.57999999999999996</v>
      </c>
      <c r="P20" s="207">
        <v>0.52</v>
      </c>
      <c r="Q20" s="244">
        <f t="shared" si="2"/>
        <v>0.55000000000000004</v>
      </c>
      <c r="R20" s="207">
        <v>16.2</v>
      </c>
      <c r="S20" s="207">
        <v>138</v>
      </c>
      <c r="T20" s="216">
        <f t="shared" si="0"/>
        <v>22</v>
      </c>
      <c r="U20" s="207">
        <v>645</v>
      </c>
      <c r="V20" s="216">
        <f t="shared" si="1"/>
        <v>16</v>
      </c>
      <c r="W20" s="207">
        <v>1</v>
      </c>
      <c r="X20" s="207" t="s">
        <v>46</v>
      </c>
      <c r="Y20" s="207" t="s">
        <v>90</v>
      </c>
      <c r="Z20" s="207" t="s">
        <v>78</v>
      </c>
      <c r="AA20" s="207" t="s">
        <v>102</v>
      </c>
      <c r="AB20" s="236" t="s">
        <v>449</v>
      </c>
      <c r="AD20" s="236"/>
      <c r="AE20" s="235"/>
      <c r="AP20" s="238" t="s">
        <v>113</v>
      </c>
      <c r="AR20" s="237" t="s">
        <v>105</v>
      </c>
      <c r="AV20" s="227" t="s">
        <v>482</v>
      </c>
    </row>
    <row r="21" spans="1:48" x14ac:dyDescent="0.15">
      <c r="A21" s="207" t="s">
        <v>59</v>
      </c>
      <c r="B21" s="236" t="s">
        <v>456</v>
      </c>
      <c r="C21" s="151">
        <v>2018</v>
      </c>
      <c r="D21" s="152" t="s">
        <v>457</v>
      </c>
      <c r="E21" s="207" t="s">
        <v>318</v>
      </c>
      <c r="F21" s="207" t="s">
        <v>306</v>
      </c>
      <c r="G21" s="207" t="s">
        <v>36</v>
      </c>
      <c r="H21" s="207" t="s">
        <v>165</v>
      </c>
      <c r="I21" s="207" t="s">
        <v>153</v>
      </c>
      <c r="J21" s="207" t="s">
        <v>38</v>
      </c>
      <c r="K21" s="207" t="s">
        <v>154</v>
      </c>
      <c r="L21" s="207">
        <v>2</v>
      </c>
      <c r="N21" s="207">
        <v>4</v>
      </c>
      <c r="O21" s="207">
        <v>0.52</v>
      </c>
      <c r="P21" s="207">
        <v>0.5</v>
      </c>
      <c r="Q21" s="244">
        <f t="shared" si="2"/>
        <v>0.51</v>
      </c>
      <c r="R21" s="207">
        <v>16.100000000000001</v>
      </c>
      <c r="S21" s="207">
        <v>135</v>
      </c>
      <c r="T21" s="216">
        <f t="shared" si="0"/>
        <v>25</v>
      </c>
      <c r="U21" s="207">
        <v>645</v>
      </c>
      <c r="V21" s="216">
        <f t="shared" si="1"/>
        <v>16</v>
      </c>
      <c r="W21" s="207">
        <v>1</v>
      </c>
      <c r="X21" s="207" t="s">
        <v>46</v>
      </c>
      <c r="Y21" s="207" t="s">
        <v>90</v>
      </c>
      <c r="Z21" s="207" t="s">
        <v>78</v>
      </c>
      <c r="AA21" s="207" t="s">
        <v>102</v>
      </c>
      <c r="AB21" s="236" t="s">
        <v>449</v>
      </c>
      <c r="AD21" s="236"/>
      <c r="AE21" s="228"/>
      <c r="AP21" s="238" t="s">
        <v>275</v>
      </c>
      <c r="AR21" s="237" t="s">
        <v>68</v>
      </c>
      <c r="AV21" s="227" t="s">
        <v>483</v>
      </c>
    </row>
    <row r="22" spans="1:48" x14ac:dyDescent="0.15">
      <c r="A22" s="207" t="s">
        <v>59</v>
      </c>
      <c r="B22" s="236" t="s">
        <v>456</v>
      </c>
      <c r="C22" s="151">
        <v>2018</v>
      </c>
      <c r="D22" s="152" t="s">
        <v>457</v>
      </c>
      <c r="E22" s="207" t="s">
        <v>318</v>
      </c>
      <c r="F22" s="207" t="s">
        <v>306</v>
      </c>
      <c r="G22" s="207" t="s">
        <v>36</v>
      </c>
      <c r="H22" s="207" t="s">
        <v>165</v>
      </c>
      <c r="I22" s="207" t="s">
        <v>153</v>
      </c>
      <c r="J22" s="207" t="s">
        <v>38</v>
      </c>
      <c r="K22" s="207" t="s">
        <v>154</v>
      </c>
      <c r="L22" s="207">
        <v>3</v>
      </c>
      <c r="N22" s="207">
        <v>4</v>
      </c>
      <c r="O22" s="207">
        <v>0.5</v>
      </c>
      <c r="P22" s="207">
        <v>0.53</v>
      </c>
      <c r="Q22" s="244">
        <f t="shared" si="2"/>
        <v>0.51500000000000001</v>
      </c>
      <c r="R22" s="207">
        <v>16.2</v>
      </c>
      <c r="S22" s="207">
        <v>130</v>
      </c>
      <c r="T22" s="216">
        <f t="shared" si="0"/>
        <v>25</v>
      </c>
      <c r="U22" s="207">
        <v>645</v>
      </c>
      <c r="V22" s="216">
        <f t="shared" si="1"/>
        <v>16</v>
      </c>
      <c r="W22" s="207">
        <v>1</v>
      </c>
      <c r="X22" s="207" t="s">
        <v>46</v>
      </c>
      <c r="Y22" s="207" t="s">
        <v>90</v>
      </c>
      <c r="Z22" s="207" t="s">
        <v>78</v>
      </c>
      <c r="AA22" s="207" t="s">
        <v>102</v>
      </c>
      <c r="AB22" s="236" t="s">
        <v>449</v>
      </c>
      <c r="AD22" s="236"/>
      <c r="AP22" s="238" t="s">
        <v>272</v>
      </c>
      <c r="AR22" s="237" t="s">
        <v>83</v>
      </c>
      <c r="AV22" s="227" t="s">
        <v>276</v>
      </c>
    </row>
    <row r="23" spans="1:48" x14ac:dyDescent="0.15">
      <c r="A23" s="207" t="s">
        <v>59</v>
      </c>
      <c r="B23" s="236" t="s">
        <v>456</v>
      </c>
      <c r="C23" s="151">
        <v>2018</v>
      </c>
      <c r="D23" s="152" t="s">
        <v>457</v>
      </c>
      <c r="E23" s="207" t="s">
        <v>318</v>
      </c>
      <c r="F23" s="207" t="s">
        <v>306</v>
      </c>
      <c r="G23" s="207" t="s">
        <v>36</v>
      </c>
      <c r="H23" s="207" t="s">
        <v>155</v>
      </c>
      <c r="I23" s="207" t="s">
        <v>153</v>
      </c>
      <c r="J23" s="207" t="s">
        <v>38</v>
      </c>
      <c r="K23" s="207" t="s">
        <v>154</v>
      </c>
      <c r="L23" s="207">
        <v>1</v>
      </c>
      <c r="N23" s="207">
        <v>4</v>
      </c>
      <c r="O23" s="207">
        <v>0.81</v>
      </c>
      <c r="P23" s="207">
        <v>0.75</v>
      </c>
      <c r="Q23" s="244">
        <f t="shared" si="2"/>
        <v>0.78</v>
      </c>
      <c r="R23" s="207">
        <v>14.6</v>
      </c>
      <c r="S23" s="207">
        <v>106</v>
      </c>
      <c r="T23" s="216">
        <f t="shared" si="0"/>
        <v>33</v>
      </c>
      <c r="U23" s="207">
        <v>429</v>
      </c>
      <c r="V23" s="216">
        <f t="shared" si="1"/>
        <v>16</v>
      </c>
      <c r="W23" s="207">
        <v>1</v>
      </c>
      <c r="X23" s="207" t="s">
        <v>46</v>
      </c>
      <c r="Y23" s="207" t="s">
        <v>90</v>
      </c>
      <c r="Z23" s="207" t="s">
        <v>78</v>
      </c>
      <c r="AA23" s="207" t="s">
        <v>102</v>
      </c>
      <c r="AB23" s="236" t="s">
        <v>449</v>
      </c>
      <c r="AP23" s="238" t="s">
        <v>484</v>
      </c>
      <c r="AR23" s="237" t="s">
        <v>61</v>
      </c>
      <c r="AV23" s="227" t="s">
        <v>485</v>
      </c>
    </row>
    <row r="24" spans="1:48" x14ac:dyDescent="0.15">
      <c r="A24" s="207" t="s">
        <v>59</v>
      </c>
      <c r="B24" s="236" t="s">
        <v>456</v>
      </c>
      <c r="C24" s="151">
        <v>2018</v>
      </c>
      <c r="D24" s="152" t="s">
        <v>457</v>
      </c>
      <c r="E24" s="207" t="s">
        <v>318</v>
      </c>
      <c r="F24" s="207" t="s">
        <v>306</v>
      </c>
      <c r="G24" s="207" t="s">
        <v>36</v>
      </c>
      <c r="H24" s="207" t="s">
        <v>155</v>
      </c>
      <c r="I24" s="207" t="s">
        <v>153</v>
      </c>
      <c r="J24" s="207" t="s">
        <v>38</v>
      </c>
      <c r="K24" s="207" t="s">
        <v>154</v>
      </c>
      <c r="L24" s="207">
        <v>2</v>
      </c>
      <c r="N24" s="207">
        <v>4</v>
      </c>
      <c r="O24" s="207">
        <v>0.7</v>
      </c>
      <c r="P24" s="207">
        <v>0.85</v>
      </c>
      <c r="Q24" s="244">
        <f t="shared" si="2"/>
        <v>0.77499999999999991</v>
      </c>
      <c r="R24" s="207">
        <v>13.3</v>
      </c>
      <c r="S24" s="207">
        <v>104</v>
      </c>
      <c r="T24" s="216">
        <f t="shared" si="0"/>
        <v>33</v>
      </c>
      <c r="U24" s="207">
        <v>429</v>
      </c>
      <c r="V24" s="216">
        <f t="shared" si="1"/>
        <v>16</v>
      </c>
      <c r="W24" s="207">
        <v>1</v>
      </c>
      <c r="X24" s="207" t="s">
        <v>46</v>
      </c>
      <c r="Y24" s="207" t="s">
        <v>90</v>
      </c>
      <c r="Z24" s="207" t="s">
        <v>78</v>
      </c>
      <c r="AA24" s="207" t="s">
        <v>102</v>
      </c>
      <c r="AB24" s="236" t="s">
        <v>449</v>
      </c>
      <c r="AP24" s="238" t="s">
        <v>486</v>
      </c>
      <c r="AR24" s="237" t="s">
        <v>91</v>
      </c>
      <c r="AV24" s="227" t="s">
        <v>487</v>
      </c>
    </row>
    <row r="25" spans="1:48" x14ac:dyDescent="0.15">
      <c r="A25" s="207" t="s">
        <v>59</v>
      </c>
      <c r="B25" s="236" t="s">
        <v>456</v>
      </c>
      <c r="C25" s="151">
        <v>2018</v>
      </c>
      <c r="D25" s="152" t="s">
        <v>457</v>
      </c>
      <c r="E25" s="207" t="s">
        <v>318</v>
      </c>
      <c r="F25" s="207" t="s">
        <v>306</v>
      </c>
      <c r="G25" s="207" t="s">
        <v>36</v>
      </c>
      <c r="H25" s="207" t="s">
        <v>155</v>
      </c>
      <c r="I25" s="207" t="s">
        <v>153</v>
      </c>
      <c r="J25" s="207" t="s">
        <v>38</v>
      </c>
      <c r="K25" s="207" t="s">
        <v>154</v>
      </c>
      <c r="L25" s="207">
        <v>3</v>
      </c>
      <c r="N25" s="207">
        <v>4</v>
      </c>
      <c r="O25" s="207">
        <v>0.84</v>
      </c>
      <c r="P25" s="207">
        <v>0.84</v>
      </c>
      <c r="Q25" s="244">
        <f t="shared" si="2"/>
        <v>0.84</v>
      </c>
      <c r="R25" s="207">
        <v>14.1</v>
      </c>
      <c r="S25" s="207">
        <v>100</v>
      </c>
      <c r="T25" s="216">
        <f t="shared" si="0"/>
        <v>33</v>
      </c>
      <c r="U25" s="207">
        <v>429</v>
      </c>
      <c r="V25" s="216">
        <f t="shared" si="1"/>
        <v>16</v>
      </c>
      <c r="W25" s="207">
        <v>1</v>
      </c>
      <c r="X25" s="207" t="s">
        <v>46</v>
      </c>
      <c r="Y25" s="207" t="s">
        <v>90</v>
      </c>
      <c r="Z25" s="207" t="s">
        <v>78</v>
      </c>
      <c r="AA25" s="207" t="s">
        <v>102</v>
      </c>
      <c r="AB25" s="236" t="s">
        <v>449</v>
      </c>
      <c r="AD25" s="236"/>
      <c r="AP25" s="238" t="s">
        <v>116</v>
      </c>
      <c r="AR25" s="42" t="s">
        <v>92</v>
      </c>
      <c r="AV25" s="227" t="s">
        <v>488</v>
      </c>
    </row>
    <row r="26" spans="1:48" x14ac:dyDescent="0.15">
      <c r="A26" s="207" t="s">
        <v>59</v>
      </c>
      <c r="B26" s="236" t="s">
        <v>456</v>
      </c>
      <c r="C26" s="151">
        <v>2018</v>
      </c>
      <c r="D26" s="152" t="s">
        <v>457</v>
      </c>
      <c r="E26" s="207" t="s">
        <v>318</v>
      </c>
      <c r="F26" s="207" t="s">
        <v>306</v>
      </c>
      <c r="G26" s="207" t="s">
        <v>36</v>
      </c>
      <c r="H26" s="207" t="s">
        <v>129</v>
      </c>
      <c r="I26" s="207" t="s">
        <v>153</v>
      </c>
      <c r="J26" s="207" t="s">
        <v>272</v>
      </c>
      <c r="K26" s="207" t="s">
        <v>264</v>
      </c>
      <c r="L26" s="207">
        <v>1</v>
      </c>
      <c r="N26" s="207">
        <v>6</v>
      </c>
      <c r="O26" s="207">
        <v>0.3</v>
      </c>
      <c r="P26" s="207">
        <v>0.33</v>
      </c>
      <c r="Q26" s="244">
        <f t="shared" si="2"/>
        <v>0.315</v>
      </c>
      <c r="R26" s="207">
        <v>13.3</v>
      </c>
      <c r="S26" s="207">
        <v>65</v>
      </c>
      <c r="T26" s="216">
        <f t="shared" si="0"/>
        <v>50</v>
      </c>
      <c r="U26" s="207">
        <v>429</v>
      </c>
      <c r="V26" s="216">
        <f t="shared" si="1"/>
        <v>16</v>
      </c>
      <c r="W26" s="207">
        <v>1</v>
      </c>
      <c r="X26" s="207" t="s">
        <v>46</v>
      </c>
      <c r="Y26" s="207" t="s">
        <v>90</v>
      </c>
      <c r="Z26" s="207" t="s">
        <v>78</v>
      </c>
      <c r="AA26" s="207" t="s">
        <v>102</v>
      </c>
      <c r="AB26" s="236" t="s">
        <v>449</v>
      </c>
      <c r="AD26" s="236"/>
      <c r="AP26" s="238" t="s">
        <v>117</v>
      </c>
      <c r="AR26" s="227" t="s">
        <v>277</v>
      </c>
      <c r="AV26" s="227"/>
    </row>
    <row r="27" spans="1:48" x14ac:dyDescent="0.15">
      <c r="A27" s="207" t="s">
        <v>59</v>
      </c>
      <c r="B27" s="236" t="s">
        <v>456</v>
      </c>
      <c r="C27" s="151">
        <v>2018</v>
      </c>
      <c r="D27" s="152" t="s">
        <v>457</v>
      </c>
      <c r="E27" s="207" t="s">
        <v>318</v>
      </c>
      <c r="F27" s="207" t="s">
        <v>306</v>
      </c>
      <c r="G27" s="207" t="s">
        <v>36</v>
      </c>
      <c r="H27" s="207" t="s">
        <v>129</v>
      </c>
      <c r="I27" s="207" t="s">
        <v>153</v>
      </c>
      <c r="J27" s="207" t="s">
        <v>272</v>
      </c>
      <c r="K27" s="207" t="s">
        <v>264</v>
      </c>
      <c r="L27" s="207">
        <v>2</v>
      </c>
      <c r="N27" s="207">
        <v>6</v>
      </c>
      <c r="O27" s="207">
        <v>0.2</v>
      </c>
      <c r="P27" s="207">
        <v>0.22</v>
      </c>
      <c r="Q27" s="244">
        <f t="shared" si="2"/>
        <v>0.21000000000000002</v>
      </c>
      <c r="R27" s="207">
        <v>15.6</v>
      </c>
      <c r="S27" s="207">
        <v>64</v>
      </c>
      <c r="T27" s="216">
        <f t="shared" si="0"/>
        <v>50</v>
      </c>
      <c r="U27" s="207">
        <v>429</v>
      </c>
      <c r="V27" s="216">
        <f t="shared" si="1"/>
        <v>16</v>
      </c>
      <c r="W27" s="207">
        <v>1</v>
      </c>
      <c r="X27" s="207" t="s">
        <v>46</v>
      </c>
      <c r="Y27" s="207" t="s">
        <v>90</v>
      </c>
      <c r="Z27" s="207" t="s">
        <v>78</v>
      </c>
      <c r="AA27" s="207" t="s">
        <v>102</v>
      </c>
      <c r="AB27" s="236" t="s">
        <v>449</v>
      </c>
      <c r="AD27" s="236"/>
      <c r="AP27" s="238" t="s">
        <v>118</v>
      </c>
      <c r="AR27" s="228" t="s">
        <v>290</v>
      </c>
      <c r="AV27" s="227"/>
    </row>
    <row r="28" spans="1:48" x14ac:dyDescent="0.15">
      <c r="A28" s="207" t="s">
        <v>59</v>
      </c>
      <c r="B28" s="236" t="s">
        <v>456</v>
      </c>
      <c r="C28" s="151">
        <v>2018</v>
      </c>
      <c r="D28" s="152" t="s">
        <v>457</v>
      </c>
      <c r="E28" s="207" t="s">
        <v>318</v>
      </c>
      <c r="F28" s="207" t="s">
        <v>306</v>
      </c>
      <c r="G28" s="207" t="s">
        <v>36</v>
      </c>
      <c r="H28" s="207" t="s">
        <v>129</v>
      </c>
      <c r="I28" s="207" t="s">
        <v>153</v>
      </c>
      <c r="J28" s="207" t="s">
        <v>272</v>
      </c>
      <c r="K28" s="207" t="s">
        <v>264</v>
      </c>
      <c r="L28" s="207">
        <v>3</v>
      </c>
      <c r="N28" s="207">
        <v>6</v>
      </c>
      <c r="O28" s="207">
        <v>0.3</v>
      </c>
      <c r="P28" s="207">
        <v>0.32</v>
      </c>
      <c r="Q28" s="244">
        <f t="shared" si="2"/>
        <v>0.31</v>
      </c>
      <c r="R28" s="207">
        <v>15.2</v>
      </c>
      <c r="S28" s="207">
        <v>70</v>
      </c>
      <c r="T28" s="216">
        <f t="shared" si="0"/>
        <v>50</v>
      </c>
      <c r="U28" s="207">
        <v>429</v>
      </c>
      <c r="V28" s="216">
        <f t="shared" si="1"/>
        <v>16</v>
      </c>
      <c r="W28" s="207">
        <v>1</v>
      </c>
      <c r="X28" s="207" t="s">
        <v>46</v>
      </c>
      <c r="Y28" s="207" t="s">
        <v>90</v>
      </c>
      <c r="Z28" s="207" t="s">
        <v>78</v>
      </c>
      <c r="AA28" s="207" t="s">
        <v>102</v>
      </c>
      <c r="AB28" s="236" t="s">
        <v>449</v>
      </c>
      <c r="AD28" s="236"/>
      <c r="AV28" s="227"/>
    </row>
    <row r="29" spans="1:48" x14ac:dyDescent="0.15">
      <c r="A29" s="207" t="s">
        <v>59</v>
      </c>
      <c r="B29" s="236" t="s">
        <v>456</v>
      </c>
      <c r="C29" s="151">
        <v>2018</v>
      </c>
      <c r="D29" s="152" t="s">
        <v>457</v>
      </c>
      <c r="E29" s="207" t="s">
        <v>317</v>
      </c>
      <c r="F29" s="207" t="s">
        <v>309</v>
      </c>
      <c r="G29" s="207" t="s">
        <v>36</v>
      </c>
      <c r="H29" s="207" t="s">
        <v>165</v>
      </c>
      <c r="I29" s="207" t="s">
        <v>153</v>
      </c>
      <c r="J29" s="207" t="s">
        <v>38</v>
      </c>
      <c r="K29" s="207" t="s">
        <v>154</v>
      </c>
      <c r="L29" s="207">
        <v>1</v>
      </c>
      <c r="N29" s="207">
        <v>1</v>
      </c>
      <c r="O29" s="207">
        <v>0.45</v>
      </c>
      <c r="P29" s="207">
        <v>0.41</v>
      </c>
      <c r="Q29" s="244">
        <f t="shared" si="2"/>
        <v>0.43</v>
      </c>
      <c r="R29" s="207">
        <v>15.7</v>
      </c>
      <c r="S29" s="207">
        <v>132</v>
      </c>
      <c r="T29" s="216">
        <f t="shared" si="0"/>
        <v>25</v>
      </c>
      <c r="U29" s="207">
        <v>138</v>
      </c>
      <c r="V29" s="216">
        <f t="shared" si="1"/>
        <v>22</v>
      </c>
      <c r="W29" s="207">
        <v>2</v>
      </c>
      <c r="X29" s="207" t="s">
        <v>39</v>
      </c>
      <c r="Y29" s="207" t="s">
        <v>84</v>
      </c>
      <c r="Z29" s="207" t="s">
        <v>90</v>
      </c>
      <c r="AA29" s="207" t="s">
        <v>102</v>
      </c>
      <c r="AB29" s="236" t="s">
        <v>449</v>
      </c>
      <c r="AV29" s="227"/>
    </row>
    <row r="30" spans="1:48" x14ac:dyDescent="0.15">
      <c r="A30" s="207" t="s">
        <v>59</v>
      </c>
      <c r="B30" s="236" t="s">
        <v>456</v>
      </c>
      <c r="C30" s="151">
        <v>2018</v>
      </c>
      <c r="D30" s="152" t="s">
        <v>457</v>
      </c>
      <c r="E30" s="207" t="s">
        <v>317</v>
      </c>
      <c r="F30" s="207" t="s">
        <v>309</v>
      </c>
      <c r="G30" s="207" t="s">
        <v>36</v>
      </c>
      <c r="H30" s="207" t="s">
        <v>165</v>
      </c>
      <c r="I30" s="207" t="s">
        <v>153</v>
      </c>
      <c r="J30" s="207" t="s">
        <v>38</v>
      </c>
      <c r="K30" s="207" t="s">
        <v>154</v>
      </c>
      <c r="L30" s="207">
        <v>2</v>
      </c>
      <c r="N30" s="207">
        <v>1</v>
      </c>
      <c r="O30" s="207">
        <v>0.44</v>
      </c>
      <c r="P30" s="207">
        <v>0.32</v>
      </c>
      <c r="Q30" s="244">
        <f t="shared" si="2"/>
        <v>0.38</v>
      </c>
      <c r="R30" s="207">
        <v>14.8</v>
      </c>
      <c r="S30" s="207">
        <v>132</v>
      </c>
      <c r="T30" s="216">
        <f t="shared" si="0"/>
        <v>25</v>
      </c>
      <c r="U30" s="207">
        <v>138</v>
      </c>
      <c r="V30" s="216">
        <f t="shared" si="1"/>
        <v>22</v>
      </c>
      <c r="W30" s="207">
        <v>2</v>
      </c>
      <c r="X30" s="207" t="s">
        <v>39</v>
      </c>
      <c r="Y30" s="207" t="s">
        <v>84</v>
      </c>
      <c r="Z30" s="207" t="s">
        <v>90</v>
      </c>
      <c r="AA30" s="207" t="s">
        <v>102</v>
      </c>
      <c r="AB30" s="236" t="s">
        <v>449</v>
      </c>
      <c r="AV30" s="227"/>
    </row>
    <row r="31" spans="1:48" x14ac:dyDescent="0.15">
      <c r="A31" s="207" t="s">
        <v>59</v>
      </c>
      <c r="B31" s="236" t="s">
        <v>456</v>
      </c>
      <c r="C31" s="151">
        <v>2018</v>
      </c>
      <c r="D31" s="152" t="s">
        <v>457</v>
      </c>
      <c r="E31" s="207" t="s">
        <v>317</v>
      </c>
      <c r="F31" s="207" t="s">
        <v>309</v>
      </c>
      <c r="G31" s="207" t="s">
        <v>36</v>
      </c>
      <c r="H31" s="207" t="s">
        <v>165</v>
      </c>
      <c r="I31" s="207" t="s">
        <v>153</v>
      </c>
      <c r="J31" s="207" t="s">
        <v>38</v>
      </c>
      <c r="K31" s="207" t="s">
        <v>154</v>
      </c>
      <c r="L31" s="207">
        <v>3</v>
      </c>
      <c r="N31" s="207">
        <v>1</v>
      </c>
      <c r="O31" s="207">
        <v>0.44</v>
      </c>
      <c r="P31" s="207">
        <v>0.47</v>
      </c>
      <c r="Q31" s="244">
        <f t="shared" si="2"/>
        <v>0.45499999999999996</v>
      </c>
      <c r="R31" s="207">
        <v>15.5</v>
      </c>
      <c r="S31" s="207">
        <v>130</v>
      </c>
      <c r="T31" s="216">
        <f t="shared" si="0"/>
        <v>25</v>
      </c>
      <c r="U31" s="207">
        <v>138</v>
      </c>
      <c r="V31" s="216">
        <f t="shared" si="1"/>
        <v>22</v>
      </c>
      <c r="W31" s="207">
        <v>2</v>
      </c>
      <c r="X31" s="207" t="s">
        <v>39</v>
      </c>
      <c r="Y31" s="207" t="s">
        <v>84</v>
      </c>
      <c r="Z31" s="207" t="s">
        <v>90</v>
      </c>
      <c r="AA31" s="207" t="s">
        <v>102</v>
      </c>
      <c r="AB31" s="236" t="s">
        <v>449</v>
      </c>
      <c r="AV31" s="227"/>
    </row>
    <row r="32" spans="1:48" x14ac:dyDescent="0.15">
      <c r="A32" s="207" t="s">
        <v>59</v>
      </c>
      <c r="B32" s="236" t="s">
        <v>456</v>
      </c>
      <c r="C32" s="151">
        <v>2018</v>
      </c>
      <c r="D32" s="152" t="s">
        <v>457</v>
      </c>
      <c r="E32" s="207" t="s">
        <v>317</v>
      </c>
      <c r="F32" s="207" t="s">
        <v>309</v>
      </c>
      <c r="G32" s="207" t="s">
        <v>36</v>
      </c>
      <c r="H32" s="207" t="s">
        <v>155</v>
      </c>
      <c r="I32" s="207" t="s">
        <v>153</v>
      </c>
      <c r="J32" s="207" t="s">
        <v>38</v>
      </c>
      <c r="K32" s="207" t="s">
        <v>154</v>
      </c>
      <c r="L32" s="207">
        <v>1</v>
      </c>
      <c r="N32" s="207">
        <v>1</v>
      </c>
      <c r="O32" s="207">
        <v>0.81</v>
      </c>
      <c r="P32" s="207">
        <v>0.87</v>
      </c>
      <c r="Q32" s="244">
        <f t="shared" si="2"/>
        <v>0.84000000000000008</v>
      </c>
      <c r="R32" s="207">
        <v>13.6</v>
      </c>
      <c r="S32" s="207">
        <v>154</v>
      </c>
      <c r="T32" s="216">
        <f t="shared" si="0"/>
        <v>18</v>
      </c>
      <c r="U32" s="207">
        <v>138</v>
      </c>
      <c r="V32" s="216">
        <f t="shared" si="1"/>
        <v>22</v>
      </c>
      <c r="W32" s="207">
        <v>1</v>
      </c>
      <c r="X32" s="207" t="s">
        <v>39</v>
      </c>
      <c r="Y32" s="207" t="s">
        <v>84</v>
      </c>
      <c r="Z32" s="207" t="s">
        <v>90</v>
      </c>
      <c r="AA32" s="207" t="s">
        <v>102</v>
      </c>
      <c r="AB32" s="236" t="s">
        <v>449</v>
      </c>
      <c r="AV32" s="227"/>
    </row>
    <row r="33" spans="1:48" x14ac:dyDescent="0.15">
      <c r="A33" s="207" t="s">
        <v>59</v>
      </c>
      <c r="B33" s="236" t="s">
        <v>456</v>
      </c>
      <c r="C33" s="151">
        <v>2018</v>
      </c>
      <c r="D33" s="152" t="s">
        <v>457</v>
      </c>
      <c r="E33" s="207" t="s">
        <v>317</v>
      </c>
      <c r="F33" s="207" t="s">
        <v>309</v>
      </c>
      <c r="G33" s="207" t="s">
        <v>36</v>
      </c>
      <c r="H33" s="207" t="s">
        <v>155</v>
      </c>
      <c r="I33" s="207" t="s">
        <v>153</v>
      </c>
      <c r="J33" s="207" t="s">
        <v>38</v>
      </c>
      <c r="K33" s="207" t="s">
        <v>154</v>
      </c>
      <c r="L33" s="207">
        <v>2</v>
      </c>
      <c r="N33" s="207">
        <v>1</v>
      </c>
      <c r="O33" s="207">
        <v>1.04</v>
      </c>
      <c r="P33" s="207">
        <v>0.99</v>
      </c>
      <c r="Q33" s="244">
        <f t="shared" si="2"/>
        <v>1.0150000000000001</v>
      </c>
      <c r="R33" s="207">
        <v>13.9</v>
      </c>
      <c r="S33" s="207">
        <v>154</v>
      </c>
      <c r="T33" s="216">
        <f t="shared" si="0"/>
        <v>18</v>
      </c>
      <c r="U33" s="207">
        <v>138</v>
      </c>
      <c r="V33" s="216">
        <f t="shared" si="1"/>
        <v>22</v>
      </c>
      <c r="W33" s="207">
        <v>1</v>
      </c>
      <c r="X33" s="207" t="s">
        <v>39</v>
      </c>
      <c r="Y33" s="207" t="s">
        <v>84</v>
      </c>
      <c r="Z33" s="207" t="s">
        <v>90</v>
      </c>
      <c r="AA33" s="207" t="s">
        <v>102</v>
      </c>
      <c r="AB33" s="236" t="s">
        <v>449</v>
      </c>
      <c r="AV33" s="227"/>
    </row>
    <row r="34" spans="1:48" x14ac:dyDescent="0.15">
      <c r="A34" s="207" t="s">
        <v>59</v>
      </c>
      <c r="B34" s="236" t="s">
        <v>456</v>
      </c>
      <c r="C34" s="151">
        <v>2018</v>
      </c>
      <c r="D34" s="152" t="s">
        <v>457</v>
      </c>
      <c r="E34" s="207" t="s">
        <v>317</v>
      </c>
      <c r="F34" s="207" t="s">
        <v>309</v>
      </c>
      <c r="G34" s="207" t="s">
        <v>36</v>
      </c>
      <c r="H34" s="207" t="s">
        <v>155</v>
      </c>
      <c r="I34" s="207" t="s">
        <v>153</v>
      </c>
      <c r="J34" s="207" t="s">
        <v>38</v>
      </c>
      <c r="K34" s="207" t="s">
        <v>154</v>
      </c>
      <c r="L34" s="207">
        <v>3</v>
      </c>
      <c r="N34" s="207">
        <v>1</v>
      </c>
      <c r="O34" s="207">
        <v>0.8</v>
      </c>
      <c r="P34" s="207">
        <v>0.86</v>
      </c>
      <c r="Q34" s="244">
        <f t="shared" si="2"/>
        <v>0.83000000000000007</v>
      </c>
      <c r="R34" s="207">
        <v>13.3</v>
      </c>
      <c r="S34" s="207">
        <v>135</v>
      </c>
      <c r="T34" s="216">
        <f t="shared" si="0"/>
        <v>25</v>
      </c>
      <c r="U34" s="207">
        <v>138</v>
      </c>
      <c r="V34" s="216">
        <f t="shared" si="1"/>
        <v>22</v>
      </c>
      <c r="W34" s="207">
        <v>1</v>
      </c>
      <c r="X34" s="207" t="s">
        <v>39</v>
      </c>
      <c r="Y34" s="207" t="s">
        <v>84</v>
      </c>
      <c r="Z34" s="207" t="s">
        <v>90</v>
      </c>
      <c r="AA34" s="207" t="s">
        <v>102</v>
      </c>
      <c r="AB34" s="236" t="s">
        <v>449</v>
      </c>
      <c r="AV34" s="227"/>
    </row>
    <row r="35" spans="1:48" x14ac:dyDescent="0.15">
      <c r="A35" s="207" t="s">
        <v>59</v>
      </c>
      <c r="B35" s="236" t="s">
        <v>456</v>
      </c>
      <c r="C35" s="151">
        <v>2018</v>
      </c>
      <c r="D35" s="152" t="s">
        <v>457</v>
      </c>
      <c r="E35" s="207" t="s">
        <v>316</v>
      </c>
      <c r="F35" s="207" t="s">
        <v>309</v>
      </c>
      <c r="G35" s="207" t="s">
        <v>36</v>
      </c>
      <c r="H35" s="207" t="s">
        <v>165</v>
      </c>
      <c r="I35" s="207" t="s">
        <v>153</v>
      </c>
      <c r="J35" s="207" t="s">
        <v>38</v>
      </c>
      <c r="K35" s="207" t="s">
        <v>154</v>
      </c>
      <c r="L35" s="207">
        <v>1</v>
      </c>
      <c r="N35" s="207">
        <v>1</v>
      </c>
      <c r="O35" s="207">
        <v>0.69</v>
      </c>
      <c r="P35" s="207">
        <v>0.54</v>
      </c>
      <c r="Q35" s="244">
        <f t="shared" si="2"/>
        <v>0.61499999999999999</v>
      </c>
      <c r="R35" s="207">
        <v>14.9</v>
      </c>
      <c r="S35" s="207">
        <v>155</v>
      </c>
      <c r="T35" s="216">
        <f t="shared" si="0"/>
        <v>18</v>
      </c>
      <c r="U35" s="207">
        <v>170</v>
      </c>
      <c r="V35" s="216">
        <f t="shared" si="1"/>
        <v>18</v>
      </c>
      <c r="W35" s="207">
        <v>3</v>
      </c>
      <c r="X35" s="207" t="s">
        <v>39</v>
      </c>
      <c r="Y35" s="207" t="s">
        <v>274</v>
      </c>
      <c r="Z35" s="207" t="s">
        <v>84</v>
      </c>
      <c r="AA35" s="207" t="s">
        <v>69</v>
      </c>
      <c r="AB35" s="236" t="s">
        <v>449</v>
      </c>
      <c r="AV35" s="227"/>
    </row>
    <row r="36" spans="1:48" x14ac:dyDescent="0.15">
      <c r="A36" s="207" t="s">
        <v>59</v>
      </c>
      <c r="B36" s="236" t="s">
        <v>456</v>
      </c>
      <c r="C36" s="151">
        <v>2018</v>
      </c>
      <c r="D36" s="152" t="s">
        <v>457</v>
      </c>
      <c r="E36" s="207" t="s">
        <v>316</v>
      </c>
      <c r="F36" s="207" t="s">
        <v>309</v>
      </c>
      <c r="G36" s="207" t="s">
        <v>36</v>
      </c>
      <c r="H36" s="207" t="s">
        <v>165</v>
      </c>
      <c r="I36" s="207" t="s">
        <v>153</v>
      </c>
      <c r="J36" s="207" t="s">
        <v>38</v>
      </c>
      <c r="K36" s="207" t="s">
        <v>154</v>
      </c>
      <c r="L36" s="207">
        <v>2</v>
      </c>
      <c r="N36" s="207">
        <v>1</v>
      </c>
      <c r="O36" s="207">
        <v>0.5</v>
      </c>
      <c r="P36" s="207">
        <v>0.56999999999999995</v>
      </c>
      <c r="Q36" s="244">
        <f t="shared" si="2"/>
        <v>0.53499999999999992</v>
      </c>
      <c r="R36" s="207">
        <v>15</v>
      </c>
      <c r="S36" s="207">
        <v>174</v>
      </c>
      <c r="T36" s="216">
        <f t="shared" si="0"/>
        <v>18</v>
      </c>
      <c r="U36" s="207">
        <v>170</v>
      </c>
      <c r="V36" s="216">
        <f t="shared" si="1"/>
        <v>18</v>
      </c>
      <c r="W36" s="207">
        <v>3</v>
      </c>
      <c r="X36" s="207" t="s">
        <v>39</v>
      </c>
      <c r="Y36" s="207" t="s">
        <v>274</v>
      </c>
      <c r="Z36" s="207" t="s">
        <v>84</v>
      </c>
      <c r="AA36" s="207" t="s">
        <v>69</v>
      </c>
      <c r="AB36" s="236" t="s">
        <v>449</v>
      </c>
      <c r="AV36" s="227"/>
    </row>
    <row r="37" spans="1:48" x14ac:dyDescent="0.15">
      <c r="A37" s="207" t="s">
        <v>59</v>
      </c>
      <c r="B37" s="236" t="s">
        <v>456</v>
      </c>
      <c r="C37" s="151">
        <v>2018</v>
      </c>
      <c r="D37" s="152" t="s">
        <v>457</v>
      </c>
      <c r="E37" s="207" t="s">
        <v>316</v>
      </c>
      <c r="F37" s="207" t="s">
        <v>309</v>
      </c>
      <c r="G37" s="207" t="s">
        <v>36</v>
      </c>
      <c r="H37" s="207" t="s">
        <v>165</v>
      </c>
      <c r="I37" s="207" t="s">
        <v>153</v>
      </c>
      <c r="J37" s="207" t="s">
        <v>38</v>
      </c>
      <c r="K37" s="207" t="s">
        <v>154</v>
      </c>
      <c r="L37" s="207">
        <v>3</v>
      </c>
      <c r="N37" s="207">
        <v>1</v>
      </c>
      <c r="O37" s="207">
        <v>0.64</v>
      </c>
      <c r="P37" s="207">
        <v>0.57999999999999996</v>
      </c>
      <c r="Q37" s="244">
        <f t="shared" si="2"/>
        <v>0.61</v>
      </c>
      <c r="R37" s="207">
        <v>15.3</v>
      </c>
      <c r="S37" s="207">
        <v>166</v>
      </c>
      <c r="T37" s="216">
        <f t="shared" si="0"/>
        <v>18</v>
      </c>
      <c r="U37" s="207">
        <v>170</v>
      </c>
      <c r="V37" s="216">
        <f t="shared" si="1"/>
        <v>18</v>
      </c>
      <c r="W37" s="207">
        <v>3</v>
      </c>
      <c r="X37" s="207" t="s">
        <v>39</v>
      </c>
      <c r="Y37" s="207" t="s">
        <v>274</v>
      </c>
      <c r="Z37" s="207" t="s">
        <v>84</v>
      </c>
      <c r="AA37" s="207" t="s">
        <v>69</v>
      </c>
      <c r="AB37" s="236" t="s">
        <v>449</v>
      </c>
      <c r="AV37" s="227"/>
    </row>
    <row r="38" spans="1:48" x14ac:dyDescent="0.15">
      <c r="A38" s="207" t="s">
        <v>59</v>
      </c>
      <c r="B38" s="236" t="s">
        <v>456</v>
      </c>
      <c r="C38" s="151">
        <v>2018</v>
      </c>
      <c r="D38" s="152" t="s">
        <v>457</v>
      </c>
      <c r="E38" s="207" t="s">
        <v>316</v>
      </c>
      <c r="F38" s="207" t="s">
        <v>309</v>
      </c>
      <c r="G38" s="207" t="s">
        <v>36</v>
      </c>
      <c r="H38" s="207" t="s">
        <v>155</v>
      </c>
      <c r="I38" s="207" t="s">
        <v>153</v>
      </c>
      <c r="J38" s="207" t="s">
        <v>38</v>
      </c>
      <c r="K38" s="207" t="s">
        <v>154</v>
      </c>
      <c r="L38" s="207">
        <v>1</v>
      </c>
      <c r="N38" s="207">
        <v>3</v>
      </c>
      <c r="O38" s="207">
        <v>0.74</v>
      </c>
      <c r="P38" s="207">
        <v>0.69</v>
      </c>
      <c r="Q38" s="244">
        <f t="shared" si="2"/>
        <v>0.71499999999999997</v>
      </c>
      <c r="R38" s="207">
        <v>15.7</v>
      </c>
      <c r="S38" s="207">
        <v>116</v>
      </c>
      <c r="T38" s="216">
        <f t="shared" si="0"/>
        <v>30</v>
      </c>
      <c r="U38" s="207">
        <v>321</v>
      </c>
      <c r="V38" s="216">
        <f t="shared" si="1"/>
        <v>16</v>
      </c>
      <c r="W38" s="207">
        <v>5</v>
      </c>
      <c r="X38" s="207" t="s">
        <v>39</v>
      </c>
      <c r="Y38" s="207" t="s">
        <v>274</v>
      </c>
      <c r="Z38" s="207" t="s">
        <v>84</v>
      </c>
      <c r="AA38" s="207" t="s">
        <v>69</v>
      </c>
      <c r="AB38" s="236" t="s">
        <v>449</v>
      </c>
      <c r="AV38" s="228"/>
    </row>
    <row r="39" spans="1:48" x14ac:dyDescent="0.15">
      <c r="A39" s="207" t="s">
        <v>59</v>
      </c>
      <c r="B39" s="236" t="s">
        <v>456</v>
      </c>
      <c r="C39" s="151">
        <v>2018</v>
      </c>
      <c r="D39" s="152" t="s">
        <v>457</v>
      </c>
      <c r="E39" s="207" t="s">
        <v>316</v>
      </c>
      <c r="F39" s="207" t="s">
        <v>309</v>
      </c>
      <c r="G39" s="207" t="s">
        <v>36</v>
      </c>
      <c r="H39" s="207" t="s">
        <v>155</v>
      </c>
      <c r="I39" s="207" t="s">
        <v>153</v>
      </c>
      <c r="J39" s="207" t="s">
        <v>38</v>
      </c>
      <c r="K39" s="207" t="s">
        <v>154</v>
      </c>
      <c r="L39" s="207">
        <v>2</v>
      </c>
      <c r="N39" s="207">
        <v>3</v>
      </c>
      <c r="O39" s="207">
        <v>0.3</v>
      </c>
      <c r="P39" s="207">
        <v>0.3</v>
      </c>
      <c r="Q39" s="244">
        <f t="shared" si="2"/>
        <v>0.3</v>
      </c>
      <c r="R39" s="207">
        <v>15.5</v>
      </c>
      <c r="S39" s="207">
        <v>112</v>
      </c>
      <c r="T39" s="216">
        <f t="shared" si="0"/>
        <v>33</v>
      </c>
      <c r="U39" s="207">
        <v>321</v>
      </c>
      <c r="V39" s="216">
        <f t="shared" si="1"/>
        <v>16</v>
      </c>
      <c r="W39" s="207">
        <v>5</v>
      </c>
      <c r="X39" s="207" t="s">
        <v>39</v>
      </c>
      <c r="Y39" s="207" t="s">
        <v>274</v>
      </c>
      <c r="Z39" s="207" t="s">
        <v>84</v>
      </c>
      <c r="AA39" s="207" t="s">
        <v>69</v>
      </c>
      <c r="AB39" s="236" t="s">
        <v>449</v>
      </c>
    </row>
    <row r="40" spans="1:48" x14ac:dyDescent="0.15">
      <c r="A40" s="207" t="s">
        <v>59</v>
      </c>
      <c r="B40" s="236" t="s">
        <v>456</v>
      </c>
      <c r="C40" s="151">
        <v>2018</v>
      </c>
      <c r="D40" s="152" t="s">
        <v>457</v>
      </c>
      <c r="E40" s="207" t="s">
        <v>316</v>
      </c>
      <c r="F40" s="207" t="s">
        <v>309</v>
      </c>
      <c r="G40" s="207" t="s">
        <v>36</v>
      </c>
      <c r="H40" s="207" t="s">
        <v>155</v>
      </c>
      <c r="I40" s="207" t="s">
        <v>153</v>
      </c>
      <c r="J40" s="207" t="s">
        <v>38</v>
      </c>
      <c r="K40" s="207" t="s">
        <v>154</v>
      </c>
      <c r="L40" s="207">
        <v>3</v>
      </c>
      <c r="N40" s="207">
        <v>3</v>
      </c>
      <c r="O40" s="207">
        <v>0.52</v>
      </c>
      <c r="P40" s="207">
        <v>0.45</v>
      </c>
      <c r="Q40" s="244">
        <f t="shared" si="2"/>
        <v>0.48499999999999999</v>
      </c>
      <c r="R40" s="207">
        <v>15.4</v>
      </c>
      <c r="S40" s="207">
        <v>114</v>
      </c>
      <c r="T40" s="216">
        <f t="shared" si="0"/>
        <v>30</v>
      </c>
      <c r="U40" s="207">
        <v>321</v>
      </c>
      <c r="V40" s="216">
        <f t="shared" si="1"/>
        <v>16</v>
      </c>
      <c r="W40" s="207">
        <v>5</v>
      </c>
      <c r="X40" s="207" t="s">
        <v>39</v>
      </c>
      <c r="Y40" s="207" t="s">
        <v>274</v>
      </c>
      <c r="Z40" s="207" t="s">
        <v>84</v>
      </c>
      <c r="AA40" s="207" t="s">
        <v>69</v>
      </c>
      <c r="AB40" s="236" t="s">
        <v>449</v>
      </c>
    </row>
    <row r="41" spans="1:48" x14ac:dyDescent="0.15">
      <c r="A41" s="207" t="s">
        <v>59</v>
      </c>
      <c r="B41" s="236" t="s">
        <v>456</v>
      </c>
      <c r="C41" s="151">
        <v>2018</v>
      </c>
      <c r="D41" s="152" t="s">
        <v>457</v>
      </c>
      <c r="E41" s="207" t="s">
        <v>316</v>
      </c>
      <c r="F41" s="207" t="s">
        <v>309</v>
      </c>
      <c r="G41" s="207" t="s">
        <v>36</v>
      </c>
      <c r="H41" s="207" t="s">
        <v>129</v>
      </c>
      <c r="I41" s="207" t="s">
        <v>153</v>
      </c>
      <c r="J41" s="207" t="s">
        <v>272</v>
      </c>
      <c r="K41" s="207" t="s">
        <v>264</v>
      </c>
      <c r="L41" s="207">
        <v>1</v>
      </c>
      <c r="N41" s="207">
        <v>4</v>
      </c>
      <c r="O41" s="207">
        <v>0.51</v>
      </c>
      <c r="P41" s="207">
        <v>0.26</v>
      </c>
      <c r="Q41" s="244">
        <f t="shared" si="2"/>
        <v>0.38500000000000001</v>
      </c>
      <c r="R41" s="207">
        <v>16.600000000000001</v>
      </c>
      <c r="S41" s="207">
        <v>70</v>
      </c>
      <c r="T41" s="216">
        <f t="shared" si="0"/>
        <v>50</v>
      </c>
      <c r="U41" s="207">
        <v>537</v>
      </c>
      <c r="V41" s="216">
        <f t="shared" si="1"/>
        <v>16</v>
      </c>
      <c r="W41" s="207">
        <v>1</v>
      </c>
      <c r="X41" s="207" t="s">
        <v>39</v>
      </c>
      <c r="Y41" s="207" t="s">
        <v>274</v>
      </c>
      <c r="Z41" s="207" t="s">
        <v>84</v>
      </c>
      <c r="AA41" s="207" t="s">
        <v>69</v>
      </c>
      <c r="AB41" s="236" t="s">
        <v>449</v>
      </c>
    </row>
    <row r="42" spans="1:48" x14ac:dyDescent="0.15">
      <c r="A42" s="207" t="s">
        <v>59</v>
      </c>
      <c r="B42" s="236" t="s">
        <v>456</v>
      </c>
      <c r="C42" s="151">
        <v>2018</v>
      </c>
      <c r="D42" s="152" t="s">
        <v>457</v>
      </c>
      <c r="E42" s="207" t="s">
        <v>316</v>
      </c>
      <c r="F42" s="207" t="s">
        <v>309</v>
      </c>
      <c r="G42" s="207" t="s">
        <v>36</v>
      </c>
      <c r="H42" s="207" t="s">
        <v>129</v>
      </c>
      <c r="I42" s="207" t="s">
        <v>153</v>
      </c>
      <c r="J42" s="207" t="s">
        <v>272</v>
      </c>
      <c r="K42" s="207" t="s">
        <v>264</v>
      </c>
      <c r="L42" s="207">
        <v>2</v>
      </c>
      <c r="N42" s="207">
        <v>4</v>
      </c>
      <c r="O42" s="207">
        <v>0.33</v>
      </c>
      <c r="P42" s="207">
        <v>0.25</v>
      </c>
      <c r="Q42" s="244">
        <f t="shared" si="2"/>
        <v>0.29000000000000004</v>
      </c>
      <c r="R42" s="207">
        <v>16.3</v>
      </c>
      <c r="S42" s="207">
        <v>79</v>
      </c>
      <c r="T42" s="216">
        <f t="shared" si="0"/>
        <v>39</v>
      </c>
      <c r="U42" s="207">
        <v>537</v>
      </c>
      <c r="V42" s="216">
        <f t="shared" si="1"/>
        <v>16</v>
      </c>
      <c r="W42" s="207">
        <v>1</v>
      </c>
      <c r="X42" s="207" t="s">
        <v>39</v>
      </c>
      <c r="Y42" s="207" t="s">
        <v>274</v>
      </c>
      <c r="Z42" s="207" t="s">
        <v>84</v>
      </c>
      <c r="AA42" s="207" t="s">
        <v>69</v>
      </c>
      <c r="AB42" s="236" t="s">
        <v>449</v>
      </c>
    </row>
    <row r="43" spans="1:48" x14ac:dyDescent="0.15">
      <c r="A43" s="207" t="s">
        <v>59</v>
      </c>
      <c r="B43" s="236" t="s">
        <v>456</v>
      </c>
      <c r="C43" s="151">
        <v>2018</v>
      </c>
      <c r="D43" s="152" t="s">
        <v>457</v>
      </c>
      <c r="E43" s="207" t="s">
        <v>316</v>
      </c>
      <c r="F43" s="207" t="s">
        <v>309</v>
      </c>
      <c r="G43" s="207" t="s">
        <v>36</v>
      </c>
      <c r="H43" s="207" t="s">
        <v>129</v>
      </c>
      <c r="I43" s="207" t="s">
        <v>153</v>
      </c>
      <c r="J43" s="207" t="s">
        <v>272</v>
      </c>
      <c r="K43" s="207" t="s">
        <v>264</v>
      </c>
      <c r="L43" s="207">
        <v>3</v>
      </c>
      <c r="N43" s="207">
        <v>4</v>
      </c>
      <c r="O43" s="207">
        <v>0.38</v>
      </c>
      <c r="P43" s="207">
        <v>0.25</v>
      </c>
      <c r="Q43" s="244">
        <f t="shared" si="2"/>
        <v>0.315</v>
      </c>
      <c r="R43" s="207">
        <v>16</v>
      </c>
      <c r="S43" s="207">
        <v>92</v>
      </c>
      <c r="T43" s="216">
        <f t="shared" si="0"/>
        <v>36</v>
      </c>
      <c r="U43" s="207">
        <v>537</v>
      </c>
      <c r="V43" s="216">
        <f t="shared" si="1"/>
        <v>16</v>
      </c>
      <c r="W43" s="207">
        <v>1</v>
      </c>
      <c r="X43" s="207" t="s">
        <v>39</v>
      </c>
      <c r="Y43" s="207" t="s">
        <v>274</v>
      </c>
      <c r="Z43" s="207" t="s">
        <v>84</v>
      </c>
      <c r="AA43" s="207" t="s">
        <v>69</v>
      </c>
      <c r="AB43" s="236" t="s">
        <v>449</v>
      </c>
    </row>
    <row r="44" spans="1:48" x14ac:dyDescent="0.15">
      <c r="A44" s="207" t="s">
        <v>59</v>
      </c>
      <c r="B44" s="236" t="s">
        <v>456</v>
      </c>
      <c r="C44" s="151">
        <v>2018</v>
      </c>
      <c r="D44" s="152" t="s">
        <v>457</v>
      </c>
      <c r="E44" s="207" t="s">
        <v>315</v>
      </c>
      <c r="F44" s="207" t="s">
        <v>308</v>
      </c>
      <c r="G44" s="207" t="s">
        <v>36</v>
      </c>
      <c r="H44" s="207" t="s">
        <v>165</v>
      </c>
      <c r="I44" s="207" t="s">
        <v>153</v>
      </c>
      <c r="J44" s="207" t="s">
        <v>38</v>
      </c>
      <c r="K44" s="207" t="s">
        <v>154</v>
      </c>
      <c r="L44" s="207">
        <v>1</v>
      </c>
      <c r="N44" s="207">
        <v>3</v>
      </c>
      <c r="O44" s="207">
        <v>0.4</v>
      </c>
      <c r="P44" s="207">
        <v>0.45</v>
      </c>
      <c r="Q44" s="244">
        <f t="shared" si="2"/>
        <v>0.42500000000000004</v>
      </c>
      <c r="R44" s="207">
        <v>14.7</v>
      </c>
      <c r="S44" s="207">
        <v>136</v>
      </c>
      <c r="T44" s="216">
        <f t="shared" si="0"/>
        <v>25</v>
      </c>
      <c r="U44" s="207">
        <v>480</v>
      </c>
      <c r="V44" s="216">
        <f t="shared" si="1"/>
        <v>16</v>
      </c>
      <c r="W44" s="207">
        <v>12</v>
      </c>
      <c r="X44" s="207" t="s">
        <v>46</v>
      </c>
      <c r="Y44" s="207" t="s">
        <v>274</v>
      </c>
      <c r="Z44" s="207" t="s">
        <v>90</v>
      </c>
      <c r="AA44" s="207" t="s">
        <v>55</v>
      </c>
      <c r="AB44" s="236" t="s">
        <v>449</v>
      </c>
    </row>
    <row r="45" spans="1:48" x14ac:dyDescent="0.15">
      <c r="A45" s="207" t="s">
        <v>59</v>
      </c>
      <c r="B45" s="236" t="s">
        <v>456</v>
      </c>
      <c r="C45" s="151">
        <v>2018</v>
      </c>
      <c r="D45" s="152" t="s">
        <v>457</v>
      </c>
      <c r="E45" s="207" t="s">
        <v>315</v>
      </c>
      <c r="F45" s="207" t="s">
        <v>308</v>
      </c>
      <c r="G45" s="207" t="s">
        <v>36</v>
      </c>
      <c r="H45" s="207" t="s">
        <v>165</v>
      </c>
      <c r="I45" s="207" t="s">
        <v>153</v>
      </c>
      <c r="J45" s="207" t="s">
        <v>38</v>
      </c>
      <c r="K45" s="207" t="s">
        <v>154</v>
      </c>
      <c r="L45" s="207">
        <v>2</v>
      </c>
      <c r="N45" s="207">
        <v>3</v>
      </c>
      <c r="O45" s="207">
        <v>0.42</v>
      </c>
      <c r="P45" s="207">
        <v>0.5</v>
      </c>
      <c r="Q45" s="244">
        <f t="shared" si="2"/>
        <v>0.45999999999999996</v>
      </c>
      <c r="R45" s="207">
        <v>14.2</v>
      </c>
      <c r="S45" s="207">
        <v>130</v>
      </c>
      <c r="T45" s="216">
        <f t="shared" si="0"/>
        <v>25</v>
      </c>
      <c r="U45" s="207">
        <v>480</v>
      </c>
      <c r="V45" s="216">
        <f t="shared" si="1"/>
        <v>16</v>
      </c>
      <c r="W45" s="207">
        <v>12</v>
      </c>
      <c r="X45" s="207" t="s">
        <v>46</v>
      </c>
      <c r="Y45" s="207" t="s">
        <v>274</v>
      </c>
      <c r="Z45" s="207" t="s">
        <v>90</v>
      </c>
      <c r="AA45" s="207" t="s">
        <v>55</v>
      </c>
      <c r="AB45" s="236" t="s">
        <v>449</v>
      </c>
    </row>
    <row r="46" spans="1:48" x14ac:dyDescent="0.15">
      <c r="A46" s="207" t="s">
        <v>59</v>
      </c>
      <c r="B46" s="236" t="s">
        <v>456</v>
      </c>
      <c r="C46" s="151">
        <v>2018</v>
      </c>
      <c r="D46" s="152" t="s">
        <v>457</v>
      </c>
      <c r="E46" s="207" t="s">
        <v>315</v>
      </c>
      <c r="F46" s="207" t="s">
        <v>308</v>
      </c>
      <c r="G46" s="207" t="s">
        <v>36</v>
      </c>
      <c r="H46" s="207" t="s">
        <v>165</v>
      </c>
      <c r="I46" s="207" t="s">
        <v>153</v>
      </c>
      <c r="J46" s="207" t="s">
        <v>38</v>
      </c>
      <c r="K46" s="207" t="s">
        <v>154</v>
      </c>
      <c r="L46" s="207">
        <v>3</v>
      </c>
      <c r="N46" s="207">
        <v>3</v>
      </c>
      <c r="O46" s="207">
        <v>0.44</v>
      </c>
      <c r="P46" s="207">
        <v>0.52</v>
      </c>
      <c r="Q46" s="244">
        <f t="shared" si="2"/>
        <v>0.48</v>
      </c>
      <c r="R46" s="207">
        <v>14.6</v>
      </c>
      <c r="S46" s="207">
        <v>136</v>
      </c>
      <c r="T46" s="216">
        <f t="shared" si="0"/>
        <v>25</v>
      </c>
      <c r="U46" s="207">
        <v>480</v>
      </c>
      <c r="V46" s="216">
        <f t="shared" si="1"/>
        <v>16</v>
      </c>
      <c r="W46" s="207">
        <v>12</v>
      </c>
      <c r="X46" s="207" t="s">
        <v>46</v>
      </c>
      <c r="Y46" s="207" t="s">
        <v>274</v>
      </c>
      <c r="Z46" s="207" t="s">
        <v>90</v>
      </c>
      <c r="AA46" s="207" t="s">
        <v>55</v>
      </c>
      <c r="AB46" s="236" t="s">
        <v>449</v>
      </c>
    </row>
    <row r="47" spans="1:48" x14ac:dyDescent="0.15">
      <c r="A47" s="207" t="s">
        <v>59</v>
      </c>
      <c r="B47" s="236" t="s">
        <v>456</v>
      </c>
      <c r="C47" s="151">
        <v>2018</v>
      </c>
      <c r="D47" s="152" t="s">
        <v>457</v>
      </c>
      <c r="E47" s="207" t="s">
        <v>315</v>
      </c>
      <c r="F47" s="207" t="s">
        <v>308</v>
      </c>
      <c r="G47" s="207" t="s">
        <v>36</v>
      </c>
      <c r="H47" s="207" t="s">
        <v>155</v>
      </c>
      <c r="I47" s="207" t="s">
        <v>153</v>
      </c>
      <c r="J47" s="207" t="s">
        <v>38</v>
      </c>
      <c r="K47" s="207" t="s">
        <v>154</v>
      </c>
      <c r="L47" s="207">
        <v>1</v>
      </c>
      <c r="N47" s="207">
        <v>3</v>
      </c>
      <c r="O47" s="207">
        <v>0.56000000000000005</v>
      </c>
      <c r="P47" s="207">
        <v>0.56999999999999995</v>
      </c>
      <c r="Q47" s="244">
        <f t="shared" si="2"/>
        <v>0.56499999999999995</v>
      </c>
      <c r="R47" s="207">
        <v>14.8</v>
      </c>
      <c r="S47" s="207">
        <v>126</v>
      </c>
      <c r="T47" s="216">
        <f t="shared" si="0"/>
        <v>27</v>
      </c>
      <c r="U47" s="207">
        <v>399</v>
      </c>
      <c r="V47" s="216">
        <f t="shared" si="1"/>
        <v>16</v>
      </c>
      <c r="W47" s="207">
        <v>9</v>
      </c>
      <c r="X47" s="207" t="s">
        <v>46</v>
      </c>
      <c r="Y47" s="207" t="s">
        <v>274</v>
      </c>
      <c r="Z47" s="207" t="s">
        <v>90</v>
      </c>
      <c r="AA47" s="207" t="s">
        <v>55</v>
      </c>
      <c r="AB47" s="236" t="s">
        <v>449</v>
      </c>
    </row>
    <row r="48" spans="1:48" x14ac:dyDescent="0.15">
      <c r="A48" s="207" t="s">
        <v>59</v>
      </c>
      <c r="B48" s="236" t="s">
        <v>456</v>
      </c>
      <c r="C48" s="151">
        <v>2018</v>
      </c>
      <c r="D48" s="152" t="s">
        <v>457</v>
      </c>
      <c r="E48" s="207" t="s">
        <v>315</v>
      </c>
      <c r="F48" s="207" t="s">
        <v>308</v>
      </c>
      <c r="G48" s="207" t="s">
        <v>36</v>
      </c>
      <c r="H48" s="207" t="s">
        <v>155</v>
      </c>
      <c r="I48" s="207" t="s">
        <v>153</v>
      </c>
      <c r="J48" s="207" t="s">
        <v>38</v>
      </c>
      <c r="K48" s="207" t="s">
        <v>154</v>
      </c>
      <c r="L48" s="207">
        <v>2</v>
      </c>
      <c r="N48" s="207">
        <v>3</v>
      </c>
      <c r="O48" s="207">
        <v>0.5</v>
      </c>
      <c r="P48" s="207">
        <v>0.59</v>
      </c>
      <c r="Q48" s="244">
        <f t="shared" si="2"/>
        <v>0.54499999999999993</v>
      </c>
      <c r="R48" s="207">
        <v>15.5</v>
      </c>
      <c r="S48" s="207">
        <v>129</v>
      </c>
      <c r="T48" s="216">
        <f t="shared" si="0"/>
        <v>25</v>
      </c>
      <c r="U48" s="207">
        <v>399</v>
      </c>
      <c r="V48" s="216">
        <f t="shared" si="1"/>
        <v>16</v>
      </c>
      <c r="W48" s="207">
        <v>9</v>
      </c>
      <c r="X48" s="207" t="s">
        <v>46</v>
      </c>
      <c r="Y48" s="207" t="s">
        <v>274</v>
      </c>
      <c r="Z48" s="207" t="s">
        <v>90</v>
      </c>
      <c r="AA48" s="207" t="s">
        <v>55</v>
      </c>
      <c r="AB48" s="236" t="s">
        <v>449</v>
      </c>
    </row>
    <row r="49" spans="1:28" x14ac:dyDescent="0.15">
      <c r="A49" s="207" t="s">
        <v>59</v>
      </c>
      <c r="B49" s="236" t="s">
        <v>456</v>
      </c>
      <c r="C49" s="151">
        <v>2018</v>
      </c>
      <c r="D49" s="152" t="s">
        <v>457</v>
      </c>
      <c r="E49" s="207" t="s">
        <v>315</v>
      </c>
      <c r="F49" s="207" t="s">
        <v>308</v>
      </c>
      <c r="G49" s="207" t="s">
        <v>36</v>
      </c>
      <c r="H49" s="207" t="s">
        <v>155</v>
      </c>
      <c r="I49" s="207" t="s">
        <v>153</v>
      </c>
      <c r="J49" s="207" t="s">
        <v>38</v>
      </c>
      <c r="K49" s="207" t="s">
        <v>154</v>
      </c>
      <c r="L49" s="207">
        <v>3</v>
      </c>
      <c r="N49" s="207">
        <v>3</v>
      </c>
      <c r="O49" s="207">
        <v>0.62</v>
      </c>
      <c r="P49" s="207">
        <v>0.59</v>
      </c>
      <c r="Q49" s="244">
        <f t="shared" si="2"/>
        <v>0.60499999999999998</v>
      </c>
      <c r="R49" s="207">
        <v>14.3</v>
      </c>
      <c r="S49" s="207">
        <v>127</v>
      </c>
      <c r="T49" s="216">
        <f t="shared" si="0"/>
        <v>27</v>
      </c>
      <c r="U49" s="207">
        <v>399</v>
      </c>
      <c r="V49" s="216">
        <f t="shared" si="1"/>
        <v>16</v>
      </c>
      <c r="W49" s="207">
        <v>9</v>
      </c>
      <c r="X49" s="207" t="s">
        <v>46</v>
      </c>
      <c r="Y49" s="207" t="s">
        <v>274</v>
      </c>
      <c r="Z49" s="207" t="s">
        <v>90</v>
      </c>
      <c r="AA49" s="207" t="s">
        <v>55</v>
      </c>
      <c r="AB49" s="236" t="s">
        <v>449</v>
      </c>
    </row>
    <row r="50" spans="1:28" x14ac:dyDescent="0.15">
      <c r="A50" s="207" t="s">
        <v>59</v>
      </c>
      <c r="B50" s="236" t="s">
        <v>456</v>
      </c>
      <c r="C50" s="151">
        <v>2018</v>
      </c>
      <c r="D50" s="152" t="s">
        <v>457</v>
      </c>
      <c r="E50" s="207" t="s">
        <v>313</v>
      </c>
      <c r="F50" s="207" t="s">
        <v>305</v>
      </c>
      <c r="G50" s="207" t="s">
        <v>36</v>
      </c>
      <c r="H50" s="207" t="s">
        <v>165</v>
      </c>
      <c r="I50" s="207" t="s">
        <v>153</v>
      </c>
      <c r="J50" s="207" t="s">
        <v>38</v>
      </c>
      <c r="K50" s="207" t="s">
        <v>154</v>
      </c>
      <c r="L50" s="207">
        <v>1</v>
      </c>
      <c r="N50" s="207">
        <v>4</v>
      </c>
      <c r="O50" s="207">
        <v>0.45</v>
      </c>
      <c r="P50" s="207">
        <v>0.4</v>
      </c>
      <c r="Q50" s="244">
        <f t="shared" si="2"/>
        <v>0.42500000000000004</v>
      </c>
      <c r="R50" s="207">
        <v>14.8</v>
      </c>
      <c r="S50" s="207">
        <v>105</v>
      </c>
      <c r="T50" s="216">
        <f t="shared" si="0"/>
        <v>33</v>
      </c>
      <c r="U50" s="207">
        <v>518</v>
      </c>
      <c r="V50" s="216">
        <f t="shared" si="1"/>
        <v>16</v>
      </c>
      <c r="W50" s="207">
        <v>1</v>
      </c>
      <c r="X50" s="207" t="s">
        <v>46</v>
      </c>
      <c r="Y50" s="207" t="s">
        <v>90</v>
      </c>
      <c r="Z50" s="207" t="s">
        <v>102</v>
      </c>
      <c r="AA50" s="207" t="s">
        <v>84</v>
      </c>
      <c r="AB50" s="236" t="s">
        <v>449</v>
      </c>
    </row>
    <row r="51" spans="1:28" x14ac:dyDescent="0.15">
      <c r="A51" s="207" t="s">
        <v>59</v>
      </c>
      <c r="B51" s="236" t="s">
        <v>456</v>
      </c>
      <c r="C51" s="151">
        <v>2018</v>
      </c>
      <c r="D51" s="152" t="s">
        <v>457</v>
      </c>
      <c r="E51" s="207" t="s">
        <v>313</v>
      </c>
      <c r="F51" s="207" t="s">
        <v>305</v>
      </c>
      <c r="G51" s="207" t="s">
        <v>36</v>
      </c>
      <c r="H51" s="207" t="s">
        <v>165</v>
      </c>
      <c r="I51" s="207" t="s">
        <v>153</v>
      </c>
      <c r="J51" s="207" t="s">
        <v>38</v>
      </c>
      <c r="K51" s="207" t="s">
        <v>154</v>
      </c>
      <c r="L51" s="207">
        <v>2</v>
      </c>
      <c r="N51" s="207">
        <v>4</v>
      </c>
      <c r="O51" s="207">
        <v>0.35</v>
      </c>
      <c r="P51" s="207">
        <v>0.3</v>
      </c>
      <c r="Q51" s="244">
        <f t="shared" si="2"/>
        <v>0.32499999999999996</v>
      </c>
      <c r="R51" s="207">
        <v>15.1</v>
      </c>
      <c r="S51" s="207">
        <v>105</v>
      </c>
      <c r="T51" s="216">
        <f t="shared" si="0"/>
        <v>33</v>
      </c>
      <c r="U51" s="207">
        <v>518</v>
      </c>
      <c r="V51" s="216">
        <f t="shared" si="1"/>
        <v>16</v>
      </c>
      <c r="W51" s="207">
        <v>1</v>
      </c>
      <c r="X51" s="207" t="s">
        <v>46</v>
      </c>
      <c r="Y51" s="207" t="s">
        <v>90</v>
      </c>
      <c r="Z51" s="207" t="s">
        <v>102</v>
      </c>
      <c r="AA51" s="207" t="s">
        <v>84</v>
      </c>
      <c r="AB51" s="236" t="s">
        <v>449</v>
      </c>
    </row>
    <row r="52" spans="1:28" x14ac:dyDescent="0.15">
      <c r="A52" s="207" t="s">
        <v>59</v>
      </c>
      <c r="B52" s="236" t="s">
        <v>456</v>
      </c>
      <c r="C52" s="151">
        <v>2018</v>
      </c>
      <c r="D52" s="152" t="s">
        <v>457</v>
      </c>
      <c r="E52" s="207" t="s">
        <v>313</v>
      </c>
      <c r="F52" s="207" t="s">
        <v>305</v>
      </c>
      <c r="G52" s="207" t="s">
        <v>36</v>
      </c>
      <c r="H52" s="207" t="s">
        <v>165</v>
      </c>
      <c r="I52" s="207" t="s">
        <v>153</v>
      </c>
      <c r="J52" s="207" t="s">
        <v>38</v>
      </c>
      <c r="K52" s="207" t="s">
        <v>154</v>
      </c>
      <c r="L52" s="207">
        <v>3</v>
      </c>
      <c r="N52" s="207">
        <v>4</v>
      </c>
      <c r="O52" s="207">
        <v>0.39</v>
      </c>
      <c r="P52" s="207">
        <v>0.44</v>
      </c>
      <c r="Q52" s="244">
        <f t="shared" si="2"/>
        <v>0.41500000000000004</v>
      </c>
      <c r="R52" s="207">
        <v>15.6</v>
      </c>
      <c r="S52" s="207">
        <v>97</v>
      </c>
      <c r="T52" s="216">
        <f t="shared" si="0"/>
        <v>36</v>
      </c>
      <c r="U52" s="207">
        <v>518</v>
      </c>
      <c r="V52" s="216">
        <f t="shared" si="1"/>
        <v>16</v>
      </c>
      <c r="W52" s="207">
        <v>1</v>
      </c>
      <c r="X52" s="207" t="s">
        <v>46</v>
      </c>
      <c r="Y52" s="207" t="s">
        <v>90</v>
      </c>
      <c r="Z52" s="207" t="s">
        <v>102</v>
      </c>
      <c r="AA52" s="207" t="s">
        <v>84</v>
      </c>
      <c r="AB52" s="236" t="s">
        <v>449</v>
      </c>
    </row>
    <row r="53" spans="1:28" x14ac:dyDescent="0.15">
      <c r="A53" s="207" t="s">
        <v>59</v>
      </c>
      <c r="B53" s="236" t="s">
        <v>456</v>
      </c>
      <c r="C53" s="151">
        <v>2018</v>
      </c>
      <c r="D53" s="152" t="s">
        <v>457</v>
      </c>
      <c r="E53" s="207" t="s">
        <v>313</v>
      </c>
      <c r="F53" s="207" t="s">
        <v>305</v>
      </c>
      <c r="G53" s="207" t="s">
        <v>36</v>
      </c>
      <c r="H53" s="207" t="s">
        <v>155</v>
      </c>
      <c r="I53" s="207" t="s">
        <v>153</v>
      </c>
      <c r="J53" s="207" t="s">
        <v>38</v>
      </c>
      <c r="K53" s="207" t="s">
        <v>154</v>
      </c>
      <c r="L53" s="207">
        <v>1</v>
      </c>
      <c r="N53" s="207">
        <v>5</v>
      </c>
      <c r="O53" s="207">
        <v>0.28999999999999998</v>
      </c>
      <c r="P53" s="207">
        <v>0.31</v>
      </c>
      <c r="Q53" s="244">
        <f t="shared" si="2"/>
        <v>0.3</v>
      </c>
      <c r="R53" s="207">
        <v>14.2</v>
      </c>
      <c r="S53" s="207">
        <v>88</v>
      </c>
      <c r="T53" s="216">
        <f t="shared" si="0"/>
        <v>36</v>
      </c>
      <c r="U53" s="207">
        <v>429</v>
      </c>
      <c r="V53" s="216">
        <f t="shared" si="1"/>
        <v>16</v>
      </c>
      <c r="W53" s="207">
        <v>1</v>
      </c>
      <c r="X53" s="207" t="s">
        <v>46</v>
      </c>
      <c r="Y53" s="207" t="s">
        <v>90</v>
      </c>
      <c r="Z53" s="207" t="s">
        <v>102</v>
      </c>
      <c r="AA53" s="207" t="s">
        <v>84</v>
      </c>
      <c r="AB53" s="236" t="s">
        <v>449</v>
      </c>
    </row>
    <row r="54" spans="1:28" x14ac:dyDescent="0.15">
      <c r="A54" s="207" t="s">
        <v>59</v>
      </c>
      <c r="B54" s="236" t="s">
        <v>456</v>
      </c>
      <c r="C54" s="151">
        <v>2018</v>
      </c>
      <c r="D54" s="152" t="s">
        <v>457</v>
      </c>
      <c r="E54" s="207" t="s">
        <v>313</v>
      </c>
      <c r="F54" s="207" t="s">
        <v>305</v>
      </c>
      <c r="G54" s="207" t="s">
        <v>36</v>
      </c>
      <c r="H54" s="207" t="s">
        <v>155</v>
      </c>
      <c r="I54" s="207" t="s">
        <v>153</v>
      </c>
      <c r="J54" s="207" t="s">
        <v>38</v>
      </c>
      <c r="K54" s="207" t="s">
        <v>154</v>
      </c>
      <c r="L54" s="207">
        <v>2</v>
      </c>
      <c r="N54" s="207">
        <v>5</v>
      </c>
      <c r="O54" s="207">
        <v>0.65</v>
      </c>
      <c r="P54" s="207">
        <v>0.63</v>
      </c>
      <c r="Q54" s="244">
        <f t="shared" si="2"/>
        <v>0.64</v>
      </c>
      <c r="R54" s="207">
        <v>15</v>
      </c>
      <c r="S54" s="207">
        <v>86</v>
      </c>
      <c r="T54" s="216">
        <f t="shared" si="0"/>
        <v>36</v>
      </c>
      <c r="U54" s="207">
        <v>429</v>
      </c>
      <c r="V54" s="216">
        <f t="shared" si="1"/>
        <v>16</v>
      </c>
      <c r="W54" s="207">
        <v>1</v>
      </c>
      <c r="X54" s="207" t="s">
        <v>46</v>
      </c>
      <c r="Y54" s="207" t="s">
        <v>90</v>
      </c>
      <c r="Z54" s="207" t="s">
        <v>102</v>
      </c>
      <c r="AA54" s="207" t="s">
        <v>84</v>
      </c>
      <c r="AB54" s="236" t="s">
        <v>449</v>
      </c>
    </row>
    <row r="55" spans="1:28" x14ac:dyDescent="0.15">
      <c r="A55" s="207" t="s">
        <v>59</v>
      </c>
      <c r="B55" s="236" t="s">
        <v>456</v>
      </c>
      <c r="C55" s="151">
        <v>2018</v>
      </c>
      <c r="D55" s="152" t="s">
        <v>457</v>
      </c>
      <c r="E55" s="207" t="s">
        <v>313</v>
      </c>
      <c r="F55" s="207" t="s">
        <v>305</v>
      </c>
      <c r="G55" s="207" t="s">
        <v>36</v>
      </c>
      <c r="H55" s="207" t="s">
        <v>155</v>
      </c>
      <c r="I55" s="207" t="s">
        <v>153</v>
      </c>
      <c r="J55" s="207" t="s">
        <v>38</v>
      </c>
      <c r="K55" s="207" t="s">
        <v>154</v>
      </c>
      <c r="L55" s="207">
        <v>3</v>
      </c>
      <c r="N55" s="207">
        <v>5</v>
      </c>
      <c r="O55" s="207">
        <v>0.49</v>
      </c>
      <c r="P55" s="207">
        <v>0.57999999999999996</v>
      </c>
      <c r="Q55" s="244">
        <f t="shared" si="2"/>
        <v>0.53499999999999992</v>
      </c>
      <c r="R55" s="207">
        <v>14.8</v>
      </c>
      <c r="S55" s="207">
        <v>92</v>
      </c>
      <c r="T55" s="216">
        <f t="shared" si="0"/>
        <v>36</v>
      </c>
      <c r="U55" s="207">
        <v>429</v>
      </c>
      <c r="V55" s="216">
        <f t="shared" si="1"/>
        <v>16</v>
      </c>
      <c r="W55" s="207">
        <v>1</v>
      </c>
      <c r="X55" s="207" t="s">
        <v>46</v>
      </c>
      <c r="Y55" s="207" t="s">
        <v>90</v>
      </c>
      <c r="Z55" s="207" t="s">
        <v>102</v>
      </c>
      <c r="AA55" s="207" t="s">
        <v>84</v>
      </c>
      <c r="AB55" s="236" t="s">
        <v>449</v>
      </c>
    </row>
    <row r="56" spans="1:28" x14ac:dyDescent="0.15">
      <c r="A56" s="207" t="s">
        <v>59</v>
      </c>
      <c r="B56" s="236" t="s">
        <v>456</v>
      </c>
      <c r="C56" s="151">
        <v>2018</v>
      </c>
      <c r="D56" s="152" t="s">
        <v>457</v>
      </c>
      <c r="E56" s="207" t="s">
        <v>319</v>
      </c>
      <c r="F56" s="207" t="s">
        <v>310</v>
      </c>
      <c r="G56" s="207" t="s">
        <v>36</v>
      </c>
      <c r="H56" s="207" t="s">
        <v>165</v>
      </c>
      <c r="I56" s="207" t="s">
        <v>153</v>
      </c>
      <c r="J56" s="207" t="s">
        <v>38</v>
      </c>
      <c r="K56" s="207" t="s">
        <v>154</v>
      </c>
      <c r="L56" s="207">
        <v>1</v>
      </c>
      <c r="N56" s="207">
        <v>4</v>
      </c>
      <c r="O56" s="207">
        <v>0.44</v>
      </c>
      <c r="P56" s="207">
        <v>0.4</v>
      </c>
      <c r="Q56" s="244">
        <f t="shared" si="2"/>
        <v>0.42000000000000004</v>
      </c>
      <c r="R56" s="207">
        <v>16.2</v>
      </c>
      <c r="S56" s="207">
        <v>95</v>
      </c>
      <c r="T56" s="216">
        <f t="shared" si="0"/>
        <v>36</v>
      </c>
      <c r="U56" s="207">
        <v>480</v>
      </c>
      <c r="V56" s="216">
        <f t="shared" si="1"/>
        <v>16</v>
      </c>
      <c r="W56" s="207">
        <v>3</v>
      </c>
      <c r="X56" s="207" t="s">
        <v>46</v>
      </c>
      <c r="Y56" s="207" t="s">
        <v>274</v>
      </c>
      <c r="Z56" s="207" t="s">
        <v>84</v>
      </c>
      <c r="AA56" s="207" t="s">
        <v>90</v>
      </c>
      <c r="AB56" s="236" t="s">
        <v>449</v>
      </c>
    </row>
    <row r="57" spans="1:28" x14ac:dyDescent="0.15">
      <c r="A57" s="207" t="s">
        <v>59</v>
      </c>
      <c r="B57" s="236" t="s">
        <v>456</v>
      </c>
      <c r="C57" s="151">
        <v>2018</v>
      </c>
      <c r="D57" s="152" t="s">
        <v>457</v>
      </c>
      <c r="E57" s="207" t="s">
        <v>319</v>
      </c>
      <c r="F57" s="207" t="s">
        <v>310</v>
      </c>
      <c r="G57" s="207" t="s">
        <v>36</v>
      </c>
      <c r="H57" s="207" t="s">
        <v>165</v>
      </c>
      <c r="I57" s="207" t="s">
        <v>153</v>
      </c>
      <c r="J57" s="207" t="s">
        <v>38</v>
      </c>
      <c r="K57" s="207" t="s">
        <v>154</v>
      </c>
      <c r="L57" s="207">
        <v>2</v>
      </c>
      <c r="N57" s="207">
        <v>4</v>
      </c>
      <c r="O57" s="207">
        <v>0.43</v>
      </c>
      <c r="P57" s="207">
        <v>0.36</v>
      </c>
      <c r="Q57" s="244">
        <f t="shared" si="2"/>
        <v>0.39500000000000002</v>
      </c>
      <c r="R57" s="207">
        <v>15.6</v>
      </c>
      <c r="S57" s="207">
        <v>104</v>
      </c>
      <c r="T57" s="216">
        <f t="shared" si="0"/>
        <v>33</v>
      </c>
      <c r="U57" s="207">
        <v>480</v>
      </c>
      <c r="V57" s="216">
        <f t="shared" si="1"/>
        <v>16</v>
      </c>
      <c r="W57" s="207">
        <v>3</v>
      </c>
      <c r="X57" s="207" t="s">
        <v>46</v>
      </c>
      <c r="Y57" s="207" t="s">
        <v>274</v>
      </c>
      <c r="Z57" s="207" t="s">
        <v>84</v>
      </c>
      <c r="AA57" s="207" t="s">
        <v>90</v>
      </c>
      <c r="AB57" s="236" t="s">
        <v>449</v>
      </c>
    </row>
    <row r="58" spans="1:28" x14ac:dyDescent="0.15">
      <c r="A58" s="207" t="s">
        <v>59</v>
      </c>
      <c r="B58" s="236" t="s">
        <v>456</v>
      </c>
      <c r="C58" s="151">
        <v>2018</v>
      </c>
      <c r="D58" s="152" t="s">
        <v>457</v>
      </c>
      <c r="E58" s="207" t="s">
        <v>319</v>
      </c>
      <c r="F58" s="207" t="s">
        <v>310</v>
      </c>
      <c r="G58" s="207" t="s">
        <v>36</v>
      </c>
      <c r="H58" s="207" t="s">
        <v>165</v>
      </c>
      <c r="I58" s="207" t="s">
        <v>153</v>
      </c>
      <c r="J58" s="207" t="s">
        <v>38</v>
      </c>
      <c r="K58" s="207" t="s">
        <v>154</v>
      </c>
      <c r="L58" s="207">
        <v>3</v>
      </c>
      <c r="N58" s="207">
        <v>4</v>
      </c>
      <c r="O58" s="207">
        <v>0.46</v>
      </c>
      <c r="P58" s="207">
        <v>0.44</v>
      </c>
      <c r="Q58" s="244">
        <f t="shared" si="2"/>
        <v>0.45</v>
      </c>
      <c r="R58" s="207">
        <v>15.5</v>
      </c>
      <c r="S58" s="207">
        <v>95</v>
      </c>
      <c r="T58" s="216">
        <f t="shared" si="0"/>
        <v>36</v>
      </c>
      <c r="U58" s="207">
        <v>480</v>
      </c>
      <c r="V58" s="216">
        <f t="shared" si="1"/>
        <v>16</v>
      </c>
      <c r="W58" s="207">
        <v>3</v>
      </c>
      <c r="X58" s="207" t="s">
        <v>46</v>
      </c>
      <c r="Y58" s="207" t="s">
        <v>274</v>
      </c>
      <c r="Z58" s="207" t="s">
        <v>84</v>
      </c>
      <c r="AA58" s="207" t="s">
        <v>90</v>
      </c>
      <c r="AB58" s="236" t="s">
        <v>449</v>
      </c>
    </row>
    <row r="59" spans="1:28" x14ac:dyDescent="0.15">
      <c r="A59" s="207" t="s">
        <v>59</v>
      </c>
      <c r="B59" s="236" t="s">
        <v>456</v>
      </c>
      <c r="C59" s="151">
        <v>2018</v>
      </c>
      <c r="D59" s="152" t="s">
        <v>457</v>
      </c>
      <c r="E59" s="207" t="s">
        <v>319</v>
      </c>
      <c r="F59" s="207" t="s">
        <v>310</v>
      </c>
      <c r="G59" s="207" t="s">
        <v>36</v>
      </c>
      <c r="H59" s="207" t="s">
        <v>155</v>
      </c>
      <c r="I59" s="207" t="s">
        <v>153</v>
      </c>
      <c r="J59" s="207" t="s">
        <v>38</v>
      </c>
      <c r="K59" s="207" t="s">
        <v>154</v>
      </c>
      <c r="L59" s="207">
        <v>1</v>
      </c>
      <c r="N59" s="207">
        <v>4</v>
      </c>
      <c r="O59" s="207">
        <v>0.55000000000000004</v>
      </c>
      <c r="P59" s="207">
        <v>0.46</v>
      </c>
      <c r="Q59" s="244">
        <f t="shared" si="2"/>
        <v>0.505</v>
      </c>
      <c r="R59" s="207">
        <v>16.2</v>
      </c>
      <c r="S59" s="207">
        <v>137</v>
      </c>
      <c r="T59" s="216">
        <f t="shared" si="0"/>
        <v>25</v>
      </c>
      <c r="U59" s="207">
        <v>348</v>
      </c>
      <c r="V59" s="216">
        <f t="shared" si="1"/>
        <v>16</v>
      </c>
      <c r="W59" s="207">
        <v>3</v>
      </c>
      <c r="X59" s="207" t="s">
        <v>46</v>
      </c>
      <c r="Y59" s="207" t="s">
        <v>274</v>
      </c>
      <c r="Z59" s="207" t="s">
        <v>84</v>
      </c>
      <c r="AA59" s="207" t="s">
        <v>90</v>
      </c>
      <c r="AB59" s="236" t="s">
        <v>449</v>
      </c>
    </row>
    <row r="60" spans="1:28" x14ac:dyDescent="0.15">
      <c r="A60" s="207" t="s">
        <v>59</v>
      </c>
      <c r="B60" s="236" t="s">
        <v>456</v>
      </c>
      <c r="C60" s="151">
        <v>2018</v>
      </c>
      <c r="D60" s="152" t="s">
        <v>457</v>
      </c>
      <c r="E60" s="207" t="s">
        <v>319</v>
      </c>
      <c r="F60" s="207" t="s">
        <v>310</v>
      </c>
      <c r="G60" s="207" t="s">
        <v>36</v>
      </c>
      <c r="H60" s="207" t="s">
        <v>155</v>
      </c>
      <c r="I60" s="207" t="s">
        <v>153</v>
      </c>
      <c r="J60" s="207" t="s">
        <v>38</v>
      </c>
      <c r="K60" s="207" t="s">
        <v>154</v>
      </c>
      <c r="L60" s="207">
        <v>2</v>
      </c>
      <c r="N60" s="207">
        <v>4</v>
      </c>
      <c r="O60" s="207">
        <v>0.5</v>
      </c>
      <c r="P60" s="207">
        <v>0.47</v>
      </c>
      <c r="Q60" s="244">
        <f t="shared" si="2"/>
        <v>0.48499999999999999</v>
      </c>
      <c r="R60" s="207">
        <v>16.2</v>
      </c>
      <c r="S60" s="207">
        <v>143</v>
      </c>
      <c r="T60" s="216">
        <f t="shared" si="0"/>
        <v>22</v>
      </c>
      <c r="U60" s="207">
        <v>348</v>
      </c>
      <c r="V60" s="216">
        <f t="shared" si="1"/>
        <v>16</v>
      </c>
      <c r="W60" s="207">
        <v>3</v>
      </c>
      <c r="X60" s="207" t="s">
        <v>46</v>
      </c>
      <c r="Y60" s="207" t="s">
        <v>274</v>
      </c>
      <c r="Z60" s="207" t="s">
        <v>84</v>
      </c>
      <c r="AA60" s="207" t="s">
        <v>90</v>
      </c>
      <c r="AB60" s="236" t="s">
        <v>449</v>
      </c>
    </row>
    <row r="61" spans="1:28" x14ac:dyDescent="0.15">
      <c r="A61" s="207" t="s">
        <v>59</v>
      </c>
      <c r="B61" s="236" t="s">
        <v>456</v>
      </c>
      <c r="C61" s="151">
        <v>2018</v>
      </c>
      <c r="D61" s="152" t="s">
        <v>457</v>
      </c>
      <c r="E61" s="207" t="s">
        <v>319</v>
      </c>
      <c r="F61" s="207" t="s">
        <v>310</v>
      </c>
      <c r="G61" s="207" t="s">
        <v>36</v>
      </c>
      <c r="H61" s="207" t="s">
        <v>155</v>
      </c>
      <c r="I61" s="207" t="s">
        <v>153</v>
      </c>
      <c r="J61" s="207" t="s">
        <v>38</v>
      </c>
      <c r="K61" s="207" t="s">
        <v>154</v>
      </c>
      <c r="L61" s="207">
        <v>3</v>
      </c>
      <c r="N61" s="207">
        <v>4</v>
      </c>
      <c r="O61" s="207">
        <v>0.49</v>
      </c>
      <c r="P61" s="207">
        <v>0.53</v>
      </c>
      <c r="Q61" s="244">
        <f t="shared" si="2"/>
        <v>0.51</v>
      </c>
      <c r="R61" s="207">
        <v>16</v>
      </c>
      <c r="S61" s="207">
        <v>144</v>
      </c>
      <c r="T61" s="216">
        <f t="shared" si="0"/>
        <v>22</v>
      </c>
      <c r="U61" s="207">
        <v>348</v>
      </c>
      <c r="V61" s="216">
        <f t="shared" si="1"/>
        <v>16</v>
      </c>
      <c r="W61" s="207">
        <v>3</v>
      </c>
      <c r="X61" s="207" t="s">
        <v>46</v>
      </c>
      <c r="Y61" s="207" t="s">
        <v>274</v>
      </c>
      <c r="Z61" s="207" t="s">
        <v>84</v>
      </c>
      <c r="AA61" s="207" t="s">
        <v>90</v>
      </c>
      <c r="AB61" s="236" t="s">
        <v>449</v>
      </c>
    </row>
    <row r="62" spans="1:28" x14ac:dyDescent="0.15">
      <c r="A62" s="207" t="s">
        <v>59</v>
      </c>
      <c r="B62" s="236" t="s">
        <v>456</v>
      </c>
      <c r="C62" s="151">
        <v>2018</v>
      </c>
      <c r="D62" s="152" t="s">
        <v>457</v>
      </c>
      <c r="E62" s="207" t="s">
        <v>314</v>
      </c>
      <c r="F62" s="207" t="s">
        <v>307</v>
      </c>
      <c r="G62" s="207" t="s">
        <v>36</v>
      </c>
      <c r="H62" s="207" t="s">
        <v>165</v>
      </c>
      <c r="I62" s="207" t="s">
        <v>153</v>
      </c>
      <c r="J62" s="207" t="s">
        <v>38</v>
      </c>
      <c r="K62" s="207" t="s">
        <v>154</v>
      </c>
      <c r="L62" s="207">
        <v>1</v>
      </c>
      <c r="N62" s="207">
        <v>1</v>
      </c>
      <c r="O62" s="207">
        <v>0.61</v>
      </c>
      <c r="P62" s="207">
        <v>0.62</v>
      </c>
      <c r="Q62" s="244">
        <f t="shared" si="2"/>
        <v>0.61499999999999999</v>
      </c>
      <c r="R62" s="207">
        <v>14.8</v>
      </c>
      <c r="S62" s="207">
        <v>141</v>
      </c>
      <c r="T62" s="216">
        <f t="shared" si="0"/>
        <v>22</v>
      </c>
      <c r="U62" s="207">
        <v>138</v>
      </c>
      <c r="V62" s="216">
        <f t="shared" si="1"/>
        <v>22</v>
      </c>
      <c r="W62" s="207">
        <v>2</v>
      </c>
      <c r="X62" s="207" t="s">
        <v>46</v>
      </c>
      <c r="Y62" s="207" t="s">
        <v>90</v>
      </c>
      <c r="Z62" s="207" t="s">
        <v>274</v>
      </c>
      <c r="AA62" s="207" t="s">
        <v>84</v>
      </c>
      <c r="AB62" s="236" t="s">
        <v>449</v>
      </c>
    </row>
    <row r="63" spans="1:28" x14ac:dyDescent="0.15">
      <c r="A63" s="207" t="s">
        <v>59</v>
      </c>
      <c r="B63" s="236" t="s">
        <v>456</v>
      </c>
      <c r="C63" s="151">
        <v>2018</v>
      </c>
      <c r="D63" s="152" t="s">
        <v>457</v>
      </c>
      <c r="E63" s="207" t="s">
        <v>314</v>
      </c>
      <c r="F63" s="207" t="s">
        <v>307</v>
      </c>
      <c r="G63" s="207" t="s">
        <v>36</v>
      </c>
      <c r="H63" s="207" t="s">
        <v>165</v>
      </c>
      <c r="I63" s="207" t="s">
        <v>153</v>
      </c>
      <c r="J63" s="207" t="s">
        <v>38</v>
      </c>
      <c r="K63" s="207" t="s">
        <v>154</v>
      </c>
      <c r="L63" s="207">
        <v>2</v>
      </c>
      <c r="N63" s="207">
        <v>1</v>
      </c>
      <c r="O63" s="207">
        <v>0.48</v>
      </c>
      <c r="P63" s="207">
        <v>0.5</v>
      </c>
      <c r="Q63" s="244">
        <f t="shared" si="2"/>
        <v>0.49</v>
      </c>
      <c r="R63" s="207">
        <v>16</v>
      </c>
      <c r="S63" s="207">
        <v>150</v>
      </c>
      <c r="T63" s="216">
        <f t="shared" si="0"/>
        <v>22</v>
      </c>
      <c r="U63" s="207">
        <v>138</v>
      </c>
      <c r="V63" s="216">
        <f t="shared" si="1"/>
        <v>22</v>
      </c>
      <c r="W63" s="207">
        <v>2</v>
      </c>
      <c r="X63" s="207" t="s">
        <v>46</v>
      </c>
      <c r="Y63" s="207" t="s">
        <v>90</v>
      </c>
      <c r="Z63" s="207" t="s">
        <v>274</v>
      </c>
      <c r="AA63" s="207" t="s">
        <v>84</v>
      </c>
      <c r="AB63" s="236" t="s">
        <v>449</v>
      </c>
    </row>
    <row r="64" spans="1:28" x14ac:dyDescent="0.15">
      <c r="A64" s="207" t="s">
        <v>59</v>
      </c>
      <c r="B64" s="236" t="s">
        <v>456</v>
      </c>
      <c r="C64" s="151">
        <v>2018</v>
      </c>
      <c r="D64" s="152" t="s">
        <v>457</v>
      </c>
      <c r="E64" s="207" t="s">
        <v>314</v>
      </c>
      <c r="F64" s="207" t="s">
        <v>307</v>
      </c>
      <c r="G64" s="207" t="s">
        <v>36</v>
      </c>
      <c r="H64" s="207" t="s">
        <v>165</v>
      </c>
      <c r="I64" s="207" t="s">
        <v>153</v>
      </c>
      <c r="J64" s="207" t="s">
        <v>38</v>
      </c>
      <c r="K64" s="207" t="s">
        <v>154</v>
      </c>
      <c r="L64" s="207">
        <v>3</v>
      </c>
      <c r="N64" s="207">
        <v>1</v>
      </c>
      <c r="O64" s="207">
        <v>0.66</v>
      </c>
      <c r="P64" s="207">
        <v>0.6</v>
      </c>
      <c r="Q64" s="244">
        <f t="shared" si="2"/>
        <v>0.63</v>
      </c>
      <c r="R64" s="207">
        <v>15.7</v>
      </c>
      <c r="S64" s="207">
        <v>135</v>
      </c>
      <c r="T64" s="216">
        <f t="shared" si="0"/>
        <v>25</v>
      </c>
      <c r="U64" s="207">
        <v>138</v>
      </c>
      <c r="V64" s="216">
        <f t="shared" si="1"/>
        <v>22</v>
      </c>
      <c r="W64" s="207">
        <v>2</v>
      </c>
      <c r="X64" s="207" t="s">
        <v>46</v>
      </c>
      <c r="Y64" s="207" t="s">
        <v>90</v>
      </c>
      <c r="Z64" s="207" t="s">
        <v>274</v>
      </c>
      <c r="AA64" s="207" t="s">
        <v>84</v>
      </c>
      <c r="AB64" s="236" t="s">
        <v>449</v>
      </c>
    </row>
    <row r="65" spans="1:28" x14ac:dyDescent="0.15">
      <c r="A65" s="207" t="s">
        <v>59</v>
      </c>
      <c r="B65" s="236" t="s">
        <v>456</v>
      </c>
      <c r="C65" s="151">
        <v>2018</v>
      </c>
      <c r="D65" s="152" t="s">
        <v>457</v>
      </c>
      <c r="E65" s="207" t="s">
        <v>314</v>
      </c>
      <c r="F65" s="207" t="s">
        <v>307</v>
      </c>
      <c r="G65" s="207" t="s">
        <v>36</v>
      </c>
      <c r="H65" s="207" t="s">
        <v>155</v>
      </c>
      <c r="I65" s="207" t="s">
        <v>153</v>
      </c>
      <c r="J65" s="207" t="s">
        <v>38</v>
      </c>
      <c r="K65" s="207" t="s">
        <v>154</v>
      </c>
      <c r="L65" s="207">
        <v>1</v>
      </c>
      <c r="N65" s="207">
        <v>4</v>
      </c>
      <c r="O65" s="207">
        <v>0.75</v>
      </c>
      <c r="P65" s="207">
        <v>0.8</v>
      </c>
      <c r="Q65" s="244">
        <f t="shared" si="2"/>
        <v>0.77500000000000002</v>
      </c>
      <c r="R65" s="207">
        <v>12.3</v>
      </c>
      <c r="S65" s="207">
        <v>92</v>
      </c>
      <c r="T65" s="216">
        <f t="shared" si="0"/>
        <v>36</v>
      </c>
      <c r="U65" s="207">
        <v>321</v>
      </c>
      <c r="V65" s="216">
        <f t="shared" si="1"/>
        <v>16</v>
      </c>
      <c r="W65" s="207">
        <v>8</v>
      </c>
      <c r="X65" s="207" t="s">
        <v>46</v>
      </c>
      <c r="Y65" s="207" t="s">
        <v>90</v>
      </c>
      <c r="Z65" s="207" t="s">
        <v>274</v>
      </c>
      <c r="AA65" s="207" t="s">
        <v>84</v>
      </c>
      <c r="AB65" s="236" t="s">
        <v>449</v>
      </c>
    </row>
    <row r="66" spans="1:28" x14ac:dyDescent="0.15">
      <c r="A66" s="207" t="s">
        <v>59</v>
      </c>
      <c r="B66" s="236" t="s">
        <v>456</v>
      </c>
      <c r="C66" s="151">
        <v>2018</v>
      </c>
      <c r="D66" s="152" t="s">
        <v>457</v>
      </c>
      <c r="E66" s="207" t="s">
        <v>314</v>
      </c>
      <c r="F66" s="207" t="s">
        <v>307</v>
      </c>
      <c r="G66" s="207" t="s">
        <v>36</v>
      </c>
      <c r="H66" s="207" t="s">
        <v>155</v>
      </c>
      <c r="I66" s="207" t="s">
        <v>153</v>
      </c>
      <c r="J66" s="207" t="s">
        <v>38</v>
      </c>
      <c r="K66" s="207" t="s">
        <v>154</v>
      </c>
      <c r="L66" s="207">
        <v>2</v>
      </c>
      <c r="N66" s="207">
        <v>4</v>
      </c>
      <c r="O66" s="207">
        <v>0.57999999999999996</v>
      </c>
      <c r="P66" s="207">
        <v>0.63</v>
      </c>
      <c r="Q66" s="244">
        <f t="shared" si="2"/>
        <v>0.60499999999999998</v>
      </c>
      <c r="R66" s="207">
        <v>12.5</v>
      </c>
      <c r="S66" s="207">
        <v>104</v>
      </c>
      <c r="T66" s="216">
        <f t="shared" si="0"/>
        <v>33</v>
      </c>
      <c r="U66" s="207">
        <v>321</v>
      </c>
      <c r="V66" s="216">
        <f t="shared" si="1"/>
        <v>16</v>
      </c>
      <c r="W66" s="207">
        <v>8</v>
      </c>
      <c r="X66" s="207" t="s">
        <v>46</v>
      </c>
      <c r="Y66" s="207" t="s">
        <v>90</v>
      </c>
      <c r="Z66" s="207" t="s">
        <v>274</v>
      </c>
      <c r="AA66" s="207" t="s">
        <v>84</v>
      </c>
      <c r="AB66" s="236" t="s">
        <v>449</v>
      </c>
    </row>
    <row r="67" spans="1:28" x14ac:dyDescent="0.15">
      <c r="A67" s="207" t="s">
        <v>59</v>
      </c>
      <c r="B67" s="236" t="s">
        <v>456</v>
      </c>
      <c r="C67" s="151">
        <v>2018</v>
      </c>
      <c r="D67" s="152" t="s">
        <v>457</v>
      </c>
      <c r="E67" s="207" t="s">
        <v>314</v>
      </c>
      <c r="F67" s="207" t="s">
        <v>307</v>
      </c>
      <c r="G67" s="207" t="s">
        <v>36</v>
      </c>
      <c r="H67" s="207" t="s">
        <v>155</v>
      </c>
      <c r="I67" s="207" t="s">
        <v>153</v>
      </c>
      <c r="J67" s="207" t="s">
        <v>38</v>
      </c>
      <c r="K67" s="207" t="s">
        <v>154</v>
      </c>
      <c r="L67" s="207">
        <v>3</v>
      </c>
      <c r="N67" s="207">
        <v>4</v>
      </c>
      <c r="O67" s="207">
        <v>0.64</v>
      </c>
      <c r="P67" s="207">
        <v>0.59</v>
      </c>
      <c r="Q67" s="244">
        <f t="shared" si="2"/>
        <v>0.61499999999999999</v>
      </c>
      <c r="R67" s="207">
        <v>12.3</v>
      </c>
      <c r="S67" s="207">
        <v>96</v>
      </c>
      <c r="T67" s="216">
        <f t="shared" si="0"/>
        <v>36</v>
      </c>
      <c r="U67" s="207">
        <v>321</v>
      </c>
      <c r="V67" s="216">
        <f t="shared" si="1"/>
        <v>16</v>
      </c>
      <c r="W67" s="207">
        <v>8</v>
      </c>
      <c r="X67" s="207" t="s">
        <v>46</v>
      </c>
      <c r="Y67" s="207" t="s">
        <v>90</v>
      </c>
      <c r="Z67" s="207" t="s">
        <v>274</v>
      </c>
      <c r="AA67" s="207" t="s">
        <v>84</v>
      </c>
      <c r="AB67" s="236" t="s">
        <v>449</v>
      </c>
    </row>
    <row r="68" spans="1:28" x14ac:dyDescent="0.15">
      <c r="B68" s="236"/>
      <c r="C68" s="151"/>
      <c r="D68" s="152"/>
      <c r="Q68" s="244" t="str">
        <f t="shared" si="2"/>
        <v/>
      </c>
      <c r="T68" s="216" t="str">
        <f t="shared" si="0"/>
        <v/>
      </c>
      <c r="V68" s="216" t="str">
        <f t="shared" si="1"/>
        <v/>
      </c>
      <c r="AB68" s="236"/>
    </row>
    <row r="69" spans="1:28" x14ac:dyDescent="0.15">
      <c r="B69" s="236"/>
      <c r="C69" s="151"/>
      <c r="D69" s="152"/>
      <c r="Q69" s="244" t="str">
        <f t="shared" si="2"/>
        <v/>
      </c>
      <c r="T69" s="216" t="str">
        <f t="shared" si="0"/>
        <v/>
      </c>
      <c r="V69" s="216" t="str">
        <f t="shared" si="1"/>
        <v/>
      </c>
      <c r="AB69" s="236"/>
    </row>
    <row r="70" spans="1:28" x14ac:dyDescent="0.15">
      <c r="B70" s="236"/>
      <c r="C70" s="151"/>
      <c r="D70" s="152"/>
      <c r="Q70" s="244" t="str">
        <f t="shared" si="2"/>
        <v/>
      </c>
      <c r="T70" s="216" t="str">
        <f t="shared" si="0"/>
        <v/>
      </c>
      <c r="V70" s="216" t="str">
        <f t="shared" si="1"/>
        <v/>
      </c>
      <c r="AB70" s="236"/>
    </row>
    <row r="71" spans="1:28" x14ac:dyDescent="0.15">
      <c r="B71" s="236"/>
      <c r="C71" s="151"/>
      <c r="D71" s="152"/>
      <c r="Q71" s="244" t="str">
        <f t="shared" si="2"/>
        <v/>
      </c>
      <c r="T71" s="216" t="str">
        <f t="shared" si="0"/>
        <v/>
      </c>
      <c r="AB71" s="236"/>
    </row>
    <row r="72" spans="1:28" x14ac:dyDescent="0.15">
      <c r="B72" s="236"/>
      <c r="C72" s="151"/>
      <c r="D72" s="152"/>
      <c r="Q72" s="244" t="str">
        <f t="shared" si="2"/>
        <v/>
      </c>
      <c r="T72" s="216" t="str">
        <f t="shared" si="0"/>
        <v/>
      </c>
      <c r="AB72" s="236"/>
    </row>
    <row r="73" spans="1:28" x14ac:dyDescent="0.15">
      <c r="B73" s="236"/>
      <c r="C73" s="151"/>
      <c r="D73" s="152"/>
      <c r="Q73" s="244" t="str">
        <f t="shared" si="2"/>
        <v/>
      </c>
      <c r="T73" s="216" t="str">
        <f t="shared" si="0"/>
        <v/>
      </c>
      <c r="AB73" s="236"/>
    </row>
    <row r="74" spans="1:28" x14ac:dyDescent="0.15">
      <c r="B74" s="236"/>
      <c r="C74" s="151"/>
      <c r="D74" s="152"/>
      <c r="Q74" s="244"/>
      <c r="AB74" s="236"/>
    </row>
    <row r="75" spans="1:28" x14ac:dyDescent="0.15">
      <c r="B75" s="236"/>
      <c r="C75" s="151"/>
      <c r="D75" s="152"/>
      <c r="Q75" s="244"/>
      <c r="AB75" s="236"/>
    </row>
    <row r="76" spans="1:28" x14ac:dyDescent="0.15">
      <c r="B76" s="236"/>
      <c r="C76" s="151"/>
      <c r="D76" s="152"/>
      <c r="Q76" s="244"/>
      <c r="AB76" s="236"/>
    </row>
    <row r="77" spans="1:28" x14ac:dyDescent="0.15">
      <c r="B77" s="236"/>
      <c r="C77" s="151"/>
      <c r="D77" s="152"/>
      <c r="Q77" s="244"/>
      <c r="AB77" s="236"/>
    </row>
    <row r="78" spans="1:28" x14ac:dyDescent="0.15">
      <c r="B78" s="236"/>
      <c r="C78" s="151"/>
      <c r="D78" s="152"/>
      <c r="Q78" s="244"/>
      <c r="AB78" s="236"/>
    </row>
    <row r="79" spans="1:28" x14ac:dyDescent="0.15">
      <c r="B79" s="236"/>
      <c r="C79" s="151"/>
      <c r="D79" s="152"/>
      <c r="Q79" s="244"/>
      <c r="AB79" s="236"/>
    </row>
    <row r="80" spans="1:28" x14ac:dyDescent="0.15">
      <c r="B80" s="236"/>
      <c r="C80" s="151"/>
      <c r="D80" s="152"/>
      <c r="Q80" s="244"/>
      <c r="AB80" s="236"/>
    </row>
    <row r="81" spans="2:28" x14ac:dyDescent="0.15">
      <c r="B81" s="236"/>
      <c r="C81" s="151"/>
      <c r="D81" s="152"/>
      <c r="Q81" s="244"/>
      <c r="AB81" s="236"/>
    </row>
    <row r="82" spans="2:28" x14ac:dyDescent="0.15">
      <c r="B82" s="236"/>
      <c r="C82" s="151"/>
      <c r="D82" s="152"/>
      <c r="Q82" s="244"/>
      <c r="AB82" s="236"/>
    </row>
    <row r="83" spans="2:28" x14ac:dyDescent="0.15">
      <c r="B83" s="236"/>
      <c r="C83" s="151"/>
      <c r="Q83" s="244"/>
      <c r="AB83" s="236"/>
    </row>
    <row r="84" spans="2:28" x14ac:dyDescent="0.15">
      <c r="B84" s="236"/>
      <c r="C84" s="151"/>
      <c r="Q84" s="244"/>
      <c r="AB84" s="236"/>
    </row>
    <row r="85" spans="2:28" x14ac:dyDescent="0.15">
      <c r="B85" s="236"/>
      <c r="C85" s="151"/>
      <c r="Q85" s="244"/>
      <c r="AB85" s="236"/>
    </row>
    <row r="86" spans="2:28" x14ac:dyDescent="0.15">
      <c r="B86" s="236"/>
      <c r="C86" s="151"/>
      <c r="Q86" s="244"/>
      <c r="AB86" s="236"/>
    </row>
    <row r="87" spans="2:28" x14ac:dyDescent="0.15">
      <c r="B87" s="236"/>
      <c r="C87" s="151"/>
      <c r="Q87" s="244"/>
      <c r="AB87" s="236"/>
    </row>
    <row r="88" spans="2:28" x14ac:dyDescent="0.15">
      <c r="B88" s="236"/>
      <c r="C88" s="151"/>
      <c r="Q88" s="244"/>
      <c r="AB88" s="236"/>
    </row>
    <row r="89" spans="2:28" x14ac:dyDescent="0.15">
      <c r="B89" s="236"/>
      <c r="C89" s="151"/>
      <c r="Q89" s="244"/>
      <c r="AB89" s="236"/>
    </row>
    <row r="90" spans="2:28" x14ac:dyDescent="0.15">
      <c r="B90" s="236"/>
      <c r="C90" s="151"/>
      <c r="Q90" s="244"/>
      <c r="AB90" s="236"/>
    </row>
    <row r="91" spans="2:28" x14ac:dyDescent="0.15">
      <c r="B91" s="236"/>
      <c r="C91" s="151"/>
      <c r="Q91" s="244"/>
      <c r="AB91" s="236"/>
    </row>
    <row r="92" spans="2:28" x14ac:dyDescent="0.15">
      <c r="B92" s="236"/>
      <c r="C92" s="151"/>
      <c r="Q92" s="244"/>
      <c r="AB92" s="236"/>
    </row>
    <row r="93" spans="2:28" x14ac:dyDescent="0.15">
      <c r="B93" s="236"/>
      <c r="C93" s="151"/>
      <c r="Q93" s="244"/>
      <c r="AB93" s="236"/>
    </row>
    <row r="94" spans="2:28" x14ac:dyDescent="0.15">
      <c r="B94" s="236"/>
      <c r="C94" s="151"/>
      <c r="Q94" s="244"/>
      <c r="AB94" s="236"/>
    </row>
    <row r="95" spans="2:28" x14ac:dyDescent="0.15">
      <c r="B95" s="236"/>
      <c r="C95" s="151"/>
      <c r="Q95" s="244"/>
      <c r="AB95" s="236"/>
    </row>
    <row r="96" spans="2:28" x14ac:dyDescent="0.15">
      <c r="B96" s="236"/>
      <c r="C96" s="151"/>
      <c r="Q96" s="244"/>
      <c r="AB96" s="236"/>
    </row>
    <row r="97" spans="2:28" x14ac:dyDescent="0.15">
      <c r="B97" s="236"/>
      <c r="C97" s="151"/>
      <c r="Q97" s="244"/>
      <c r="AB97" s="236"/>
    </row>
    <row r="98" spans="2:28" x14ac:dyDescent="0.15">
      <c r="B98" s="236"/>
      <c r="C98" s="151"/>
      <c r="Q98" s="244"/>
      <c r="AB98" s="236"/>
    </row>
    <row r="99" spans="2:28" x14ac:dyDescent="0.15">
      <c r="B99" s="236"/>
      <c r="C99" s="151"/>
      <c r="AB99" s="236"/>
    </row>
    <row r="100" spans="2:28" x14ac:dyDescent="0.15">
      <c r="B100" s="236"/>
      <c r="C100" s="151"/>
      <c r="AB100" s="236"/>
    </row>
    <row r="101" spans="2:28" x14ac:dyDescent="0.15">
      <c r="Q101" s="216" t="str">
        <f t="shared" ref="Q101:Q152" si="3">IF(OR(O101="",P101=""),"",AVERAGE(O101,P101))</f>
        <v/>
      </c>
      <c r="T101" s="216" t="str">
        <f t="shared" ref="T101:T152" si="4">IF(H101="","",IF(OR(H101="GREEN",H101="GK"),IF(S101&gt;=$AX$2,VLOOKUP(S101,$AX$2:$AY$12,2,1),""),IF(S101&gt;=$AZ$2,VLOOKUP(S101,$AZ$2:$BA$12,2,1),"")))</f>
        <v/>
      </c>
      <c r="V101" s="216" t="str">
        <f t="shared" ref="V101:V152" si="5">IF(J101="","",IF(OR(J101="GREEN",J101="GK"),IF(U101&gt;=$AX$2,VLOOKUP(U101,$AX$2:$AY$12,2,1),""),IF(U101&gt;=$AZ$2,VLOOKUP(U101,$AZ$2:$BA$12,2,1),"")))</f>
        <v/>
      </c>
      <c r="AB101" s="236"/>
    </row>
    <row r="102" spans="2:28" x14ac:dyDescent="0.15">
      <c r="Q102" s="216" t="str">
        <f t="shared" si="3"/>
        <v/>
      </c>
      <c r="T102" s="216" t="str">
        <f t="shared" si="4"/>
        <v/>
      </c>
      <c r="V102" s="216" t="str">
        <f t="shared" si="5"/>
        <v/>
      </c>
    </row>
    <row r="103" spans="2:28" x14ac:dyDescent="0.15">
      <c r="Q103" s="216" t="str">
        <f t="shared" si="3"/>
        <v/>
      </c>
      <c r="T103" s="216" t="str">
        <f t="shared" si="4"/>
        <v/>
      </c>
      <c r="V103" s="216" t="str">
        <f t="shared" si="5"/>
        <v/>
      </c>
    </row>
    <row r="104" spans="2:28" x14ac:dyDescent="0.15">
      <c r="Q104" s="216" t="str">
        <f t="shared" si="3"/>
        <v/>
      </c>
      <c r="T104" s="216" t="str">
        <f t="shared" si="4"/>
        <v/>
      </c>
      <c r="V104" s="216" t="str">
        <f t="shared" si="5"/>
        <v/>
      </c>
    </row>
    <row r="105" spans="2:28" x14ac:dyDescent="0.15">
      <c r="Q105" s="216" t="str">
        <f t="shared" si="3"/>
        <v/>
      </c>
      <c r="T105" s="216" t="str">
        <f t="shared" si="4"/>
        <v/>
      </c>
      <c r="V105" s="216" t="str">
        <f t="shared" si="5"/>
        <v/>
      </c>
    </row>
    <row r="106" spans="2:28" x14ac:dyDescent="0.15">
      <c r="Q106" s="216" t="str">
        <f t="shared" si="3"/>
        <v/>
      </c>
      <c r="T106" s="216" t="str">
        <f t="shared" si="4"/>
        <v/>
      </c>
      <c r="V106" s="216" t="str">
        <f t="shared" si="5"/>
        <v/>
      </c>
    </row>
    <row r="107" spans="2:28" x14ac:dyDescent="0.15">
      <c r="Q107" s="216" t="str">
        <f t="shared" si="3"/>
        <v/>
      </c>
      <c r="T107" s="216" t="str">
        <f t="shared" si="4"/>
        <v/>
      </c>
      <c r="V107" s="216" t="str">
        <f t="shared" si="5"/>
        <v/>
      </c>
    </row>
    <row r="108" spans="2:28" x14ac:dyDescent="0.15">
      <c r="Q108" s="216" t="str">
        <f t="shared" si="3"/>
        <v/>
      </c>
      <c r="T108" s="216" t="str">
        <f t="shared" si="4"/>
        <v/>
      </c>
      <c r="V108" s="216" t="str">
        <f t="shared" si="5"/>
        <v/>
      </c>
    </row>
    <row r="109" spans="2:28" x14ac:dyDescent="0.15">
      <c r="Q109" s="216" t="str">
        <f t="shared" si="3"/>
        <v/>
      </c>
      <c r="T109" s="216" t="str">
        <f t="shared" si="4"/>
        <v/>
      </c>
      <c r="V109" s="216" t="str">
        <f t="shared" si="5"/>
        <v/>
      </c>
    </row>
    <row r="110" spans="2:28" x14ac:dyDescent="0.15">
      <c r="Q110" s="216" t="str">
        <f t="shared" si="3"/>
        <v/>
      </c>
      <c r="T110" s="216" t="str">
        <f t="shared" si="4"/>
        <v/>
      </c>
      <c r="V110" s="216" t="str">
        <f t="shared" si="5"/>
        <v/>
      </c>
    </row>
    <row r="111" spans="2:28" x14ac:dyDescent="0.15">
      <c r="Q111" s="216" t="str">
        <f t="shared" si="3"/>
        <v/>
      </c>
      <c r="T111" s="216" t="str">
        <f t="shared" si="4"/>
        <v/>
      </c>
      <c r="V111" s="216" t="str">
        <f t="shared" si="5"/>
        <v/>
      </c>
    </row>
    <row r="112" spans="2:28" x14ac:dyDescent="0.15">
      <c r="Q112" s="216" t="str">
        <f t="shared" si="3"/>
        <v/>
      </c>
      <c r="T112" s="216" t="str">
        <f t="shared" si="4"/>
        <v/>
      </c>
      <c r="V112" s="216" t="str">
        <f t="shared" si="5"/>
        <v/>
      </c>
    </row>
    <row r="113" spans="17:22" x14ac:dyDescent="0.15">
      <c r="Q113" s="216" t="str">
        <f t="shared" si="3"/>
        <v/>
      </c>
      <c r="T113" s="216" t="str">
        <f t="shared" si="4"/>
        <v/>
      </c>
      <c r="V113" s="216" t="str">
        <f t="shared" si="5"/>
        <v/>
      </c>
    </row>
    <row r="114" spans="17:22" x14ac:dyDescent="0.15">
      <c r="Q114" s="216" t="str">
        <f t="shared" si="3"/>
        <v/>
      </c>
      <c r="T114" s="216" t="str">
        <f t="shared" si="4"/>
        <v/>
      </c>
      <c r="V114" s="216" t="str">
        <f t="shared" si="5"/>
        <v/>
      </c>
    </row>
    <row r="115" spans="17:22" x14ac:dyDescent="0.15">
      <c r="Q115" s="216" t="str">
        <f t="shared" si="3"/>
        <v/>
      </c>
      <c r="T115" s="216" t="str">
        <f t="shared" si="4"/>
        <v/>
      </c>
      <c r="V115" s="216" t="str">
        <f t="shared" si="5"/>
        <v/>
      </c>
    </row>
    <row r="116" spans="17:22" x14ac:dyDescent="0.15">
      <c r="Q116" s="216" t="str">
        <f t="shared" si="3"/>
        <v/>
      </c>
      <c r="T116" s="216" t="str">
        <f t="shared" si="4"/>
        <v/>
      </c>
      <c r="V116" s="216" t="str">
        <f t="shared" si="5"/>
        <v/>
      </c>
    </row>
    <row r="117" spans="17:22" x14ac:dyDescent="0.15">
      <c r="Q117" s="216" t="str">
        <f t="shared" si="3"/>
        <v/>
      </c>
      <c r="T117" s="216" t="str">
        <f t="shared" si="4"/>
        <v/>
      </c>
      <c r="V117" s="216" t="str">
        <f t="shared" si="5"/>
        <v/>
      </c>
    </row>
    <row r="118" spans="17:22" x14ac:dyDescent="0.15">
      <c r="Q118" s="216" t="str">
        <f t="shared" si="3"/>
        <v/>
      </c>
      <c r="T118" s="216" t="str">
        <f t="shared" si="4"/>
        <v/>
      </c>
      <c r="V118" s="216" t="str">
        <f t="shared" si="5"/>
        <v/>
      </c>
    </row>
    <row r="119" spans="17:22" x14ac:dyDescent="0.15">
      <c r="Q119" s="216" t="str">
        <f t="shared" si="3"/>
        <v/>
      </c>
      <c r="T119" s="216" t="str">
        <f t="shared" si="4"/>
        <v/>
      </c>
      <c r="V119" s="216" t="str">
        <f t="shared" si="5"/>
        <v/>
      </c>
    </row>
    <row r="120" spans="17:22" x14ac:dyDescent="0.15">
      <c r="Q120" s="216" t="str">
        <f t="shared" si="3"/>
        <v/>
      </c>
      <c r="T120" s="216" t="str">
        <f t="shared" si="4"/>
        <v/>
      </c>
      <c r="V120" s="216" t="str">
        <f t="shared" si="5"/>
        <v/>
      </c>
    </row>
    <row r="121" spans="17:22" x14ac:dyDescent="0.15">
      <c r="Q121" s="216" t="str">
        <f t="shared" si="3"/>
        <v/>
      </c>
      <c r="T121" s="216" t="str">
        <f t="shared" si="4"/>
        <v/>
      </c>
      <c r="V121" s="216" t="str">
        <f t="shared" si="5"/>
        <v/>
      </c>
    </row>
    <row r="122" spans="17:22" x14ac:dyDescent="0.15">
      <c r="Q122" s="216" t="str">
        <f t="shared" si="3"/>
        <v/>
      </c>
      <c r="T122" s="216" t="str">
        <f t="shared" si="4"/>
        <v/>
      </c>
      <c r="V122" s="216" t="str">
        <f t="shared" si="5"/>
        <v/>
      </c>
    </row>
    <row r="123" spans="17:22" x14ac:dyDescent="0.15">
      <c r="Q123" s="216" t="str">
        <f t="shared" si="3"/>
        <v/>
      </c>
      <c r="T123" s="216" t="str">
        <f t="shared" si="4"/>
        <v/>
      </c>
      <c r="V123" s="216" t="str">
        <f t="shared" si="5"/>
        <v/>
      </c>
    </row>
    <row r="124" spans="17:22" x14ac:dyDescent="0.15">
      <c r="Q124" s="216" t="str">
        <f t="shared" si="3"/>
        <v/>
      </c>
      <c r="T124" s="216" t="str">
        <f t="shared" si="4"/>
        <v/>
      </c>
      <c r="V124" s="216" t="str">
        <f t="shared" si="5"/>
        <v/>
      </c>
    </row>
    <row r="125" spans="17:22" x14ac:dyDescent="0.15">
      <c r="Q125" s="216" t="str">
        <f t="shared" si="3"/>
        <v/>
      </c>
      <c r="T125" s="216" t="str">
        <f t="shared" si="4"/>
        <v/>
      </c>
      <c r="V125" s="216" t="str">
        <f t="shared" si="5"/>
        <v/>
      </c>
    </row>
    <row r="126" spans="17:22" x14ac:dyDescent="0.15">
      <c r="Q126" s="216" t="str">
        <f t="shared" si="3"/>
        <v/>
      </c>
      <c r="T126" s="216" t="str">
        <f t="shared" si="4"/>
        <v/>
      </c>
      <c r="V126" s="216" t="str">
        <f t="shared" si="5"/>
        <v/>
      </c>
    </row>
    <row r="127" spans="17:22" x14ac:dyDescent="0.15">
      <c r="Q127" s="216" t="str">
        <f t="shared" si="3"/>
        <v/>
      </c>
      <c r="T127" s="216" t="str">
        <f t="shared" si="4"/>
        <v/>
      </c>
      <c r="V127" s="216" t="str">
        <f t="shared" si="5"/>
        <v/>
      </c>
    </row>
    <row r="128" spans="17:22" x14ac:dyDescent="0.15">
      <c r="Q128" s="216" t="str">
        <f t="shared" si="3"/>
        <v/>
      </c>
      <c r="T128" s="216" t="str">
        <f t="shared" si="4"/>
        <v/>
      </c>
      <c r="V128" s="216" t="str">
        <f t="shared" si="5"/>
        <v/>
      </c>
    </row>
    <row r="129" spans="17:22" x14ac:dyDescent="0.15">
      <c r="Q129" s="216" t="str">
        <f t="shared" si="3"/>
        <v/>
      </c>
      <c r="T129" s="216" t="str">
        <f t="shared" si="4"/>
        <v/>
      </c>
      <c r="V129" s="216" t="str">
        <f t="shared" si="5"/>
        <v/>
      </c>
    </row>
    <row r="130" spans="17:22" x14ac:dyDescent="0.15">
      <c r="Q130" s="216" t="str">
        <f t="shared" si="3"/>
        <v/>
      </c>
      <c r="T130" s="216" t="str">
        <f t="shared" si="4"/>
        <v/>
      </c>
      <c r="V130" s="216" t="str">
        <f t="shared" si="5"/>
        <v/>
      </c>
    </row>
    <row r="131" spans="17:22" x14ac:dyDescent="0.15">
      <c r="Q131" s="216" t="str">
        <f t="shared" si="3"/>
        <v/>
      </c>
      <c r="T131" s="216" t="str">
        <f t="shared" si="4"/>
        <v/>
      </c>
      <c r="V131" s="216" t="str">
        <f t="shared" si="5"/>
        <v/>
      </c>
    </row>
    <row r="132" spans="17:22" x14ac:dyDescent="0.15">
      <c r="Q132" s="216" t="str">
        <f t="shared" si="3"/>
        <v/>
      </c>
      <c r="T132" s="216" t="str">
        <f t="shared" si="4"/>
        <v/>
      </c>
      <c r="V132" s="216" t="str">
        <f t="shared" si="5"/>
        <v/>
      </c>
    </row>
    <row r="133" spans="17:22" x14ac:dyDescent="0.15">
      <c r="Q133" s="216" t="str">
        <f t="shared" si="3"/>
        <v/>
      </c>
      <c r="T133" s="216" t="str">
        <f t="shared" si="4"/>
        <v/>
      </c>
      <c r="V133" s="216" t="str">
        <f t="shared" si="5"/>
        <v/>
      </c>
    </row>
    <row r="134" spans="17:22" x14ac:dyDescent="0.15">
      <c r="Q134" s="216" t="str">
        <f t="shared" si="3"/>
        <v/>
      </c>
      <c r="T134" s="216" t="str">
        <f t="shared" si="4"/>
        <v/>
      </c>
      <c r="V134" s="216" t="str">
        <f t="shared" si="5"/>
        <v/>
      </c>
    </row>
    <row r="135" spans="17:22" x14ac:dyDescent="0.15">
      <c r="Q135" s="216" t="str">
        <f t="shared" si="3"/>
        <v/>
      </c>
      <c r="T135" s="216" t="str">
        <f t="shared" si="4"/>
        <v/>
      </c>
      <c r="V135" s="216" t="str">
        <f t="shared" si="5"/>
        <v/>
      </c>
    </row>
    <row r="136" spans="17:22" x14ac:dyDescent="0.15">
      <c r="Q136" s="216" t="str">
        <f t="shared" si="3"/>
        <v/>
      </c>
      <c r="T136" s="216" t="str">
        <f t="shared" si="4"/>
        <v/>
      </c>
      <c r="V136" s="216" t="str">
        <f t="shared" si="5"/>
        <v/>
      </c>
    </row>
    <row r="137" spans="17:22" x14ac:dyDescent="0.15">
      <c r="Q137" s="216" t="str">
        <f t="shared" si="3"/>
        <v/>
      </c>
      <c r="T137" s="216" t="str">
        <f t="shared" si="4"/>
        <v/>
      </c>
      <c r="V137" s="216" t="str">
        <f t="shared" si="5"/>
        <v/>
      </c>
    </row>
    <row r="138" spans="17:22" x14ac:dyDescent="0.15">
      <c r="Q138" s="216" t="str">
        <f t="shared" si="3"/>
        <v/>
      </c>
      <c r="T138" s="216" t="str">
        <f t="shared" si="4"/>
        <v/>
      </c>
      <c r="V138" s="216" t="str">
        <f t="shared" si="5"/>
        <v/>
      </c>
    </row>
    <row r="139" spans="17:22" x14ac:dyDescent="0.15">
      <c r="Q139" s="216" t="str">
        <f t="shared" si="3"/>
        <v/>
      </c>
      <c r="T139" s="216" t="str">
        <f t="shared" si="4"/>
        <v/>
      </c>
      <c r="V139" s="216" t="str">
        <f t="shared" si="5"/>
        <v/>
      </c>
    </row>
    <row r="140" spans="17:22" x14ac:dyDescent="0.15">
      <c r="Q140" s="216" t="str">
        <f t="shared" si="3"/>
        <v/>
      </c>
      <c r="T140" s="216" t="str">
        <f t="shared" si="4"/>
        <v/>
      </c>
      <c r="V140" s="216" t="str">
        <f t="shared" si="5"/>
        <v/>
      </c>
    </row>
    <row r="141" spans="17:22" x14ac:dyDescent="0.15">
      <c r="Q141" s="216" t="str">
        <f t="shared" si="3"/>
        <v/>
      </c>
      <c r="T141" s="216" t="str">
        <f t="shared" si="4"/>
        <v/>
      </c>
      <c r="V141" s="216" t="str">
        <f t="shared" si="5"/>
        <v/>
      </c>
    </row>
    <row r="142" spans="17:22" x14ac:dyDescent="0.15">
      <c r="Q142" s="216" t="str">
        <f t="shared" si="3"/>
        <v/>
      </c>
      <c r="T142" s="216" t="str">
        <f t="shared" si="4"/>
        <v/>
      </c>
      <c r="V142" s="216" t="str">
        <f t="shared" si="5"/>
        <v/>
      </c>
    </row>
    <row r="143" spans="17:22" x14ac:dyDescent="0.15">
      <c r="Q143" s="216" t="str">
        <f t="shared" si="3"/>
        <v/>
      </c>
      <c r="T143" s="216" t="str">
        <f t="shared" si="4"/>
        <v/>
      </c>
      <c r="V143" s="216" t="str">
        <f t="shared" si="5"/>
        <v/>
      </c>
    </row>
    <row r="144" spans="17:22" x14ac:dyDescent="0.15">
      <c r="Q144" s="216" t="str">
        <f t="shared" si="3"/>
        <v/>
      </c>
      <c r="T144" s="216" t="str">
        <f t="shared" si="4"/>
        <v/>
      </c>
      <c r="V144" s="216" t="str">
        <f t="shared" si="5"/>
        <v/>
      </c>
    </row>
    <row r="145" spans="17:22" x14ac:dyDescent="0.15">
      <c r="Q145" s="216" t="str">
        <f t="shared" si="3"/>
        <v/>
      </c>
      <c r="T145" s="216" t="str">
        <f t="shared" si="4"/>
        <v/>
      </c>
      <c r="V145" s="216" t="str">
        <f t="shared" si="5"/>
        <v/>
      </c>
    </row>
    <row r="146" spans="17:22" x14ac:dyDescent="0.15">
      <c r="Q146" s="216" t="str">
        <f t="shared" si="3"/>
        <v/>
      </c>
      <c r="T146" s="216" t="str">
        <f t="shared" si="4"/>
        <v/>
      </c>
      <c r="V146" s="216" t="str">
        <f t="shared" si="5"/>
        <v/>
      </c>
    </row>
    <row r="147" spans="17:22" x14ac:dyDescent="0.15">
      <c r="Q147" s="216" t="str">
        <f t="shared" si="3"/>
        <v/>
      </c>
      <c r="T147" s="216" t="str">
        <f t="shared" si="4"/>
        <v/>
      </c>
      <c r="V147" s="216" t="str">
        <f t="shared" si="5"/>
        <v/>
      </c>
    </row>
    <row r="148" spans="17:22" x14ac:dyDescent="0.15">
      <c r="Q148" s="216" t="str">
        <f t="shared" si="3"/>
        <v/>
      </c>
      <c r="T148" s="216" t="str">
        <f t="shared" si="4"/>
        <v/>
      </c>
      <c r="V148" s="216" t="str">
        <f t="shared" si="5"/>
        <v/>
      </c>
    </row>
    <row r="149" spans="17:22" x14ac:dyDescent="0.15">
      <c r="Q149" s="216" t="str">
        <f t="shared" si="3"/>
        <v/>
      </c>
      <c r="T149" s="216" t="str">
        <f t="shared" si="4"/>
        <v/>
      </c>
      <c r="V149" s="216" t="str">
        <f t="shared" si="5"/>
        <v/>
      </c>
    </row>
    <row r="150" spans="17:22" x14ac:dyDescent="0.15">
      <c r="Q150" s="216" t="str">
        <f t="shared" si="3"/>
        <v/>
      </c>
      <c r="T150" s="216" t="str">
        <f t="shared" si="4"/>
        <v/>
      </c>
      <c r="V150" s="216" t="str">
        <f t="shared" si="5"/>
        <v/>
      </c>
    </row>
    <row r="151" spans="17:22" x14ac:dyDescent="0.15">
      <c r="Q151" s="216" t="str">
        <f t="shared" si="3"/>
        <v/>
      </c>
      <c r="T151" s="216" t="str">
        <f t="shared" si="4"/>
        <v/>
      </c>
      <c r="V151" s="216" t="str">
        <f t="shared" si="5"/>
        <v/>
      </c>
    </row>
    <row r="152" spans="17:22" x14ac:dyDescent="0.15">
      <c r="Q152" s="216" t="str">
        <f t="shared" si="3"/>
        <v/>
      </c>
      <c r="T152" s="216" t="str">
        <f t="shared" si="4"/>
        <v/>
      </c>
      <c r="V152" s="216"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F2:JF61 J44:J492">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2:IW67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A2:A492 SS2:SS67">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2:JC67 WVO2:WVO67 WLS2:WLS67 WBW2:WBW67 VSA2:VSA67 VIE2:VIE67 UYI2:UYI67 UOM2:UOM67 UEQ2:UEQ67 TUU2:TUU67 TKY2:TKY67 TBC2:TBC67 SRG2:SRG67 SHK2:SHK67 RXO2:RXO67 RNS2:RNS67 RDW2:RDW67 QUA2:QUA67 QKE2:QKE67 QAI2:QAI67 PQM2:PQM67 PGQ2:PGQ67 OWU2:OWU67 OMY2:OMY67 ODC2:ODC67 NTG2:NTG67 NJK2:NJK67 MZO2:MZO67 MPS2:MPS67 MFW2:MFW67 LWA2:LWA67 LME2:LME67 LCI2:LCI67 KSM2:KSM67 KIQ2:KIQ67 JYU2:JYU67 JOY2:JOY67 JFC2:JFC67 IVG2:IVG67 ILK2:ILK67 IBO2:IBO67 HRS2:HRS67 HHW2:HHW67 GYA2:GYA67 GOE2:GOE67 GEI2:GEI67 FUM2:FUM67 FKQ2:FKQ67 FAU2:FAU67 EQY2:EQY67 EHC2:EHC67 DXG2:DXG67 DNK2:DNK67 DDO2:DDO67 CTS2:CTS67 CJW2:CJW67 CAA2:CAA67 BQE2:BQE67 BGI2:BGI67 AWM2:AWM67 AMQ2:AMQ67 ACU2:ACU67 G2:G492 SY2:SY67">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TA2:TA61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SW2:SX67 ACS2:ACT67 AMO2:AMP67 AWK2:AWL67 BGG2:BGH67 BQC2:BQD67 BZY2:BZZ67 CJU2:CJV67 CTQ2:CTR67 DDM2:DDN67 DNI2:DNJ67 DXE2:DXF67 EHA2:EHB67 EQW2:EQX67 FAS2:FAT67 FKO2:FKP67 FUK2:FUL67 GEG2:GEH67 GOC2:GOD67 GXY2:GXZ67 HHU2:HHV67 HRQ2:HRR67 IBM2:IBN67 ILI2:ILJ67 IVE2:IVF67 JFA2:JFB67 JOW2:JOX67 JYS2:JYT67 KIO2:KIP67 KSK2:KSL67 LCG2:LCH67 LMC2:LMD67 LVY2:LVZ67 MFU2:MFV67 MPQ2:MPR67 MZM2:MZN67 NJI2:NJJ67 NTE2:NTF67 ODA2:ODB67 OMW2:OMX67 OWS2:OWT67 PGO2:PGP67 PQK2:PQL67 QAG2:QAH67 QKC2:QKD67 QTY2:QTZ67 RDU2:RDV67 RNQ2:RNR67 RXM2:RXN67 SHI2:SHJ67 SRE2:SRF67 TBA2:TBB67 TKW2:TKX67 TUS2:TUT67 UEO2:UEP67 UOK2:UOL67 UYG2:UYH67 VIC2:VID67 VRY2:VRZ67 WBU2:WBV67 WLQ2:WLR67 WVM2:WVN67 JA2:JB67">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opLeftCell="A10" zoomScale="70" zoomScaleNormal="70" zoomScaleSheetLayoutView="100" workbookViewId="0">
      <selection activeCell="M37" sqref="M37"/>
    </sheetView>
  </sheetViews>
  <sheetFormatPr defaultRowHeight="13.5" x14ac:dyDescent="0.15"/>
  <cols>
    <col min="1" max="3" width="9" style="207"/>
    <col min="4" max="4" width="10.5" style="207" bestFit="1" customWidth="1"/>
    <col min="5" max="16" width="9" style="207"/>
    <col min="17" max="17" width="9" style="216"/>
    <col min="18" max="19" width="9" style="207"/>
    <col min="20" max="20" width="9" style="216"/>
    <col min="21" max="21" width="9" style="207"/>
    <col min="22" max="22" width="9" style="216"/>
    <col min="23" max="32" width="9" style="207"/>
    <col min="33" max="33" width="16.875" style="207" bestFit="1" customWidth="1"/>
    <col min="34" max="34" width="15.625" style="207" customWidth="1"/>
    <col min="35" max="39" width="9" style="142"/>
    <col min="40" max="16384" width="9" style="207"/>
  </cols>
  <sheetData>
    <row r="1" spans="1:53" ht="45" x14ac:dyDescent="0.15">
      <c r="A1" s="239" t="s">
        <v>0</v>
      </c>
      <c r="B1" s="201" t="s">
        <v>1</v>
      </c>
      <c r="C1" s="201" t="s">
        <v>489</v>
      </c>
      <c r="D1" s="202" t="s">
        <v>3</v>
      </c>
      <c r="E1" s="240" t="s">
        <v>4</v>
      </c>
      <c r="F1" s="240" t="s">
        <v>5</v>
      </c>
      <c r="G1" s="240" t="s">
        <v>6</v>
      </c>
      <c r="H1" s="240" t="s">
        <v>7</v>
      </c>
      <c r="I1" s="240" t="s">
        <v>8</v>
      </c>
      <c r="J1" s="240" t="s">
        <v>9</v>
      </c>
      <c r="K1" s="200" t="s">
        <v>10</v>
      </c>
      <c r="L1" s="202" t="s">
        <v>490</v>
      </c>
      <c r="M1" s="202" t="s">
        <v>12</v>
      </c>
      <c r="N1" s="202" t="s">
        <v>13</v>
      </c>
      <c r="O1" s="202" t="s">
        <v>491</v>
      </c>
      <c r="P1" s="202" t="s">
        <v>492</v>
      </c>
      <c r="Q1" s="203" t="s">
        <v>16</v>
      </c>
      <c r="R1" s="202" t="s">
        <v>493</v>
      </c>
      <c r="S1" s="202" t="s">
        <v>494</v>
      </c>
      <c r="T1" s="203" t="s">
        <v>19</v>
      </c>
      <c r="U1" s="204" t="s">
        <v>108</v>
      </c>
      <c r="V1" s="205" t="s">
        <v>20</v>
      </c>
      <c r="W1" s="202" t="s">
        <v>21</v>
      </c>
      <c r="X1" s="240" t="s">
        <v>22</v>
      </c>
      <c r="Y1" s="240" t="s">
        <v>23</v>
      </c>
      <c r="Z1" s="240" t="s">
        <v>24</v>
      </c>
      <c r="AA1" s="241" t="s">
        <v>25</v>
      </c>
      <c r="AB1" s="206" t="s">
        <v>495</v>
      </c>
      <c r="AE1" s="208" t="s">
        <v>0</v>
      </c>
      <c r="AF1" s="209"/>
      <c r="AG1" s="208" t="s">
        <v>4</v>
      </c>
      <c r="AH1" s="208" t="s">
        <v>5</v>
      </c>
      <c r="AI1" s="161"/>
      <c r="AJ1" s="162" t="s">
        <v>6</v>
      </c>
      <c r="AK1" s="161"/>
      <c r="AL1" s="163" t="s">
        <v>7</v>
      </c>
      <c r="AM1" s="161"/>
      <c r="AN1" s="210" t="s">
        <v>8</v>
      </c>
      <c r="AO1" s="209"/>
      <c r="AP1" s="210" t="s">
        <v>27</v>
      </c>
      <c r="AQ1" s="209"/>
      <c r="AR1" s="210" t="s">
        <v>10</v>
      </c>
      <c r="AS1" s="209"/>
      <c r="AT1" s="211" t="s">
        <v>28</v>
      </c>
      <c r="AU1" s="209"/>
      <c r="AV1" s="210" t="s">
        <v>29</v>
      </c>
      <c r="AX1" s="212" t="s">
        <v>496</v>
      </c>
      <c r="AY1" s="213" t="s">
        <v>497</v>
      </c>
      <c r="AZ1" s="213" t="s">
        <v>498</v>
      </c>
      <c r="BA1" s="214" t="s">
        <v>499</v>
      </c>
    </row>
    <row r="2" spans="1:53" x14ac:dyDescent="0.15">
      <c r="A2" s="164" t="s">
        <v>34</v>
      </c>
      <c r="B2" s="164" t="s">
        <v>500</v>
      </c>
      <c r="C2" s="164">
        <v>2018</v>
      </c>
      <c r="D2" s="165" t="s">
        <v>501</v>
      </c>
      <c r="E2" s="164" t="s">
        <v>502</v>
      </c>
      <c r="F2" s="164" t="s">
        <v>278</v>
      </c>
      <c r="G2" s="166" t="s">
        <v>36</v>
      </c>
      <c r="H2" s="167" t="s">
        <v>155</v>
      </c>
      <c r="I2" s="136" t="s">
        <v>153</v>
      </c>
      <c r="J2" s="199" t="s">
        <v>38</v>
      </c>
      <c r="K2" s="136" t="s">
        <v>154</v>
      </c>
      <c r="L2" s="168">
        <v>1</v>
      </c>
      <c r="M2" s="169"/>
      <c r="N2" s="169">
        <v>1</v>
      </c>
      <c r="O2" s="169">
        <v>0.8</v>
      </c>
      <c r="P2" s="169">
        <v>0.75</v>
      </c>
      <c r="Q2" s="170">
        <f t="shared" ref="Q2:Q65" si="0">IF(OR(O2="",P2=""),"",AVERAGE(O2,P2))</f>
        <v>0.77500000000000002</v>
      </c>
      <c r="R2" s="171">
        <v>14.5</v>
      </c>
      <c r="S2" s="167">
        <v>114</v>
      </c>
      <c r="T2" s="172">
        <f t="shared" ref="T2:T65" si="1">IF(H2="","",IF(OR(H2="GREEN",H2="GK"),IF(S2&gt;=$AX$2,VLOOKUP(S2,$AX$2:$AY$7,2,1),""),IF(S2&gt;=$AZ$2,VLOOKUP(S2,$AZ$2:$BA$7,2,1),"")))</f>
        <v>30</v>
      </c>
      <c r="U2" s="136">
        <v>84</v>
      </c>
      <c r="V2" s="172">
        <f t="shared" ref="V2:V65" si="2">IF(OR(N2="",U2="",T2=""),"",U2/N2*T2)</f>
        <v>2520</v>
      </c>
      <c r="W2" s="173">
        <v>4</v>
      </c>
      <c r="X2" s="174" t="s">
        <v>46</v>
      </c>
      <c r="Y2" s="174" t="s">
        <v>50</v>
      </c>
      <c r="Z2" s="174" t="s">
        <v>78</v>
      </c>
      <c r="AA2" s="175" t="s">
        <v>69</v>
      </c>
      <c r="AB2" s="55" t="s">
        <v>503</v>
      </c>
      <c r="AE2" s="217" t="s">
        <v>35</v>
      </c>
      <c r="AG2" s="242" t="s">
        <v>504</v>
      </c>
      <c r="AH2" s="242" t="s">
        <v>279</v>
      </c>
      <c r="AJ2" s="143" t="s">
        <v>36</v>
      </c>
      <c r="AL2" s="218" t="s">
        <v>127</v>
      </c>
      <c r="AN2" s="218" t="s">
        <v>37</v>
      </c>
      <c r="AO2" s="215"/>
      <c r="AP2" s="218" t="s">
        <v>38</v>
      </c>
      <c r="AQ2" s="215"/>
      <c r="AR2" s="218" t="s">
        <v>505</v>
      </c>
      <c r="AS2" s="215"/>
      <c r="AT2" s="218" t="s">
        <v>39</v>
      </c>
      <c r="AU2" s="215"/>
      <c r="AV2" s="247" t="s">
        <v>40</v>
      </c>
      <c r="AW2" s="215"/>
      <c r="AX2" s="219">
        <v>1</v>
      </c>
      <c r="AY2" s="220">
        <v>50</v>
      </c>
      <c r="AZ2" s="220">
        <v>1</v>
      </c>
      <c r="BA2" s="221">
        <v>50</v>
      </c>
    </row>
    <row r="3" spans="1:53" x14ac:dyDescent="0.15">
      <c r="A3" s="176" t="s">
        <v>34</v>
      </c>
      <c r="B3" s="176" t="s">
        <v>338</v>
      </c>
      <c r="C3" s="177">
        <v>2018</v>
      </c>
      <c r="D3" s="178" t="s">
        <v>344</v>
      </c>
      <c r="E3" s="176" t="s">
        <v>502</v>
      </c>
      <c r="F3" s="176" t="s">
        <v>278</v>
      </c>
      <c r="G3" s="179" t="s">
        <v>36</v>
      </c>
      <c r="H3" s="136" t="s">
        <v>155</v>
      </c>
      <c r="I3" s="136" t="s">
        <v>153</v>
      </c>
      <c r="J3" s="136" t="s">
        <v>38</v>
      </c>
      <c r="K3" s="136" t="s">
        <v>154</v>
      </c>
      <c r="L3" s="207">
        <v>2</v>
      </c>
      <c r="N3" s="207">
        <v>1</v>
      </c>
      <c r="O3" s="207">
        <v>0.65</v>
      </c>
      <c r="P3" s="234">
        <v>0.7</v>
      </c>
      <c r="Q3" s="180">
        <f t="shared" si="0"/>
        <v>0.67500000000000004</v>
      </c>
      <c r="R3" s="181">
        <v>14.9</v>
      </c>
      <c r="S3" s="181">
        <v>119</v>
      </c>
      <c r="T3" s="216">
        <f t="shared" si="1"/>
        <v>30</v>
      </c>
      <c r="U3" s="182">
        <v>84</v>
      </c>
      <c r="V3" s="183">
        <f t="shared" si="2"/>
        <v>2520</v>
      </c>
      <c r="W3" s="184">
        <v>4</v>
      </c>
      <c r="X3" s="185" t="s">
        <v>46</v>
      </c>
      <c r="Y3" s="185" t="s">
        <v>50</v>
      </c>
      <c r="Z3" s="185" t="s">
        <v>78</v>
      </c>
      <c r="AA3" s="175" t="s">
        <v>69</v>
      </c>
      <c r="AB3" s="55" t="s">
        <v>340</v>
      </c>
      <c r="AE3" s="222" t="s">
        <v>41</v>
      </c>
      <c r="AG3" s="242" t="s">
        <v>280</v>
      </c>
      <c r="AH3" s="242" t="s">
        <v>281</v>
      </c>
      <c r="AJ3" s="186" t="s">
        <v>42</v>
      </c>
      <c r="AL3" s="223" t="s">
        <v>128</v>
      </c>
      <c r="AN3" s="223" t="s">
        <v>43</v>
      </c>
      <c r="AP3" s="223" t="s">
        <v>44</v>
      </c>
      <c r="AR3" s="237" t="s">
        <v>45</v>
      </c>
      <c r="AT3" s="223" t="s">
        <v>46</v>
      </c>
      <c r="AV3" s="223" t="s">
        <v>47</v>
      </c>
      <c r="AX3" s="224">
        <v>72</v>
      </c>
      <c r="AY3" s="225">
        <v>46</v>
      </c>
      <c r="AZ3" s="225">
        <v>71</v>
      </c>
      <c r="BA3" s="226">
        <v>42</v>
      </c>
    </row>
    <row r="4" spans="1:53" x14ac:dyDescent="0.15">
      <c r="A4" s="176" t="s">
        <v>34</v>
      </c>
      <c r="B4" s="176" t="s">
        <v>338</v>
      </c>
      <c r="C4" s="176">
        <v>2018</v>
      </c>
      <c r="D4" s="178" t="s">
        <v>344</v>
      </c>
      <c r="E4" s="176" t="s">
        <v>502</v>
      </c>
      <c r="F4" s="176" t="s">
        <v>278</v>
      </c>
      <c r="G4" s="179" t="s">
        <v>36</v>
      </c>
      <c r="H4" s="136" t="s">
        <v>155</v>
      </c>
      <c r="I4" s="136" t="s">
        <v>153</v>
      </c>
      <c r="J4" s="136" t="s">
        <v>38</v>
      </c>
      <c r="K4" s="136" t="s">
        <v>154</v>
      </c>
      <c r="L4" s="207">
        <v>3</v>
      </c>
      <c r="N4" s="207">
        <v>1</v>
      </c>
      <c r="O4" s="207">
        <v>0.7</v>
      </c>
      <c r="P4" s="234">
        <v>0.6</v>
      </c>
      <c r="Q4" s="244">
        <f t="shared" si="0"/>
        <v>0.64999999999999991</v>
      </c>
      <c r="R4" s="187">
        <v>14.2</v>
      </c>
      <c r="S4" s="187">
        <v>123</v>
      </c>
      <c r="T4" s="216">
        <f t="shared" si="1"/>
        <v>30</v>
      </c>
      <c r="U4" s="188">
        <v>84</v>
      </c>
      <c r="V4" s="183">
        <f t="shared" si="2"/>
        <v>2520</v>
      </c>
      <c r="W4" s="189">
        <v>4</v>
      </c>
      <c r="X4" s="185" t="s">
        <v>46</v>
      </c>
      <c r="Y4" s="185" t="s">
        <v>50</v>
      </c>
      <c r="Z4" s="185" t="s">
        <v>78</v>
      </c>
      <c r="AA4" s="175" t="s">
        <v>69</v>
      </c>
      <c r="AB4" s="55" t="s">
        <v>340</v>
      </c>
      <c r="AE4" s="222" t="s">
        <v>34</v>
      </c>
      <c r="AG4" s="242" t="s">
        <v>506</v>
      </c>
      <c r="AH4" s="242" t="s">
        <v>282</v>
      </c>
      <c r="AJ4" s="190" t="s">
        <v>48</v>
      </c>
      <c r="AL4" s="227" t="s">
        <v>129</v>
      </c>
      <c r="AN4" s="228" t="s">
        <v>49</v>
      </c>
      <c r="AP4" s="223" t="s">
        <v>507</v>
      </c>
      <c r="AR4" s="237" t="s">
        <v>508</v>
      </c>
      <c r="AT4" s="228"/>
      <c r="AV4" s="223" t="s">
        <v>50</v>
      </c>
      <c r="AX4" s="224">
        <v>75</v>
      </c>
      <c r="AY4" s="225">
        <v>42</v>
      </c>
      <c r="AZ4" s="225">
        <v>76</v>
      </c>
      <c r="BA4" s="226">
        <v>39</v>
      </c>
    </row>
    <row r="5" spans="1:53" x14ac:dyDescent="0.15">
      <c r="A5" s="176" t="s">
        <v>34</v>
      </c>
      <c r="B5" s="176" t="s">
        <v>338</v>
      </c>
      <c r="C5" s="177">
        <v>2018</v>
      </c>
      <c r="D5" s="178" t="s">
        <v>344</v>
      </c>
      <c r="E5" s="176" t="s">
        <v>502</v>
      </c>
      <c r="F5" s="176" t="s">
        <v>278</v>
      </c>
      <c r="G5" s="179" t="s">
        <v>36</v>
      </c>
      <c r="H5" s="136" t="s">
        <v>165</v>
      </c>
      <c r="I5" s="136" t="s">
        <v>153</v>
      </c>
      <c r="J5" s="136" t="s">
        <v>38</v>
      </c>
      <c r="K5" s="136" t="s">
        <v>154</v>
      </c>
      <c r="L5" s="207">
        <v>1</v>
      </c>
      <c r="N5" s="207">
        <v>1</v>
      </c>
      <c r="O5" s="207">
        <v>0.8</v>
      </c>
      <c r="P5" s="236">
        <v>0.65</v>
      </c>
      <c r="Q5" s="244">
        <f t="shared" si="0"/>
        <v>0.72500000000000009</v>
      </c>
      <c r="R5" s="187">
        <v>15.3</v>
      </c>
      <c r="S5" s="187">
        <v>176</v>
      </c>
      <c r="T5" s="216">
        <f t="shared" si="1"/>
        <v>30</v>
      </c>
      <c r="U5" s="188">
        <v>138</v>
      </c>
      <c r="V5" s="183">
        <f t="shared" si="2"/>
        <v>4140</v>
      </c>
      <c r="W5" s="189">
        <v>4</v>
      </c>
      <c r="X5" s="185" t="s">
        <v>46</v>
      </c>
      <c r="Y5" s="185" t="s">
        <v>50</v>
      </c>
      <c r="Z5" s="185" t="s">
        <v>78</v>
      </c>
      <c r="AA5" s="175" t="s">
        <v>69</v>
      </c>
      <c r="AB5" s="55" t="s">
        <v>340</v>
      </c>
      <c r="AE5" s="222" t="s">
        <v>51</v>
      </c>
      <c r="AG5" s="242" t="s">
        <v>509</v>
      </c>
      <c r="AH5" s="242" t="s">
        <v>285</v>
      </c>
      <c r="AJ5" s="191"/>
      <c r="AL5" s="229" t="s">
        <v>510</v>
      </c>
      <c r="AN5" s="229" t="s">
        <v>511</v>
      </c>
      <c r="AP5" s="223" t="s">
        <v>512</v>
      </c>
      <c r="AR5" s="237" t="s">
        <v>54</v>
      </c>
      <c r="AT5" s="246"/>
      <c r="AV5" s="223" t="s">
        <v>55</v>
      </c>
      <c r="AX5" s="224">
        <v>84</v>
      </c>
      <c r="AY5" s="225">
        <v>39</v>
      </c>
      <c r="AZ5" s="225">
        <v>84</v>
      </c>
      <c r="BA5" s="226">
        <v>36</v>
      </c>
    </row>
    <row r="6" spans="1:53" x14ac:dyDescent="0.15">
      <c r="A6" s="176" t="s">
        <v>34</v>
      </c>
      <c r="B6" s="176" t="s">
        <v>338</v>
      </c>
      <c r="C6" s="176">
        <v>2018</v>
      </c>
      <c r="D6" s="178" t="s">
        <v>344</v>
      </c>
      <c r="E6" s="176" t="s">
        <v>502</v>
      </c>
      <c r="F6" s="176" t="s">
        <v>278</v>
      </c>
      <c r="G6" s="179" t="s">
        <v>36</v>
      </c>
      <c r="H6" s="136" t="s">
        <v>165</v>
      </c>
      <c r="I6" s="136" t="s">
        <v>153</v>
      </c>
      <c r="J6" s="136" t="s">
        <v>38</v>
      </c>
      <c r="K6" s="136" t="s">
        <v>154</v>
      </c>
      <c r="L6" s="207">
        <v>2</v>
      </c>
      <c r="N6" s="207">
        <v>1</v>
      </c>
      <c r="O6" s="207">
        <v>0.65</v>
      </c>
      <c r="P6" s="236">
        <v>0.7</v>
      </c>
      <c r="Q6" s="244">
        <f t="shared" si="0"/>
        <v>0.67500000000000004</v>
      </c>
      <c r="R6" s="187">
        <v>15.6</v>
      </c>
      <c r="S6" s="187">
        <v>151</v>
      </c>
      <c r="T6" s="216">
        <f t="shared" si="1"/>
        <v>30</v>
      </c>
      <c r="U6" s="188">
        <v>138</v>
      </c>
      <c r="V6" s="183">
        <f t="shared" si="2"/>
        <v>4140</v>
      </c>
      <c r="W6" s="189">
        <v>4</v>
      </c>
      <c r="X6" s="185" t="s">
        <v>46</v>
      </c>
      <c r="Y6" s="185" t="s">
        <v>50</v>
      </c>
      <c r="Z6" s="185" t="s">
        <v>78</v>
      </c>
      <c r="AA6" s="175" t="s">
        <v>69</v>
      </c>
      <c r="AB6" s="55" t="s">
        <v>340</v>
      </c>
      <c r="AE6" s="222" t="s">
        <v>56</v>
      </c>
      <c r="AG6" s="242" t="s">
        <v>513</v>
      </c>
      <c r="AH6" s="242" t="s">
        <v>284</v>
      </c>
      <c r="AL6" s="229" t="s">
        <v>514</v>
      </c>
      <c r="AN6" s="229" t="s">
        <v>515</v>
      </c>
      <c r="AP6" s="223" t="s">
        <v>53</v>
      </c>
      <c r="AR6" s="237" t="s">
        <v>59</v>
      </c>
      <c r="AV6" s="223" t="s">
        <v>60</v>
      </c>
      <c r="AX6" s="224">
        <v>97</v>
      </c>
      <c r="AY6" s="225">
        <v>36</v>
      </c>
      <c r="AZ6" s="225">
        <v>99</v>
      </c>
      <c r="BA6" s="226">
        <v>33</v>
      </c>
    </row>
    <row r="7" spans="1:53" x14ac:dyDescent="0.15">
      <c r="A7" s="176" t="s">
        <v>34</v>
      </c>
      <c r="B7" s="176" t="s">
        <v>338</v>
      </c>
      <c r="C7" s="177">
        <v>2018</v>
      </c>
      <c r="D7" s="178" t="s">
        <v>344</v>
      </c>
      <c r="E7" s="176" t="s">
        <v>502</v>
      </c>
      <c r="F7" s="176" t="s">
        <v>278</v>
      </c>
      <c r="G7" s="179" t="s">
        <v>36</v>
      </c>
      <c r="H7" s="136" t="s">
        <v>165</v>
      </c>
      <c r="I7" s="136" t="s">
        <v>153</v>
      </c>
      <c r="J7" s="136" t="s">
        <v>38</v>
      </c>
      <c r="K7" s="136" t="s">
        <v>154</v>
      </c>
      <c r="L7" s="207">
        <v>3</v>
      </c>
      <c r="N7" s="207">
        <v>1</v>
      </c>
      <c r="O7" s="207">
        <v>0.6</v>
      </c>
      <c r="P7" s="236">
        <v>0.55000000000000004</v>
      </c>
      <c r="Q7" s="244">
        <f t="shared" si="0"/>
        <v>0.57499999999999996</v>
      </c>
      <c r="R7" s="187">
        <v>15.7</v>
      </c>
      <c r="S7" s="187">
        <v>168</v>
      </c>
      <c r="T7" s="216">
        <f t="shared" si="1"/>
        <v>30</v>
      </c>
      <c r="U7" s="188">
        <v>138</v>
      </c>
      <c r="V7" s="183">
        <f t="shared" si="2"/>
        <v>4140</v>
      </c>
      <c r="W7" s="189">
        <v>4</v>
      </c>
      <c r="X7" s="185" t="s">
        <v>46</v>
      </c>
      <c r="Y7" s="185" t="s">
        <v>50</v>
      </c>
      <c r="Z7" s="185" t="s">
        <v>78</v>
      </c>
      <c r="AA7" s="175" t="s">
        <v>69</v>
      </c>
      <c r="AB7" s="55" t="s">
        <v>340</v>
      </c>
      <c r="AE7" s="222" t="s">
        <v>61</v>
      </c>
      <c r="AG7" s="242" t="s">
        <v>283</v>
      </c>
      <c r="AH7" s="242" t="s">
        <v>278</v>
      </c>
      <c r="AL7" s="234" t="s">
        <v>516</v>
      </c>
      <c r="AP7" s="223" t="s">
        <v>58</v>
      </c>
      <c r="AR7" s="230" t="s">
        <v>122</v>
      </c>
      <c r="AV7" s="223" t="s">
        <v>64</v>
      </c>
      <c r="AX7" s="224">
        <v>109</v>
      </c>
      <c r="AY7" s="225">
        <v>33</v>
      </c>
      <c r="AZ7" s="225">
        <v>113</v>
      </c>
      <c r="BA7" s="226">
        <v>30</v>
      </c>
    </row>
    <row r="8" spans="1:53" x14ac:dyDescent="0.15">
      <c r="A8" s="176" t="s">
        <v>34</v>
      </c>
      <c r="B8" s="176" t="s">
        <v>338</v>
      </c>
      <c r="C8" s="176">
        <v>2018</v>
      </c>
      <c r="D8" s="178" t="s">
        <v>344</v>
      </c>
      <c r="E8" s="177" t="s">
        <v>283</v>
      </c>
      <c r="F8" s="176" t="s">
        <v>284</v>
      </c>
      <c r="G8" s="179" t="s">
        <v>36</v>
      </c>
      <c r="H8" s="136" t="s">
        <v>155</v>
      </c>
      <c r="I8" s="136" t="s">
        <v>153</v>
      </c>
      <c r="J8" s="136" t="s">
        <v>38</v>
      </c>
      <c r="K8" s="136" t="s">
        <v>154</v>
      </c>
      <c r="L8" s="207">
        <v>1</v>
      </c>
      <c r="N8" s="207">
        <v>1</v>
      </c>
      <c r="O8" s="207">
        <v>0.5</v>
      </c>
      <c r="P8" s="207">
        <v>0.45</v>
      </c>
      <c r="Q8" s="244">
        <f t="shared" si="0"/>
        <v>0.47499999999999998</v>
      </c>
      <c r="R8" s="187">
        <v>15.2</v>
      </c>
      <c r="S8" s="187">
        <v>118</v>
      </c>
      <c r="T8" s="216">
        <f t="shared" si="1"/>
        <v>30</v>
      </c>
      <c r="U8" s="192">
        <v>138</v>
      </c>
      <c r="V8" s="183">
        <f t="shared" si="2"/>
        <v>4140</v>
      </c>
      <c r="W8" s="189">
        <v>2</v>
      </c>
      <c r="X8" s="185" t="s">
        <v>46</v>
      </c>
      <c r="Y8" s="193" t="s">
        <v>90</v>
      </c>
      <c r="Z8" s="185" t="s">
        <v>78</v>
      </c>
      <c r="AA8" s="175" t="s">
        <v>84</v>
      </c>
      <c r="AB8" s="55" t="s">
        <v>340</v>
      </c>
      <c r="AE8" s="222" t="s">
        <v>59</v>
      </c>
      <c r="AG8" s="242" t="s">
        <v>517</v>
      </c>
      <c r="AH8" s="242" t="s">
        <v>287</v>
      </c>
      <c r="AL8" s="234" t="s">
        <v>369</v>
      </c>
      <c r="AP8" s="223" t="s">
        <v>62</v>
      </c>
      <c r="AR8" s="237" t="s">
        <v>81</v>
      </c>
      <c r="AV8" s="223" t="s">
        <v>97</v>
      </c>
      <c r="AX8" s="224">
        <v>151</v>
      </c>
      <c r="AY8" s="225">
        <v>22</v>
      </c>
      <c r="AZ8" s="225">
        <v>152</v>
      </c>
      <c r="BA8" s="226">
        <v>18</v>
      </c>
    </row>
    <row r="9" spans="1:53" x14ac:dyDescent="0.15">
      <c r="A9" s="176" t="s">
        <v>34</v>
      </c>
      <c r="B9" s="176" t="s">
        <v>338</v>
      </c>
      <c r="C9" s="177">
        <v>2018</v>
      </c>
      <c r="D9" s="178" t="s">
        <v>344</v>
      </c>
      <c r="E9" s="177" t="s">
        <v>283</v>
      </c>
      <c r="F9" s="176" t="s">
        <v>284</v>
      </c>
      <c r="G9" s="179" t="s">
        <v>36</v>
      </c>
      <c r="H9" s="136" t="s">
        <v>155</v>
      </c>
      <c r="I9" s="136" t="s">
        <v>153</v>
      </c>
      <c r="J9" s="136" t="s">
        <v>38</v>
      </c>
      <c r="K9" s="136" t="s">
        <v>154</v>
      </c>
      <c r="L9" s="207">
        <v>2</v>
      </c>
      <c r="N9" s="207">
        <v>1</v>
      </c>
      <c r="O9" s="207">
        <v>0.6</v>
      </c>
      <c r="P9" s="207">
        <v>0.6</v>
      </c>
      <c r="Q9" s="244">
        <f t="shared" si="0"/>
        <v>0.6</v>
      </c>
      <c r="R9" s="187">
        <v>14.5</v>
      </c>
      <c r="S9" s="187">
        <v>117</v>
      </c>
      <c r="T9" s="216">
        <f t="shared" si="1"/>
        <v>30</v>
      </c>
      <c r="U9" s="192">
        <v>138</v>
      </c>
      <c r="V9" s="183">
        <f t="shared" si="2"/>
        <v>4140</v>
      </c>
      <c r="W9" s="189">
        <v>2</v>
      </c>
      <c r="X9" s="185" t="s">
        <v>46</v>
      </c>
      <c r="Y9" s="193" t="s">
        <v>90</v>
      </c>
      <c r="Z9" s="185" t="s">
        <v>78</v>
      </c>
      <c r="AA9" s="175" t="s">
        <v>84</v>
      </c>
      <c r="AB9" s="55" t="s">
        <v>340</v>
      </c>
      <c r="AE9" s="222" t="s">
        <v>98</v>
      </c>
      <c r="AG9" s="242" t="s">
        <v>518</v>
      </c>
      <c r="AH9" s="242" t="s">
        <v>288</v>
      </c>
      <c r="AL9" s="229"/>
      <c r="AP9" s="223" t="s">
        <v>95</v>
      </c>
      <c r="AR9" s="230" t="s">
        <v>89</v>
      </c>
      <c r="AV9" s="223" t="s">
        <v>102</v>
      </c>
      <c r="AX9" s="231">
        <v>180</v>
      </c>
      <c r="AY9" s="232">
        <v>18</v>
      </c>
      <c r="AZ9" s="232">
        <v>181</v>
      </c>
      <c r="BA9" s="233">
        <v>16</v>
      </c>
    </row>
    <row r="10" spans="1:53" x14ac:dyDescent="0.15">
      <c r="A10" s="176" t="s">
        <v>34</v>
      </c>
      <c r="B10" s="176" t="s">
        <v>338</v>
      </c>
      <c r="C10" s="176">
        <v>2018</v>
      </c>
      <c r="D10" s="178" t="s">
        <v>344</v>
      </c>
      <c r="E10" s="177" t="s">
        <v>283</v>
      </c>
      <c r="F10" s="176" t="s">
        <v>284</v>
      </c>
      <c r="G10" s="179" t="s">
        <v>36</v>
      </c>
      <c r="H10" s="136" t="s">
        <v>155</v>
      </c>
      <c r="I10" s="136" t="s">
        <v>153</v>
      </c>
      <c r="J10" s="136" t="s">
        <v>38</v>
      </c>
      <c r="K10" s="136" t="s">
        <v>154</v>
      </c>
      <c r="L10" s="207">
        <v>3</v>
      </c>
      <c r="N10" s="207">
        <v>1</v>
      </c>
      <c r="O10" s="207">
        <v>0.55000000000000004</v>
      </c>
      <c r="P10" s="207">
        <v>0.6</v>
      </c>
      <c r="Q10" s="244">
        <f t="shared" si="0"/>
        <v>0.57499999999999996</v>
      </c>
      <c r="R10" s="187">
        <v>15.1</v>
      </c>
      <c r="S10" s="187">
        <v>123</v>
      </c>
      <c r="T10" s="216">
        <f t="shared" si="1"/>
        <v>30</v>
      </c>
      <c r="U10" s="192">
        <v>138</v>
      </c>
      <c r="V10" s="183">
        <f t="shared" si="2"/>
        <v>4140</v>
      </c>
      <c r="W10" s="189">
        <v>2</v>
      </c>
      <c r="X10" s="185" t="s">
        <v>46</v>
      </c>
      <c r="Y10" s="193" t="s">
        <v>90</v>
      </c>
      <c r="Z10" s="185" t="s">
        <v>78</v>
      </c>
      <c r="AA10" s="175" t="s">
        <v>84</v>
      </c>
      <c r="AB10" s="55" t="s">
        <v>340</v>
      </c>
      <c r="AE10" s="222" t="s">
        <v>103</v>
      </c>
      <c r="AG10" s="242" t="s">
        <v>519</v>
      </c>
      <c r="AH10" s="242" t="s">
        <v>520</v>
      </c>
      <c r="AL10" s="234"/>
      <c r="AP10" s="223" t="s">
        <v>100</v>
      </c>
      <c r="AR10" s="230" t="s">
        <v>123</v>
      </c>
      <c r="AV10" s="223" t="s">
        <v>106</v>
      </c>
    </row>
    <row r="11" spans="1:53" x14ac:dyDescent="0.15">
      <c r="A11" s="176" t="s">
        <v>34</v>
      </c>
      <c r="B11" s="176" t="s">
        <v>338</v>
      </c>
      <c r="C11" s="177">
        <v>2018</v>
      </c>
      <c r="D11" s="178" t="s">
        <v>344</v>
      </c>
      <c r="E11" s="177" t="s">
        <v>283</v>
      </c>
      <c r="F11" s="176" t="s">
        <v>284</v>
      </c>
      <c r="G11" s="179" t="s">
        <v>36</v>
      </c>
      <c r="H11" s="136" t="s">
        <v>165</v>
      </c>
      <c r="I11" s="136" t="s">
        <v>153</v>
      </c>
      <c r="J11" s="136" t="s">
        <v>38</v>
      </c>
      <c r="K11" s="136" t="s">
        <v>154</v>
      </c>
      <c r="L11" s="207">
        <v>1</v>
      </c>
      <c r="N11" s="207">
        <v>1</v>
      </c>
      <c r="O11" s="207">
        <v>0.45</v>
      </c>
      <c r="P11" s="207">
        <v>0.5</v>
      </c>
      <c r="Q11" s="244">
        <f t="shared" si="0"/>
        <v>0.47499999999999998</v>
      </c>
      <c r="R11" s="187">
        <v>16.3</v>
      </c>
      <c r="S11" s="187">
        <v>150</v>
      </c>
      <c r="T11" s="216">
        <f t="shared" si="1"/>
        <v>30</v>
      </c>
      <c r="U11" s="192">
        <v>148</v>
      </c>
      <c r="V11" s="183">
        <f t="shared" si="2"/>
        <v>4440</v>
      </c>
      <c r="W11" s="189">
        <v>2</v>
      </c>
      <c r="X11" s="185" t="s">
        <v>46</v>
      </c>
      <c r="Y11" s="193" t="s">
        <v>90</v>
      </c>
      <c r="Z11" s="185" t="s">
        <v>78</v>
      </c>
      <c r="AA11" s="194" t="s">
        <v>84</v>
      </c>
      <c r="AB11" s="55" t="s">
        <v>340</v>
      </c>
      <c r="AE11" s="222" t="s">
        <v>65</v>
      </c>
      <c r="AG11" s="237"/>
      <c r="AH11" s="237"/>
      <c r="AL11" s="234"/>
      <c r="AP11" s="223" t="s">
        <v>104</v>
      </c>
      <c r="AR11" s="230" t="s">
        <v>87</v>
      </c>
      <c r="AV11" s="223" t="s">
        <v>69</v>
      </c>
    </row>
    <row r="12" spans="1:53" x14ac:dyDescent="0.15">
      <c r="A12" s="176" t="s">
        <v>34</v>
      </c>
      <c r="B12" s="176" t="s">
        <v>338</v>
      </c>
      <c r="C12" s="176">
        <v>2018</v>
      </c>
      <c r="D12" s="178" t="s">
        <v>344</v>
      </c>
      <c r="E12" s="177" t="s">
        <v>283</v>
      </c>
      <c r="F12" s="176" t="s">
        <v>284</v>
      </c>
      <c r="G12" s="179" t="s">
        <v>36</v>
      </c>
      <c r="H12" s="136" t="s">
        <v>165</v>
      </c>
      <c r="I12" s="136" t="s">
        <v>153</v>
      </c>
      <c r="J12" s="136" t="s">
        <v>38</v>
      </c>
      <c r="K12" s="136" t="s">
        <v>154</v>
      </c>
      <c r="L12" s="207">
        <v>2</v>
      </c>
      <c r="N12" s="207">
        <v>1</v>
      </c>
      <c r="O12" s="207">
        <v>0.4</v>
      </c>
      <c r="P12" s="207">
        <v>0.45</v>
      </c>
      <c r="Q12" s="244">
        <f t="shared" si="0"/>
        <v>0.42500000000000004</v>
      </c>
      <c r="R12" s="187">
        <v>16.7</v>
      </c>
      <c r="S12" s="187">
        <v>143</v>
      </c>
      <c r="T12" s="216">
        <f t="shared" si="1"/>
        <v>30</v>
      </c>
      <c r="U12" s="192">
        <v>148</v>
      </c>
      <c r="V12" s="183">
        <f t="shared" si="2"/>
        <v>4440</v>
      </c>
      <c r="W12" s="189">
        <v>2</v>
      </c>
      <c r="X12" s="185" t="s">
        <v>46</v>
      </c>
      <c r="Y12" s="193" t="s">
        <v>90</v>
      </c>
      <c r="Z12" s="185" t="s">
        <v>78</v>
      </c>
      <c r="AA12" s="194" t="s">
        <v>84</v>
      </c>
      <c r="AB12" s="55" t="s">
        <v>340</v>
      </c>
      <c r="AE12" s="222" t="s">
        <v>70</v>
      </c>
      <c r="AG12" s="237"/>
      <c r="AH12" s="237"/>
      <c r="AL12" s="234"/>
      <c r="AP12" s="223" t="s">
        <v>67</v>
      </c>
      <c r="AR12" s="230" t="s">
        <v>124</v>
      </c>
      <c r="AV12" s="223" t="s">
        <v>72</v>
      </c>
    </row>
    <row r="13" spans="1:53" x14ac:dyDescent="0.15">
      <c r="A13" s="176" t="s">
        <v>34</v>
      </c>
      <c r="B13" s="176" t="s">
        <v>338</v>
      </c>
      <c r="C13" s="177">
        <v>2018</v>
      </c>
      <c r="D13" s="178" t="s">
        <v>344</v>
      </c>
      <c r="E13" s="177" t="s">
        <v>283</v>
      </c>
      <c r="F13" s="176" t="s">
        <v>284</v>
      </c>
      <c r="G13" s="179" t="s">
        <v>36</v>
      </c>
      <c r="H13" s="136" t="s">
        <v>165</v>
      </c>
      <c r="I13" s="136" t="s">
        <v>153</v>
      </c>
      <c r="J13" s="136" t="s">
        <v>38</v>
      </c>
      <c r="K13" s="136" t="s">
        <v>154</v>
      </c>
      <c r="L13" s="207">
        <v>3</v>
      </c>
      <c r="N13" s="207">
        <v>1</v>
      </c>
      <c r="O13" s="207">
        <v>0.5</v>
      </c>
      <c r="P13" s="207">
        <v>0.4</v>
      </c>
      <c r="Q13" s="244">
        <f t="shared" si="0"/>
        <v>0.45</v>
      </c>
      <c r="R13" s="187">
        <v>16.399999999999999</v>
      </c>
      <c r="S13" s="187">
        <v>137</v>
      </c>
      <c r="T13" s="216">
        <f t="shared" si="1"/>
        <v>30</v>
      </c>
      <c r="U13" s="192">
        <v>148</v>
      </c>
      <c r="V13" s="183">
        <f t="shared" si="2"/>
        <v>4440</v>
      </c>
      <c r="W13" s="189">
        <v>2</v>
      </c>
      <c r="X13" s="185" t="s">
        <v>46</v>
      </c>
      <c r="Y13" s="193" t="s">
        <v>90</v>
      </c>
      <c r="Z13" s="185" t="s">
        <v>78</v>
      </c>
      <c r="AA13" s="194" t="s">
        <v>84</v>
      </c>
      <c r="AB13" s="55" t="s">
        <v>340</v>
      </c>
      <c r="AE13" s="222" t="s">
        <v>73</v>
      </c>
      <c r="AG13" s="195"/>
      <c r="AH13" s="195"/>
      <c r="AP13" s="223" t="s">
        <v>71</v>
      </c>
      <c r="AR13" s="230" t="s">
        <v>103</v>
      </c>
      <c r="AV13" s="223" t="s">
        <v>75</v>
      </c>
    </row>
    <row r="14" spans="1:53" x14ac:dyDescent="0.15">
      <c r="A14" s="176" t="s">
        <v>34</v>
      </c>
      <c r="B14" s="176" t="s">
        <v>338</v>
      </c>
      <c r="C14" s="176">
        <v>2018</v>
      </c>
      <c r="D14" s="178" t="s">
        <v>344</v>
      </c>
      <c r="E14" s="177" t="s">
        <v>286</v>
      </c>
      <c r="F14" s="176" t="s">
        <v>284</v>
      </c>
      <c r="G14" s="179" t="s">
        <v>36</v>
      </c>
      <c r="H14" s="136" t="s">
        <v>155</v>
      </c>
      <c r="I14" s="136" t="s">
        <v>153</v>
      </c>
      <c r="J14" s="136" t="s">
        <v>38</v>
      </c>
      <c r="K14" s="136" t="s">
        <v>154</v>
      </c>
      <c r="L14" s="207">
        <v>1</v>
      </c>
      <c r="N14" s="207">
        <v>1</v>
      </c>
      <c r="O14" s="207">
        <v>0.55000000000000004</v>
      </c>
      <c r="P14" s="207">
        <v>0.5</v>
      </c>
      <c r="Q14" s="244">
        <f t="shared" si="0"/>
        <v>0.52500000000000002</v>
      </c>
      <c r="R14" s="187">
        <v>15.4</v>
      </c>
      <c r="S14" s="187">
        <v>150</v>
      </c>
      <c r="T14" s="216">
        <f t="shared" si="1"/>
        <v>30</v>
      </c>
      <c r="U14" s="192">
        <v>98</v>
      </c>
      <c r="V14" s="183">
        <v>3582</v>
      </c>
      <c r="W14" s="189">
        <v>2</v>
      </c>
      <c r="X14" s="185" t="s">
        <v>46</v>
      </c>
      <c r="Y14" s="193" t="s">
        <v>78</v>
      </c>
      <c r="Z14" s="193" t="s">
        <v>69</v>
      </c>
      <c r="AA14" s="194" t="s">
        <v>90</v>
      </c>
      <c r="AB14" s="55" t="s">
        <v>340</v>
      </c>
      <c r="AC14" s="234"/>
      <c r="AE14" s="222" t="s">
        <v>76</v>
      </c>
      <c r="AG14" s="246"/>
      <c r="AH14" s="246"/>
      <c r="AP14" s="223" t="s">
        <v>74</v>
      </c>
      <c r="AR14" s="230" t="s">
        <v>125</v>
      </c>
      <c r="AV14" s="223" t="s">
        <v>78</v>
      </c>
    </row>
    <row r="15" spans="1:53" x14ac:dyDescent="0.15">
      <c r="A15" s="176" t="s">
        <v>34</v>
      </c>
      <c r="B15" s="176" t="s">
        <v>338</v>
      </c>
      <c r="C15" s="177">
        <v>2018</v>
      </c>
      <c r="D15" s="178" t="s">
        <v>344</v>
      </c>
      <c r="E15" s="177" t="s">
        <v>286</v>
      </c>
      <c r="F15" s="176" t="s">
        <v>284</v>
      </c>
      <c r="G15" s="179" t="s">
        <v>36</v>
      </c>
      <c r="H15" s="136" t="s">
        <v>155</v>
      </c>
      <c r="I15" s="136" t="s">
        <v>153</v>
      </c>
      <c r="J15" s="136" t="s">
        <v>38</v>
      </c>
      <c r="K15" s="136" t="s">
        <v>154</v>
      </c>
      <c r="L15" s="207">
        <v>2</v>
      </c>
      <c r="N15" s="207">
        <v>1</v>
      </c>
      <c r="O15" s="207">
        <v>0.5</v>
      </c>
      <c r="P15" s="207">
        <v>0.5</v>
      </c>
      <c r="Q15" s="244">
        <f t="shared" si="0"/>
        <v>0.5</v>
      </c>
      <c r="R15" s="187">
        <v>15.5</v>
      </c>
      <c r="S15" s="187">
        <v>142</v>
      </c>
      <c r="T15" s="216">
        <f t="shared" si="1"/>
        <v>30</v>
      </c>
      <c r="U15" s="192">
        <v>98</v>
      </c>
      <c r="V15" s="183">
        <f t="shared" si="2"/>
        <v>2940</v>
      </c>
      <c r="W15" s="189">
        <v>2</v>
      </c>
      <c r="X15" s="185" t="s">
        <v>46</v>
      </c>
      <c r="Y15" s="193" t="s">
        <v>78</v>
      </c>
      <c r="Z15" s="193" t="s">
        <v>69</v>
      </c>
      <c r="AA15" s="194" t="s">
        <v>90</v>
      </c>
      <c r="AB15" s="55" t="s">
        <v>340</v>
      </c>
      <c r="AC15" s="234"/>
      <c r="AE15" s="222" t="s">
        <v>79</v>
      </c>
      <c r="AP15" s="223" t="s">
        <v>77</v>
      </c>
      <c r="AR15" s="230" t="s">
        <v>94</v>
      </c>
      <c r="AV15" s="223" t="s">
        <v>107</v>
      </c>
    </row>
    <row r="16" spans="1:53" x14ac:dyDescent="0.15">
      <c r="A16" s="176" t="s">
        <v>34</v>
      </c>
      <c r="B16" s="176" t="s">
        <v>338</v>
      </c>
      <c r="C16" s="176">
        <v>2018</v>
      </c>
      <c r="D16" s="178" t="s">
        <v>344</v>
      </c>
      <c r="E16" s="177" t="s">
        <v>286</v>
      </c>
      <c r="F16" s="176" t="s">
        <v>284</v>
      </c>
      <c r="G16" s="179" t="s">
        <v>36</v>
      </c>
      <c r="H16" s="136" t="s">
        <v>155</v>
      </c>
      <c r="I16" s="136" t="s">
        <v>153</v>
      </c>
      <c r="J16" s="136" t="s">
        <v>38</v>
      </c>
      <c r="K16" s="136" t="s">
        <v>154</v>
      </c>
      <c r="L16" s="207">
        <v>3</v>
      </c>
      <c r="N16" s="207">
        <v>1</v>
      </c>
      <c r="O16" s="207">
        <v>0.55000000000000004</v>
      </c>
      <c r="P16" s="207">
        <v>0.5</v>
      </c>
      <c r="Q16" s="244">
        <f t="shared" si="0"/>
        <v>0.52500000000000002</v>
      </c>
      <c r="R16" s="187">
        <v>15.3</v>
      </c>
      <c r="S16" s="187">
        <v>149</v>
      </c>
      <c r="T16" s="216">
        <f t="shared" si="1"/>
        <v>30</v>
      </c>
      <c r="U16" s="192">
        <v>98</v>
      </c>
      <c r="V16" s="183">
        <f t="shared" si="2"/>
        <v>2940</v>
      </c>
      <c r="W16" s="189">
        <v>2</v>
      </c>
      <c r="X16" s="185" t="s">
        <v>46</v>
      </c>
      <c r="Y16" s="193" t="s">
        <v>78</v>
      </c>
      <c r="Z16" s="193" t="s">
        <v>69</v>
      </c>
      <c r="AA16" s="194" t="s">
        <v>90</v>
      </c>
      <c r="AB16" s="55" t="s">
        <v>340</v>
      </c>
      <c r="AC16" s="234"/>
      <c r="AE16" s="222" t="s">
        <v>82</v>
      </c>
      <c r="AP16" s="223" t="s">
        <v>80</v>
      </c>
      <c r="AR16" s="237" t="s">
        <v>63</v>
      </c>
      <c r="AV16" s="223" t="s">
        <v>84</v>
      </c>
    </row>
    <row r="17" spans="1:48" x14ac:dyDescent="0.15">
      <c r="A17" s="176" t="s">
        <v>34</v>
      </c>
      <c r="B17" s="176" t="s">
        <v>338</v>
      </c>
      <c r="C17" s="177">
        <v>2018</v>
      </c>
      <c r="D17" s="178" t="s">
        <v>344</v>
      </c>
      <c r="E17" s="177" t="s">
        <v>286</v>
      </c>
      <c r="F17" s="176" t="s">
        <v>284</v>
      </c>
      <c r="G17" s="179" t="s">
        <v>36</v>
      </c>
      <c r="H17" s="136" t="s">
        <v>165</v>
      </c>
      <c r="I17" s="136" t="s">
        <v>153</v>
      </c>
      <c r="J17" s="136" t="s">
        <v>38</v>
      </c>
      <c r="K17" s="136" t="s">
        <v>154</v>
      </c>
      <c r="L17" s="207">
        <v>1</v>
      </c>
      <c r="N17" s="207">
        <v>1</v>
      </c>
      <c r="O17" s="207">
        <v>0.65</v>
      </c>
      <c r="P17" s="207">
        <v>0.7</v>
      </c>
      <c r="Q17" s="244">
        <f t="shared" si="0"/>
        <v>0.67500000000000004</v>
      </c>
      <c r="R17" s="187">
        <v>15.2</v>
      </c>
      <c r="S17" s="187">
        <v>146</v>
      </c>
      <c r="T17" s="216">
        <f t="shared" si="1"/>
        <v>30</v>
      </c>
      <c r="U17" s="192">
        <v>158</v>
      </c>
      <c r="V17" s="183">
        <f t="shared" si="2"/>
        <v>4740</v>
      </c>
      <c r="W17" s="189">
        <v>2</v>
      </c>
      <c r="X17" s="185" t="s">
        <v>46</v>
      </c>
      <c r="Y17" s="193" t="s">
        <v>78</v>
      </c>
      <c r="Z17" s="193" t="s">
        <v>69</v>
      </c>
      <c r="AA17" s="194" t="s">
        <v>90</v>
      </c>
      <c r="AB17" s="55" t="s">
        <v>340</v>
      </c>
      <c r="AC17" s="234"/>
      <c r="AE17" s="222" t="s">
        <v>85</v>
      </c>
      <c r="AP17" s="238" t="s">
        <v>110</v>
      </c>
      <c r="AR17" s="237" t="s">
        <v>96</v>
      </c>
      <c r="AV17" s="223" t="s">
        <v>86</v>
      </c>
    </row>
    <row r="18" spans="1:48" x14ac:dyDescent="0.15">
      <c r="A18" s="176" t="s">
        <v>34</v>
      </c>
      <c r="B18" s="176" t="s">
        <v>338</v>
      </c>
      <c r="C18" s="176">
        <v>2018</v>
      </c>
      <c r="D18" s="178" t="s">
        <v>344</v>
      </c>
      <c r="E18" s="177" t="s">
        <v>286</v>
      </c>
      <c r="F18" s="176" t="s">
        <v>284</v>
      </c>
      <c r="G18" s="179" t="s">
        <v>36</v>
      </c>
      <c r="H18" s="136" t="s">
        <v>165</v>
      </c>
      <c r="I18" s="136" t="s">
        <v>153</v>
      </c>
      <c r="J18" s="136" t="s">
        <v>38</v>
      </c>
      <c r="K18" s="136" t="s">
        <v>154</v>
      </c>
      <c r="L18" s="207">
        <v>2</v>
      </c>
      <c r="N18" s="207">
        <v>1</v>
      </c>
      <c r="O18" s="207">
        <v>0.7</v>
      </c>
      <c r="P18" s="207">
        <v>0.6</v>
      </c>
      <c r="Q18" s="244">
        <f t="shared" si="0"/>
        <v>0.64999999999999991</v>
      </c>
      <c r="R18" s="187">
        <v>15.8</v>
      </c>
      <c r="S18" s="187">
        <v>147</v>
      </c>
      <c r="T18" s="216">
        <f t="shared" si="1"/>
        <v>30</v>
      </c>
      <c r="U18" s="192">
        <v>158</v>
      </c>
      <c r="V18" s="183">
        <f t="shared" si="2"/>
        <v>4740</v>
      </c>
      <c r="W18" s="189">
        <v>2</v>
      </c>
      <c r="X18" s="185" t="s">
        <v>46</v>
      </c>
      <c r="Y18" s="193" t="s">
        <v>78</v>
      </c>
      <c r="Z18" s="193" t="s">
        <v>69</v>
      </c>
      <c r="AA18" s="194" t="s">
        <v>90</v>
      </c>
      <c r="AB18" s="55" t="s">
        <v>340</v>
      </c>
      <c r="AC18" s="234"/>
      <c r="AE18" s="222" t="s">
        <v>87</v>
      </c>
      <c r="AP18" s="238" t="s">
        <v>111</v>
      </c>
      <c r="AR18" s="237" t="s">
        <v>101</v>
      </c>
      <c r="AV18" s="223" t="s">
        <v>88</v>
      </c>
    </row>
    <row r="19" spans="1:48" x14ac:dyDescent="0.15">
      <c r="A19" s="176" t="s">
        <v>34</v>
      </c>
      <c r="B19" s="176" t="s">
        <v>338</v>
      </c>
      <c r="C19" s="177">
        <v>2018</v>
      </c>
      <c r="D19" s="178" t="s">
        <v>344</v>
      </c>
      <c r="E19" s="177" t="s">
        <v>286</v>
      </c>
      <c r="F19" s="176" t="s">
        <v>284</v>
      </c>
      <c r="G19" s="179" t="s">
        <v>36</v>
      </c>
      <c r="H19" s="136" t="s">
        <v>165</v>
      </c>
      <c r="I19" s="136" t="s">
        <v>153</v>
      </c>
      <c r="J19" s="136" t="s">
        <v>38</v>
      </c>
      <c r="K19" s="136" t="s">
        <v>154</v>
      </c>
      <c r="L19" s="207">
        <v>3</v>
      </c>
      <c r="N19" s="207">
        <v>1</v>
      </c>
      <c r="O19" s="207">
        <v>0.8</v>
      </c>
      <c r="P19" s="207">
        <v>0.7</v>
      </c>
      <c r="Q19" s="244">
        <f t="shared" si="0"/>
        <v>0.75</v>
      </c>
      <c r="R19" s="187">
        <v>15.1</v>
      </c>
      <c r="S19" s="187">
        <v>148</v>
      </c>
      <c r="T19" s="216">
        <f t="shared" si="1"/>
        <v>30</v>
      </c>
      <c r="U19" s="192">
        <v>158</v>
      </c>
      <c r="V19" s="183">
        <f t="shared" si="2"/>
        <v>4740</v>
      </c>
      <c r="W19" s="189">
        <v>2</v>
      </c>
      <c r="X19" s="185" t="s">
        <v>46</v>
      </c>
      <c r="Y19" s="193" t="s">
        <v>78</v>
      </c>
      <c r="Z19" s="193" t="s">
        <v>69</v>
      </c>
      <c r="AA19" s="194" t="s">
        <v>90</v>
      </c>
      <c r="AB19" s="55" t="s">
        <v>340</v>
      </c>
      <c r="AC19" s="234"/>
      <c r="AE19" s="235" t="s">
        <v>89</v>
      </c>
      <c r="AP19" s="238" t="s">
        <v>112</v>
      </c>
      <c r="AR19" s="230" t="s">
        <v>126</v>
      </c>
      <c r="AV19" s="223" t="s">
        <v>90</v>
      </c>
    </row>
    <row r="20" spans="1:48" x14ac:dyDescent="0.15">
      <c r="A20" s="176" t="s">
        <v>34</v>
      </c>
      <c r="B20" s="176" t="s">
        <v>338</v>
      </c>
      <c r="C20" s="176">
        <v>2018</v>
      </c>
      <c r="D20" s="178" t="s">
        <v>344</v>
      </c>
      <c r="E20" s="177" t="s">
        <v>502</v>
      </c>
      <c r="F20" s="176" t="s">
        <v>521</v>
      </c>
      <c r="G20" s="179" t="s">
        <v>36</v>
      </c>
      <c r="H20" s="136" t="s">
        <v>155</v>
      </c>
      <c r="I20" s="136" t="s">
        <v>153</v>
      </c>
      <c r="J20" s="136" t="s">
        <v>38</v>
      </c>
      <c r="K20" s="136" t="s">
        <v>154</v>
      </c>
      <c r="L20" s="207">
        <v>1</v>
      </c>
      <c r="N20" s="207">
        <v>1</v>
      </c>
      <c r="O20" s="207">
        <v>0.75</v>
      </c>
      <c r="P20" s="207">
        <v>0.7</v>
      </c>
      <c r="Q20" s="244">
        <f t="shared" si="0"/>
        <v>0.72499999999999998</v>
      </c>
      <c r="R20" s="187">
        <v>14.5</v>
      </c>
      <c r="S20" s="196">
        <v>126</v>
      </c>
      <c r="T20" s="216">
        <f t="shared" si="1"/>
        <v>30</v>
      </c>
      <c r="U20" s="192">
        <v>84</v>
      </c>
      <c r="V20" s="183">
        <f t="shared" si="2"/>
        <v>2520</v>
      </c>
      <c r="W20" s="189">
        <v>4</v>
      </c>
      <c r="X20" s="185" t="s">
        <v>46</v>
      </c>
      <c r="Y20" s="193" t="s">
        <v>78</v>
      </c>
      <c r="Z20" s="193" t="s">
        <v>69</v>
      </c>
      <c r="AA20" s="194" t="s">
        <v>84</v>
      </c>
      <c r="AB20" s="55" t="s">
        <v>340</v>
      </c>
      <c r="AE20" s="235"/>
      <c r="AP20" s="238" t="s">
        <v>113</v>
      </c>
      <c r="AR20" s="237" t="s">
        <v>105</v>
      </c>
      <c r="AV20" s="227" t="s">
        <v>370</v>
      </c>
    </row>
    <row r="21" spans="1:48" x14ac:dyDescent="0.15">
      <c r="A21" s="176" t="s">
        <v>34</v>
      </c>
      <c r="B21" s="176" t="s">
        <v>338</v>
      </c>
      <c r="C21" s="177">
        <v>2018</v>
      </c>
      <c r="D21" s="178" t="s">
        <v>344</v>
      </c>
      <c r="E21" s="177" t="s">
        <v>502</v>
      </c>
      <c r="F21" s="176" t="s">
        <v>521</v>
      </c>
      <c r="G21" s="179" t="s">
        <v>36</v>
      </c>
      <c r="H21" s="136" t="s">
        <v>155</v>
      </c>
      <c r="I21" s="136" t="s">
        <v>153</v>
      </c>
      <c r="J21" s="136" t="s">
        <v>38</v>
      </c>
      <c r="K21" s="136" t="s">
        <v>154</v>
      </c>
      <c r="L21" s="207">
        <v>2</v>
      </c>
      <c r="N21" s="207">
        <v>1</v>
      </c>
      <c r="O21" s="207">
        <v>0.75</v>
      </c>
      <c r="P21" s="207">
        <v>0.65</v>
      </c>
      <c r="Q21" s="244">
        <f t="shared" si="0"/>
        <v>0.7</v>
      </c>
      <c r="R21" s="196">
        <v>15</v>
      </c>
      <c r="S21" s="187">
        <v>115</v>
      </c>
      <c r="T21" s="216">
        <f t="shared" si="1"/>
        <v>30</v>
      </c>
      <c r="U21" s="192">
        <v>84</v>
      </c>
      <c r="V21" s="183">
        <f t="shared" si="2"/>
        <v>2520</v>
      </c>
      <c r="W21" s="189">
        <v>4</v>
      </c>
      <c r="X21" s="185" t="s">
        <v>46</v>
      </c>
      <c r="Y21" s="193" t="s">
        <v>78</v>
      </c>
      <c r="Z21" s="193" t="s">
        <v>69</v>
      </c>
      <c r="AA21" s="194" t="s">
        <v>84</v>
      </c>
      <c r="AB21" s="55" t="s">
        <v>340</v>
      </c>
      <c r="AE21" s="228"/>
      <c r="AP21" s="238" t="s">
        <v>114</v>
      </c>
      <c r="AR21" s="237" t="s">
        <v>68</v>
      </c>
      <c r="AV21" s="227" t="s">
        <v>371</v>
      </c>
    </row>
    <row r="22" spans="1:48" x14ac:dyDescent="0.15">
      <c r="A22" s="176" t="s">
        <v>34</v>
      </c>
      <c r="B22" s="176" t="s">
        <v>338</v>
      </c>
      <c r="C22" s="176">
        <v>2018</v>
      </c>
      <c r="D22" s="178" t="s">
        <v>344</v>
      </c>
      <c r="E22" s="177" t="s">
        <v>502</v>
      </c>
      <c r="F22" s="176" t="s">
        <v>521</v>
      </c>
      <c r="G22" s="179" t="s">
        <v>36</v>
      </c>
      <c r="H22" s="136" t="s">
        <v>155</v>
      </c>
      <c r="I22" s="136" t="s">
        <v>153</v>
      </c>
      <c r="J22" s="136" t="s">
        <v>38</v>
      </c>
      <c r="K22" s="136" t="s">
        <v>154</v>
      </c>
      <c r="L22" s="207">
        <v>3</v>
      </c>
      <c r="N22" s="207">
        <v>1</v>
      </c>
      <c r="O22" s="207">
        <v>0.8</v>
      </c>
      <c r="P22" s="234">
        <v>0.8</v>
      </c>
      <c r="Q22" s="244">
        <f t="shared" si="0"/>
        <v>0.8</v>
      </c>
      <c r="R22" s="187">
        <v>14.3</v>
      </c>
      <c r="S22" s="187">
        <v>118</v>
      </c>
      <c r="T22" s="216">
        <f t="shared" si="1"/>
        <v>30</v>
      </c>
      <c r="U22" s="192">
        <v>84</v>
      </c>
      <c r="V22" s="183">
        <f t="shared" si="2"/>
        <v>2520</v>
      </c>
      <c r="W22" s="189">
        <v>4</v>
      </c>
      <c r="X22" s="185" t="s">
        <v>46</v>
      </c>
      <c r="Y22" s="193" t="s">
        <v>78</v>
      </c>
      <c r="Z22" s="193" t="s">
        <v>69</v>
      </c>
      <c r="AA22" s="194" t="s">
        <v>84</v>
      </c>
      <c r="AB22" s="55" t="s">
        <v>340</v>
      </c>
      <c r="AP22" s="238" t="s">
        <v>115</v>
      </c>
      <c r="AR22" s="237" t="s">
        <v>83</v>
      </c>
      <c r="AV22" s="223"/>
    </row>
    <row r="23" spans="1:48" x14ac:dyDescent="0.15">
      <c r="A23" s="176" t="s">
        <v>34</v>
      </c>
      <c r="B23" s="176" t="s">
        <v>338</v>
      </c>
      <c r="C23" s="177">
        <v>2018</v>
      </c>
      <c r="D23" s="178" t="s">
        <v>344</v>
      </c>
      <c r="E23" s="177" t="s">
        <v>502</v>
      </c>
      <c r="F23" s="176" t="s">
        <v>521</v>
      </c>
      <c r="G23" s="179" t="s">
        <v>36</v>
      </c>
      <c r="H23" s="136" t="s">
        <v>165</v>
      </c>
      <c r="I23" s="136" t="s">
        <v>153</v>
      </c>
      <c r="J23" s="136" t="s">
        <v>38</v>
      </c>
      <c r="K23" s="136" t="s">
        <v>154</v>
      </c>
      <c r="L23" s="207">
        <v>1</v>
      </c>
      <c r="N23" s="207">
        <v>1</v>
      </c>
      <c r="O23" s="207">
        <v>0.6</v>
      </c>
      <c r="P23" s="234">
        <v>0.55000000000000004</v>
      </c>
      <c r="Q23" s="244">
        <f t="shared" si="0"/>
        <v>0.57499999999999996</v>
      </c>
      <c r="R23" s="187">
        <v>15.8</v>
      </c>
      <c r="S23" s="187">
        <v>154</v>
      </c>
      <c r="T23" s="216">
        <f t="shared" si="1"/>
        <v>30</v>
      </c>
      <c r="U23" s="192">
        <v>138</v>
      </c>
      <c r="V23" s="183">
        <f t="shared" si="2"/>
        <v>4140</v>
      </c>
      <c r="W23" s="189">
        <v>4</v>
      </c>
      <c r="X23" s="185" t="s">
        <v>46</v>
      </c>
      <c r="Y23" s="193" t="s">
        <v>78</v>
      </c>
      <c r="Z23" s="193" t="s">
        <v>69</v>
      </c>
      <c r="AA23" s="194" t="s">
        <v>84</v>
      </c>
      <c r="AB23" s="55" t="s">
        <v>340</v>
      </c>
      <c r="AP23" s="238" t="s">
        <v>397</v>
      </c>
      <c r="AR23" s="237" t="s">
        <v>61</v>
      </c>
      <c r="AV23" s="223"/>
    </row>
    <row r="24" spans="1:48" x14ac:dyDescent="0.15">
      <c r="A24" s="176" t="s">
        <v>34</v>
      </c>
      <c r="B24" s="176" t="s">
        <v>338</v>
      </c>
      <c r="C24" s="176">
        <v>2018</v>
      </c>
      <c r="D24" s="178" t="s">
        <v>344</v>
      </c>
      <c r="E24" s="177" t="s">
        <v>502</v>
      </c>
      <c r="F24" s="176" t="s">
        <v>521</v>
      </c>
      <c r="G24" s="179" t="s">
        <v>36</v>
      </c>
      <c r="H24" s="136" t="s">
        <v>165</v>
      </c>
      <c r="I24" s="136" t="s">
        <v>153</v>
      </c>
      <c r="J24" s="136" t="s">
        <v>38</v>
      </c>
      <c r="K24" s="136" t="s">
        <v>154</v>
      </c>
      <c r="L24" s="207">
        <v>2</v>
      </c>
      <c r="N24" s="207">
        <v>1</v>
      </c>
      <c r="O24" s="207">
        <v>0.55000000000000004</v>
      </c>
      <c r="P24" s="234">
        <v>0.6</v>
      </c>
      <c r="Q24" s="244">
        <f t="shared" si="0"/>
        <v>0.57499999999999996</v>
      </c>
      <c r="R24" s="187">
        <v>16</v>
      </c>
      <c r="S24" s="187">
        <v>171</v>
      </c>
      <c r="T24" s="216">
        <f t="shared" si="1"/>
        <v>30</v>
      </c>
      <c r="U24" s="192">
        <v>138</v>
      </c>
      <c r="V24" s="183">
        <f t="shared" si="2"/>
        <v>4140</v>
      </c>
      <c r="W24" s="189">
        <v>4</v>
      </c>
      <c r="X24" s="185" t="s">
        <v>46</v>
      </c>
      <c r="Y24" s="193" t="s">
        <v>78</v>
      </c>
      <c r="Z24" s="193" t="s">
        <v>69</v>
      </c>
      <c r="AA24" s="194" t="s">
        <v>84</v>
      </c>
      <c r="AB24" s="55" t="s">
        <v>340</v>
      </c>
      <c r="AP24" s="238" t="s">
        <v>398</v>
      </c>
      <c r="AR24" s="237" t="s">
        <v>91</v>
      </c>
      <c r="AV24" s="223"/>
    </row>
    <row r="25" spans="1:48" x14ac:dyDescent="0.15">
      <c r="A25" s="176" t="s">
        <v>34</v>
      </c>
      <c r="B25" s="176" t="s">
        <v>338</v>
      </c>
      <c r="C25" s="177">
        <v>2018</v>
      </c>
      <c r="D25" s="178" t="s">
        <v>344</v>
      </c>
      <c r="E25" s="177" t="s">
        <v>502</v>
      </c>
      <c r="F25" s="176" t="s">
        <v>521</v>
      </c>
      <c r="G25" s="179" t="s">
        <v>36</v>
      </c>
      <c r="H25" s="136" t="s">
        <v>165</v>
      </c>
      <c r="I25" s="136" t="s">
        <v>153</v>
      </c>
      <c r="J25" s="136" t="s">
        <v>38</v>
      </c>
      <c r="K25" s="136" t="s">
        <v>154</v>
      </c>
      <c r="L25" s="207">
        <v>3</v>
      </c>
      <c r="N25" s="207">
        <v>1</v>
      </c>
      <c r="O25" s="207">
        <v>0.6</v>
      </c>
      <c r="P25" s="234">
        <v>0.55000000000000004</v>
      </c>
      <c r="Q25" s="244">
        <f t="shared" si="0"/>
        <v>0.57499999999999996</v>
      </c>
      <c r="R25" s="187">
        <v>15.5</v>
      </c>
      <c r="S25" s="187">
        <v>161</v>
      </c>
      <c r="T25" s="216">
        <f t="shared" si="1"/>
        <v>30</v>
      </c>
      <c r="U25" s="192">
        <v>138</v>
      </c>
      <c r="V25" s="183">
        <f t="shared" si="2"/>
        <v>4140</v>
      </c>
      <c r="W25" s="189">
        <v>4</v>
      </c>
      <c r="X25" s="185" t="s">
        <v>46</v>
      </c>
      <c r="Y25" s="193" t="s">
        <v>78</v>
      </c>
      <c r="Z25" s="193" t="s">
        <v>69</v>
      </c>
      <c r="AA25" s="194" t="s">
        <v>84</v>
      </c>
      <c r="AB25" s="55" t="s">
        <v>340</v>
      </c>
      <c r="AP25" s="238" t="s">
        <v>116</v>
      </c>
      <c r="AR25" s="42" t="s">
        <v>92</v>
      </c>
      <c r="AV25" s="223"/>
    </row>
    <row r="26" spans="1:48" x14ac:dyDescent="0.15">
      <c r="A26" s="176" t="s">
        <v>34</v>
      </c>
      <c r="B26" s="176" t="s">
        <v>338</v>
      </c>
      <c r="C26" s="176">
        <v>2018</v>
      </c>
      <c r="D26" s="178" t="s">
        <v>344</v>
      </c>
      <c r="E26" s="177" t="s">
        <v>280</v>
      </c>
      <c r="F26" s="176" t="s">
        <v>281</v>
      </c>
      <c r="G26" s="179" t="s">
        <v>42</v>
      </c>
      <c r="H26" s="136" t="s">
        <v>155</v>
      </c>
      <c r="I26" s="136" t="s">
        <v>153</v>
      </c>
      <c r="J26" s="136" t="s">
        <v>38</v>
      </c>
      <c r="K26" s="136" t="s">
        <v>154</v>
      </c>
      <c r="L26" s="207">
        <v>1</v>
      </c>
      <c r="N26" s="207">
        <v>1</v>
      </c>
      <c r="O26" s="207">
        <v>0.55000000000000004</v>
      </c>
      <c r="P26" s="236">
        <v>0.6</v>
      </c>
      <c r="Q26" s="244">
        <f t="shared" si="0"/>
        <v>0.57499999999999996</v>
      </c>
      <c r="R26" s="187">
        <v>13.8</v>
      </c>
      <c r="S26" s="187">
        <v>141</v>
      </c>
      <c r="T26" s="216">
        <f t="shared" si="1"/>
        <v>30</v>
      </c>
      <c r="U26" s="192">
        <v>127</v>
      </c>
      <c r="V26" s="183">
        <f t="shared" si="2"/>
        <v>3810</v>
      </c>
      <c r="W26" s="189">
        <v>8</v>
      </c>
      <c r="X26" s="185" t="s">
        <v>46</v>
      </c>
      <c r="Y26" s="194" t="s">
        <v>50</v>
      </c>
      <c r="Z26" s="193" t="s">
        <v>69</v>
      </c>
      <c r="AA26" s="194" t="s">
        <v>84</v>
      </c>
      <c r="AB26" s="55" t="s">
        <v>340</v>
      </c>
      <c r="AP26" s="238" t="s">
        <v>117</v>
      </c>
      <c r="AR26" s="223" t="s">
        <v>290</v>
      </c>
      <c r="AV26" s="227"/>
    </row>
    <row r="27" spans="1:48" x14ac:dyDescent="0.15">
      <c r="A27" s="176" t="s">
        <v>34</v>
      </c>
      <c r="B27" s="176" t="s">
        <v>338</v>
      </c>
      <c r="C27" s="177">
        <v>2018</v>
      </c>
      <c r="D27" s="178" t="s">
        <v>344</v>
      </c>
      <c r="E27" s="177" t="s">
        <v>280</v>
      </c>
      <c r="F27" s="176" t="s">
        <v>281</v>
      </c>
      <c r="G27" s="179" t="s">
        <v>42</v>
      </c>
      <c r="H27" s="136" t="s">
        <v>155</v>
      </c>
      <c r="I27" s="136" t="s">
        <v>153</v>
      </c>
      <c r="J27" s="136" t="s">
        <v>38</v>
      </c>
      <c r="K27" s="136" t="s">
        <v>154</v>
      </c>
      <c r="L27" s="207">
        <v>2</v>
      </c>
      <c r="N27" s="207">
        <v>1</v>
      </c>
      <c r="O27" s="234">
        <v>0.6</v>
      </c>
      <c r="P27" s="236">
        <v>0.5</v>
      </c>
      <c r="Q27" s="244">
        <f t="shared" si="0"/>
        <v>0.55000000000000004</v>
      </c>
      <c r="R27" s="187">
        <v>14.2</v>
      </c>
      <c r="S27" s="187">
        <v>139</v>
      </c>
      <c r="T27" s="216">
        <f t="shared" si="1"/>
        <v>30</v>
      </c>
      <c r="U27" s="192">
        <v>127</v>
      </c>
      <c r="V27" s="183">
        <f t="shared" si="2"/>
        <v>3810</v>
      </c>
      <c r="W27" s="189">
        <v>8</v>
      </c>
      <c r="X27" s="185" t="s">
        <v>46</v>
      </c>
      <c r="Y27" s="194" t="s">
        <v>50</v>
      </c>
      <c r="Z27" s="193" t="s">
        <v>69</v>
      </c>
      <c r="AA27" s="194" t="s">
        <v>84</v>
      </c>
      <c r="AB27" s="55" t="s">
        <v>340</v>
      </c>
      <c r="AP27" s="238" t="s">
        <v>118</v>
      </c>
      <c r="AR27" s="223"/>
    </row>
    <row r="28" spans="1:48" x14ac:dyDescent="0.15">
      <c r="A28" s="176" t="s">
        <v>34</v>
      </c>
      <c r="B28" s="176" t="s">
        <v>338</v>
      </c>
      <c r="C28" s="176">
        <v>2018</v>
      </c>
      <c r="D28" s="178" t="s">
        <v>344</v>
      </c>
      <c r="E28" s="177" t="s">
        <v>280</v>
      </c>
      <c r="F28" s="176" t="s">
        <v>281</v>
      </c>
      <c r="G28" s="179" t="s">
        <v>42</v>
      </c>
      <c r="H28" s="136" t="s">
        <v>155</v>
      </c>
      <c r="I28" s="136" t="s">
        <v>153</v>
      </c>
      <c r="J28" s="136" t="s">
        <v>38</v>
      </c>
      <c r="K28" s="136" t="s">
        <v>154</v>
      </c>
      <c r="L28" s="207">
        <v>3</v>
      </c>
      <c r="N28" s="207">
        <v>1</v>
      </c>
      <c r="O28" s="234">
        <v>0.55000000000000004</v>
      </c>
      <c r="P28" s="207">
        <v>0.5</v>
      </c>
      <c r="Q28" s="244">
        <f t="shared" si="0"/>
        <v>0.52500000000000002</v>
      </c>
      <c r="R28" s="187">
        <v>14.4</v>
      </c>
      <c r="S28" s="187">
        <v>135</v>
      </c>
      <c r="T28" s="216">
        <f t="shared" si="1"/>
        <v>30</v>
      </c>
      <c r="U28" s="192">
        <v>127</v>
      </c>
      <c r="V28" s="183">
        <f t="shared" si="2"/>
        <v>3810</v>
      </c>
      <c r="W28" s="189">
        <v>8</v>
      </c>
      <c r="X28" s="185" t="s">
        <v>46</v>
      </c>
      <c r="Y28" s="194" t="s">
        <v>50</v>
      </c>
      <c r="Z28" s="193" t="s">
        <v>69</v>
      </c>
      <c r="AA28" s="194" t="s">
        <v>84</v>
      </c>
      <c r="AB28" s="55" t="s">
        <v>340</v>
      </c>
      <c r="AR28" s="223"/>
    </row>
    <row r="29" spans="1:48" x14ac:dyDescent="0.15">
      <c r="A29" s="176" t="s">
        <v>34</v>
      </c>
      <c r="B29" s="176" t="s">
        <v>338</v>
      </c>
      <c r="C29" s="176">
        <v>2018</v>
      </c>
      <c r="D29" s="178" t="s">
        <v>344</v>
      </c>
      <c r="E29" s="177" t="s">
        <v>280</v>
      </c>
      <c r="F29" s="176" t="s">
        <v>281</v>
      </c>
      <c r="G29" s="179" t="s">
        <v>42</v>
      </c>
      <c r="H29" s="136" t="s">
        <v>165</v>
      </c>
      <c r="I29" s="136" t="s">
        <v>153</v>
      </c>
      <c r="J29" s="136" t="s">
        <v>38</v>
      </c>
      <c r="K29" s="136" t="s">
        <v>154</v>
      </c>
      <c r="L29" s="207">
        <v>1</v>
      </c>
      <c r="N29" s="207">
        <v>1</v>
      </c>
      <c r="O29" s="207">
        <v>0.6</v>
      </c>
      <c r="P29" s="207">
        <v>0.5</v>
      </c>
      <c r="Q29" s="244">
        <f t="shared" si="0"/>
        <v>0.55000000000000004</v>
      </c>
      <c r="R29" s="187">
        <v>15.7</v>
      </c>
      <c r="S29" s="187">
        <v>164</v>
      </c>
      <c r="T29" s="216">
        <f t="shared" si="1"/>
        <v>30</v>
      </c>
      <c r="U29" s="192">
        <v>127</v>
      </c>
      <c r="V29" s="183">
        <f t="shared" si="2"/>
        <v>3810</v>
      </c>
      <c r="W29" s="189">
        <v>8</v>
      </c>
      <c r="X29" s="185" t="s">
        <v>46</v>
      </c>
      <c r="Y29" s="194" t="s">
        <v>50</v>
      </c>
      <c r="Z29" s="193" t="s">
        <v>69</v>
      </c>
      <c r="AA29" s="194" t="s">
        <v>84</v>
      </c>
      <c r="AB29" s="55" t="s">
        <v>340</v>
      </c>
      <c r="AR29" s="228"/>
    </row>
    <row r="30" spans="1:48" x14ac:dyDescent="0.15">
      <c r="A30" s="176" t="s">
        <v>34</v>
      </c>
      <c r="B30" s="176" t="s">
        <v>338</v>
      </c>
      <c r="C30" s="177">
        <v>2018</v>
      </c>
      <c r="D30" s="178" t="s">
        <v>344</v>
      </c>
      <c r="E30" s="177" t="s">
        <v>280</v>
      </c>
      <c r="F30" s="176" t="s">
        <v>281</v>
      </c>
      <c r="G30" s="179" t="s">
        <v>42</v>
      </c>
      <c r="H30" s="136" t="s">
        <v>165</v>
      </c>
      <c r="I30" s="136" t="s">
        <v>153</v>
      </c>
      <c r="J30" s="136" t="s">
        <v>38</v>
      </c>
      <c r="K30" s="136" t="s">
        <v>154</v>
      </c>
      <c r="L30" s="207">
        <v>2</v>
      </c>
      <c r="N30" s="207">
        <v>1</v>
      </c>
      <c r="O30" s="207">
        <v>0.65</v>
      </c>
      <c r="P30" s="207">
        <v>0.6</v>
      </c>
      <c r="Q30" s="244">
        <f t="shared" si="0"/>
        <v>0.625</v>
      </c>
      <c r="R30" s="187">
        <v>15.1</v>
      </c>
      <c r="S30" s="187">
        <v>158</v>
      </c>
      <c r="T30" s="216">
        <f t="shared" si="1"/>
        <v>30</v>
      </c>
      <c r="U30" s="192">
        <v>127</v>
      </c>
      <c r="V30" s="183">
        <f t="shared" si="2"/>
        <v>3810</v>
      </c>
      <c r="W30" s="189">
        <v>8</v>
      </c>
      <c r="X30" s="185" t="s">
        <v>46</v>
      </c>
      <c r="Y30" s="194" t="s">
        <v>50</v>
      </c>
      <c r="Z30" s="193" t="s">
        <v>69</v>
      </c>
      <c r="AA30" s="194" t="s">
        <v>84</v>
      </c>
      <c r="AB30" s="55" t="s">
        <v>340</v>
      </c>
    </row>
    <row r="31" spans="1:48" x14ac:dyDescent="0.15">
      <c r="A31" s="176" t="s">
        <v>34</v>
      </c>
      <c r="B31" s="176" t="s">
        <v>338</v>
      </c>
      <c r="C31" s="176">
        <v>2018</v>
      </c>
      <c r="D31" s="178" t="s">
        <v>344</v>
      </c>
      <c r="E31" s="177" t="s">
        <v>280</v>
      </c>
      <c r="F31" s="176" t="s">
        <v>281</v>
      </c>
      <c r="G31" s="179" t="s">
        <v>42</v>
      </c>
      <c r="H31" s="136" t="s">
        <v>165</v>
      </c>
      <c r="I31" s="136" t="s">
        <v>153</v>
      </c>
      <c r="J31" s="136" t="s">
        <v>38</v>
      </c>
      <c r="K31" s="136" t="s">
        <v>154</v>
      </c>
      <c r="L31" s="207">
        <v>3</v>
      </c>
      <c r="N31" s="207">
        <v>1</v>
      </c>
      <c r="O31" s="207">
        <v>0.55000000000000004</v>
      </c>
      <c r="P31" s="207">
        <v>0.65</v>
      </c>
      <c r="Q31" s="244">
        <f t="shared" si="0"/>
        <v>0.60000000000000009</v>
      </c>
      <c r="R31" s="187">
        <v>15.5</v>
      </c>
      <c r="S31" s="187">
        <v>158</v>
      </c>
      <c r="T31" s="216">
        <f t="shared" si="1"/>
        <v>30</v>
      </c>
      <c r="U31" s="192">
        <v>127</v>
      </c>
      <c r="V31" s="183">
        <f t="shared" si="2"/>
        <v>3810</v>
      </c>
      <c r="W31" s="189">
        <v>8</v>
      </c>
      <c r="X31" s="185" t="s">
        <v>46</v>
      </c>
      <c r="Y31" s="194" t="s">
        <v>50</v>
      </c>
      <c r="Z31" s="193" t="s">
        <v>69</v>
      </c>
      <c r="AA31" s="194" t="s">
        <v>84</v>
      </c>
      <c r="AB31" s="55" t="s">
        <v>340</v>
      </c>
    </row>
    <row r="32" spans="1:48" ht="14.25" customHeight="1" x14ac:dyDescent="0.15">
      <c r="A32" s="176" t="s">
        <v>34</v>
      </c>
      <c r="B32" s="176" t="s">
        <v>338</v>
      </c>
      <c r="C32" s="177">
        <v>2018</v>
      </c>
      <c r="D32" s="178" t="s">
        <v>344</v>
      </c>
      <c r="E32" s="177" t="s">
        <v>522</v>
      </c>
      <c r="F32" s="176" t="s">
        <v>281</v>
      </c>
      <c r="G32" s="179" t="s">
        <v>42</v>
      </c>
      <c r="H32" s="136" t="s">
        <v>155</v>
      </c>
      <c r="I32" s="136" t="s">
        <v>153</v>
      </c>
      <c r="J32" s="136" t="s">
        <v>38</v>
      </c>
      <c r="K32" s="136" t="s">
        <v>154</v>
      </c>
      <c r="L32" s="207">
        <v>1</v>
      </c>
      <c r="N32" s="207">
        <v>1</v>
      </c>
      <c r="O32" s="207">
        <v>1.1000000000000001</v>
      </c>
      <c r="P32" s="207">
        <v>0.95</v>
      </c>
      <c r="Q32" s="244">
        <f t="shared" si="0"/>
        <v>1.0249999999999999</v>
      </c>
      <c r="R32" s="187">
        <v>13.3</v>
      </c>
      <c r="S32" s="187">
        <v>140</v>
      </c>
      <c r="T32" s="216">
        <f t="shared" si="1"/>
        <v>30</v>
      </c>
      <c r="U32" s="192">
        <v>139</v>
      </c>
      <c r="V32" s="183">
        <f t="shared" si="2"/>
        <v>4170</v>
      </c>
      <c r="W32" s="189">
        <v>2</v>
      </c>
      <c r="X32" s="185" t="s">
        <v>46</v>
      </c>
      <c r="Y32" s="194" t="s">
        <v>50</v>
      </c>
      <c r="Z32" s="193" t="s">
        <v>84</v>
      </c>
      <c r="AA32" s="193" t="s">
        <v>78</v>
      </c>
      <c r="AB32" s="55" t="s">
        <v>340</v>
      </c>
    </row>
    <row r="33" spans="1:28" x14ac:dyDescent="0.15">
      <c r="A33" s="176" t="s">
        <v>34</v>
      </c>
      <c r="B33" s="176" t="s">
        <v>338</v>
      </c>
      <c r="C33" s="176">
        <v>2018</v>
      </c>
      <c r="D33" s="178" t="s">
        <v>344</v>
      </c>
      <c r="E33" s="177" t="s">
        <v>522</v>
      </c>
      <c r="F33" s="176" t="s">
        <v>281</v>
      </c>
      <c r="G33" s="179" t="s">
        <v>42</v>
      </c>
      <c r="H33" s="136" t="s">
        <v>155</v>
      </c>
      <c r="I33" s="136" t="s">
        <v>153</v>
      </c>
      <c r="J33" s="136" t="s">
        <v>38</v>
      </c>
      <c r="K33" s="136" t="s">
        <v>154</v>
      </c>
      <c r="L33" s="207">
        <v>2</v>
      </c>
      <c r="N33" s="207">
        <v>1</v>
      </c>
      <c r="O33" s="207">
        <v>0.95</v>
      </c>
      <c r="P33" s="207">
        <v>0.8</v>
      </c>
      <c r="Q33" s="244">
        <f t="shared" si="0"/>
        <v>0.875</v>
      </c>
      <c r="R33" s="187">
        <v>13.4</v>
      </c>
      <c r="S33" s="187">
        <v>140</v>
      </c>
      <c r="T33" s="216">
        <f t="shared" si="1"/>
        <v>30</v>
      </c>
      <c r="U33" s="192">
        <v>139</v>
      </c>
      <c r="V33" s="183">
        <f t="shared" si="2"/>
        <v>4170</v>
      </c>
      <c r="W33" s="189">
        <v>2</v>
      </c>
      <c r="X33" s="185" t="s">
        <v>46</v>
      </c>
      <c r="Y33" s="194" t="s">
        <v>50</v>
      </c>
      <c r="Z33" s="193" t="s">
        <v>84</v>
      </c>
      <c r="AA33" s="193" t="s">
        <v>78</v>
      </c>
      <c r="AB33" s="55" t="s">
        <v>340</v>
      </c>
    </row>
    <row r="34" spans="1:28" x14ac:dyDescent="0.15">
      <c r="A34" s="176" t="s">
        <v>34</v>
      </c>
      <c r="B34" s="176" t="s">
        <v>338</v>
      </c>
      <c r="C34" s="177">
        <v>2018</v>
      </c>
      <c r="D34" s="178" t="s">
        <v>344</v>
      </c>
      <c r="E34" s="177" t="s">
        <v>522</v>
      </c>
      <c r="F34" s="176" t="s">
        <v>281</v>
      </c>
      <c r="G34" s="179" t="s">
        <v>42</v>
      </c>
      <c r="H34" s="136" t="s">
        <v>155</v>
      </c>
      <c r="I34" s="136" t="s">
        <v>153</v>
      </c>
      <c r="J34" s="136" t="s">
        <v>38</v>
      </c>
      <c r="K34" s="136" t="s">
        <v>154</v>
      </c>
      <c r="L34" s="207">
        <v>3</v>
      </c>
      <c r="N34" s="207">
        <v>1</v>
      </c>
      <c r="O34" s="207">
        <v>0.8</v>
      </c>
      <c r="P34" s="234">
        <v>0.95</v>
      </c>
      <c r="Q34" s="244">
        <f t="shared" si="0"/>
        <v>0.875</v>
      </c>
      <c r="R34" s="187">
        <v>13.1</v>
      </c>
      <c r="S34" s="187">
        <v>146</v>
      </c>
      <c r="T34" s="216">
        <f t="shared" si="1"/>
        <v>30</v>
      </c>
      <c r="U34" s="192">
        <v>139</v>
      </c>
      <c r="V34" s="183">
        <f t="shared" si="2"/>
        <v>4170</v>
      </c>
      <c r="W34" s="189">
        <v>2</v>
      </c>
      <c r="X34" s="185" t="s">
        <v>46</v>
      </c>
      <c r="Y34" s="194" t="s">
        <v>50</v>
      </c>
      <c r="Z34" s="193" t="s">
        <v>84</v>
      </c>
      <c r="AA34" s="193" t="s">
        <v>78</v>
      </c>
      <c r="AB34" s="55" t="s">
        <v>340</v>
      </c>
    </row>
    <row r="35" spans="1:28" x14ac:dyDescent="0.15">
      <c r="A35" s="176" t="s">
        <v>34</v>
      </c>
      <c r="B35" s="176" t="s">
        <v>338</v>
      </c>
      <c r="C35" s="176">
        <v>2018</v>
      </c>
      <c r="D35" s="178" t="s">
        <v>344</v>
      </c>
      <c r="E35" s="177" t="s">
        <v>522</v>
      </c>
      <c r="F35" s="176" t="s">
        <v>281</v>
      </c>
      <c r="G35" s="179" t="s">
        <v>42</v>
      </c>
      <c r="H35" s="136" t="s">
        <v>165</v>
      </c>
      <c r="I35" s="136" t="s">
        <v>153</v>
      </c>
      <c r="J35" s="136" t="s">
        <v>38</v>
      </c>
      <c r="K35" s="136" t="s">
        <v>154</v>
      </c>
      <c r="L35" s="207">
        <v>1</v>
      </c>
      <c r="N35" s="207">
        <v>1</v>
      </c>
      <c r="O35" s="207">
        <v>0.5</v>
      </c>
      <c r="P35" s="207">
        <v>0.6</v>
      </c>
      <c r="Q35" s="244">
        <f t="shared" si="0"/>
        <v>0.55000000000000004</v>
      </c>
      <c r="R35" s="187">
        <v>15.3</v>
      </c>
      <c r="S35" s="187">
        <v>145</v>
      </c>
      <c r="T35" s="216">
        <f t="shared" si="1"/>
        <v>30</v>
      </c>
      <c r="U35" s="192">
        <v>139</v>
      </c>
      <c r="V35" s="183">
        <f t="shared" si="2"/>
        <v>4170</v>
      </c>
      <c r="W35" s="189">
        <v>2</v>
      </c>
      <c r="X35" s="185" t="s">
        <v>46</v>
      </c>
      <c r="Y35" s="193" t="s">
        <v>50</v>
      </c>
      <c r="Z35" s="193" t="s">
        <v>84</v>
      </c>
      <c r="AA35" s="193" t="s">
        <v>78</v>
      </c>
      <c r="AB35" s="55" t="s">
        <v>340</v>
      </c>
    </row>
    <row r="36" spans="1:28" x14ac:dyDescent="0.15">
      <c r="A36" s="176" t="s">
        <v>34</v>
      </c>
      <c r="B36" s="176" t="s">
        <v>338</v>
      </c>
      <c r="C36" s="177">
        <v>2018</v>
      </c>
      <c r="D36" s="178" t="s">
        <v>344</v>
      </c>
      <c r="E36" s="177" t="s">
        <v>522</v>
      </c>
      <c r="F36" s="176" t="s">
        <v>281</v>
      </c>
      <c r="G36" s="179" t="s">
        <v>42</v>
      </c>
      <c r="H36" s="136" t="s">
        <v>165</v>
      </c>
      <c r="I36" s="136" t="s">
        <v>153</v>
      </c>
      <c r="J36" s="136" t="s">
        <v>38</v>
      </c>
      <c r="K36" s="136" t="s">
        <v>154</v>
      </c>
      <c r="L36" s="207">
        <v>2</v>
      </c>
      <c r="N36" s="207">
        <v>1</v>
      </c>
      <c r="O36" s="207">
        <v>0.45</v>
      </c>
      <c r="P36" s="207">
        <v>0.4</v>
      </c>
      <c r="Q36" s="244">
        <f t="shared" si="0"/>
        <v>0.42500000000000004</v>
      </c>
      <c r="R36" s="187">
        <v>15.8</v>
      </c>
      <c r="S36" s="187">
        <v>135</v>
      </c>
      <c r="T36" s="216">
        <f t="shared" si="1"/>
        <v>30</v>
      </c>
      <c r="U36" s="192">
        <v>139</v>
      </c>
      <c r="V36" s="183">
        <f t="shared" si="2"/>
        <v>4170</v>
      </c>
      <c r="W36" s="189">
        <v>2</v>
      </c>
      <c r="X36" s="185" t="s">
        <v>46</v>
      </c>
      <c r="Y36" s="193" t="s">
        <v>50</v>
      </c>
      <c r="Z36" s="193" t="s">
        <v>84</v>
      </c>
      <c r="AA36" s="193" t="s">
        <v>78</v>
      </c>
      <c r="AB36" s="55" t="s">
        <v>340</v>
      </c>
    </row>
    <row r="37" spans="1:28" x14ac:dyDescent="0.15">
      <c r="A37" s="176" t="s">
        <v>34</v>
      </c>
      <c r="B37" s="176" t="s">
        <v>338</v>
      </c>
      <c r="C37" s="176">
        <v>2018</v>
      </c>
      <c r="D37" s="178" t="s">
        <v>344</v>
      </c>
      <c r="E37" s="177" t="s">
        <v>522</v>
      </c>
      <c r="F37" s="176" t="s">
        <v>281</v>
      </c>
      <c r="G37" s="179" t="s">
        <v>42</v>
      </c>
      <c r="H37" s="136" t="s">
        <v>165</v>
      </c>
      <c r="I37" s="136" t="s">
        <v>153</v>
      </c>
      <c r="J37" s="136" t="s">
        <v>38</v>
      </c>
      <c r="K37" s="136" t="s">
        <v>154</v>
      </c>
      <c r="L37" s="207">
        <v>3</v>
      </c>
      <c r="N37" s="207">
        <v>1</v>
      </c>
      <c r="O37" s="207">
        <v>0.55000000000000004</v>
      </c>
      <c r="P37" s="207">
        <v>0.6</v>
      </c>
      <c r="Q37" s="244">
        <f t="shared" si="0"/>
        <v>0.57499999999999996</v>
      </c>
      <c r="R37" s="187">
        <v>15.4</v>
      </c>
      <c r="S37" s="187">
        <v>140</v>
      </c>
      <c r="T37" s="216">
        <f t="shared" si="1"/>
        <v>30</v>
      </c>
      <c r="U37" s="192">
        <v>139</v>
      </c>
      <c r="V37" s="183">
        <f t="shared" si="2"/>
        <v>4170</v>
      </c>
      <c r="W37" s="189">
        <v>2</v>
      </c>
      <c r="X37" s="185" t="s">
        <v>46</v>
      </c>
      <c r="Y37" s="193" t="s">
        <v>50</v>
      </c>
      <c r="Z37" s="193" t="s">
        <v>84</v>
      </c>
      <c r="AA37" s="193" t="s">
        <v>78</v>
      </c>
      <c r="AB37" s="55" t="s">
        <v>340</v>
      </c>
    </row>
    <row r="38" spans="1:28" x14ac:dyDescent="0.15">
      <c r="A38" s="176" t="s">
        <v>34</v>
      </c>
      <c r="B38" s="176" t="s">
        <v>338</v>
      </c>
      <c r="C38" s="177">
        <v>2018</v>
      </c>
      <c r="D38" s="178" t="s">
        <v>344</v>
      </c>
      <c r="E38" s="177" t="s">
        <v>280</v>
      </c>
      <c r="F38" s="176" t="s">
        <v>288</v>
      </c>
      <c r="G38" s="179" t="s">
        <v>42</v>
      </c>
      <c r="H38" s="136" t="s">
        <v>155</v>
      </c>
      <c r="I38" s="136" t="s">
        <v>153</v>
      </c>
      <c r="J38" s="136" t="s">
        <v>38</v>
      </c>
      <c r="K38" s="136" t="s">
        <v>154</v>
      </c>
      <c r="L38" s="207">
        <v>1</v>
      </c>
      <c r="N38" s="207">
        <v>1</v>
      </c>
      <c r="O38" s="207">
        <v>0.6</v>
      </c>
      <c r="P38" s="207">
        <v>0.6</v>
      </c>
      <c r="Q38" s="244">
        <f t="shared" si="0"/>
        <v>0.6</v>
      </c>
      <c r="R38" s="187">
        <v>14.5</v>
      </c>
      <c r="S38" s="187">
        <v>140</v>
      </c>
      <c r="T38" s="216">
        <f t="shared" si="1"/>
        <v>30</v>
      </c>
      <c r="U38" s="192">
        <v>127</v>
      </c>
      <c r="V38" s="183">
        <f t="shared" si="2"/>
        <v>3810</v>
      </c>
      <c r="W38" s="189">
        <v>6</v>
      </c>
      <c r="X38" s="185" t="s">
        <v>46</v>
      </c>
      <c r="Y38" s="193" t="s">
        <v>50</v>
      </c>
      <c r="Z38" s="193" t="s">
        <v>102</v>
      </c>
      <c r="AA38" s="193" t="s">
        <v>69</v>
      </c>
      <c r="AB38" s="55" t="s">
        <v>340</v>
      </c>
    </row>
    <row r="39" spans="1:28" x14ac:dyDescent="0.15">
      <c r="A39" s="176" t="s">
        <v>34</v>
      </c>
      <c r="B39" s="176" t="s">
        <v>338</v>
      </c>
      <c r="C39" s="176">
        <v>2018</v>
      </c>
      <c r="D39" s="178" t="s">
        <v>344</v>
      </c>
      <c r="E39" s="177" t="s">
        <v>280</v>
      </c>
      <c r="F39" s="176" t="s">
        <v>288</v>
      </c>
      <c r="G39" s="179" t="s">
        <v>42</v>
      </c>
      <c r="H39" s="136" t="s">
        <v>155</v>
      </c>
      <c r="I39" s="136" t="s">
        <v>153</v>
      </c>
      <c r="J39" s="136" t="s">
        <v>38</v>
      </c>
      <c r="K39" s="136" t="s">
        <v>154</v>
      </c>
      <c r="L39" s="207">
        <v>2</v>
      </c>
      <c r="N39" s="207">
        <v>1</v>
      </c>
      <c r="O39" s="207">
        <v>0.55000000000000004</v>
      </c>
      <c r="P39" s="207">
        <v>0.45</v>
      </c>
      <c r="Q39" s="244">
        <f t="shared" si="0"/>
        <v>0.5</v>
      </c>
      <c r="R39" s="187">
        <v>15.3</v>
      </c>
      <c r="S39" s="187">
        <v>143</v>
      </c>
      <c r="T39" s="216">
        <f t="shared" si="1"/>
        <v>30</v>
      </c>
      <c r="U39" s="192">
        <v>127</v>
      </c>
      <c r="V39" s="183">
        <f t="shared" si="2"/>
        <v>3810</v>
      </c>
      <c r="W39" s="189">
        <v>6</v>
      </c>
      <c r="X39" s="185" t="s">
        <v>46</v>
      </c>
      <c r="Y39" s="193" t="s">
        <v>50</v>
      </c>
      <c r="Z39" s="193" t="s">
        <v>102</v>
      </c>
      <c r="AA39" s="193" t="s">
        <v>69</v>
      </c>
      <c r="AB39" s="55" t="s">
        <v>340</v>
      </c>
    </row>
    <row r="40" spans="1:28" ht="12.75" customHeight="1" x14ac:dyDescent="0.15">
      <c r="A40" s="176" t="s">
        <v>34</v>
      </c>
      <c r="B40" s="176" t="s">
        <v>338</v>
      </c>
      <c r="C40" s="177">
        <v>2018</v>
      </c>
      <c r="D40" s="178" t="s">
        <v>344</v>
      </c>
      <c r="E40" s="177" t="s">
        <v>280</v>
      </c>
      <c r="F40" s="176" t="s">
        <v>288</v>
      </c>
      <c r="G40" s="179" t="s">
        <v>42</v>
      </c>
      <c r="H40" s="136" t="s">
        <v>155</v>
      </c>
      <c r="I40" s="136" t="s">
        <v>153</v>
      </c>
      <c r="J40" s="136" t="s">
        <v>38</v>
      </c>
      <c r="K40" s="136" t="s">
        <v>154</v>
      </c>
      <c r="L40" s="207">
        <v>3</v>
      </c>
      <c r="N40" s="207">
        <v>1</v>
      </c>
      <c r="O40" s="207">
        <v>0.6</v>
      </c>
      <c r="P40" s="207">
        <v>0.5</v>
      </c>
      <c r="Q40" s="244">
        <f t="shared" si="0"/>
        <v>0.55000000000000004</v>
      </c>
      <c r="R40" s="187">
        <v>14.2</v>
      </c>
      <c r="S40" s="187">
        <v>135</v>
      </c>
      <c r="T40" s="216">
        <f t="shared" si="1"/>
        <v>30</v>
      </c>
      <c r="U40" s="192">
        <v>127</v>
      </c>
      <c r="V40" s="183">
        <f t="shared" si="2"/>
        <v>3810</v>
      </c>
      <c r="W40" s="189">
        <v>6</v>
      </c>
      <c r="X40" s="185" t="s">
        <v>46</v>
      </c>
      <c r="Y40" s="193" t="s">
        <v>50</v>
      </c>
      <c r="Z40" s="193" t="s">
        <v>102</v>
      </c>
      <c r="AA40" s="193" t="s">
        <v>69</v>
      </c>
      <c r="AB40" s="55" t="s">
        <v>340</v>
      </c>
    </row>
    <row r="41" spans="1:28" ht="12.75" customHeight="1" x14ac:dyDescent="0.15">
      <c r="A41" s="136" t="s">
        <v>34</v>
      </c>
      <c r="B41" s="176" t="s">
        <v>338</v>
      </c>
      <c r="C41" s="177">
        <v>2018</v>
      </c>
      <c r="D41" s="178" t="s">
        <v>344</v>
      </c>
      <c r="E41" s="177" t="s">
        <v>280</v>
      </c>
      <c r="F41" s="176" t="s">
        <v>288</v>
      </c>
      <c r="G41" s="179" t="s">
        <v>42</v>
      </c>
      <c r="H41" s="136" t="s">
        <v>165</v>
      </c>
      <c r="I41" s="136" t="s">
        <v>153</v>
      </c>
      <c r="J41" s="136" t="s">
        <v>38</v>
      </c>
      <c r="K41" s="136" t="s">
        <v>154</v>
      </c>
      <c r="L41" s="207">
        <v>1</v>
      </c>
      <c r="N41" s="207">
        <v>1</v>
      </c>
      <c r="O41" s="207">
        <v>0.55000000000000004</v>
      </c>
      <c r="P41" s="207">
        <v>0.55000000000000004</v>
      </c>
      <c r="Q41" s="244">
        <f t="shared" si="0"/>
        <v>0.55000000000000004</v>
      </c>
      <c r="R41" s="187">
        <v>15.5</v>
      </c>
      <c r="S41" s="187">
        <v>150</v>
      </c>
      <c r="T41" s="216">
        <f t="shared" si="1"/>
        <v>30</v>
      </c>
      <c r="U41" s="192">
        <v>127</v>
      </c>
      <c r="V41" s="183">
        <f t="shared" si="2"/>
        <v>3810</v>
      </c>
      <c r="W41" s="246">
        <v>6</v>
      </c>
      <c r="X41" s="185" t="s">
        <v>46</v>
      </c>
      <c r="Y41" s="197" t="s">
        <v>50</v>
      </c>
      <c r="Z41" s="197" t="s">
        <v>102</v>
      </c>
      <c r="AA41" s="197" t="s">
        <v>69</v>
      </c>
      <c r="AB41" s="55" t="s">
        <v>340</v>
      </c>
    </row>
    <row r="42" spans="1:28" ht="12.75" customHeight="1" x14ac:dyDescent="0.15">
      <c r="A42" s="136" t="s">
        <v>34</v>
      </c>
      <c r="B42" s="176" t="s">
        <v>338</v>
      </c>
      <c r="C42" s="177">
        <v>2018</v>
      </c>
      <c r="D42" s="178" t="s">
        <v>344</v>
      </c>
      <c r="E42" s="177" t="s">
        <v>280</v>
      </c>
      <c r="F42" s="176" t="s">
        <v>288</v>
      </c>
      <c r="G42" s="179" t="s">
        <v>42</v>
      </c>
      <c r="H42" s="136" t="s">
        <v>165</v>
      </c>
      <c r="I42" s="136" t="s">
        <v>153</v>
      </c>
      <c r="J42" s="136" t="s">
        <v>38</v>
      </c>
      <c r="K42" s="136" t="s">
        <v>154</v>
      </c>
      <c r="L42" s="207">
        <v>2</v>
      </c>
      <c r="N42" s="207">
        <v>1</v>
      </c>
      <c r="O42" s="207">
        <v>0.6</v>
      </c>
      <c r="P42" s="207">
        <v>0.6</v>
      </c>
      <c r="Q42" s="244">
        <f t="shared" si="0"/>
        <v>0.6</v>
      </c>
      <c r="R42" s="187">
        <v>15.4</v>
      </c>
      <c r="S42" s="187">
        <v>156</v>
      </c>
      <c r="T42" s="216">
        <f t="shared" si="1"/>
        <v>30</v>
      </c>
      <c r="U42" s="192">
        <v>127</v>
      </c>
      <c r="V42" s="183">
        <f t="shared" si="2"/>
        <v>3810</v>
      </c>
      <c r="W42" s="246">
        <v>6</v>
      </c>
      <c r="X42" s="185" t="s">
        <v>46</v>
      </c>
      <c r="Y42" s="197" t="s">
        <v>50</v>
      </c>
      <c r="Z42" s="197" t="s">
        <v>102</v>
      </c>
      <c r="AA42" s="197" t="s">
        <v>69</v>
      </c>
      <c r="AB42" s="55" t="s">
        <v>340</v>
      </c>
    </row>
    <row r="43" spans="1:28" ht="12.75" customHeight="1" x14ac:dyDescent="0.15">
      <c r="A43" s="136" t="s">
        <v>34</v>
      </c>
      <c r="B43" s="176" t="s">
        <v>338</v>
      </c>
      <c r="C43" s="177">
        <v>2018</v>
      </c>
      <c r="D43" s="178" t="s">
        <v>344</v>
      </c>
      <c r="E43" s="177" t="s">
        <v>280</v>
      </c>
      <c r="F43" s="176" t="s">
        <v>288</v>
      </c>
      <c r="G43" s="179" t="s">
        <v>42</v>
      </c>
      <c r="H43" s="136" t="s">
        <v>165</v>
      </c>
      <c r="I43" s="136" t="s">
        <v>153</v>
      </c>
      <c r="J43" s="136" t="s">
        <v>38</v>
      </c>
      <c r="K43" s="136" t="s">
        <v>154</v>
      </c>
      <c r="L43" s="207">
        <v>3</v>
      </c>
      <c r="N43" s="207">
        <v>1</v>
      </c>
      <c r="O43" s="207">
        <v>0.6</v>
      </c>
      <c r="P43" s="207">
        <v>0.5</v>
      </c>
      <c r="Q43" s="244">
        <f t="shared" si="0"/>
        <v>0.55000000000000004</v>
      </c>
      <c r="R43" s="187">
        <v>15.7</v>
      </c>
      <c r="S43" s="187">
        <v>151</v>
      </c>
      <c r="T43" s="216">
        <f t="shared" si="1"/>
        <v>30</v>
      </c>
      <c r="U43" s="192">
        <v>127</v>
      </c>
      <c r="V43" s="183">
        <f t="shared" si="2"/>
        <v>3810</v>
      </c>
      <c r="W43" s="246">
        <v>6</v>
      </c>
      <c r="X43" s="185" t="s">
        <v>46</v>
      </c>
      <c r="Y43" s="197" t="s">
        <v>50</v>
      </c>
      <c r="Z43" s="197" t="s">
        <v>102</v>
      </c>
      <c r="AA43" s="197" t="s">
        <v>69</v>
      </c>
      <c r="AB43" s="55" t="s">
        <v>340</v>
      </c>
    </row>
    <row r="44" spans="1:28" x14ac:dyDescent="0.15">
      <c r="A44" s="207" t="s">
        <v>34</v>
      </c>
      <c r="B44" s="176" t="s">
        <v>338</v>
      </c>
      <c r="C44" s="177">
        <v>2018</v>
      </c>
      <c r="D44" s="178" t="s">
        <v>344</v>
      </c>
      <c r="E44" s="177" t="s">
        <v>139</v>
      </c>
      <c r="F44" s="176" t="s">
        <v>288</v>
      </c>
      <c r="G44" s="179" t="s">
        <v>36</v>
      </c>
      <c r="H44" s="136" t="s">
        <v>155</v>
      </c>
      <c r="I44" s="136" t="s">
        <v>153</v>
      </c>
      <c r="J44" s="246" t="s">
        <v>38</v>
      </c>
      <c r="K44" s="136" t="s">
        <v>154</v>
      </c>
      <c r="L44" s="207">
        <v>1</v>
      </c>
      <c r="N44" s="207">
        <v>1</v>
      </c>
      <c r="O44" s="207">
        <v>0.75</v>
      </c>
      <c r="P44" s="207">
        <v>0.7</v>
      </c>
      <c r="Q44" s="244">
        <f t="shared" si="0"/>
        <v>0.72499999999999998</v>
      </c>
      <c r="R44" s="187">
        <v>14.7</v>
      </c>
      <c r="S44" s="187">
        <v>133</v>
      </c>
      <c r="T44" s="216">
        <f t="shared" si="1"/>
        <v>30</v>
      </c>
      <c r="U44" s="192">
        <v>128</v>
      </c>
      <c r="V44" s="216">
        <f t="shared" si="2"/>
        <v>3840</v>
      </c>
      <c r="W44" s="207">
        <v>18</v>
      </c>
      <c r="X44" s="185" t="s">
        <v>46</v>
      </c>
      <c r="Y44" s="197" t="s">
        <v>50</v>
      </c>
      <c r="Z44" s="197" t="s">
        <v>90</v>
      </c>
      <c r="AA44" s="197" t="s">
        <v>78</v>
      </c>
      <c r="AB44" s="55" t="s">
        <v>340</v>
      </c>
    </row>
    <row r="45" spans="1:28" x14ac:dyDescent="0.15">
      <c r="A45" s="207" t="s">
        <v>34</v>
      </c>
      <c r="B45" s="176" t="s">
        <v>338</v>
      </c>
      <c r="C45" s="176">
        <v>2018</v>
      </c>
      <c r="D45" s="178" t="s">
        <v>344</v>
      </c>
      <c r="E45" s="177" t="s">
        <v>139</v>
      </c>
      <c r="F45" s="176" t="s">
        <v>288</v>
      </c>
      <c r="G45" s="179" t="s">
        <v>36</v>
      </c>
      <c r="H45" s="136" t="s">
        <v>155</v>
      </c>
      <c r="I45" s="136" t="s">
        <v>153</v>
      </c>
      <c r="J45" s="246" t="s">
        <v>38</v>
      </c>
      <c r="K45" s="136" t="s">
        <v>154</v>
      </c>
      <c r="L45" s="207">
        <v>2</v>
      </c>
      <c r="N45" s="207">
        <v>1</v>
      </c>
      <c r="O45" s="207">
        <v>0.8</v>
      </c>
      <c r="P45" s="207">
        <v>0.75</v>
      </c>
      <c r="Q45" s="244">
        <f t="shared" si="0"/>
        <v>0.77500000000000002</v>
      </c>
      <c r="R45" s="187">
        <v>14.4</v>
      </c>
      <c r="S45" s="187">
        <v>135</v>
      </c>
      <c r="T45" s="216">
        <f t="shared" si="1"/>
        <v>30</v>
      </c>
      <c r="U45" s="192">
        <v>128</v>
      </c>
      <c r="V45" s="216">
        <f t="shared" si="2"/>
        <v>3840</v>
      </c>
      <c r="W45" s="207">
        <v>18</v>
      </c>
      <c r="X45" s="185" t="s">
        <v>46</v>
      </c>
      <c r="Y45" s="197" t="s">
        <v>50</v>
      </c>
      <c r="Z45" s="197" t="s">
        <v>90</v>
      </c>
      <c r="AA45" s="197" t="s">
        <v>78</v>
      </c>
      <c r="AB45" s="55" t="s">
        <v>340</v>
      </c>
    </row>
    <row r="46" spans="1:28" x14ac:dyDescent="0.15">
      <c r="A46" s="207" t="s">
        <v>34</v>
      </c>
      <c r="B46" s="176" t="s">
        <v>338</v>
      </c>
      <c r="C46" s="177">
        <v>2018</v>
      </c>
      <c r="D46" s="178" t="s">
        <v>344</v>
      </c>
      <c r="E46" s="177" t="s">
        <v>139</v>
      </c>
      <c r="F46" s="176" t="s">
        <v>288</v>
      </c>
      <c r="G46" s="179" t="s">
        <v>36</v>
      </c>
      <c r="H46" s="136" t="s">
        <v>155</v>
      </c>
      <c r="I46" s="136" t="s">
        <v>153</v>
      </c>
      <c r="J46" s="246" t="s">
        <v>38</v>
      </c>
      <c r="K46" s="136" t="s">
        <v>154</v>
      </c>
      <c r="L46" s="207">
        <v>3</v>
      </c>
      <c r="N46" s="207">
        <v>1</v>
      </c>
      <c r="O46" s="207">
        <v>0.7</v>
      </c>
      <c r="P46" s="207">
        <v>0.8</v>
      </c>
      <c r="Q46" s="244">
        <f t="shared" si="0"/>
        <v>0.75</v>
      </c>
      <c r="R46" s="187">
        <v>14.5</v>
      </c>
      <c r="S46" s="187">
        <v>142</v>
      </c>
      <c r="T46" s="216">
        <f t="shared" si="1"/>
        <v>30</v>
      </c>
      <c r="U46" s="192">
        <v>128</v>
      </c>
      <c r="V46" s="216">
        <f t="shared" si="2"/>
        <v>3840</v>
      </c>
      <c r="W46" s="207">
        <v>18</v>
      </c>
      <c r="X46" s="185" t="s">
        <v>46</v>
      </c>
      <c r="Y46" s="197" t="s">
        <v>50</v>
      </c>
      <c r="Z46" s="197" t="s">
        <v>90</v>
      </c>
      <c r="AA46" s="197" t="s">
        <v>78</v>
      </c>
      <c r="AB46" s="55" t="s">
        <v>340</v>
      </c>
    </row>
    <row r="47" spans="1:28" x14ac:dyDescent="0.15">
      <c r="A47" s="207" t="s">
        <v>34</v>
      </c>
      <c r="B47" s="234" t="s">
        <v>338</v>
      </c>
      <c r="C47" s="207">
        <v>2018</v>
      </c>
      <c r="D47" s="178" t="s">
        <v>344</v>
      </c>
      <c r="E47" s="207" t="s">
        <v>139</v>
      </c>
      <c r="F47" s="176" t="s">
        <v>288</v>
      </c>
      <c r="G47" s="179" t="s">
        <v>36</v>
      </c>
      <c r="H47" s="136" t="s">
        <v>165</v>
      </c>
      <c r="I47" s="136" t="s">
        <v>153</v>
      </c>
      <c r="J47" s="246" t="s">
        <v>38</v>
      </c>
      <c r="K47" s="136" t="s">
        <v>154</v>
      </c>
      <c r="L47" s="207">
        <v>1</v>
      </c>
      <c r="N47" s="207">
        <v>1</v>
      </c>
      <c r="O47" s="207">
        <v>0.6</v>
      </c>
      <c r="P47" s="207">
        <v>0.65</v>
      </c>
      <c r="Q47" s="244">
        <f t="shared" si="0"/>
        <v>0.625</v>
      </c>
      <c r="R47" s="187">
        <v>17.8</v>
      </c>
      <c r="S47" s="187">
        <v>148</v>
      </c>
      <c r="T47" s="216">
        <f t="shared" si="1"/>
        <v>30</v>
      </c>
      <c r="U47" s="207">
        <v>178</v>
      </c>
      <c r="V47" s="216">
        <f t="shared" si="2"/>
        <v>5340</v>
      </c>
      <c r="W47" s="207">
        <v>18</v>
      </c>
      <c r="X47" s="185" t="s">
        <v>46</v>
      </c>
      <c r="Y47" s="207" t="s">
        <v>50</v>
      </c>
      <c r="Z47" s="207" t="s">
        <v>90</v>
      </c>
      <c r="AA47" s="207" t="s">
        <v>78</v>
      </c>
      <c r="AB47" s="55" t="s">
        <v>340</v>
      </c>
    </row>
    <row r="48" spans="1:28" x14ac:dyDescent="0.15">
      <c r="A48" s="207" t="s">
        <v>34</v>
      </c>
      <c r="B48" s="234" t="s">
        <v>338</v>
      </c>
      <c r="C48" s="207">
        <v>2018</v>
      </c>
      <c r="D48" s="178" t="s">
        <v>344</v>
      </c>
      <c r="E48" s="207" t="s">
        <v>139</v>
      </c>
      <c r="F48" s="176" t="s">
        <v>288</v>
      </c>
      <c r="G48" s="179" t="s">
        <v>36</v>
      </c>
      <c r="H48" s="136" t="s">
        <v>165</v>
      </c>
      <c r="I48" s="136" t="s">
        <v>153</v>
      </c>
      <c r="J48" s="246" t="s">
        <v>38</v>
      </c>
      <c r="K48" s="136" t="s">
        <v>154</v>
      </c>
      <c r="L48" s="207">
        <v>2</v>
      </c>
      <c r="N48" s="207">
        <v>1</v>
      </c>
      <c r="O48" s="207">
        <v>0.65</v>
      </c>
      <c r="P48" s="207">
        <v>0.45</v>
      </c>
      <c r="Q48" s="244">
        <f t="shared" si="0"/>
        <v>0.55000000000000004</v>
      </c>
      <c r="R48" s="187">
        <v>17.3</v>
      </c>
      <c r="S48" s="187">
        <v>165</v>
      </c>
      <c r="T48" s="216">
        <f t="shared" si="1"/>
        <v>30</v>
      </c>
      <c r="U48" s="207">
        <v>178</v>
      </c>
      <c r="V48" s="216">
        <f t="shared" si="2"/>
        <v>5340</v>
      </c>
      <c r="W48" s="207">
        <v>18</v>
      </c>
      <c r="X48" s="185" t="s">
        <v>46</v>
      </c>
      <c r="Y48" s="207" t="s">
        <v>50</v>
      </c>
      <c r="Z48" s="207" t="s">
        <v>90</v>
      </c>
      <c r="AA48" s="207" t="s">
        <v>78</v>
      </c>
      <c r="AB48" s="55" t="s">
        <v>340</v>
      </c>
    </row>
    <row r="49" spans="1:28" x14ac:dyDescent="0.15">
      <c r="A49" s="207" t="s">
        <v>34</v>
      </c>
      <c r="B49" s="234" t="s">
        <v>338</v>
      </c>
      <c r="C49" s="207">
        <v>2018</v>
      </c>
      <c r="D49" s="178" t="s">
        <v>344</v>
      </c>
      <c r="E49" s="207" t="s">
        <v>139</v>
      </c>
      <c r="F49" s="176" t="s">
        <v>288</v>
      </c>
      <c r="G49" s="179" t="s">
        <v>36</v>
      </c>
      <c r="H49" s="136" t="s">
        <v>165</v>
      </c>
      <c r="I49" s="136" t="s">
        <v>153</v>
      </c>
      <c r="J49" s="246" t="s">
        <v>38</v>
      </c>
      <c r="K49" s="136" t="s">
        <v>154</v>
      </c>
      <c r="L49" s="207">
        <v>3</v>
      </c>
      <c r="N49" s="207">
        <v>1</v>
      </c>
      <c r="O49" s="207">
        <v>0.6</v>
      </c>
      <c r="P49" s="207">
        <v>0.55000000000000004</v>
      </c>
      <c r="Q49" s="244">
        <f t="shared" si="0"/>
        <v>0.57499999999999996</v>
      </c>
      <c r="R49" s="187">
        <v>17.5</v>
      </c>
      <c r="S49" s="187">
        <v>155</v>
      </c>
      <c r="T49" s="216">
        <f t="shared" si="1"/>
        <v>30</v>
      </c>
      <c r="U49" s="207">
        <v>178</v>
      </c>
      <c r="V49" s="216">
        <f t="shared" si="2"/>
        <v>5340</v>
      </c>
      <c r="W49" s="207">
        <v>18</v>
      </c>
      <c r="X49" s="185" t="s">
        <v>46</v>
      </c>
      <c r="Y49" s="207" t="s">
        <v>50</v>
      </c>
      <c r="Z49" s="207" t="s">
        <v>90</v>
      </c>
      <c r="AA49" s="207" t="s">
        <v>78</v>
      </c>
      <c r="AB49" s="55" t="s">
        <v>340</v>
      </c>
    </row>
    <row r="50" spans="1:28" x14ac:dyDescent="0.15">
      <c r="A50" s="207" t="s">
        <v>34</v>
      </c>
      <c r="B50" s="207" t="s">
        <v>338</v>
      </c>
      <c r="C50" s="207">
        <v>2018</v>
      </c>
      <c r="D50" s="178" t="s">
        <v>344</v>
      </c>
      <c r="E50" s="207" t="s">
        <v>133</v>
      </c>
      <c r="F50" s="176" t="s">
        <v>282</v>
      </c>
      <c r="G50" s="179" t="s">
        <v>36</v>
      </c>
      <c r="H50" s="246" t="s">
        <v>155</v>
      </c>
      <c r="I50" s="246" t="s">
        <v>153</v>
      </c>
      <c r="J50" s="246" t="s">
        <v>38</v>
      </c>
      <c r="K50" s="136" t="s">
        <v>154</v>
      </c>
      <c r="L50" s="207">
        <v>1</v>
      </c>
      <c r="N50" s="207">
        <v>1</v>
      </c>
      <c r="O50" s="207">
        <v>1.1000000000000001</v>
      </c>
      <c r="P50" s="207">
        <v>0.95</v>
      </c>
      <c r="Q50" s="244">
        <f t="shared" si="0"/>
        <v>1.0249999999999999</v>
      </c>
      <c r="R50" s="207">
        <v>13.8</v>
      </c>
      <c r="S50" s="207">
        <v>155</v>
      </c>
      <c r="T50" s="216">
        <f t="shared" si="1"/>
        <v>30</v>
      </c>
      <c r="U50" s="207">
        <v>84</v>
      </c>
      <c r="V50" s="216">
        <f t="shared" si="2"/>
        <v>2520</v>
      </c>
      <c r="W50" s="207">
        <v>24</v>
      </c>
      <c r="X50" s="185" t="s">
        <v>46</v>
      </c>
      <c r="Y50" s="207" t="s">
        <v>90</v>
      </c>
      <c r="Z50" s="207" t="s">
        <v>84</v>
      </c>
      <c r="AA50" s="207" t="s">
        <v>78</v>
      </c>
      <c r="AB50" s="207" t="s">
        <v>340</v>
      </c>
    </row>
    <row r="51" spans="1:28" x14ac:dyDescent="0.15">
      <c r="A51" s="207" t="s">
        <v>34</v>
      </c>
      <c r="B51" s="207" t="s">
        <v>338</v>
      </c>
      <c r="C51" s="207">
        <v>2018</v>
      </c>
      <c r="D51" s="178" t="s">
        <v>344</v>
      </c>
      <c r="E51" s="207" t="s">
        <v>133</v>
      </c>
      <c r="F51" s="176" t="s">
        <v>282</v>
      </c>
      <c r="G51" s="179" t="s">
        <v>36</v>
      </c>
      <c r="H51" s="246" t="s">
        <v>155</v>
      </c>
      <c r="I51" s="246" t="s">
        <v>153</v>
      </c>
      <c r="J51" s="246" t="s">
        <v>38</v>
      </c>
      <c r="K51" s="136" t="s">
        <v>154</v>
      </c>
      <c r="L51" s="207">
        <v>2</v>
      </c>
      <c r="N51" s="207">
        <v>1</v>
      </c>
      <c r="O51" s="207">
        <v>0.95</v>
      </c>
      <c r="P51" s="207">
        <v>1</v>
      </c>
      <c r="Q51" s="244">
        <f t="shared" si="0"/>
        <v>0.97499999999999998</v>
      </c>
      <c r="R51" s="207">
        <v>14.7</v>
      </c>
      <c r="S51" s="207">
        <v>148</v>
      </c>
      <c r="T51" s="216">
        <f t="shared" si="1"/>
        <v>30</v>
      </c>
      <c r="U51" s="207">
        <v>84</v>
      </c>
      <c r="V51" s="216">
        <f t="shared" si="2"/>
        <v>2520</v>
      </c>
      <c r="W51" s="207">
        <v>24</v>
      </c>
      <c r="X51" s="185" t="s">
        <v>46</v>
      </c>
      <c r="Y51" s="207" t="s">
        <v>90</v>
      </c>
      <c r="Z51" s="207" t="s">
        <v>84</v>
      </c>
      <c r="AA51" s="207" t="s">
        <v>78</v>
      </c>
      <c r="AB51" s="207" t="s">
        <v>340</v>
      </c>
    </row>
    <row r="52" spans="1:28" x14ac:dyDescent="0.15">
      <c r="A52" s="207" t="s">
        <v>34</v>
      </c>
      <c r="B52" s="207" t="s">
        <v>338</v>
      </c>
      <c r="C52" s="207">
        <v>2018</v>
      </c>
      <c r="D52" s="178" t="s">
        <v>344</v>
      </c>
      <c r="E52" s="207" t="s">
        <v>133</v>
      </c>
      <c r="F52" s="176" t="s">
        <v>282</v>
      </c>
      <c r="G52" s="179" t="s">
        <v>36</v>
      </c>
      <c r="H52" s="246" t="s">
        <v>155</v>
      </c>
      <c r="I52" s="246" t="s">
        <v>153</v>
      </c>
      <c r="J52" s="246" t="s">
        <v>38</v>
      </c>
      <c r="K52" s="136" t="s">
        <v>154</v>
      </c>
      <c r="L52" s="207">
        <v>3</v>
      </c>
      <c r="N52" s="207">
        <v>1</v>
      </c>
      <c r="O52" s="207">
        <v>1.2</v>
      </c>
      <c r="P52" s="207">
        <v>0.85</v>
      </c>
      <c r="Q52" s="244">
        <f t="shared" si="0"/>
        <v>1.0249999999999999</v>
      </c>
      <c r="R52" s="207">
        <v>14.2</v>
      </c>
      <c r="S52" s="207">
        <v>149</v>
      </c>
      <c r="T52" s="216">
        <f t="shared" si="1"/>
        <v>30</v>
      </c>
      <c r="U52" s="207">
        <v>84</v>
      </c>
      <c r="V52" s="216">
        <f t="shared" si="2"/>
        <v>2520</v>
      </c>
      <c r="W52" s="207">
        <v>24</v>
      </c>
      <c r="X52" s="185" t="s">
        <v>46</v>
      </c>
      <c r="Y52" s="207" t="s">
        <v>90</v>
      </c>
      <c r="Z52" s="207" t="s">
        <v>84</v>
      </c>
      <c r="AA52" s="207" t="s">
        <v>78</v>
      </c>
      <c r="AB52" s="207" t="s">
        <v>340</v>
      </c>
    </row>
    <row r="53" spans="1:28" x14ac:dyDescent="0.15">
      <c r="A53" s="207" t="s">
        <v>34</v>
      </c>
      <c r="B53" s="207" t="s">
        <v>338</v>
      </c>
      <c r="C53" s="207">
        <v>2018</v>
      </c>
      <c r="D53" s="178" t="s">
        <v>344</v>
      </c>
      <c r="E53" s="207" t="s">
        <v>133</v>
      </c>
      <c r="F53" s="176" t="s">
        <v>282</v>
      </c>
      <c r="G53" s="179" t="s">
        <v>36</v>
      </c>
      <c r="H53" s="246" t="s">
        <v>165</v>
      </c>
      <c r="I53" s="246" t="s">
        <v>153</v>
      </c>
      <c r="J53" s="246" t="s">
        <v>38</v>
      </c>
      <c r="K53" s="136" t="s">
        <v>154</v>
      </c>
      <c r="L53" s="207">
        <v>1</v>
      </c>
      <c r="N53" s="207">
        <v>1</v>
      </c>
      <c r="O53" s="207">
        <v>0.8</v>
      </c>
      <c r="P53" s="207">
        <v>0.75</v>
      </c>
      <c r="Q53" s="244">
        <f t="shared" si="0"/>
        <v>0.77500000000000002</v>
      </c>
      <c r="R53" s="207">
        <v>16.3</v>
      </c>
      <c r="S53" s="207">
        <v>154</v>
      </c>
      <c r="T53" s="216">
        <f t="shared" si="1"/>
        <v>30</v>
      </c>
      <c r="U53" s="207">
        <v>149</v>
      </c>
      <c r="V53" s="216">
        <f t="shared" si="2"/>
        <v>4470</v>
      </c>
      <c r="W53" s="207">
        <v>24</v>
      </c>
      <c r="X53" s="185" t="s">
        <v>46</v>
      </c>
      <c r="Y53" s="207" t="s">
        <v>90</v>
      </c>
      <c r="Z53" s="207" t="s">
        <v>84</v>
      </c>
      <c r="AA53" s="207" t="s">
        <v>78</v>
      </c>
      <c r="AB53" s="207" t="s">
        <v>340</v>
      </c>
    </row>
    <row r="54" spans="1:28" x14ac:dyDescent="0.15">
      <c r="A54" s="207" t="s">
        <v>34</v>
      </c>
      <c r="B54" s="207" t="s">
        <v>338</v>
      </c>
      <c r="C54" s="207">
        <v>2018</v>
      </c>
      <c r="D54" s="178" t="s">
        <v>344</v>
      </c>
      <c r="E54" s="207" t="s">
        <v>133</v>
      </c>
      <c r="F54" s="176" t="s">
        <v>282</v>
      </c>
      <c r="G54" s="179" t="s">
        <v>36</v>
      </c>
      <c r="H54" s="246" t="s">
        <v>165</v>
      </c>
      <c r="I54" s="246" t="s">
        <v>153</v>
      </c>
      <c r="J54" s="246" t="s">
        <v>38</v>
      </c>
      <c r="K54" s="136" t="s">
        <v>154</v>
      </c>
      <c r="L54" s="207">
        <v>2</v>
      </c>
      <c r="N54" s="207">
        <v>1</v>
      </c>
      <c r="O54" s="207">
        <v>0.95</v>
      </c>
      <c r="P54" s="207">
        <v>0.9</v>
      </c>
      <c r="Q54" s="244">
        <f t="shared" si="0"/>
        <v>0.92500000000000004</v>
      </c>
      <c r="R54" s="207">
        <v>16.5</v>
      </c>
      <c r="S54" s="207">
        <v>169</v>
      </c>
      <c r="T54" s="216">
        <f t="shared" si="1"/>
        <v>30</v>
      </c>
      <c r="U54" s="207">
        <v>149</v>
      </c>
      <c r="V54" s="216">
        <f t="shared" si="2"/>
        <v>4470</v>
      </c>
      <c r="W54" s="207">
        <v>24</v>
      </c>
      <c r="X54" s="185" t="s">
        <v>46</v>
      </c>
      <c r="Y54" s="207" t="s">
        <v>90</v>
      </c>
      <c r="Z54" s="207" t="s">
        <v>84</v>
      </c>
      <c r="AA54" s="207" t="s">
        <v>78</v>
      </c>
      <c r="AB54" s="207" t="s">
        <v>340</v>
      </c>
    </row>
    <row r="55" spans="1:28" x14ac:dyDescent="0.15">
      <c r="A55" s="207" t="s">
        <v>34</v>
      </c>
      <c r="B55" s="207" t="s">
        <v>338</v>
      </c>
      <c r="C55" s="207">
        <v>2018</v>
      </c>
      <c r="D55" s="178" t="s">
        <v>344</v>
      </c>
      <c r="E55" s="207" t="s">
        <v>133</v>
      </c>
      <c r="F55" s="176" t="s">
        <v>282</v>
      </c>
      <c r="G55" s="179" t="s">
        <v>36</v>
      </c>
      <c r="H55" s="246" t="s">
        <v>165</v>
      </c>
      <c r="I55" s="246" t="s">
        <v>153</v>
      </c>
      <c r="J55" s="246" t="s">
        <v>38</v>
      </c>
      <c r="K55" s="136" t="s">
        <v>154</v>
      </c>
      <c r="L55" s="207">
        <v>3</v>
      </c>
      <c r="N55" s="207">
        <v>1</v>
      </c>
      <c r="O55" s="207">
        <v>0.8</v>
      </c>
      <c r="P55" s="207">
        <v>0.95</v>
      </c>
      <c r="Q55" s="244">
        <f t="shared" si="0"/>
        <v>0.875</v>
      </c>
      <c r="R55" s="207">
        <v>15.7</v>
      </c>
      <c r="S55" s="207">
        <v>148</v>
      </c>
      <c r="T55" s="216">
        <f t="shared" si="1"/>
        <v>30</v>
      </c>
      <c r="U55" s="207">
        <v>149</v>
      </c>
      <c r="V55" s="216">
        <f t="shared" si="2"/>
        <v>4470</v>
      </c>
      <c r="W55" s="207">
        <v>24</v>
      </c>
      <c r="X55" s="185" t="s">
        <v>46</v>
      </c>
      <c r="Y55" s="207" t="s">
        <v>90</v>
      </c>
      <c r="Z55" s="207" t="s">
        <v>84</v>
      </c>
      <c r="AA55" s="207" t="s">
        <v>78</v>
      </c>
      <c r="AB55" s="207" t="s">
        <v>340</v>
      </c>
    </row>
    <row r="56" spans="1:28" x14ac:dyDescent="0.15">
      <c r="A56" s="207" t="s">
        <v>34</v>
      </c>
      <c r="B56" s="207" t="s">
        <v>338</v>
      </c>
      <c r="C56" s="207">
        <v>2018</v>
      </c>
      <c r="D56" s="178" t="s">
        <v>344</v>
      </c>
      <c r="E56" s="207" t="s">
        <v>214</v>
      </c>
      <c r="F56" s="176" t="s">
        <v>285</v>
      </c>
      <c r="G56" s="179" t="s">
        <v>36</v>
      </c>
      <c r="H56" s="246" t="s">
        <v>155</v>
      </c>
      <c r="I56" s="246" t="s">
        <v>153</v>
      </c>
      <c r="J56" s="246" t="s">
        <v>38</v>
      </c>
      <c r="K56" s="136" t="s">
        <v>154</v>
      </c>
      <c r="L56" s="207">
        <v>1</v>
      </c>
      <c r="N56" s="207">
        <v>1</v>
      </c>
      <c r="O56" s="207">
        <v>0.65</v>
      </c>
      <c r="P56" s="207">
        <v>0.55000000000000004</v>
      </c>
      <c r="Q56" s="244">
        <f t="shared" si="0"/>
        <v>0.60000000000000009</v>
      </c>
      <c r="R56" s="207">
        <v>13.4</v>
      </c>
      <c r="S56" s="207">
        <v>107</v>
      </c>
      <c r="T56" s="216">
        <f t="shared" si="1"/>
        <v>33</v>
      </c>
      <c r="U56" s="207">
        <v>69</v>
      </c>
      <c r="V56" s="216">
        <f t="shared" si="2"/>
        <v>2277</v>
      </c>
      <c r="W56" s="207">
        <v>1</v>
      </c>
      <c r="X56" s="185" t="s">
        <v>46</v>
      </c>
      <c r="Y56" s="207" t="s">
        <v>78</v>
      </c>
      <c r="Z56" s="207" t="s">
        <v>50</v>
      </c>
      <c r="AA56" s="207" t="s">
        <v>90</v>
      </c>
      <c r="AB56" s="207" t="s">
        <v>340</v>
      </c>
    </row>
    <row r="57" spans="1:28" x14ac:dyDescent="0.15">
      <c r="A57" s="207" t="s">
        <v>34</v>
      </c>
      <c r="B57" s="207" t="s">
        <v>338</v>
      </c>
      <c r="C57" s="207">
        <v>2018</v>
      </c>
      <c r="D57" s="178" t="s">
        <v>344</v>
      </c>
      <c r="E57" s="207" t="s">
        <v>214</v>
      </c>
      <c r="F57" s="176" t="s">
        <v>285</v>
      </c>
      <c r="G57" s="179" t="s">
        <v>36</v>
      </c>
      <c r="H57" s="246" t="s">
        <v>155</v>
      </c>
      <c r="I57" s="246" t="s">
        <v>153</v>
      </c>
      <c r="J57" s="246" t="s">
        <v>38</v>
      </c>
      <c r="K57" s="136" t="s">
        <v>154</v>
      </c>
      <c r="L57" s="207">
        <v>2</v>
      </c>
      <c r="N57" s="207">
        <v>1</v>
      </c>
      <c r="O57" s="207">
        <v>0.5</v>
      </c>
      <c r="P57" s="207">
        <v>0.45</v>
      </c>
      <c r="Q57" s="244">
        <f t="shared" si="0"/>
        <v>0.47499999999999998</v>
      </c>
      <c r="R57" s="207">
        <v>14.5</v>
      </c>
      <c r="S57" s="207">
        <v>105</v>
      </c>
      <c r="T57" s="216">
        <f t="shared" si="1"/>
        <v>33</v>
      </c>
      <c r="U57" s="207">
        <v>69</v>
      </c>
      <c r="V57" s="216">
        <f t="shared" si="2"/>
        <v>2277</v>
      </c>
      <c r="W57" s="207">
        <v>1</v>
      </c>
      <c r="X57" s="185" t="s">
        <v>46</v>
      </c>
      <c r="Y57" s="207" t="s">
        <v>78</v>
      </c>
      <c r="Z57" s="207" t="s">
        <v>50</v>
      </c>
      <c r="AA57" s="207" t="s">
        <v>90</v>
      </c>
      <c r="AB57" s="207" t="s">
        <v>340</v>
      </c>
    </row>
    <row r="58" spans="1:28" x14ac:dyDescent="0.15">
      <c r="A58" s="207" t="s">
        <v>34</v>
      </c>
      <c r="B58" s="207" t="s">
        <v>338</v>
      </c>
      <c r="C58" s="207">
        <v>2018</v>
      </c>
      <c r="D58" s="178" t="s">
        <v>344</v>
      </c>
      <c r="E58" s="207" t="s">
        <v>214</v>
      </c>
      <c r="F58" s="176" t="s">
        <v>285</v>
      </c>
      <c r="G58" s="179" t="s">
        <v>36</v>
      </c>
      <c r="H58" s="246" t="s">
        <v>155</v>
      </c>
      <c r="I58" s="246" t="s">
        <v>153</v>
      </c>
      <c r="J58" s="246" t="s">
        <v>38</v>
      </c>
      <c r="K58" s="136" t="s">
        <v>154</v>
      </c>
      <c r="L58" s="207">
        <v>3</v>
      </c>
      <c r="N58" s="207">
        <v>1</v>
      </c>
      <c r="O58" s="207">
        <v>0.55000000000000004</v>
      </c>
      <c r="P58" s="207">
        <v>0.6</v>
      </c>
      <c r="Q58" s="244">
        <f t="shared" si="0"/>
        <v>0.57499999999999996</v>
      </c>
      <c r="R58" s="207">
        <v>13.6</v>
      </c>
      <c r="S58" s="207">
        <v>108</v>
      </c>
      <c r="T58" s="216">
        <f t="shared" si="1"/>
        <v>33</v>
      </c>
      <c r="U58" s="207">
        <v>69</v>
      </c>
      <c r="V58" s="216">
        <f t="shared" si="2"/>
        <v>2277</v>
      </c>
      <c r="W58" s="207">
        <v>1</v>
      </c>
      <c r="X58" s="185" t="s">
        <v>46</v>
      </c>
      <c r="Y58" s="207" t="s">
        <v>78</v>
      </c>
      <c r="Z58" s="207" t="s">
        <v>50</v>
      </c>
      <c r="AA58" s="207" t="s">
        <v>90</v>
      </c>
      <c r="AB58" s="207" t="s">
        <v>340</v>
      </c>
    </row>
    <row r="59" spans="1:28" x14ac:dyDescent="0.15">
      <c r="D59" s="178"/>
      <c r="F59" s="176"/>
      <c r="G59" s="179"/>
      <c r="H59" s="246"/>
      <c r="I59" s="246"/>
      <c r="J59" s="246"/>
      <c r="K59" s="136"/>
      <c r="Q59" s="244"/>
      <c r="X59" s="185"/>
    </row>
    <row r="60" spans="1:28" x14ac:dyDescent="0.15">
      <c r="D60" s="257"/>
      <c r="F60" s="176"/>
      <c r="G60" s="179"/>
      <c r="H60" s="246"/>
      <c r="I60" s="246"/>
      <c r="J60" s="246"/>
      <c r="K60" s="136"/>
      <c r="Q60" s="244"/>
      <c r="X60" s="185"/>
    </row>
    <row r="61" spans="1:28" x14ac:dyDescent="0.15">
      <c r="D61" s="178"/>
      <c r="F61" s="176"/>
      <c r="G61" s="179"/>
      <c r="H61" s="246"/>
      <c r="I61" s="246"/>
      <c r="J61" s="246"/>
      <c r="K61" s="136"/>
      <c r="Q61" s="244"/>
      <c r="X61" s="185"/>
    </row>
    <row r="62" spans="1:28" x14ac:dyDescent="0.15">
      <c r="D62" s="198"/>
      <c r="F62" s="176"/>
      <c r="G62" s="179"/>
      <c r="H62" s="246"/>
      <c r="I62" s="246"/>
      <c r="J62" s="246"/>
      <c r="K62" s="136"/>
      <c r="Q62" s="244" t="str">
        <f t="shared" si="0"/>
        <v/>
      </c>
      <c r="T62" s="216" t="str">
        <f t="shared" si="1"/>
        <v/>
      </c>
      <c r="V62" s="216" t="str">
        <f t="shared" si="2"/>
        <v/>
      </c>
      <c r="X62" s="185"/>
    </row>
    <row r="63" spans="1:28" x14ac:dyDescent="0.15">
      <c r="D63" s="198"/>
      <c r="F63" s="176"/>
      <c r="G63" s="179"/>
      <c r="H63" s="246"/>
      <c r="I63" s="246"/>
      <c r="J63" s="246"/>
      <c r="K63" s="136"/>
      <c r="Q63" s="244" t="str">
        <f t="shared" si="0"/>
        <v/>
      </c>
      <c r="T63" s="216" t="str">
        <f t="shared" si="1"/>
        <v/>
      </c>
      <c r="V63" s="216" t="str">
        <f t="shared" si="2"/>
        <v/>
      </c>
      <c r="X63" s="185"/>
    </row>
    <row r="64" spans="1:28" x14ac:dyDescent="0.15">
      <c r="D64" s="198"/>
      <c r="F64" s="176"/>
      <c r="G64" s="179"/>
      <c r="H64" s="246"/>
      <c r="I64" s="246"/>
      <c r="J64" s="246"/>
      <c r="K64" s="136"/>
      <c r="Q64" s="244" t="str">
        <f t="shared" si="0"/>
        <v/>
      </c>
      <c r="T64" s="216" t="str">
        <f t="shared" si="1"/>
        <v/>
      </c>
      <c r="V64" s="216" t="str">
        <f t="shared" si="2"/>
        <v/>
      </c>
      <c r="X64" s="185"/>
    </row>
    <row r="65" spans="4:24" x14ac:dyDescent="0.15">
      <c r="D65" s="198"/>
      <c r="F65" s="176"/>
      <c r="G65" s="179"/>
      <c r="H65" s="246"/>
      <c r="I65" s="246"/>
      <c r="J65" s="246"/>
      <c r="K65" s="136"/>
      <c r="Q65" s="244" t="str">
        <f t="shared" si="0"/>
        <v/>
      </c>
      <c r="T65" s="216" t="str">
        <f t="shared" si="1"/>
        <v/>
      </c>
      <c r="V65" s="216" t="str">
        <f t="shared" si="2"/>
        <v/>
      </c>
      <c r="X65" s="185"/>
    </row>
    <row r="66" spans="4:24" x14ac:dyDescent="0.15">
      <c r="D66" s="198"/>
      <c r="F66" s="176"/>
      <c r="G66" s="179"/>
      <c r="H66" s="246"/>
      <c r="I66" s="246"/>
      <c r="J66" s="246"/>
      <c r="K66" s="136"/>
      <c r="Q66" s="244" t="str">
        <f t="shared" ref="Q66:Q91" si="3">IF(OR(O66="",P66=""),"",AVERAGE(O66,P66))</f>
        <v/>
      </c>
      <c r="T66" s="216" t="str">
        <f t="shared" ref="T66:T91" si="4">IF(H66="","",IF(OR(H66="GREEN",H66="GK"),IF(S66&gt;=$AX$2,VLOOKUP(S66,$AX$2:$AY$7,2,1),""),IF(S66&gt;=$AZ$2,VLOOKUP(S66,$AZ$2:$BA$7,2,1),"")))</f>
        <v/>
      </c>
      <c r="V66" s="216" t="str">
        <f t="shared" ref="V66:V91" si="5">IF(OR(N66="",U66="",T66=""),"",U66/N66*T66)</f>
        <v/>
      </c>
      <c r="X66" s="185"/>
    </row>
    <row r="67" spans="4:24" x14ac:dyDescent="0.15">
      <c r="D67" s="198"/>
      <c r="F67" s="176"/>
      <c r="G67" s="179"/>
      <c r="H67" s="246"/>
      <c r="I67" s="246"/>
      <c r="J67" s="246"/>
      <c r="K67" s="136"/>
      <c r="Q67" s="244" t="str">
        <f t="shared" si="3"/>
        <v/>
      </c>
      <c r="T67" s="216" t="str">
        <f t="shared" si="4"/>
        <v/>
      </c>
      <c r="V67" s="216" t="str">
        <f t="shared" si="5"/>
        <v/>
      </c>
      <c r="X67" s="185"/>
    </row>
    <row r="68" spans="4:24" x14ac:dyDescent="0.15">
      <c r="D68" s="198"/>
      <c r="F68" s="176"/>
      <c r="G68" s="179"/>
      <c r="H68" s="246"/>
      <c r="I68" s="246"/>
      <c r="J68" s="246"/>
      <c r="K68" s="136"/>
      <c r="Q68" s="244" t="str">
        <f t="shared" si="3"/>
        <v/>
      </c>
      <c r="T68" s="216" t="str">
        <f t="shared" si="4"/>
        <v/>
      </c>
      <c r="V68" s="216" t="str">
        <f t="shared" si="5"/>
        <v/>
      </c>
      <c r="X68" s="185"/>
    </row>
    <row r="69" spans="4:24" x14ac:dyDescent="0.15">
      <c r="D69" s="198"/>
      <c r="F69" s="176"/>
      <c r="G69" s="179"/>
      <c r="H69" s="246"/>
      <c r="I69" s="246"/>
      <c r="J69" s="246"/>
      <c r="K69" s="136"/>
      <c r="Q69" s="244" t="str">
        <f t="shared" si="3"/>
        <v/>
      </c>
      <c r="T69" s="216" t="str">
        <f t="shared" si="4"/>
        <v/>
      </c>
      <c r="V69" s="216" t="str">
        <f t="shared" si="5"/>
        <v/>
      </c>
      <c r="X69" s="185"/>
    </row>
    <row r="70" spans="4:24" x14ac:dyDescent="0.15">
      <c r="D70" s="198"/>
      <c r="F70" s="176"/>
      <c r="G70" s="179"/>
      <c r="H70" s="246"/>
      <c r="I70" s="246"/>
      <c r="J70" s="246"/>
      <c r="K70" s="136"/>
      <c r="Q70" s="244" t="str">
        <f t="shared" si="3"/>
        <v/>
      </c>
      <c r="T70" s="216" t="str">
        <f t="shared" si="4"/>
        <v/>
      </c>
      <c r="V70" s="216" t="str">
        <f t="shared" si="5"/>
        <v/>
      </c>
      <c r="X70" s="185"/>
    </row>
    <row r="71" spans="4:24" x14ac:dyDescent="0.15">
      <c r="D71" s="198"/>
      <c r="F71" s="176"/>
      <c r="G71" s="179"/>
      <c r="H71" s="246"/>
      <c r="I71" s="246"/>
      <c r="J71" s="246"/>
      <c r="K71" s="136"/>
      <c r="Q71" s="244" t="str">
        <f t="shared" si="3"/>
        <v/>
      </c>
      <c r="T71" s="216" t="str">
        <f t="shared" si="4"/>
        <v/>
      </c>
      <c r="V71" s="216" t="str">
        <f t="shared" si="5"/>
        <v/>
      </c>
      <c r="X71" s="185"/>
    </row>
    <row r="72" spans="4:24" x14ac:dyDescent="0.15">
      <c r="D72" s="198"/>
      <c r="F72" s="176"/>
      <c r="G72" s="179"/>
      <c r="H72" s="246"/>
      <c r="I72" s="246"/>
      <c r="J72" s="246"/>
      <c r="K72" s="136"/>
      <c r="Q72" s="244" t="str">
        <f t="shared" si="3"/>
        <v/>
      </c>
      <c r="T72" s="216" t="str">
        <f t="shared" si="4"/>
        <v/>
      </c>
      <c r="V72" s="216" t="str">
        <f t="shared" si="5"/>
        <v/>
      </c>
      <c r="X72" s="185"/>
    </row>
    <row r="73" spans="4:24" x14ac:dyDescent="0.15">
      <c r="D73" s="198"/>
      <c r="F73" s="176"/>
      <c r="G73" s="179"/>
      <c r="H73" s="246"/>
      <c r="I73" s="246"/>
      <c r="J73" s="246"/>
      <c r="K73" s="136"/>
      <c r="Q73" s="244" t="str">
        <f t="shared" si="3"/>
        <v/>
      </c>
      <c r="T73" s="216" t="str">
        <f t="shared" si="4"/>
        <v/>
      </c>
      <c r="V73" s="216" t="str">
        <f t="shared" si="5"/>
        <v/>
      </c>
      <c r="X73" s="185"/>
    </row>
    <row r="74" spans="4:24" x14ac:dyDescent="0.15">
      <c r="D74" s="198"/>
      <c r="F74" s="176"/>
      <c r="G74" s="179"/>
      <c r="H74" s="246"/>
      <c r="I74" s="246"/>
      <c r="J74" s="246"/>
      <c r="K74" s="136"/>
      <c r="Q74" s="244" t="str">
        <f t="shared" si="3"/>
        <v/>
      </c>
      <c r="T74" s="216" t="str">
        <f t="shared" si="4"/>
        <v/>
      </c>
      <c r="V74" s="216" t="str">
        <f t="shared" si="5"/>
        <v/>
      </c>
      <c r="X74" s="185"/>
    </row>
    <row r="75" spans="4:24" x14ac:dyDescent="0.15">
      <c r="D75" s="198"/>
      <c r="F75" s="176"/>
      <c r="G75" s="179"/>
      <c r="H75" s="246"/>
      <c r="I75" s="246"/>
      <c r="J75" s="246"/>
      <c r="K75" s="136"/>
      <c r="Q75" s="244" t="str">
        <f t="shared" si="3"/>
        <v/>
      </c>
      <c r="T75" s="216" t="str">
        <f t="shared" si="4"/>
        <v/>
      </c>
      <c r="V75" s="216" t="str">
        <f t="shared" si="5"/>
        <v/>
      </c>
      <c r="X75" s="185"/>
    </row>
    <row r="76" spans="4:24" x14ac:dyDescent="0.15">
      <c r="D76" s="198"/>
      <c r="F76" s="176"/>
      <c r="G76" s="179"/>
      <c r="H76" s="246"/>
      <c r="I76" s="246"/>
      <c r="J76" s="246"/>
      <c r="K76" s="136"/>
      <c r="Q76" s="244" t="str">
        <f t="shared" si="3"/>
        <v/>
      </c>
      <c r="T76" s="216" t="str">
        <f t="shared" si="4"/>
        <v/>
      </c>
      <c r="V76" s="216" t="str">
        <f t="shared" si="5"/>
        <v/>
      </c>
      <c r="X76" s="185"/>
    </row>
    <row r="77" spans="4:24" x14ac:dyDescent="0.15">
      <c r="D77" s="198"/>
      <c r="F77" s="176"/>
      <c r="G77" s="179"/>
      <c r="H77" s="246"/>
      <c r="I77" s="246"/>
      <c r="J77" s="246"/>
      <c r="K77" s="136"/>
      <c r="Q77" s="244" t="str">
        <f t="shared" si="3"/>
        <v/>
      </c>
      <c r="T77" s="216" t="str">
        <f t="shared" si="4"/>
        <v/>
      </c>
      <c r="V77" s="216" t="str">
        <f t="shared" si="5"/>
        <v/>
      </c>
      <c r="X77" s="185"/>
    </row>
    <row r="78" spans="4:24" x14ac:dyDescent="0.15">
      <c r="D78" s="198"/>
      <c r="F78" s="176"/>
      <c r="G78" s="179"/>
      <c r="H78" s="246"/>
      <c r="I78" s="246"/>
      <c r="J78" s="246"/>
      <c r="K78" s="136"/>
      <c r="Q78" s="244" t="str">
        <f t="shared" si="3"/>
        <v/>
      </c>
      <c r="T78" s="216" t="str">
        <f t="shared" si="4"/>
        <v/>
      </c>
      <c r="V78" s="216" t="str">
        <f t="shared" si="5"/>
        <v/>
      </c>
      <c r="X78" s="185"/>
    </row>
    <row r="79" spans="4:24" x14ac:dyDescent="0.15">
      <c r="D79" s="198"/>
      <c r="F79" s="176"/>
      <c r="G79" s="179"/>
      <c r="H79" s="246"/>
      <c r="I79" s="246"/>
      <c r="J79" s="246"/>
      <c r="K79" s="136"/>
      <c r="Q79" s="244" t="str">
        <f t="shared" si="3"/>
        <v/>
      </c>
      <c r="T79" s="216" t="str">
        <f t="shared" si="4"/>
        <v/>
      </c>
      <c r="V79" s="216" t="str">
        <f t="shared" si="5"/>
        <v/>
      </c>
      <c r="X79" s="185"/>
    </row>
    <row r="80" spans="4:24" x14ac:dyDescent="0.15">
      <c r="H80" s="246"/>
      <c r="I80" s="246"/>
      <c r="J80" s="246"/>
      <c r="K80" s="136"/>
      <c r="Q80" s="244" t="str">
        <f t="shared" si="3"/>
        <v/>
      </c>
      <c r="T80" s="216" t="str">
        <f t="shared" si="4"/>
        <v/>
      </c>
      <c r="V80" s="216" t="str">
        <f t="shared" si="5"/>
        <v/>
      </c>
    </row>
    <row r="81" spans="8:22" x14ac:dyDescent="0.15">
      <c r="H81" s="246"/>
      <c r="I81" s="246"/>
      <c r="J81" s="246"/>
      <c r="K81" s="136"/>
      <c r="Q81" s="244" t="str">
        <f t="shared" si="3"/>
        <v/>
      </c>
      <c r="T81" s="216" t="str">
        <f t="shared" si="4"/>
        <v/>
      </c>
      <c r="V81" s="216" t="str">
        <f t="shared" si="5"/>
        <v/>
      </c>
    </row>
    <row r="82" spans="8:22" x14ac:dyDescent="0.15">
      <c r="H82" s="246"/>
      <c r="I82" s="246"/>
      <c r="J82" s="246"/>
      <c r="K82" s="136"/>
      <c r="Q82" s="244" t="str">
        <f t="shared" si="3"/>
        <v/>
      </c>
      <c r="T82" s="216" t="str">
        <f t="shared" si="4"/>
        <v/>
      </c>
      <c r="V82" s="216" t="str">
        <f t="shared" si="5"/>
        <v/>
      </c>
    </row>
    <row r="83" spans="8:22" x14ac:dyDescent="0.15">
      <c r="H83" s="246"/>
      <c r="I83" s="246"/>
      <c r="J83" s="246"/>
      <c r="K83" s="136"/>
      <c r="Q83" s="244" t="str">
        <f t="shared" si="3"/>
        <v/>
      </c>
      <c r="T83" s="216" t="str">
        <f t="shared" si="4"/>
        <v/>
      </c>
      <c r="V83" s="216" t="str">
        <f t="shared" si="5"/>
        <v/>
      </c>
    </row>
    <row r="84" spans="8:22" x14ac:dyDescent="0.15">
      <c r="H84" s="246"/>
      <c r="I84" s="246"/>
      <c r="J84" s="246"/>
      <c r="K84" s="136"/>
      <c r="Q84" s="244" t="str">
        <f t="shared" si="3"/>
        <v/>
      </c>
      <c r="T84" s="216" t="str">
        <f t="shared" si="4"/>
        <v/>
      </c>
      <c r="V84" s="216" t="str">
        <f t="shared" si="5"/>
        <v/>
      </c>
    </row>
    <row r="85" spans="8:22" x14ac:dyDescent="0.15">
      <c r="H85" s="246"/>
      <c r="I85" s="246"/>
      <c r="J85" s="246"/>
      <c r="K85" s="136"/>
      <c r="Q85" s="244" t="str">
        <f t="shared" si="3"/>
        <v/>
      </c>
      <c r="T85" s="216" t="str">
        <f t="shared" si="4"/>
        <v/>
      </c>
      <c r="V85" s="216" t="str">
        <f t="shared" si="5"/>
        <v/>
      </c>
    </row>
    <row r="86" spans="8:22" x14ac:dyDescent="0.15">
      <c r="H86" s="246"/>
      <c r="I86" s="246"/>
      <c r="J86" s="246"/>
      <c r="K86" s="136"/>
      <c r="Q86" s="244" t="str">
        <f t="shared" si="3"/>
        <v/>
      </c>
      <c r="T86" s="216" t="str">
        <f t="shared" si="4"/>
        <v/>
      </c>
      <c r="V86" s="216" t="str">
        <f t="shared" si="5"/>
        <v/>
      </c>
    </row>
    <row r="87" spans="8:22" x14ac:dyDescent="0.15">
      <c r="H87" s="246"/>
      <c r="I87" s="246"/>
      <c r="J87" s="246"/>
      <c r="K87" s="136"/>
      <c r="Q87" s="244" t="str">
        <f t="shared" si="3"/>
        <v/>
      </c>
      <c r="T87" s="216" t="str">
        <f t="shared" si="4"/>
        <v/>
      </c>
      <c r="V87" s="216" t="str">
        <f t="shared" si="5"/>
        <v/>
      </c>
    </row>
    <row r="88" spans="8:22" x14ac:dyDescent="0.15">
      <c r="H88" s="246"/>
      <c r="I88" s="246"/>
      <c r="J88" s="246"/>
      <c r="K88" s="136"/>
      <c r="Q88" s="244" t="str">
        <f t="shared" si="3"/>
        <v/>
      </c>
      <c r="T88" s="216" t="str">
        <f t="shared" si="4"/>
        <v/>
      </c>
      <c r="V88" s="216" t="str">
        <f t="shared" si="5"/>
        <v/>
      </c>
    </row>
    <row r="89" spans="8:22" x14ac:dyDescent="0.15">
      <c r="H89" s="246"/>
      <c r="I89" s="246"/>
      <c r="J89" s="246"/>
      <c r="K89" s="136"/>
      <c r="Q89" s="244" t="str">
        <f t="shared" si="3"/>
        <v/>
      </c>
      <c r="T89" s="216" t="str">
        <f t="shared" si="4"/>
        <v/>
      </c>
      <c r="V89" s="216" t="str">
        <f t="shared" si="5"/>
        <v/>
      </c>
    </row>
    <row r="90" spans="8:22" x14ac:dyDescent="0.15">
      <c r="H90" s="246"/>
      <c r="I90" s="246"/>
      <c r="J90" s="246"/>
      <c r="K90" s="136"/>
      <c r="Q90" s="244" t="str">
        <f t="shared" si="3"/>
        <v/>
      </c>
      <c r="T90" s="216" t="str">
        <f t="shared" si="4"/>
        <v/>
      </c>
      <c r="V90" s="216" t="str">
        <f t="shared" si="5"/>
        <v/>
      </c>
    </row>
    <row r="91" spans="8:22" x14ac:dyDescent="0.15">
      <c r="H91" s="246"/>
      <c r="I91" s="246"/>
      <c r="J91" s="246"/>
      <c r="K91" s="136"/>
      <c r="Q91" s="244" t="str">
        <f t="shared" si="3"/>
        <v/>
      </c>
      <c r="T91" s="216" t="str">
        <f t="shared" si="4"/>
        <v/>
      </c>
      <c r="V91" s="216" t="str">
        <f t="shared" si="5"/>
        <v/>
      </c>
    </row>
    <row r="92" spans="8:22" x14ac:dyDescent="0.15">
      <c r="H92" s="246"/>
      <c r="I92" s="246"/>
      <c r="J92" s="246"/>
      <c r="K92" s="136"/>
      <c r="Q92" s="244"/>
    </row>
    <row r="93" spans="8:22" x14ac:dyDescent="0.15">
      <c r="H93" s="246"/>
      <c r="I93" s="246"/>
      <c r="J93" s="246"/>
      <c r="K93" s="136"/>
      <c r="Q93" s="244"/>
    </row>
    <row r="94" spans="8:22" x14ac:dyDescent="0.15">
      <c r="H94" s="246"/>
      <c r="I94" s="246"/>
      <c r="J94" s="246"/>
      <c r="K94" s="136"/>
      <c r="Q94" s="244"/>
    </row>
    <row r="95" spans="8:22" x14ac:dyDescent="0.15">
      <c r="H95" s="246"/>
      <c r="I95" s="246"/>
      <c r="J95" s="246"/>
      <c r="K95" s="136"/>
      <c r="Q95" s="244"/>
    </row>
    <row r="96" spans="8:22" x14ac:dyDescent="0.15">
      <c r="H96" s="246"/>
      <c r="I96" s="246"/>
      <c r="J96" s="246"/>
      <c r="K96" s="136"/>
      <c r="Q96" s="244"/>
    </row>
    <row r="97" spans="8:17" x14ac:dyDescent="0.15">
      <c r="H97" s="246"/>
      <c r="I97" s="246"/>
      <c r="J97" s="246"/>
      <c r="K97" s="136"/>
      <c r="Q97" s="244"/>
    </row>
    <row r="98" spans="8:17" x14ac:dyDescent="0.15">
      <c r="H98" s="246"/>
      <c r="I98" s="246"/>
      <c r="J98" s="246"/>
      <c r="K98" s="136"/>
      <c r="Q98" s="244"/>
    </row>
    <row r="99" spans="8:17" x14ac:dyDescent="0.15">
      <c r="H99" s="246"/>
      <c r="I99" s="246"/>
      <c r="J99" s="246"/>
      <c r="K99" s="136"/>
      <c r="Q99" s="244"/>
    </row>
    <row r="100" spans="8:17" x14ac:dyDescent="0.15">
      <c r="H100" s="246"/>
      <c r="I100" s="246"/>
      <c r="J100" s="246"/>
      <c r="K100" s="136"/>
      <c r="Q100" s="244"/>
    </row>
    <row r="101" spans="8:17" x14ac:dyDescent="0.15">
      <c r="H101" s="246"/>
      <c r="I101" s="246"/>
      <c r="J101" s="246"/>
      <c r="K101" s="136"/>
      <c r="Q101" s="244"/>
    </row>
    <row r="102" spans="8:17" x14ac:dyDescent="0.15">
      <c r="H102" s="246"/>
      <c r="I102" s="246"/>
      <c r="J102" s="246"/>
      <c r="K102" s="136"/>
      <c r="Q102" s="244"/>
    </row>
    <row r="103" spans="8:17" x14ac:dyDescent="0.15">
      <c r="H103" s="246"/>
      <c r="I103" s="246"/>
      <c r="J103" s="246"/>
      <c r="K103" s="136"/>
      <c r="Q103" s="244"/>
    </row>
    <row r="104" spans="8:17" x14ac:dyDescent="0.15">
      <c r="H104" s="246"/>
      <c r="I104" s="246"/>
      <c r="J104" s="246"/>
      <c r="K104" s="136"/>
      <c r="Q104" s="244"/>
    </row>
    <row r="105" spans="8:17" x14ac:dyDescent="0.15">
      <c r="H105" s="246"/>
      <c r="I105" s="246"/>
      <c r="J105" s="246"/>
      <c r="K105" s="136"/>
      <c r="Q105" s="244"/>
    </row>
    <row r="106" spans="8:17" x14ac:dyDescent="0.15">
      <c r="H106" s="246"/>
      <c r="I106" s="246"/>
      <c r="J106" s="246"/>
      <c r="K106" s="136"/>
      <c r="Q106" s="244"/>
    </row>
    <row r="107" spans="8:17" x14ac:dyDescent="0.15">
      <c r="H107" s="246"/>
      <c r="I107" s="246"/>
      <c r="J107" s="246"/>
      <c r="K107" s="136"/>
      <c r="Q107" s="244"/>
    </row>
    <row r="108" spans="8:17" x14ac:dyDescent="0.15">
      <c r="H108" s="246"/>
      <c r="I108" s="246"/>
      <c r="J108" s="246"/>
      <c r="K108" s="136"/>
      <c r="Q108" s="244"/>
    </row>
    <row r="109" spans="8:17" x14ac:dyDescent="0.15">
      <c r="H109" s="246"/>
      <c r="I109" s="246"/>
      <c r="J109" s="246"/>
      <c r="K109" s="136"/>
      <c r="Q109" s="244"/>
    </row>
    <row r="110" spans="8:17" x14ac:dyDescent="0.15">
      <c r="H110" s="246"/>
      <c r="I110" s="246"/>
      <c r="J110" s="246"/>
      <c r="K110" s="136"/>
      <c r="Q110" s="244"/>
    </row>
    <row r="111" spans="8:17" x14ac:dyDescent="0.15">
      <c r="H111" s="246"/>
      <c r="I111" s="246"/>
      <c r="J111" s="246"/>
      <c r="K111" s="136"/>
      <c r="Q111" s="244"/>
    </row>
    <row r="112" spans="8:17" x14ac:dyDescent="0.15">
      <c r="H112" s="246"/>
      <c r="I112" s="246"/>
      <c r="J112" s="246"/>
      <c r="K112" s="136"/>
      <c r="Q112" s="244"/>
    </row>
    <row r="113" spans="8:17" x14ac:dyDescent="0.15">
      <c r="H113" s="246"/>
      <c r="I113" s="246"/>
      <c r="J113" s="246"/>
      <c r="K113" s="136"/>
      <c r="Q113" s="244"/>
    </row>
    <row r="114" spans="8:17" x14ac:dyDescent="0.15">
      <c r="H114" s="246"/>
      <c r="I114" s="246"/>
      <c r="J114" s="246"/>
      <c r="K114" s="136"/>
      <c r="Q114" s="244"/>
    </row>
    <row r="115" spans="8:17" x14ac:dyDescent="0.15">
      <c r="H115" s="246"/>
      <c r="I115" s="246"/>
      <c r="J115" s="246"/>
      <c r="K115" s="136"/>
      <c r="Q115" s="244"/>
    </row>
    <row r="116" spans="8:17" x14ac:dyDescent="0.15">
      <c r="H116" s="246"/>
      <c r="I116" s="246"/>
      <c r="J116" s="246"/>
      <c r="K116" s="136"/>
      <c r="Q116" s="244"/>
    </row>
    <row r="117" spans="8:17" x14ac:dyDescent="0.15">
      <c r="H117" s="246"/>
      <c r="I117" s="246"/>
      <c r="J117" s="246"/>
      <c r="K117" s="136"/>
      <c r="Q117" s="244"/>
    </row>
    <row r="118" spans="8:17" x14ac:dyDescent="0.15">
      <c r="H118" s="246"/>
      <c r="I118" s="246"/>
      <c r="J118" s="246"/>
      <c r="K118" s="136"/>
      <c r="Q118" s="244"/>
    </row>
    <row r="119" spans="8:17" x14ac:dyDescent="0.15">
      <c r="H119" s="246"/>
      <c r="I119" s="246"/>
      <c r="J119" s="246"/>
      <c r="K119" s="136"/>
      <c r="Q119" s="244"/>
    </row>
    <row r="120" spans="8:17" x14ac:dyDescent="0.15">
      <c r="H120" s="246"/>
      <c r="I120" s="246"/>
      <c r="J120" s="246"/>
      <c r="K120" s="136"/>
      <c r="Q120" s="244"/>
    </row>
    <row r="121" spans="8:17" x14ac:dyDescent="0.15">
      <c r="H121" s="246"/>
      <c r="I121" s="246"/>
      <c r="J121" s="246"/>
      <c r="K121" s="136"/>
      <c r="Q121" s="244"/>
    </row>
    <row r="122" spans="8:17" x14ac:dyDescent="0.15">
      <c r="H122" s="246"/>
      <c r="I122" s="246"/>
      <c r="J122" s="246"/>
      <c r="K122" s="136"/>
      <c r="Q122" s="244"/>
    </row>
    <row r="123" spans="8:17" x14ac:dyDescent="0.15">
      <c r="H123" s="246"/>
      <c r="I123" s="246"/>
      <c r="J123" s="246"/>
      <c r="K123" s="136"/>
      <c r="Q123" s="244"/>
    </row>
    <row r="124" spans="8:17" x14ac:dyDescent="0.15">
      <c r="H124" s="246"/>
      <c r="I124" s="246"/>
      <c r="J124" s="246"/>
      <c r="K124" s="136"/>
      <c r="Q124" s="244"/>
    </row>
    <row r="125" spans="8:17" x14ac:dyDescent="0.15">
      <c r="H125" s="246"/>
      <c r="I125" s="246"/>
      <c r="J125" s="246"/>
      <c r="K125" s="136"/>
      <c r="Q125" s="244"/>
    </row>
    <row r="126" spans="8:17" x14ac:dyDescent="0.15">
      <c r="H126" s="246"/>
      <c r="I126" s="246"/>
      <c r="J126" s="246"/>
      <c r="K126" s="136"/>
      <c r="Q126" s="244"/>
    </row>
    <row r="127" spans="8:17" x14ac:dyDescent="0.15">
      <c r="H127" s="246"/>
      <c r="I127" s="246"/>
      <c r="J127" s="246"/>
      <c r="K127" s="136"/>
      <c r="Q127" s="244"/>
    </row>
    <row r="128" spans="8:17" x14ac:dyDescent="0.15">
      <c r="H128" s="246"/>
      <c r="I128" s="246"/>
      <c r="J128" s="246"/>
      <c r="K128" s="136"/>
      <c r="Q128" s="244"/>
    </row>
    <row r="129" spans="8:17" x14ac:dyDescent="0.15">
      <c r="H129" s="246"/>
      <c r="I129" s="246"/>
      <c r="J129" s="246"/>
      <c r="K129" s="136"/>
      <c r="Q129" s="244"/>
    </row>
    <row r="130" spans="8:17" x14ac:dyDescent="0.15">
      <c r="H130" s="246"/>
      <c r="I130" s="246"/>
      <c r="J130" s="246"/>
      <c r="K130" s="136"/>
      <c r="Q130" s="244"/>
    </row>
    <row r="131" spans="8:17" x14ac:dyDescent="0.15">
      <c r="H131" s="246"/>
      <c r="I131" s="246"/>
      <c r="J131" s="246"/>
      <c r="K131" s="136"/>
      <c r="Q131" s="244"/>
    </row>
    <row r="132" spans="8:17" x14ac:dyDescent="0.15">
      <c r="H132" s="246"/>
      <c r="I132" s="246"/>
      <c r="J132" s="246"/>
      <c r="K132" s="136"/>
      <c r="Q132" s="244"/>
    </row>
    <row r="133" spans="8:17" x14ac:dyDescent="0.15">
      <c r="H133" s="246"/>
      <c r="I133" s="246"/>
      <c r="J133" s="246"/>
      <c r="K133" s="136"/>
      <c r="Q133" s="244"/>
    </row>
    <row r="134" spans="8:17" x14ac:dyDescent="0.15">
      <c r="H134" s="246"/>
      <c r="I134" s="246"/>
      <c r="J134" s="246"/>
      <c r="K134" s="136"/>
      <c r="Q134" s="244"/>
    </row>
    <row r="135" spans="8:17" x14ac:dyDescent="0.15">
      <c r="H135" s="246"/>
      <c r="I135" s="246"/>
      <c r="J135" s="246"/>
      <c r="K135" s="136"/>
      <c r="Q135" s="244"/>
    </row>
    <row r="136" spans="8:17" x14ac:dyDescent="0.15">
      <c r="H136" s="246"/>
      <c r="I136" s="246"/>
      <c r="J136" s="246"/>
      <c r="K136" s="136"/>
      <c r="Q136" s="244"/>
    </row>
    <row r="137" spans="8:17" x14ac:dyDescent="0.15">
      <c r="H137" s="246"/>
      <c r="I137" s="246"/>
      <c r="J137" s="246"/>
      <c r="K137" s="136"/>
      <c r="Q137" s="244"/>
    </row>
    <row r="138" spans="8:17" x14ac:dyDescent="0.15">
      <c r="H138" s="246"/>
      <c r="I138" s="246"/>
      <c r="J138" s="246"/>
      <c r="K138" s="136"/>
      <c r="Q138" s="244"/>
    </row>
    <row r="139" spans="8:17" x14ac:dyDescent="0.15">
      <c r="H139" s="246"/>
      <c r="I139" s="246"/>
      <c r="J139" s="246"/>
      <c r="K139" s="136"/>
      <c r="Q139" s="244"/>
    </row>
    <row r="140" spans="8:17" x14ac:dyDescent="0.15">
      <c r="H140" s="246"/>
      <c r="I140" s="246"/>
      <c r="J140" s="246"/>
      <c r="K140" s="136"/>
      <c r="Q140" s="244"/>
    </row>
    <row r="141" spans="8:17" x14ac:dyDescent="0.15">
      <c r="H141" s="246"/>
      <c r="I141" s="246"/>
      <c r="J141" s="246"/>
      <c r="K141" s="136"/>
      <c r="Q141" s="244"/>
    </row>
    <row r="142" spans="8:17" x14ac:dyDescent="0.15">
      <c r="K142" s="136"/>
      <c r="Q142" s="244"/>
    </row>
    <row r="143" spans="8:17" x14ac:dyDescent="0.15">
      <c r="K143" s="136"/>
      <c r="Q143" s="244"/>
    </row>
    <row r="144" spans="8:17" x14ac:dyDescent="0.15">
      <c r="K144" s="136"/>
      <c r="Q144" s="244"/>
    </row>
    <row r="145" spans="11:17" x14ac:dyDescent="0.15">
      <c r="K145" s="136"/>
      <c r="Q145" s="244"/>
    </row>
    <row r="146" spans="11:17" x14ac:dyDescent="0.15">
      <c r="K146" s="136"/>
      <c r="Q146" s="244"/>
    </row>
    <row r="147" spans="11:17" x14ac:dyDescent="0.15">
      <c r="K147" s="136"/>
      <c r="Q147" s="244"/>
    </row>
    <row r="148" spans="11:17" x14ac:dyDescent="0.15">
      <c r="K148" s="136"/>
      <c r="Q148" s="244"/>
    </row>
    <row r="149" spans="11:17" x14ac:dyDescent="0.15">
      <c r="K149" s="136"/>
      <c r="Q149" s="244"/>
    </row>
    <row r="150" spans="11:17" x14ac:dyDescent="0.15">
      <c r="K150" s="136"/>
      <c r="Q150" s="244"/>
    </row>
    <row r="151" spans="11:17" x14ac:dyDescent="0.15">
      <c r="K151" s="136"/>
      <c r="Q151" s="244"/>
    </row>
    <row r="152" spans="11:17" x14ac:dyDescent="0.15">
      <c r="K152" s="136"/>
      <c r="Q152" s="244"/>
    </row>
    <row r="153" spans="11:17" x14ac:dyDescent="0.15">
      <c r="K153" s="136"/>
      <c r="Q153" s="244"/>
    </row>
    <row r="154" spans="11:17" x14ac:dyDescent="0.15">
      <c r="K154" s="136"/>
      <c r="Q154" s="244"/>
    </row>
    <row r="155" spans="11:17" x14ac:dyDescent="0.15">
      <c r="K155" s="136"/>
      <c r="Q155" s="244"/>
    </row>
    <row r="156" spans="11:17" x14ac:dyDescent="0.15">
      <c r="K156" s="136"/>
      <c r="Q156" s="244"/>
    </row>
    <row r="157" spans="11:17" x14ac:dyDescent="0.15">
      <c r="K157" s="136"/>
      <c r="Q157" s="244"/>
    </row>
    <row r="158" spans="11:17" x14ac:dyDescent="0.15">
      <c r="K158" s="136"/>
      <c r="Q158" s="244"/>
    </row>
    <row r="159" spans="11:17" x14ac:dyDescent="0.15">
      <c r="K159" s="136"/>
      <c r="Q159" s="244"/>
    </row>
    <row r="160" spans="11:17" x14ac:dyDescent="0.15">
      <c r="K160" s="136"/>
      <c r="Q160" s="244"/>
    </row>
    <row r="161" spans="11:17" x14ac:dyDescent="0.15">
      <c r="K161" s="136"/>
      <c r="Q161" s="244"/>
    </row>
    <row r="162" spans="11:17" x14ac:dyDescent="0.15">
      <c r="K162" s="136"/>
      <c r="Q162" s="244"/>
    </row>
    <row r="163" spans="11:17" x14ac:dyDescent="0.15">
      <c r="K163" s="136"/>
      <c r="Q163" s="244"/>
    </row>
    <row r="164" spans="11:17" x14ac:dyDescent="0.15">
      <c r="K164" s="136"/>
      <c r="Q164" s="244"/>
    </row>
    <row r="165" spans="11:17" x14ac:dyDescent="0.15">
      <c r="K165" s="136"/>
      <c r="Q165" s="244"/>
    </row>
    <row r="166" spans="11:17" x14ac:dyDescent="0.15">
      <c r="K166" s="136"/>
      <c r="Q166" s="244"/>
    </row>
    <row r="167" spans="11:17" x14ac:dyDescent="0.15">
      <c r="K167" s="136"/>
      <c r="Q167" s="244"/>
    </row>
    <row r="168" spans="11:17" x14ac:dyDescent="0.15">
      <c r="K168" s="136"/>
      <c r="Q168" s="244"/>
    </row>
    <row r="169" spans="11:17" x14ac:dyDescent="0.15">
      <c r="K169" s="136"/>
      <c r="Q169" s="244"/>
    </row>
    <row r="170" spans="11:17" x14ac:dyDescent="0.15">
      <c r="K170" s="136"/>
      <c r="Q170" s="244"/>
    </row>
    <row r="171" spans="11:17" x14ac:dyDescent="0.15">
      <c r="K171" s="136"/>
      <c r="Q171" s="244"/>
    </row>
    <row r="172" spans="11:17" x14ac:dyDescent="0.15">
      <c r="K172" s="136"/>
      <c r="Q172" s="244"/>
    </row>
    <row r="173" spans="11:17" x14ac:dyDescent="0.15">
      <c r="K173" s="136"/>
      <c r="Q173" s="244"/>
    </row>
    <row r="174" spans="11:17" x14ac:dyDescent="0.15">
      <c r="K174" s="136"/>
      <c r="Q174" s="244"/>
    </row>
    <row r="175" spans="11:17" x14ac:dyDescent="0.15">
      <c r="K175" s="136"/>
      <c r="Q175" s="244"/>
    </row>
    <row r="176" spans="11:17" x14ac:dyDescent="0.15">
      <c r="K176" s="136"/>
      <c r="Q176" s="244"/>
    </row>
    <row r="177" spans="11:17" x14ac:dyDescent="0.15">
      <c r="K177" s="136"/>
      <c r="Q177" s="244"/>
    </row>
    <row r="178" spans="11:17" x14ac:dyDescent="0.15">
      <c r="K178" s="136"/>
      <c r="Q178" s="244"/>
    </row>
    <row r="179" spans="11:17" x14ac:dyDescent="0.15">
      <c r="K179" s="136"/>
      <c r="Q179" s="244"/>
    </row>
    <row r="180" spans="11:17" x14ac:dyDescent="0.15">
      <c r="K180" s="136"/>
      <c r="Q180" s="244"/>
    </row>
    <row r="181" spans="11:17" x14ac:dyDescent="0.15">
      <c r="K181" s="136"/>
      <c r="Q181" s="244"/>
    </row>
    <row r="182" spans="11:17" x14ac:dyDescent="0.15">
      <c r="K182" s="136"/>
      <c r="Q182" s="244"/>
    </row>
    <row r="183" spans="11:17" x14ac:dyDescent="0.15">
      <c r="K183" s="136"/>
      <c r="Q183" s="244"/>
    </row>
    <row r="184" spans="11:17" x14ac:dyDescent="0.15">
      <c r="K184" s="136"/>
      <c r="Q184" s="244"/>
    </row>
    <row r="185" spans="11:17" x14ac:dyDescent="0.15">
      <c r="K185" s="136"/>
      <c r="Q185" s="244"/>
    </row>
    <row r="186" spans="11:17" x14ac:dyDescent="0.15">
      <c r="K186" s="136"/>
      <c r="Q186" s="244"/>
    </row>
    <row r="187" spans="11:17" x14ac:dyDescent="0.15">
      <c r="K187" s="136"/>
      <c r="Q187" s="244"/>
    </row>
    <row r="188" spans="11:17" x14ac:dyDescent="0.15">
      <c r="K188" s="136"/>
      <c r="Q188" s="244"/>
    </row>
    <row r="189" spans="11:17" x14ac:dyDescent="0.15">
      <c r="K189" s="136"/>
      <c r="Q189" s="244"/>
    </row>
    <row r="190" spans="11:17" x14ac:dyDescent="0.15">
      <c r="K190" s="136"/>
      <c r="Q190" s="244"/>
    </row>
    <row r="191" spans="11:17" x14ac:dyDescent="0.15">
      <c r="K191" s="136"/>
      <c r="Q191" s="244"/>
    </row>
    <row r="192" spans="11:17" x14ac:dyDescent="0.15">
      <c r="K192" s="136"/>
      <c r="Q192" s="244"/>
    </row>
    <row r="193" spans="11:17" x14ac:dyDescent="0.15">
      <c r="K193" s="136"/>
      <c r="Q193" s="244"/>
    </row>
    <row r="194" spans="11:17" x14ac:dyDescent="0.15">
      <c r="K194" s="136"/>
      <c r="Q194" s="244"/>
    </row>
    <row r="195" spans="11:17" x14ac:dyDescent="0.15">
      <c r="K195" s="136"/>
      <c r="Q195" s="244"/>
    </row>
    <row r="196" spans="11:17" x14ac:dyDescent="0.15">
      <c r="K196" s="136"/>
      <c r="Q196" s="244"/>
    </row>
    <row r="197" spans="11:17" x14ac:dyDescent="0.15">
      <c r="K197" s="136"/>
      <c r="Q197" s="244"/>
    </row>
    <row r="198" spans="11:17" x14ac:dyDescent="0.15">
      <c r="K198" s="136"/>
      <c r="Q198" s="244"/>
    </row>
    <row r="199" spans="11:17" x14ac:dyDescent="0.15">
      <c r="K199" s="136"/>
      <c r="Q199" s="244"/>
    </row>
    <row r="200" spans="11:17" x14ac:dyDescent="0.15">
      <c r="K200" s="136"/>
      <c r="Q200" s="244"/>
    </row>
    <row r="201" spans="11:17" x14ac:dyDescent="0.15">
      <c r="K201" s="136"/>
      <c r="Q201" s="244"/>
    </row>
    <row r="202" spans="11:17" x14ac:dyDescent="0.15">
      <c r="K202" s="136"/>
      <c r="Q202" s="244"/>
    </row>
    <row r="203" spans="11:17" x14ac:dyDescent="0.15">
      <c r="K203" s="136"/>
      <c r="Q203" s="244"/>
    </row>
    <row r="204" spans="11:17" x14ac:dyDescent="0.15">
      <c r="K204" s="136"/>
      <c r="Q204" s="244"/>
    </row>
    <row r="205" spans="11:17" x14ac:dyDescent="0.15">
      <c r="K205" s="136"/>
      <c r="Q205" s="244"/>
    </row>
    <row r="206" spans="11:17" x14ac:dyDescent="0.15">
      <c r="K206" s="136"/>
      <c r="Q206" s="244"/>
    </row>
    <row r="207" spans="11:17" x14ac:dyDescent="0.15">
      <c r="K207" s="136"/>
      <c r="Q207" s="244"/>
    </row>
    <row r="208" spans="11:17" x14ac:dyDescent="0.15">
      <c r="K208" s="136"/>
      <c r="Q208" s="244"/>
    </row>
    <row r="209" spans="11:17" x14ac:dyDescent="0.15">
      <c r="K209" s="136"/>
      <c r="Q209" s="244"/>
    </row>
    <row r="210" spans="11:17" x14ac:dyDescent="0.15">
      <c r="K210" s="136"/>
      <c r="Q210" s="244"/>
    </row>
    <row r="211" spans="11:17" x14ac:dyDescent="0.15">
      <c r="K211" s="136"/>
      <c r="Q211" s="244"/>
    </row>
    <row r="212" spans="11:17" x14ac:dyDescent="0.15">
      <c r="K212" s="136"/>
      <c r="Q212" s="244"/>
    </row>
    <row r="213" spans="11:17" x14ac:dyDescent="0.15">
      <c r="K213" s="136"/>
      <c r="Q213" s="244"/>
    </row>
    <row r="214" spans="11:17" x14ac:dyDescent="0.15">
      <c r="K214" s="136"/>
      <c r="Q214" s="244"/>
    </row>
    <row r="215" spans="11:17" x14ac:dyDescent="0.15">
      <c r="K215" s="136"/>
      <c r="Q215" s="244"/>
    </row>
    <row r="216" spans="11:17" x14ac:dyDescent="0.15">
      <c r="K216" s="136"/>
      <c r="Q216" s="244"/>
    </row>
    <row r="217" spans="11:17" x14ac:dyDescent="0.15">
      <c r="K217" s="136"/>
      <c r="Q217" s="244"/>
    </row>
    <row r="218" spans="11:17" x14ac:dyDescent="0.15">
      <c r="K218" s="136"/>
      <c r="Q218" s="244"/>
    </row>
    <row r="219" spans="11:17" x14ac:dyDescent="0.15">
      <c r="K219" s="136"/>
      <c r="Q219" s="244"/>
    </row>
    <row r="220" spans="11:17" x14ac:dyDescent="0.15">
      <c r="K220" s="136"/>
      <c r="Q220" s="244"/>
    </row>
    <row r="221" spans="11:17" x14ac:dyDescent="0.15">
      <c r="K221" s="136"/>
      <c r="Q221" s="244"/>
    </row>
    <row r="222" spans="11:17" x14ac:dyDescent="0.15">
      <c r="K222" s="136"/>
      <c r="Q222" s="244"/>
    </row>
    <row r="223" spans="11:17" x14ac:dyDescent="0.15">
      <c r="K223" s="136"/>
      <c r="Q223" s="244"/>
    </row>
    <row r="224" spans="11:17" x14ac:dyDescent="0.15">
      <c r="K224" s="136"/>
      <c r="Q224" s="244"/>
    </row>
    <row r="225" spans="11:17" x14ac:dyDescent="0.15">
      <c r="K225" s="136"/>
      <c r="Q225" s="244"/>
    </row>
    <row r="226" spans="11:17" x14ac:dyDescent="0.15">
      <c r="K226" s="136"/>
      <c r="Q226" s="244"/>
    </row>
    <row r="227" spans="11:17" x14ac:dyDescent="0.15">
      <c r="K227" s="136"/>
      <c r="Q227" s="244"/>
    </row>
    <row r="228" spans="11:17" x14ac:dyDescent="0.15">
      <c r="K228" s="136"/>
      <c r="Q228" s="244"/>
    </row>
    <row r="229" spans="11:17" x14ac:dyDescent="0.15">
      <c r="K229" s="136"/>
      <c r="Q229" s="244"/>
    </row>
    <row r="230" spans="11:17" x14ac:dyDescent="0.15">
      <c r="K230" s="136"/>
      <c r="Q230" s="244"/>
    </row>
    <row r="231" spans="11:17" x14ac:dyDescent="0.15">
      <c r="K231" s="136"/>
      <c r="Q231" s="244"/>
    </row>
    <row r="232" spans="11:17" x14ac:dyDescent="0.15">
      <c r="K232" s="136"/>
      <c r="Q232" s="244"/>
    </row>
    <row r="233" spans="11:17" x14ac:dyDescent="0.15">
      <c r="K233" s="136"/>
      <c r="Q233" s="244"/>
    </row>
    <row r="234" spans="11:17" x14ac:dyDescent="0.15">
      <c r="K234" s="136"/>
      <c r="Q234" s="244"/>
    </row>
    <row r="235" spans="11:17" x14ac:dyDescent="0.15">
      <c r="K235" s="136"/>
      <c r="Q235" s="244"/>
    </row>
    <row r="236" spans="11:17" x14ac:dyDescent="0.15">
      <c r="K236" s="136"/>
      <c r="Q236" s="244"/>
    </row>
    <row r="237" spans="11:17" x14ac:dyDescent="0.15">
      <c r="K237" s="136"/>
      <c r="Q237" s="244"/>
    </row>
    <row r="238" spans="11:17" x14ac:dyDescent="0.15">
      <c r="K238" s="136"/>
      <c r="Q238" s="244"/>
    </row>
    <row r="239" spans="11:17" x14ac:dyDescent="0.15">
      <c r="K239" s="136"/>
      <c r="Q239" s="244"/>
    </row>
    <row r="240" spans="11:17" x14ac:dyDescent="0.15">
      <c r="K240" s="136"/>
      <c r="Q240" s="244"/>
    </row>
    <row r="241" spans="11:17" x14ac:dyDescent="0.15">
      <c r="K241" s="136"/>
      <c r="Q241" s="244"/>
    </row>
    <row r="242" spans="11:17" x14ac:dyDescent="0.15">
      <c r="K242" s="136"/>
      <c r="Q242" s="244"/>
    </row>
    <row r="243" spans="11:17" x14ac:dyDescent="0.15">
      <c r="K243" s="136"/>
      <c r="Q243" s="244"/>
    </row>
    <row r="244" spans="11:17" x14ac:dyDescent="0.15">
      <c r="K244" s="136"/>
      <c r="Q244" s="244"/>
    </row>
    <row r="245" spans="11:17" x14ac:dyDescent="0.15">
      <c r="K245" s="136"/>
      <c r="Q245" s="244"/>
    </row>
    <row r="246" spans="11:17" x14ac:dyDescent="0.15">
      <c r="K246" s="136"/>
      <c r="Q246" s="244"/>
    </row>
    <row r="247" spans="11:17" x14ac:dyDescent="0.15">
      <c r="K247" s="136"/>
      <c r="Q247" s="244"/>
    </row>
    <row r="248" spans="11:17" x14ac:dyDescent="0.15">
      <c r="K248" s="136"/>
      <c r="Q248" s="244"/>
    </row>
    <row r="249" spans="11:17" x14ac:dyDescent="0.15">
      <c r="K249" s="136"/>
      <c r="Q249" s="244"/>
    </row>
    <row r="250" spans="11:17" x14ac:dyDescent="0.15">
      <c r="K250" s="136"/>
      <c r="Q250" s="244"/>
    </row>
    <row r="251" spans="11:17" x14ac:dyDescent="0.15">
      <c r="K251" s="136"/>
      <c r="Q251" s="244"/>
    </row>
    <row r="252" spans="11:17" x14ac:dyDescent="0.15">
      <c r="K252" s="136"/>
      <c r="Q252" s="244"/>
    </row>
    <row r="253" spans="11:17" x14ac:dyDescent="0.15">
      <c r="K253" s="136"/>
      <c r="Q253" s="244"/>
    </row>
    <row r="254" spans="11:17" x14ac:dyDescent="0.15">
      <c r="K254" s="136"/>
      <c r="Q254" s="244"/>
    </row>
    <row r="255" spans="11:17" x14ac:dyDescent="0.15">
      <c r="K255" s="136"/>
      <c r="Q255" s="244"/>
    </row>
    <row r="256" spans="11:17" x14ac:dyDescent="0.15">
      <c r="K256" s="136"/>
      <c r="Q256" s="244"/>
    </row>
    <row r="257" spans="11:17" x14ac:dyDescent="0.15">
      <c r="K257" s="136"/>
      <c r="Q257" s="244"/>
    </row>
    <row r="258" spans="11:17" x14ac:dyDescent="0.15">
      <c r="K258" s="136"/>
      <c r="Q258" s="244"/>
    </row>
    <row r="259" spans="11:17" x14ac:dyDescent="0.15">
      <c r="K259" s="136"/>
      <c r="Q259" s="244"/>
    </row>
    <row r="260" spans="11:17" x14ac:dyDescent="0.15">
      <c r="K260" s="136"/>
      <c r="Q260" s="244"/>
    </row>
    <row r="261" spans="11:17" x14ac:dyDescent="0.15">
      <c r="K261" s="136"/>
      <c r="Q261" s="244"/>
    </row>
    <row r="262" spans="11:17" x14ac:dyDescent="0.15">
      <c r="K262" s="136"/>
      <c r="Q262" s="244"/>
    </row>
    <row r="263" spans="11:17" x14ac:dyDescent="0.15">
      <c r="K263" s="136"/>
      <c r="Q263" s="244"/>
    </row>
    <row r="264" spans="11:17" x14ac:dyDescent="0.15">
      <c r="K264" s="136"/>
      <c r="Q264" s="244"/>
    </row>
    <row r="265" spans="11:17" x14ac:dyDescent="0.15">
      <c r="K265" s="136"/>
      <c r="Q265" s="244"/>
    </row>
    <row r="266" spans="11:17" x14ac:dyDescent="0.15">
      <c r="K266" s="136"/>
      <c r="Q266" s="244"/>
    </row>
    <row r="267" spans="11:17" x14ac:dyDescent="0.15">
      <c r="K267" s="136"/>
      <c r="Q267" s="244"/>
    </row>
    <row r="268" spans="11:17" x14ac:dyDescent="0.15">
      <c r="K268" s="136"/>
      <c r="Q268" s="244"/>
    </row>
    <row r="269" spans="11:17" x14ac:dyDescent="0.15">
      <c r="K269" s="136"/>
      <c r="Q269" s="244"/>
    </row>
    <row r="270" spans="11:17" x14ac:dyDescent="0.15">
      <c r="K270" s="136"/>
      <c r="Q270" s="244"/>
    </row>
    <row r="271" spans="11:17" x14ac:dyDescent="0.15">
      <c r="K271" s="136"/>
      <c r="Q271" s="244"/>
    </row>
    <row r="272" spans="11:17" x14ac:dyDescent="0.15">
      <c r="K272" s="136"/>
      <c r="Q272" s="244"/>
    </row>
    <row r="273" spans="11:17" x14ac:dyDescent="0.15">
      <c r="K273" s="136"/>
      <c r="Q273" s="244"/>
    </row>
    <row r="274" spans="11:17" x14ac:dyDescent="0.15">
      <c r="K274" s="136"/>
      <c r="Q274" s="244"/>
    </row>
    <row r="275" spans="11:17" x14ac:dyDescent="0.15">
      <c r="K275" s="136"/>
      <c r="Q275" s="244"/>
    </row>
    <row r="276" spans="11:17" x14ac:dyDescent="0.15">
      <c r="K276" s="136"/>
      <c r="Q276" s="244"/>
    </row>
    <row r="277" spans="11:17" x14ac:dyDescent="0.15">
      <c r="K277" s="136"/>
      <c r="Q277" s="244"/>
    </row>
    <row r="278" spans="11:17" x14ac:dyDescent="0.15">
      <c r="K278" s="136"/>
      <c r="Q278" s="244"/>
    </row>
    <row r="279" spans="11:17" x14ac:dyDescent="0.15">
      <c r="K279" s="136"/>
      <c r="Q279" s="244"/>
    </row>
    <row r="280" spans="11:17" x14ac:dyDescent="0.15">
      <c r="K280" s="136"/>
      <c r="Q280" s="244"/>
    </row>
    <row r="281" spans="11:17" x14ac:dyDescent="0.15">
      <c r="K281" s="136"/>
      <c r="Q281" s="244"/>
    </row>
    <row r="282" spans="11:17" x14ac:dyDescent="0.15">
      <c r="K282" s="136"/>
      <c r="Q282" s="244"/>
    </row>
    <row r="283" spans="11:17" x14ac:dyDescent="0.15">
      <c r="K283" s="136"/>
      <c r="Q283" s="244"/>
    </row>
    <row r="284" spans="11:17" x14ac:dyDescent="0.15">
      <c r="K284" s="136"/>
      <c r="Q284" s="244"/>
    </row>
    <row r="285" spans="11:17" x14ac:dyDescent="0.15">
      <c r="K285" s="136"/>
      <c r="Q285" s="244"/>
    </row>
    <row r="286" spans="11:17" x14ac:dyDescent="0.15">
      <c r="K286" s="136"/>
      <c r="Q286" s="244"/>
    </row>
    <row r="287" spans="11:17" x14ac:dyDescent="0.15">
      <c r="K287" s="136"/>
      <c r="Q287" s="244"/>
    </row>
    <row r="288" spans="11:17" x14ac:dyDescent="0.15">
      <c r="K288" s="136"/>
      <c r="Q288" s="244"/>
    </row>
    <row r="289" spans="11:17" x14ac:dyDescent="0.15">
      <c r="K289" s="136"/>
      <c r="Q289" s="244"/>
    </row>
    <row r="290" spans="11:17" x14ac:dyDescent="0.15">
      <c r="K290" s="136"/>
      <c r="Q290" s="244"/>
    </row>
    <row r="291" spans="11:17" x14ac:dyDescent="0.15">
      <c r="K291" s="136"/>
      <c r="Q291" s="244"/>
    </row>
    <row r="292" spans="11:17" x14ac:dyDescent="0.15">
      <c r="K292" s="136"/>
    </row>
    <row r="293" spans="11:17" x14ac:dyDescent="0.15">
      <c r="K293" s="136"/>
    </row>
    <row r="294" spans="11:17" x14ac:dyDescent="0.15">
      <c r="K294" s="136"/>
    </row>
    <row r="295" spans="11:17" x14ac:dyDescent="0.15">
      <c r="K295" s="136"/>
    </row>
    <row r="296" spans="11:17" x14ac:dyDescent="0.15">
      <c r="K296" s="136"/>
    </row>
    <row r="297" spans="11:17" x14ac:dyDescent="0.15">
      <c r="K297" s="136"/>
    </row>
    <row r="298" spans="11:17" x14ac:dyDescent="0.15">
      <c r="K298" s="136"/>
    </row>
    <row r="299" spans="11:17" x14ac:dyDescent="0.15">
      <c r="K299" s="136"/>
    </row>
    <row r="300" spans="11:17" x14ac:dyDescent="0.15">
      <c r="K300" s="136"/>
    </row>
    <row r="301" spans="11:17" x14ac:dyDescent="0.15">
      <c r="K301" s="136"/>
    </row>
    <row r="302" spans="11:17" x14ac:dyDescent="0.15">
      <c r="K302" s="136"/>
    </row>
    <row r="303" spans="11:17" x14ac:dyDescent="0.15">
      <c r="K303" s="136"/>
    </row>
    <row r="304" spans="11:17" x14ac:dyDescent="0.15">
      <c r="K304" s="136"/>
    </row>
    <row r="305" spans="11:11" x14ac:dyDescent="0.15">
      <c r="K305" s="136"/>
    </row>
    <row r="306" spans="11:11" x14ac:dyDescent="0.15">
      <c r="K306" s="136"/>
    </row>
    <row r="307" spans="11:11" x14ac:dyDescent="0.15">
      <c r="K307" s="136"/>
    </row>
    <row r="308" spans="11:11" x14ac:dyDescent="0.15">
      <c r="K308" s="136"/>
    </row>
    <row r="309" spans="11:11" x14ac:dyDescent="0.15">
      <c r="K309" s="136"/>
    </row>
    <row r="310" spans="11:11" x14ac:dyDescent="0.15">
      <c r="K310" s="136"/>
    </row>
    <row r="311" spans="11:11" x14ac:dyDescent="0.15">
      <c r="K311" s="136"/>
    </row>
    <row r="312" spans="11:11" x14ac:dyDescent="0.15">
      <c r="K312" s="136"/>
    </row>
    <row r="313" spans="11:11" x14ac:dyDescent="0.15">
      <c r="K313" s="136"/>
    </row>
    <row r="314" spans="11:11" x14ac:dyDescent="0.15">
      <c r="K314" s="136"/>
    </row>
    <row r="315" spans="11:11" x14ac:dyDescent="0.15">
      <c r="K315" s="136"/>
    </row>
    <row r="316" spans="11:11" x14ac:dyDescent="0.15">
      <c r="K316" s="136"/>
    </row>
    <row r="317" spans="11:11" x14ac:dyDescent="0.15">
      <c r="K317" s="136"/>
    </row>
    <row r="318" spans="11:11" x14ac:dyDescent="0.15">
      <c r="K318" s="136"/>
    </row>
    <row r="319" spans="11:11" x14ac:dyDescent="0.15">
      <c r="K319" s="136"/>
    </row>
    <row r="320" spans="11:11" x14ac:dyDescent="0.15">
      <c r="K320" s="136"/>
    </row>
    <row r="321" spans="11:11" x14ac:dyDescent="0.15">
      <c r="K321" s="136"/>
    </row>
    <row r="322" spans="11:11" x14ac:dyDescent="0.15">
      <c r="K322" s="136"/>
    </row>
    <row r="323" spans="11:11" x14ac:dyDescent="0.15">
      <c r="K323" s="136"/>
    </row>
    <row r="324" spans="11:11" x14ac:dyDescent="0.15">
      <c r="K324" s="136"/>
    </row>
    <row r="325" spans="11:11" x14ac:dyDescent="0.15">
      <c r="K325" s="136"/>
    </row>
    <row r="326" spans="11:11" x14ac:dyDescent="0.15">
      <c r="K326" s="136"/>
    </row>
    <row r="327" spans="11:11" x14ac:dyDescent="0.15">
      <c r="K327" s="136"/>
    </row>
    <row r="328" spans="11:11" x14ac:dyDescent="0.15">
      <c r="K328" s="136"/>
    </row>
    <row r="329" spans="11:11" x14ac:dyDescent="0.15">
      <c r="K329" s="136"/>
    </row>
    <row r="330" spans="11:11" x14ac:dyDescent="0.15">
      <c r="K330" s="136"/>
    </row>
    <row r="331" spans="11:11" x14ac:dyDescent="0.15">
      <c r="K331" s="136"/>
    </row>
    <row r="332" spans="11:11" x14ac:dyDescent="0.15">
      <c r="K332" s="136"/>
    </row>
    <row r="333" spans="11:11" x14ac:dyDescent="0.15">
      <c r="K333" s="136"/>
    </row>
    <row r="334" spans="11:11" x14ac:dyDescent="0.15">
      <c r="K334" s="136"/>
    </row>
    <row r="335" spans="11:11" x14ac:dyDescent="0.15">
      <c r="K335" s="136"/>
    </row>
    <row r="336" spans="11:11" x14ac:dyDescent="0.15">
      <c r="K336" s="136"/>
    </row>
    <row r="337" spans="11:11" x14ac:dyDescent="0.15">
      <c r="K337" s="136"/>
    </row>
    <row r="338" spans="11:11" x14ac:dyDescent="0.15">
      <c r="K338" s="136"/>
    </row>
    <row r="339" spans="11:11" x14ac:dyDescent="0.15">
      <c r="K339" s="136"/>
    </row>
    <row r="340" spans="11:11" x14ac:dyDescent="0.15">
      <c r="K340" s="136"/>
    </row>
    <row r="341" spans="11:11" x14ac:dyDescent="0.15">
      <c r="K341" s="136"/>
    </row>
    <row r="342" spans="11:11" x14ac:dyDescent="0.15">
      <c r="K342" s="136"/>
    </row>
    <row r="343" spans="11:11" x14ac:dyDescent="0.15">
      <c r="K343" s="136"/>
    </row>
    <row r="344" spans="11:11" x14ac:dyDescent="0.15">
      <c r="K344" s="136"/>
    </row>
    <row r="345" spans="11:11" x14ac:dyDescent="0.15">
      <c r="K345" s="136"/>
    </row>
    <row r="346" spans="11:11" x14ac:dyDescent="0.15">
      <c r="K346" s="136"/>
    </row>
    <row r="347" spans="11:11" x14ac:dyDescent="0.15">
      <c r="K347" s="136"/>
    </row>
    <row r="348" spans="11:11" x14ac:dyDescent="0.15">
      <c r="K348" s="136"/>
    </row>
    <row r="349" spans="11:11" x14ac:dyDescent="0.15">
      <c r="K349" s="136"/>
    </row>
    <row r="350" spans="11:11" x14ac:dyDescent="0.15">
      <c r="K350" s="136"/>
    </row>
    <row r="351" spans="11:11" x14ac:dyDescent="0.15">
      <c r="K351" s="136"/>
    </row>
    <row r="352" spans="11:11" x14ac:dyDescent="0.15">
      <c r="K352" s="136"/>
    </row>
    <row r="353" spans="11:11" x14ac:dyDescent="0.15">
      <c r="K353" s="136"/>
    </row>
    <row r="354" spans="11:11" x14ac:dyDescent="0.15">
      <c r="K354" s="136"/>
    </row>
    <row r="355" spans="11:11" x14ac:dyDescent="0.15">
      <c r="K355" s="136"/>
    </row>
    <row r="356" spans="11:11" x14ac:dyDescent="0.15">
      <c r="K356" s="136"/>
    </row>
    <row r="357" spans="11:11" x14ac:dyDescent="0.15">
      <c r="K357" s="136"/>
    </row>
    <row r="358" spans="11:11" x14ac:dyDescent="0.15">
      <c r="K358" s="136"/>
    </row>
    <row r="359" spans="11:11" x14ac:dyDescent="0.15">
      <c r="K359" s="136"/>
    </row>
    <row r="360" spans="11:11" x14ac:dyDescent="0.15">
      <c r="K360" s="136"/>
    </row>
    <row r="361" spans="11:11" x14ac:dyDescent="0.15">
      <c r="K361" s="136"/>
    </row>
    <row r="362" spans="11:11" x14ac:dyDescent="0.15">
      <c r="K362" s="136"/>
    </row>
    <row r="363" spans="11:11" x14ac:dyDescent="0.15">
      <c r="K363" s="136"/>
    </row>
    <row r="364" spans="11:11" x14ac:dyDescent="0.15">
      <c r="K364" s="136"/>
    </row>
    <row r="365" spans="11:11" x14ac:dyDescent="0.15">
      <c r="K365" s="136"/>
    </row>
    <row r="366" spans="11:11" x14ac:dyDescent="0.15">
      <c r="K366" s="136"/>
    </row>
    <row r="367" spans="11:11" x14ac:dyDescent="0.15">
      <c r="K367" s="136"/>
    </row>
    <row r="368" spans="11:11" x14ac:dyDescent="0.15">
      <c r="K368" s="136"/>
    </row>
    <row r="369" spans="11:11" x14ac:dyDescent="0.15">
      <c r="K369" s="136"/>
    </row>
    <row r="370" spans="11:11" x14ac:dyDescent="0.15">
      <c r="K370" s="136"/>
    </row>
    <row r="371" spans="11:11" x14ac:dyDescent="0.15">
      <c r="K371" s="136"/>
    </row>
    <row r="372" spans="11:11" x14ac:dyDescent="0.15">
      <c r="K372" s="136"/>
    </row>
    <row r="373" spans="11:11" x14ac:dyDescent="0.15">
      <c r="K373" s="136"/>
    </row>
    <row r="374" spans="11:11" x14ac:dyDescent="0.15">
      <c r="K374" s="136"/>
    </row>
    <row r="375" spans="11:11" x14ac:dyDescent="0.15">
      <c r="K375" s="136"/>
    </row>
    <row r="376" spans="11:11" x14ac:dyDescent="0.15">
      <c r="K376" s="136"/>
    </row>
    <row r="377" spans="11:11" x14ac:dyDescent="0.15">
      <c r="K377" s="136"/>
    </row>
    <row r="378" spans="11:11" x14ac:dyDescent="0.15">
      <c r="K378" s="136"/>
    </row>
    <row r="379" spans="11:11" x14ac:dyDescent="0.15">
      <c r="K379" s="136"/>
    </row>
    <row r="380" spans="11:11" x14ac:dyDescent="0.15">
      <c r="K380" s="136"/>
    </row>
    <row r="381" spans="11:11" x14ac:dyDescent="0.15">
      <c r="K381" s="136"/>
    </row>
    <row r="382" spans="11:11" x14ac:dyDescent="0.15">
      <c r="K382" s="136"/>
    </row>
    <row r="383" spans="11:11" x14ac:dyDescent="0.15">
      <c r="K383" s="136"/>
    </row>
    <row r="384" spans="11:11" x14ac:dyDescent="0.15">
      <c r="K384" s="136"/>
    </row>
    <row r="385" spans="11:11" x14ac:dyDescent="0.15">
      <c r="K385" s="136"/>
    </row>
    <row r="386" spans="11:11" x14ac:dyDescent="0.15">
      <c r="K386" s="136"/>
    </row>
    <row r="387" spans="11:11" x14ac:dyDescent="0.15">
      <c r="K387" s="136"/>
    </row>
    <row r="388" spans="11:11" x14ac:dyDescent="0.15">
      <c r="K388" s="136"/>
    </row>
    <row r="389" spans="11:11" x14ac:dyDescent="0.15">
      <c r="K389" s="136"/>
    </row>
    <row r="390" spans="11:11" x14ac:dyDescent="0.15">
      <c r="K390" s="136"/>
    </row>
    <row r="391" spans="11:11" x14ac:dyDescent="0.15">
      <c r="K391" s="136"/>
    </row>
    <row r="392" spans="11:11" x14ac:dyDescent="0.15">
      <c r="K392" s="136"/>
    </row>
    <row r="393" spans="11:11" x14ac:dyDescent="0.15">
      <c r="K393" s="136"/>
    </row>
    <row r="394" spans="11:11" x14ac:dyDescent="0.15">
      <c r="K394" s="136"/>
    </row>
    <row r="395" spans="11:11" x14ac:dyDescent="0.15">
      <c r="K395" s="136"/>
    </row>
    <row r="396" spans="11:11" x14ac:dyDescent="0.15">
      <c r="K396" s="136"/>
    </row>
    <row r="397" spans="11:11" x14ac:dyDescent="0.15">
      <c r="K397" s="136"/>
    </row>
    <row r="398" spans="11:11" x14ac:dyDescent="0.15">
      <c r="K398" s="136"/>
    </row>
    <row r="399" spans="11:11" x14ac:dyDescent="0.15">
      <c r="K399" s="136"/>
    </row>
    <row r="400" spans="11:11" x14ac:dyDescent="0.15">
      <c r="K400" s="136"/>
    </row>
    <row r="401" spans="11:11" x14ac:dyDescent="0.15">
      <c r="K401" s="136"/>
    </row>
    <row r="402" spans="11:11" x14ac:dyDescent="0.15">
      <c r="K402" s="136"/>
    </row>
    <row r="403" spans="11:11" x14ac:dyDescent="0.15">
      <c r="K403" s="136"/>
    </row>
    <row r="404" spans="11:11" x14ac:dyDescent="0.15">
      <c r="K404" s="136"/>
    </row>
    <row r="405" spans="11:11" x14ac:dyDescent="0.15">
      <c r="K405" s="136"/>
    </row>
    <row r="406" spans="11:11" x14ac:dyDescent="0.15">
      <c r="K406" s="136"/>
    </row>
    <row r="407" spans="11:11" x14ac:dyDescent="0.15">
      <c r="K407" s="136"/>
    </row>
    <row r="408" spans="11:11" x14ac:dyDescent="0.15">
      <c r="K408" s="136"/>
    </row>
    <row r="409" spans="11:11" x14ac:dyDescent="0.15">
      <c r="K409" s="136"/>
    </row>
    <row r="410" spans="11:11" x14ac:dyDescent="0.15">
      <c r="K410" s="136"/>
    </row>
    <row r="411" spans="11:11" x14ac:dyDescent="0.15">
      <c r="K411" s="136"/>
    </row>
    <row r="412" spans="11:11" x14ac:dyDescent="0.15">
      <c r="K412" s="136"/>
    </row>
    <row r="413" spans="11:11" x14ac:dyDescent="0.15">
      <c r="K413" s="136"/>
    </row>
    <row r="414" spans="11:11" x14ac:dyDescent="0.15">
      <c r="K414" s="136"/>
    </row>
    <row r="415" spans="11:11" x14ac:dyDescent="0.15">
      <c r="K415" s="136"/>
    </row>
    <row r="416" spans="11:11" x14ac:dyDescent="0.15">
      <c r="K416" s="136"/>
    </row>
    <row r="417" spans="11:11" x14ac:dyDescent="0.15">
      <c r="K417" s="136"/>
    </row>
    <row r="418" spans="11:11" x14ac:dyDescent="0.15">
      <c r="K418" s="136"/>
    </row>
    <row r="419" spans="11:11" x14ac:dyDescent="0.15">
      <c r="K419" s="136"/>
    </row>
    <row r="420" spans="11:11" x14ac:dyDescent="0.15">
      <c r="K420" s="136"/>
    </row>
    <row r="421" spans="11:11" x14ac:dyDescent="0.15">
      <c r="K421" s="136"/>
    </row>
    <row r="422" spans="11:11" x14ac:dyDescent="0.15">
      <c r="K422" s="136"/>
    </row>
    <row r="423" spans="11:11" x14ac:dyDescent="0.15">
      <c r="K423" s="136"/>
    </row>
    <row r="424" spans="11:11" x14ac:dyDescent="0.15">
      <c r="K424" s="136"/>
    </row>
    <row r="425" spans="11:11" x14ac:dyDescent="0.15">
      <c r="K425" s="136"/>
    </row>
    <row r="426" spans="11:11" x14ac:dyDescent="0.15">
      <c r="K426" s="136"/>
    </row>
    <row r="427" spans="11:11" x14ac:dyDescent="0.15">
      <c r="K427" s="136"/>
    </row>
    <row r="428" spans="11:11" x14ac:dyDescent="0.15">
      <c r="K428" s="136"/>
    </row>
    <row r="429" spans="11:11" x14ac:dyDescent="0.15">
      <c r="K429" s="136"/>
    </row>
    <row r="430" spans="11:11" x14ac:dyDescent="0.15">
      <c r="K430" s="136"/>
    </row>
    <row r="431" spans="11:11" x14ac:dyDescent="0.15">
      <c r="K431" s="136"/>
    </row>
    <row r="432" spans="11:11" x14ac:dyDescent="0.15">
      <c r="K432" s="136"/>
    </row>
    <row r="433" spans="11:11" x14ac:dyDescent="0.15">
      <c r="K433" s="136"/>
    </row>
    <row r="434" spans="11:11" x14ac:dyDescent="0.15">
      <c r="K434" s="136"/>
    </row>
    <row r="435" spans="11:11" x14ac:dyDescent="0.15">
      <c r="K435" s="136"/>
    </row>
    <row r="436" spans="11:11" x14ac:dyDescent="0.15">
      <c r="K436" s="136"/>
    </row>
    <row r="437" spans="11:11" x14ac:dyDescent="0.15">
      <c r="K437" s="136"/>
    </row>
    <row r="438" spans="11:11" x14ac:dyDescent="0.15">
      <c r="K438" s="136"/>
    </row>
    <row r="439" spans="11:11" x14ac:dyDescent="0.15">
      <c r="K439" s="136"/>
    </row>
    <row r="440" spans="11:11" x14ac:dyDescent="0.15">
      <c r="K440" s="136"/>
    </row>
    <row r="441" spans="11:11" x14ac:dyDescent="0.15">
      <c r="K441" s="136"/>
    </row>
    <row r="442" spans="11:11" x14ac:dyDescent="0.15">
      <c r="K442" s="136"/>
    </row>
    <row r="443" spans="11:11" x14ac:dyDescent="0.15">
      <c r="K443" s="136"/>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85" zoomScaleNormal="85" workbookViewId="0">
      <selection activeCell="K1" sqref="K1"/>
    </sheetView>
  </sheetViews>
  <sheetFormatPr defaultRowHeight="13.5" x14ac:dyDescent="0.15"/>
  <cols>
    <col min="1" max="3" width="9" style="207"/>
    <col min="4" max="4" width="10.5" style="207" bestFit="1" customWidth="1"/>
    <col min="5" max="5" width="10.875" style="207" bestFit="1" customWidth="1"/>
    <col min="6" max="6" width="18.875" style="207" bestFit="1" customWidth="1"/>
    <col min="7" max="9" width="9" style="207"/>
    <col min="10" max="10" width="9.25" style="207" customWidth="1"/>
    <col min="11" max="16" width="9" style="207"/>
    <col min="17" max="17" width="9" style="216"/>
    <col min="18" max="19" width="9" style="207"/>
    <col min="20" max="20" width="9" style="216"/>
    <col min="21" max="21" width="9" style="207"/>
    <col min="22" max="22" width="14.25" style="216" customWidth="1"/>
    <col min="23" max="23" width="9" style="207"/>
    <col min="24" max="24" width="9.625" style="207" customWidth="1"/>
    <col min="25" max="26" width="9" style="207"/>
    <col min="27" max="27" width="12.125" style="207" customWidth="1"/>
    <col min="28" max="32" width="9" style="207"/>
    <col min="33" max="33" width="15.125" style="207" bestFit="1" customWidth="1"/>
    <col min="34" max="34" width="19.625" style="207" bestFit="1" customWidth="1"/>
    <col min="35" max="16384" width="9" style="207"/>
  </cols>
  <sheetData>
    <row r="1" spans="1:53" ht="45" x14ac:dyDescent="0.15">
      <c r="A1" s="239" t="s">
        <v>0</v>
      </c>
      <c r="B1" s="201" t="s">
        <v>1</v>
      </c>
      <c r="C1" s="201" t="s">
        <v>157</v>
      </c>
      <c r="D1" s="202" t="s">
        <v>3</v>
      </c>
      <c r="E1" s="240" t="s">
        <v>4</v>
      </c>
      <c r="F1" s="240" t="s">
        <v>5</v>
      </c>
      <c r="G1" s="240" t="s">
        <v>6</v>
      </c>
      <c r="H1" s="240" t="s">
        <v>7</v>
      </c>
      <c r="I1" s="240" t="s">
        <v>8</v>
      </c>
      <c r="J1" s="240" t="s">
        <v>9</v>
      </c>
      <c r="K1" s="240" t="s">
        <v>10</v>
      </c>
      <c r="L1" s="202" t="s">
        <v>158</v>
      </c>
      <c r="M1" s="202" t="s">
        <v>12</v>
      </c>
      <c r="N1" s="202" t="s">
        <v>13</v>
      </c>
      <c r="O1" s="202" t="s">
        <v>159</v>
      </c>
      <c r="P1" s="202" t="s">
        <v>15</v>
      </c>
      <c r="Q1" s="203" t="s">
        <v>16</v>
      </c>
      <c r="R1" s="202" t="s">
        <v>17</v>
      </c>
      <c r="S1" s="202" t="s">
        <v>18</v>
      </c>
      <c r="T1" s="203" t="s">
        <v>19</v>
      </c>
      <c r="U1" s="204" t="s">
        <v>263</v>
      </c>
      <c r="V1" s="205" t="s">
        <v>20</v>
      </c>
      <c r="W1" s="202" t="s">
        <v>21</v>
      </c>
      <c r="X1" s="240" t="s">
        <v>22</v>
      </c>
      <c r="Y1" s="240" t="s">
        <v>23</v>
      </c>
      <c r="Z1" s="240" t="s">
        <v>320</v>
      </c>
      <c r="AA1" s="241" t="s">
        <v>25</v>
      </c>
      <c r="AB1" s="206" t="s">
        <v>160</v>
      </c>
      <c r="AE1" s="208" t="s">
        <v>0</v>
      </c>
      <c r="AF1" s="209"/>
      <c r="AG1" s="248" t="s">
        <v>4</v>
      </c>
      <c r="AH1" s="208" t="s">
        <v>5</v>
      </c>
      <c r="AI1" s="209"/>
      <c r="AJ1" s="208" t="s">
        <v>6</v>
      </c>
      <c r="AK1" s="209"/>
      <c r="AL1" s="210" t="s">
        <v>7</v>
      </c>
      <c r="AM1" s="209"/>
      <c r="AN1" s="210" t="s">
        <v>8</v>
      </c>
      <c r="AO1" s="209"/>
      <c r="AP1" s="210" t="s">
        <v>27</v>
      </c>
      <c r="AQ1" s="209"/>
      <c r="AR1" s="210" t="s">
        <v>10</v>
      </c>
      <c r="AS1" s="209"/>
      <c r="AT1" s="211" t="s">
        <v>28</v>
      </c>
      <c r="AU1" s="209"/>
      <c r="AV1" s="210" t="s">
        <v>29</v>
      </c>
      <c r="AX1" s="212" t="s">
        <v>161</v>
      </c>
      <c r="AY1" s="213" t="s">
        <v>162</v>
      </c>
      <c r="AZ1" s="213" t="s">
        <v>163</v>
      </c>
      <c r="BA1" s="214" t="s">
        <v>164</v>
      </c>
    </row>
    <row r="2" spans="1:53" s="215" customFormat="1" x14ac:dyDescent="0.15">
      <c r="A2" s="215" t="s">
        <v>34</v>
      </c>
      <c r="B2" s="207" t="s">
        <v>338</v>
      </c>
      <c r="C2" s="207">
        <v>2018</v>
      </c>
      <c r="D2" s="249" t="s">
        <v>447</v>
      </c>
      <c r="E2" s="236" t="s">
        <v>214</v>
      </c>
      <c r="F2" s="236" t="s">
        <v>330</v>
      </c>
      <c r="G2" s="215" t="s">
        <v>36</v>
      </c>
      <c r="H2" s="207" t="s">
        <v>155</v>
      </c>
      <c r="I2" s="215" t="s">
        <v>153</v>
      </c>
      <c r="J2" s="215" t="s">
        <v>38</v>
      </c>
      <c r="K2" s="215" t="s">
        <v>154</v>
      </c>
      <c r="L2" s="215">
        <v>1</v>
      </c>
      <c r="N2" s="215">
        <v>1</v>
      </c>
      <c r="O2" s="215">
        <v>0.65</v>
      </c>
      <c r="P2" s="215">
        <v>0.65</v>
      </c>
      <c r="Q2" s="244">
        <f t="shared" ref="Q2:Q85" si="0">IF(OR(O2="",P2=""),"",AVERAGE(O2,P2))</f>
        <v>0.65</v>
      </c>
      <c r="R2" s="215">
        <v>16.600000000000001</v>
      </c>
      <c r="S2" s="215">
        <v>105</v>
      </c>
      <c r="T2" s="216">
        <f t="shared" ref="T2:T100" si="1">IF(H2="","",IF(OR(H2="GREEN",H2="GK"),IF(S2&gt;=$AX$2,VLOOKUP(S2,$AX$2:$AY$9,2,1),""),IF(S2&gt;=$AZ$2,VLOOKUP(S2,$AZ$2:$BA$9,2,1),"")))</f>
        <v>33</v>
      </c>
      <c r="U2" s="215">
        <v>105</v>
      </c>
      <c r="V2" s="216">
        <f t="shared" ref="V2:V100" si="2">IF(OR(N2="",U2="",T2=""),"",U2/N2*T2)</f>
        <v>3465</v>
      </c>
      <c r="W2" s="215">
        <v>5</v>
      </c>
      <c r="X2" s="215" t="s">
        <v>39</v>
      </c>
      <c r="Y2" s="215" t="s">
        <v>50</v>
      </c>
      <c r="Z2" s="215" t="s">
        <v>78</v>
      </c>
      <c r="AA2" s="215" t="s">
        <v>84</v>
      </c>
      <c r="AB2" s="215" t="s">
        <v>340</v>
      </c>
      <c r="AE2" s="217" t="s">
        <v>35</v>
      </c>
      <c r="AG2" s="250" t="s">
        <v>286</v>
      </c>
      <c r="AH2" s="242" t="s">
        <v>321</v>
      </c>
      <c r="AJ2" s="218" t="s">
        <v>36</v>
      </c>
      <c r="AL2" s="218" t="s">
        <v>127</v>
      </c>
      <c r="AN2" s="218" t="s">
        <v>37</v>
      </c>
      <c r="AP2" s="218" t="s">
        <v>38</v>
      </c>
      <c r="AR2" s="218" t="s">
        <v>120</v>
      </c>
      <c r="AT2" s="218" t="s">
        <v>39</v>
      </c>
      <c r="AV2" s="247" t="s">
        <v>40</v>
      </c>
      <c r="AX2" s="219">
        <v>1</v>
      </c>
      <c r="AY2" s="220">
        <v>50</v>
      </c>
      <c r="AZ2" s="220">
        <v>1</v>
      </c>
      <c r="BA2" s="221">
        <v>50</v>
      </c>
    </row>
    <row r="3" spans="1:53" x14ac:dyDescent="0.15">
      <c r="A3" s="215" t="s">
        <v>34</v>
      </c>
      <c r="B3" s="207" t="s">
        <v>338</v>
      </c>
      <c r="C3" s="207">
        <v>2018</v>
      </c>
      <c r="D3" s="249" t="s">
        <v>447</v>
      </c>
      <c r="E3" s="236" t="s">
        <v>214</v>
      </c>
      <c r="F3" s="236" t="s">
        <v>330</v>
      </c>
      <c r="G3" s="215" t="s">
        <v>36</v>
      </c>
      <c r="H3" s="207" t="s">
        <v>155</v>
      </c>
      <c r="I3" s="215" t="s">
        <v>153</v>
      </c>
      <c r="J3" s="215" t="s">
        <v>38</v>
      </c>
      <c r="K3" s="215" t="s">
        <v>154</v>
      </c>
      <c r="L3" s="207">
        <v>2</v>
      </c>
      <c r="N3" s="207">
        <v>1</v>
      </c>
      <c r="O3" s="207">
        <v>0.65</v>
      </c>
      <c r="P3" s="207">
        <v>0.6</v>
      </c>
      <c r="Q3" s="244">
        <f t="shared" si="0"/>
        <v>0.625</v>
      </c>
      <c r="R3" s="207">
        <v>14.4</v>
      </c>
      <c r="S3" s="207">
        <v>103</v>
      </c>
      <c r="T3" s="216">
        <f t="shared" si="1"/>
        <v>33</v>
      </c>
      <c r="U3" s="207">
        <v>105</v>
      </c>
      <c r="V3" s="216">
        <f t="shared" si="2"/>
        <v>3465</v>
      </c>
      <c r="W3" s="215">
        <v>5</v>
      </c>
      <c r="X3" s="215" t="s">
        <v>39</v>
      </c>
      <c r="Y3" s="215" t="s">
        <v>50</v>
      </c>
      <c r="Z3" s="215" t="s">
        <v>78</v>
      </c>
      <c r="AA3" s="215" t="s">
        <v>84</v>
      </c>
      <c r="AB3" s="215" t="s">
        <v>340</v>
      </c>
      <c r="AC3" s="215"/>
      <c r="AE3" s="222" t="s">
        <v>41</v>
      </c>
      <c r="AG3" s="251" t="s">
        <v>322</v>
      </c>
      <c r="AH3" s="242" t="s">
        <v>323</v>
      </c>
      <c r="AJ3" s="223" t="s">
        <v>42</v>
      </c>
      <c r="AL3" s="223" t="s">
        <v>128</v>
      </c>
      <c r="AN3" s="223" t="s">
        <v>43</v>
      </c>
      <c r="AP3" s="223" t="s">
        <v>44</v>
      </c>
      <c r="AR3" s="237" t="s">
        <v>45</v>
      </c>
      <c r="AT3" s="223" t="s">
        <v>46</v>
      </c>
      <c r="AV3" s="223" t="s">
        <v>47</v>
      </c>
      <c r="AX3" s="224">
        <v>72</v>
      </c>
      <c r="AY3" s="225">
        <v>46</v>
      </c>
      <c r="AZ3" s="225">
        <v>71</v>
      </c>
      <c r="BA3" s="226">
        <v>42</v>
      </c>
    </row>
    <row r="4" spans="1:53" x14ac:dyDescent="0.15">
      <c r="A4" s="215" t="s">
        <v>34</v>
      </c>
      <c r="B4" s="207" t="s">
        <v>338</v>
      </c>
      <c r="C4" s="207">
        <v>2018</v>
      </c>
      <c r="D4" s="249" t="s">
        <v>447</v>
      </c>
      <c r="E4" s="236" t="s">
        <v>214</v>
      </c>
      <c r="F4" s="236" t="s">
        <v>330</v>
      </c>
      <c r="G4" s="215" t="s">
        <v>36</v>
      </c>
      <c r="H4" s="207" t="s">
        <v>155</v>
      </c>
      <c r="I4" s="215" t="s">
        <v>153</v>
      </c>
      <c r="J4" s="215" t="s">
        <v>38</v>
      </c>
      <c r="K4" s="215" t="s">
        <v>154</v>
      </c>
      <c r="L4" s="207">
        <v>3</v>
      </c>
      <c r="N4" s="207">
        <v>1</v>
      </c>
      <c r="O4" s="207">
        <v>0.7</v>
      </c>
      <c r="P4" s="207">
        <v>0.6</v>
      </c>
      <c r="Q4" s="244">
        <f t="shared" si="0"/>
        <v>0.64999999999999991</v>
      </c>
      <c r="R4" s="207">
        <v>14.4</v>
      </c>
      <c r="S4" s="207">
        <v>103</v>
      </c>
      <c r="T4" s="216">
        <f t="shared" si="1"/>
        <v>33</v>
      </c>
      <c r="U4" s="207">
        <v>105</v>
      </c>
      <c r="V4" s="216">
        <f t="shared" si="2"/>
        <v>3465</v>
      </c>
      <c r="W4" s="207">
        <v>5</v>
      </c>
      <c r="X4" s="215" t="s">
        <v>39</v>
      </c>
      <c r="Y4" s="215" t="s">
        <v>50</v>
      </c>
      <c r="Z4" s="215" t="s">
        <v>78</v>
      </c>
      <c r="AA4" s="215" t="s">
        <v>84</v>
      </c>
      <c r="AB4" s="215" t="s">
        <v>340</v>
      </c>
      <c r="AC4" s="215"/>
      <c r="AE4" s="222" t="s">
        <v>34</v>
      </c>
      <c r="AG4" s="251" t="s">
        <v>324</v>
      </c>
      <c r="AH4" s="242" t="s">
        <v>325</v>
      </c>
      <c r="AJ4" s="227" t="s">
        <v>48</v>
      </c>
      <c r="AL4" s="227" t="s">
        <v>129</v>
      </c>
      <c r="AN4" s="228" t="s">
        <v>49</v>
      </c>
      <c r="AP4" s="223" t="s">
        <v>93</v>
      </c>
      <c r="AR4" s="237" t="s">
        <v>121</v>
      </c>
      <c r="AT4" s="228"/>
      <c r="AV4" s="223" t="s">
        <v>50</v>
      </c>
      <c r="AX4" s="224">
        <v>75</v>
      </c>
      <c r="AY4" s="225">
        <v>42</v>
      </c>
      <c r="AZ4" s="225">
        <v>76</v>
      </c>
      <c r="BA4" s="226">
        <v>39</v>
      </c>
    </row>
    <row r="5" spans="1:53" x14ac:dyDescent="0.15">
      <c r="A5" s="215" t="s">
        <v>34</v>
      </c>
      <c r="B5" s="207" t="s">
        <v>338</v>
      </c>
      <c r="C5" s="207">
        <v>2018</v>
      </c>
      <c r="D5" s="249" t="s">
        <v>447</v>
      </c>
      <c r="E5" s="236" t="s">
        <v>214</v>
      </c>
      <c r="F5" s="236" t="s">
        <v>330</v>
      </c>
      <c r="G5" s="215" t="s">
        <v>36</v>
      </c>
      <c r="H5" s="207" t="s">
        <v>155</v>
      </c>
      <c r="I5" s="215" t="s">
        <v>153</v>
      </c>
      <c r="J5" s="215" t="s">
        <v>38</v>
      </c>
      <c r="K5" s="215" t="s">
        <v>154</v>
      </c>
      <c r="L5" s="215">
        <v>1</v>
      </c>
      <c r="N5" s="207">
        <v>5</v>
      </c>
      <c r="O5" s="207">
        <v>0.6</v>
      </c>
      <c r="P5" s="207">
        <v>0.6</v>
      </c>
      <c r="Q5" s="244">
        <f t="shared" si="0"/>
        <v>0.6</v>
      </c>
      <c r="R5" s="207">
        <v>9.8000000000000007</v>
      </c>
      <c r="S5" s="207">
        <v>93</v>
      </c>
      <c r="T5" s="216">
        <f t="shared" si="1"/>
        <v>36</v>
      </c>
      <c r="U5" s="207">
        <v>302</v>
      </c>
      <c r="V5" s="216">
        <f t="shared" si="2"/>
        <v>2174.4</v>
      </c>
      <c r="W5" s="207">
        <v>5</v>
      </c>
      <c r="X5" s="215" t="s">
        <v>39</v>
      </c>
      <c r="Y5" s="215" t="s">
        <v>50</v>
      </c>
      <c r="Z5" s="215" t="s">
        <v>78</v>
      </c>
      <c r="AA5" s="215" t="s">
        <v>84</v>
      </c>
      <c r="AB5" s="215" t="s">
        <v>340</v>
      </c>
      <c r="AE5" s="222" t="s">
        <v>51</v>
      </c>
      <c r="AG5" s="251" t="s">
        <v>326</v>
      </c>
      <c r="AH5" s="242" t="s">
        <v>327</v>
      </c>
      <c r="AJ5" s="228"/>
      <c r="AL5" s="229" t="s">
        <v>166</v>
      </c>
      <c r="AN5" s="229" t="s">
        <v>167</v>
      </c>
      <c r="AP5" s="223" t="s">
        <v>119</v>
      </c>
      <c r="AR5" s="237" t="s">
        <v>54</v>
      </c>
      <c r="AV5" s="223" t="s">
        <v>55</v>
      </c>
      <c r="AX5" s="224">
        <v>84</v>
      </c>
      <c r="AY5" s="225">
        <v>39</v>
      </c>
      <c r="AZ5" s="225">
        <v>84</v>
      </c>
      <c r="BA5" s="226">
        <v>36</v>
      </c>
    </row>
    <row r="6" spans="1:53" x14ac:dyDescent="0.15">
      <c r="A6" s="215" t="s">
        <v>34</v>
      </c>
      <c r="B6" s="207" t="s">
        <v>338</v>
      </c>
      <c r="C6" s="207">
        <v>2018</v>
      </c>
      <c r="D6" s="249" t="s">
        <v>447</v>
      </c>
      <c r="E6" s="236" t="s">
        <v>214</v>
      </c>
      <c r="F6" s="236" t="s">
        <v>330</v>
      </c>
      <c r="G6" s="215" t="s">
        <v>36</v>
      </c>
      <c r="H6" s="207" t="s">
        <v>155</v>
      </c>
      <c r="I6" s="215" t="s">
        <v>153</v>
      </c>
      <c r="J6" s="215" t="s">
        <v>38</v>
      </c>
      <c r="K6" s="215" t="s">
        <v>154</v>
      </c>
      <c r="L6" s="207">
        <v>2</v>
      </c>
      <c r="N6" s="207">
        <v>5</v>
      </c>
      <c r="O6" s="207">
        <v>0.8</v>
      </c>
      <c r="P6" s="207">
        <v>0.8</v>
      </c>
      <c r="Q6" s="244">
        <f t="shared" si="0"/>
        <v>0.8</v>
      </c>
      <c r="R6" s="207">
        <v>12.8</v>
      </c>
      <c r="S6" s="207">
        <v>91</v>
      </c>
      <c r="T6" s="216">
        <f t="shared" si="1"/>
        <v>36</v>
      </c>
      <c r="U6" s="207">
        <v>302</v>
      </c>
      <c r="V6" s="216">
        <f t="shared" si="2"/>
        <v>2174.4</v>
      </c>
      <c r="W6" s="207">
        <v>5</v>
      </c>
      <c r="X6" s="215" t="s">
        <v>39</v>
      </c>
      <c r="Y6" s="215" t="s">
        <v>50</v>
      </c>
      <c r="Z6" s="215" t="s">
        <v>78</v>
      </c>
      <c r="AA6" s="215" t="s">
        <v>84</v>
      </c>
      <c r="AB6" s="215" t="s">
        <v>340</v>
      </c>
      <c r="AE6" s="222" t="s">
        <v>56</v>
      </c>
      <c r="AG6" s="251" t="s">
        <v>328</v>
      </c>
      <c r="AH6" s="242" t="s">
        <v>329</v>
      </c>
      <c r="AL6" s="229" t="s">
        <v>99</v>
      </c>
      <c r="AN6" s="229" t="s">
        <v>168</v>
      </c>
      <c r="AP6" s="223" t="s">
        <v>53</v>
      </c>
      <c r="AR6" s="237" t="s">
        <v>59</v>
      </c>
      <c r="AV6" s="223" t="s">
        <v>60</v>
      </c>
      <c r="AX6" s="224">
        <v>97</v>
      </c>
      <c r="AY6" s="225">
        <v>36</v>
      </c>
      <c r="AZ6" s="225">
        <v>99</v>
      </c>
      <c r="BA6" s="226">
        <v>33</v>
      </c>
    </row>
    <row r="7" spans="1:53" x14ac:dyDescent="0.15">
      <c r="A7" s="215" t="s">
        <v>34</v>
      </c>
      <c r="B7" s="207" t="s">
        <v>338</v>
      </c>
      <c r="C7" s="207">
        <v>2018</v>
      </c>
      <c r="D7" s="249" t="s">
        <v>447</v>
      </c>
      <c r="E7" s="236" t="s">
        <v>214</v>
      </c>
      <c r="F7" s="236" t="s">
        <v>330</v>
      </c>
      <c r="G7" s="215" t="s">
        <v>36</v>
      </c>
      <c r="H7" s="207" t="s">
        <v>155</v>
      </c>
      <c r="I7" s="215" t="s">
        <v>153</v>
      </c>
      <c r="J7" s="215" t="s">
        <v>38</v>
      </c>
      <c r="K7" s="215" t="s">
        <v>154</v>
      </c>
      <c r="L7" s="207">
        <v>3</v>
      </c>
      <c r="N7" s="207">
        <v>5</v>
      </c>
      <c r="O7" s="207">
        <v>0.9</v>
      </c>
      <c r="P7" s="207">
        <v>0.9</v>
      </c>
      <c r="Q7" s="244">
        <f t="shared" si="0"/>
        <v>0.9</v>
      </c>
      <c r="R7" s="207">
        <v>13.6</v>
      </c>
      <c r="S7" s="207">
        <v>88</v>
      </c>
      <c r="T7" s="216">
        <f t="shared" si="1"/>
        <v>36</v>
      </c>
      <c r="U7" s="207">
        <v>302</v>
      </c>
      <c r="V7" s="216">
        <f t="shared" si="2"/>
        <v>2174.4</v>
      </c>
      <c r="W7" s="207">
        <v>5</v>
      </c>
      <c r="X7" s="215" t="s">
        <v>39</v>
      </c>
      <c r="Y7" s="215" t="s">
        <v>50</v>
      </c>
      <c r="Z7" s="215" t="s">
        <v>78</v>
      </c>
      <c r="AA7" s="215" t="s">
        <v>84</v>
      </c>
      <c r="AB7" s="215" t="s">
        <v>340</v>
      </c>
      <c r="AE7" s="222" t="s">
        <v>61</v>
      </c>
      <c r="AG7" s="251" t="s">
        <v>214</v>
      </c>
      <c r="AH7" s="242" t="s">
        <v>330</v>
      </c>
      <c r="AL7" s="234" t="s">
        <v>169</v>
      </c>
      <c r="AP7" s="223" t="s">
        <v>58</v>
      </c>
      <c r="AR7" s="230" t="s">
        <v>122</v>
      </c>
      <c r="AV7" s="223" t="s">
        <v>64</v>
      </c>
      <c r="AX7" s="224">
        <v>109</v>
      </c>
      <c r="AY7" s="225">
        <v>33</v>
      </c>
      <c r="AZ7" s="225">
        <v>113</v>
      </c>
      <c r="BA7" s="226">
        <v>30</v>
      </c>
    </row>
    <row r="8" spans="1:53" x14ac:dyDescent="0.15">
      <c r="A8" s="215" t="s">
        <v>34</v>
      </c>
      <c r="B8" s="207" t="s">
        <v>338</v>
      </c>
      <c r="C8" s="207">
        <v>2018</v>
      </c>
      <c r="D8" s="249" t="s">
        <v>523</v>
      </c>
      <c r="E8" s="236" t="s">
        <v>214</v>
      </c>
      <c r="F8" s="236" t="s">
        <v>330</v>
      </c>
      <c r="G8" s="215" t="s">
        <v>36</v>
      </c>
      <c r="H8" s="207" t="s">
        <v>165</v>
      </c>
      <c r="I8" s="215" t="s">
        <v>153</v>
      </c>
      <c r="J8" s="215" t="s">
        <v>38</v>
      </c>
      <c r="K8" s="215" t="s">
        <v>154</v>
      </c>
      <c r="L8" s="215">
        <v>1</v>
      </c>
      <c r="N8" s="207">
        <v>1</v>
      </c>
      <c r="O8" s="207">
        <v>0.45</v>
      </c>
      <c r="P8" s="207">
        <v>0.55000000000000004</v>
      </c>
      <c r="Q8" s="244">
        <f t="shared" si="0"/>
        <v>0.5</v>
      </c>
      <c r="R8" s="207">
        <v>18.2</v>
      </c>
      <c r="S8" s="207">
        <v>154</v>
      </c>
      <c r="T8" s="216">
        <f t="shared" si="1"/>
        <v>18</v>
      </c>
      <c r="U8" s="207">
        <v>149</v>
      </c>
      <c r="V8" s="216">
        <f t="shared" si="2"/>
        <v>2682</v>
      </c>
      <c r="W8" s="207">
        <v>3</v>
      </c>
      <c r="X8" s="215" t="s">
        <v>39</v>
      </c>
      <c r="Y8" s="215" t="s">
        <v>50</v>
      </c>
      <c r="Z8" s="215" t="s">
        <v>78</v>
      </c>
      <c r="AA8" s="215" t="s">
        <v>84</v>
      </c>
      <c r="AB8" s="215" t="s">
        <v>340</v>
      </c>
      <c r="AE8" s="222" t="s">
        <v>59</v>
      </c>
      <c r="AG8" s="251" t="s">
        <v>331</v>
      </c>
      <c r="AH8" s="242" t="s">
        <v>332</v>
      </c>
      <c r="AL8" s="234" t="s">
        <v>369</v>
      </c>
      <c r="AP8" s="223" t="s">
        <v>62</v>
      </c>
      <c r="AR8" s="237" t="s">
        <v>81</v>
      </c>
      <c r="AV8" s="223" t="s">
        <v>97</v>
      </c>
      <c r="AX8" s="224">
        <v>151</v>
      </c>
      <c r="AY8" s="225">
        <v>22</v>
      </c>
      <c r="AZ8" s="225">
        <v>152</v>
      </c>
      <c r="BA8" s="226">
        <v>18</v>
      </c>
    </row>
    <row r="9" spans="1:53" x14ac:dyDescent="0.15">
      <c r="A9" s="215" t="s">
        <v>34</v>
      </c>
      <c r="B9" s="207" t="s">
        <v>338</v>
      </c>
      <c r="C9" s="207">
        <v>2018</v>
      </c>
      <c r="D9" s="249" t="s">
        <v>523</v>
      </c>
      <c r="E9" s="236" t="s">
        <v>214</v>
      </c>
      <c r="F9" s="236" t="s">
        <v>330</v>
      </c>
      <c r="G9" s="215" t="s">
        <v>36</v>
      </c>
      <c r="H9" s="207" t="s">
        <v>165</v>
      </c>
      <c r="I9" s="215" t="s">
        <v>153</v>
      </c>
      <c r="J9" s="215" t="s">
        <v>38</v>
      </c>
      <c r="K9" s="215" t="s">
        <v>154</v>
      </c>
      <c r="L9" s="207">
        <v>2</v>
      </c>
      <c r="N9" s="207">
        <v>1</v>
      </c>
      <c r="O9" s="207">
        <v>0.6</v>
      </c>
      <c r="P9" s="207">
        <v>0.6</v>
      </c>
      <c r="Q9" s="244">
        <f t="shared" si="0"/>
        <v>0.6</v>
      </c>
      <c r="R9" s="207">
        <v>18.100000000000001</v>
      </c>
      <c r="S9" s="207">
        <v>154</v>
      </c>
      <c r="T9" s="216">
        <f t="shared" si="1"/>
        <v>18</v>
      </c>
      <c r="U9" s="207">
        <v>149</v>
      </c>
      <c r="V9" s="216">
        <f t="shared" si="2"/>
        <v>2682</v>
      </c>
      <c r="W9" s="207">
        <v>3</v>
      </c>
      <c r="X9" s="215" t="s">
        <v>39</v>
      </c>
      <c r="Y9" s="215" t="s">
        <v>50</v>
      </c>
      <c r="Z9" s="215" t="s">
        <v>78</v>
      </c>
      <c r="AA9" s="215" t="s">
        <v>84</v>
      </c>
      <c r="AB9" s="215" t="s">
        <v>340</v>
      </c>
      <c r="AE9" s="222" t="s">
        <v>98</v>
      </c>
      <c r="AG9" s="251" t="s">
        <v>289</v>
      </c>
      <c r="AH9" s="242" t="s">
        <v>333</v>
      </c>
      <c r="AL9" s="229"/>
      <c r="AP9" s="223" t="s">
        <v>95</v>
      </c>
      <c r="AR9" s="230" t="s">
        <v>89</v>
      </c>
      <c r="AV9" s="223" t="s">
        <v>102</v>
      </c>
      <c r="AX9" s="231">
        <v>180</v>
      </c>
      <c r="AY9" s="232">
        <v>18</v>
      </c>
      <c r="AZ9" s="232">
        <v>181</v>
      </c>
      <c r="BA9" s="233">
        <v>16</v>
      </c>
    </row>
    <row r="10" spans="1:53" x14ac:dyDescent="0.15">
      <c r="A10" s="215" t="s">
        <v>34</v>
      </c>
      <c r="B10" s="207" t="s">
        <v>338</v>
      </c>
      <c r="C10" s="207">
        <v>2018</v>
      </c>
      <c r="D10" s="249" t="s">
        <v>475</v>
      </c>
      <c r="E10" s="236" t="s">
        <v>214</v>
      </c>
      <c r="F10" s="236" t="s">
        <v>330</v>
      </c>
      <c r="G10" s="215" t="s">
        <v>36</v>
      </c>
      <c r="H10" s="207" t="s">
        <v>165</v>
      </c>
      <c r="I10" s="215" t="s">
        <v>153</v>
      </c>
      <c r="J10" s="215" t="s">
        <v>38</v>
      </c>
      <c r="K10" s="215" t="s">
        <v>154</v>
      </c>
      <c r="L10" s="207">
        <v>3</v>
      </c>
      <c r="N10" s="207">
        <v>1</v>
      </c>
      <c r="O10" s="207">
        <v>0.6</v>
      </c>
      <c r="P10" s="207">
        <v>0.65</v>
      </c>
      <c r="Q10" s="244">
        <f t="shared" si="0"/>
        <v>0.625</v>
      </c>
      <c r="R10" s="207">
        <v>15.4</v>
      </c>
      <c r="S10" s="207">
        <v>151</v>
      </c>
      <c r="T10" s="216">
        <f t="shared" si="1"/>
        <v>30</v>
      </c>
      <c r="U10" s="207">
        <v>149</v>
      </c>
      <c r="V10" s="216">
        <f t="shared" si="2"/>
        <v>4470</v>
      </c>
      <c r="W10" s="207">
        <v>3</v>
      </c>
      <c r="X10" s="215" t="s">
        <v>39</v>
      </c>
      <c r="Y10" s="215" t="s">
        <v>50</v>
      </c>
      <c r="Z10" s="215" t="s">
        <v>78</v>
      </c>
      <c r="AA10" s="215" t="s">
        <v>84</v>
      </c>
      <c r="AB10" s="215" t="s">
        <v>340</v>
      </c>
      <c r="AE10" s="222" t="s">
        <v>103</v>
      </c>
      <c r="AG10" s="251" t="s">
        <v>334</v>
      </c>
      <c r="AH10" s="242" t="s">
        <v>335</v>
      </c>
      <c r="AL10" s="234"/>
      <c r="AP10" s="223" t="s">
        <v>100</v>
      </c>
      <c r="AR10" s="230" t="s">
        <v>123</v>
      </c>
      <c r="AV10" s="223" t="s">
        <v>106</v>
      </c>
    </row>
    <row r="11" spans="1:53" x14ac:dyDescent="0.15">
      <c r="A11" s="215" t="s">
        <v>34</v>
      </c>
      <c r="B11" s="207" t="s">
        <v>338</v>
      </c>
      <c r="C11" s="207">
        <v>2018</v>
      </c>
      <c r="D11" s="249" t="s">
        <v>475</v>
      </c>
      <c r="E11" s="236" t="s">
        <v>289</v>
      </c>
      <c r="F11" s="236" t="s">
        <v>333</v>
      </c>
      <c r="G11" s="215" t="s">
        <v>36</v>
      </c>
      <c r="H11" s="207" t="s">
        <v>155</v>
      </c>
      <c r="I11" s="215" t="s">
        <v>153</v>
      </c>
      <c r="J11" s="215" t="s">
        <v>38</v>
      </c>
      <c r="K11" s="215" t="s">
        <v>154</v>
      </c>
      <c r="L11" s="215">
        <v>1</v>
      </c>
      <c r="N11" s="207">
        <v>1</v>
      </c>
      <c r="O11" s="207">
        <v>0.9</v>
      </c>
      <c r="P11" s="207">
        <v>0.85</v>
      </c>
      <c r="Q11" s="244">
        <f t="shared" si="0"/>
        <v>0.875</v>
      </c>
      <c r="R11" s="207">
        <v>13.4</v>
      </c>
      <c r="S11" s="207">
        <v>117</v>
      </c>
      <c r="T11" s="216">
        <f t="shared" si="1"/>
        <v>30</v>
      </c>
      <c r="U11" s="207">
        <v>81</v>
      </c>
      <c r="V11" s="216">
        <f t="shared" si="2"/>
        <v>2430</v>
      </c>
      <c r="W11" s="207">
        <v>6</v>
      </c>
      <c r="X11" s="215" t="s">
        <v>46</v>
      </c>
      <c r="Y11" s="215" t="s">
        <v>90</v>
      </c>
      <c r="Z11" s="215" t="s">
        <v>84</v>
      </c>
      <c r="AA11" s="215" t="s">
        <v>78</v>
      </c>
      <c r="AB11" s="215" t="s">
        <v>340</v>
      </c>
      <c r="AE11" s="222" t="s">
        <v>65</v>
      </c>
      <c r="AG11" s="251" t="s">
        <v>171</v>
      </c>
      <c r="AH11" s="242" t="s">
        <v>336</v>
      </c>
      <c r="AL11" s="234"/>
      <c r="AP11" s="223" t="s">
        <v>104</v>
      </c>
      <c r="AR11" s="230" t="s">
        <v>87</v>
      </c>
      <c r="AV11" s="223" t="s">
        <v>69</v>
      </c>
    </row>
    <row r="12" spans="1:53" x14ac:dyDescent="0.15">
      <c r="A12" s="215" t="s">
        <v>34</v>
      </c>
      <c r="B12" s="207" t="s">
        <v>338</v>
      </c>
      <c r="C12" s="207">
        <v>2018</v>
      </c>
      <c r="D12" s="249" t="s">
        <v>468</v>
      </c>
      <c r="E12" s="236" t="s">
        <v>289</v>
      </c>
      <c r="F12" s="236" t="s">
        <v>333</v>
      </c>
      <c r="G12" s="215" t="s">
        <v>36</v>
      </c>
      <c r="H12" s="207" t="s">
        <v>155</v>
      </c>
      <c r="I12" s="215" t="s">
        <v>153</v>
      </c>
      <c r="J12" s="215" t="s">
        <v>38</v>
      </c>
      <c r="K12" s="215" t="s">
        <v>154</v>
      </c>
      <c r="L12" s="207">
        <v>2</v>
      </c>
      <c r="N12" s="207">
        <v>1</v>
      </c>
      <c r="O12" s="207">
        <v>0.75</v>
      </c>
      <c r="P12" s="207">
        <v>0.85</v>
      </c>
      <c r="Q12" s="244">
        <f t="shared" si="0"/>
        <v>0.8</v>
      </c>
      <c r="R12" s="207">
        <v>14.3</v>
      </c>
      <c r="S12" s="207">
        <v>114</v>
      </c>
      <c r="T12" s="216">
        <f t="shared" si="1"/>
        <v>30</v>
      </c>
      <c r="U12" s="207">
        <v>81</v>
      </c>
      <c r="V12" s="216">
        <f t="shared" si="2"/>
        <v>2430</v>
      </c>
      <c r="W12" s="207">
        <v>6</v>
      </c>
      <c r="X12" s="215" t="s">
        <v>46</v>
      </c>
      <c r="Y12" s="215" t="s">
        <v>90</v>
      </c>
      <c r="Z12" s="215" t="s">
        <v>84</v>
      </c>
      <c r="AA12" s="215" t="s">
        <v>78</v>
      </c>
      <c r="AB12" s="215" t="s">
        <v>340</v>
      </c>
      <c r="AE12" s="222" t="s">
        <v>70</v>
      </c>
      <c r="AG12" s="243"/>
      <c r="AH12" s="223"/>
      <c r="AL12" s="234"/>
      <c r="AP12" s="223" t="s">
        <v>67</v>
      </c>
      <c r="AR12" s="230" t="s">
        <v>124</v>
      </c>
      <c r="AV12" s="223" t="s">
        <v>72</v>
      </c>
    </row>
    <row r="13" spans="1:53" x14ac:dyDescent="0.15">
      <c r="A13" s="215" t="s">
        <v>34</v>
      </c>
      <c r="B13" s="207" t="s">
        <v>338</v>
      </c>
      <c r="C13" s="207">
        <v>2018</v>
      </c>
      <c r="D13" s="249" t="s">
        <v>479</v>
      </c>
      <c r="E13" s="236" t="s">
        <v>289</v>
      </c>
      <c r="F13" s="236" t="s">
        <v>333</v>
      </c>
      <c r="G13" s="215" t="s">
        <v>36</v>
      </c>
      <c r="H13" s="207" t="s">
        <v>155</v>
      </c>
      <c r="I13" s="215" t="s">
        <v>153</v>
      </c>
      <c r="J13" s="215" t="s">
        <v>38</v>
      </c>
      <c r="K13" s="215" t="s">
        <v>154</v>
      </c>
      <c r="L13" s="207">
        <v>3</v>
      </c>
      <c r="N13" s="207">
        <v>1</v>
      </c>
      <c r="O13" s="207">
        <v>0.7</v>
      </c>
      <c r="P13" s="207">
        <v>0.6</v>
      </c>
      <c r="Q13" s="244">
        <f t="shared" si="0"/>
        <v>0.64999999999999991</v>
      </c>
      <c r="R13" s="207">
        <v>14.4</v>
      </c>
      <c r="S13" s="207">
        <v>123</v>
      </c>
      <c r="T13" s="216">
        <f t="shared" si="1"/>
        <v>30</v>
      </c>
      <c r="U13" s="207">
        <v>81</v>
      </c>
      <c r="V13" s="216">
        <f t="shared" si="2"/>
        <v>2430</v>
      </c>
      <c r="W13" s="207">
        <v>6</v>
      </c>
      <c r="X13" s="215" t="s">
        <v>46</v>
      </c>
      <c r="Y13" s="215" t="s">
        <v>90</v>
      </c>
      <c r="Z13" s="215" t="s">
        <v>84</v>
      </c>
      <c r="AA13" s="215" t="s">
        <v>78</v>
      </c>
      <c r="AB13" s="215" t="s">
        <v>340</v>
      </c>
      <c r="AE13" s="222" t="s">
        <v>73</v>
      </c>
      <c r="AG13" s="252"/>
      <c r="AH13" s="228"/>
      <c r="AP13" s="223" t="s">
        <v>71</v>
      </c>
      <c r="AR13" s="230" t="s">
        <v>103</v>
      </c>
      <c r="AV13" s="223" t="s">
        <v>75</v>
      </c>
    </row>
    <row r="14" spans="1:53" x14ac:dyDescent="0.15">
      <c r="A14" s="215" t="s">
        <v>34</v>
      </c>
      <c r="B14" s="207" t="s">
        <v>338</v>
      </c>
      <c r="C14" s="207">
        <v>2018</v>
      </c>
      <c r="D14" s="249" t="s">
        <v>480</v>
      </c>
      <c r="E14" s="236" t="s">
        <v>289</v>
      </c>
      <c r="F14" s="236" t="s">
        <v>333</v>
      </c>
      <c r="G14" s="215" t="s">
        <v>36</v>
      </c>
      <c r="H14" s="207" t="s">
        <v>155</v>
      </c>
      <c r="I14" s="215" t="s">
        <v>153</v>
      </c>
      <c r="J14" s="215" t="s">
        <v>38</v>
      </c>
      <c r="K14" s="215" t="s">
        <v>154</v>
      </c>
      <c r="L14" s="215">
        <v>1</v>
      </c>
      <c r="N14" s="207">
        <v>4</v>
      </c>
      <c r="O14" s="207">
        <v>0.65</v>
      </c>
      <c r="P14" s="207">
        <v>0.75</v>
      </c>
      <c r="Q14" s="244">
        <f t="shared" si="0"/>
        <v>0.7</v>
      </c>
      <c r="R14" s="207">
        <v>13.7</v>
      </c>
      <c r="S14" s="207">
        <v>101</v>
      </c>
      <c r="T14" s="216">
        <f t="shared" si="1"/>
        <v>33</v>
      </c>
      <c r="U14" s="207">
        <v>280</v>
      </c>
      <c r="V14" s="216">
        <f t="shared" si="2"/>
        <v>2310</v>
      </c>
      <c r="W14" s="207">
        <v>6</v>
      </c>
      <c r="X14" s="215" t="s">
        <v>39</v>
      </c>
      <c r="Y14" s="215" t="s">
        <v>90</v>
      </c>
      <c r="Z14" s="215" t="s">
        <v>84</v>
      </c>
      <c r="AA14" s="215" t="s">
        <v>78</v>
      </c>
      <c r="AB14" s="215" t="s">
        <v>340</v>
      </c>
      <c r="AE14" s="222" t="s">
        <v>76</v>
      </c>
      <c r="AG14" s="253"/>
      <c r="AL14" s="246"/>
      <c r="AP14" s="223" t="s">
        <v>74</v>
      </c>
      <c r="AR14" s="230" t="s">
        <v>125</v>
      </c>
      <c r="AV14" s="223" t="s">
        <v>78</v>
      </c>
    </row>
    <row r="15" spans="1:53" x14ac:dyDescent="0.15">
      <c r="A15" s="215" t="s">
        <v>34</v>
      </c>
      <c r="B15" s="207" t="s">
        <v>338</v>
      </c>
      <c r="C15" s="207">
        <v>2018</v>
      </c>
      <c r="D15" s="249" t="s">
        <v>480</v>
      </c>
      <c r="E15" s="236" t="s">
        <v>289</v>
      </c>
      <c r="F15" s="236" t="s">
        <v>333</v>
      </c>
      <c r="G15" s="215" t="s">
        <v>36</v>
      </c>
      <c r="H15" s="207" t="s">
        <v>155</v>
      </c>
      <c r="I15" s="215" t="s">
        <v>153</v>
      </c>
      <c r="J15" s="215" t="s">
        <v>38</v>
      </c>
      <c r="K15" s="215" t="s">
        <v>154</v>
      </c>
      <c r="L15" s="207">
        <v>2</v>
      </c>
      <c r="N15" s="207">
        <v>4</v>
      </c>
      <c r="O15" s="207">
        <v>0.7</v>
      </c>
      <c r="P15" s="207">
        <v>0.7</v>
      </c>
      <c r="Q15" s="244">
        <f t="shared" si="0"/>
        <v>0.7</v>
      </c>
      <c r="R15" s="207">
        <v>13.2</v>
      </c>
      <c r="S15" s="207">
        <v>98</v>
      </c>
      <c r="T15" s="216">
        <f t="shared" si="1"/>
        <v>36</v>
      </c>
      <c r="U15" s="207">
        <v>280</v>
      </c>
      <c r="V15" s="216">
        <f t="shared" si="2"/>
        <v>2520</v>
      </c>
      <c r="W15" s="207">
        <v>6</v>
      </c>
      <c r="X15" s="215" t="s">
        <v>39</v>
      </c>
      <c r="Y15" s="215" t="s">
        <v>90</v>
      </c>
      <c r="Z15" s="215" t="s">
        <v>84</v>
      </c>
      <c r="AA15" s="215" t="s">
        <v>78</v>
      </c>
      <c r="AB15" s="215" t="s">
        <v>340</v>
      </c>
      <c r="AE15" s="222" t="s">
        <v>79</v>
      </c>
      <c r="AL15" s="254"/>
      <c r="AP15" s="223" t="s">
        <v>77</v>
      </c>
      <c r="AR15" s="230" t="s">
        <v>94</v>
      </c>
      <c r="AV15" s="223" t="s">
        <v>107</v>
      </c>
    </row>
    <row r="16" spans="1:53" x14ac:dyDescent="0.15">
      <c r="A16" s="215" t="s">
        <v>34</v>
      </c>
      <c r="B16" s="207" t="s">
        <v>338</v>
      </c>
      <c r="C16" s="207">
        <v>2018</v>
      </c>
      <c r="D16" s="249" t="s">
        <v>481</v>
      </c>
      <c r="E16" s="236" t="s">
        <v>289</v>
      </c>
      <c r="F16" s="236" t="s">
        <v>333</v>
      </c>
      <c r="G16" s="215" t="s">
        <v>36</v>
      </c>
      <c r="H16" s="207" t="s">
        <v>155</v>
      </c>
      <c r="I16" s="215" t="s">
        <v>153</v>
      </c>
      <c r="J16" s="215" t="s">
        <v>38</v>
      </c>
      <c r="K16" s="215" t="s">
        <v>154</v>
      </c>
      <c r="L16" s="207">
        <v>3</v>
      </c>
      <c r="N16" s="207">
        <v>4</v>
      </c>
      <c r="O16" s="207">
        <v>0.65</v>
      </c>
      <c r="P16" s="207">
        <v>0.6</v>
      </c>
      <c r="Q16" s="244">
        <f t="shared" si="0"/>
        <v>0.625</v>
      </c>
      <c r="R16" s="207">
        <v>13.7</v>
      </c>
      <c r="S16" s="207">
        <v>100</v>
      </c>
      <c r="T16" s="216">
        <f t="shared" si="1"/>
        <v>33</v>
      </c>
      <c r="U16" s="207">
        <v>280</v>
      </c>
      <c r="V16" s="216">
        <f t="shared" si="2"/>
        <v>2310</v>
      </c>
      <c r="W16" s="207">
        <v>6</v>
      </c>
      <c r="X16" s="215" t="s">
        <v>39</v>
      </c>
      <c r="Y16" s="215" t="s">
        <v>90</v>
      </c>
      <c r="Z16" s="215" t="s">
        <v>84</v>
      </c>
      <c r="AA16" s="215" t="s">
        <v>78</v>
      </c>
      <c r="AB16" s="215" t="s">
        <v>340</v>
      </c>
      <c r="AE16" s="222" t="s">
        <v>82</v>
      </c>
      <c r="AL16" s="254"/>
      <c r="AP16" s="223" t="s">
        <v>80</v>
      </c>
      <c r="AR16" s="237" t="s">
        <v>63</v>
      </c>
      <c r="AV16" s="223" t="s">
        <v>84</v>
      </c>
    </row>
    <row r="17" spans="1:48" x14ac:dyDescent="0.15">
      <c r="A17" s="215" t="s">
        <v>34</v>
      </c>
      <c r="B17" s="207" t="s">
        <v>338</v>
      </c>
      <c r="C17" s="207">
        <v>2018</v>
      </c>
      <c r="D17" s="249" t="s">
        <v>481</v>
      </c>
      <c r="E17" s="236" t="s">
        <v>289</v>
      </c>
      <c r="F17" s="236" t="s">
        <v>333</v>
      </c>
      <c r="G17" s="215" t="s">
        <v>36</v>
      </c>
      <c r="H17" s="207" t="s">
        <v>165</v>
      </c>
      <c r="I17" s="215" t="s">
        <v>153</v>
      </c>
      <c r="J17" s="215" t="s">
        <v>38</v>
      </c>
      <c r="K17" s="215" t="s">
        <v>154</v>
      </c>
      <c r="L17" s="215">
        <v>1</v>
      </c>
      <c r="N17" s="207">
        <v>4</v>
      </c>
      <c r="O17" s="207">
        <v>0.5</v>
      </c>
      <c r="P17" s="207">
        <v>0.45</v>
      </c>
      <c r="Q17" s="244">
        <f t="shared" si="0"/>
        <v>0.47499999999999998</v>
      </c>
      <c r="R17" s="207">
        <v>14.2</v>
      </c>
      <c r="S17" s="207">
        <v>125</v>
      </c>
      <c r="T17" s="216">
        <f t="shared" si="1"/>
        <v>30</v>
      </c>
      <c r="U17" s="207">
        <v>498</v>
      </c>
      <c r="V17" s="216">
        <f t="shared" si="2"/>
        <v>3735</v>
      </c>
      <c r="W17" s="207">
        <v>1</v>
      </c>
      <c r="X17" s="215" t="s">
        <v>39</v>
      </c>
      <c r="Y17" s="215" t="s">
        <v>90</v>
      </c>
      <c r="Z17" s="215" t="s">
        <v>84</v>
      </c>
      <c r="AA17" s="215" t="s">
        <v>78</v>
      </c>
      <c r="AB17" s="215" t="s">
        <v>340</v>
      </c>
      <c r="AE17" s="222" t="s">
        <v>85</v>
      </c>
      <c r="AL17" s="254"/>
      <c r="AP17" s="238" t="s">
        <v>110</v>
      </c>
      <c r="AR17" s="237" t="s">
        <v>96</v>
      </c>
      <c r="AV17" s="223" t="s">
        <v>86</v>
      </c>
    </row>
    <row r="18" spans="1:48" x14ac:dyDescent="0.15">
      <c r="A18" s="215" t="s">
        <v>34</v>
      </c>
      <c r="B18" s="207" t="s">
        <v>338</v>
      </c>
      <c r="C18" s="207">
        <v>2018</v>
      </c>
      <c r="D18" s="249" t="s">
        <v>481</v>
      </c>
      <c r="E18" s="236" t="s">
        <v>289</v>
      </c>
      <c r="F18" s="236" t="s">
        <v>333</v>
      </c>
      <c r="G18" s="215" t="s">
        <v>36</v>
      </c>
      <c r="H18" s="207" t="s">
        <v>165</v>
      </c>
      <c r="I18" s="215" t="s">
        <v>153</v>
      </c>
      <c r="J18" s="215" t="s">
        <v>38</v>
      </c>
      <c r="K18" s="215" t="s">
        <v>154</v>
      </c>
      <c r="L18" s="207">
        <v>2</v>
      </c>
      <c r="N18" s="207">
        <v>4</v>
      </c>
      <c r="O18" s="207">
        <v>0.5</v>
      </c>
      <c r="P18" s="207">
        <v>0.5</v>
      </c>
      <c r="Q18" s="244">
        <f t="shared" si="0"/>
        <v>0.5</v>
      </c>
      <c r="R18" s="207">
        <v>15.2</v>
      </c>
      <c r="S18" s="207">
        <v>126</v>
      </c>
      <c r="T18" s="216">
        <f t="shared" si="1"/>
        <v>30</v>
      </c>
      <c r="U18" s="207">
        <v>498</v>
      </c>
      <c r="V18" s="216">
        <f t="shared" si="2"/>
        <v>3735</v>
      </c>
      <c r="W18" s="207">
        <v>1</v>
      </c>
      <c r="X18" s="215" t="s">
        <v>39</v>
      </c>
      <c r="Y18" s="215" t="s">
        <v>90</v>
      </c>
      <c r="Z18" s="215" t="s">
        <v>84</v>
      </c>
      <c r="AA18" s="215" t="s">
        <v>78</v>
      </c>
      <c r="AB18" s="215" t="s">
        <v>340</v>
      </c>
      <c r="AE18" s="222" t="s">
        <v>87</v>
      </c>
      <c r="AL18" s="215"/>
      <c r="AP18" s="238" t="s">
        <v>111</v>
      </c>
      <c r="AR18" s="237" t="s">
        <v>101</v>
      </c>
      <c r="AV18" s="223" t="s">
        <v>88</v>
      </c>
    </row>
    <row r="19" spans="1:48" x14ac:dyDescent="0.15">
      <c r="A19" s="215" t="s">
        <v>34</v>
      </c>
      <c r="B19" s="207" t="s">
        <v>338</v>
      </c>
      <c r="C19" s="207">
        <v>2018</v>
      </c>
      <c r="D19" s="249" t="s">
        <v>468</v>
      </c>
      <c r="E19" s="236" t="s">
        <v>289</v>
      </c>
      <c r="F19" s="236" t="s">
        <v>333</v>
      </c>
      <c r="G19" s="215" t="s">
        <v>36</v>
      </c>
      <c r="H19" s="207" t="s">
        <v>165</v>
      </c>
      <c r="I19" s="215" t="s">
        <v>153</v>
      </c>
      <c r="J19" s="215" t="s">
        <v>38</v>
      </c>
      <c r="K19" s="215" t="s">
        <v>154</v>
      </c>
      <c r="L19" s="207">
        <v>3</v>
      </c>
      <c r="N19" s="207">
        <v>4</v>
      </c>
      <c r="O19" s="207">
        <v>0.5</v>
      </c>
      <c r="P19" s="207">
        <v>0.2</v>
      </c>
      <c r="Q19" s="244">
        <f t="shared" si="0"/>
        <v>0.35</v>
      </c>
      <c r="R19" s="207">
        <v>14.8</v>
      </c>
      <c r="S19" s="207">
        <v>127</v>
      </c>
      <c r="T19" s="216">
        <f t="shared" si="1"/>
        <v>30</v>
      </c>
      <c r="U19" s="207">
        <v>498</v>
      </c>
      <c r="V19" s="216">
        <f t="shared" si="2"/>
        <v>3735</v>
      </c>
      <c r="W19" s="207">
        <v>1</v>
      </c>
      <c r="X19" s="215" t="s">
        <v>39</v>
      </c>
      <c r="Y19" s="215" t="s">
        <v>90</v>
      </c>
      <c r="Z19" s="215" t="s">
        <v>84</v>
      </c>
      <c r="AA19" s="215" t="s">
        <v>78</v>
      </c>
      <c r="AB19" s="215" t="s">
        <v>340</v>
      </c>
      <c r="AE19" s="235" t="s">
        <v>89</v>
      </c>
      <c r="AP19" s="238" t="s">
        <v>112</v>
      </c>
      <c r="AR19" s="230" t="s">
        <v>126</v>
      </c>
      <c r="AV19" s="223" t="s">
        <v>90</v>
      </c>
    </row>
    <row r="20" spans="1:48" x14ac:dyDescent="0.15">
      <c r="A20" s="215" t="s">
        <v>34</v>
      </c>
      <c r="B20" s="207" t="s">
        <v>338</v>
      </c>
      <c r="C20" s="207">
        <v>2018</v>
      </c>
      <c r="D20" s="249" t="s">
        <v>468</v>
      </c>
      <c r="E20" s="236" t="s">
        <v>334</v>
      </c>
      <c r="F20" s="236" t="s">
        <v>335</v>
      </c>
      <c r="G20" s="215" t="s">
        <v>36</v>
      </c>
      <c r="H20" s="207" t="s">
        <v>155</v>
      </c>
      <c r="I20" s="215" t="s">
        <v>153</v>
      </c>
      <c r="J20" s="215" t="s">
        <v>38</v>
      </c>
      <c r="K20" s="215" t="s">
        <v>154</v>
      </c>
      <c r="L20" s="215">
        <v>1</v>
      </c>
      <c r="N20" s="207">
        <v>1</v>
      </c>
      <c r="O20" s="207">
        <v>0.65</v>
      </c>
      <c r="P20" s="207">
        <v>0.85</v>
      </c>
      <c r="Q20" s="244">
        <f t="shared" si="0"/>
        <v>0.75</v>
      </c>
      <c r="R20" s="207">
        <v>14.2</v>
      </c>
      <c r="S20" s="207">
        <v>144</v>
      </c>
      <c r="T20" s="216">
        <f t="shared" si="1"/>
        <v>30</v>
      </c>
      <c r="U20" s="207">
        <v>136</v>
      </c>
      <c r="V20" s="216">
        <f t="shared" si="2"/>
        <v>4080</v>
      </c>
      <c r="W20" s="207">
        <v>2</v>
      </c>
      <c r="X20" s="215" t="s">
        <v>46</v>
      </c>
      <c r="Y20" s="215" t="s">
        <v>84</v>
      </c>
      <c r="Z20" s="215" t="s">
        <v>90</v>
      </c>
      <c r="AA20" s="215" t="s">
        <v>69</v>
      </c>
      <c r="AB20" s="215" t="s">
        <v>340</v>
      </c>
      <c r="AP20" s="238" t="s">
        <v>113</v>
      </c>
      <c r="AR20" s="237" t="s">
        <v>105</v>
      </c>
      <c r="AV20" s="227" t="s">
        <v>370</v>
      </c>
    </row>
    <row r="21" spans="1:48" x14ac:dyDescent="0.15">
      <c r="A21" s="215" t="s">
        <v>34</v>
      </c>
      <c r="B21" s="207" t="s">
        <v>338</v>
      </c>
      <c r="C21" s="207">
        <v>2018</v>
      </c>
      <c r="D21" s="249" t="s">
        <v>468</v>
      </c>
      <c r="E21" s="236" t="s">
        <v>334</v>
      </c>
      <c r="F21" s="236" t="s">
        <v>335</v>
      </c>
      <c r="G21" s="215" t="s">
        <v>36</v>
      </c>
      <c r="H21" s="207" t="s">
        <v>155</v>
      </c>
      <c r="I21" s="215" t="s">
        <v>153</v>
      </c>
      <c r="J21" s="215" t="s">
        <v>38</v>
      </c>
      <c r="K21" s="215" t="s">
        <v>154</v>
      </c>
      <c r="L21" s="207">
        <v>2</v>
      </c>
      <c r="N21" s="207">
        <v>1</v>
      </c>
      <c r="O21" s="207">
        <v>0.9</v>
      </c>
      <c r="P21" s="207">
        <v>0.95</v>
      </c>
      <c r="Q21" s="244">
        <f t="shared" si="0"/>
        <v>0.92500000000000004</v>
      </c>
      <c r="R21" s="207">
        <v>14.6</v>
      </c>
      <c r="S21" s="207">
        <v>147</v>
      </c>
      <c r="T21" s="216">
        <f t="shared" si="1"/>
        <v>30</v>
      </c>
      <c r="U21" s="207">
        <v>136</v>
      </c>
      <c r="V21" s="216">
        <f t="shared" si="2"/>
        <v>4080</v>
      </c>
      <c r="W21" s="207">
        <v>2</v>
      </c>
      <c r="X21" s="215" t="s">
        <v>46</v>
      </c>
      <c r="Y21" s="215" t="s">
        <v>84</v>
      </c>
      <c r="Z21" s="215" t="s">
        <v>90</v>
      </c>
      <c r="AA21" s="215" t="s">
        <v>69</v>
      </c>
      <c r="AB21" s="215" t="s">
        <v>340</v>
      </c>
      <c r="AP21" s="238" t="s">
        <v>114</v>
      </c>
      <c r="AR21" s="237" t="s">
        <v>68</v>
      </c>
      <c r="AV21" s="227" t="s">
        <v>371</v>
      </c>
    </row>
    <row r="22" spans="1:48" x14ac:dyDescent="0.15">
      <c r="A22" s="215" t="s">
        <v>34</v>
      </c>
      <c r="B22" s="207" t="s">
        <v>338</v>
      </c>
      <c r="C22" s="207">
        <v>2018</v>
      </c>
      <c r="D22" s="249" t="s">
        <v>468</v>
      </c>
      <c r="E22" s="236" t="s">
        <v>334</v>
      </c>
      <c r="F22" s="236" t="s">
        <v>335</v>
      </c>
      <c r="G22" s="215" t="s">
        <v>36</v>
      </c>
      <c r="H22" s="207" t="s">
        <v>155</v>
      </c>
      <c r="I22" s="215" t="s">
        <v>153</v>
      </c>
      <c r="J22" s="215" t="s">
        <v>38</v>
      </c>
      <c r="K22" s="215" t="s">
        <v>154</v>
      </c>
      <c r="L22" s="207">
        <v>3</v>
      </c>
      <c r="N22" s="207">
        <v>1</v>
      </c>
      <c r="O22" s="207">
        <v>0.75</v>
      </c>
      <c r="P22" s="207">
        <v>0.6</v>
      </c>
      <c r="Q22" s="244">
        <f t="shared" si="0"/>
        <v>0.67500000000000004</v>
      </c>
      <c r="R22" s="207">
        <v>14.3</v>
      </c>
      <c r="S22" s="207">
        <v>136</v>
      </c>
      <c r="T22" s="216">
        <f t="shared" si="1"/>
        <v>30</v>
      </c>
      <c r="U22" s="207">
        <v>136</v>
      </c>
      <c r="V22" s="216">
        <f t="shared" si="2"/>
        <v>4080</v>
      </c>
      <c r="W22" s="207">
        <v>2</v>
      </c>
      <c r="X22" s="215" t="s">
        <v>46</v>
      </c>
      <c r="Y22" s="215" t="s">
        <v>84</v>
      </c>
      <c r="Z22" s="215" t="s">
        <v>90</v>
      </c>
      <c r="AA22" s="215" t="s">
        <v>69</v>
      </c>
      <c r="AB22" s="215" t="s">
        <v>340</v>
      </c>
      <c r="AP22" s="238" t="s">
        <v>115</v>
      </c>
      <c r="AR22" s="237" t="s">
        <v>83</v>
      </c>
      <c r="AV22" s="227"/>
    </row>
    <row r="23" spans="1:48" x14ac:dyDescent="0.15">
      <c r="A23" s="215" t="s">
        <v>34</v>
      </c>
      <c r="B23" s="207" t="s">
        <v>338</v>
      </c>
      <c r="C23" s="207">
        <v>2018</v>
      </c>
      <c r="D23" s="249" t="s">
        <v>468</v>
      </c>
      <c r="E23" s="236" t="s">
        <v>334</v>
      </c>
      <c r="F23" s="236" t="s">
        <v>335</v>
      </c>
      <c r="G23" s="215" t="s">
        <v>36</v>
      </c>
      <c r="H23" s="207" t="s">
        <v>155</v>
      </c>
      <c r="I23" s="215" t="s">
        <v>153</v>
      </c>
      <c r="J23" s="215" t="s">
        <v>38</v>
      </c>
      <c r="K23" s="215" t="s">
        <v>154</v>
      </c>
      <c r="L23" s="215">
        <v>1</v>
      </c>
      <c r="N23" s="207">
        <v>5</v>
      </c>
      <c r="O23" s="207">
        <v>1.05</v>
      </c>
      <c r="P23" s="207">
        <v>1.1000000000000001</v>
      </c>
      <c r="Q23" s="244">
        <f t="shared" si="0"/>
        <v>1.0750000000000002</v>
      </c>
      <c r="R23" s="207">
        <v>11.6</v>
      </c>
      <c r="S23" s="207">
        <v>80</v>
      </c>
      <c r="T23" s="216">
        <f t="shared" si="1"/>
        <v>39</v>
      </c>
      <c r="U23" s="207">
        <v>398</v>
      </c>
      <c r="V23" s="216">
        <f t="shared" si="2"/>
        <v>3104.3999999999996</v>
      </c>
      <c r="W23" s="207">
        <v>2</v>
      </c>
      <c r="X23" s="215" t="s">
        <v>46</v>
      </c>
      <c r="Y23" s="215" t="s">
        <v>84</v>
      </c>
      <c r="Z23" s="215" t="s">
        <v>90</v>
      </c>
      <c r="AA23" s="215" t="s">
        <v>69</v>
      </c>
      <c r="AB23" s="215" t="s">
        <v>340</v>
      </c>
      <c r="AP23" s="238" t="s">
        <v>117</v>
      </c>
      <c r="AR23" s="237" t="s">
        <v>290</v>
      </c>
    </row>
    <row r="24" spans="1:48" x14ac:dyDescent="0.15">
      <c r="A24" s="215" t="s">
        <v>34</v>
      </c>
      <c r="B24" s="207" t="s">
        <v>338</v>
      </c>
      <c r="C24" s="207">
        <v>2018</v>
      </c>
      <c r="D24" s="249" t="s">
        <v>468</v>
      </c>
      <c r="E24" s="236" t="s">
        <v>334</v>
      </c>
      <c r="F24" s="236" t="s">
        <v>335</v>
      </c>
      <c r="G24" s="215" t="s">
        <v>36</v>
      </c>
      <c r="H24" s="207" t="s">
        <v>155</v>
      </c>
      <c r="I24" s="215" t="s">
        <v>153</v>
      </c>
      <c r="J24" s="215" t="s">
        <v>38</v>
      </c>
      <c r="K24" s="215" t="s">
        <v>154</v>
      </c>
      <c r="L24" s="207">
        <v>2</v>
      </c>
      <c r="N24" s="207">
        <v>5</v>
      </c>
      <c r="O24" s="207">
        <v>0.55000000000000004</v>
      </c>
      <c r="P24" s="207">
        <v>0.55000000000000004</v>
      </c>
      <c r="Q24" s="244">
        <f t="shared" si="0"/>
        <v>0.55000000000000004</v>
      </c>
      <c r="R24" s="207">
        <v>13.1</v>
      </c>
      <c r="S24" s="207">
        <v>81</v>
      </c>
      <c r="T24" s="216">
        <f t="shared" si="1"/>
        <v>39</v>
      </c>
      <c r="U24" s="207">
        <v>398</v>
      </c>
      <c r="V24" s="216">
        <f t="shared" si="2"/>
        <v>3104.3999999999996</v>
      </c>
      <c r="W24" s="207">
        <v>2</v>
      </c>
      <c r="X24" s="215" t="s">
        <v>46</v>
      </c>
      <c r="Y24" s="215" t="s">
        <v>84</v>
      </c>
      <c r="Z24" s="215" t="s">
        <v>90</v>
      </c>
      <c r="AA24" s="215" t="s">
        <v>69</v>
      </c>
      <c r="AB24" s="215" t="s">
        <v>340</v>
      </c>
      <c r="AP24" s="238" t="s">
        <v>118</v>
      </c>
    </row>
    <row r="25" spans="1:48" x14ac:dyDescent="0.15">
      <c r="A25" s="215" t="s">
        <v>34</v>
      </c>
      <c r="B25" s="207" t="s">
        <v>338</v>
      </c>
      <c r="C25" s="207">
        <v>2018</v>
      </c>
      <c r="D25" s="249" t="s">
        <v>468</v>
      </c>
      <c r="E25" s="236" t="s">
        <v>334</v>
      </c>
      <c r="F25" s="236" t="s">
        <v>335</v>
      </c>
      <c r="G25" s="215" t="s">
        <v>36</v>
      </c>
      <c r="H25" s="207" t="s">
        <v>155</v>
      </c>
      <c r="I25" s="215" t="s">
        <v>153</v>
      </c>
      <c r="J25" s="215" t="s">
        <v>38</v>
      </c>
      <c r="K25" s="215" t="s">
        <v>154</v>
      </c>
      <c r="L25" s="207">
        <v>3</v>
      </c>
      <c r="N25" s="207">
        <v>5</v>
      </c>
      <c r="O25" s="207">
        <v>1.1499999999999999</v>
      </c>
      <c r="P25" s="207">
        <v>1</v>
      </c>
      <c r="Q25" s="244">
        <f t="shared" si="0"/>
        <v>1.075</v>
      </c>
      <c r="R25" s="207">
        <v>14.1</v>
      </c>
      <c r="S25" s="207">
        <v>76</v>
      </c>
      <c r="T25" s="216">
        <f t="shared" si="1"/>
        <v>39</v>
      </c>
      <c r="U25" s="207">
        <v>398</v>
      </c>
      <c r="V25" s="216">
        <f t="shared" si="2"/>
        <v>3104.3999999999996</v>
      </c>
      <c r="W25" s="207">
        <v>2</v>
      </c>
      <c r="X25" s="215" t="s">
        <v>46</v>
      </c>
      <c r="Y25" s="215" t="s">
        <v>84</v>
      </c>
      <c r="Z25" s="215" t="s">
        <v>90</v>
      </c>
      <c r="AA25" s="215" t="s">
        <v>69</v>
      </c>
      <c r="AB25" s="215" t="s">
        <v>340</v>
      </c>
    </row>
    <row r="26" spans="1:48" x14ac:dyDescent="0.15">
      <c r="A26" s="215" t="s">
        <v>34</v>
      </c>
      <c r="B26" s="207" t="s">
        <v>338</v>
      </c>
      <c r="C26" s="207">
        <v>2018</v>
      </c>
      <c r="D26" s="249" t="s">
        <v>468</v>
      </c>
      <c r="E26" s="236" t="s">
        <v>334</v>
      </c>
      <c r="F26" s="236" t="s">
        <v>335</v>
      </c>
      <c r="G26" s="215" t="s">
        <v>36</v>
      </c>
      <c r="H26" s="207" t="s">
        <v>165</v>
      </c>
      <c r="I26" s="215" t="s">
        <v>153</v>
      </c>
      <c r="J26" s="215" t="s">
        <v>38</v>
      </c>
      <c r="K26" s="215" t="s">
        <v>154</v>
      </c>
      <c r="L26" s="215">
        <v>1</v>
      </c>
      <c r="N26" s="207">
        <v>1</v>
      </c>
      <c r="O26" s="207">
        <v>0.7</v>
      </c>
      <c r="P26" s="207">
        <v>0.6</v>
      </c>
      <c r="Q26" s="244">
        <f t="shared" si="0"/>
        <v>0.64999999999999991</v>
      </c>
      <c r="R26" s="207">
        <v>14.3</v>
      </c>
      <c r="S26" s="207">
        <v>134</v>
      </c>
      <c r="T26" s="216">
        <f t="shared" si="1"/>
        <v>30</v>
      </c>
      <c r="U26" s="207">
        <v>136</v>
      </c>
      <c r="V26" s="216">
        <f t="shared" si="2"/>
        <v>4080</v>
      </c>
      <c r="W26" s="207">
        <v>1</v>
      </c>
      <c r="X26" s="215" t="s">
        <v>46</v>
      </c>
      <c r="Y26" s="215" t="s">
        <v>84</v>
      </c>
      <c r="Z26" s="215" t="s">
        <v>90</v>
      </c>
      <c r="AA26" s="215" t="s">
        <v>69</v>
      </c>
      <c r="AB26" s="215" t="s">
        <v>340</v>
      </c>
    </row>
    <row r="27" spans="1:48" x14ac:dyDescent="0.15">
      <c r="A27" s="215" t="s">
        <v>34</v>
      </c>
      <c r="B27" s="207" t="s">
        <v>338</v>
      </c>
      <c r="C27" s="207">
        <v>2018</v>
      </c>
      <c r="D27" s="249" t="s">
        <v>468</v>
      </c>
      <c r="E27" s="236" t="s">
        <v>334</v>
      </c>
      <c r="F27" s="236" t="s">
        <v>335</v>
      </c>
      <c r="G27" s="215" t="s">
        <v>36</v>
      </c>
      <c r="H27" s="207" t="s">
        <v>165</v>
      </c>
      <c r="I27" s="215" t="s">
        <v>153</v>
      </c>
      <c r="J27" s="215" t="s">
        <v>38</v>
      </c>
      <c r="K27" s="215" t="s">
        <v>154</v>
      </c>
      <c r="L27" s="207">
        <v>2</v>
      </c>
      <c r="N27" s="207">
        <v>1</v>
      </c>
      <c r="O27" s="207">
        <v>0.6</v>
      </c>
      <c r="P27" s="207">
        <v>0.6</v>
      </c>
      <c r="Q27" s="244">
        <f t="shared" si="0"/>
        <v>0.6</v>
      </c>
      <c r="R27" s="207">
        <v>12.4</v>
      </c>
      <c r="S27" s="207">
        <v>137</v>
      </c>
      <c r="T27" s="216">
        <f t="shared" si="1"/>
        <v>30</v>
      </c>
      <c r="U27" s="207">
        <v>136</v>
      </c>
      <c r="V27" s="216">
        <f t="shared" si="2"/>
        <v>4080</v>
      </c>
      <c r="W27" s="207">
        <v>1</v>
      </c>
      <c r="X27" s="215" t="s">
        <v>46</v>
      </c>
      <c r="Y27" s="215" t="s">
        <v>84</v>
      </c>
      <c r="Z27" s="215" t="s">
        <v>90</v>
      </c>
      <c r="AA27" s="215" t="s">
        <v>69</v>
      </c>
      <c r="AB27" s="215" t="s">
        <v>340</v>
      </c>
    </row>
    <row r="28" spans="1:48" x14ac:dyDescent="0.15">
      <c r="A28" s="215" t="s">
        <v>34</v>
      </c>
      <c r="B28" s="207" t="s">
        <v>338</v>
      </c>
      <c r="C28" s="207">
        <v>2018</v>
      </c>
      <c r="D28" s="249" t="s">
        <v>468</v>
      </c>
      <c r="E28" s="236" t="s">
        <v>334</v>
      </c>
      <c r="F28" s="236" t="s">
        <v>335</v>
      </c>
      <c r="G28" s="215" t="s">
        <v>36</v>
      </c>
      <c r="H28" s="207" t="s">
        <v>165</v>
      </c>
      <c r="I28" s="215" t="s">
        <v>153</v>
      </c>
      <c r="J28" s="215" t="s">
        <v>38</v>
      </c>
      <c r="K28" s="215" t="s">
        <v>154</v>
      </c>
      <c r="L28" s="207">
        <v>3</v>
      </c>
      <c r="N28" s="207">
        <v>1</v>
      </c>
      <c r="O28" s="207">
        <v>0.6</v>
      </c>
      <c r="P28" s="207">
        <v>0.55000000000000004</v>
      </c>
      <c r="Q28" s="244">
        <f t="shared" si="0"/>
        <v>0.57499999999999996</v>
      </c>
      <c r="R28" s="207">
        <v>15.8</v>
      </c>
      <c r="S28" s="207">
        <v>136</v>
      </c>
      <c r="T28" s="216">
        <f t="shared" si="1"/>
        <v>30</v>
      </c>
      <c r="U28" s="207">
        <v>136</v>
      </c>
      <c r="V28" s="216">
        <f t="shared" si="2"/>
        <v>4080</v>
      </c>
      <c r="W28" s="207">
        <v>1</v>
      </c>
      <c r="X28" s="215" t="s">
        <v>46</v>
      </c>
      <c r="Y28" s="215" t="s">
        <v>84</v>
      </c>
      <c r="Z28" s="215" t="s">
        <v>90</v>
      </c>
      <c r="AA28" s="215" t="s">
        <v>69</v>
      </c>
      <c r="AB28" s="215" t="s">
        <v>340</v>
      </c>
    </row>
    <row r="29" spans="1:48" x14ac:dyDescent="0.15">
      <c r="A29" s="215" t="s">
        <v>34</v>
      </c>
      <c r="B29" s="207" t="s">
        <v>338</v>
      </c>
      <c r="C29" s="207">
        <v>2018</v>
      </c>
      <c r="D29" s="249" t="s">
        <v>468</v>
      </c>
      <c r="E29" s="236" t="s">
        <v>331</v>
      </c>
      <c r="F29" s="236" t="s">
        <v>332</v>
      </c>
      <c r="G29" s="215" t="s">
        <v>36</v>
      </c>
      <c r="H29" s="207" t="s">
        <v>155</v>
      </c>
      <c r="I29" s="215" t="s">
        <v>153</v>
      </c>
      <c r="J29" s="215" t="s">
        <v>38</v>
      </c>
      <c r="K29" s="215" t="s">
        <v>154</v>
      </c>
      <c r="L29" s="215">
        <v>1</v>
      </c>
      <c r="N29" s="207">
        <v>1</v>
      </c>
      <c r="O29" s="207">
        <v>1.25</v>
      </c>
      <c r="P29" s="207">
        <v>1.4</v>
      </c>
      <c r="Q29" s="244">
        <f t="shared" si="0"/>
        <v>1.325</v>
      </c>
      <c r="R29" s="207">
        <v>13.9</v>
      </c>
      <c r="S29" s="207">
        <v>146</v>
      </c>
      <c r="T29" s="216">
        <f t="shared" si="1"/>
        <v>30</v>
      </c>
      <c r="U29" s="207">
        <v>116</v>
      </c>
      <c r="V29" s="216">
        <f t="shared" si="2"/>
        <v>3480</v>
      </c>
      <c r="W29" s="207">
        <v>1</v>
      </c>
      <c r="X29" s="215" t="s">
        <v>46</v>
      </c>
      <c r="Y29" s="215" t="s">
        <v>84</v>
      </c>
      <c r="Z29" s="215" t="s">
        <v>69</v>
      </c>
      <c r="AA29" s="215" t="s">
        <v>78</v>
      </c>
      <c r="AB29" s="215" t="s">
        <v>340</v>
      </c>
    </row>
    <row r="30" spans="1:48" x14ac:dyDescent="0.15">
      <c r="A30" s="215" t="s">
        <v>34</v>
      </c>
      <c r="B30" s="207" t="s">
        <v>338</v>
      </c>
      <c r="C30" s="207">
        <v>2018</v>
      </c>
      <c r="D30" s="249" t="s">
        <v>468</v>
      </c>
      <c r="E30" s="236" t="s">
        <v>331</v>
      </c>
      <c r="F30" s="236" t="s">
        <v>332</v>
      </c>
      <c r="G30" s="215" t="s">
        <v>36</v>
      </c>
      <c r="H30" s="207" t="s">
        <v>155</v>
      </c>
      <c r="I30" s="215" t="s">
        <v>153</v>
      </c>
      <c r="J30" s="215" t="s">
        <v>38</v>
      </c>
      <c r="K30" s="215" t="s">
        <v>154</v>
      </c>
      <c r="L30" s="207">
        <v>2</v>
      </c>
      <c r="N30" s="207">
        <v>1</v>
      </c>
      <c r="O30" s="207">
        <v>1.1000000000000001</v>
      </c>
      <c r="P30" s="207">
        <v>1.2</v>
      </c>
      <c r="Q30" s="244">
        <f t="shared" si="0"/>
        <v>1.1499999999999999</v>
      </c>
      <c r="R30" s="207">
        <v>9.6999999999999993</v>
      </c>
      <c r="S30" s="207">
        <v>130</v>
      </c>
      <c r="T30" s="216">
        <f t="shared" si="1"/>
        <v>30</v>
      </c>
      <c r="U30" s="207">
        <v>116</v>
      </c>
      <c r="V30" s="216">
        <f t="shared" si="2"/>
        <v>3480</v>
      </c>
      <c r="W30" s="207">
        <v>1</v>
      </c>
      <c r="X30" s="215" t="s">
        <v>46</v>
      </c>
      <c r="Y30" s="215" t="s">
        <v>84</v>
      </c>
      <c r="Z30" s="215" t="s">
        <v>69</v>
      </c>
      <c r="AA30" s="215" t="s">
        <v>78</v>
      </c>
      <c r="AB30" s="215" t="s">
        <v>340</v>
      </c>
    </row>
    <row r="31" spans="1:48" x14ac:dyDescent="0.15">
      <c r="A31" s="215" t="s">
        <v>34</v>
      </c>
      <c r="B31" s="207" t="s">
        <v>338</v>
      </c>
      <c r="C31" s="207">
        <v>2018</v>
      </c>
      <c r="D31" s="249" t="s">
        <v>468</v>
      </c>
      <c r="E31" s="236" t="s">
        <v>331</v>
      </c>
      <c r="F31" s="236" t="s">
        <v>332</v>
      </c>
      <c r="G31" s="215" t="s">
        <v>36</v>
      </c>
      <c r="H31" s="207" t="s">
        <v>155</v>
      </c>
      <c r="I31" s="215" t="s">
        <v>153</v>
      </c>
      <c r="J31" s="215" t="s">
        <v>38</v>
      </c>
      <c r="K31" s="215" t="s">
        <v>154</v>
      </c>
      <c r="L31" s="207">
        <v>3</v>
      </c>
      <c r="N31" s="207">
        <v>1</v>
      </c>
      <c r="O31" s="207">
        <v>1.1499999999999999</v>
      </c>
      <c r="P31" s="207">
        <v>0.95</v>
      </c>
      <c r="Q31" s="244">
        <f t="shared" si="0"/>
        <v>1.0499999999999998</v>
      </c>
      <c r="R31" s="207">
        <v>12</v>
      </c>
      <c r="S31" s="207">
        <v>131</v>
      </c>
      <c r="T31" s="216">
        <f t="shared" si="1"/>
        <v>30</v>
      </c>
      <c r="U31" s="207">
        <v>116</v>
      </c>
      <c r="V31" s="216">
        <f t="shared" si="2"/>
        <v>3480</v>
      </c>
      <c r="W31" s="207">
        <v>1</v>
      </c>
      <c r="X31" s="215" t="s">
        <v>46</v>
      </c>
      <c r="Y31" s="215" t="s">
        <v>84</v>
      </c>
      <c r="Z31" s="215" t="s">
        <v>69</v>
      </c>
      <c r="AA31" s="215" t="s">
        <v>78</v>
      </c>
      <c r="AB31" s="215" t="s">
        <v>340</v>
      </c>
    </row>
    <row r="32" spans="1:48" x14ac:dyDescent="0.15">
      <c r="A32" s="215" t="s">
        <v>34</v>
      </c>
      <c r="B32" s="207" t="s">
        <v>338</v>
      </c>
      <c r="C32" s="207">
        <v>2018</v>
      </c>
      <c r="D32" s="249" t="s">
        <v>468</v>
      </c>
      <c r="E32" s="236" t="s">
        <v>331</v>
      </c>
      <c r="F32" s="236" t="s">
        <v>332</v>
      </c>
      <c r="G32" s="215" t="s">
        <v>36</v>
      </c>
      <c r="H32" s="207" t="s">
        <v>165</v>
      </c>
      <c r="I32" s="215" t="s">
        <v>153</v>
      </c>
      <c r="J32" s="215" t="s">
        <v>38</v>
      </c>
      <c r="K32" s="215" t="s">
        <v>154</v>
      </c>
      <c r="L32" s="215">
        <v>1</v>
      </c>
      <c r="N32" s="207">
        <v>1</v>
      </c>
      <c r="O32" s="207">
        <v>0.75</v>
      </c>
      <c r="P32" s="207">
        <v>0.8</v>
      </c>
      <c r="Q32" s="244">
        <f t="shared" si="0"/>
        <v>0.77500000000000002</v>
      </c>
      <c r="R32" s="207">
        <v>14.5</v>
      </c>
      <c r="S32" s="207">
        <v>151</v>
      </c>
      <c r="T32" s="216">
        <f t="shared" si="1"/>
        <v>30</v>
      </c>
      <c r="U32" s="207">
        <v>116</v>
      </c>
      <c r="V32" s="216">
        <f t="shared" si="2"/>
        <v>3480</v>
      </c>
      <c r="W32" s="207">
        <v>4</v>
      </c>
      <c r="X32" s="215" t="s">
        <v>46</v>
      </c>
      <c r="Y32" s="215" t="s">
        <v>84</v>
      </c>
      <c r="Z32" s="215" t="s">
        <v>69</v>
      </c>
      <c r="AA32" s="215" t="s">
        <v>78</v>
      </c>
      <c r="AB32" s="215" t="s">
        <v>340</v>
      </c>
    </row>
    <row r="33" spans="1:28" x14ac:dyDescent="0.15">
      <c r="A33" s="215" t="s">
        <v>34</v>
      </c>
      <c r="B33" s="207" t="s">
        <v>338</v>
      </c>
      <c r="C33" s="207">
        <v>2018</v>
      </c>
      <c r="D33" s="249" t="s">
        <v>468</v>
      </c>
      <c r="E33" s="236" t="s">
        <v>331</v>
      </c>
      <c r="F33" s="236" t="s">
        <v>332</v>
      </c>
      <c r="G33" s="215" t="s">
        <v>36</v>
      </c>
      <c r="H33" s="207" t="s">
        <v>165</v>
      </c>
      <c r="I33" s="215" t="s">
        <v>153</v>
      </c>
      <c r="J33" s="215" t="s">
        <v>38</v>
      </c>
      <c r="K33" s="215" t="s">
        <v>154</v>
      </c>
      <c r="L33" s="207">
        <v>2</v>
      </c>
      <c r="N33" s="207">
        <v>1</v>
      </c>
      <c r="O33" s="207">
        <v>0.6</v>
      </c>
      <c r="P33" s="207">
        <v>0.65</v>
      </c>
      <c r="Q33" s="244">
        <f t="shared" si="0"/>
        <v>0.625</v>
      </c>
      <c r="R33" s="207">
        <v>14.5</v>
      </c>
      <c r="S33" s="207">
        <v>152</v>
      </c>
      <c r="T33" s="216">
        <f t="shared" si="1"/>
        <v>18</v>
      </c>
      <c r="U33" s="207">
        <v>116</v>
      </c>
      <c r="V33" s="216">
        <f t="shared" si="2"/>
        <v>2088</v>
      </c>
      <c r="W33" s="207">
        <v>4</v>
      </c>
      <c r="X33" s="215" t="s">
        <v>46</v>
      </c>
      <c r="Y33" s="215" t="s">
        <v>84</v>
      </c>
      <c r="Z33" s="215" t="s">
        <v>69</v>
      </c>
      <c r="AA33" s="215" t="s">
        <v>78</v>
      </c>
      <c r="AB33" s="215" t="s">
        <v>340</v>
      </c>
    </row>
    <row r="34" spans="1:28" x14ac:dyDescent="0.15">
      <c r="A34" s="215" t="s">
        <v>34</v>
      </c>
      <c r="B34" s="207" t="s">
        <v>338</v>
      </c>
      <c r="C34" s="207">
        <v>2018</v>
      </c>
      <c r="D34" s="249" t="s">
        <v>468</v>
      </c>
      <c r="E34" s="236" t="s">
        <v>331</v>
      </c>
      <c r="F34" s="236" t="s">
        <v>332</v>
      </c>
      <c r="G34" s="215" t="s">
        <v>36</v>
      </c>
      <c r="H34" s="207" t="s">
        <v>165</v>
      </c>
      <c r="I34" s="215" t="s">
        <v>153</v>
      </c>
      <c r="J34" s="215" t="s">
        <v>38</v>
      </c>
      <c r="K34" s="215" t="s">
        <v>154</v>
      </c>
      <c r="L34" s="207">
        <v>3</v>
      </c>
      <c r="N34" s="207">
        <v>1</v>
      </c>
      <c r="O34" s="207">
        <v>0.55000000000000004</v>
      </c>
      <c r="P34" s="207">
        <v>0.55000000000000004</v>
      </c>
      <c r="Q34" s="244">
        <f>IF(OR(O34="",P34=""),"",AVERAGE(O34,P34))</f>
        <v>0.55000000000000004</v>
      </c>
      <c r="R34" s="207">
        <v>14.9</v>
      </c>
      <c r="S34" s="207">
        <v>165</v>
      </c>
      <c r="T34" s="216">
        <f t="shared" si="1"/>
        <v>18</v>
      </c>
      <c r="U34" s="207">
        <v>116</v>
      </c>
      <c r="V34" s="216">
        <f t="shared" si="2"/>
        <v>2088</v>
      </c>
      <c r="W34" s="207">
        <v>4</v>
      </c>
      <c r="X34" s="215" t="s">
        <v>46</v>
      </c>
      <c r="Y34" s="215" t="s">
        <v>84</v>
      </c>
      <c r="Z34" s="215" t="s">
        <v>69</v>
      </c>
      <c r="AA34" s="215" t="s">
        <v>78</v>
      </c>
      <c r="AB34" s="215" t="s">
        <v>340</v>
      </c>
    </row>
    <row r="35" spans="1:28" x14ac:dyDescent="0.15">
      <c r="A35" s="215" t="s">
        <v>34</v>
      </c>
      <c r="B35" s="207" t="s">
        <v>338</v>
      </c>
      <c r="C35" s="207">
        <v>2018</v>
      </c>
      <c r="D35" s="249" t="s">
        <v>468</v>
      </c>
      <c r="E35" s="236" t="s">
        <v>171</v>
      </c>
      <c r="F35" s="236" t="s">
        <v>336</v>
      </c>
      <c r="G35" s="215" t="s">
        <v>36</v>
      </c>
      <c r="H35" s="207" t="s">
        <v>155</v>
      </c>
      <c r="I35" s="215" t="s">
        <v>153</v>
      </c>
      <c r="J35" s="215" t="s">
        <v>38</v>
      </c>
      <c r="K35" s="215" t="s">
        <v>154</v>
      </c>
      <c r="L35" s="207">
        <v>1</v>
      </c>
      <c r="N35" s="207">
        <v>1</v>
      </c>
      <c r="O35" s="207">
        <v>0.2</v>
      </c>
      <c r="P35" s="207">
        <v>0.5</v>
      </c>
      <c r="Q35" s="244">
        <f>IF(OR(O35="",P35=""),"",AVERAGE(O35,P35))</f>
        <v>0.35</v>
      </c>
      <c r="R35" s="207">
        <v>14.7</v>
      </c>
      <c r="S35" s="207">
        <v>134</v>
      </c>
      <c r="T35" s="216">
        <f t="shared" si="1"/>
        <v>30</v>
      </c>
      <c r="U35" s="207">
        <v>137</v>
      </c>
      <c r="V35" s="216">
        <f t="shared" si="2"/>
        <v>4110</v>
      </c>
      <c r="W35" s="207">
        <v>3</v>
      </c>
      <c r="X35" s="215" t="s">
        <v>46</v>
      </c>
      <c r="Y35" s="215" t="s">
        <v>50</v>
      </c>
      <c r="Z35" s="215" t="s">
        <v>69</v>
      </c>
      <c r="AA35" s="215" t="s">
        <v>84</v>
      </c>
      <c r="AB35" s="215" t="s">
        <v>340</v>
      </c>
    </row>
    <row r="36" spans="1:28" x14ac:dyDescent="0.15">
      <c r="A36" s="215" t="s">
        <v>34</v>
      </c>
      <c r="B36" s="207" t="s">
        <v>338</v>
      </c>
      <c r="C36" s="207">
        <v>2018</v>
      </c>
      <c r="D36" s="249" t="s">
        <v>468</v>
      </c>
      <c r="E36" s="236" t="s">
        <v>171</v>
      </c>
      <c r="F36" s="236" t="s">
        <v>336</v>
      </c>
      <c r="G36" s="215" t="s">
        <v>36</v>
      </c>
      <c r="H36" s="207" t="s">
        <v>155</v>
      </c>
      <c r="I36" s="215" t="s">
        <v>153</v>
      </c>
      <c r="J36" s="215" t="s">
        <v>38</v>
      </c>
      <c r="K36" s="215" t="s">
        <v>154</v>
      </c>
      <c r="L36" s="207">
        <v>2</v>
      </c>
      <c r="N36" s="207">
        <v>1</v>
      </c>
      <c r="O36" s="207">
        <v>0.6</v>
      </c>
      <c r="P36" s="207">
        <v>0.6</v>
      </c>
      <c r="Q36" s="244">
        <f>IF(OR(O36="",P36=""),"",AVERAGE(O36,P36))</f>
        <v>0.6</v>
      </c>
      <c r="R36" s="207">
        <v>14.6</v>
      </c>
      <c r="S36" s="207">
        <v>135</v>
      </c>
      <c r="T36" s="216">
        <f t="shared" si="1"/>
        <v>30</v>
      </c>
      <c r="U36" s="207">
        <v>137</v>
      </c>
      <c r="V36" s="216">
        <f t="shared" si="2"/>
        <v>4110</v>
      </c>
      <c r="W36" s="207">
        <v>3</v>
      </c>
      <c r="X36" s="215" t="s">
        <v>46</v>
      </c>
      <c r="Y36" s="215" t="s">
        <v>50</v>
      </c>
      <c r="Z36" s="215" t="s">
        <v>69</v>
      </c>
      <c r="AA36" s="215" t="s">
        <v>84</v>
      </c>
      <c r="AB36" s="215" t="s">
        <v>340</v>
      </c>
    </row>
    <row r="37" spans="1:28" x14ac:dyDescent="0.15">
      <c r="A37" s="215" t="s">
        <v>34</v>
      </c>
      <c r="B37" s="207" t="s">
        <v>338</v>
      </c>
      <c r="C37" s="207">
        <v>2018</v>
      </c>
      <c r="D37" s="249" t="s">
        <v>468</v>
      </c>
      <c r="E37" s="236" t="s">
        <v>171</v>
      </c>
      <c r="F37" s="236" t="s">
        <v>336</v>
      </c>
      <c r="G37" s="215" t="s">
        <v>36</v>
      </c>
      <c r="H37" s="207" t="s">
        <v>155</v>
      </c>
      <c r="I37" s="215" t="s">
        <v>153</v>
      </c>
      <c r="J37" s="215" t="s">
        <v>38</v>
      </c>
      <c r="K37" s="215" t="s">
        <v>154</v>
      </c>
      <c r="L37" s="207">
        <v>3</v>
      </c>
      <c r="N37" s="207">
        <v>1</v>
      </c>
      <c r="O37" s="207">
        <v>0.2</v>
      </c>
      <c r="P37" s="207">
        <v>0.2</v>
      </c>
      <c r="Q37" s="244">
        <f>IF(OR(O37="",P37=""),"",AVERAGE(O37,P37))</f>
        <v>0.2</v>
      </c>
      <c r="R37" s="207">
        <v>15</v>
      </c>
      <c r="S37" s="207">
        <v>140</v>
      </c>
      <c r="T37" s="216">
        <f t="shared" si="1"/>
        <v>30</v>
      </c>
      <c r="U37" s="207">
        <v>137</v>
      </c>
      <c r="V37" s="216">
        <f t="shared" si="2"/>
        <v>4110</v>
      </c>
      <c r="W37" s="207">
        <v>3</v>
      </c>
      <c r="X37" s="215" t="s">
        <v>46</v>
      </c>
      <c r="Y37" s="215" t="s">
        <v>50</v>
      </c>
      <c r="Z37" s="215" t="s">
        <v>69</v>
      </c>
      <c r="AA37" s="215" t="s">
        <v>84</v>
      </c>
      <c r="AB37" s="215" t="s">
        <v>340</v>
      </c>
    </row>
    <row r="38" spans="1:28" x14ac:dyDescent="0.15">
      <c r="A38" s="215" t="s">
        <v>34</v>
      </c>
      <c r="B38" s="207" t="s">
        <v>338</v>
      </c>
      <c r="C38" s="207">
        <v>2018</v>
      </c>
      <c r="D38" s="249" t="s">
        <v>468</v>
      </c>
      <c r="E38" s="236" t="s">
        <v>171</v>
      </c>
      <c r="F38" s="236" t="s">
        <v>336</v>
      </c>
      <c r="G38" s="215" t="s">
        <v>36</v>
      </c>
      <c r="H38" s="207" t="s">
        <v>155</v>
      </c>
      <c r="I38" s="215" t="s">
        <v>153</v>
      </c>
      <c r="J38" s="215" t="s">
        <v>38</v>
      </c>
      <c r="K38" s="215" t="s">
        <v>154</v>
      </c>
      <c r="L38" s="215">
        <v>1</v>
      </c>
      <c r="N38" s="207">
        <v>4</v>
      </c>
      <c r="O38" s="207">
        <v>0.8</v>
      </c>
      <c r="P38" s="207">
        <v>0.85</v>
      </c>
      <c r="Q38" s="244">
        <f t="shared" ref="Q38:Q39" si="3">IF(OR(O38="",P38=""),"",AVERAGE(O38,P38))</f>
        <v>0.82499999999999996</v>
      </c>
      <c r="R38" s="207">
        <v>13.2</v>
      </c>
      <c r="S38" s="207">
        <v>143</v>
      </c>
      <c r="T38" s="216">
        <f t="shared" si="1"/>
        <v>30</v>
      </c>
      <c r="U38" s="207">
        <v>515</v>
      </c>
      <c r="V38" s="216">
        <f t="shared" si="2"/>
        <v>3862.5</v>
      </c>
      <c r="W38" s="207">
        <v>3</v>
      </c>
      <c r="X38" s="215" t="s">
        <v>46</v>
      </c>
      <c r="Y38" s="215" t="s">
        <v>50</v>
      </c>
      <c r="Z38" s="215" t="s">
        <v>69</v>
      </c>
      <c r="AA38" s="215" t="s">
        <v>84</v>
      </c>
      <c r="AB38" s="215" t="s">
        <v>340</v>
      </c>
    </row>
    <row r="39" spans="1:28" x14ac:dyDescent="0.15">
      <c r="A39" s="215" t="s">
        <v>34</v>
      </c>
      <c r="B39" s="207" t="s">
        <v>338</v>
      </c>
      <c r="C39" s="207">
        <v>2018</v>
      </c>
      <c r="D39" s="249" t="s">
        <v>468</v>
      </c>
      <c r="E39" s="236" t="s">
        <v>171</v>
      </c>
      <c r="F39" s="236" t="s">
        <v>336</v>
      </c>
      <c r="G39" s="215" t="s">
        <v>36</v>
      </c>
      <c r="H39" s="207" t="s">
        <v>155</v>
      </c>
      <c r="I39" s="215" t="s">
        <v>153</v>
      </c>
      <c r="J39" s="215" t="s">
        <v>38</v>
      </c>
      <c r="K39" s="215" t="s">
        <v>154</v>
      </c>
      <c r="L39" s="207">
        <v>2</v>
      </c>
      <c r="N39" s="207">
        <v>4</v>
      </c>
      <c r="O39" s="207">
        <v>0.8</v>
      </c>
      <c r="P39" s="207">
        <v>0.95</v>
      </c>
      <c r="Q39" s="244">
        <f t="shared" si="3"/>
        <v>0.875</v>
      </c>
      <c r="R39" s="207">
        <v>13.5</v>
      </c>
      <c r="S39" s="207">
        <v>139</v>
      </c>
      <c r="T39" s="216">
        <f t="shared" si="1"/>
        <v>30</v>
      </c>
      <c r="U39" s="207">
        <v>515</v>
      </c>
      <c r="V39" s="216">
        <f t="shared" si="2"/>
        <v>3862.5</v>
      </c>
      <c r="W39" s="207">
        <v>3</v>
      </c>
      <c r="X39" s="215" t="s">
        <v>46</v>
      </c>
      <c r="Y39" s="215" t="s">
        <v>50</v>
      </c>
      <c r="Z39" s="215" t="s">
        <v>69</v>
      </c>
      <c r="AA39" s="215" t="s">
        <v>84</v>
      </c>
      <c r="AB39" s="215" t="s">
        <v>340</v>
      </c>
    </row>
    <row r="40" spans="1:28" x14ac:dyDescent="0.15">
      <c r="A40" s="215" t="s">
        <v>34</v>
      </c>
      <c r="B40" s="207" t="s">
        <v>338</v>
      </c>
      <c r="C40" s="207">
        <v>2018</v>
      </c>
      <c r="D40" s="249" t="s">
        <v>468</v>
      </c>
      <c r="E40" s="236" t="s">
        <v>171</v>
      </c>
      <c r="F40" s="236" t="s">
        <v>336</v>
      </c>
      <c r="G40" s="215" t="s">
        <v>36</v>
      </c>
      <c r="H40" s="207" t="s">
        <v>155</v>
      </c>
      <c r="I40" s="215" t="s">
        <v>153</v>
      </c>
      <c r="J40" s="215" t="s">
        <v>38</v>
      </c>
      <c r="K40" s="215" t="s">
        <v>154</v>
      </c>
      <c r="L40" s="207">
        <v>3</v>
      </c>
      <c r="N40" s="207">
        <v>4</v>
      </c>
      <c r="O40" s="207">
        <v>0.9</v>
      </c>
      <c r="P40" s="207">
        <v>0.95</v>
      </c>
      <c r="Q40" s="244">
        <f>IF(OR(O40="",P40=""),"",AVERAGE(O40,P40))</f>
        <v>0.92500000000000004</v>
      </c>
      <c r="R40" s="207">
        <v>12.8</v>
      </c>
      <c r="S40" s="207">
        <v>133</v>
      </c>
      <c r="T40" s="216">
        <f t="shared" si="1"/>
        <v>30</v>
      </c>
      <c r="U40" s="207">
        <v>515</v>
      </c>
      <c r="V40" s="216">
        <f t="shared" si="2"/>
        <v>3862.5</v>
      </c>
      <c r="W40" s="207">
        <v>3</v>
      </c>
      <c r="X40" s="215" t="s">
        <v>46</v>
      </c>
      <c r="Y40" s="215" t="s">
        <v>50</v>
      </c>
      <c r="Z40" s="215" t="s">
        <v>69</v>
      </c>
      <c r="AA40" s="215" t="s">
        <v>84</v>
      </c>
      <c r="AB40" s="215" t="s">
        <v>340</v>
      </c>
    </row>
    <row r="41" spans="1:28" x14ac:dyDescent="0.15">
      <c r="A41" s="215" t="s">
        <v>34</v>
      </c>
      <c r="B41" s="207" t="s">
        <v>338</v>
      </c>
      <c r="C41" s="207">
        <v>2018</v>
      </c>
      <c r="D41" s="249" t="s">
        <v>468</v>
      </c>
      <c r="E41" s="236" t="s">
        <v>171</v>
      </c>
      <c r="F41" s="236" t="s">
        <v>336</v>
      </c>
      <c r="G41" s="215" t="s">
        <v>36</v>
      </c>
      <c r="H41" s="207" t="s">
        <v>165</v>
      </c>
      <c r="I41" s="215" t="s">
        <v>153</v>
      </c>
      <c r="J41" s="215" t="s">
        <v>38</v>
      </c>
      <c r="K41" s="215" t="s">
        <v>154</v>
      </c>
      <c r="L41" s="215">
        <v>1</v>
      </c>
      <c r="N41" s="207">
        <v>1</v>
      </c>
      <c r="O41" s="207">
        <v>0.45</v>
      </c>
      <c r="P41" s="207">
        <v>0.45</v>
      </c>
      <c r="Q41" s="244">
        <f t="shared" ref="Q41:Q42" si="4">IF(OR(O41="",P41=""),"",AVERAGE(O41,P41))</f>
        <v>0.45</v>
      </c>
      <c r="R41" s="207">
        <v>15.4</v>
      </c>
      <c r="S41" s="207">
        <v>162</v>
      </c>
      <c r="T41" s="216">
        <f t="shared" si="1"/>
        <v>18</v>
      </c>
      <c r="U41" s="207">
        <v>137</v>
      </c>
      <c r="V41" s="216">
        <f t="shared" si="2"/>
        <v>2466</v>
      </c>
      <c r="W41" s="207">
        <v>6</v>
      </c>
      <c r="X41" s="215" t="s">
        <v>46</v>
      </c>
      <c r="Y41" s="215" t="s">
        <v>50</v>
      </c>
      <c r="Z41" s="215" t="s">
        <v>69</v>
      </c>
      <c r="AA41" s="215" t="s">
        <v>84</v>
      </c>
      <c r="AB41" s="215" t="s">
        <v>340</v>
      </c>
    </row>
    <row r="42" spans="1:28" x14ac:dyDescent="0.15">
      <c r="A42" s="215" t="s">
        <v>34</v>
      </c>
      <c r="B42" s="207" t="s">
        <v>338</v>
      </c>
      <c r="C42" s="207">
        <v>2018</v>
      </c>
      <c r="D42" s="249" t="s">
        <v>468</v>
      </c>
      <c r="E42" s="236" t="s">
        <v>171</v>
      </c>
      <c r="F42" s="236" t="s">
        <v>336</v>
      </c>
      <c r="G42" s="215" t="s">
        <v>36</v>
      </c>
      <c r="H42" s="207" t="s">
        <v>165</v>
      </c>
      <c r="I42" s="215" t="s">
        <v>153</v>
      </c>
      <c r="J42" s="215" t="s">
        <v>38</v>
      </c>
      <c r="K42" s="215" t="s">
        <v>154</v>
      </c>
      <c r="L42" s="207">
        <v>2</v>
      </c>
      <c r="N42" s="207">
        <v>1</v>
      </c>
      <c r="O42" s="207">
        <v>0.55000000000000004</v>
      </c>
      <c r="P42" s="207">
        <v>0.55000000000000004</v>
      </c>
      <c r="Q42" s="244">
        <f t="shared" si="4"/>
        <v>0.55000000000000004</v>
      </c>
      <c r="R42" s="207">
        <v>15.4</v>
      </c>
      <c r="S42" s="207">
        <v>150</v>
      </c>
      <c r="T42" s="216">
        <f t="shared" si="1"/>
        <v>30</v>
      </c>
      <c r="U42" s="207">
        <v>137</v>
      </c>
      <c r="V42" s="216">
        <f t="shared" si="2"/>
        <v>4110</v>
      </c>
      <c r="W42" s="207">
        <v>6</v>
      </c>
      <c r="X42" s="215" t="s">
        <v>46</v>
      </c>
      <c r="Y42" s="215" t="s">
        <v>50</v>
      </c>
      <c r="Z42" s="215" t="s">
        <v>69</v>
      </c>
      <c r="AA42" s="215" t="s">
        <v>84</v>
      </c>
      <c r="AB42" s="215" t="s">
        <v>340</v>
      </c>
    </row>
    <row r="43" spans="1:28" x14ac:dyDescent="0.15">
      <c r="A43" s="215" t="s">
        <v>34</v>
      </c>
      <c r="B43" s="207" t="s">
        <v>338</v>
      </c>
      <c r="C43" s="207">
        <v>2018</v>
      </c>
      <c r="D43" s="249" t="s">
        <v>468</v>
      </c>
      <c r="E43" s="236" t="s">
        <v>171</v>
      </c>
      <c r="F43" s="236" t="s">
        <v>336</v>
      </c>
      <c r="G43" s="215" t="s">
        <v>36</v>
      </c>
      <c r="H43" s="207" t="s">
        <v>165</v>
      </c>
      <c r="I43" s="215" t="s">
        <v>153</v>
      </c>
      <c r="J43" s="215" t="s">
        <v>38</v>
      </c>
      <c r="K43" s="215" t="s">
        <v>154</v>
      </c>
      <c r="L43" s="207">
        <v>3</v>
      </c>
      <c r="N43" s="207">
        <v>1</v>
      </c>
      <c r="O43" s="207">
        <v>0.2</v>
      </c>
      <c r="P43" s="207">
        <v>0.55000000000000004</v>
      </c>
      <c r="Q43" s="244">
        <f>IF(OR(O43="",P43=""),"",AVERAGE(O43,P43))</f>
        <v>0.375</v>
      </c>
      <c r="R43" s="207">
        <v>16.399999999999999</v>
      </c>
      <c r="S43" s="207">
        <v>161</v>
      </c>
      <c r="T43" s="216">
        <f t="shared" si="1"/>
        <v>18</v>
      </c>
      <c r="U43" s="207">
        <v>137</v>
      </c>
      <c r="V43" s="216">
        <f t="shared" si="2"/>
        <v>2466</v>
      </c>
      <c r="W43" s="207">
        <v>6</v>
      </c>
      <c r="X43" s="215" t="s">
        <v>46</v>
      </c>
      <c r="Y43" s="215" t="s">
        <v>50</v>
      </c>
      <c r="Z43" s="215" t="s">
        <v>69</v>
      </c>
      <c r="AA43" s="215" t="s">
        <v>84</v>
      </c>
      <c r="AB43" s="215" t="s">
        <v>340</v>
      </c>
    </row>
    <row r="44" spans="1:28" x14ac:dyDescent="0.15">
      <c r="A44" s="215" t="s">
        <v>34</v>
      </c>
      <c r="B44" s="207" t="s">
        <v>338</v>
      </c>
      <c r="C44" s="207">
        <v>2018</v>
      </c>
      <c r="D44" s="249" t="s">
        <v>468</v>
      </c>
      <c r="E44" s="236" t="s">
        <v>171</v>
      </c>
      <c r="F44" s="236" t="s">
        <v>336</v>
      </c>
      <c r="G44" s="215" t="s">
        <v>36</v>
      </c>
      <c r="H44" s="207" t="s">
        <v>165</v>
      </c>
      <c r="I44" s="215" t="s">
        <v>153</v>
      </c>
      <c r="J44" s="215" t="s">
        <v>38</v>
      </c>
      <c r="K44" s="215" t="s">
        <v>154</v>
      </c>
      <c r="L44" s="215">
        <v>1</v>
      </c>
      <c r="N44" s="207">
        <v>4</v>
      </c>
      <c r="O44" s="207">
        <v>0.55000000000000004</v>
      </c>
      <c r="P44" s="207">
        <v>0.55000000000000004</v>
      </c>
      <c r="Q44" s="244">
        <f t="shared" si="0"/>
        <v>0.55000000000000004</v>
      </c>
      <c r="R44" s="207">
        <v>15.8</v>
      </c>
      <c r="S44" s="207">
        <v>138</v>
      </c>
      <c r="T44" s="216">
        <f t="shared" si="1"/>
        <v>30</v>
      </c>
      <c r="U44" s="207">
        <v>515</v>
      </c>
      <c r="V44" s="216">
        <f t="shared" si="2"/>
        <v>3862.5</v>
      </c>
      <c r="W44" s="207">
        <v>6</v>
      </c>
      <c r="X44" s="215" t="s">
        <v>46</v>
      </c>
      <c r="Y44" s="215" t="s">
        <v>50</v>
      </c>
      <c r="Z44" s="215" t="s">
        <v>69</v>
      </c>
      <c r="AA44" s="215" t="s">
        <v>84</v>
      </c>
      <c r="AB44" s="215" t="s">
        <v>340</v>
      </c>
    </row>
    <row r="45" spans="1:28" x14ac:dyDescent="0.15">
      <c r="A45" s="215" t="s">
        <v>34</v>
      </c>
      <c r="B45" s="207" t="s">
        <v>338</v>
      </c>
      <c r="C45" s="207">
        <v>2018</v>
      </c>
      <c r="D45" s="249" t="s">
        <v>468</v>
      </c>
      <c r="E45" s="236" t="s">
        <v>171</v>
      </c>
      <c r="F45" s="236" t="s">
        <v>336</v>
      </c>
      <c r="G45" s="215" t="s">
        <v>36</v>
      </c>
      <c r="H45" s="207" t="s">
        <v>165</v>
      </c>
      <c r="I45" s="215" t="s">
        <v>153</v>
      </c>
      <c r="J45" s="215" t="s">
        <v>38</v>
      </c>
      <c r="K45" s="215" t="s">
        <v>154</v>
      </c>
      <c r="L45" s="207">
        <v>2</v>
      </c>
      <c r="N45" s="207">
        <v>4</v>
      </c>
      <c r="O45" s="207">
        <v>0.6</v>
      </c>
      <c r="P45" s="207">
        <v>0.6</v>
      </c>
      <c r="Q45" s="244">
        <f t="shared" si="0"/>
        <v>0.6</v>
      </c>
      <c r="R45" s="207">
        <v>14.5</v>
      </c>
      <c r="S45" s="207">
        <v>142</v>
      </c>
      <c r="T45" s="216">
        <f t="shared" si="1"/>
        <v>30</v>
      </c>
      <c r="U45" s="207">
        <v>515</v>
      </c>
      <c r="V45" s="216">
        <f t="shared" si="2"/>
        <v>3862.5</v>
      </c>
      <c r="W45" s="207">
        <v>6</v>
      </c>
      <c r="X45" s="215" t="s">
        <v>46</v>
      </c>
      <c r="Y45" s="215" t="s">
        <v>50</v>
      </c>
      <c r="Z45" s="215" t="s">
        <v>69</v>
      </c>
      <c r="AA45" s="215" t="s">
        <v>84</v>
      </c>
      <c r="AB45" s="215" t="s">
        <v>340</v>
      </c>
    </row>
    <row r="46" spans="1:28" x14ac:dyDescent="0.15">
      <c r="A46" s="215" t="s">
        <v>34</v>
      </c>
      <c r="B46" s="207" t="s">
        <v>338</v>
      </c>
      <c r="C46" s="207">
        <v>2018</v>
      </c>
      <c r="D46" s="249" t="s">
        <v>468</v>
      </c>
      <c r="E46" s="236" t="s">
        <v>171</v>
      </c>
      <c r="F46" s="236" t="s">
        <v>336</v>
      </c>
      <c r="G46" s="215" t="s">
        <v>36</v>
      </c>
      <c r="H46" s="207" t="s">
        <v>165</v>
      </c>
      <c r="I46" s="215" t="s">
        <v>153</v>
      </c>
      <c r="J46" s="215" t="s">
        <v>38</v>
      </c>
      <c r="K46" s="215" t="s">
        <v>154</v>
      </c>
      <c r="L46" s="207">
        <v>3</v>
      </c>
      <c r="N46" s="207">
        <v>4</v>
      </c>
      <c r="O46" s="207">
        <v>0.65</v>
      </c>
      <c r="P46" s="207">
        <v>0.6</v>
      </c>
      <c r="Q46" s="244">
        <f t="shared" si="0"/>
        <v>0.625</v>
      </c>
      <c r="R46" s="207">
        <v>14.9</v>
      </c>
      <c r="S46" s="207">
        <v>138</v>
      </c>
      <c r="T46" s="216">
        <f t="shared" si="1"/>
        <v>30</v>
      </c>
      <c r="U46" s="207">
        <v>515</v>
      </c>
      <c r="V46" s="216">
        <f t="shared" si="2"/>
        <v>3862.5</v>
      </c>
      <c r="W46" s="207">
        <v>6</v>
      </c>
      <c r="X46" s="215" t="s">
        <v>46</v>
      </c>
      <c r="Y46" s="215" t="s">
        <v>50</v>
      </c>
      <c r="Z46" s="215" t="s">
        <v>69</v>
      </c>
      <c r="AA46" s="215" t="s">
        <v>84</v>
      </c>
      <c r="AB46" s="215" t="s">
        <v>340</v>
      </c>
    </row>
    <row r="47" spans="1:28" x14ac:dyDescent="0.15">
      <c r="A47" s="215" t="s">
        <v>34</v>
      </c>
      <c r="B47" s="207" t="s">
        <v>338</v>
      </c>
      <c r="C47" s="207">
        <v>2018</v>
      </c>
      <c r="D47" s="249" t="s">
        <v>468</v>
      </c>
      <c r="E47" s="236" t="s">
        <v>286</v>
      </c>
      <c r="F47" s="236" t="s">
        <v>321</v>
      </c>
      <c r="G47" s="215" t="s">
        <v>36</v>
      </c>
      <c r="H47" s="207" t="s">
        <v>155</v>
      </c>
      <c r="I47" s="215" t="s">
        <v>153</v>
      </c>
      <c r="J47" s="215" t="s">
        <v>38</v>
      </c>
      <c r="K47" s="215" t="s">
        <v>154</v>
      </c>
      <c r="L47" s="215">
        <v>1</v>
      </c>
      <c r="N47" s="207">
        <v>1</v>
      </c>
      <c r="O47" s="207">
        <v>0.7</v>
      </c>
      <c r="P47" s="207">
        <v>0.7</v>
      </c>
      <c r="Q47" s="244">
        <f t="shared" si="0"/>
        <v>0.7</v>
      </c>
      <c r="R47" s="207">
        <v>14.2</v>
      </c>
      <c r="S47" s="207">
        <v>131</v>
      </c>
      <c r="T47" s="216">
        <f t="shared" si="1"/>
        <v>30</v>
      </c>
      <c r="U47" s="207">
        <v>105</v>
      </c>
      <c r="V47" s="216">
        <f t="shared" si="2"/>
        <v>3150</v>
      </c>
      <c r="W47" s="207">
        <v>2</v>
      </c>
      <c r="X47" s="215" t="s">
        <v>46</v>
      </c>
      <c r="Y47" s="215" t="s">
        <v>84</v>
      </c>
      <c r="Z47" s="215" t="s">
        <v>50</v>
      </c>
      <c r="AA47" s="215" t="s">
        <v>90</v>
      </c>
      <c r="AB47" s="215" t="s">
        <v>340</v>
      </c>
    </row>
    <row r="48" spans="1:28" x14ac:dyDescent="0.15">
      <c r="A48" s="215" t="s">
        <v>34</v>
      </c>
      <c r="B48" s="207" t="s">
        <v>338</v>
      </c>
      <c r="C48" s="207">
        <v>2018</v>
      </c>
      <c r="D48" s="249" t="s">
        <v>468</v>
      </c>
      <c r="E48" s="236" t="s">
        <v>286</v>
      </c>
      <c r="F48" s="236" t="s">
        <v>321</v>
      </c>
      <c r="G48" s="215" t="s">
        <v>36</v>
      </c>
      <c r="H48" s="207" t="s">
        <v>155</v>
      </c>
      <c r="I48" s="215" t="s">
        <v>153</v>
      </c>
      <c r="J48" s="215" t="s">
        <v>38</v>
      </c>
      <c r="K48" s="215" t="s">
        <v>154</v>
      </c>
      <c r="L48" s="207">
        <v>2</v>
      </c>
      <c r="N48" s="207">
        <v>1</v>
      </c>
      <c r="O48" s="207">
        <v>1.1000000000000001</v>
      </c>
      <c r="P48" s="207">
        <v>0.65</v>
      </c>
      <c r="Q48" s="244">
        <f t="shared" si="0"/>
        <v>0.875</v>
      </c>
      <c r="R48" s="207">
        <v>14.3</v>
      </c>
      <c r="S48" s="207">
        <v>130</v>
      </c>
      <c r="T48" s="216">
        <f t="shared" si="1"/>
        <v>30</v>
      </c>
      <c r="U48" s="207">
        <v>105</v>
      </c>
      <c r="V48" s="216">
        <f t="shared" si="2"/>
        <v>3150</v>
      </c>
      <c r="W48" s="207">
        <v>2</v>
      </c>
      <c r="X48" s="215" t="s">
        <v>46</v>
      </c>
      <c r="Y48" s="215" t="s">
        <v>84</v>
      </c>
      <c r="Z48" s="215" t="s">
        <v>50</v>
      </c>
      <c r="AA48" s="215" t="s">
        <v>90</v>
      </c>
      <c r="AB48" s="215" t="s">
        <v>340</v>
      </c>
    </row>
    <row r="49" spans="1:28" x14ac:dyDescent="0.15">
      <c r="A49" s="215" t="s">
        <v>34</v>
      </c>
      <c r="B49" s="207" t="s">
        <v>338</v>
      </c>
      <c r="C49" s="207">
        <v>2018</v>
      </c>
      <c r="D49" s="249" t="s">
        <v>468</v>
      </c>
      <c r="E49" s="236" t="s">
        <v>286</v>
      </c>
      <c r="F49" s="236" t="s">
        <v>321</v>
      </c>
      <c r="G49" s="215" t="s">
        <v>36</v>
      </c>
      <c r="H49" s="207" t="s">
        <v>155</v>
      </c>
      <c r="I49" s="215" t="s">
        <v>153</v>
      </c>
      <c r="J49" s="215" t="s">
        <v>38</v>
      </c>
      <c r="K49" s="215" t="s">
        <v>154</v>
      </c>
      <c r="L49" s="207">
        <v>3</v>
      </c>
      <c r="N49" s="207">
        <v>1</v>
      </c>
      <c r="O49" s="207">
        <v>0.95</v>
      </c>
      <c r="P49" s="207">
        <v>1.1000000000000001</v>
      </c>
      <c r="Q49" s="244">
        <f t="shared" si="0"/>
        <v>1.0249999999999999</v>
      </c>
      <c r="R49" s="207">
        <v>13.9</v>
      </c>
      <c r="S49" s="207">
        <v>130</v>
      </c>
      <c r="T49" s="216">
        <f t="shared" si="1"/>
        <v>30</v>
      </c>
      <c r="U49" s="207">
        <v>105</v>
      </c>
      <c r="V49" s="216">
        <f t="shared" si="2"/>
        <v>3150</v>
      </c>
      <c r="W49" s="207">
        <v>2</v>
      </c>
      <c r="X49" s="215" t="s">
        <v>46</v>
      </c>
      <c r="Y49" s="215" t="s">
        <v>84</v>
      </c>
      <c r="Z49" s="215" t="s">
        <v>50</v>
      </c>
      <c r="AA49" s="215" t="s">
        <v>90</v>
      </c>
      <c r="AB49" s="215" t="s">
        <v>340</v>
      </c>
    </row>
    <row r="50" spans="1:28" x14ac:dyDescent="0.15">
      <c r="A50" s="215" t="s">
        <v>34</v>
      </c>
      <c r="B50" s="207" t="s">
        <v>338</v>
      </c>
      <c r="C50" s="207">
        <v>2018</v>
      </c>
      <c r="D50" s="249" t="s">
        <v>468</v>
      </c>
      <c r="E50" s="236" t="s">
        <v>286</v>
      </c>
      <c r="F50" s="236" t="s">
        <v>321</v>
      </c>
      <c r="G50" s="215" t="s">
        <v>36</v>
      </c>
      <c r="H50" s="207" t="s">
        <v>165</v>
      </c>
      <c r="I50" s="215" t="s">
        <v>153</v>
      </c>
      <c r="J50" s="215" t="s">
        <v>38</v>
      </c>
      <c r="K50" s="215" t="s">
        <v>154</v>
      </c>
      <c r="L50" s="215">
        <v>1</v>
      </c>
      <c r="N50" s="207">
        <v>1</v>
      </c>
      <c r="O50" s="207">
        <v>0.6</v>
      </c>
      <c r="P50" s="207">
        <v>0.65</v>
      </c>
      <c r="Q50" s="244">
        <f t="shared" si="0"/>
        <v>0.625</v>
      </c>
      <c r="R50" s="207">
        <v>16</v>
      </c>
      <c r="S50" s="207">
        <v>179</v>
      </c>
      <c r="T50" s="216">
        <f t="shared" si="1"/>
        <v>18</v>
      </c>
      <c r="U50" s="207">
        <v>138</v>
      </c>
      <c r="V50" s="216">
        <f t="shared" si="2"/>
        <v>2484</v>
      </c>
      <c r="W50" s="207">
        <v>4</v>
      </c>
      <c r="X50" s="215" t="s">
        <v>46</v>
      </c>
      <c r="Y50" s="215" t="s">
        <v>84</v>
      </c>
      <c r="Z50" s="215" t="s">
        <v>50</v>
      </c>
      <c r="AA50" s="215" t="s">
        <v>90</v>
      </c>
      <c r="AB50" s="215" t="s">
        <v>340</v>
      </c>
    </row>
    <row r="51" spans="1:28" x14ac:dyDescent="0.15">
      <c r="A51" s="215" t="s">
        <v>34</v>
      </c>
      <c r="B51" s="207" t="s">
        <v>338</v>
      </c>
      <c r="C51" s="207">
        <v>2018</v>
      </c>
      <c r="D51" s="249" t="s">
        <v>468</v>
      </c>
      <c r="E51" s="236" t="s">
        <v>286</v>
      </c>
      <c r="F51" s="236" t="s">
        <v>321</v>
      </c>
      <c r="G51" s="215" t="s">
        <v>36</v>
      </c>
      <c r="H51" s="207" t="s">
        <v>165</v>
      </c>
      <c r="I51" s="215" t="s">
        <v>153</v>
      </c>
      <c r="J51" s="215" t="s">
        <v>38</v>
      </c>
      <c r="K51" s="215" t="s">
        <v>154</v>
      </c>
      <c r="L51" s="207">
        <v>2</v>
      </c>
      <c r="N51" s="207">
        <v>1</v>
      </c>
      <c r="O51" s="207">
        <v>0.55000000000000004</v>
      </c>
      <c r="P51" s="207">
        <v>0.65</v>
      </c>
      <c r="Q51" s="244">
        <f t="shared" si="0"/>
        <v>0.60000000000000009</v>
      </c>
      <c r="R51" s="207">
        <v>14</v>
      </c>
      <c r="S51" s="207">
        <v>153</v>
      </c>
      <c r="T51" s="216">
        <f t="shared" si="1"/>
        <v>18</v>
      </c>
      <c r="U51" s="207">
        <v>138</v>
      </c>
      <c r="V51" s="216">
        <f t="shared" si="2"/>
        <v>2484</v>
      </c>
      <c r="W51" s="207">
        <v>4</v>
      </c>
      <c r="X51" s="215" t="s">
        <v>46</v>
      </c>
      <c r="Y51" s="215" t="s">
        <v>84</v>
      </c>
      <c r="Z51" s="215" t="s">
        <v>50</v>
      </c>
      <c r="AA51" s="215" t="s">
        <v>90</v>
      </c>
      <c r="AB51" s="215" t="s">
        <v>340</v>
      </c>
    </row>
    <row r="52" spans="1:28" x14ac:dyDescent="0.15">
      <c r="A52" s="215" t="s">
        <v>34</v>
      </c>
      <c r="B52" s="207" t="s">
        <v>338</v>
      </c>
      <c r="C52" s="207">
        <v>2018</v>
      </c>
      <c r="D52" s="249" t="s">
        <v>468</v>
      </c>
      <c r="E52" s="236" t="s">
        <v>286</v>
      </c>
      <c r="F52" s="236" t="s">
        <v>321</v>
      </c>
      <c r="G52" s="215" t="s">
        <v>36</v>
      </c>
      <c r="H52" s="207" t="s">
        <v>165</v>
      </c>
      <c r="I52" s="215" t="s">
        <v>153</v>
      </c>
      <c r="J52" s="215" t="s">
        <v>38</v>
      </c>
      <c r="K52" s="215" t="s">
        <v>154</v>
      </c>
      <c r="L52" s="207">
        <v>3</v>
      </c>
      <c r="N52" s="207">
        <v>1</v>
      </c>
      <c r="O52" s="207">
        <v>0.55000000000000004</v>
      </c>
      <c r="P52" s="207">
        <v>0.55000000000000004</v>
      </c>
      <c r="Q52" s="244">
        <f t="shared" si="0"/>
        <v>0.55000000000000004</v>
      </c>
      <c r="R52" s="207">
        <v>14.8</v>
      </c>
      <c r="S52" s="207">
        <v>175</v>
      </c>
      <c r="T52" s="216">
        <f t="shared" si="1"/>
        <v>18</v>
      </c>
      <c r="U52" s="207">
        <v>138</v>
      </c>
      <c r="V52" s="216">
        <f t="shared" si="2"/>
        <v>2484</v>
      </c>
      <c r="W52" s="207">
        <v>4</v>
      </c>
      <c r="X52" s="215" t="s">
        <v>46</v>
      </c>
      <c r="Y52" s="215" t="s">
        <v>84</v>
      </c>
      <c r="Z52" s="215" t="s">
        <v>50</v>
      </c>
      <c r="AA52" s="215" t="s">
        <v>90</v>
      </c>
      <c r="AB52" s="215" t="s">
        <v>340</v>
      </c>
    </row>
    <row r="53" spans="1:28" x14ac:dyDescent="0.15">
      <c r="A53" s="215" t="s">
        <v>34</v>
      </c>
      <c r="B53" s="207" t="s">
        <v>338</v>
      </c>
      <c r="C53" s="207">
        <v>2018</v>
      </c>
      <c r="D53" s="249" t="s">
        <v>468</v>
      </c>
      <c r="E53" s="236" t="s">
        <v>322</v>
      </c>
      <c r="F53" s="236" t="s">
        <v>323</v>
      </c>
      <c r="G53" s="215" t="s">
        <v>36</v>
      </c>
      <c r="H53" s="207" t="s">
        <v>155</v>
      </c>
      <c r="I53" s="215" t="s">
        <v>153</v>
      </c>
      <c r="J53" s="215" t="s">
        <v>38</v>
      </c>
      <c r="K53" s="215" t="s">
        <v>154</v>
      </c>
      <c r="L53" s="215">
        <v>1</v>
      </c>
      <c r="N53" s="207">
        <v>1</v>
      </c>
      <c r="O53" s="207">
        <v>0.2</v>
      </c>
      <c r="P53" s="207">
        <v>0.2</v>
      </c>
      <c r="Q53" s="244">
        <f t="shared" si="0"/>
        <v>0.2</v>
      </c>
      <c r="R53" s="207">
        <v>16.899999999999999</v>
      </c>
      <c r="S53" s="207">
        <v>145</v>
      </c>
      <c r="T53" s="216">
        <f t="shared" si="1"/>
        <v>30</v>
      </c>
      <c r="U53" s="207">
        <v>138</v>
      </c>
      <c r="V53" s="216">
        <f t="shared" si="2"/>
        <v>4140</v>
      </c>
      <c r="W53" s="207">
        <v>2</v>
      </c>
      <c r="X53" s="215" t="s">
        <v>39</v>
      </c>
      <c r="Y53" s="215" t="s">
        <v>84</v>
      </c>
      <c r="Z53" s="215" t="s">
        <v>90</v>
      </c>
      <c r="AA53" s="215" t="s">
        <v>69</v>
      </c>
      <c r="AB53" s="215" t="s">
        <v>340</v>
      </c>
    </row>
    <row r="54" spans="1:28" x14ac:dyDescent="0.15">
      <c r="A54" s="215" t="s">
        <v>34</v>
      </c>
      <c r="B54" s="207" t="s">
        <v>338</v>
      </c>
      <c r="C54" s="207">
        <v>2018</v>
      </c>
      <c r="D54" s="249" t="s">
        <v>468</v>
      </c>
      <c r="E54" s="236" t="s">
        <v>322</v>
      </c>
      <c r="F54" s="236" t="s">
        <v>323</v>
      </c>
      <c r="G54" s="215" t="s">
        <v>36</v>
      </c>
      <c r="H54" s="207" t="s">
        <v>155</v>
      </c>
      <c r="I54" s="215" t="s">
        <v>153</v>
      </c>
      <c r="J54" s="215" t="s">
        <v>38</v>
      </c>
      <c r="K54" s="215" t="s">
        <v>154</v>
      </c>
      <c r="L54" s="207">
        <v>2</v>
      </c>
      <c r="N54" s="207">
        <v>1</v>
      </c>
      <c r="O54" s="207">
        <v>0.2</v>
      </c>
      <c r="P54" s="207">
        <v>0.2</v>
      </c>
      <c r="Q54" s="244">
        <f t="shared" si="0"/>
        <v>0.2</v>
      </c>
      <c r="R54" s="207">
        <v>14.7</v>
      </c>
      <c r="S54" s="207">
        <v>126</v>
      </c>
      <c r="T54" s="216">
        <f t="shared" si="1"/>
        <v>30</v>
      </c>
      <c r="U54" s="207">
        <v>138</v>
      </c>
      <c r="V54" s="216">
        <f t="shared" si="2"/>
        <v>4140</v>
      </c>
      <c r="W54" s="207">
        <v>2</v>
      </c>
      <c r="X54" s="215" t="s">
        <v>39</v>
      </c>
      <c r="Y54" s="215" t="s">
        <v>84</v>
      </c>
      <c r="Z54" s="215" t="s">
        <v>90</v>
      </c>
      <c r="AA54" s="215" t="s">
        <v>69</v>
      </c>
      <c r="AB54" s="215" t="s">
        <v>340</v>
      </c>
    </row>
    <row r="55" spans="1:28" x14ac:dyDescent="0.15">
      <c r="A55" s="215" t="s">
        <v>34</v>
      </c>
      <c r="B55" s="207" t="s">
        <v>338</v>
      </c>
      <c r="C55" s="207">
        <v>2018</v>
      </c>
      <c r="D55" s="249" t="s">
        <v>468</v>
      </c>
      <c r="E55" s="236" t="s">
        <v>322</v>
      </c>
      <c r="F55" s="236" t="s">
        <v>323</v>
      </c>
      <c r="G55" s="215" t="s">
        <v>36</v>
      </c>
      <c r="H55" s="207" t="s">
        <v>155</v>
      </c>
      <c r="I55" s="215" t="s">
        <v>153</v>
      </c>
      <c r="J55" s="215" t="s">
        <v>38</v>
      </c>
      <c r="K55" s="215" t="s">
        <v>154</v>
      </c>
      <c r="L55" s="207">
        <v>3</v>
      </c>
      <c r="N55" s="207">
        <v>1</v>
      </c>
      <c r="O55" s="207">
        <v>0.2</v>
      </c>
      <c r="P55" s="207">
        <v>0.2</v>
      </c>
      <c r="Q55" s="244">
        <f t="shared" si="0"/>
        <v>0.2</v>
      </c>
      <c r="R55" s="207">
        <v>14.7</v>
      </c>
      <c r="S55" s="207">
        <v>145</v>
      </c>
      <c r="T55" s="216">
        <f t="shared" si="1"/>
        <v>30</v>
      </c>
      <c r="U55" s="207">
        <v>138</v>
      </c>
      <c r="V55" s="216">
        <f t="shared" si="2"/>
        <v>4140</v>
      </c>
      <c r="W55" s="207">
        <v>2</v>
      </c>
      <c r="X55" s="215" t="s">
        <v>39</v>
      </c>
      <c r="Y55" s="215" t="s">
        <v>84</v>
      </c>
      <c r="Z55" s="215" t="s">
        <v>90</v>
      </c>
      <c r="AA55" s="215" t="s">
        <v>69</v>
      </c>
      <c r="AB55" s="215" t="s">
        <v>340</v>
      </c>
    </row>
    <row r="56" spans="1:28" x14ac:dyDescent="0.15">
      <c r="A56" s="215" t="s">
        <v>34</v>
      </c>
      <c r="B56" s="207" t="s">
        <v>338</v>
      </c>
      <c r="C56" s="207">
        <v>2018</v>
      </c>
      <c r="D56" s="249" t="s">
        <v>468</v>
      </c>
      <c r="E56" s="236" t="s">
        <v>322</v>
      </c>
      <c r="F56" s="236" t="s">
        <v>323</v>
      </c>
      <c r="G56" s="215" t="s">
        <v>36</v>
      </c>
      <c r="H56" s="207" t="s">
        <v>155</v>
      </c>
      <c r="I56" s="215" t="s">
        <v>153</v>
      </c>
      <c r="J56" s="215" t="s">
        <v>38</v>
      </c>
      <c r="K56" s="215" t="s">
        <v>154</v>
      </c>
      <c r="L56" s="215">
        <v>1</v>
      </c>
      <c r="N56" s="207">
        <v>5</v>
      </c>
      <c r="O56" s="207">
        <v>0.85</v>
      </c>
      <c r="P56" s="207">
        <v>0.8</v>
      </c>
      <c r="Q56" s="244">
        <f t="shared" si="0"/>
        <v>0.82499999999999996</v>
      </c>
      <c r="R56" s="207">
        <v>13.4</v>
      </c>
      <c r="S56" s="207">
        <v>94</v>
      </c>
      <c r="T56" s="216">
        <f t="shared" si="1"/>
        <v>36</v>
      </c>
      <c r="U56" s="207">
        <v>430</v>
      </c>
      <c r="V56" s="216">
        <f t="shared" si="2"/>
        <v>3096</v>
      </c>
      <c r="W56" s="207">
        <v>2</v>
      </c>
      <c r="X56" s="215" t="s">
        <v>39</v>
      </c>
      <c r="Y56" s="215" t="s">
        <v>84</v>
      </c>
      <c r="Z56" s="215" t="s">
        <v>90</v>
      </c>
      <c r="AA56" s="215" t="s">
        <v>69</v>
      </c>
      <c r="AB56" s="215" t="s">
        <v>340</v>
      </c>
    </row>
    <row r="57" spans="1:28" x14ac:dyDescent="0.15">
      <c r="A57" s="215" t="s">
        <v>34</v>
      </c>
      <c r="B57" s="207" t="s">
        <v>338</v>
      </c>
      <c r="C57" s="207">
        <v>2018</v>
      </c>
      <c r="D57" s="249" t="s">
        <v>468</v>
      </c>
      <c r="E57" s="236" t="s">
        <v>322</v>
      </c>
      <c r="F57" s="236" t="s">
        <v>323</v>
      </c>
      <c r="G57" s="215" t="s">
        <v>36</v>
      </c>
      <c r="H57" s="207" t="s">
        <v>155</v>
      </c>
      <c r="I57" s="215" t="s">
        <v>153</v>
      </c>
      <c r="J57" s="215" t="s">
        <v>38</v>
      </c>
      <c r="K57" s="215" t="s">
        <v>154</v>
      </c>
      <c r="L57" s="207">
        <v>2</v>
      </c>
      <c r="N57" s="207">
        <v>5</v>
      </c>
      <c r="O57" s="207">
        <v>0.75</v>
      </c>
      <c r="P57" s="207">
        <v>0.8</v>
      </c>
      <c r="Q57" s="244">
        <f t="shared" si="0"/>
        <v>0.77500000000000002</v>
      </c>
      <c r="R57" s="207">
        <v>14.8</v>
      </c>
      <c r="S57" s="207">
        <v>88</v>
      </c>
      <c r="T57" s="216">
        <f t="shared" si="1"/>
        <v>36</v>
      </c>
      <c r="U57" s="207">
        <v>430</v>
      </c>
      <c r="V57" s="216">
        <f t="shared" si="2"/>
        <v>3096</v>
      </c>
      <c r="W57" s="207">
        <v>2</v>
      </c>
      <c r="X57" s="215" t="s">
        <v>39</v>
      </c>
      <c r="Y57" s="215" t="s">
        <v>84</v>
      </c>
      <c r="Z57" s="215" t="s">
        <v>90</v>
      </c>
      <c r="AA57" s="215" t="s">
        <v>69</v>
      </c>
      <c r="AB57" s="215" t="s">
        <v>340</v>
      </c>
    </row>
    <row r="58" spans="1:28" x14ac:dyDescent="0.15">
      <c r="A58" s="215" t="s">
        <v>34</v>
      </c>
      <c r="B58" s="207" t="s">
        <v>338</v>
      </c>
      <c r="C58" s="207">
        <v>2018</v>
      </c>
      <c r="D58" s="249" t="s">
        <v>468</v>
      </c>
      <c r="E58" s="236" t="s">
        <v>322</v>
      </c>
      <c r="F58" s="236" t="s">
        <v>323</v>
      </c>
      <c r="G58" s="215" t="s">
        <v>36</v>
      </c>
      <c r="H58" s="207" t="s">
        <v>155</v>
      </c>
      <c r="I58" s="215" t="s">
        <v>153</v>
      </c>
      <c r="J58" s="215" t="s">
        <v>38</v>
      </c>
      <c r="K58" s="215" t="s">
        <v>154</v>
      </c>
      <c r="L58" s="207">
        <v>3</v>
      </c>
      <c r="N58" s="207">
        <v>5</v>
      </c>
      <c r="O58" s="207">
        <v>1.1000000000000001</v>
      </c>
      <c r="P58" s="207">
        <v>1</v>
      </c>
      <c r="Q58" s="244">
        <f t="shared" si="0"/>
        <v>1.05</v>
      </c>
      <c r="R58" s="207">
        <v>11.5</v>
      </c>
      <c r="S58" s="207">
        <v>88</v>
      </c>
      <c r="T58" s="216">
        <f t="shared" si="1"/>
        <v>36</v>
      </c>
      <c r="U58" s="207">
        <v>430</v>
      </c>
      <c r="V58" s="216">
        <f t="shared" si="2"/>
        <v>3096</v>
      </c>
      <c r="W58" s="207">
        <v>2</v>
      </c>
      <c r="X58" s="215" t="s">
        <v>39</v>
      </c>
      <c r="Y58" s="215" t="s">
        <v>84</v>
      </c>
      <c r="Z58" s="215" t="s">
        <v>90</v>
      </c>
      <c r="AA58" s="215" t="s">
        <v>69</v>
      </c>
      <c r="AB58" s="215" t="s">
        <v>340</v>
      </c>
    </row>
    <row r="59" spans="1:28" x14ac:dyDescent="0.15">
      <c r="A59" s="215" t="s">
        <v>34</v>
      </c>
      <c r="B59" s="207" t="s">
        <v>338</v>
      </c>
      <c r="C59" s="207">
        <v>2018</v>
      </c>
      <c r="D59" s="249" t="s">
        <v>468</v>
      </c>
      <c r="E59" s="236" t="s">
        <v>322</v>
      </c>
      <c r="F59" s="236" t="s">
        <v>323</v>
      </c>
      <c r="G59" s="215" t="s">
        <v>36</v>
      </c>
      <c r="H59" s="207" t="s">
        <v>165</v>
      </c>
      <c r="I59" s="215" t="s">
        <v>153</v>
      </c>
      <c r="J59" s="215" t="s">
        <v>38</v>
      </c>
      <c r="K59" s="215" t="s">
        <v>154</v>
      </c>
      <c r="L59" s="215">
        <v>1</v>
      </c>
      <c r="N59" s="207">
        <v>1</v>
      </c>
      <c r="O59" s="207">
        <v>0.2</v>
      </c>
      <c r="P59" s="207">
        <v>0.2</v>
      </c>
      <c r="Q59" s="244">
        <f t="shared" si="0"/>
        <v>0.2</v>
      </c>
      <c r="R59" s="207">
        <v>14.4</v>
      </c>
      <c r="S59" s="207">
        <v>157</v>
      </c>
      <c r="T59" s="216">
        <f t="shared" si="1"/>
        <v>18</v>
      </c>
      <c r="U59" s="207">
        <v>171</v>
      </c>
      <c r="V59" s="216">
        <f t="shared" si="2"/>
        <v>3078</v>
      </c>
      <c r="W59" s="207">
        <v>2</v>
      </c>
      <c r="X59" s="215" t="s">
        <v>39</v>
      </c>
      <c r="Y59" s="215" t="s">
        <v>84</v>
      </c>
      <c r="Z59" s="215" t="s">
        <v>90</v>
      </c>
      <c r="AA59" s="215" t="s">
        <v>69</v>
      </c>
      <c r="AB59" s="215" t="s">
        <v>340</v>
      </c>
    </row>
    <row r="60" spans="1:28" x14ac:dyDescent="0.15">
      <c r="A60" s="215" t="s">
        <v>34</v>
      </c>
      <c r="B60" s="207" t="s">
        <v>338</v>
      </c>
      <c r="C60" s="207">
        <v>2018</v>
      </c>
      <c r="D60" s="249" t="s">
        <v>468</v>
      </c>
      <c r="E60" s="236" t="s">
        <v>322</v>
      </c>
      <c r="F60" s="236" t="s">
        <v>323</v>
      </c>
      <c r="G60" s="215" t="s">
        <v>36</v>
      </c>
      <c r="H60" s="207" t="s">
        <v>165</v>
      </c>
      <c r="I60" s="215" t="s">
        <v>153</v>
      </c>
      <c r="J60" s="215" t="s">
        <v>38</v>
      </c>
      <c r="K60" s="215" t="s">
        <v>154</v>
      </c>
      <c r="L60" s="207">
        <v>2</v>
      </c>
      <c r="N60" s="207">
        <v>1</v>
      </c>
      <c r="O60" s="207">
        <v>0.55000000000000004</v>
      </c>
      <c r="P60" s="207">
        <v>0.45</v>
      </c>
      <c r="Q60" s="244">
        <f t="shared" si="0"/>
        <v>0.5</v>
      </c>
      <c r="R60" s="207">
        <v>15.9</v>
      </c>
      <c r="S60" s="207">
        <v>152</v>
      </c>
      <c r="T60" s="216">
        <f t="shared" si="1"/>
        <v>18</v>
      </c>
      <c r="U60" s="207">
        <v>171</v>
      </c>
      <c r="V60" s="216">
        <f t="shared" si="2"/>
        <v>3078</v>
      </c>
      <c r="W60" s="207">
        <v>2</v>
      </c>
      <c r="X60" s="215" t="s">
        <v>39</v>
      </c>
      <c r="Y60" s="215" t="s">
        <v>84</v>
      </c>
      <c r="Z60" s="215" t="s">
        <v>90</v>
      </c>
      <c r="AA60" s="215" t="s">
        <v>69</v>
      </c>
      <c r="AB60" s="215" t="s">
        <v>340</v>
      </c>
    </row>
    <row r="61" spans="1:28" x14ac:dyDescent="0.15">
      <c r="A61" s="215" t="s">
        <v>34</v>
      </c>
      <c r="B61" s="207" t="s">
        <v>338</v>
      </c>
      <c r="C61" s="207">
        <v>2018</v>
      </c>
      <c r="D61" s="249" t="s">
        <v>468</v>
      </c>
      <c r="E61" s="236" t="s">
        <v>322</v>
      </c>
      <c r="F61" s="236" t="s">
        <v>323</v>
      </c>
      <c r="G61" s="215" t="s">
        <v>36</v>
      </c>
      <c r="H61" s="207" t="s">
        <v>165</v>
      </c>
      <c r="I61" s="215" t="s">
        <v>153</v>
      </c>
      <c r="J61" s="215" t="s">
        <v>38</v>
      </c>
      <c r="K61" s="215" t="s">
        <v>154</v>
      </c>
      <c r="L61" s="207">
        <v>3</v>
      </c>
      <c r="N61" s="207">
        <v>1</v>
      </c>
      <c r="O61" s="207">
        <v>0.2</v>
      </c>
      <c r="P61" s="207">
        <v>0.2</v>
      </c>
      <c r="Q61" s="244">
        <f t="shared" si="0"/>
        <v>0.2</v>
      </c>
      <c r="R61" s="207">
        <v>15.4</v>
      </c>
      <c r="S61" s="207">
        <v>153</v>
      </c>
      <c r="T61" s="216">
        <f t="shared" si="1"/>
        <v>18</v>
      </c>
      <c r="U61" s="207">
        <v>171</v>
      </c>
      <c r="V61" s="216">
        <f t="shared" si="2"/>
        <v>3078</v>
      </c>
      <c r="W61" s="207">
        <v>2</v>
      </c>
      <c r="X61" s="215" t="s">
        <v>39</v>
      </c>
      <c r="Y61" s="215" t="s">
        <v>84</v>
      </c>
      <c r="Z61" s="215" t="s">
        <v>90</v>
      </c>
      <c r="AA61" s="215" t="s">
        <v>69</v>
      </c>
      <c r="AB61" s="215" t="s">
        <v>340</v>
      </c>
    </row>
    <row r="62" spans="1:28" x14ac:dyDescent="0.15">
      <c r="A62" s="215" t="s">
        <v>34</v>
      </c>
      <c r="B62" s="207" t="s">
        <v>338</v>
      </c>
      <c r="C62" s="207">
        <v>2018</v>
      </c>
      <c r="D62" s="249" t="s">
        <v>468</v>
      </c>
      <c r="E62" s="236" t="s">
        <v>322</v>
      </c>
      <c r="F62" s="236" t="s">
        <v>323</v>
      </c>
      <c r="G62" s="215" t="s">
        <v>36</v>
      </c>
      <c r="H62" s="207" t="s">
        <v>165</v>
      </c>
      <c r="I62" s="215" t="s">
        <v>153</v>
      </c>
      <c r="J62" s="215" t="s">
        <v>38</v>
      </c>
      <c r="K62" s="215" t="s">
        <v>154</v>
      </c>
      <c r="L62" s="215">
        <v>1</v>
      </c>
      <c r="N62" s="207">
        <v>5</v>
      </c>
      <c r="O62" s="207">
        <v>0.6</v>
      </c>
      <c r="P62" s="207">
        <v>0.6</v>
      </c>
      <c r="Q62" s="244">
        <f t="shared" si="0"/>
        <v>0.6</v>
      </c>
      <c r="R62" s="207">
        <v>15.2</v>
      </c>
      <c r="S62" s="207">
        <v>94</v>
      </c>
      <c r="T62" s="216">
        <f t="shared" si="1"/>
        <v>36</v>
      </c>
      <c r="U62" s="207">
        <v>626</v>
      </c>
      <c r="V62" s="216">
        <f t="shared" si="2"/>
        <v>4507.2</v>
      </c>
      <c r="W62" s="207">
        <v>2</v>
      </c>
      <c r="X62" s="215" t="s">
        <v>39</v>
      </c>
      <c r="Y62" s="215" t="s">
        <v>84</v>
      </c>
      <c r="Z62" s="215" t="s">
        <v>90</v>
      </c>
      <c r="AA62" s="215" t="s">
        <v>69</v>
      </c>
      <c r="AB62" s="215" t="s">
        <v>340</v>
      </c>
    </row>
    <row r="63" spans="1:28" x14ac:dyDescent="0.15">
      <c r="A63" s="215" t="s">
        <v>34</v>
      </c>
      <c r="B63" s="207" t="s">
        <v>338</v>
      </c>
      <c r="C63" s="207">
        <v>2018</v>
      </c>
      <c r="D63" s="249" t="s">
        <v>468</v>
      </c>
      <c r="E63" s="236" t="s">
        <v>322</v>
      </c>
      <c r="F63" s="236" t="s">
        <v>323</v>
      </c>
      <c r="G63" s="215" t="s">
        <v>36</v>
      </c>
      <c r="H63" s="207" t="s">
        <v>165</v>
      </c>
      <c r="I63" s="215" t="s">
        <v>153</v>
      </c>
      <c r="J63" s="215" t="s">
        <v>38</v>
      </c>
      <c r="K63" s="215" t="s">
        <v>154</v>
      </c>
      <c r="L63" s="207">
        <v>2</v>
      </c>
      <c r="N63" s="207">
        <v>5</v>
      </c>
      <c r="O63" s="207">
        <v>0.55000000000000004</v>
      </c>
      <c r="P63" s="207">
        <v>0.55000000000000004</v>
      </c>
      <c r="Q63" s="244">
        <f t="shared" si="0"/>
        <v>0.55000000000000004</v>
      </c>
      <c r="R63" s="207">
        <v>14.6</v>
      </c>
      <c r="S63" s="207">
        <v>105</v>
      </c>
      <c r="T63" s="216">
        <f t="shared" si="1"/>
        <v>33</v>
      </c>
      <c r="U63" s="207">
        <v>626</v>
      </c>
      <c r="V63" s="216">
        <f t="shared" si="2"/>
        <v>4131.6000000000004</v>
      </c>
      <c r="W63" s="207">
        <v>2</v>
      </c>
      <c r="X63" s="215" t="s">
        <v>39</v>
      </c>
      <c r="Y63" s="215" t="s">
        <v>84</v>
      </c>
      <c r="Z63" s="215" t="s">
        <v>90</v>
      </c>
      <c r="AA63" s="215" t="s">
        <v>69</v>
      </c>
      <c r="AB63" s="215" t="s">
        <v>340</v>
      </c>
    </row>
    <row r="64" spans="1:28" x14ac:dyDescent="0.15">
      <c r="A64" s="215" t="s">
        <v>34</v>
      </c>
      <c r="B64" s="207" t="s">
        <v>338</v>
      </c>
      <c r="C64" s="207">
        <v>2018</v>
      </c>
      <c r="D64" s="249" t="s">
        <v>468</v>
      </c>
      <c r="E64" s="236" t="s">
        <v>322</v>
      </c>
      <c r="F64" s="236" t="s">
        <v>323</v>
      </c>
      <c r="G64" s="215" t="s">
        <v>36</v>
      </c>
      <c r="H64" s="207" t="s">
        <v>165</v>
      </c>
      <c r="I64" s="215" t="s">
        <v>153</v>
      </c>
      <c r="J64" s="215" t="s">
        <v>38</v>
      </c>
      <c r="K64" s="215" t="s">
        <v>154</v>
      </c>
      <c r="L64" s="207">
        <v>3</v>
      </c>
      <c r="N64" s="207">
        <v>5</v>
      </c>
      <c r="O64" s="207">
        <v>0.55000000000000004</v>
      </c>
      <c r="P64" s="207">
        <v>0.6</v>
      </c>
      <c r="Q64" s="244">
        <f t="shared" si="0"/>
        <v>0.57499999999999996</v>
      </c>
      <c r="R64" s="207">
        <v>15</v>
      </c>
      <c r="S64" s="207">
        <v>97</v>
      </c>
      <c r="T64" s="216">
        <f t="shared" si="1"/>
        <v>36</v>
      </c>
      <c r="U64" s="207">
        <v>626</v>
      </c>
      <c r="V64" s="216">
        <f t="shared" si="2"/>
        <v>4507.2</v>
      </c>
      <c r="W64" s="207">
        <v>2</v>
      </c>
      <c r="X64" s="215" t="s">
        <v>39</v>
      </c>
      <c r="Y64" s="215" t="s">
        <v>84</v>
      </c>
      <c r="Z64" s="215" t="s">
        <v>90</v>
      </c>
      <c r="AA64" s="215" t="s">
        <v>69</v>
      </c>
      <c r="AB64" s="215" t="s">
        <v>340</v>
      </c>
    </row>
    <row r="65" spans="1:28" x14ac:dyDescent="0.15">
      <c r="A65" s="215" t="s">
        <v>34</v>
      </c>
      <c r="B65" s="207" t="s">
        <v>338</v>
      </c>
      <c r="C65" s="207">
        <v>2018</v>
      </c>
      <c r="D65" s="249" t="s">
        <v>468</v>
      </c>
      <c r="E65" s="236" t="s">
        <v>322</v>
      </c>
      <c r="F65" s="236" t="s">
        <v>323</v>
      </c>
      <c r="G65" s="215" t="s">
        <v>36</v>
      </c>
      <c r="H65" s="207" t="s">
        <v>129</v>
      </c>
      <c r="I65" s="215" t="s">
        <v>153</v>
      </c>
      <c r="J65" s="215" t="s">
        <v>58</v>
      </c>
      <c r="K65" s="215" t="s">
        <v>59</v>
      </c>
      <c r="L65" s="215">
        <v>1</v>
      </c>
      <c r="N65" s="207">
        <v>5</v>
      </c>
      <c r="O65" s="207">
        <v>0.6</v>
      </c>
      <c r="P65" s="207">
        <v>0.55000000000000004</v>
      </c>
      <c r="Q65" s="244">
        <f t="shared" si="0"/>
        <v>0.57499999999999996</v>
      </c>
      <c r="R65" s="207">
        <v>14.5</v>
      </c>
      <c r="S65" s="207">
        <v>59</v>
      </c>
      <c r="T65" s="216">
        <f t="shared" si="1"/>
        <v>50</v>
      </c>
      <c r="U65" s="207">
        <v>538</v>
      </c>
      <c r="V65" s="216">
        <f t="shared" si="2"/>
        <v>5380</v>
      </c>
      <c r="W65" s="207">
        <v>1</v>
      </c>
      <c r="X65" s="215" t="s">
        <v>39</v>
      </c>
      <c r="Y65" s="215" t="s">
        <v>84</v>
      </c>
      <c r="Z65" s="215" t="s">
        <v>90</v>
      </c>
      <c r="AA65" s="215" t="s">
        <v>69</v>
      </c>
      <c r="AB65" s="215" t="s">
        <v>340</v>
      </c>
    </row>
    <row r="66" spans="1:28" x14ac:dyDescent="0.15">
      <c r="A66" s="215" t="s">
        <v>34</v>
      </c>
      <c r="B66" s="207" t="s">
        <v>338</v>
      </c>
      <c r="C66" s="207">
        <v>2018</v>
      </c>
      <c r="D66" s="249" t="s">
        <v>468</v>
      </c>
      <c r="E66" s="236" t="s">
        <v>322</v>
      </c>
      <c r="F66" s="236" t="s">
        <v>323</v>
      </c>
      <c r="G66" s="215" t="s">
        <v>36</v>
      </c>
      <c r="H66" s="207" t="s">
        <v>129</v>
      </c>
      <c r="I66" s="215" t="s">
        <v>153</v>
      </c>
      <c r="J66" s="215" t="s">
        <v>58</v>
      </c>
      <c r="K66" s="215" t="s">
        <v>59</v>
      </c>
      <c r="L66" s="207">
        <v>2</v>
      </c>
      <c r="N66" s="207">
        <v>5</v>
      </c>
      <c r="O66" s="207">
        <v>0.55000000000000004</v>
      </c>
      <c r="P66" s="207">
        <v>0.55000000000000004</v>
      </c>
      <c r="Q66" s="244">
        <f t="shared" si="0"/>
        <v>0.55000000000000004</v>
      </c>
      <c r="R66" s="207">
        <v>14.1</v>
      </c>
      <c r="S66" s="207">
        <v>55</v>
      </c>
      <c r="T66" s="216">
        <f t="shared" si="1"/>
        <v>50</v>
      </c>
      <c r="U66" s="207">
        <v>538</v>
      </c>
      <c r="V66" s="216">
        <f t="shared" si="2"/>
        <v>5380</v>
      </c>
      <c r="W66" s="207">
        <v>1</v>
      </c>
      <c r="X66" s="215" t="s">
        <v>39</v>
      </c>
      <c r="Y66" s="215" t="s">
        <v>84</v>
      </c>
      <c r="Z66" s="215" t="s">
        <v>90</v>
      </c>
      <c r="AA66" s="215" t="s">
        <v>69</v>
      </c>
      <c r="AB66" s="215" t="s">
        <v>340</v>
      </c>
    </row>
    <row r="67" spans="1:28" x14ac:dyDescent="0.15">
      <c r="A67" s="215" t="s">
        <v>34</v>
      </c>
      <c r="B67" s="207" t="s">
        <v>338</v>
      </c>
      <c r="C67" s="207">
        <v>2018</v>
      </c>
      <c r="D67" s="249" t="s">
        <v>468</v>
      </c>
      <c r="E67" s="236" t="s">
        <v>322</v>
      </c>
      <c r="F67" s="236" t="s">
        <v>323</v>
      </c>
      <c r="G67" s="215" t="s">
        <v>36</v>
      </c>
      <c r="H67" s="207" t="s">
        <v>129</v>
      </c>
      <c r="I67" s="215" t="s">
        <v>153</v>
      </c>
      <c r="J67" s="215" t="s">
        <v>58</v>
      </c>
      <c r="K67" s="215" t="s">
        <v>59</v>
      </c>
      <c r="L67" s="207">
        <v>3</v>
      </c>
      <c r="N67" s="207">
        <v>5</v>
      </c>
      <c r="O67" s="207">
        <v>0.6</v>
      </c>
      <c r="P67" s="207">
        <v>0.6</v>
      </c>
      <c r="Q67" s="244">
        <f t="shared" si="0"/>
        <v>0.6</v>
      </c>
      <c r="R67" s="207">
        <v>14.7</v>
      </c>
      <c r="S67" s="207">
        <v>64</v>
      </c>
      <c r="T67" s="216">
        <f t="shared" si="1"/>
        <v>50</v>
      </c>
      <c r="U67" s="207">
        <v>538</v>
      </c>
      <c r="V67" s="216">
        <f t="shared" si="2"/>
        <v>5380</v>
      </c>
      <c r="W67" s="207">
        <v>1</v>
      </c>
      <c r="X67" s="215" t="s">
        <v>39</v>
      </c>
      <c r="Y67" s="215" t="s">
        <v>84</v>
      </c>
      <c r="Z67" s="215" t="s">
        <v>90</v>
      </c>
      <c r="AA67" s="215" t="s">
        <v>69</v>
      </c>
      <c r="AB67" s="215" t="s">
        <v>340</v>
      </c>
    </row>
    <row r="68" spans="1:28" x14ac:dyDescent="0.15">
      <c r="A68" s="215" t="s">
        <v>34</v>
      </c>
      <c r="B68" s="207" t="s">
        <v>338</v>
      </c>
      <c r="C68" s="207">
        <v>2018</v>
      </c>
      <c r="D68" s="249" t="s">
        <v>468</v>
      </c>
      <c r="E68" s="236" t="s">
        <v>324</v>
      </c>
      <c r="F68" s="236" t="s">
        <v>325</v>
      </c>
      <c r="G68" s="215" t="s">
        <v>36</v>
      </c>
      <c r="H68" s="207" t="s">
        <v>155</v>
      </c>
      <c r="I68" s="215" t="s">
        <v>153</v>
      </c>
      <c r="J68" s="215" t="s">
        <v>38</v>
      </c>
      <c r="K68" s="215" t="s">
        <v>154</v>
      </c>
      <c r="L68" s="215">
        <v>1</v>
      </c>
      <c r="N68" s="207">
        <v>1</v>
      </c>
      <c r="O68" s="207">
        <v>0.7</v>
      </c>
      <c r="P68" s="207">
        <v>0.7</v>
      </c>
      <c r="Q68" s="244">
        <f t="shared" si="0"/>
        <v>0.7</v>
      </c>
      <c r="R68" s="207">
        <v>12.7</v>
      </c>
      <c r="S68" s="207">
        <v>155</v>
      </c>
      <c r="T68" s="216">
        <f t="shared" si="1"/>
        <v>18</v>
      </c>
      <c r="U68" s="207">
        <v>138</v>
      </c>
      <c r="V68" s="216">
        <f t="shared" si="2"/>
        <v>2484</v>
      </c>
      <c r="W68" s="207">
        <v>3</v>
      </c>
      <c r="X68" s="215" t="s">
        <v>46</v>
      </c>
      <c r="Y68" s="215" t="s">
        <v>102</v>
      </c>
      <c r="Z68" s="215" t="s">
        <v>90</v>
      </c>
      <c r="AA68" s="215" t="s">
        <v>78</v>
      </c>
      <c r="AB68" s="215" t="s">
        <v>340</v>
      </c>
    </row>
    <row r="69" spans="1:28" x14ac:dyDescent="0.15">
      <c r="A69" s="215" t="s">
        <v>34</v>
      </c>
      <c r="B69" s="207" t="s">
        <v>338</v>
      </c>
      <c r="C69" s="207">
        <v>2018</v>
      </c>
      <c r="D69" s="249" t="s">
        <v>468</v>
      </c>
      <c r="E69" s="236" t="s">
        <v>324</v>
      </c>
      <c r="F69" s="236" t="s">
        <v>325</v>
      </c>
      <c r="G69" s="215" t="s">
        <v>36</v>
      </c>
      <c r="H69" s="207" t="s">
        <v>155</v>
      </c>
      <c r="I69" s="215" t="s">
        <v>153</v>
      </c>
      <c r="J69" s="215" t="s">
        <v>38</v>
      </c>
      <c r="K69" s="215" t="s">
        <v>154</v>
      </c>
      <c r="L69" s="207">
        <v>2</v>
      </c>
      <c r="N69" s="207">
        <v>1</v>
      </c>
      <c r="O69" s="207">
        <v>0.65</v>
      </c>
      <c r="P69" s="207">
        <v>0.6</v>
      </c>
      <c r="Q69" s="244">
        <f t="shared" si="0"/>
        <v>0.625</v>
      </c>
      <c r="R69" s="207">
        <v>13.9</v>
      </c>
      <c r="S69" s="207">
        <v>150</v>
      </c>
      <c r="T69" s="216">
        <f t="shared" si="1"/>
        <v>30</v>
      </c>
      <c r="U69" s="207">
        <v>138</v>
      </c>
      <c r="V69" s="216">
        <f t="shared" si="2"/>
        <v>4140</v>
      </c>
      <c r="W69" s="207">
        <v>3</v>
      </c>
      <c r="X69" s="215" t="s">
        <v>46</v>
      </c>
      <c r="Y69" s="215" t="s">
        <v>102</v>
      </c>
      <c r="Z69" s="215" t="s">
        <v>90</v>
      </c>
      <c r="AA69" s="215" t="s">
        <v>78</v>
      </c>
      <c r="AB69" s="215" t="s">
        <v>340</v>
      </c>
    </row>
    <row r="70" spans="1:28" x14ac:dyDescent="0.15">
      <c r="A70" s="215" t="s">
        <v>34</v>
      </c>
      <c r="B70" s="207" t="s">
        <v>338</v>
      </c>
      <c r="C70" s="207">
        <v>2018</v>
      </c>
      <c r="D70" s="249" t="s">
        <v>468</v>
      </c>
      <c r="E70" s="236" t="s">
        <v>324</v>
      </c>
      <c r="F70" s="236" t="s">
        <v>325</v>
      </c>
      <c r="G70" s="215" t="s">
        <v>36</v>
      </c>
      <c r="H70" s="207" t="s">
        <v>155</v>
      </c>
      <c r="I70" s="215" t="s">
        <v>153</v>
      </c>
      <c r="J70" s="215" t="s">
        <v>38</v>
      </c>
      <c r="K70" s="215" t="s">
        <v>154</v>
      </c>
      <c r="L70" s="207">
        <v>3</v>
      </c>
      <c r="N70" s="207">
        <v>1</v>
      </c>
      <c r="O70" s="207">
        <v>0.65</v>
      </c>
      <c r="P70" s="207">
        <v>0.6</v>
      </c>
      <c r="Q70" s="244">
        <f t="shared" si="0"/>
        <v>0.625</v>
      </c>
      <c r="R70" s="207">
        <v>11.4</v>
      </c>
      <c r="S70" s="207">
        <v>148</v>
      </c>
      <c r="T70" s="216">
        <f t="shared" si="1"/>
        <v>30</v>
      </c>
      <c r="U70" s="207">
        <v>138</v>
      </c>
      <c r="V70" s="216">
        <f t="shared" si="2"/>
        <v>4140</v>
      </c>
      <c r="W70" s="207">
        <v>3</v>
      </c>
      <c r="X70" s="215" t="s">
        <v>46</v>
      </c>
      <c r="Y70" s="215" t="s">
        <v>102</v>
      </c>
      <c r="Z70" s="215" t="s">
        <v>90</v>
      </c>
      <c r="AA70" s="215" t="s">
        <v>78</v>
      </c>
      <c r="AB70" s="215" t="s">
        <v>340</v>
      </c>
    </row>
    <row r="71" spans="1:28" x14ac:dyDescent="0.15">
      <c r="A71" s="215" t="s">
        <v>34</v>
      </c>
      <c r="B71" s="207" t="s">
        <v>338</v>
      </c>
      <c r="C71" s="207">
        <v>2018</v>
      </c>
      <c r="D71" s="249" t="s">
        <v>468</v>
      </c>
      <c r="E71" s="236" t="s">
        <v>324</v>
      </c>
      <c r="F71" s="236" t="s">
        <v>325</v>
      </c>
      <c r="G71" s="215" t="s">
        <v>36</v>
      </c>
      <c r="H71" s="207" t="s">
        <v>155</v>
      </c>
      <c r="I71" s="215" t="s">
        <v>153</v>
      </c>
      <c r="J71" s="215" t="s">
        <v>38</v>
      </c>
      <c r="K71" s="215" t="s">
        <v>154</v>
      </c>
      <c r="L71" s="215">
        <v>1</v>
      </c>
      <c r="N71" s="207">
        <v>4</v>
      </c>
      <c r="O71" s="207">
        <v>0.75</v>
      </c>
      <c r="P71" s="207">
        <v>0.7</v>
      </c>
      <c r="Q71" s="244">
        <f t="shared" si="0"/>
        <v>0.72499999999999998</v>
      </c>
      <c r="R71" s="207">
        <v>9.6999999999999993</v>
      </c>
      <c r="S71" s="207">
        <v>81</v>
      </c>
      <c r="T71" s="216">
        <f t="shared" si="1"/>
        <v>39</v>
      </c>
      <c r="U71" s="207">
        <v>321</v>
      </c>
      <c r="V71" s="216">
        <f t="shared" si="2"/>
        <v>3129.75</v>
      </c>
      <c r="W71" s="207">
        <v>3</v>
      </c>
      <c r="X71" s="215" t="s">
        <v>46</v>
      </c>
      <c r="Y71" s="215" t="s">
        <v>102</v>
      </c>
      <c r="Z71" s="215" t="s">
        <v>90</v>
      </c>
      <c r="AA71" s="215" t="s">
        <v>78</v>
      </c>
      <c r="AB71" s="215" t="s">
        <v>340</v>
      </c>
    </row>
    <row r="72" spans="1:28" x14ac:dyDescent="0.15">
      <c r="A72" s="215" t="s">
        <v>34</v>
      </c>
      <c r="B72" s="207" t="s">
        <v>338</v>
      </c>
      <c r="C72" s="207">
        <v>2018</v>
      </c>
      <c r="D72" s="249" t="s">
        <v>468</v>
      </c>
      <c r="E72" s="236" t="s">
        <v>324</v>
      </c>
      <c r="F72" s="236" t="s">
        <v>325</v>
      </c>
      <c r="G72" s="215" t="s">
        <v>36</v>
      </c>
      <c r="H72" s="207" t="s">
        <v>155</v>
      </c>
      <c r="I72" s="215" t="s">
        <v>153</v>
      </c>
      <c r="J72" s="215" t="s">
        <v>38</v>
      </c>
      <c r="K72" s="215" t="s">
        <v>154</v>
      </c>
      <c r="L72" s="207">
        <v>2</v>
      </c>
      <c r="N72" s="207">
        <v>4</v>
      </c>
      <c r="O72" s="207">
        <v>0.8</v>
      </c>
      <c r="P72" s="207">
        <v>0.8</v>
      </c>
      <c r="Q72" s="244">
        <f t="shared" si="0"/>
        <v>0.8</v>
      </c>
      <c r="R72" s="207">
        <v>10.1</v>
      </c>
      <c r="S72" s="207">
        <v>84</v>
      </c>
      <c r="T72" s="216">
        <f t="shared" si="1"/>
        <v>36</v>
      </c>
      <c r="U72" s="207">
        <v>321</v>
      </c>
      <c r="V72" s="216">
        <f t="shared" si="2"/>
        <v>2889</v>
      </c>
      <c r="W72" s="207">
        <v>3</v>
      </c>
      <c r="X72" s="215" t="s">
        <v>46</v>
      </c>
      <c r="Y72" s="215" t="s">
        <v>102</v>
      </c>
      <c r="Z72" s="215" t="s">
        <v>90</v>
      </c>
      <c r="AA72" s="215" t="s">
        <v>78</v>
      </c>
      <c r="AB72" s="215" t="s">
        <v>340</v>
      </c>
    </row>
    <row r="73" spans="1:28" x14ac:dyDescent="0.15">
      <c r="A73" s="215" t="s">
        <v>34</v>
      </c>
      <c r="B73" s="207" t="s">
        <v>338</v>
      </c>
      <c r="C73" s="207">
        <v>2018</v>
      </c>
      <c r="D73" s="249" t="s">
        <v>468</v>
      </c>
      <c r="E73" s="236" t="s">
        <v>324</v>
      </c>
      <c r="F73" s="236" t="s">
        <v>325</v>
      </c>
      <c r="G73" s="215" t="s">
        <v>36</v>
      </c>
      <c r="H73" s="207" t="s">
        <v>155</v>
      </c>
      <c r="I73" s="215" t="s">
        <v>153</v>
      </c>
      <c r="J73" s="215" t="s">
        <v>38</v>
      </c>
      <c r="K73" s="215" t="s">
        <v>154</v>
      </c>
      <c r="L73" s="207">
        <v>3</v>
      </c>
      <c r="N73" s="207">
        <v>4</v>
      </c>
      <c r="O73" s="207">
        <v>0.8</v>
      </c>
      <c r="P73" s="207">
        <v>1.05</v>
      </c>
      <c r="Q73" s="244">
        <f t="shared" si="0"/>
        <v>0.92500000000000004</v>
      </c>
      <c r="R73" s="207">
        <v>11.6</v>
      </c>
      <c r="S73" s="207">
        <v>90</v>
      </c>
      <c r="T73" s="216">
        <f t="shared" si="1"/>
        <v>36</v>
      </c>
      <c r="U73" s="207">
        <v>321</v>
      </c>
      <c r="V73" s="216">
        <f t="shared" si="2"/>
        <v>2889</v>
      </c>
      <c r="W73" s="207">
        <v>3</v>
      </c>
      <c r="X73" s="215" t="s">
        <v>46</v>
      </c>
      <c r="Y73" s="215" t="s">
        <v>102</v>
      </c>
      <c r="Z73" s="215" t="s">
        <v>90</v>
      </c>
      <c r="AA73" s="215" t="s">
        <v>78</v>
      </c>
      <c r="AB73" s="215" t="s">
        <v>340</v>
      </c>
    </row>
    <row r="74" spans="1:28" x14ac:dyDescent="0.15">
      <c r="A74" s="215" t="s">
        <v>34</v>
      </c>
      <c r="B74" s="207" t="s">
        <v>338</v>
      </c>
      <c r="C74" s="207">
        <v>2018</v>
      </c>
      <c r="D74" s="249" t="s">
        <v>468</v>
      </c>
      <c r="E74" s="236" t="s">
        <v>324</v>
      </c>
      <c r="F74" s="236" t="s">
        <v>325</v>
      </c>
      <c r="G74" s="215" t="s">
        <v>36</v>
      </c>
      <c r="H74" s="207" t="s">
        <v>165</v>
      </c>
      <c r="I74" s="215" t="s">
        <v>153</v>
      </c>
      <c r="J74" s="215" t="s">
        <v>38</v>
      </c>
      <c r="K74" s="215" t="s">
        <v>154</v>
      </c>
      <c r="L74" s="215">
        <v>1</v>
      </c>
      <c r="N74" s="207">
        <v>1</v>
      </c>
      <c r="O74" s="207">
        <v>0.5</v>
      </c>
      <c r="P74" s="207">
        <v>0.45</v>
      </c>
      <c r="Q74" s="244">
        <f t="shared" si="0"/>
        <v>0.47499999999999998</v>
      </c>
      <c r="R74" s="207">
        <v>15.3</v>
      </c>
      <c r="S74" s="207">
        <v>146</v>
      </c>
      <c r="T74" s="216">
        <f t="shared" si="1"/>
        <v>30</v>
      </c>
      <c r="U74" s="207">
        <v>138</v>
      </c>
      <c r="V74" s="216">
        <f t="shared" si="2"/>
        <v>4140</v>
      </c>
      <c r="W74" s="207">
        <v>3</v>
      </c>
      <c r="X74" s="215" t="s">
        <v>46</v>
      </c>
      <c r="Y74" s="215" t="s">
        <v>102</v>
      </c>
      <c r="Z74" s="215" t="s">
        <v>90</v>
      </c>
      <c r="AA74" s="215" t="s">
        <v>78</v>
      </c>
      <c r="AB74" s="215" t="s">
        <v>340</v>
      </c>
    </row>
    <row r="75" spans="1:28" x14ac:dyDescent="0.15">
      <c r="A75" s="215" t="s">
        <v>34</v>
      </c>
      <c r="B75" s="207" t="s">
        <v>338</v>
      </c>
      <c r="C75" s="207">
        <v>2018</v>
      </c>
      <c r="D75" s="249" t="s">
        <v>468</v>
      </c>
      <c r="E75" s="236" t="s">
        <v>324</v>
      </c>
      <c r="F75" s="236" t="s">
        <v>325</v>
      </c>
      <c r="G75" s="215" t="s">
        <v>36</v>
      </c>
      <c r="H75" s="207" t="s">
        <v>165</v>
      </c>
      <c r="I75" s="215" t="s">
        <v>153</v>
      </c>
      <c r="J75" s="215" t="s">
        <v>38</v>
      </c>
      <c r="K75" s="215" t="s">
        <v>154</v>
      </c>
      <c r="L75" s="207">
        <v>2</v>
      </c>
      <c r="N75" s="207">
        <v>1</v>
      </c>
      <c r="O75" s="207">
        <v>0.2</v>
      </c>
      <c r="P75" s="207">
        <v>0.2</v>
      </c>
      <c r="Q75" s="244">
        <f t="shared" si="0"/>
        <v>0.2</v>
      </c>
      <c r="R75" s="207">
        <v>17.100000000000001</v>
      </c>
      <c r="S75" s="207">
        <v>136</v>
      </c>
      <c r="T75" s="216">
        <f t="shared" si="1"/>
        <v>30</v>
      </c>
      <c r="U75" s="207">
        <v>138</v>
      </c>
      <c r="V75" s="216">
        <f t="shared" si="2"/>
        <v>4140</v>
      </c>
      <c r="W75" s="207">
        <v>3</v>
      </c>
      <c r="X75" s="215" t="s">
        <v>46</v>
      </c>
      <c r="Y75" s="215" t="s">
        <v>102</v>
      </c>
      <c r="Z75" s="215" t="s">
        <v>90</v>
      </c>
      <c r="AA75" s="215" t="s">
        <v>78</v>
      </c>
      <c r="AB75" s="215" t="s">
        <v>340</v>
      </c>
    </row>
    <row r="76" spans="1:28" x14ac:dyDescent="0.15">
      <c r="A76" s="215" t="s">
        <v>34</v>
      </c>
      <c r="B76" s="207" t="s">
        <v>338</v>
      </c>
      <c r="C76" s="207">
        <v>2018</v>
      </c>
      <c r="D76" s="249" t="s">
        <v>468</v>
      </c>
      <c r="E76" s="236" t="s">
        <v>324</v>
      </c>
      <c r="F76" s="236" t="s">
        <v>325</v>
      </c>
      <c r="G76" s="215" t="s">
        <v>36</v>
      </c>
      <c r="H76" s="207" t="s">
        <v>165</v>
      </c>
      <c r="I76" s="215" t="s">
        <v>153</v>
      </c>
      <c r="J76" s="215" t="s">
        <v>38</v>
      </c>
      <c r="K76" s="215" t="s">
        <v>154</v>
      </c>
      <c r="L76" s="207">
        <v>3</v>
      </c>
      <c r="N76" s="207">
        <v>1</v>
      </c>
      <c r="O76" s="207">
        <v>0.5</v>
      </c>
      <c r="P76" s="207">
        <v>0.5</v>
      </c>
      <c r="Q76" s="244">
        <f t="shared" si="0"/>
        <v>0.5</v>
      </c>
      <c r="R76" s="207">
        <v>15</v>
      </c>
      <c r="S76" s="207">
        <v>134</v>
      </c>
      <c r="T76" s="216">
        <f t="shared" si="1"/>
        <v>30</v>
      </c>
      <c r="U76" s="207">
        <v>138</v>
      </c>
      <c r="V76" s="216">
        <f t="shared" si="2"/>
        <v>4140</v>
      </c>
      <c r="W76" s="207">
        <v>3</v>
      </c>
      <c r="X76" s="215" t="s">
        <v>46</v>
      </c>
      <c r="Y76" s="215" t="s">
        <v>102</v>
      </c>
      <c r="Z76" s="215" t="s">
        <v>90</v>
      </c>
      <c r="AA76" s="215" t="s">
        <v>78</v>
      </c>
      <c r="AB76" s="215" t="s">
        <v>340</v>
      </c>
    </row>
    <row r="77" spans="1:28" x14ac:dyDescent="0.15">
      <c r="A77" s="215" t="s">
        <v>34</v>
      </c>
      <c r="B77" s="207" t="s">
        <v>338</v>
      </c>
      <c r="C77" s="207">
        <v>2018</v>
      </c>
      <c r="D77" s="249" t="s">
        <v>468</v>
      </c>
      <c r="E77" s="236" t="s">
        <v>324</v>
      </c>
      <c r="F77" s="236" t="s">
        <v>325</v>
      </c>
      <c r="G77" s="215" t="s">
        <v>36</v>
      </c>
      <c r="H77" s="207" t="s">
        <v>165</v>
      </c>
      <c r="I77" s="215" t="s">
        <v>153</v>
      </c>
      <c r="J77" s="215" t="s">
        <v>38</v>
      </c>
      <c r="K77" s="215" t="s">
        <v>154</v>
      </c>
      <c r="L77" s="215">
        <v>1</v>
      </c>
      <c r="N77" s="207">
        <v>4</v>
      </c>
      <c r="O77" s="207">
        <v>0.5</v>
      </c>
      <c r="P77" s="207">
        <v>0.5</v>
      </c>
      <c r="Q77" s="244">
        <f t="shared" si="0"/>
        <v>0.5</v>
      </c>
      <c r="R77" s="207">
        <v>14.9</v>
      </c>
      <c r="S77" s="207">
        <v>116</v>
      </c>
      <c r="T77" s="216">
        <f t="shared" si="1"/>
        <v>30</v>
      </c>
      <c r="U77" s="207">
        <v>429</v>
      </c>
      <c r="V77" s="216">
        <f t="shared" si="2"/>
        <v>3217.5</v>
      </c>
      <c r="W77" s="207">
        <v>3</v>
      </c>
      <c r="X77" s="215" t="s">
        <v>46</v>
      </c>
      <c r="Y77" s="215" t="s">
        <v>102</v>
      </c>
      <c r="Z77" s="215" t="s">
        <v>90</v>
      </c>
      <c r="AA77" s="215" t="s">
        <v>78</v>
      </c>
      <c r="AB77" s="215" t="s">
        <v>340</v>
      </c>
    </row>
    <row r="78" spans="1:28" x14ac:dyDescent="0.15">
      <c r="A78" s="215" t="s">
        <v>34</v>
      </c>
      <c r="B78" s="207" t="s">
        <v>338</v>
      </c>
      <c r="C78" s="207">
        <v>2018</v>
      </c>
      <c r="D78" s="249" t="s">
        <v>468</v>
      </c>
      <c r="E78" s="236" t="s">
        <v>324</v>
      </c>
      <c r="F78" s="236" t="s">
        <v>325</v>
      </c>
      <c r="G78" s="215" t="s">
        <v>36</v>
      </c>
      <c r="H78" s="207" t="s">
        <v>165</v>
      </c>
      <c r="I78" s="215" t="s">
        <v>153</v>
      </c>
      <c r="J78" s="215" t="s">
        <v>38</v>
      </c>
      <c r="K78" s="215" t="s">
        <v>154</v>
      </c>
      <c r="L78" s="207">
        <v>2</v>
      </c>
      <c r="N78" s="207">
        <v>4</v>
      </c>
      <c r="O78" s="207">
        <v>0.6</v>
      </c>
      <c r="P78" s="207">
        <v>0.65</v>
      </c>
      <c r="Q78" s="244">
        <f t="shared" si="0"/>
        <v>0.625</v>
      </c>
      <c r="R78" s="207">
        <v>14.1</v>
      </c>
      <c r="S78" s="207">
        <v>110</v>
      </c>
      <c r="T78" s="216">
        <f t="shared" si="1"/>
        <v>33</v>
      </c>
      <c r="U78" s="207">
        <v>429</v>
      </c>
      <c r="V78" s="216">
        <f t="shared" si="2"/>
        <v>3539.25</v>
      </c>
      <c r="W78" s="207">
        <v>3</v>
      </c>
      <c r="X78" s="215" t="s">
        <v>46</v>
      </c>
      <c r="Y78" s="215" t="s">
        <v>102</v>
      </c>
      <c r="Z78" s="215" t="s">
        <v>90</v>
      </c>
      <c r="AA78" s="215" t="s">
        <v>78</v>
      </c>
      <c r="AB78" s="215" t="s">
        <v>340</v>
      </c>
    </row>
    <row r="79" spans="1:28" x14ac:dyDescent="0.15">
      <c r="A79" s="215" t="s">
        <v>34</v>
      </c>
      <c r="B79" s="207" t="s">
        <v>338</v>
      </c>
      <c r="C79" s="207">
        <v>2018</v>
      </c>
      <c r="D79" s="249" t="s">
        <v>468</v>
      </c>
      <c r="E79" s="236" t="s">
        <v>324</v>
      </c>
      <c r="F79" s="236" t="s">
        <v>325</v>
      </c>
      <c r="G79" s="215" t="s">
        <v>36</v>
      </c>
      <c r="H79" s="207" t="s">
        <v>165</v>
      </c>
      <c r="I79" s="215" t="s">
        <v>153</v>
      </c>
      <c r="J79" s="215" t="s">
        <v>38</v>
      </c>
      <c r="K79" s="215" t="s">
        <v>154</v>
      </c>
      <c r="L79" s="207">
        <v>3</v>
      </c>
      <c r="N79" s="207">
        <v>4</v>
      </c>
      <c r="O79" s="207">
        <v>0.5</v>
      </c>
      <c r="P79" s="207">
        <v>0.55000000000000004</v>
      </c>
      <c r="Q79" s="244">
        <f t="shared" si="0"/>
        <v>0.52500000000000002</v>
      </c>
      <c r="R79" s="207">
        <v>14.5</v>
      </c>
      <c r="S79" s="207">
        <v>104</v>
      </c>
      <c r="T79" s="216">
        <f t="shared" si="1"/>
        <v>33</v>
      </c>
      <c r="U79" s="207">
        <v>429</v>
      </c>
      <c r="V79" s="216">
        <f t="shared" si="2"/>
        <v>3539.25</v>
      </c>
      <c r="W79" s="207">
        <v>3</v>
      </c>
      <c r="X79" s="215" t="s">
        <v>46</v>
      </c>
      <c r="Y79" s="215" t="s">
        <v>102</v>
      </c>
      <c r="Z79" s="215" t="s">
        <v>90</v>
      </c>
      <c r="AA79" s="215" t="s">
        <v>78</v>
      </c>
      <c r="AB79" s="215" t="s">
        <v>340</v>
      </c>
    </row>
    <row r="80" spans="1:28" x14ac:dyDescent="0.15">
      <c r="A80" s="215" t="s">
        <v>34</v>
      </c>
      <c r="B80" s="207" t="s">
        <v>338</v>
      </c>
      <c r="C80" s="207">
        <v>2018</v>
      </c>
      <c r="D80" s="249" t="s">
        <v>468</v>
      </c>
      <c r="E80" s="236" t="s">
        <v>326</v>
      </c>
      <c r="F80" s="236" t="s">
        <v>327</v>
      </c>
      <c r="G80" s="215" t="s">
        <v>36</v>
      </c>
      <c r="H80" s="207" t="s">
        <v>155</v>
      </c>
      <c r="I80" s="215" t="s">
        <v>153</v>
      </c>
      <c r="J80" s="215" t="s">
        <v>38</v>
      </c>
      <c r="K80" s="215" t="s">
        <v>154</v>
      </c>
      <c r="L80" s="215">
        <v>1</v>
      </c>
      <c r="N80" s="207">
        <v>1</v>
      </c>
      <c r="O80" s="207">
        <v>0.6</v>
      </c>
      <c r="P80" s="207">
        <v>0.55000000000000004</v>
      </c>
      <c r="Q80" s="244">
        <f t="shared" si="0"/>
        <v>0.57499999999999996</v>
      </c>
      <c r="R80" s="207">
        <v>15.1</v>
      </c>
      <c r="S80" s="207">
        <v>145</v>
      </c>
      <c r="T80" s="216">
        <f t="shared" si="1"/>
        <v>30</v>
      </c>
      <c r="U80" s="207">
        <v>108</v>
      </c>
      <c r="V80" s="216">
        <f t="shared" si="2"/>
        <v>3240</v>
      </c>
      <c r="W80" s="207">
        <v>4</v>
      </c>
      <c r="X80" s="215" t="s">
        <v>46</v>
      </c>
      <c r="Y80" s="215" t="s">
        <v>50</v>
      </c>
      <c r="Z80" s="215" t="s">
        <v>78</v>
      </c>
      <c r="AA80" s="207" t="s">
        <v>90</v>
      </c>
      <c r="AB80" s="215" t="s">
        <v>340</v>
      </c>
    </row>
    <row r="81" spans="1:28" x14ac:dyDescent="0.15">
      <c r="A81" s="215" t="s">
        <v>34</v>
      </c>
      <c r="B81" s="207" t="s">
        <v>338</v>
      </c>
      <c r="C81" s="207">
        <v>2018</v>
      </c>
      <c r="D81" s="249" t="s">
        <v>468</v>
      </c>
      <c r="E81" s="236" t="s">
        <v>326</v>
      </c>
      <c r="F81" s="236" t="s">
        <v>327</v>
      </c>
      <c r="G81" s="215" t="s">
        <v>36</v>
      </c>
      <c r="H81" s="207" t="s">
        <v>155</v>
      </c>
      <c r="I81" s="215" t="s">
        <v>153</v>
      </c>
      <c r="J81" s="215" t="s">
        <v>38</v>
      </c>
      <c r="K81" s="215" t="s">
        <v>154</v>
      </c>
      <c r="L81" s="207">
        <v>2</v>
      </c>
      <c r="N81" s="207">
        <v>1</v>
      </c>
      <c r="O81" s="207">
        <v>0.5</v>
      </c>
      <c r="P81" s="207">
        <v>0.2</v>
      </c>
      <c r="Q81" s="244">
        <f t="shared" si="0"/>
        <v>0.35</v>
      </c>
      <c r="R81" s="207">
        <v>15.3</v>
      </c>
      <c r="S81" s="207">
        <v>146</v>
      </c>
      <c r="T81" s="216">
        <f t="shared" si="1"/>
        <v>30</v>
      </c>
      <c r="U81" s="207">
        <v>108</v>
      </c>
      <c r="V81" s="216">
        <f t="shared" si="2"/>
        <v>3240</v>
      </c>
      <c r="W81" s="207">
        <v>4</v>
      </c>
      <c r="X81" s="215" t="s">
        <v>46</v>
      </c>
      <c r="Y81" s="215" t="s">
        <v>50</v>
      </c>
      <c r="Z81" s="215" t="s">
        <v>78</v>
      </c>
      <c r="AA81" s="207" t="s">
        <v>90</v>
      </c>
      <c r="AB81" s="215" t="s">
        <v>340</v>
      </c>
    </row>
    <row r="82" spans="1:28" x14ac:dyDescent="0.15">
      <c r="A82" s="215" t="s">
        <v>34</v>
      </c>
      <c r="B82" s="207" t="s">
        <v>338</v>
      </c>
      <c r="C82" s="207">
        <v>2018</v>
      </c>
      <c r="D82" s="249" t="s">
        <v>468</v>
      </c>
      <c r="E82" s="236" t="s">
        <v>326</v>
      </c>
      <c r="F82" s="236" t="s">
        <v>327</v>
      </c>
      <c r="G82" s="215" t="s">
        <v>36</v>
      </c>
      <c r="H82" s="207" t="s">
        <v>155</v>
      </c>
      <c r="I82" s="215" t="s">
        <v>153</v>
      </c>
      <c r="J82" s="215" t="s">
        <v>38</v>
      </c>
      <c r="K82" s="215" t="s">
        <v>154</v>
      </c>
      <c r="L82" s="207">
        <v>3</v>
      </c>
      <c r="N82" s="207">
        <v>1</v>
      </c>
      <c r="O82" s="207">
        <v>0.7</v>
      </c>
      <c r="P82" s="207">
        <v>0.9</v>
      </c>
      <c r="Q82" s="244">
        <f t="shared" si="0"/>
        <v>0.8</v>
      </c>
      <c r="R82" s="207">
        <v>14.1</v>
      </c>
      <c r="S82" s="207">
        <v>140</v>
      </c>
      <c r="T82" s="216">
        <f t="shared" si="1"/>
        <v>30</v>
      </c>
      <c r="U82" s="207">
        <v>108</v>
      </c>
      <c r="V82" s="216">
        <f t="shared" si="2"/>
        <v>3240</v>
      </c>
      <c r="W82" s="207">
        <v>4</v>
      </c>
      <c r="X82" s="215" t="s">
        <v>46</v>
      </c>
      <c r="Y82" s="215" t="s">
        <v>50</v>
      </c>
      <c r="Z82" s="215" t="s">
        <v>78</v>
      </c>
      <c r="AA82" s="207" t="s">
        <v>90</v>
      </c>
      <c r="AB82" s="215" t="s">
        <v>340</v>
      </c>
    </row>
    <row r="83" spans="1:28" x14ac:dyDescent="0.15">
      <c r="A83" s="215" t="s">
        <v>34</v>
      </c>
      <c r="B83" s="207" t="s">
        <v>338</v>
      </c>
      <c r="C83" s="207">
        <v>2018</v>
      </c>
      <c r="D83" s="249" t="s">
        <v>468</v>
      </c>
      <c r="E83" s="236" t="s">
        <v>326</v>
      </c>
      <c r="F83" s="236" t="s">
        <v>327</v>
      </c>
      <c r="G83" s="215" t="s">
        <v>36</v>
      </c>
      <c r="H83" s="207" t="s">
        <v>155</v>
      </c>
      <c r="I83" s="215" t="s">
        <v>153</v>
      </c>
      <c r="J83" s="215" t="s">
        <v>38</v>
      </c>
      <c r="K83" s="215" t="s">
        <v>154</v>
      </c>
      <c r="L83" s="215">
        <v>1</v>
      </c>
      <c r="N83" s="207">
        <v>4</v>
      </c>
      <c r="O83" s="207">
        <v>0.6</v>
      </c>
      <c r="P83" s="207">
        <v>0.55000000000000004</v>
      </c>
      <c r="Q83" s="244">
        <f t="shared" si="0"/>
        <v>0.57499999999999996</v>
      </c>
      <c r="R83" s="207">
        <v>9.6</v>
      </c>
      <c r="S83" s="207">
        <v>87</v>
      </c>
      <c r="T83" s="216">
        <f t="shared" si="1"/>
        <v>36</v>
      </c>
      <c r="U83" s="207">
        <v>322</v>
      </c>
      <c r="V83" s="216">
        <f t="shared" si="2"/>
        <v>2898</v>
      </c>
      <c r="W83" s="207">
        <v>4</v>
      </c>
      <c r="X83" s="215" t="s">
        <v>46</v>
      </c>
      <c r="Y83" s="215" t="s">
        <v>50</v>
      </c>
      <c r="Z83" s="215" t="s">
        <v>78</v>
      </c>
      <c r="AA83" s="207" t="s">
        <v>90</v>
      </c>
      <c r="AB83" s="215" t="s">
        <v>340</v>
      </c>
    </row>
    <row r="84" spans="1:28" x14ac:dyDescent="0.15">
      <c r="A84" s="215" t="s">
        <v>34</v>
      </c>
      <c r="B84" s="207" t="s">
        <v>338</v>
      </c>
      <c r="C84" s="207">
        <v>2018</v>
      </c>
      <c r="D84" s="249" t="s">
        <v>468</v>
      </c>
      <c r="E84" s="236" t="s">
        <v>326</v>
      </c>
      <c r="F84" s="236" t="s">
        <v>327</v>
      </c>
      <c r="G84" s="215" t="s">
        <v>36</v>
      </c>
      <c r="H84" s="207" t="s">
        <v>155</v>
      </c>
      <c r="I84" s="215" t="s">
        <v>153</v>
      </c>
      <c r="J84" s="215" t="s">
        <v>38</v>
      </c>
      <c r="K84" s="215" t="s">
        <v>154</v>
      </c>
      <c r="L84" s="207">
        <v>2</v>
      </c>
      <c r="N84" s="207">
        <v>4</v>
      </c>
      <c r="O84" s="207">
        <v>0.2</v>
      </c>
      <c r="P84" s="207">
        <v>0.2</v>
      </c>
      <c r="Q84" s="244">
        <f t="shared" si="0"/>
        <v>0.2</v>
      </c>
      <c r="R84" s="207">
        <v>13</v>
      </c>
      <c r="S84" s="207">
        <v>81</v>
      </c>
      <c r="T84" s="216">
        <f t="shared" si="1"/>
        <v>39</v>
      </c>
      <c r="U84" s="207">
        <v>322</v>
      </c>
      <c r="V84" s="216">
        <f t="shared" si="2"/>
        <v>3139.5</v>
      </c>
      <c r="W84" s="207">
        <v>4</v>
      </c>
      <c r="X84" s="215" t="s">
        <v>46</v>
      </c>
      <c r="Y84" s="215" t="s">
        <v>50</v>
      </c>
      <c r="Z84" s="215" t="s">
        <v>78</v>
      </c>
      <c r="AA84" s="207" t="s">
        <v>90</v>
      </c>
      <c r="AB84" s="215" t="s">
        <v>340</v>
      </c>
    </row>
    <row r="85" spans="1:28" x14ac:dyDescent="0.15">
      <c r="A85" s="215" t="s">
        <v>34</v>
      </c>
      <c r="B85" s="207" t="s">
        <v>338</v>
      </c>
      <c r="C85" s="207">
        <v>2018</v>
      </c>
      <c r="D85" s="249" t="s">
        <v>468</v>
      </c>
      <c r="E85" s="236" t="s">
        <v>326</v>
      </c>
      <c r="F85" s="236" t="s">
        <v>327</v>
      </c>
      <c r="G85" s="215" t="s">
        <v>36</v>
      </c>
      <c r="H85" s="207" t="s">
        <v>155</v>
      </c>
      <c r="I85" s="215" t="s">
        <v>153</v>
      </c>
      <c r="J85" s="215" t="s">
        <v>38</v>
      </c>
      <c r="K85" s="215" t="s">
        <v>154</v>
      </c>
      <c r="L85" s="207">
        <v>3</v>
      </c>
      <c r="N85" s="207">
        <v>4</v>
      </c>
      <c r="O85" s="207">
        <v>0.55000000000000004</v>
      </c>
      <c r="P85" s="207">
        <v>0.65</v>
      </c>
      <c r="Q85" s="244">
        <f t="shared" si="0"/>
        <v>0.60000000000000009</v>
      </c>
      <c r="R85" s="207">
        <v>9.6</v>
      </c>
      <c r="S85" s="207">
        <v>89</v>
      </c>
      <c r="T85" s="216">
        <f t="shared" si="1"/>
        <v>36</v>
      </c>
      <c r="U85" s="207">
        <v>322</v>
      </c>
      <c r="V85" s="216">
        <f t="shared" si="2"/>
        <v>2898</v>
      </c>
      <c r="W85" s="207">
        <v>4</v>
      </c>
      <c r="X85" s="215" t="s">
        <v>46</v>
      </c>
      <c r="Y85" s="215" t="s">
        <v>50</v>
      </c>
      <c r="Z85" s="215" t="s">
        <v>78</v>
      </c>
      <c r="AA85" s="207" t="s">
        <v>90</v>
      </c>
      <c r="AB85" s="215" t="s">
        <v>340</v>
      </c>
    </row>
    <row r="86" spans="1:28" x14ac:dyDescent="0.15">
      <c r="A86" s="215" t="s">
        <v>34</v>
      </c>
      <c r="B86" s="207" t="s">
        <v>338</v>
      </c>
      <c r="C86" s="207">
        <v>2018</v>
      </c>
      <c r="D86" s="249" t="s">
        <v>468</v>
      </c>
      <c r="E86" s="236" t="s">
        <v>326</v>
      </c>
      <c r="F86" s="236" t="s">
        <v>327</v>
      </c>
      <c r="G86" s="215" t="s">
        <v>36</v>
      </c>
      <c r="H86" s="207" t="s">
        <v>165</v>
      </c>
      <c r="I86" s="215" t="s">
        <v>153</v>
      </c>
      <c r="J86" s="215" t="s">
        <v>38</v>
      </c>
      <c r="K86" s="215" t="s">
        <v>154</v>
      </c>
      <c r="L86" s="215">
        <v>1</v>
      </c>
      <c r="N86" s="207">
        <v>1</v>
      </c>
      <c r="O86" s="207">
        <v>0.2</v>
      </c>
      <c r="P86" s="207">
        <v>0.45</v>
      </c>
      <c r="Q86" s="244">
        <f t="shared" ref="Q86:Q100" si="5">IF(OR(O86="",P86=""),"",AVERAGE(O86,P86))</f>
        <v>0.32500000000000001</v>
      </c>
      <c r="R86" s="207">
        <v>16.5</v>
      </c>
      <c r="S86" s="207">
        <v>158</v>
      </c>
      <c r="T86" s="216">
        <f t="shared" si="1"/>
        <v>18</v>
      </c>
      <c r="U86" s="207">
        <v>150</v>
      </c>
      <c r="V86" s="216">
        <f t="shared" si="2"/>
        <v>2700</v>
      </c>
      <c r="W86" s="207">
        <v>2</v>
      </c>
      <c r="X86" s="215" t="s">
        <v>46</v>
      </c>
      <c r="Y86" s="215" t="s">
        <v>50</v>
      </c>
      <c r="Z86" s="215" t="s">
        <v>78</v>
      </c>
      <c r="AA86" s="207" t="s">
        <v>90</v>
      </c>
      <c r="AB86" s="215" t="s">
        <v>340</v>
      </c>
    </row>
    <row r="87" spans="1:28" x14ac:dyDescent="0.15">
      <c r="A87" s="215" t="s">
        <v>34</v>
      </c>
      <c r="B87" s="207" t="s">
        <v>338</v>
      </c>
      <c r="C87" s="207">
        <v>2018</v>
      </c>
      <c r="D87" s="249" t="s">
        <v>468</v>
      </c>
      <c r="E87" s="236" t="s">
        <v>326</v>
      </c>
      <c r="F87" s="236" t="s">
        <v>327</v>
      </c>
      <c r="G87" s="215" t="s">
        <v>36</v>
      </c>
      <c r="H87" s="207" t="s">
        <v>165</v>
      </c>
      <c r="I87" s="215" t="s">
        <v>153</v>
      </c>
      <c r="J87" s="215" t="s">
        <v>38</v>
      </c>
      <c r="K87" s="215" t="s">
        <v>154</v>
      </c>
      <c r="L87" s="207">
        <v>2</v>
      </c>
      <c r="N87" s="207">
        <v>1</v>
      </c>
      <c r="O87" s="207">
        <v>0.6</v>
      </c>
      <c r="P87" s="207">
        <v>0.5</v>
      </c>
      <c r="Q87" s="244">
        <f t="shared" si="5"/>
        <v>0.55000000000000004</v>
      </c>
      <c r="R87" s="207">
        <v>14.7</v>
      </c>
      <c r="S87" s="207">
        <v>152</v>
      </c>
      <c r="T87" s="216">
        <f t="shared" si="1"/>
        <v>18</v>
      </c>
      <c r="U87" s="207">
        <v>150</v>
      </c>
      <c r="V87" s="216">
        <f t="shared" si="2"/>
        <v>2700</v>
      </c>
      <c r="W87" s="207">
        <v>2</v>
      </c>
      <c r="X87" s="215" t="s">
        <v>46</v>
      </c>
      <c r="Y87" s="215" t="s">
        <v>50</v>
      </c>
      <c r="Z87" s="215" t="s">
        <v>78</v>
      </c>
      <c r="AA87" s="207" t="s">
        <v>90</v>
      </c>
      <c r="AB87" s="215" t="s">
        <v>340</v>
      </c>
    </row>
    <row r="88" spans="1:28" x14ac:dyDescent="0.15">
      <c r="A88" s="215" t="s">
        <v>34</v>
      </c>
      <c r="B88" s="207" t="s">
        <v>338</v>
      </c>
      <c r="C88" s="207">
        <v>2018</v>
      </c>
      <c r="D88" s="249" t="s">
        <v>468</v>
      </c>
      <c r="E88" s="236" t="s">
        <v>326</v>
      </c>
      <c r="F88" s="236" t="s">
        <v>327</v>
      </c>
      <c r="G88" s="215" t="s">
        <v>36</v>
      </c>
      <c r="H88" s="207" t="s">
        <v>165</v>
      </c>
      <c r="I88" s="215" t="s">
        <v>153</v>
      </c>
      <c r="J88" s="215" t="s">
        <v>38</v>
      </c>
      <c r="K88" s="215" t="s">
        <v>154</v>
      </c>
      <c r="L88" s="207">
        <v>3</v>
      </c>
      <c r="N88" s="207">
        <v>1</v>
      </c>
      <c r="O88" s="207">
        <v>0.2</v>
      </c>
      <c r="P88" s="207">
        <v>0.2</v>
      </c>
      <c r="Q88" s="216">
        <f t="shared" si="5"/>
        <v>0.2</v>
      </c>
      <c r="R88" s="207">
        <v>15</v>
      </c>
      <c r="S88" s="207">
        <v>151</v>
      </c>
      <c r="T88" s="216">
        <f t="shared" si="1"/>
        <v>30</v>
      </c>
      <c r="U88" s="207">
        <v>150</v>
      </c>
      <c r="V88" s="216">
        <f t="shared" si="2"/>
        <v>4500</v>
      </c>
      <c r="W88" s="207">
        <v>2</v>
      </c>
      <c r="X88" s="215" t="s">
        <v>46</v>
      </c>
      <c r="Y88" s="215" t="s">
        <v>50</v>
      </c>
      <c r="Z88" s="215" t="s">
        <v>78</v>
      </c>
      <c r="AA88" s="207" t="s">
        <v>90</v>
      </c>
      <c r="AB88" s="215" t="s">
        <v>340</v>
      </c>
    </row>
    <row r="89" spans="1:28" x14ac:dyDescent="0.15">
      <c r="A89" s="215" t="s">
        <v>34</v>
      </c>
      <c r="B89" s="207" t="s">
        <v>338</v>
      </c>
      <c r="C89" s="207">
        <v>2018</v>
      </c>
      <c r="D89" s="249" t="s">
        <v>468</v>
      </c>
      <c r="E89" s="236" t="s">
        <v>328</v>
      </c>
      <c r="F89" s="236" t="s">
        <v>329</v>
      </c>
      <c r="G89" s="215" t="s">
        <v>36</v>
      </c>
      <c r="H89" s="207" t="s">
        <v>155</v>
      </c>
      <c r="I89" s="215" t="s">
        <v>153</v>
      </c>
      <c r="J89" s="215" t="s">
        <v>38</v>
      </c>
      <c r="K89" s="215" t="s">
        <v>154</v>
      </c>
      <c r="L89" s="215">
        <v>1</v>
      </c>
      <c r="N89" s="207">
        <v>1</v>
      </c>
      <c r="O89" s="207">
        <v>0.65</v>
      </c>
      <c r="P89" s="207">
        <v>0.7</v>
      </c>
      <c r="Q89" s="216">
        <f t="shared" si="5"/>
        <v>0.67500000000000004</v>
      </c>
      <c r="R89" s="207">
        <v>12.8</v>
      </c>
      <c r="S89" s="207">
        <v>107</v>
      </c>
      <c r="T89" s="216">
        <f t="shared" si="1"/>
        <v>33</v>
      </c>
      <c r="U89" s="207">
        <v>62</v>
      </c>
      <c r="V89" s="216">
        <f t="shared" si="2"/>
        <v>2046</v>
      </c>
      <c r="W89" s="207">
        <v>5</v>
      </c>
      <c r="X89" s="215" t="s">
        <v>46</v>
      </c>
      <c r="Y89" s="207" t="s">
        <v>90</v>
      </c>
      <c r="Z89" s="207" t="s">
        <v>78</v>
      </c>
      <c r="AA89" s="207" t="s">
        <v>69</v>
      </c>
      <c r="AB89" s="215" t="s">
        <v>340</v>
      </c>
    </row>
    <row r="90" spans="1:28" x14ac:dyDescent="0.15">
      <c r="A90" s="215" t="s">
        <v>34</v>
      </c>
      <c r="B90" s="207" t="s">
        <v>338</v>
      </c>
      <c r="C90" s="207">
        <v>2018</v>
      </c>
      <c r="D90" s="249" t="s">
        <v>468</v>
      </c>
      <c r="E90" s="236" t="s">
        <v>328</v>
      </c>
      <c r="F90" s="236" t="s">
        <v>329</v>
      </c>
      <c r="G90" s="215" t="s">
        <v>36</v>
      </c>
      <c r="H90" s="207" t="s">
        <v>155</v>
      </c>
      <c r="I90" s="215" t="s">
        <v>153</v>
      </c>
      <c r="J90" s="215" t="s">
        <v>38</v>
      </c>
      <c r="K90" s="215" t="s">
        <v>154</v>
      </c>
      <c r="L90" s="207">
        <v>2</v>
      </c>
      <c r="N90" s="207">
        <v>1</v>
      </c>
      <c r="O90" s="207">
        <v>0.9</v>
      </c>
      <c r="P90" s="207">
        <v>0.95</v>
      </c>
      <c r="Q90" s="216">
        <f t="shared" si="5"/>
        <v>0.92500000000000004</v>
      </c>
      <c r="R90" s="207">
        <v>11.4</v>
      </c>
      <c r="S90" s="207">
        <v>107</v>
      </c>
      <c r="T90" s="216">
        <f t="shared" si="1"/>
        <v>33</v>
      </c>
      <c r="U90" s="207">
        <v>62</v>
      </c>
      <c r="V90" s="216">
        <f t="shared" si="2"/>
        <v>2046</v>
      </c>
      <c r="W90" s="207">
        <v>5</v>
      </c>
      <c r="X90" s="215" t="s">
        <v>46</v>
      </c>
      <c r="Y90" s="207" t="s">
        <v>90</v>
      </c>
      <c r="Z90" s="207" t="s">
        <v>78</v>
      </c>
      <c r="AA90" s="207" t="s">
        <v>69</v>
      </c>
      <c r="AB90" s="215" t="s">
        <v>340</v>
      </c>
    </row>
    <row r="91" spans="1:28" x14ac:dyDescent="0.15">
      <c r="A91" s="215" t="s">
        <v>34</v>
      </c>
      <c r="B91" s="207" t="s">
        <v>338</v>
      </c>
      <c r="C91" s="207">
        <v>2018</v>
      </c>
      <c r="D91" s="249" t="s">
        <v>468</v>
      </c>
      <c r="E91" s="236" t="s">
        <v>328</v>
      </c>
      <c r="F91" s="236" t="s">
        <v>329</v>
      </c>
      <c r="G91" s="215" t="s">
        <v>36</v>
      </c>
      <c r="H91" s="207" t="s">
        <v>155</v>
      </c>
      <c r="I91" s="215" t="s">
        <v>153</v>
      </c>
      <c r="J91" s="215" t="s">
        <v>38</v>
      </c>
      <c r="K91" s="215" t="s">
        <v>154</v>
      </c>
      <c r="L91" s="207">
        <v>3</v>
      </c>
      <c r="N91" s="207">
        <v>1</v>
      </c>
      <c r="O91" s="207">
        <v>0.85</v>
      </c>
      <c r="P91" s="207">
        <v>0.9</v>
      </c>
      <c r="Q91" s="216">
        <f t="shared" si="5"/>
        <v>0.875</v>
      </c>
      <c r="R91" s="207">
        <v>11.7</v>
      </c>
      <c r="S91" s="207">
        <v>96</v>
      </c>
      <c r="T91" s="216">
        <f t="shared" si="1"/>
        <v>36</v>
      </c>
      <c r="U91" s="207">
        <v>62</v>
      </c>
      <c r="V91" s="216">
        <f t="shared" si="2"/>
        <v>2232</v>
      </c>
      <c r="W91" s="207">
        <v>5</v>
      </c>
      <c r="X91" s="215" t="s">
        <v>46</v>
      </c>
      <c r="Y91" s="207" t="s">
        <v>90</v>
      </c>
      <c r="Z91" s="207" t="s">
        <v>78</v>
      </c>
      <c r="AA91" s="207" t="s">
        <v>69</v>
      </c>
      <c r="AB91" s="215" t="s">
        <v>340</v>
      </c>
    </row>
    <row r="92" spans="1:28" x14ac:dyDescent="0.15">
      <c r="A92" s="215" t="s">
        <v>34</v>
      </c>
      <c r="B92" s="207" t="s">
        <v>338</v>
      </c>
      <c r="C92" s="207">
        <v>2018</v>
      </c>
      <c r="D92" s="249" t="s">
        <v>468</v>
      </c>
      <c r="E92" s="236" t="s">
        <v>328</v>
      </c>
      <c r="F92" s="236" t="s">
        <v>329</v>
      </c>
      <c r="G92" s="215" t="s">
        <v>36</v>
      </c>
      <c r="H92" s="207" t="s">
        <v>155</v>
      </c>
      <c r="I92" s="215" t="s">
        <v>156</v>
      </c>
      <c r="J92" s="215" t="s">
        <v>38</v>
      </c>
      <c r="K92" s="215" t="s">
        <v>154</v>
      </c>
      <c r="L92" s="215">
        <v>1</v>
      </c>
      <c r="N92" s="207">
        <v>4</v>
      </c>
      <c r="O92" s="207">
        <v>0.9</v>
      </c>
      <c r="P92" s="207">
        <v>0.9</v>
      </c>
      <c r="Q92" s="216">
        <f t="shared" si="5"/>
        <v>0.9</v>
      </c>
      <c r="R92" s="207">
        <v>13.8</v>
      </c>
      <c r="S92" s="207">
        <v>113</v>
      </c>
      <c r="T92" s="216">
        <f t="shared" si="1"/>
        <v>30</v>
      </c>
      <c r="U92" s="207">
        <v>378</v>
      </c>
      <c r="V92" s="216">
        <f t="shared" si="2"/>
        <v>2835</v>
      </c>
      <c r="W92" s="207">
        <v>5</v>
      </c>
      <c r="X92" s="215" t="s">
        <v>46</v>
      </c>
      <c r="Y92" s="207" t="s">
        <v>90</v>
      </c>
      <c r="Z92" s="207" t="s">
        <v>78</v>
      </c>
      <c r="AA92" s="207" t="s">
        <v>69</v>
      </c>
      <c r="AB92" s="215" t="s">
        <v>340</v>
      </c>
    </row>
    <row r="93" spans="1:28" x14ac:dyDescent="0.15">
      <c r="A93" s="215" t="s">
        <v>34</v>
      </c>
      <c r="B93" s="207" t="s">
        <v>338</v>
      </c>
      <c r="C93" s="207">
        <v>2018</v>
      </c>
      <c r="D93" s="249" t="s">
        <v>468</v>
      </c>
      <c r="E93" s="236" t="s">
        <v>328</v>
      </c>
      <c r="F93" s="236" t="s">
        <v>329</v>
      </c>
      <c r="G93" s="215" t="s">
        <v>36</v>
      </c>
      <c r="H93" s="207" t="s">
        <v>155</v>
      </c>
      <c r="I93" s="215" t="s">
        <v>156</v>
      </c>
      <c r="J93" s="215" t="s">
        <v>38</v>
      </c>
      <c r="K93" s="215" t="s">
        <v>154</v>
      </c>
      <c r="L93" s="207">
        <v>2</v>
      </c>
      <c r="N93" s="207">
        <v>4</v>
      </c>
      <c r="O93" s="207">
        <v>0.9</v>
      </c>
      <c r="P93" s="207">
        <v>0.85</v>
      </c>
      <c r="Q93" s="216">
        <f t="shared" si="5"/>
        <v>0.875</v>
      </c>
      <c r="R93" s="207">
        <v>13.9</v>
      </c>
      <c r="S93" s="207">
        <v>115</v>
      </c>
      <c r="T93" s="216">
        <f t="shared" si="1"/>
        <v>30</v>
      </c>
      <c r="U93" s="207">
        <v>378</v>
      </c>
      <c r="V93" s="216">
        <f t="shared" si="2"/>
        <v>2835</v>
      </c>
      <c r="W93" s="207">
        <v>5</v>
      </c>
      <c r="X93" s="215" t="s">
        <v>46</v>
      </c>
      <c r="Y93" s="207" t="s">
        <v>90</v>
      </c>
      <c r="Z93" s="207" t="s">
        <v>78</v>
      </c>
      <c r="AA93" s="207" t="s">
        <v>69</v>
      </c>
      <c r="AB93" s="215" t="s">
        <v>340</v>
      </c>
    </row>
    <row r="94" spans="1:28" x14ac:dyDescent="0.15">
      <c r="A94" s="215" t="s">
        <v>34</v>
      </c>
      <c r="B94" s="207" t="s">
        <v>338</v>
      </c>
      <c r="C94" s="207">
        <v>2018</v>
      </c>
      <c r="D94" s="249" t="s">
        <v>468</v>
      </c>
      <c r="E94" s="236" t="s">
        <v>328</v>
      </c>
      <c r="F94" s="236" t="s">
        <v>329</v>
      </c>
      <c r="G94" s="215" t="s">
        <v>36</v>
      </c>
      <c r="H94" s="207" t="s">
        <v>155</v>
      </c>
      <c r="I94" s="215" t="s">
        <v>156</v>
      </c>
      <c r="J94" s="215" t="s">
        <v>38</v>
      </c>
      <c r="K94" s="215" t="s">
        <v>154</v>
      </c>
      <c r="L94" s="207">
        <v>3</v>
      </c>
      <c r="N94" s="207">
        <v>4</v>
      </c>
      <c r="O94" s="207">
        <v>0.9</v>
      </c>
      <c r="P94" s="207">
        <v>0.85</v>
      </c>
      <c r="Q94" s="216">
        <f t="shared" si="5"/>
        <v>0.875</v>
      </c>
      <c r="R94" s="207">
        <v>14.4</v>
      </c>
      <c r="S94" s="207">
        <v>110</v>
      </c>
      <c r="T94" s="216">
        <f t="shared" si="1"/>
        <v>33</v>
      </c>
      <c r="U94" s="207">
        <v>378</v>
      </c>
      <c r="V94" s="216">
        <f t="shared" si="2"/>
        <v>3118.5</v>
      </c>
      <c r="W94" s="207">
        <v>5</v>
      </c>
      <c r="X94" s="215" t="s">
        <v>46</v>
      </c>
      <c r="Y94" s="207" t="s">
        <v>90</v>
      </c>
      <c r="Z94" s="207" t="s">
        <v>78</v>
      </c>
      <c r="AA94" s="207" t="s">
        <v>69</v>
      </c>
      <c r="AB94" s="215" t="s">
        <v>340</v>
      </c>
    </row>
    <row r="95" spans="1:28" x14ac:dyDescent="0.15">
      <c r="A95" s="215" t="s">
        <v>34</v>
      </c>
      <c r="B95" s="207" t="s">
        <v>338</v>
      </c>
      <c r="C95" s="207">
        <v>2018</v>
      </c>
      <c r="D95" s="249" t="s">
        <v>468</v>
      </c>
      <c r="E95" s="236" t="s">
        <v>328</v>
      </c>
      <c r="F95" s="236" t="s">
        <v>329</v>
      </c>
      <c r="G95" s="215" t="s">
        <v>36</v>
      </c>
      <c r="H95" s="207" t="s">
        <v>165</v>
      </c>
      <c r="I95" s="215" t="s">
        <v>153</v>
      </c>
      <c r="J95" s="215" t="s">
        <v>38</v>
      </c>
      <c r="K95" s="215" t="s">
        <v>154</v>
      </c>
      <c r="L95" s="215">
        <v>1</v>
      </c>
      <c r="N95" s="207">
        <v>1</v>
      </c>
      <c r="O95" s="207">
        <v>0.5</v>
      </c>
      <c r="P95" s="207">
        <v>0.6</v>
      </c>
      <c r="Q95" s="216">
        <f t="shared" si="5"/>
        <v>0.55000000000000004</v>
      </c>
      <c r="R95" s="207">
        <v>15.2</v>
      </c>
      <c r="S95" s="207">
        <v>105</v>
      </c>
      <c r="T95" s="216">
        <f t="shared" si="1"/>
        <v>33</v>
      </c>
      <c r="U95" s="207">
        <v>105</v>
      </c>
      <c r="V95" s="216">
        <f t="shared" si="2"/>
        <v>3465</v>
      </c>
      <c r="W95" s="207">
        <v>3</v>
      </c>
      <c r="X95" s="215" t="s">
        <v>46</v>
      </c>
      <c r="Y95" s="207" t="s">
        <v>90</v>
      </c>
      <c r="Z95" s="207" t="s">
        <v>78</v>
      </c>
      <c r="AA95" s="207" t="s">
        <v>69</v>
      </c>
      <c r="AB95" s="215" t="s">
        <v>340</v>
      </c>
    </row>
    <row r="96" spans="1:28" x14ac:dyDescent="0.15">
      <c r="A96" s="215" t="s">
        <v>34</v>
      </c>
      <c r="B96" s="207" t="s">
        <v>338</v>
      </c>
      <c r="C96" s="207">
        <v>2018</v>
      </c>
      <c r="D96" s="249" t="s">
        <v>468</v>
      </c>
      <c r="E96" s="236" t="s">
        <v>328</v>
      </c>
      <c r="F96" s="236" t="s">
        <v>329</v>
      </c>
      <c r="G96" s="215" t="s">
        <v>36</v>
      </c>
      <c r="H96" s="207" t="s">
        <v>165</v>
      </c>
      <c r="I96" s="215" t="s">
        <v>153</v>
      </c>
      <c r="J96" s="215" t="s">
        <v>38</v>
      </c>
      <c r="K96" s="215" t="s">
        <v>154</v>
      </c>
      <c r="L96" s="207">
        <v>2</v>
      </c>
      <c r="N96" s="207">
        <v>1</v>
      </c>
      <c r="O96" s="207">
        <v>0.5</v>
      </c>
      <c r="P96" s="207">
        <v>0.5</v>
      </c>
      <c r="Q96" s="216">
        <f t="shared" si="5"/>
        <v>0.5</v>
      </c>
      <c r="R96" s="207">
        <v>15.3</v>
      </c>
      <c r="S96" s="207">
        <v>102</v>
      </c>
      <c r="T96" s="216">
        <f t="shared" si="1"/>
        <v>33</v>
      </c>
      <c r="U96" s="207">
        <v>105</v>
      </c>
      <c r="V96" s="216">
        <f t="shared" si="2"/>
        <v>3465</v>
      </c>
      <c r="W96" s="207">
        <v>3</v>
      </c>
      <c r="X96" s="215" t="s">
        <v>46</v>
      </c>
      <c r="Y96" s="207" t="s">
        <v>90</v>
      </c>
      <c r="Z96" s="207" t="s">
        <v>78</v>
      </c>
      <c r="AA96" s="207" t="s">
        <v>69</v>
      </c>
      <c r="AB96" s="215" t="s">
        <v>340</v>
      </c>
    </row>
    <row r="97" spans="1:28" x14ac:dyDescent="0.15">
      <c r="A97" s="215" t="s">
        <v>34</v>
      </c>
      <c r="B97" s="207" t="s">
        <v>338</v>
      </c>
      <c r="C97" s="207">
        <v>2018</v>
      </c>
      <c r="D97" s="249" t="s">
        <v>468</v>
      </c>
      <c r="E97" s="236" t="s">
        <v>328</v>
      </c>
      <c r="F97" s="236" t="s">
        <v>329</v>
      </c>
      <c r="G97" s="215" t="s">
        <v>36</v>
      </c>
      <c r="H97" s="207" t="s">
        <v>165</v>
      </c>
      <c r="I97" s="215" t="s">
        <v>153</v>
      </c>
      <c r="J97" s="215" t="s">
        <v>38</v>
      </c>
      <c r="K97" s="215" t="s">
        <v>154</v>
      </c>
      <c r="L97" s="207">
        <v>3</v>
      </c>
      <c r="N97" s="207">
        <v>1</v>
      </c>
      <c r="O97" s="207">
        <v>0.45</v>
      </c>
      <c r="P97" s="207">
        <v>0.5</v>
      </c>
      <c r="Q97" s="216">
        <f t="shared" si="5"/>
        <v>0.47499999999999998</v>
      </c>
      <c r="R97" s="207">
        <v>18.5</v>
      </c>
      <c r="S97" s="207">
        <v>114</v>
      </c>
      <c r="T97" s="216">
        <f t="shared" si="1"/>
        <v>30</v>
      </c>
      <c r="U97" s="207">
        <v>105</v>
      </c>
      <c r="V97" s="216">
        <f t="shared" si="2"/>
        <v>3150</v>
      </c>
      <c r="W97" s="207">
        <v>3</v>
      </c>
      <c r="X97" s="215" t="s">
        <v>46</v>
      </c>
      <c r="Y97" s="207" t="s">
        <v>90</v>
      </c>
      <c r="Z97" s="207" t="s">
        <v>78</v>
      </c>
      <c r="AA97" s="207" t="s">
        <v>69</v>
      </c>
      <c r="AB97" s="215" t="s">
        <v>340</v>
      </c>
    </row>
    <row r="98" spans="1:28" x14ac:dyDescent="0.15">
      <c r="A98" s="215" t="s">
        <v>34</v>
      </c>
      <c r="B98" s="207" t="s">
        <v>338</v>
      </c>
      <c r="C98" s="207">
        <v>2018</v>
      </c>
      <c r="D98" s="249" t="s">
        <v>468</v>
      </c>
      <c r="E98" s="236" t="s">
        <v>328</v>
      </c>
      <c r="F98" s="236" t="s">
        <v>329</v>
      </c>
      <c r="G98" s="215" t="s">
        <v>36</v>
      </c>
      <c r="H98" s="207" t="s">
        <v>165</v>
      </c>
      <c r="I98" s="215" t="s">
        <v>153</v>
      </c>
      <c r="J98" s="215" t="s">
        <v>38</v>
      </c>
      <c r="K98" s="215" t="s">
        <v>154</v>
      </c>
      <c r="L98" s="215">
        <v>1</v>
      </c>
      <c r="N98" s="207">
        <v>4</v>
      </c>
      <c r="O98" s="207">
        <v>0.7</v>
      </c>
      <c r="P98" s="207">
        <v>0.65</v>
      </c>
      <c r="Q98" s="216">
        <f t="shared" si="5"/>
        <v>0.67500000000000004</v>
      </c>
      <c r="R98" s="207">
        <v>14.6</v>
      </c>
      <c r="S98" s="207">
        <v>105</v>
      </c>
      <c r="T98" s="216">
        <f t="shared" si="1"/>
        <v>33</v>
      </c>
      <c r="U98" s="207">
        <v>380</v>
      </c>
      <c r="V98" s="216">
        <f t="shared" si="2"/>
        <v>3135</v>
      </c>
      <c r="W98" s="207">
        <v>3</v>
      </c>
      <c r="X98" s="215" t="s">
        <v>46</v>
      </c>
      <c r="Y98" s="207" t="s">
        <v>90</v>
      </c>
      <c r="Z98" s="207" t="s">
        <v>78</v>
      </c>
      <c r="AA98" s="207" t="s">
        <v>69</v>
      </c>
      <c r="AB98" s="215" t="s">
        <v>340</v>
      </c>
    </row>
    <row r="99" spans="1:28" x14ac:dyDescent="0.15">
      <c r="A99" s="215" t="s">
        <v>34</v>
      </c>
      <c r="B99" s="207" t="s">
        <v>338</v>
      </c>
      <c r="C99" s="207">
        <v>2018</v>
      </c>
      <c r="D99" s="249" t="s">
        <v>468</v>
      </c>
      <c r="E99" s="236" t="s">
        <v>328</v>
      </c>
      <c r="F99" s="236" t="s">
        <v>329</v>
      </c>
      <c r="G99" s="215" t="s">
        <v>36</v>
      </c>
      <c r="H99" s="207" t="s">
        <v>165</v>
      </c>
      <c r="I99" s="215" t="s">
        <v>153</v>
      </c>
      <c r="J99" s="215" t="s">
        <v>38</v>
      </c>
      <c r="K99" s="215" t="s">
        <v>154</v>
      </c>
      <c r="L99" s="207">
        <v>2</v>
      </c>
      <c r="N99" s="207">
        <v>4</v>
      </c>
      <c r="O99" s="207">
        <v>0.7</v>
      </c>
      <c r="P99" s="207">
        <v>0.65</v>
      </c>
      <c r="Q99" s="216">
        <f t="shared" si="5"/>
        <v>0.67500000000000004</v>
      </c>
      <c r="R99" s="207">
        <v>15.1</v>
      </c>
      <c r="S99" s="207">
        <v>109</v>
      </c>
      <c r="T99" s="216">
        <f t="shared" si="1"/>
        <v>33</v>
      </c>
      <c r="U99" s="207">
        <v>380</v>
      </c>
      <c r="V99" s="216">
        <f t="shared" si="2"/>
        <v>3135</v>
      </c>
      <c r="W99" s="207">
        <v>3</v>
      </c>
      <c r="X99" s="215" t="s">
        <v>46</v>
      </c>
      <c r="Y99" s="207" t="s">
        <v>90</v>
      </c>
      <c r="Z99" s="207" t="s">
        <v>78</v>
      </c>
      <c r="AA99" s="207" t="s">
        <v>69</v>
      </c>
      <c r="AB99" s="215" t="s">
        <v>340</v>
      </c>
    </row>
    <row r="100" spans="1:28" x14ac:dyDescent="0.15">
      <c r="A100" s="215" t="s">
        <v>34</v>
      </c>
      <c r="B100" s="207" t="s">
        <v>338</v>
      </c>
      <c r="C100" s="207">
        <v>2018</v>
      </c>
      <c r="D100" s="249" t="s">
        <v>468</v>
      </c>
      <c r="E100" s="236" t="s">
        <v>328</v>
      </c>
      <c r="F100" s="236" t="s">
        <v>329</v>
      </c>
      <c r="G100" s="215" t="s">
        <v>36</v>
      </c>
      <c r="H100" s="207" t="s">
        <v>165</v>
      </c>
      <c r="I100" s="215" t="s">
        <v>153</v>
      </c>
      <c r="J100" s="215" t="s">
        <v>38</v>
      </c>
      <c r="K100" s="215" t="s">
        <v>154</v>
      </c>
      <c r="L100" s="207">
        <v>3</v>
      </c>
      <c r="N100" s="207">
        <v>4</v>
      </c>
      <c r="O100" s="207">
        <v>0.6</v>
      </c>
      <c r="P100" s="207">
        <v>0.65</v>
      </c>
      <c r="Q100" s="216">
        <f t="shared" si="5"/>
        <v>0.625</v>
      </c>
      <c r="R100" s="207">
        <v>14.1</v>
      </c>
      <c r="S100" s="207">
        <v>105</v>
      </c>
      <c r="T100" s="216">
        <f t="shared" si="1"/>
        <v>33</v>
      </c>
      <c r="U100" s="207">
        <v>380</v>
      </c>
      <c r="V100" s="216">
        <f t="shared" si="2"/>
        <v>3135</v>
      </c>
      <c r="W100" s="207">
        <v>3</v>
      </c>
      <c r="X100" s="215" t="s">
        <v>46</v>
      </c>
      <c r="Y100" s="207" t="s">
        <v>90</v>
      </c>
      <c r="Z100" s="207" t="s">
        <v>78</v>
      </c>
      <c r="AA100" s="207" t="s">
        <v>69</v>
      </c>
      <c r="AB100" s="215" t="s">
        <v>340</v>
      </c>
    </row>
    <row r="101" spans="1:28" x14ac:dyDescent="0.15">
      <c r="K101" s="215"/>
    </row>
    <row r="102" spans="1:28" x14ac:dyDescent="0.15">
      <c r="K102" s="215"/>
    </row>
    <row r="103" spans="1:28" x14ac:dyDescent="0.15">
      <c r="K103" s="215"/>
    </row>
    <row r="104" spans="1:28" x14ac:dyDescent="0.15">
      <c r="K104" s="215"/>
    </row>
    <row r="105" spans="1:28" x14ac:dyDescent="0.15">
      <c r="K105" s="215"/>
    </row>
    <row r="106" spans="1:28" x14ac:dyDescent="0.15">
      <c r="K106" s="215"/>
    </row>
    <row r="107" spans="1:28" x14ac:dyDescent="0.15">
      <c r="K107" s="215"/>
    </row>
    <row r="108" spans="1:28" x14ac:dyDescent="0.15">
      <c r="K108" s="215"/>
    </row>
    <row r="109" spans="1:28" x14ac:dyDescent="0.15">
      <c r="K109" s="215"/>
    </row>
    <row r="110" spans="1:28" x14ac:dyDescent="0.15">
      <c r="K110" s="215"/>
    </row>
    <row r="111" spans="1:28" x14ac:dyDescent="0.15">
      <c r="K111" s="215"/>
    </row>
    <row r="112" spans="1:28" x14ac:dyDescent="0.15">
      <c r="K112" s="215"/>
    </row>
    <row r="113" spans="11:11" x14ac:dyDescent="0.15">
      <c r="K113" s="215"/>
    </row>
    <row r="114" spans="11:11" x14ac:dyDescent="0.15">
      <c r="K114" s="215"/>
    </row>
    <row r="115" spans="11:11" x14ac:dyDescent="0.15">
      <c r="K115" s="215"/>
    </row>
    <row r="116" spans="11:11" x14ac:dyDescent="0.15">
      <c r="K116" s="215"/>
    </row>
    <row r="117" spans="11:11" x14ac:dyDescent="0.15">
      <c r="K117" s="215"/>
    </row>
    <row r="118" spans="11:11" x14ac:dyDescent="0.15">
      <c r="K118" s="215"/>
    </row>
    <row r="119" spans="11:11" x14ac:dyDescent="0.15">
      <c r="K119" s="215"/>
    </row>
    <row r="120" spans="11:11" x14ac:dyDescent="0.15">
      <c r="K120" s="215"/>
    </row>
    <row r="121" spans="11:11" x14ac:dyDescent="0.15">
      <c r="K121" s="215"/>
    </row>
    <row r="122" spans="11:11" x14ac:dyDescent="0.15">
      <c r="K122" s="215"/>
    </row>
    <row r="123" spans="11:11" x14ac:dyDescent="0.15">
      <c r="K123" s="215"/>
    </row>
    <row r="124" spans="11:11" x14ac:dyDescent="0.15">
      <c r="K124" s="215"/>
    </row>
    <row r="125" spans="11:11" x14ac:dyDescent="0.15">
      <c r="K125" s="215"/>
    </row>
    <row r="126" spans="11:11" x14ac:dyDescent="0.15">
      <c r="K126" s="215"/>
    </row>
    <row r="127" spans="11:11" x14ac:dyDescent="0.15">
      <c r="K127" s="215"/>
    </row>
    <row r="128" spans="11:11" x14ac:dyDescent="0.15">
      <c r="K128" s="215"/>
    </row>
    <row r="129" spans="11:11" x14ac:dyDescent="0.15">
      <c r="K129" s="215"/>
    </row>
    <row r="130" spans="11:11" x14ac:dyDescent="0.15">
      <c r="K130" s="215"/>
    </row>
    <row r="131" spans="11:11" x14ac:dyDescent="0.15">
      <c r="K131" s="215"/>
    </row>
    <row r="132" spans="11:11" x14ac:dyDescent="0.15">
      <c r="K132" s="215"/>
    </row>
    <row r="133" spans="11:11" x14ac:dyDescent="0.15">
      <c r="K133" s="215"/>
    </row>
    <row r="134" spans="11:11" x14ac:dyDescent="0.15">
      <c r="K134" s="215"/>
    </row>
    <row r="135" spans="11:11" x14ac:dyDescent="0.15">
      <c r="K135" s="215"/>
    </row>
    <row r="136" spans="11:11" x14ac:dyDescent="0.15">
      <c r="K136" s="215"/>
    </row>
    <row r="137" spans="11:11" x14ac:dyDescent="0.15">
      <c r="K137" s="215"/>
    </row>
    <row r="138" spans="11:11" x14ac:dyDescent="0.15">
      <c r="K138" s="215"/>
    </row>
    <row r="139" spans="11:11" x14ac:dyDescent="0.15">
      <c r="K139" s="215"/>
    </row>
    <row r="140" spans="11:11" x14ac:dyDescent="0.15">
      <c r="K140" s="215"/>
    </row>
    <row r="141" spans="11:11" x14ac:dyDescent="0.15">
      <c r="K141" s="215"/>
    </row>
    <row r="142" spans="11:11" x14ac:dyDescent="0.15">
      <c r="K142" s="215"/>
    </row>
    <row r="143" spans="11:11" x14ac:dyDescent="0.15">
      <c r="K143" s="215"/>
    </row>
    <row r="144" spans="11:11" x14ac:dyDescent="0.15">
      <c r="K144" s="215"/>
    </row>
    <row r="145" spans="11:11" x14ac:dyDescent="0.15">
      <c r="K145" s="215"/>
    </row>
    <row r="146" spans="11:11" x14ac:dyDescent="0.15">
      <c r="K146" s="215"/>
    </row>
    <row r="147" spans="11:11" x14ac:dyDescent="0.15">
      <c r="K147" s="215"/>
    </row>
    <row r="148" spans="11:11" x14ac:dyDescent="0.15">
      <c r="K148" s="215"/>
    </row>
    <row r="149" spans="11:11" x14ac:dyDescent="0.15">
      <c r="K149" s="215"/>
    </row>
    <row r="150" spans="11:11" x14ac:dyDescent="0.15">
      <c r="K150" s="215"/>
    </row>
    <row r="151" spans="11:11" x14ac:dyDescent="0.15">
      <c r="K151" s="215"/>
    </row>
    <row r="152" spans="11:11" x14ac:dyDescent="0.15">
      <c r="K152" s="215"/>
    </row>
    <row r="153" spans="11:11" x14ac:dyDescent="0.15">
      <c r="K153" s="215"/>
    </row>
    <row r="154" spans="11:11" x14ac:dyDescent="0.15">
      <c r="K154" s="215"/>
    </row>
    <row r="155" spans="11:11" x14ac:dyDescent="0.15">
      <c r="K155" s="215"/>
    </row>
    <row r="156" spans="11:11" x14ac:dyDescent="0.15">
      <c r="K156" s="215"/>
    </row>
    <row r="157" spans="11:11" x14ac:dyDescent="0.15">
      <c r="K157" s="215"/>
    </row>
    <row r="158" spans="11:11" x14ac:dyDescent="0.15">
      <c r="K158" s="215"/>
    </row>
    <row r="159" spans="11:11" x14ac:dyDescent="0.15">
      <c r="K159" s="215"/>
    </row>
    <row r="160" spans="11:11" x14ac:dyDescent="0.15">
      <c r="K160" s="215"/>
    </row>
    <row r="161" spans="11:11" x14ac:dyDescent="0.15">
      <c r="K161" s="215"/>
    </row>
    <row r="162" spans="11:11" x14ac:dyDescent="0.15">
      <c r="K162" s="215"/>
    </row>
    <row r="163" spans="11:11" x14ac:dyDescent="0.15">
      <c r="K163" s="215"/>
    </row>
    <row r="164" spans="11:11" x14ac:dyDescent="0.15">
      <c r="K164" s="215"/>
    </row>
    <row r="165" spans="11:11" x14ac:dyDescent="0.15">
      <c r="K165" s="215"/>
    </row>
    <row r="166" spans="11:11" x14ac:dyDescent="0.15">
      <c r="K166" s="215"/>
    </row>
    <row r="167" spans="11:11" x14ac:dyDescent="0.15">
      <c r="K167" s="215"/>
    </row>
    <row r="168" spans="11:11" x14ac:dyDescent="0.15">
      <c r="K168" s="215"/>
    </row>
    <row r="169" spans="11:11" x14ac:dyDescent="0.15">
      <c r="K169" s="215"/>
    </row>
    <row r="170" spans="11:11" x14ac:dyDescent="0.15">
      <c r="K170" s="215"/>
    </row>
    <row r="171" spans="11:11" x14ac:dyDescent="0.15">
      <c r="K171" s="215"/>
    </row>
    <row r="172" spans="11:11" x14ac:dyDescent="0.15">
      <c r="K172" s="215"/>
    </row>
    <row r="173" spans="11:11" x14ac:dyDescent="0.15">
      <c r="K173" s="215"/>
    </row>
    <row r="174" spans="11:11" x14ac:dyDescent="0.15">
      <c r="K174" s="215"/>
    </row>
    <row r="175" spans="11:11" x14ac:dyDescent="0.15">
      <c r="K175" s="215"/>
    </row>
    <row r="176" spans="11:11" x14ac:dyDescent="0.15">
      <c r="K176" s="215"/>
    </row>
    <row r="177" spans="11:11" x14ac:dyDescent="0.15">
      <c r="K177" s="215"/>
    </row>
    <row r="178" spans="11:11" x14ac:dyDescent="0.15">
      <c r="K178" s="215"/>
    </row>
    <row r="179" spans="11:11" x14ac:dyDescent="0.15">
      <c r="K179" s="215"/>
    </row>
    <row r="180" spans="11:11" x14ac:dyDescent="0.15">
      <c r="K180" s="215"/>
    </row>
    <row r="181" spans="11:11" x14ac:dyDescent="0.15">
      <c r="K181" s="215"/>
    </row>
    <row r="182" spans="11:11" x14ac:dyDescent="0.15">
      <c r="K182" s="215"/>
    </row>
    <row r="183" spans="11:11" x14ac:dyDescent="0.15">
      <c r="K183" s="215"/>
    </row>
    <row r="184" spans="11:11" x14ac:dyDescent="0.15">
      <c r="K184" s="215"/>
    </row>
    <row r="185" spans="11:11" x14ac:dyDescent="0.15">
      <c r="K185" s="215"/>
    </row>
    <row r="186" spans="11:11" x14ac:dyDescent="0.15">
      <c r="K186" s="215"/>
    </row>
    <row r="187" spans="11:11" x14ac:dyDescent="0.15">
      <c r="K187" s="215"/>
    </row>
    <row r="188" spans="11:11" x14ac:dyDescent="0.15">
      <c r="K188" s="215"/>
    </row>
    <row r="189" spans="11:11" x14ac:dyDescent="0.15">
      <c r="K189" s="215"/>
    </row>
    <row r="190" spans="11:11" x14ac:dyDescent="0.15">
      <c r="K190" s="215"/>
    </row>
    <row r="191" spans="11:11" x14ac:dyDescent="0.15">
      <c r="K191" s="215"/>
    </row>
    <row r="192" spans="11:11" x14ac:dyDescent="0.15">
      <c r="K192" s="215"/>
    </row>
    <row r="193" spans="11:11" x14ac:dyDescent="0.15">
      <c r="K193" s="215"/>
    </row>
    <row r="194" spans="11:11" x14ac:dyDescent="0.15">
      <c r="K194" s="215"/>
    </row>
    <row r="195" spans="11:11" x14ac:dyDescent="0.15">
      <c r="K195" s="215"/>
    </row>
    <row r="196" spans="11:11" x14ac:dyDescent="0.15">
      <c r="K196" s="215"/>
    </row>
    <row r="197" spans="11:11" x14ac:dyDescent="0.15">
      <c r="K197" s="215"/>
    </row>
    <row r="198" spans="11:11" x14ac:dyDescent="0.15">
      <c r="K198" s="215"/>
    </row>
    <row r="199" spans="11:11" x14ac:dyDescent="0.15">
      <c r="K199" s="215"/>
    </row>
    <row r="200" spans="11:11" x14ac:dyDescent="0.15">
      <c r="K200" s="215"/>
    </row>
    <row r="201" spans="11:11" x14ac:dyDescent="0.15">
      <c r="K201" s="215"/>
    </row>
    <row r="202" spans="11:11" x14ac:dyDescent="0.15">
      <c r="K202" s="215"/>
    </row>
    <row r="203" spans="11:11" x14ac:dyDescent="0.15">
      <c r="K203" s="215"/>
    </row>
    <row r="204" spans="11:11" x14ac:dyDescent="0.15">
      <c r="K204" s="215"/>
    </row>
    <row r="205" spans="11:11" x14ac:dyDescent="0.15">
      <c r="K205" s="215"/>
    </row>
    <row r="206" spans="11:11" x14ac:dyDescent="0.15">
      <c r="K206" s="215"/>
    </row>
    <row r="207" spans="11:11" x14ac:dyDescent="0.15">
      <c r="K207" s="215"/>
    </row>
    <row r="208" spans="11:11" x14ac:dyDescent="0.15">
      <c r="K208" s="215"/>
    </row>
    <row r="209" spans="11:11" x14ac:dyDescent="0.15">
      <c r="K209" s="215"/>
    </row>
    <row r="210" spans="11:11" x14ac:dyDescent="0.15">
      <c r="K210" s="215"/>
    </row>
    <row r="211" spans="11:11" x14ac:dyDescent="0.15">
      <c r="K211" s="215"/>
    </row>
    <row r="212" spans="11:11" x14ac:dyDescent="0.15">
      <c r="K212" s="215"/>
    </row>
    <row r="213" spans="11:11" x14ac:dyDescent="0.15">
      <c r="K213" s="215"/>
    </row>
    <row r="214" spans="11:11" x14ac:dyDescent="0.15">
      <c r="K214" s="215"/>
    </row>
    <row r="215" spans="11:11" x14ac:dyDescent="0.15">
      <c r="K215" s="215"/>
    </row>
    <row r="216" spans="11:11" x14ac:dyDescent="0.15">
      <c r="K216" s="215"/>
    </row>
    <row r="217" spans="11:11" x14ac:dyDescent="0.15">
      <c r="K217" s="215"/>
    </row>
    <row r="218" spans="11:11" x14ac:dyDescent="0.15">
      <c r="K218" s="215"/>
    </row>
    <row r="219" spans="11:11" x14ac:dyDescent="0.15">
      <c r="K219" s="215"/>
    </row>
    <row r="220" spans="11:11" x14ac:dyDescent="0.15">
      <c r="K220" s="215"/>
    </row>
    <row r="221" spans="11:11" x14ac:dyDescent="0.15">
      <c r="K221" s="215"/>
    </row>
    <row r="222" spans="11:11" x14ac:dyDescent="0.15">
      <c r="K222" s="215"/>
    </row>
    <row r="223" spans="11:11" x14ac:dyDescent="0.15">
      <c r="K223" s="215"/>
    </row>
    <row r="224" spans="11:11" x14ac:dyDescent="0.15">
      <c r="K224" s="215"/>
    </row>
    <row r="225" spans="11:11" x14ac:dyDescent="0.15">
      <c r="K225" s="215"/>
    </row>
    <row r="226" spans="11:11" x14ac:dyDescent="0.15">
      <c r="K226" s="215"/>
    </row>
    <row r="227" spans="11:11" x14ac:dyDescent="0.15">
      <c r="K227" s="215"/>
    </row>
    <row r="228" spans="11:11" x14ac:dyDescent="0.15">
      <c r="K228" s="215"/>
    </row>
    <row r="229" spans="11:11" x14ac:dyDescent="0.15">
      <c r="K229" s="215"/>
    </row>
    <row r="230" spans="11:11" x14ac:dyDescent="0.15">
      <c r="K230" s="215"/>
    </row>
    <row r="231" spans="11:11" x14ac:dyDescent="0.15">
      <c r="K231" s="215"/>
    </row>
    <row r="232" spans="11:11" x14ac:dyDescent="0.15">
      <c r="K232" s="215"/>
    </row>
    <row r="233" spans="11:11" x14ac:dyDescent="0.15">
      <c r="K233" s="215"/>
    </row>
    <row r="234" spans="11:11" x14ac:dyDescent="0.15">
      <c r="K234" s="215"/>
    </row>
    <row r="235" spans="11:11" x14ac:dyDescent="0.15">
      <c r="K235" s="215"/>
    </row>
    <row r="236" spans="11:11" x14ac:dyDescent="0.15">
      <c r="K236" s="215"/>
    </row>
    <row r="237" spans="11:11" x14ac:dyDescent="0.15">
      <c r="K237" s="215"/>
    </row>
    <row r="238" spans="11:11" x14ac:dyDescent="0.15">
      <c r="K238" s="215"/>
    </row>
    <row r="239" spans="11:11" x14ac:dyDescent="0.15">
      <c r="K239" s="215"/>
    </row>
    <row r="240" spans="11:11" x14ac:dyDescent="0.15">
      <c r="K240" s="215"/>
    </row>
    <row r="241" spans="11:11" x14ac:dyDescent="0.15">
      <c r="K241" s="215"/>
    </row>
    <row r="242" spans="11:11" x14ac:dyDescent="0.15">
      <c r="K242" s="215"/>
    </row>
    <row r="243" spans="11:11" x14ac:dyDescent="0.15">
      <c r="K243" s="215"/>
    </row>
    <row r="244" spans="11:11" x14ac:dyDescent="0.15">
      <c r="K244" s="215"/>
    </row>
    <row r="245" spans="11:11" x14ac:dyDescent="0.15">
      <c r="K245" s="215"/>
    </row>
    <row r="246" spans="11:11" x14ac:dyDescent="0.15">
      <c r="K246" s="215"/>
    </row>
    <row r="247" spans="11:11" x14ac:dyDescent="0.15">
      <c r="K247" s="215"/>
    </row>
    <row r="248" spans="11:11" x14ac:dyDescent="0.15">
      <c r="K248" s="215"/>
    </row>
    <row r="249" spans="11:11" x14ac:dyDescent="0.15">
      <c r="K249" s="215"/>
    </row>
    <row r="250" spans="11:11" x14ac:dyDescent="0.15">
      <c r="K250" s="215"/>
    </row>
    <row r="251" spans="11:11" x14ac:dyDescent="0.15">
      <c r="K251" s="215"/>
    </row>
    <row r="252" spans="11:11" x14ac:dyDescent="0.15">
      <c r="K252" s="215"/>
    </row>
    <row r="253" spans="11:11" x14ac:dyDescent="0.15">
      <c r="K253" s="215"/>
    </row>
    <row r="254" spans="11:11" x14ac:dyDescent="0.15">
      <c r="K254" s="215"/>
    </row>
    <row r="255" spans="11:11" x14ac:dyDescent="0.15">
      <c r="K255" s="215"/>
    </row>
    <row r="256" spans="11:11" x14ac:dyDescent="0.15">
      <c r="K256" s="215"/>
    </row>
    <row r="257" spans="11:11" x14ac:dyDescent="0.15">
      <c r="K257" s="215"/>
    </row>
    <row r="258" spans="11:11" x14ac:dyDescent="0.15">
      <c r="K258" s="215"/>
    </row>
    <row r="259" spans="11:11" x14ac:dyDescent="0.15">
      <c r="K259" s="215"/>
    </row>
    <row r="260" spans="11:11" x14ac:dyDescent="0.15">
      <c r="K260" s="215"/>
    </row>
    <row r="261" spans="11:11" x14ac:dyDescent="0.15">
      <c r="K261" s="215"/>
    </row>
    <row r="262" spans="11:11" x14ac:dyDescent="0.15">
      <c r="K262" s="215"/>
    </row>
    <row r="263" spans="11:11" x14ac:dyDescent="0.15">
      <c r="K263" s="215"/>
    </row>
    <row r="264" spans="11:11" x14ac:dyDescent="0.15">
      <c r="K264" s="215"/>
    </row>
    <row r="265" spans="11:11" x14ac:dyDescent="0.15">
      <c r="K265" s="215"/>
    </row>
    <row r="266" spans="11:11" x14ac:dyDescent="0.15">
      <c r="K266" s="215"/>
    </row>
    <row r="267" spans="11:11" x14ac:dyDescent="0.15">
      <c r="K267" s="215"/>
    </row>
    <row r="268" spans="11:11" x14ac:dyDescent="0.15">
      <c r="K268" s="215"/>
    </row>
    <row r="269" spans="11:11" x14ac:dyDescent="0.15">
      <c r="K269" s="215"/>
    </row>
    <row r="270" spans="11:11" x14ac:dyDescent="0.15">
      <c r="K270" s="215"/>
    </row>
    <row r="271" spans="11:11" x14ac:dyDescent="0.15">
      <c r="K271" s="215"/>
    </row>
    <row r="272" spans="11:11" x14ac:dyDescent="0.15">
      <c r="K272" s="215"/>
    </row>
    <row r="273" spans="11:11" x14ac:dyDescent="0.15">
      <c r="K273" s="215"/>
    </row>
    <row r="274" spans="11:11" x14ac:dyDescent="0.15">
      <c r="K274" s="215"/>
    </row>
    <row r="275" spans="11:11" x14ac:dyDescent="0.15">
      <c r="K275" s="215"/>
    </row>
    <row r="276" spans="11:11" x14ac:dyDescent="0.15">
      <c r="K276" s="215"/>
    </row>
    <row r="277" spans="11:11" x14ac:dyDescent="0.15">
      <c r="K277" s="215"/>
    </row>
    <row r="278" spans="11:11" x14ac:dyDescent="0.15">
      <c r="K278" s="215"/>
    </row>
    <row r="279" spans="11:11" x14ac:dyDescent="0.15">
      <c r="K279" s="215"/>
    </row>
    <row r="280" spans="11:11" x14ac:dyDescent="0.15">
      <c r="K280" s="215"/>
    </row>
    <row r="281" spans="11:11" x14ac:dyDescent="0.15">
      <c r="K281" s="215"/>
    </row>
    <row r="282" spans="11:11" x14ac:dyDescent="0.15">
      <c r="K282" s="215"/>
    </row>
    <row r="283" spans="11:11" x14ac:dyDescent="0.15">
      <c r="K283" s="215"/>
    </row>
    <row r="284" spans="11:11" x14ac:dyDescent="0.15">
      <c r="K284" s="215"/>
    </row>
    <row r="285" spans="11:11" x14ac:dyDescent="0.15">
      <c r="K285" s="215"/>
    </row>
    <row r="286" spans="11:11" x14ac:dyDescent="0.15">
      <c r="K286" s="215"/>
    </row>
    <row r="287" spans="11:11" x14ac:dyDescent="0.15">
      <c r="K287" s="215"/>
    </row>
    <row r="288" spans="11:11" x14ac:dyDescent="0.15">
      <c r="K288" s="215"/>
    </row>
    <row r="289" spans="11:11" x14ac:dyDescent="0.15">
      <c r="K289" s="215"/>
    </row>
    <row r="290" spans="11:11" x14ac:dyDescent="0.15">
      <c r="K290" s="215"/>
    </row>
    <row r="291" spans="11:11" x14ac:dyDescent="0.15">
      <c r="K291" s="215"/>
    </row>
    <row r="292" spans="11:11" x14ac:dyDescent="0.15">
      <c r="K292" s="215"/>
    </row>
    <row r="293" spans="11:11" x14ac:dyDescent="0.15">
      <c r="K293" s="215"/>
    </row>
    <row r="294" spans="11:11" x14ac:dyDescent="0.15">
      <c r="K294" s="215"/>
    </row>
    <row r="295" spans="11:11" x14ac:dyDescent="0.15">
      <c r="K295" s="215"/>
    </row>
    <row r="296" spans="11:11" x14ac:dyDescent="0.15">
      <c r="K296" s="215"/>
    </row>
    <row r="297" spans="11:11" x14ac:dyDescent="0.15">
      <c r="K297" s="215"/>
    </row>
    <row r="298" spans="11:11" x14ac:dyDescent="0.15">
      <c r="K298" s="215"/>
    </row>
    <row r="299" spans="11:11" x14ac:dyDescent="0.15">
      <c r="K299" s="215"/>
    </row>
    <row r="300" spans="11:11" x14ac:dyDescent="0.15">
      <c r="K300" s="215"/>
    </row>
    <row r="301" spans="11:11" x14ac:dyDescent="0.15">
      <c r="K301" s="215"/>
    </row>
    <row r="302" spans="11:11" x14ac:dyDescent="0.15">
      <c r="K302" s="215"/>
    </row>
    <row r="303" spans="11:11" x14ac:dyDescent="0.15">
      <c r="K303" s="215"/>
    </row>
    <row r="304" spans="11:11" x14ac:dyDescent="0.15">
      <c r="K304" s="215"/>
    </row>
    <row r="305" spans="11:11" x14ac:dyDescent="0.15">
      <c r="K305" s="215"/>
    </row>
    <row r="306" spans="11:11" x14ac:dyDescent="0.15">
      <c r="K306" s="215"/>
    </row>
    <row r="307" spans="11:11" x14ac:dyDescent="0.15">
      <c r="K307" s="215"/>
    </row>
    <row r="308" spans="11:11" x14ac:dyDescent="0.15">
      <c r="K308" s="215"/>
    </row>
    <row r="309" spans="11:11" x14ac:dyDescent="0.15">
      <c r="K309" s="215"/>
    </row>
    <row r="310" spans="11:11" x14ac:dyDescent="0.15">
      <c r="K310" s="215"/>
    </row>
    <row r="311" spans="11:11" x14ac:dyDescent="0.15">
      <c r="K311" s="215"/>
    </row>
    <row r="312" spans="11:11" x14ac:dyDescent="0.15">
      <c r="K312" s="215"/>
    </row>
    <row r="313" spans="11:11" x14ac:dyDescent="0.15">
      <c r="K313" s="215"/>
    </row>
    <row r="314" spans="11:11" x14ac:dyDescent="0.15">
      <c r="K314" s="215"/>
    </row>
    <row r="315" spans="11:11" x14ac:dyDescent="0.15">
      <c r="K315" s="215"/>
    </row>
    <row r="316" spans="11:11" x14ac:dyDescent="0.15">
      <c r="K316" s="215"/>
    </row>
    <row r="317" spans="11:11" x14ac:dyDescent="0.15">
      <c r="K317" s="215"/>
    </row>
    <row r="318" spans="11:11" x14ac:dyDescent="0.15">
      <c r="K318" s="215"/>
    </row>
    <row r="319" spans="11:11" x14ac:dyDescent="0.15">
      <c r="K319" s="215"/>
    </row>
    <row r="320" spans="11:11" x14ac:dyDescent="0.15">
      <c r="K320" s="215"/>
    </row>
    <row r="321" spans="11:11" x14ac:dyDescent="0.15">
      <c r="K321" s="215"/>
    </row>
    <row r="322" spans="11:11" x14ac:dyDescent="0.15">
      <c r="K322" s="215"/>
    </row>
    <row r="323" spans="11:11" x14ac:dyDescent="0.15">
      <c r="K323" s="215"/>
    </row>
    <row r="324" spans="11:11" x14ac:dyDescent="0.15">
      <c r="K324" s="215"/>
    </row>
    <row r="325" spans="11:11" x14ac:dyDescent="0.15">
      <c r="K325" s="215"/>
    </row>
    <row r="326" spans="11:11" x14ac:dyDescent="0.15">
      <c r="K326" s="215"/>
    </row>
    <row r="327" spans="11:11" x14ac:dyDescent="0.15">
      <c r="K327" s="215"/>
    </row>
    <row r="328" spans="11:11" x14ac:dyDescent="0.15">
      <c r="K328" s="215"/>
    </row>
    <row r="329" spans="11:11" x14ac:dyDescent="0.15">
      <c r="K329" s="215"/>
    </row>
    <row r="330" spans="11:11" x14ac:dyDescent="0.15">
      <c r="K330" s="215"/>
    </row>
    <row r="331" spans="11:11" x14ac:dyDescent="0.15">
      <c r="K331" s="215"/>
    </row>
    <row r="332" spans="11:11" x14ac:dyDescent="0.15">
      <c r="K332" s="215"/>
    </row>
    <row r="333" spans="11:11" x14ac:dyDescent="0.15">
      <c r="K333" s="215"/>
    </row>
    <row r="334" spans="11:11" x14ac:dyDescent="0.15">
      <c r="K334" s="215"/>
    </row>
    <row r="335" spans="11:11" x14ac:dyDescent="0.15">
      <c r="K335" s="215"/>
    </row>
    <row r="336" spans="11:11" x14ac:dyDescent="0.15">
      <c r="K336" s="215"/>
    </row>
    <row r="337" spans="11:11" x14ac:dyDescent="0.15">
      <c r="K337" s="215"/>
    </row>
    <row r="338" spans="11:11" x14ac:dyDescent="0.15">
      <c r="K338" s="215"/>
    </row>
    <row r="339" spans="11:11" x14ac:dyDescent="0.15">
      <c r="K339" s="215"/>
    </row>
    <row r="340" spans="11:11" x14ac:dyDescent="0.15">
      <c r="K340" s="215"/>
    </row>
    <row r="341" spans="11:11" x14ac:dyDescent="0.15">
      <c r="K341" s="215"/>
    </row>
    <row r="342" spans="11:11" x14ac:dyDescent="0.15">
      <c r="K342" s="215"/>
    </row>
    <row r="343" spans="11:11" x14ac:dyDescent="0.15">
      <c r="K343" s="215"/>
    </row>
    <row r="344" spans="11:11" x14ac:dyDescent="0.15">
      <c r="K344" s="215"/>
    </row>
    <row r="345" spans="11:11" x14ac:dyDescent="0.15">
      <c r="K345" s="215"/>
    </row>
    <row r="346" spans="11:11" x14ac:dyDescent="0.15">
      <c r="K346" s="215"/>
    </row>
    <row r="347" spans="11:11" x14ac:dyDescent="0.15">
      <c r="K347" s="215"/>
    </row>
    <row r="348" spans="11:11" x14ac:dyDescent="0.15">
      <c r="K348" s="215"/>
    </row>
    <row r="349" spans="11:11" x14ac:dyDescent="0.15">
      <c r="K349" s="215"/>
    </row>
    <row r="350" spans="11:11" x14ac:dyDescent="0.15">
      <c r="K350" s="215"/>
    </row>
    <row r="351" spans="11:11" x14ac:dyDescent="0.15">
      <c r="K351" s="215"/>
    </row>
    <row r="352" spans="11:11" x14ac:dyDescent="0.15">
      <c r="K352" s="215"/>
    </row>
    <row r="353" spans="11:11" x14ac:dyDescent="0.15">
      <c r="K353" s="215"/>
    </row>
    <row r="354" spans="11:11" x14ac:dyDescent="0.15">
      <c r="K354" s="215"/>
    </row>
    <row r="355" spans="11:11" x14ac:dyDescent="0.15">
      <c r="K355" s="215"/>
    </row>
    <row r="356" spans="11:11" x14ac:dyDescent="0.15">
      <c r="K356" s="215"/>
    </row>
    <row r="357" spans="11:11" x14ac:dyDescent="0.15">
      <c r="K357" s="215"/>
    </row>
    <row r="358" spans="11:11" x14ac:dyDescent="0.15">
      <c r="K358" s="215"/>
    </row>
    <row r="359" spans="11:11" x14ac:dyDescent="0.15">
      <c r="K359" s="215"/>
    </row>
    <row r="360" spans="11:11" x14ac:dyDescent="0.15">
      <c r="K360" s="215"/>
    </row>
    <row r="361" spans="11:11" x14ac:dyDescent="0.15">
      <c r="K361" s="215"/>
    </row>
    <row r="362" spans="11:11" x14ac:dyDescent="0.15">
      <c r="K362" s="215"/>
    </row>
    <row r="363" spans="11:11" x14ac:dyDescent="0.15">
      <c r="K363" s="215"/>
    </row>
    <row r="364" spans="11:11" x14ac:dyDescent="0.15">
      <c r="K364" s="215"/>
    </row>
    <row r="365" spans="11:11" x14ac:dyDescent="0.15">
      <c r="K365" s="215"/>
    </row>
    <row r="366" spans="11:11" x14ac:dyDescent="0.15">
      <c r="K366" s="215"/>
    </row>
    <row r="367" spans="11:11" x14ac:dyDescent="0.15">
      <c r="K367" s="215"/>
    </row>
    <row r="368" spans="11:11" x14ac:dyDescent="0.15">
      <c r="K368" s="215"/>
    </row>
    <row r="369" spans="11:11" x14ac:dyDescent="0.15">
      <c r="K369" s="215"/>
    </row>
    <row r="370" spans="11:11" x14ac:dyDescent="0.15">
      <c r="K370" s="215"/>
    </row>
    <row r="371" spans="11:11" x14ac:dyDescent="0.15">
      <c r="K371" s="215"/>
    </row>
    <row r="372" spans="11:11" x14ac:dyDescent="0.15">
      <c r="K372" s="215"/>
    </row>
    <row r="373" spans="11:11" x14ac:dyDescent="0.15">
      <c r="K373" s="215"/>
    </row>
    <row r="374" spans="11:11" x14ac:dyDescent="0.15">
      <c r="K374" s="215"/>
    </row>
    <row r="375" spans="11:11" x14ac:dyDescent="0.15">
      <c r="K375" s="215"/>
    </row>
    <row r="376" spans="11:11" x14ac:dyDescent="0.15">
      <c r="K376" s="215"/>
    </row>
    <row r="377" spans="11:11" x14ac:dyDescent="0.15">
      <c r="K377" s="215"/>
    </row>
    <row r="378" spans="11:11" x14ac:dyDescent="0.15">
      <c r="K378" s="215"/>
    </row>
    <row r="379" spans="11:11" x14ac:dyDescent="0.15">
      <c r="K379" s="215"/>
    </row>
    <row r="380" spans="11:11" x14ac:dyDescent="0.15">
      <c r="K380" s="215"/>
    </row>
    <row r="381" spans="11:11" x14ac:dyDescent="0.15">
      <c r="K381" s="215"/>
    </row>
    <row r="382" spans="11:11" x14ac:dyDescent="0.15">
      <c r="K382" s="215"/>
    </row>
    <row r="383" spans="11:11" x14ac:dyDescent="0.15">
      <c r="K383" s="215"/>
    </row>
    <row r="384" spans="11:11" x14ac:dyDescent="0.15">
      <c r="K384" s="215"/>
    </row>
    <row r="385" spans="11:11" x14ac:dyDescent="0.15">
      <c r="K385" s="215"/>
    </row>
    <row r="386" spans="11:11" x14ac:dyDescent="0.15">
      <c r="K386" s="215"/>
    </row>
    <row r="387" spans="11:11" x14ac:dyDescent="0.15">
      <c r="K387" s="215"/>
    </row>
    <row r="388" spans="11:11" x14ac:dyDescent="0.15">
      <c r="K388" s="215"/>
    </row>
    <row r="389" spans="11:11" x14ac:dyDescent="0.15">
      <c r="K389" s="215"/>
    </row>
    <row r="390" spans="11:11" x14ac:dyDescent="0.15">
      <c r="K390" s="215"/>
    </row>
    <row r="391" spans="11:11" x14ac:dyDescent="0.15">
      <c r="K391" s="215"/>
    </row>
    <row r="392" spans="11:11" x14ac:dyDescent="0.15">
      <c r="K392" s="215"/>
    </row>
    <row r="393" spans="11:11" x14ac:dyDescent="0.15">
      <c r="K393" s="215"/>
    </row>
    <row r="394" spans="11:11" x14ac:dyDescent="0.15">
      <c r="K394" s="215"/>
    </row>
    <row r="395" spans="11:11" x14ac:dyDescent="0.15">
      <c r="K395" s="215"/>
    </row>
    <row r="396" spans="11:11" x14ac:dyDescent="0.15">
      <c r="K396" s="215"/>
    </row>
    <row r="397" spans="11:11" x14ac:dyDescent="0.15">
      <c r="K397" s="215"/>
    </row>
    <row r="398" spans="11:11" x14ac:dyDescent="0.15">
      <c r="K398" s="215"/>
    </row>
    <row r="399" spans="11:11" x14ac:dyDescent="0.15">
      <c r="K399" s="215"/>
    </row>
    <row r="400" spans="11:11" x14ac:dyDescent="0.15">
      <c r="K400" s="215"/>
    </row>
    <row r="401" spans="11:11" x14ac:dyDescent="0.15">
      <c r="K401" s="215"/>
    </row>
    <row r="402" spans="11:11" x14ac:dyDescent="0.15">
      <c r="K402" s="215"/>
    </row>
    <row r="403" spans="11:11" x14ac:dyDescent="0.15">
      <c r="K403" s="215"/>
    </row>
    <row r="404" spans="11:11" x14ac:dyDescent="0.15">
      <c r="K404" s="215"/>
    </row>
    <row r="405" spans="11:11" x14ac:dyDescent="0.15">
      <c r="K405" s="215"/>
    </row>
    <row r="406" spans="11:11" x14ac:dyDescent="0.15">
      <c r="K406" s="215"/>
    </row>
    <row r="407" spans="11:11" x14ac:dyDescent="0.15">
      <c r="K407" s="215"/>
    </row>
    <row r="408" spans="11:11" x14ac:dyDescent="0.15">
      <c r="K408" s="215"/>
    </row>
    <row r="409" spans="11:11" x14ac:dyDescent="0.15">
      <c r="K409" s="215"/>
    </row>
    <row r="410" spans="11:11" x14ac:dyDescent="0.15">
      <c r="K410" s="215"/>
    </row>
    <row r="411" spans="11:11" x14ac:dyDescent="0.15">
      <c r="K411" s="215"/>
    </row>
    <row r="412" spans="11:11" x14ac:dyDescent="0.15">
      <c r="K412" s="215"/>
    </row>
    <row r="413" spans="11:11" x14ac:dyDescent="0.15">
      <c r="K413" s="215"/>
    </row>
    <row r="414" spans="11:11" x14ac:dyDescent="0.15">
      <c r="K414" s="215"/>
    </row>
    <row r="415" spans="11:11" x14ac:dyDescent="0.15">
      <c r="K415" s="215"/>
    </row>
    <row r="416" spans="11:11" x14ac:dyDescent="0.15">
      <c r="K416" s="215"/>
    </row>
    <row r="417" spans="11:11" x14ac:dyDescent="0.15">
      <c r="K417" s="215"/>
    </row>
    <row r="418" spans="11:11" x14ac:dyDescent="0.15">
      <c r="K418" s="215"/>
    </row>
    <row r="419" spans="11:11" x14ac:dyDescent="0.15">
      <c r="K419" s="215"/>
    </row>
    <row r="420" spans="11:11" x14ac:dyDescent="0.15">
      <c r="K420" s="215"/>
    </row>
    <row r="421" spans="11:11" x14ac:dyDescent="0.15">
      <c r="K421" s="215"/>
    </row>
    <row r="422" spans="11:11" x14ac:dyDescent="0.15">
      <c r="K422" s="215"/>
    </row>
    <row r="423" spans="11:11" x14ac:dyDescent="0.15">
      <c r="K423" s="215"/>
    </row>
    <row r="424" spans="11:11" x14ac:dyDescent="0.15">
      <c r="K424" s="215"/>
    </row>
    <row r="425" spans="11:11" x14ac:dyDescent="0.15">
      <c r="K425" s="215"/>
    </row>
    <row r="426" spans="11:11" x14ac:dyDescent="0.15">
      <c r="K426" s="215"/>
    </row>
    <row r="427" spans="11:11" x14ac:dyDescent="0.15">
      <c r="K427" s="215"/>
    </row>
    <row r="428" spans="11:11" x14ac:dyDescent="0.15">
      <c r="K428" s="215"/>
    </row>
    <row r="429" spans="11:11" x14ac:dyDescent="0.15">
      <c r="K429" s="215"/>
    </row>
    <row r="430" spans="11:11" x14ac:dyDescent="0.15">
      <c r="K430" s="215"/>
    </row>
    <row r="431" spans="11:11" x14ac:dyDescent="0.15">
      <c r="K431" s="215"/>
    </row>
    <row r="432" spans="11:11" x14ac:dyDescent="0.15">
      <c r="K432" s="215"/>
    </row>
    <row r="433" spans="11:11" x14ac:dyDescent="0.15">
      <c r="K433" s="215"/>
    </row>
    <row r="434" spans="11:11" x14ac:dyDescent="0.15">
      <c r="K434" s="215"/>
    </row>
    <row r="435" spans="11:11" x14ac:dyDescent="0.15">
      <c r="K435" s="215"/>
    </row>
    <row r="436" spans="11:11" x14ac:dyDescent="0.15">
      <c r="K436" s="215"/>
    </row>
    <row r="437" spans="11:11" x14ac:dyDescent="0.15">
      <c r="K437" s="215"/>
    </row>
    <row r="438" spans="11:11" x14ac:dyDescent="0.15">
      <c r="K438" s="215"/>
    </row>
    <row r="439" spans="11:11" x14ac:dyDescent="0.15">
      <c r="K439" s="215"/>
    </row>
    <row r="440" spans="11:11" x14ac:dyDescent="0.15">
      <c r="K440" s="215"/>
    </row>
    <row r="441" spans="11:11" x14ac:dyDescent="0.15">
      <c r="K441" s="215"/>
    </row>
    <row r="442" spans="11:11" x14ac:dyDescent="0.15">
      <c r="K442" s="215"/>
    </row>
    <row r="443" spans="11:11" x14ac:dyDescent="0.15">
      <c r="K443" s="215"/>
    </row>
    <row r="444" spans="11:11" x14ac:dyDescent="0.15">
      <c r="K444" s="215"/>
    </row>
    <row r="445" spans="11:11" x14ac:dyDescent="0.15">
      <c r="K445" s="215"/>
    </row>
    <row r="446" spans="11:11" x14ac:dyDescent="0.15">
      <c r="K446" s="215"/>
    </row>
    <row r="447" spans="11:11" x14ac:dyDescent="0.15">
      <c r="K447" s="215"/>
    </row>
    <row r="448" spans="11:11" x14ac:dyDescent="0.15">
      <c r="K448" s="215"/>
    </row>
    <row r="449" spans="11:11" x14ac:dyDescent="0.15">
      <c r="K449" s="215"/>
    </row>
    <row r="450" spans="11:11" x14ac:dyDescent="0.15">
      <c r="K450" s="215"/>
    </row>
    <row r="451" spans="11:11" x14ac:dyDescent="0.15">
      <c r="K451" s="215"/>
    </row>
    <row r="452" spans="11:11" x14ac:dyDescent="0.15">
      <c r="K452" s="215"/>
    </row>
    <row r="453" spans="11:11" x14ac:dyDescent="0.15">
      <c r="K453" s="215"/>
    </row>
    <row r="454" spans="11:11" x14ac:dyDescent="0.15">
      <c r="K454" s="215"/>
    </row>
    <row r="455" spans="11:11" x14ac:dyDescent="0.15">
      <c r="K455" s="215"/>
    </row>
    <row r="456" spans="11:11" x14ac:dyDescent="0.15">
      <c r="K456" s="215"/>
    </row>
    <row r="457" spans="11:11" x14ac:dyDescent="0.15">
      <c r="K457" s="215"/>
    </row>
    <row r="458" spans="11:11" x14ac:dyDescent="0.15">
      <c r="K458" s="215"/>
    </row>
    <row r="459" spans="11:11" x14ac:dyDescent="0.15">
      <c r="K459" s="215"/>
    </row>
    <row r="460" spans="11:11" x14ac:dyDescent="0.15">
      <c r="K460" s="215"/>
    </row>
    <row r="461" spans="11:11" x14ac:dyDescent="0.15">
      <c r="K461" s="215"/>
    </row>
    <row r="462" spans="11:11" x14ac:dyDescent="0.15">
      <c r="K462" s="215"/>
    </row>
    <row r="463" spans="11:11" x14ac:dyDescent="0.15">
      <c r="K463" s="215"/>
    </row>
    <row r="464" spans="11:11" x14ac:dyDescent="0.15">
      <c r="K464" s="215"/>
    </row>
    <row r="465" spans="11:11" x14ac:dyDescent="0.15">
      <c r="K465" s="215"/>
    </row>
    <row r="466" spans="11:11" x14ac:dyDescent="0.15">
      <c r="K466" s="215"/>
    </row>
    <row r="467" spans="11:11" x14ac:dyDescent="0.15">
      <c r="K467" s="215"/>
    </row>
    <row r="468" spans="11:11" x14ac:dyDescent="0.15">
      <c r="K468" s="215"/>
    </row>
    <row r="469" spans="11:11" x14ac:dyDescent="0.15">
      <c r="K469" s="215"/>
    </row>
    <row r="470" spans="11:11" x14ac:dyDescent="0.15">
      <c r="K470" s="215"/>
    </row>
    <row r="471" spans="11:11" x14ac:dyDescent="0.15">
      <c r="K471" s="215"/>
    </row>
    <row r="472" spans="11:11" x14ac:dyDescent="0.15">
      <c r="K472" s="215"/>
    </row>
    <row r="473" spans="11:11" x14ac:dyDescent="0.15">
      <c r="K473" s="215"/>
    </row>
    <row r="474" spans="11:11" x14ac:dyDescent="0.15">
      <c r="K474" s="215"/>
    </row>
    <row r="475" spans="11:11" x14ac:dyDescent="0.15">
      <c r="K475" s="215"/>
    </row>
    <row r="476" spans="11:11" x14ac:dyDescent="0.15">
      <c r="K476" s="215"/>
    </row>
    <row r="477" spans="11:11" x14ac:dyDescent="0.15">
      <c r="K477" s="215"/>
    </row>
    <row r="478" spans="11:11" x14ac:dyDescent="0.15">
      <c r="K478" s="215"/>
    </row>
    <row r="479" spans="11:11" x14ac:dyDescent="0.15">
      <c r="K479" s="215"/>
    </row>
    <row r="480" spans="11:11" x14ac:dyDescent="0.15">
      <c r="K480" s="215"/>
    </row>
    <row r="481" spans="11:11" x14ac:dyDescent="0.15">
      <c r="K481" s="215"/>
    </row>
    <row r="482" spans="11:11" x14ac:dyDescent="0.15">
      <c r="K482" s="215"/>
    </row>
    <row r="483" spans="11:11" x14ac:dyDescent="0.15">
      <c r="K483" s="215"/>
    </row>
    <row r="484" spans="11:11" x14ac:dyDescent="0.15">
      <c r="K484" s="215"/>
    </row>
    <row r="485" spans="11:11" x14ac:dyDescent="0.15">
      <c r="K485" s="215"/>
    </row>
    <row r="486" spans="11:11" x14ac:dyDescent="0.15">
      <c r="K486" s="215"/>
    </row>
    <row r="487" spans="11:11" x14ac:dyDescent="0.15">
      <c r="K487" s="215"/>
    </row>
    <row r="488" spans="11:11" x14ac:dyDescent="0.15">
      <c r="K488" s="215"/>
    </row>
    <row r="489" spans="11:11" x14ac:dyDescent="0.15">
      <c r="K489" s="215"/>
    </row>
    <row r="490" spans="11:11" x14ac:dyDescent="0.15">
      <c r="K490" s="215"/>
    </row>
    <row r="491" spans="11:11" x14ac:dyDescent="0.15">
      <c r="K491" s="215"/>
    </row>
    <row r="492" spans="11:11" x14ac:dyDescent="0.15">
      <c r="K492" s="215"/>
    </row>
    <row r="493" spans="11:11" x14ac:dyDescent="0.15">
      <c r="K493" s="215"/>
    </row>
    <row r="494" spans="11:11" x14ac:dyDescent="0.15">
      <c r="K494" s="215"/>
    </row>
    <row r="495" spans="11:11" x14ac:dyDescent="0.15">
      <c r="K495" s="215"/>
    </row>
    <row r="496" spans="11:11" x14ac:dyDescent="0.15">
      <c r="K496" s="215"/>
    </row>
    <row r="497" spans="11:11" x14ac:dyDescent="0.15">
      <c r="K497" s="215"/>
    </row>
    <row r="498" spans="11:11" x14ac:dyDescent="0.15">
      <c r="K498" s="215"/>
    </row>
    <row r="499" spans="11:11" x14ac:dyDescent="0.15">
      <c r="K499" s="215"/>
    </row>
    <row r="500" spans="11:11" x14ac:dyDescent="0.15">
      <c r="K500" s="215"/>
    </row>
    <row r="501" spans="11:11" x14ac:dyDescent="0.15">
      <c r="K501" s="215"/>
    </row>
    <row r="502" spans="11:11" x14ac:dyDescent="0.15">
      <c r="K502" s="215"/>
    </row>
    <row r="503" spans="11:11" x14ac:dyDescent="0.15">
      <c r="K503" s="215"/>
    </row>
    <row r="504" spans="11:11" x14ac:dyDescent="0.15">
      <c r="K504" s="215"/>
    </row>
    <row r="505" spans="11:11" x14ac:dyDescent="0.15">
      <c r="K505" s="215"/>
    </row>
    <row r="506" spans="11:11" x14ac:dyDescent="0.15">
      <c r="K506" s="215"/>
    </row>
    <row r="507" spans="11:11" x14ac:dyDescent="0.15">
      <c r="K507" s="215"/>
    </row>
    <row r="508" spans="11:11" x14ac:dyDescent="0.15">
      <c r="K508" s="215"/>
    </row>
    <row r="509" spans="11:11" x14ac:dyDescent="0.15">
      <c r="K509" s="215"/>
    </row>
    <row r="510" spans="11:11" x14ac:dyDescent="0.15">
      <c r="K510" s="215"/>
    </row>
    <row r="511" spans="11:11" x14ac:dyDescent="0.15">
      <c r="K511" s="215"/>
    </row>
    <row r="512" spans="11:11" x14ac:dyDescent="0.15">
      <c r="K512" s="215"/>
    </row>
    <row r="513" spans="11:11" x14ac:dyDescent="0.15">
      <c r="K513" s="215"/>
    </row>
    <row r="514" spans="11:11" x14ac:dyDescent="0.15">
      <c r="K514" s="215"/>
    </row>
    <row r="515" spans="11:11" x14ac:dyDescent="0.15">
      <c r="K515" s="215"/>
    </row>
    <row r="516" spans="11:11" x14ac:dyDescent="0.15">
      <c r="K516" s="215"/>
    </row>
    <row r="517" spans="11:11" x14ac:dyDescent="0.15">
      <c r="K517" s="215"/>
    </row>
    <row r="518" spans="11:11" x14ac:dyDescent="0.15">
      <c r="K518" s="215"/>
    </row>
    <row r="519" spans="11:11" x14ac:dyDescent="0.15">
      <c r="K519" s="215"/>
    </row>
    <row r="520" spans="11:11" x14ac:dyDescent="0.15">
      <c r="K520" s="215"/>
    </row>
    <row r="521" spans="11:11" x14ac:dyDescent="0.15">
      <c r="K521" s="215"/>
    </row>
    <row r="522" spans="11:11" x14ac:dyDescent="0.15">
      <c r="K522" s="215"/>
    </row>
    <row r="523" spans="11:11" x14ac:dyDescent="0.15">
      <c r="K523" s="215"/>
    </row>
    <row r="524" spans="11:11" x14ac:dyDescent="0.15">
      <c r="K524" s="215"/>
    </row>
    <row r="525" spans="11:11" x14ac:dyDescent="0.15">
      <c r="K525" s="215"/>
    </row>
    <row r="526" spans="11:11" x14ac:dyDescent="0.15">
      <c r="K526" s="215"/>
    </row>
    <row r="527" spans="11:11" x14ac:dyDescent="0.15">
      <c r="K527" s="215"/>
    </row>
    <row r="528" spans="11:11" x14ac:dyDescent="0.15">
      <c r="K528" s="215"/>
    </row>
    <row r="529" spans="11:11" x14ac:dyDescent="0.15">
      <c r="K529" s="215"/>
    </row>
    <row r="530" spans="11:11" x14ac:dyDescent="0.15">
      <c r="K530" s="215"/>
    </row>
    <row r="531" spans="11:11" x14ac:dyDescent="0.15">
      <c r="K531" s="215"/>
    </row>
    <row r="532" spans="11:11" x14ac:dyDescent="0.15">
      <c r="K532" s="215"/>
    </row>
    <row r="533" spans="11:11" x14ac:dyDescent="0.15">
      <c r="K533" s="215"/>
    </row>
    <row r="534" spans="11:11" x14ac:dyDescent="0.15">
      <c r="K534" s="215"/>
    </row>
    <row r="535" spans="11:11" x14ac:dyDescent="0.15">
      <c r="K535" s="215"/>
    </row>
    <row r="536" spans="11:11" x14ac:dyDescent="0.15">
      <c r="K536" s="215"/>
    </row>
    <row r="537" spans="11:11" x14ac:dyDescent="0.15">
      <c r="K537" s="215"/>
    </row>
    <row r="538" spans="11:11" x14ac:dyDescent="0.15">
      <c r="K538" s="215"/>
    </row>
    <row r="539" spans="11:11" x14ac:dyDescent="0.15">
      <c r="K539" s="215"/>
    </row>
    <row r="540" spans="11:11" x14ac:dyDescent="0.15">
      <c r="K540" s="215"/>
    </row>
    <row r="541" spans="11:11" x14ac:dyDescent="0.15">
      <c r="K541" s="215"/>
    </row>
    <row r="542" spans="11:11" x14ac:dyDescent="0.15">
      <c r="K542" s="215"/>
    </row>
    <row r="543" spans="11:11" x14ac:dyDescent="0.15">
      <c r="K543" s="215"/>
    </row>
    <row r="544" spans="11:11" x14ac:dyDescent="0.15">
      <c r="K544" s="215"/>
    </row>
    <row r="545" spans="11:11" x14ac:dyDescent="0.15">
      <c r="K545" s="215"/>
    </row>
    <row r="546" spans="11:11" x14ac:dyDescent="0.15">
      <c r="K546" s="215"/>
    </row>
    <row r="547" spans="11:11" x14ac:dyDescent="0.15">
      <c r="K547" s="215"/>
    </row>
    <row r="548" spans="11:11" x14ac:dyDescent="0.15">
      <c r="K548" s="215"/>
    </row>
    <row r="549" spans="11:11" x14ac:dyDescent="0.15">
      <c r="K549" s="215"/>
    </row>
    <row r="550" spans="11:11" x14ac:dyDescent="0.15">
      <c r="K550" s="215"/>
    </row>
    <row r="551" spans="11:11" x14ac:dyDescent="0.15">
      <c r="K551" s="215"/>
    </row>
    <row r="552" spans="11:11" x14ac:dyDescent="0.15">
      <c r="K552" s="215"/>
    </row>
    <row r="553" spans="11:11" x14ac:dyDescent="0.15">
      <c r="K553" s="215"/>
    </row>
    <row r="554" spans="11:11" x14ac:dyDescent="0.15">
      <c r="K554" s="215"/>
    </row>
    <row r="555" spans="11:11" x14ac:dyDescent="0.15">
      <c r="K555" s="215"/>
    </row>
    <row r="556" spans="11:11" x14ac:dyDescent="0.15">
      <c r="K556" s="215"/>
    </row>
    <row r="557" spans="11:11" x14ac:dyDescent="0.15">
      <c r="K557" s="215"/>
    </row>
    <row r="558" spans="11:11" x14ac:dyDescent="0.15">
      <c r="K558" s="215"/>
    </row>
    <row r="559" spans="11:11" x14ac:dyDescent="0.15">
      <c r="K559" s="215"/>
    </row>
    <row r="560" spans="11:11" x14ac:dyDescent="0.15">
      <c r="K560" s="215"/>
    </row>
    <row r="561" spans="11:11" x14ac:dyDescent="0.15">
      <c r="K561" s="215"/>
    </row>
    <row r="562" spans="11:11" x14ac:dyDescent="0.15">
      <c r="K562" s="215"/>
    </row>
    <row r="563" spans="11:11" x14ac:dyDescent="0.15">
      <c r="K563" s="215"/>
    </row>
    <row r="564" spans="11:11" x14ac:dyDescent="0.15">
      <c r="K564" s="215"/>
    </row>
    <row r="565" spans="11:11" x14ac:dyDescent="0.15">
      <c r="K565" s="215"/>
    </row>
    <row r="566" spans="11:11" x14ac:dyDescent="0.15">
      <c r="K566" s="215"/>
    </row>
    <row r="567" spans="11:11" x14ac:dyDescent="0.15">
      <c r="K567" s="215"/>
    </row>
    <row r="568" spans="11:11" x14ac:dyDescent="0.15">
      <c r="K568" s="215"/>
    </row>
    <row r="569" spans="11:11" x14ac:dyDescent="0.15">
      <c r="K569" s="215"/>
    </row>
    <row r="570" spans="11:11" x14ac:dyDescent="0.15">
      <c r="K570" s="215"/>
    </row>
    <row r="571" spans="11:11" x14ac:dyDescent="0.15">
      <c r="K571" s="215"/>
    </row>
    <row r="572" spans="11:11" x14ac:dyDescent="0.15">
      <c r="K572" s="215"/>
    </row>
    <row r="573" spans="11:11" x14ac:dyDescent="0.15">
      <c r="K573" s="215"/>
    </row>
    <row r="574" spans="11:11" x14ac:dyDescent="0.15">
      <c r="K574" s="215"/>
    </row>
    <row r="575" spans="11:11" x14ac:dyDescent="0.15">
      <c r="K575" s="215"/>
    </row>
    <row r="576" spans="11:11" x14ac:dyDescent="0.15">
      <c r="K576" s="215"/>
    </row>
    <row r="577" spans="11:11" x14ac:dyDescent="0.15">
      <c r="K577" s="215"/>
    </row>
    <row r="578" spans="11:11" x14ac:dyDescent="0.15">
      <c r="K578" s="215"/>
    </row>
    <row r="579" spans="11:11" x14ac:dyDescent="0.15">
      <c r="K579" s="215"/>
    </row>
    <row r="580" spans="11:11" x14ac:dyDescent="0.15">
      <c r="K580" s="215"/>
    </row>
    <row r="581" spans="11:11" x14ac:dyDescent="0.15">
      <c r="K581" s="215"/>
    </row>
    <row r="582" spans="11:11" x14ac:dyDescent="0.15">
      <c r="K582" s="215"/>
    </row>
    <row r="583" spans="11:11" x14ac:dyDescent="0.15">
      <c r="K583" s="215"/>
    </row>
    <row r="584" spans="11:11" x14ac:dyDescent="0.15">
      <c r="K584" s="215"/>
    </row>
    <row r="585" spans="11:11" x14ac:dyDescent="0.15">
      <c r="K585" s="215"/>
    </row>
    <row r="586" spans="11:11" x14ac:dyDescent="0.15">
      <c r="K586" s="215"/>
    </row>
    <row r="587" spans="11:11" x14ac:dyDescent="0.15">
      <c r="K587" s="215"/>
    </row>
    <row r="588" spans="11:11" x14ac:dyDescent="0.15">
      <c r="K588" s="215"/>
    </row>
    <row r="589" spans="11:11" x14ac:dyDescent="0.15">
      <c r="K589" s="215"/>
    </row>
    <row r="590" spans="11:11" x14ac:dyDescent="0.15">
      <c r="K590" s="215"/>
    </row>
    <row r="591" spans="11:11" x14ac:dyDescent="0.15">
      <c r="K591" s="215"/>
    </row>
    <row r="592" spans="11:11" x14ac:dyDescent="0.15">
      <c r="K592" s="215"/>
    </row>
    <row r="593" spans="11:11" x14ac:dyDescent="0.15">
      <c r="K593" s="215"/>
    </row>
    <row r="594" spans="11:11" x14ac:dyDescent="0.15">
      <c r="K594" s="215"/>
    </row>
    <row r="595" spans="11:11" x14ac:dyDescent="0.15">
      <c r="K595" s="215"/>
    </row>
    <row r="596" spans="11:11" x14ac:dyDescent="0.15">
      <c r="K596" s="215"/>
    </row>
    <row r="597" spans="11:11" x14ac:dyDescent="0.15">
      <c r="K597" s="215"/>
    </row>
    <row r="598" spans="11:11" x14ac:dyDescent="0.15">
      <c r="K598" s="215"/>
    </row>
    <row r="599" spans="11:11" x14ac:dyDescent="0.15">
      <c r="K599" s="215"/>
    </row>
    <row r="600" spans="11:11" x14ac:dyDescent="0.15">
      <c r="K600" s="215"/>
    </row>
    <row r="601" spans="11:11" x14ac:dyDescent="0.15">
      <c r="K601" s="215"/>
    </row>
    <row r="602" spans="11:11" x14ac:dyDescent="0.15">
      <c r="K602" s="215"/>
    </row>
    <row r="603" spans="11:11" x14ac:dyDescent="0.15">
      <c r="K603" s="215"/>
    </row>
    <row r="604" spans="11:11" x14ac:dyDescent="0.15">
      <c r="K604" s="215"/>
    </row>
    <row r="605" spans="11:11" x14ac:dyDescent="0.15">
      <c r="K605" s="215"/>
    </row>
    <row r="606" spans="11:11" x14ac:dyDescent="0.15">
      <c r="K606" s="215"/>
    </row>
    <row r="607" spans="11:11" x14ac:dyDescent="0.15">
      <c r="K607" s="215"/>
    </row>
    <row r="608" spans="11:11" x14ac:dyDescent="0.15">
      <c r="K608" s="215"/>
    </row>
    <row r="609" spans="11:11" x14ac:dyDescent="0.15">
      <c r="K609" s="215"/>
    </row>
    <row r="610" spans="11:11" x14ac:dyDescent="0.15">
      <c r="K610" s="215"/>
    </row>
    <row r="611" spans="11:11" x14ac:dyDescent="0.15">
      <c r="K611" s="215"/>
    </row>
    <row r="612" spans="11:11" x14ac:dyDescent="0.15">
      <c r="K612" s="215"/>
    </row>
    <row r="613" spans="11:11" x14ac:dyDescent="0.15">
      <c r="K613" s="215"/>
    </row>
    <row r="614" spans="11:11" x14ac:dyDescent="0.15">
      <c r="K614" s="215"/>
    </row>
    <row r="615" spans="11:11" x14ac:dyDescent="0.15">
      <c r="K615" s="215"/>
    </row>
    <row r="616" spans="11:11" x14ac:dyDescent="0.15">
      <c r="K616" s="215"/>
    </row>
    <row r="617" spans="11:11" x14ac:dyDescent="0.15">
      <c r="K617" s="215"/>
    </row>
    <row r="618" spans="11:11" x14ac:dyDescent="0.15">
      <c r="K618" s="215"/>
    </row>
    <row r="619" spans="11:11" x14ac:dyDescent="0.15">
      <c r="K619" s="215"/>
    </row>
    <row r="620" spans="11:11" x14ac:dyDescent="0.15">
      <c r="K620" s="215"/>
    </row>
    <row r="621" spans="11:11" x14ac:dyDescent="0.15">
      <c r="K621" s="215"/>
    </row>
    <row r="622" spans="11:11" x14ac:dyDescent="0.15">
      <c r="K622" s="215"/>
    </row>
    <row r="623" spans="11:11" x14ac:dyDescent="0.15">
      <c r="K623" s="215"/>
    </row>
    <row r="624" spans="11:11" x14ac:dyDescent="0.15">
      <c r="K624" s="215"/>
    </row>
    <row r="625" spans="11:11" x14ac:dyDescent="0.15">
      <c r="K625" s="215"/>
    </row>
    <row r="626" spans="11:11" x14ac:dyDescent="0.15">
      <c r="K626" s="215"/>
    </row>
    <row r="627" spans="11:11" x14ac:dyDescent="0.15">
      <c r="K627" s="215"/>
    </row>
    <row r="628" spans="11:11" x14ac:dyDescent="0.15">
      <c r="K628" s="215"/>
    </row>
    <row r="629" spans="11:11" x14ac:dyDescent="0.15">
      <c r="K629" s="215"/>
    </row>
    <row r="630" spans="11:11" x14ac:dyDescent="0.15">
      <c r="K630" s="215"/>
    </row>
    <row r="631" spans="11:11" x14ac:dyDescent="0.15">
      <c r="K631" s="215"/>
    </row>
    <row r="632" spans="11:11" x14ac:dyDescent="0.15">
      <c r="K632" s="215"/>
    </row>
    <row r="633" spans="11:11" x14ac:dyDescent="0.15">
      <c r="K633" s="215"/>
    </row>
    <row r="634" spans="11:11" x14ac:dyDescent="0.15">
      <c r="K634" s="215"/>
    </row>
    <row r="635" spans="11:11" x14ac:dyDescent="0.15">
      <c r="K635" s="215"/>
    </row>
    <row r="636" spans="11:11" x14ac:dyDescent="0.15">
      <c r="K636" s="215"/>
    </row>
    <row r="637" spans="11:11" x14ac:dyDescent="0.15">
      <c r="K637" s="215"/>
    </row>
    <row r="638" spans="11:11" x14ac:dyDescent="0.15">
      <c r="K638" s="215"/>
    </row>
    <row r="639" spans="11:11" x14ac:dyDescent="0.15">
      <c r="K639" s="215"/>
    </row>
    <row r="640" spans="11:11" x14ac:dyDescent="0.15">
      <c r="K640" s="215"/>
    </row>
    <row r="641" spans="11:11" x14ac:dyDescent="0.15">
      <c r="K641" s="215"/>
    </row>
    <row r="642" spans="11:11" x14ac:dyDescent="0.15">
      <c r="K642" s="215"/>
    </row>
    <row r="643" spans="11:11" x14ac:dyDescent="0.15">
      <c r="K643" s="215"/>
    </row>
    <row r="644" spans="11:11" x14ac:dyDescent="0.15">
      <c r="K644" s="215"/>
    </row>
    <row r="645" spans="11:11" x14ac:dyDescent="0.15">
      <c r="K645" s="215"/>
    </row>
    <row r="646" spans="11:11" x14ac:dyDescent="0.15">
      <c r="K646" s="215"/>
    </row>
    <row r="647" spans="11:11" x14ac:dyDescent="0.15">
      <c r="K647" s="215"/>
    </row>
    <row r="648" spans="11:11" x14ac:dyDescent="0.15">
      <c r="K648" s="215"/>
    </row>
    <row r="649" spans="11:11" x14ac:dyDescent="0.15">
      <c r="K649" s="215"/>
    </row>
    <row r="650" spans="11:11" x14ac:dyDescent="0.15">
      <c r="K650" s="215"/>
    </row>
    <row r="651" spans="11:11" x14ac:dyDescent="0.15">
      <c r="K651" s="215"/>
    </row>
    <row r="652" spans="11:11" x14ac:dyDescent="0.15">
      <c r="K652" s="215"/>
    </row>
    <row r="653" spans="11:11" x14ac:dyDescent="0.15">
      <c r="K653" s="215"/>
    </row>
    <row r="654" spans="11:11" x14ac:dyDescent="0.15">
      <c r="K654" s="215"/>
    </row>
    <row r="655" spans="11:11" x14ac:dyDescent="0.15">
      <c r="K655" s="215"/>
    </row>
    <row r="656" spans="11:11" x14ac:dyDescent="0.15">
      <c r="K656" s="215"/>
    </row>
    <row r="657" spans="11:11" x14ac:dyDescent="0.15">
      <c r="K657" s="215"/>
    </row>
    <row r="658" spans="11:11" x14ac:dyDescent="0.15">
      <c r="K658" s="215"/>
    </row>
    <row r="659" spans="11:11" x14ac:dyDescent="0.15">
      <c r="K659" s="215"/>
    </row>
    <row r="660" spans="11:11" x14ac:dyDescent="0.15">
      <c r="K660" s="215"/>
    </row>
    <row r="661" spans="11:11" x14ac:dyDescent="0.15">
      <c r="K661" s="215"/>
    </row>
    <row r="662" spans="11:11" x14ac:dyDescent="0.15">
      <c r="K662" s="215"/>
    </row>
    <row r="663" spans="11:11" x14ac:dyDescent="0.15">
      <c r="K663" s="215"/>
    </row>
    <row r="664" spans="11:11" x14ac:dyDescent="0.15">
      <c r="K664" s="215"/>
    </row>
    <row r="665" spans="11:11" x14ac:dyDescent="0.15">
      <c r="K665" s="215"/>
    </row>
    <row r="666" spans="11:11" x14ac:dyDescent="0.15">
      <c r="K666" s="215"/>
    </row>
    <row r="667" spans="11:11" x14ac:dyDescent="0.15">
      <c r="K667" s="215"/>
    </row>
    <row r="668" spans="11:11" x14ac:dyDescent="0.15">
      <c r="K668" s="215"/>
    </row>
    <row r="669" spans="11:11" x14ac:dyDescent="0.15">
      <c r="K669" s="215"/>
    </row>
    <row r="670" spans="11:11" x14ac:dyDescent="0.15">
      <c r="K670" s="215"/>
    </row>
    <row r="671" spans="11:11" x14ac:dyDescent="0.15">
      <c r="K671" s="215"/>
    </row>
    <row r="672" spans="11:11" x14ac:dyDescent="0.15">
      <c r="K672" s="215"/>
    </row>
    <row r="673" spans="11:11" x14ac:dyDescent="0.15">
      <c r="K673" s="215"/>
    </row>
    <row r="674" spans="11:11" x14ac:dyDescent="0.15">
      <c r="K674" s="215"/>
    </row>
    <row r="675" spans="11:11" x14ac:dyDescent="0.15">
      <c r="K675" s="215"/>
    </row>
    <row r="676" spans="11:11" x14ac:dyDescent="0.15">
      <c r="K676" s="215"/>
    </row>
    <row r="677" spans="11:11" x14ac:dyDescent="0.15">
      <c r="K677" s="215"/>
    </row>
    <row r="678" spans="11:11" x14ac:dyDescent="0.15">
      <c r="K678" s="215"/>
    </row>
    <row r="679" spans="11:11" x14ac:dyDescent="0.15">
      <c r="K679" s="215"/>
    </row>
    <row r="680" spans="11:11" x14ac:dyDescent="0.15">
      <c r="K680" s="215"/>
    </row>
    <row r="681" spans="11:11" x14ac:dyDescent="0.15">
      <c r="K681" s="215"/>
    </row>
    <row r="682" spans="11:11" x14ac:dyDescent="0.15">
      <c r="K682" s="215"/>
    </row>
    <row r="683" spans="11:11" x14ac:dyDescent="0.15">
      <c r="K683" s="215"/>
    </row>
    <row r="684" spans="11:11" x14ac:dyDescent="0.15">
      <c r="K684" s="215"/>
    </row>
    <row r="685" spans="11:11" x14ac:dyDescent="0.15">
      <c r="K685" s="215"/>
    </row>
    <row r="686" spans="11:11" x14ac:dyDescent="0.15">
      <c r="K686" s="215"/>
    </row>
    <row r="687" spans="11:11" x14ac:dyDescent="0.15">
      <c r="K687" s="215"/>
    </row>
    <row r="688" spans="11:11" x14ac:dyDescent="0.15">
      <c r="K688" s="215"/>
    </row>
    <row r="689" spans="11:11" x14ac:dyDescent="0.15">
      <c r="K689" s="215"/>
    </row>
    <row r="690" spans="11:11" x14ac:dyDescent="0.15">
      <c r="K690" s="215"/>
    </row>
    <row r="691" spans="11:11" x14ac:dyDescent="0.15">
      <c r="K691" s="215"/>
    </row>
    <row r="692" spans="11:11" x14ac:dyDescent="0.15">
      <c r="K692" s="215"/>
    </row>
    <row r="693" spans="11:11" x14ac:dyDescent="0.15">
      <c r="K693" s="215"/>
    </row>
    <row r="694" spans="11:11" x14ac:dyDescent="0.15">
      <c r="K694" s="215"/>
    </row>
    <row r="695" spans="11:11" x14ac:dyDescent="0.15">
      <c r="K695" s="215"/>
    </row>
    <row r="696" spans="11:11" x14ac:dyDescent="0.15">
      <c r="K696" s="215"/>
    </row>
    <row r="697" spans="11:11" x14ac:dyDescent="0.15">
      <c r="K697" s="215"/>
    </row>
    <row r="698" spans="11:11" x14ac:dyDescent="0.15">
      <c r="K698" s="215"/>
    </row>
    <row r="699" spans="11:11" x14ac:dyDescent="0.15">
      <c r="K699" s="215"/>
    </row>
    <row r="700" spans="11:11" x14ac:dyDescent="0.15">
      <c r="K700" s="215"/>
    </row>
    <row r="701" spans="11:11" x14ac:dyDescent="0.15">
      <c r="K701" s="215"/>
    </row>
    <row r="702" spans="11:11" x14ac:dyDescent="0.15">
      <c r="K702" s="215"/>
    </row>
    <row r="703" spans="11:11" x14ac:dyDescent="0.15">
      <c r="K703" s="215"/>
    </row>
    <row r="704" spans="11:11" x14ac:dyDescent="0.15">
      <c r="K704" s="215"/>
    </row>
    <row r="705" spans="11:11" x14ac:dyDescent="0.15">
      <c r="K705" s="215"/>
    </row>
    <row r="706" spans="11:11" x14ac:dyDescent="0.15">
      <c r="K706" s="215"/>
    </row>
    <row r="707" spans="11:11" x14ac:dyDescent="0.15">
      <c r="K707" s="215"/>
    </row>
    <row r="708" spans="11:11" x14ac:dyDescent="0.15">
      <c r="K708" s="215"/>
    </row>
    <row r="709" spans="11:11" x14ac:dyDescent="0.15">
      <c r="K709" s="215"/>
    </row>
    <row r="710" spans="11:11" x14ac:dyDescent="0.15">
      <c r="K710" s="215"/>
    </row>
    <row r="711" spans="11:11" x14ac:dyDescent="0.15">
      <c r="K711" s="215"/>
    </row>
    <row r="712" spans="11:11" x14ac:dyDescent="0.15">
      <c r="K712" s="215"/>
    </row>
    <row r="713" spans="11:11" x14ac:dyDescent="0.15">
      <c r="K713" s="215"/>
    </row>
    <row r="714" spans="11:11" x14ac:dyDescent="0.15">
      <c r="K714" s="215"/>
    </row>
    <row r="715" spans="11:11" x14ac:dyDescent="0.15">
      <c r="K715" s="215"/>
    </row>
    <row r="716" spans="11:11" x14ac:dyDescent="0.15">
      <c r="K716" s="215"/>
    </row>
    <row r="717" spans="11:11" x14ac:dyDescent="0.15">
      <c r="K717" s="215"/>
    </row>
    <row r="718" spans="11:11" x14ac:dyDescent="0.15">
      <c r="K718" s="215"/>
    </row>
    <row r="719" spans="11:11" x14ac:dyDescent="0.15">
      <c r="K719" s="215"/>
    </row>
    <row r="720" spans="11:11" x14ac:dyDescent="0.15">
      <c r="K720" s="215"/>
    </row>
    <row r="721" spans="11:11" x14ac:dyDescent="0.15">
      <c r="K721" s="215"/>
    </row>
    <row r="722" spans="11:11" x14ac:dyDescent="0.15">
      <c r="K722" s="215"/>
    </row>
    <row r="723" spans="11:11" x14ac:dyDescent="0.15">
      <c r="K723" s="215"/>
    </row>
    <row r="724" spans="11:11" x14ac:dyDescent="0.15">
      <c r="K724" s="215"/>
    </row>
    <row r="725" spans="11:11" x14ac:dyDescent="0.15">
      <c r="K725" s="215"/>
    </row>
    <row r="726" spans="11:11" x14ac:dyDescent="0.15">
      <c r="K726" s="215"/>
    </row>
    <row r="727" spans="11:11" x14ac:dyDescent="0.15">
      <c r="K727" s="215"/>
    </row>
    <row r="728" spans="11:11" x14ac:dyDescent="0.15">
      <c r="K728" s="215"/>
    </row>
    <row r="729" spans="11:11" x14ac:dyDescent="0.15">
      <c r="K729" s="215"/>
    </row>
    <row r="730" spans="11:11" x14ac:dyDescent="0.15">
      <c r="K730" s="215"/>
    </row>
    <row r="731" spans="11:11" x14ac:dyDescent="0.15">
      <c r="K731" s="215"/>
    </row>
    <row r="732" spans="11:11" x14ac:dyDescent="0.15">
      <c r="K732" s="215"/>
    </row>
    <row r="733" spans="11:11" x14ac:dyDescent="0.15">
      <c r="K733" s="215"/>
    </row>
    <row r="734" spans="11:11" x14ac:dyDescent="0.15">
      <c r="K734" s="215"/>
    </row>
    <row r="735" spans="11:11" x14ac:dyDescent="0.15">
      <c r="K735" s="215"/>
    </row>
    <row r="736" spans="11:11" x14ac:dyDescent="0.15">
      <c r="K736" s="215"/>
    </row>
    <row r="737" spans="11:11" x14ac:dyDescent="0.15">
      <c r="K737" s="215"/>
    </row>
    <row r="738" spans="11:11" x14ac:dyDescent="0.15">
      <c r="K738" s="215"/>
    </row>
    <row r="739" spans="11:11" x14ac:dyDescent="0.15">
      <c r="K739" s="215"/>
    </row>
    <row r="740" spans="11:11" x14ac:dyDescent="0.15">
      <c r="K740" s="215"/>
    </row>
    <row r="741" spans="11:11" x14ac:dyDescent="0.15">
      <c r="K741" s="215"/>
    </row>
    <row r="742" spans="11:11" x14ac:dyDescent="0.15">
      <c r="K742" s="215"/>
    </row>
    <row r="743" spans="11:11" x14ac:dyDescent="0.15">
      <c r="K743" s="215"/>
    </row>
    <row r="744" spans="11:11" x14ac:dyDescent="0.15">
      <c r="K744" s="215"/>
    </row>
    <row r="745" spans="11:11" x14ac:dyDescent="0.15">
      <c r="K745" s="215"/>
    </row>
    <row r="746" spans="11:11" x14ac:dyDescent="0.15">
      <c r="K746" s="215"/>
    </row>
    <row r="747" spans="11:11" x14ac:dyDescent="0.15">
      <c r="K747" s="215"/>
    </row>
    <row r="748" spans="11:11" x14ac:dyDescent="0.15">
      <c r="K748" s="215"/>
    </row>
    <row r="749" spans="11:11" x14ac:dyDescent="0.15">
      <c r="K749" s="215"/>
    </row>
    <row r="750" spans="11:11" x14ac:dyDescent="0.15">
      <c r="K750" s="215"/>
    </row>
    <row r="751" spans="11:11" x14ac:dyDescent="0.15">
      <c r="K751" s="215"/>
    </row>
    <row r="752" spans="11:11" x14ac:dyDescent="0.15">
      <c r="K752" s="215"/>
    </row>
    <row r="753" spans="11:11" x14ac:dyDescent="0.15">
      <c r="K753" s="215"/>
    </row>
    <row r="754" spans="11:11" x14ac:dyDescent="0.15">
      <c r="K754" s="215"/>
    </row>
    <row r="755" spans="11:11" x14ac:dyDescent="0.15">
      <c r="K755" s="215"/>
    </row>
  </sheetData>
  <autoFilter ref="A1:BA87"/>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52 O62:P443">
      <formula1>0</formula1>
      <formula2>7</formula2>
    </dataValidation>
    <dataValidation operator="equal" allowBlank="1" showInputMessage="1" showErrorMessage="1" sqref="B2:B10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948F3B-3131-4BE6-9ABD-D4C301DECB03}"/>
</file>

<file path=customXml/itemProps2.xml><?xml version="1.0" encoding="utf-8"?>
<ds:datastoreItem xmlns:ds="http://schemas.openxmlformats.org/officeDocument/2006/customXml" ds:itemID="{08BF13EE-2E61-435F-8629-01EE167039DB}"/>
</file>

<file path=customXml/itemProps3.xml><?xml version="1.0" encoding="utf-8"?>
<ds:datastoreItem xmlns:ds="http://schemas.openxmlformats.org/officeDocument/2006/customXml" ds:itemID="{B307DA31-2AB5-403D-BD8E-600FDD87F9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2018-10-19T09:00:45Z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