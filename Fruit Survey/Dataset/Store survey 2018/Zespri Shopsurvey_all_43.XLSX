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fukuoka!$A$1:$BA$148</definedName>
    <definedName name="_xlnm._FilterDatabase" localSheetId="4" hidden="1">hiroshima!$A$1:$BA$1</definedName>
    <definedName name="_xlnm._FilterDatabase" localSheetId="1" hidden="1">miyagi!$A$1:$BA$127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00" i="32" l="1"/>
  <c r="T100" i="32"/>
  <c r="Q100" i="32"/>
  <c r="V99" i="32"/>
  <c r="T99" i="32"/>
  <c r="Q99" i="32"/>
  <c r="T98" i="32"/>
  <c r="V98" i="32" s="1"/>
  <c r="Q98" i="32"/>
  <c r="V97" i="32"/>
  <c r="T97" i="32"/>
  <c r="Q97" i="32"/>
  <c r="V96" i="32"/>
  <c r="T96" i="32"/>
  <c r="Q96" i="32"/>
  <c r="V95" i="32"/>
  <c r="T95" i="32"/>
  <c r="Q95" i="32"/>
  <c r="T94" i="32"/>
  <c r="V94" i="32" s="1"/>
  <c r="Q94" i="32"/>
  <c r="V93" i="32"/>
  <c r="T93" i="32"/>
  <c r="Q93" i="32"/>
  <c r="V92" i="32"/>
  <c r="T92" i="32"/>
  <c r="Q92" i="32"/>
  <c r="V91" i="32"/>
  <c r="T91" i="32"/>
  <c r="Q91" i="32"/>
  <c r="T90" i="32"/>
  <c r="V90" i="32" s="1"/>
  <c r="Q90" i="32"/>
  <c r="V89" i="32"/>
  <c r="T89" i="32"/>
  <c r="Q89" i="32"/>
  <c r="V88" i="32"/>
  <c r="T88" i="32"/>
  <c r="Q88" i="32"/>
  <c r="V87" i="32"/>
  <c r="T87" i="32"/>
  <c r="Q87" i="32"/>
  <c r="T86" i="32"/>
  <c r="V86" i="32" s="1"/>
  <c r="Q86" i="32"/>
  <c r="V85" i="32"/>
  <c r="T85" i="32"/>
  <c r="Q85" i="32"/>
  <c r="V84" i="32"/>
  <c r="T84" i="32"/>
  <c r="Q84" i="32"/>
  <c r="V83" i="32"/>
  <c r="T83" i="32"/>
  <c r="Q83" i="32"/>
  <c r="T82" i="32"/>
  <c r="V82" i="32" s="1"/>
  <c r="Q82" i="32"/>
  <c r="V81" i="32"/>
  <c r="T81" i="32"/>
  <c r="Q81" i="32"/>
  <c r="V80" i="32"/>
  <c r="T80" i="32"/>
  <c r="Q80" i="32"/>
  <c r="V79" i="32"/>
  <c r="T79" i="32"/>
  <c r="Q79" i="32"/>
  <c r="T78" i="32"/>
  <c r="V78" i="32" s="1"/>
  <c r="Q78" i="32"/>
  <c r="V77" i="32"/>
  <c r="T77" i="32"/>
  <c r="Q77" i="32"/>
  <c r="V76" i="32"/>
  <c r="T76" i="32"/>
  <c r="Q76" i="32"/>
  <c r="V75" i="32"/>
  <c r="T75" i="32"/>
  <c r="Q75" i="32"/>
  <c r="T74" i="32"/>
  <c r="V74" i="32" s="1"/>
  <c r="Q74" i="32"/>
  <c r="V73" i="32"/>
  <c r="T73" i="32"/>
  <c r="Q73" i="32"/>
  <c r="V72" i="32"/>
  <c r="T72" i="32"/>
  <c r="Q72" i="32"/>
  <c r="V71" i="32"/>
  <c r="T71" i="32"/>
  <c r="Q71" i="32"/>
  <c r="T70" i="32"/>
  <c r="V70" i="32" s="1"/>
  <c r="Q70" i="32"/>
  <c r="V69" i="32"/>
  <c r="T69" i="32"/>
  <c r="Q69" i="32"/>
  <c r="V68" i="32"/>
  <c r="T68" i="32"/>
  <c r="Q68" i="32"/>
  <c r="V67" i="32"/>
  <c r="T67" i="32"/>
  <c r="Q67" i="32"/>
  <c r="T66" i="32"/>
  <c r="V66" i="32" s="1"/>
  <c r="Q66" i="32"/>
  <c r="V65" i="32"/>
  <c r="T65" i="32"/>
  <c r="Q65" i="32"/>
  <c r="V64" i="32"/>
  <c r="T64" i="32"/>
  <c r="Q64" i="32"/>
  <c r="V63" i="32"/>
  <c r="T63" i="32"/>
  <c r="Q63" i="32"/>
  <c r="T62" i="32"/>
  <c r="V62" i="32" s="1"/>
  <c r="Q62" i="32"/>
  <c r="V61" i="32"/>
  <c r="T61" i="32"/>
  <c r="Q61" i="32"/>
  <c r="V60" i="32"/>
  <c r="T60" i="32"/>
  <c r="Q60" i="32"/>
  <c r="V59" i="32"/>
  <c r="T59" i="32"/>
  <c r="Q59" i="32"/>
  <c r="T58" i="32"/>
  <c r="V58" i="32" s="1"/>
  <c r="Q58" i="32"/>
  <c r="V57" i="32"/>
  <c r="T57" i="32"/>
  <c r="Q57" i="32"/>
  <c r="V56" i="32"/>
  <c r="T56" i="32"/>
  <c r="Q56" i="32"/>
  <c r="V55" i="32"/>
  <c r="T55" i="32"/>
  <c r="Q55" i="32"/>
  <c r="T54" i="32"/>
  <c r="V54" i="32" s="1"/>
  <c r="Q54" i="32"/>
  <c r="V53" i="32"/>
  <c r="T53" i="32"/>
  <c r="Q53" i="32"/>
  <c r="V52" i="32"/>
  <c r="T52" i="32"/>
  <c r="Q52" i="32"/>
  <c r="V51" i="32"/>
  <c r="T51" i="32"/>
  <c r="Q51" i="32"/>
  <c r="T50" i="32"/>
  <c r="V50" i="32" s="1"/>
  <c r="Q50" i="32"/>
  <c r="V49" i="32"/>
  <c r="T49" i="32"/>
  <c r="Q49" i="32"/>
  <c r="V48" i="32"/>
  <c r="T48" i="32"/>
  <c r="Q48" i="32"/>
  <c r="V47" i="32"/>
  <c r="T47" i="32"/>
  <c r="Q47" i="32"/>
  <c r="T46" i="32"/>
  <c r="V46" i="32" s="1"/>
  <c r="Q46" i="32"/>
  <c r="V45" i="32"/>
  <c r="T45" i="32"/>
  <c r="Q45" i="32"/>
  <c r="V44" i="32"/>
  <c r="T44" i="32"/>
  <c r="Q44" i="32"/>
  <c r="V43" i="32"/>
  <c r="T43" i="32"/>
  <c r="Q43" i="32"/>
  <c r="T42" i="32"/>
  <c r="V42" i="32" s="1"/>
  <c r="Q42" i="32"/>
  <c r="V41" i="32"/>
  <c r="T41" i="32"/>
  <c r="Q41" i="32"/>
  <c r="V40" i="32"/>
  <c r="T40" i="32"/>
  <c r="Q40" i="32"/>
  <c r="V39" i="32"/>
  <c r="T39" i="32"/>
  <c r="Q39" i="32"/>
  <c r="T38" i="32"/>
  <c r="V38" i="32" s="1"/>
  <c r="Q38" i="32"/>
  <c r="V37" i="32"/>
  <c r="T37" i="32"/>
  <c r="Q37" i="32"/>
  <c r="V36" i="32"/>
  <c r="T36" i="32"/>
  <c r="Q36" i="32"/>
  <c r="V35" i="32"/>
  <c r="T35" i="32"/>
  <c r="Q35" i="32"/>
  <c r="T34" i="32"/>
  <c r="V34" i="32" s="1"/>
  <c r="Q34" i="32"/>
  <c r="V33" i="32"/>
  <c r="T33" i="32"/>
  <c r="Q33" i="32"/>
  <c r="V32" i="32"/>
  <c r="T32" i="32"/>
  <c r="Q32" i="32"/>
  <c r="V31" i="32"/>
  <c r="T31" i="32"/>
  <c r="Q31" i="32"/>
  <c r="T30" i="32"/>
  <c r="V30" i="32" s="1"/>
  <c r="Q30" i="32"/>
  <c r="V29" i="32"/>
  <c r="T29" i="32"/>
  <c r="Q29" i="32"/>
  <c r="V28" i="32"/>
  <c r="T28" i="32"/>
  <c r="Q28" i="32"/>
  <c r="V27" i="32"/>
  <c r="T27" i="32"/>
  <c r="Q27" i="32"/>
  <c r="T26" i="32"/>
  <c r="V26" i="32" s="1"/>
  <c r="Q26" i="32"/>
  <c r="V25" i="32"/>
  <c r="T25" i="32"/>
  <c r="Q25" i="32"/>
  <c r="V24" i="32"/>
  <c r="T24" i="32"/>
  <c r="Q24" i="32"/>
  <c r="V23" i="32"/>
  <c r="T23" i="32"/>
  <c r="Q23" i="32"/>
  <c r="T22" i="32"/>
  <c r="V22" i="32" s="1"/>
  <c r="Q22" i="32"/>
  <c r="V21" i="32"/>
  <c r="T21" i="32"/>
  <c r="Q21" i="32"/>
  <c r="V20" i="32"/>
  <c r="T20" i="32"/>
  <c r="Q20" i="32"/>
  <c r="V19" i="32"/>
  <c r="T19" i="32"/>
  <c r="Q19" i="32"/>
  <c r="T18" i="32"/>
  <c r="V18" i="32" s="1"/>
  <c r="Q18" i="32"/>
  <c r="V17" i="32"/>
  <c r="T17" i="32"/>
  <c r="Q17" i="32"/>
  <c r="V16" i="32"/>
  <c r="T16" i="32"/>
  <c r="Q16" i="32"/>
  <c r="V15" i="32"/>
  <c r="T15" i="32"/>
  <c r="Q15" i="32"/>
  <c r="T14" i="32"/>
  <c r="V14" i="32" s="1"/>
  <c r="Q14" i="32"/>
  <c r="V13" i="32"/>
  <c r="T13" i="32"/>
  <c r="Q13" i="32"/>
  <c r="V12" i="32"/>
  <c r="T12" i="32"/>
  <c r="Q12" i="32"/>
  <c r="T11" i="32"/>
  <c r="V11" i="32" s="1"/>
  <c r="Q11" i="32"/>
  <c r="T10" i="32"/>
  <c r="V10" i="32" s="1"/>
  <c r="Q10" i="32"/>
  <c r="V9" i="32"/>
  <c r="T9" i="32"/>
  <c r="Q9" i="32"/>
  <c r="V8" i="32"/>
  <c r="T8" i="32"/>
  <c r="Q8" i="32"/>
  <c r="T7" i="32"/>
  <c r="V7" i="32" s="1"/>
  <c r="Q7" i="32"/>
  <c r="T6" i="32"/>
  <c r="V6" i="32" s="1"/>
  <c r="Q6" i="32"/>
  <c r="V5" i="32"/>
  <c r="T5" i="32"/>
  <c r="Q5" i="32"/>
  <c r="V4" i="32"/>
  <c r="T4" i="32"/>
  <c r="Q4" i="32"/>
  <c r="T3" i="32"/>
  <c r="V3" i="32" s="1"/>
  <c r="Q3" i="32"/>
  <c r="T2" i="32"/>
  <c r="V2" i="32" s="1"/>
  <c r="Q2" i="32"/>
  <c r="T91" i="31" l="1"/>
  <c r="V91" i="31" s="1"/>
  <c r="Q91" i="31"/>
  <c r="T90" i="31"/>
  <c r="V90" i="31" s="1"/>
  <c r="Q90" i="31"/>
  <c r="V89" i="31"/>
  <c r="T89" i="31"/>
  <c r="Q89" i="31"/>
  <c r="V88" i="31"/>
  <c r="T88" i="31"/>
  <c r="Q88" i="31"/>
  <c r="T87" i="31"/>
  <c r="V87" i="31" s="1"/>
  <c r="Q87" i="31"/>
  <c r="T86" i="31"/>
  <c r="V86" i="31" s="1"/>
  <c r="Q86" i="31"/>
  <c r="T85" i="31"/>
  <c r="V85" i="31" s="1"/>
  <c r="Q85" i="31"/>
  <c r="V84" i="31"/>
  <c r="T84" i="31"/>
  <c r="Q84" i="31"/>
  <c r="T83" i="31"/>
  <c r="V83" i="31" s="1"/>
  <c r="Q83" i="31"/>
  <c r="T82" i="31"/>
  <c r="V82" i="31" s="1"/>
  <c r="Q82" i="31"/>
  <c r="T81" i="31"/>
  <c r="V81" i="31" s="1"/>
  <c r="Q81" i="31"/>
  <c r="V80" i="31"/>
  <c r="T80" i="31"/>
  <c r="Q80" i="31"/>
  <c r="T79" i="31"/>
  <c r="V79" i="31" s="1"/>
  <c r="Q79" i="31"/>
  <c r="T78" i="31"/>
  <c r="V78" i="31" s="1"/>
  <c r="Q78" i="31"/>
  <c r="T77" i="31"/>
  <c r="V77" i="31" s="1"/>
  <c r="Q77" i="31"/>
  <c r="V76" i="31"/>
  <c r="T76" i="31"/>
  <c r="Q76" i="31"/>
  <c r="T75" i="31"/>
  <c r="V75" i="31" s="1"/>
  <c r="Q75" i="31"/>
  <c r="T74" i="31"/>
  <c r="V74" i="31" s="1"/>
  <c r="Q74" i="31"/>
  <c r="T73" i="31"/>
  <c r="V73" i="31" s="1"/>
  <c r="Q73" i="31"/>
  <c r="V72" i="31"/>
  <c r="T72" i="31"/>
  <c r="Q72" i="31"/>
  <c r="T71" i="31"/>
  <c r="V71" i="31" s="1"/>
  <c r="Q71" i="31"/>
  <c r="T70" i="31"/>
  <c r="V70" i="31" s="1"/>
  <c r="Q70" i="31"/>
  <c r="T69" i="31"/>
  <c r="V69" i="31" s="1"/>
  <c r="Q69" i="31"/>
  <c r="V68" i="31"/>
  <c r="T68" i="31"/>
  <c r="Q68" i="31"/>
  <c r="T67" i="31"/>
  <c r="V67" i="31" s="1"/>
  <c r="Q67" i="31"/>
  <c r="T66" i="31"/>
  <c r="V66" i="31" s="1"/>
  <c r="Q66" i="31"/>
  <c r="T65" i="31"/>
  <c r="V65" i="31" s="1"/>
  <c r="Q65" i="31"/>
  <c r="V64" i="31"/>
  <c r="T64" i="31"/>
  <c r="Q64" i="31"/>
  <c r="T63" i="31"/>
  <c r="V63" i="31" s="1"/>
  <c r="Q63" i="31"/>
  <c r="V62" i="31"/>
  <c r="T62" i="31"/>
  <c r="Q62" i="31"/>
  <c r="T61" i="31"/>
  <c r="V61" i="31" s="1"/>
  <c r="Q61" i="31"/>
  <c r="V60" i="31"/>
  <c r="T60" i="31"/>
  <c r="Q60" i="31"/>
  <c r="T59" i="31"/>
  <c r="V59" i="31" s="1"/>
  <c r="Q59" i="31"/>
  <c r="V58" i="31"/>
  <c r="T58" i="31"/>
  <c r="Q58" i="31"/>
  <c r="T57" i="31"/>
  <c r="V57" i="31" s="1"/>
  <c r="Q57" i="31"/>
  <c r="V56" i="31"/>
  <c r="T56" i="31"/>
  <c r="Q56" i="31"/>
  <c r="T55" i="31"/>
  <c r="V55" i="31" s="1"/>
  <c r="Q55" i="31"/>
  <c r="V54" i="31"/>
  <c r="T54" i="31"/>
  <c r="Q54" i="31"/>
  <c r="T53" i="31"/>
  <c r="V53" i="31" s="1"/>
  <c r="Q53" i="31"/>
  <c r="V52" i="31"/>
  <c r="T52" i="31"/>
  <c r="Q52" i="31"/>
  <c r="T51" i="31"/>
  <c r="V51" i="31" s="1"/>
  <c r="Q51" i="31"/>
  <c r="V50" i="31"/>
  <c r="T50" i="31"/>
  <c r="Q50" i="31"/>
  <c r="T49" i="31"/>
  <c r="V49" i="31" s="1"/>
  <c r="Q49" i="31"/>
  <c r="V48" i="31"/>
  <c r="T48" i="31"/>
  <c r="Q48" i="31"/>
  <c r="T47" i="31"/>
  <c r="V47" i="31" s="1"/>
  <c r="Q47" i="31"/>
  <c r="V46" i="31"/>
  <c r="T46" i="31"/>
  <c r="Q46" i="31"/>
  <c r="T45" i="31"/>
  <c r="V45" i="31" s="1"/>
  <c r="Q45" i="31"/>
  <c r="V44" i="31"/>
  <c r="T44" i="31"/>
  <c r="Q44" i="31"/>
  <c r="T43" i="31"/>
  <c r="V43" i="31" s="1"/>
  <c r="Q43" i="31"/>
  <c r="V42" i="31"/>
  <c r="T42" i="31"/>
  <c r="Q42" i="31"/>
  <c r="T41" i="31"/>
  <c r="V41" i="31" s="1"/>
  <c r="Q41" i="31"/>
  <c r="V40" i="31"/>
  <c r="T40" i="31"/>
  <c r="Q40" i="31"/>
  <c r="T39" i="31"/>
  <c r="V39" i="31" s="1"/>
  <c r="Q39" i="31"/>
  <c r="V38" i="31"/>
  <c r="T38" i="31"/>
  <c r="Q38" i="31"/>
  <c r="T37" i="31"/>
  <c r="V37" i="31" s="1"/>
  <c r="Q37" i="31"/>
  <c r="V36" i="31"/>
  <c r="T36" i="31"/>
  <c r="Q36" i="31"/>
  <c r="T35" i="31"/>
  <c r="V35" i="31" s="1"/>
  <c r="Q35" i="31"/>
  <c r="V34" i="31"/>
  <c r="T34" i="31"/>
  <c r="Q34" i="31"/>
  <c r="T33" i="31"/>
  <c r="V33" i="31" s="1"/>
  <c r="Q33" i="31"/>
  <c r="V32" i="31"/>
  <c r="T32" i="31"/>
  <c r="Q32" i="31"/>
  <c r="T31" i="31"/>
  <c r="V31" i="31" s="1"/>
  <c r="Q31" i="31"/>
  <c r="V30" i="31"/>
  <c r="T30" i="31"/>
  <c r="Q30" i="31"/>
  <c r="T29" i="31"/>
  <c r="V29" i="31" s="1"/>
  <c r="Q29" i="31"/>
  <c r="V28" i="31"/>
  <c r="T28" i="31"/>
  <c r="Q28" i="31"/>
  <c r="T27" i="31"/>
  <c r="V27" i="31" s="1"/>
  <c r="Q27" i="31"/>
  <c r="V26" i="31"/>
  <c r="T26" i="31"/>
  <c r="Q26" i="31"/>
  <c r="T25" i="31"/>
  <c r="V25" i="31" s="1"/>
  <c r="Q25" i="31"/>
  <c r="V24" i="31"/>
  <c r="T24" i="31"/>
  <c r="Q24" i="31"/>
  <c r="T23" i="31"/>
  <c r="V23" i="31" s="1"/>
  <c r="Q23" i="31"/>
  <c r="V22" i="31"/>
  <c r="T22" i="31"/>
  <c r="Q22" i="31"/>
  <c r="T21" i="31"/>
  <c r="V21" i="31" s="1"/>
  <c r="Q21" i="31"/>
  <c r="V20" i="31"/>
  <c r="T20" i="31"/>
  <c r="Q20" i="31"/>
  <c r="T19" i="31"/>
  <c r="V19" i="31" s="1"/>
  <c r="Q19" i="31"/>
  <c r="V18" i="31"/>
  <c r="T18" i="31"/>
  <c r="Q18" i="31"/>
  <c r="T17" i="31"/>
  <c r="V17" i="31" s="1"/>
  <c r="Q17" i="31"/>
  <c r="V16" i="31"/>
  <c r="T16" i="31"/>
  <c r="Q16" i="31"/>
  <c r="T15" i="31"/>
  <c r="V15" i="31" s="1"/>
  <c r="Q15" i="31"/>
  <c r="T14" i="31"/>
  <c r="Q14" i="31"/>
  <c r="V13" i="31"/>
  <c r="T13" i="31"/>
  <c r="Q13" i="31"/>
  <c r="T12" i="31"/>
  <c r="V12" i="31" s="1"/>
  <c r="Q12" i="31"/>
  <c r="V11" i="31"/>
  <c r="T11" i="31"/>
  <c r="Q11" i="31"/>
  <c r="T10" i="31"/>
  <c r="V10" i="31" s="1"/>
  <c r="Q10" i="31"/>
  <c r="V9" i="31"/>
  <c r="T9" i="31"/>
  <c r="Q9" i="31"/>
  <c r="T8" i="31"/>
  <c r="V8" i="31" s="1"/>
  <c r="Q8" i="31"/>
  <c r="V7" i="31"/>
  <c r="T7" i="31"/>
  <c r="Q7" i="31"/>
  <c r="T6" i="31"/>
  <c r="V6" i="31" s="1"/>
  <c r="Q6" i="31"/>
  <c r="V5" i="31"/>
  <c r="T5" i="31"/>
  <c r="Q5" i="31"/>
  <c r="T4" i="31"/>
  <c r="V4" i="31" s="1"/>
  <c r="Q4" i="31"/>
  <c r="V3" i="31"/>
  <c r="T3" i="31"/>
  <c r="Q3" i="31"/>
  <c r="T2" i="31"/>
  <c r="V2" i="31" s="1"/>
  <c r="Q2" i="31"/>
  <c r="V148" i="30" l="1"/>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T69" i="30"/>
  <c r="Q69"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V78" i="29"/>
  <c r="T78" i="29"/>
  <c r="Q78" i="29"/>
  <c r="T77" i="29"/>
  <c r="V77" i="29" s="1"/>
  <c r="Q77" i="29"/>
  <c r="V76" i="29"/>
  <c r="T76" i="29"/>
  <c r="Q76" i="29"/>
  <c r="T75" i="29"/>
  <c r="V75" i="29" s="1"/>
  <c r="Q75" i="29"/>
  <c r="V74" i="29"/>
  <c r="T74" i="29"/>
  <c r="Q74" i="29"/>
  <c r="T73" i="29"/>
  <c r="V73" i="29" s="1"/>
  <c r="Q73" i="29"/>
  <c r="V72" i="29"/>
  <c r="T72" i="29"/>
  <c r="Q72" i="29"/>
  <c r="T71" i="29"/>
  <c r="V71" i="29" s="1"/>
  <c r="Q71" i="29"/>
  <c r="V70" i="29"/>
  <c r="T70" i="29"/>
  <c r="Q70" i="29"/>
  <c r="T69" i="29"/>
  <c r="V69" i="29" s="1"/>
  <c r="Q69" i="29"/>
  <c r="V68" i="29"/>
  <c r="T68" i="29"/>
  <c r="Q68" i="29"/>
  <c r="T67" i="29"/>
  <c r="V67" i="29" s="1"/>
  <c r="Q67" i="29"/>
  <c r="V66" i="29"/>
  <c r="T66" i="29"/>
  <c r="Q66" i="29"/>
  <c r="T65" i="29"/>
  <c r="V65" i="29" s="1"/>
  <c r="Q65" i="29"/>
  <c r="V64" i="29"/>
  <c r="T64" i="29"/>
  <c r="Q64" i="29"/>
  <c r="T63" i="29"/>
  <c r="V63" i="29" s="1"/>
  <c r="Q63" i="29"/>
  <c r="V62" i="29"/>
  <c r="T62" i="29"/>
  <c r="Q62" i="29"/>
  <c r="T61" i="29"/>
  <c r="V61" i="29" s="1"/>
  <c r="Q61" i="29"/>
  <c r="V60" i="29"/>
  <c r="T60" i="29"/>
  <c r="Q60" i="29"/>
  <c r="T59" i="29"/>
  <c r="V59" i="29" s="1"/>
  <c r="Q59" i="29"/>
  <c r="V58" i="29"/>
  <c r="T58" i="29"/>
  <c r="Q58" i="29"/>
  <c r="T57" i="29"/>
  <c r="V57" i="29" s="1"/>
  <c r="Q57" i="29"/>
  <c r="V56" i="29"/>
  <c r="T56" i="29"/>
  <c r="Q56" i="29"/>
  <c r="T55" i="29"/>
  <c r="V55" i="29" s="1"/>
  <c r="Q55" i="29"/>
  <c r="V54" i="29"/>
  <c r="T54" i="29"/>
  <c r="Q54" i="29"/>
  <c r="T53" i="29"/>
  <c r="V53" i="29" s="1"/>
  <c r="Q53" i="29"/>
  <c r="V52" i="29"/>
  <c r="T52" i="29"/>
  <c r="Q52" i="29"/>
  <c r="T51" i="29"/>
  <c r="V51" i="29" s="1"/>
  <c r="Q51" i="29"/>
  <c r="V50" i="29"/>
  <c r="T50" i="29"/>
  <c r="Q50" i="29"/>
  <c r="T49" i="29"/>
  <c r="V49" i="29" s="1"/>
  <c r="Q49" i="29"/>
  <c r="V48" i="29"/>
  <c r="T48" i="29"/>
  <c r="Q48" i="29"/>
  <c r="T47" i="29"/>
  <c r="V47" i="29" s="1"/>
  <c r="Q47" i="29"/>
  <c r="V46" i="29"/>
  <c r="T46" i="29"/>
  <c r="Q46" i="29"/>
  <c r="T45" i="29"/>
  <c r="V45" i="29" s="1"/>
  <c r="Q45" i="29"/>
  <c r="V44" i="29"/>
  <c r="T44" i="29"/>
  <c r="Q44" i="29"/>
  <c r="T43" i="29"/>
  <c r="V43" i="29" s="1"/>
  <c r="Q43" i="29"/>
  <c r="V42" i="29"/>
  <c r="T42" i="29"/>
  <c r="Q42" i="29"/>
  <c r="T41" i="29"/>
  <c r="V41" i="29" s="1"/>
  <c r="Q41" i="29"/>
  <c r="V40" i="29"/>
  <c r="T40" i="29"/>
  <c r="Q40" i="29"/>
  <c r="T39" i="29"/>
  <c r="V39" i="29" s="1"/>
  <c r="Q39" i="29"/>
  <c r="V38" i="29"/>
  <c r="T38" i="29"/>
  <c r="Q38" i="29"/>
  <c r="T37" i="29"/>
  <c r="V37" i="29" s="1"/>
  <c r="Q37" i="29"/>
  <c r="V36" i="29"/>
  <c r="T36" i="29"/>
  <c r="Q36" i="29"/>
  <c r="T35" i="29"/>
  <c r="V35" i="29" s="1"/>
  <c r="Q35" i="29"/>
  <c r="V34" i="29"/>
  <c r="T34" i="29"/>
  <c r="Q34" i="29"/>
  <c r="T33" i="29"/>
  <c r="V33" i="29" s="1"/>
  <c r="Q33" i="29"/>
  <c r="V32" i="29"/>
  <c r="T32" i="29"/>
  <c r="Q32" i="29"/>
  <c r="T31" i="29"/>
  <c r="V31" i="29" s="1"/>
  <c r="Q31" i="29"/>
  <c r="V30" i="29"/>
  <c r="T30" i="29"/>
  <c r="Q30" i="29"/>
  <c r="T29" i="29"/>
  <c r="V29" i="29" s="1"/>
  <c r="Q29" i="29"/>
  <c r="V28" i="29"/>
  <c r="T28" i="29"/>
  <c r="Q28" i="29"/>
  <c r="T27" i="29"/>
  <c r="V27" i="29" s="1"/>
  <c r="Q27" i="29"/>
  <c r="V26" i="29"/>
  <c r="T26" i="29"/>
  <c r="Q26" i="29"/>
  <c r="T25" i="29"/>
  <c r="V25" i="29" s="1"/>
  <c r="Q25" i="29"/>
  <c r="V24" i="29"/>
  <c r="T24" i="29"/>
  <c r="Q24" i="29"/>
  <c r="T23" i="29"/>
  <c r="V23" i="29" s="1"/>
  <c r="Q23" i="29"/>
  <c r="V22" i="29"/>
  <c r="T22" i="29"/>
  <c r="Q22" i="29"/>
  <c r="T21" i="29"/>
  <c r="V21" i="29" s="1"/>
  <c r="Q21" i="29"/>
  <c r="V20" i="29"/>
  <c r="T20" i="29"/>
  <c r="Q20" i="29"/>
  <c r="T19" i="29"/>
  <c r="V19" i="29" s="1"/>
  <c r="Q19" i="29"/>
  <c r="V18" i="29"/>
  <c r="T18" i="29"/>
  <c r="Q18" i="29"/>
  <c r="T17" i="29"/>
  <c r="V17" i="29" s="1"/>
  <c r="Q17" i="29"/>
  <c r="V16" i="29"/>
  <c r="T16" i="29"/>
  <c r="Q16" i="29"/>
  <c r="T15" i="29"/>
  <c r="V15" i="29" s="1"/>
  <c r="Q15" i="29"/>
  <c r="V14" i="29"/>
  <c r="T14" i="29"/>
  <c r="Q14" i="29"/>
  <c r="T13" i="29"/>
  <c r="V13" i="29" s="1"/>
  <c r="Q13" i="29"/>
  <c r="V12" i="29"/>
  <c r="T12" i="29"/>
  <c r="Q12" i="29"/>
  <c r="T11" i="29"/>
  <c r="V11" i="29" s="1"/>
  <c r="Q11" i="29"/>
  <c r="V10" i="29"/>
  <c r="T10" i="29"/>
  <c r="Q10" i="29"/>
  <c r="T9" i="29"/>
  <c r="V9" i="29" s="1"/>
  <c r="Q9" i="29"/>
  <c r="V8" i="29"/>
  <c r="T8" i="29"/>
  <c r="Q8" i="29"/>
  <c r="T7" i="29"/>
  <c r="V7" i="29" s="1"/>
  <c r="Q7" i="29"/>
  <c r="V6" i="29"/>
  <c r="T6" i="29"/>
  <c r="Q6" i="29"/>
  <c r="T5" i="29"/>
  <c r="V5" i="29" s="1"/>
  <c r="Q5" i="29"/>
  <c r="V4" i="29"/>
  <c r="T4" i="29"/>
  <c r="Q4" i="29"/>
  <c r="T3" i="29"/>
  <c r="V3" i="29" s="1"/>
  <c r="Q3" i="29"/>
  <c r="V2" i="29"/>
  <c r="T2" i="29"/>
  <c r="Q2" i="29"/>
  <c r="V85" i="28" l="1"/>
  <c r="T85" i="28"/>
  <c r="Q85" i="28"/>
  <c r="T84" i="28"/>
  <c r="V84" i="28" s="1"/>
  <c r="Q84" i="28"/>
  <c r="V83" i="28"/>
  <c r="T83" i="28"/>
  <c r="Q83" i="28"/>
  <c r="T82" i="28"/>
  <c r="V82" i="28" s="1"/>
  <c r="Q82" i="28"/>
  <c r="V81" i="28"/>
  <c r="T81" i="28"/>
  <c r="Q81" i="28"/>
  <c r="T80" i="28"/>
  <c r="V80" i="28" s="1"/>
  <c r="Q80" i="28"/>
  <c r="V79" i="28"/>
  <c r="T79" i="28"/>
  <c r="Q79" i="28"/>
  <c r="T78" i="28"/>
  <c r="V78" i="28" s="1"/>
  <c r="Q78" i="28"/>
  <c r="V77" i="28"/>
  <c r="T77" i="28"/>
  <c r="Q77" i="28"/>
  <c r="T76" i="28"/>
  <c r="V76" i="28" s="1"/>
  <c r="Q76" i="28"/>
  <c r="V75" i="28"/>
  <c r="T75" i="28"/>
  <c r="Q75" i="28"/>
  <c r="T74" i="28"/>
  <c r="V74" i="28" s="1"/>
  <c r="Q74" i="28"/>
  <c r="V73" i="28"/>
  <c r="T73" i="28"/>
  <c r="Q73" i="28"/>
  <c r="T72" i="28"/>
  <c r="V72" i="28" s="1"/>
  <c r="Q72" i="28"/>
  <c r="V71" i="28"/>
  <c r="T71" i="28"/>
  <c r="Q71" i="28"/>
  <c r="T70" i="28"/>
  <c r="V70" i="28" s="1"/>
  <c r="Q70" i="28"/>
  <c r="V69" i="28"/>
  <c r="T69" i="28"/>
  <c r="Q69" i="28"/>
  <c r="T68" i="28"/>
  <c r="V68" i="28" s="1"/>
  <c r="Q68" i="28"/>
  <c r="V67" i="28"/>
  <c r="T67" i="28"/>
  <c r="Q67" i="28"/>
  <c r="T66" i="28"/>
  <c r="V66" i="28" s="1"/>
  <c r="Q66" i="28"/>
  <c r="V65" i="28"/>
  <c r="T65" i="28"/>
  <c r="Q65" i="28"/>
  <c r="T64" i="28"/>
  <c r="V64" i="28" s="1"/>
  <c r="Q64" i="28"/>
  <c r="V63" i="28"/>
  <c r="T63" i="28"/>
  <c r="Q63" i="28"/>
  <c r="T62" i="28"/>
  <c r="V62" i="28" s="1"/>
  <c r="Q62" i="28"/>
  <c r="V61" i="28"/>
  <c r="T61" i="28"/>
  <c r="Q61" i="28"/>
  <c r="T60" i="28"/>
  <c r="V60" i="28" s="1"/>
  <c r="Q60" i="28"/>
  <c r="V59" i="28"/>
  <c r="T59" i="28"/>
  <c r="Q59" i="28"/>
  <c r="T58" i="28"/>
  <c r="V58" i="28" s="1"/>
  <c r="Q58" i="28"/>
  <c r="V57" i="28"/>
  <c r="T57" i="28"/>
  <c r="Q57" i="28"/>
  <c r="T56" i="28"/>
  <c r="V56" i="28" s="1"/>
  <c r="Q56" i="28"/>
  <c r="V55" i="28"/>
  <c r="T55" i="28"/>
  <c r="Q55" i="28"/>
  <c r="T54" i="28"/>
  <c r="V54" i="28" s="1"/>
  <c r="Q54" i="28"/>
  <c r="V53" i="28"/>
  <c r="T53" i="28"/>
  <c r="Q53" i="28"/>
  <c r="T52" i="28"/>
  <c r="V52" i="28" s="1"/>
  <c r="Q52" i="28"/>
  <c r="V51" i="28"/>
  <c r="T51" i="28"/>
  <c r="Q51" i="28"/>
  <c r="T50" i="28"/>
  <c r="V50" i="28" s="1"/>
  <c r="Q50" i="28"/>
  <c r="V49" i="28"/>
  <c r="T49" i="28"/>
  <c r="Q49" i="28"/>
  <c r="T48" i="28"/>
  <c r="V48" i="28" s="1"/>
  <c r="Q48" i="28"/>
  <c r="V47" i="28"/>
  <c r="T47" i="28"/>
  <c r="Q47" i="28"/>
  <c r="T46" i="28"/>
  <c r="V46" i="28" s="1"/>
  <c r="Q46" i="28"/>
  <c r="V45" i="28"/>
  <c r="T45" i="28"/>
  <c r="Q45" i="28"/>
  <c r="T44" i="28"/>
  <c r="V44" i="28" s="1"/>
  <c r="Q44" i="28"/>
  <c r="V43" i="28"/>
  <c r="T43" i="28"/>
  <c r="Q43" i="28"/>
  <c r="T42" i="28"/>
  <c r="V42" i="28" s="1"/>
  <c r="Q42" i="28"/>
  <c r="V41" i="28"/>
  <c r="T41" i="28"/>
  <c r="V40" i="28"/>
  <c r="T40" i="28"/>
  <c r="Q40" i="28"/>
  <c r="T39" i="28"/>
  <c r="V39" i="28" s="1"/>
  <c r="Q39" i="28"/>
  <c r="V38" i="28"/>
  <c r="T38" i="28"/>
  <c r="Q38" i="28"/>
  <c r="T37" i="28"/>
  <c r="V37" i="28" s="1"/>
  <c r="Q37" i="28"/>
  <c r="V36" i="28"/>
  <c r="T36" i="28"/>
  <c r="Q36" i="28"/>
  <c r="T35" i="28"/>
  <c r="V35" i="28" s="1"/>
  <c r="Q35" i="28"/>
  <c r="V34" i="28"/>
  <c r="T34" i="28"/>
  <c r="Q34" i="28"/>
  <c r="T33" i="28"/>
  <c r="V33" i="28" s="1"/>
  <c r="Q33" i="28"/>
  <c r="V32" i="28"/>
  <c r="T32" i="28"/>
  <c r="Q32" i="28"/>
  <c r="T31" i="28"/>
  <c r="V31" i="28" s="1"/>
  <c r="Q31" i="28"/>
  <c r="V30" i="28"/>
  <c r="T30" i="28"/>
  <c r="Q30" i="28"/>
  <c r="T29" i="28"/>
  <c r="V29" i="28" s="1"/>
  <c r="Q29" i="28"/>
  <c r="V28" i="28"/>
  <c r="T28" i="28"/>
  <c r="Q28" i="28"/>
  <c r="T27" i="28"/>
  <c r="V27" i="28" s="1"/>
  <c r="Q27" i="28"/>
  <c r="V26" i="28"/>
  <c r="T26" i="28"/>
  <c r="Q26" i="28"/>
  <c r="T25" i="28"/>
  <c r="V25" i="28" s="1"/>
  <c r="Q25" i="28"/>
  <c r="V24" i="28"/>
  <c r="T24" i="28"/>
  <c r="Q24" i="28"/>
  <c r="T23" i="28"/>
  <c r="V23" i="28" s="1"/>
  <c r="Q23" i="28"/>
  <c r="V22" i="28"/>
  <c r="T22" i="28"/>
  <c r="Q22" i="28"/>
  <c r="T21" i="28"/>
  <c r="V21" i="28" s="1"/>
  <c r="Q21" i="28"/>
  <c r="V20" i="28"/>
  <c r="T20" i="28"/>
  <c r="Q20" i="28"/>
  <c r="T19" i="28"/>
  <c r="V19" i="28" s="1"/>
  <c r="Q19" i="28"/>
  <c r="V18" i="28"/>
  <c r="T18" i="28"/>
  <c r="Q18" i="28"/>
  <c r="T17" i="28"/>
  <c r="V17" i="28" s="1"/>
  <c r="Q17" i="28"/>
  <c r="V16" i="28"/>
  <c r="T16" i="28"/>
  <c r="Q16" i="28"/>
  <c r="T15" i="28"/>
  <c r="V15" i="28" s="1"/>
  <c r="Q15" i="28"/>
  <c r="V14" i="28"/>
  <c r="T14" i="28"/>
  <c r="Q14" i="28"/>
  <c r="T13" i="28"/>
  <c r="V13" i="28" s="1"/>
  <c r="Q13" i="28"/>
  <c r="V12" i="28"/>
  <c r="T12" i="28"/>
  <c r="Q12" i="28"/>
  <c r="T11" i="28"/>
  <c r="V11" i="28" s="1"/>
  <c r="Q11" i="28"/>
  <c r="V10" i="28"/>
  <c r="T10" i="28"/>
  <c r="Q10" i="28"/>
  <c r="T9" i="28"/>
  <c r="V9" i="28" s="1"/>
  <c r="Q9" i="28"/>
  <c r="V8" i="28"/>
  <c r="T8" i="28"/>
  <c r="Q8" i="28"/>
  <c r="T7" i="28"/>
  <c r="V7" i="28" s="1"/>
  <c r="Q7" i="28"/>
  <c r="V6" i="28"/>
  <c r="T6" i="28"/>
  <c r="Q6" i="28"/>
  <c r="T5" i="28"/>
  <c r="V5" i="28" s="1"/>
  <c r="Q5" i="28"/>
  <c r="V4" i="28"/>
  <c r="T4" i="28"/>
  <c r="Q4" i="28"/>
  <c r="T3" i="28"/>
  <c r="V3" i="28" s="1"/>
  <c r="Q3" i="28"/>
  <c r="V2" i="28"/>
  <c r="T2" i="28"/>
  <c r="Q2" i="28"/>
  <c r="T61" i="27"/>
  <c r="V61" i="27" s="1"/>
  <c r="Q61" i="27"/>
  <c r="V60" i="27"/>
  <c r="T60" i="27"/>
  <c r="Q60" i="27"/>
  <c r="T59" i="27"/>
  <c r="V59" i="27" s="1"/>
  <c r="Q59" i="27"/>
  <c r="V58" i="27"/>
  <c r="T58" i="27"/>
  <c r="Q58" i="27"/>
  <c r="T57" i="27"/>
  <c r="V57" i="27" s="1"/>
  <c r="Q57" i="27"/>
  <c r="V56" i="27"/>
  <c r="T56" i="27"/>
  <c r="Q56" i="27"/>
  <c r="T55" i="27"/>
  <c r="V55" i="27" s="1"/>
  <c r="Q55" i="27"/>
  <c r="V54" i="27"/>
  <c r="T54" i="27"/>
  <c r="Q54" i="27"/>
  <c r="T53" i="27"/>
  <c r="V53" i="27" s="1"/>
  <c r="Q53" i="27"/>
  <c r="V52" i="27"/>
  <c r="T52" i="27"/>
  <c r="Q52" i="27"/>
  <c r="T51" i="27"/>
  <c r="V51" i="27" s="1"/>
  <c r="Q51" i="27"/>
  <c r="V50" i="27"/>
  <c r="T50" i="27"/>
  <c r="Q50" i="27"/>
  <c r="T49" i="27"/>
  <c r="V49" i="27" s="1"/>
  <c r="Q49" i="27"/>
  <c r="V48" i="27"/>
  <c r="T48" i="27"/>
  <c r="Q48" i="27"/>
  <c r="T47" i="27"/>
  <c r="V47" i="27" s="1"/>
  <c r="Q47" i="27"/>
  <c r="V46" i="27"/>
  <c r="T46" i="27"/>
  <c r="Q46" i="27"/>
  <c r="T45" i="27"/>
  <c r="V45" i="27" s="1"/>
  <c r="Q45" i="27"/>
  <c r="V44" i="27"/>
  <c r="T44" i="27"/>
  <c r="Q44" i="27"/>
  <c r="T43" i="27"/>
  <c r="V43" i="27" s="1"/>
  <c r="Q43" i="27"/>
  <c r="V42" i="27"/>
  <c r="T42" i="27"/>
  <c r="Q42" i="27"/>
  <c r="T41" i="27"/>
  <c r="V41" i="27" s="1"/>
  <c r="Q41" i="27"/>
  <c r="V40" i="27"/>
  <c r="T40" i="27"/>
  <c r="Q40" i="27"/>
  <c r="T39" i="27"/>
  <c r="V39" i="27" s="1"/>
  <c r="Q39" i="27"/>
  <c r="V38" i="27"/>
  <c r="T38" i="27"/>
  <c r="Q38" i="27"/>
  <c r="T37" i="27"/>
  <c r="V37" i="27" s="1"/>
  <c r="Q37" i="27"/>
  <c r="V36" i="27"/>
  <c r="T36" i="27"/>
  <c r="Q36" i="27"/>
  <c r="T35" i="27"/>
  <c r="V35" i="27" s="1"/>
  <c r="Q35" i="27"/>
  <c r="V34" i="27"/>
  <c r="T34" i="27"/>
  <c r="Q34" i="27"/>
  <c r="T33" i="27"/>
  <c r="V33" i="27" s="1"/>
  <c r="Q33" i="27"/>
  <c r="V32" i="27"/>
  <c r="T32" i="27"/>
  <c r="Q32" i="27"/>
  <c r="T31" i="27"/>
  <c r="V31" i="27" s="1"/>
  <c r="Q31" i="27"/>
  <c r="V30" i="27"/>
  <c r="T30" i="27"/>
  <c r="Q30" i="27"/>
  <c r="T29" i="27"/>
  <c r="V29" i="27" s="1"/>
  <c r="Q29" i="27"/>
  <c r="V28" i="27"/>
  <c r="T28" i="27"/>
  <c r="Q28" i="27"/>
  <c r="T27" i="27"/>
  <c r="V27" i="27" s="1"/>
  <c r="Q27" i="27"/>
  <c r="V26" i="27"/>
  <c r="T26" i="27"/>
  <c r="Q26" i="27"/>
  <c r="T25" i="27"/>
  <c r="V25" i="27" s="1"/>
  <c r="Q25" i="27"/>
  <c r="V24" i="27"/>
  <c r="T24" i="27"/>
  <c r="Q24" i="27"/>
  <c r="T23" i="27"/>
  <c r="V23" i="27" s="1"/>
  <c r="Q23" i="27"/>
  <c r="V22" i="27"/>
  <c r="T22" i="27"/>
  <c r="Q22" i="27"/>
  <c r="T21" i="27"/>
  <c r="V21" i="27" s="1"/>
  <c r="Q21" i="27"/>
  <c r="V20" i="27"/>
  <c r="T20" i="27"/>
  <c r="Q20" i="27"/>
  <c r="T19" i="27"/>
  <c r="V19" i="27" s="1"/>
  <c r="Q19" i="27"/>
  <c r="V18" i="27"/>
  <c r="T18" i="27"/>
  <c r="Q18" i="27"/>
  <c r="T17" i="27"/>
  <c r="V17" i="27" s="1"/>
  <c r="Q17" i="27"/>
  <c r="V16" i="27"/>
  <c r="T16" i="27"/>
  <c r="Q16" i="27"/>
  <c r="T15" i="27"/>
  <c r="V15" i="27" s="1"/>
  <c r="Q15" i="27"/>
  <c r="V14" i="27"/>
  <c r="T14" i="27"/>
  <c r="Q14" i="27"/>
  <c r="T13" i="27"/>
  <c r="V13" i="27" s="1"/>
  <c r="Q13" i="27"/>
  <c r="V12" i="27"/>
  <c r="T12" i="27"/>
  <c r="Q12" i="27"/>
  <c r="T11" i="27"/>
  <c r="V11" i="27" s="1"/>
  <c r="Q11" i="27"/>
  <c r="V10" i="27"/>
  <c r="T10" i="27"/>
  <c r="Q10" i="27"/>
  <c r="T9" i="27"/>
  <c r="V9" i="27" s="1"/>
  <c r="Q9" i="27"/>
  <c r="V8" i="27"/>
  <c r="T8" i="27"/>
  <c r="Q8" i="27"/>
  <c r="T7" i="27"/>
  <c r="V7" i="27" s="1"/>
  <c r="Q7" i="27"/>
  <c r="V6" i="27"/>
  <c r="T6" i="27"/>
  <c r="Q6" i="27"/>
  <c r="T5" i="27"/>
  <c r="V5" i="27" s="1"/>
  <c r="Q5" i="27"/>
  <c r="T4" i="27"/>
  <c r="V4" i="27" s="1"/>
  <c r="Q4" i="27"/>
  <c r="T3" i="27"/>
  <c r="V3" i="27" s="1"/>
  <c r="Q3" i="27"/>
  <c r="V2" i="27"/>
  <c r="T2" i="27"/>
  <c r="Q2" i="27"/>
  <c r="T127" i="26" l="1"/>
  <c r="V127" i="26" s="1"/>
  <c r="Q127" i="26"/>
  <c r="V126" i="26"/>
  <c r="T126" i="26"/>
  <c r="Q126" i="26"/>
  <c r="T125" i="26"/>
  <c r="V125" i="26" s="1"/>
  <c r="Q125" i="26"/>
  <c r="V124" i="26"/>
  <c r="T124" i="26"/>
  <c r="Q124" i="26"/>
  <c r="T123" i="26"/>
  <c r="V123" i="26" s="1"/>
  <c r="Q123" i="26"/>
  <c r="V122" i="26"/>
  <c r="T122" i="26"/>
  <c r="Q122" i="26"/>
  <c r="T121" i="26"/>
  <c r="V121" i="26" s="1"/>
  <c r="Q121" i="26"/>
  <c r="V120" i="26"/>
  <c r="T120" i="26"/>
  <c r="Q120" i="26"/>
  <c r="T119" i="26"/>
  <c r="V119" i="26" s="1"/>
  <c r="Q119" i="26"/>
  <c r="V118" i="26"/>
  <c r="T118" i="26"/>
  <c r="Q118" i="26"/>
  <c r="T117" i="26"/>
  <c r="V117" i="26" s="1"/>
  <c r="Q117" i="26"/>
  <c r="V116" i="26"/>
  <c r="T116" i="26"/>
  <c r="Q116" i="26"/>
  <c r="T115" i="26"/>
  <c r="V115" i="26" s="1"/>
  <c r="Q115" i="26"/>
  <c r="V114" i="26"/>
  <c r="T114" i="26"/>
  <c r="Q114" i="26"/>
  <c r="T113" i="26"/>
  <c r="V113" i="26" s="1"/>
  <c r="Q113" i="26"/>
  <c r="V112" i="26"/>
  <c r="T112" i="26"/>
  <c r="Q112" i="26"/>
  <c r="T111" i="26"/>
  <c r="V111" i="26" s="1"/>
  <c r="Q111" i="26"/>
  <c r="V110" i="26"/>
  <c r="T110" i="26"/>
  <c r="Q110" i="26"/>
  <c r="T109" i="26"/>
  <c r="V109" i="26" s="1"/>
  <c r="Q109" i="26"/>
  <c r="V108" i="26"/>
  <c r="T108" i="26"/>
  <c r="Q108" i="26"/>
  <c r="T107" i="26"/>
  <c r="V107" i="26" s="1"/>
  <c r="Q107" i="26"/>
  <c r="V106" i="26"/>
  <c r="T106" i="26"/>
  <c r="Q106" i="26"/>
  <c r="T105" i="26"/>
  <c r="V105" i="26" s="1"/>
  <c r="Q105" i="26"/>
  <c r="V104" i="26"/>
  <c r="T104" i="26"/>
  <c r="Q104" i="26"/>
  <c r="T103" i="26"/>
  <c r="V103" i="26" s="1"/>
  <c r="Q103" i="26"/>
  <c r="V102" i="26"/>
  <c r="T102" i="26"/>
  <c r="Q102" i="26"/>
  <c r="T101" i="26"/>
  <c r="V101" i="26" s="1"/>
  <c r="Q101" i="26"/>
  <c r="V100" i="26"/>
  <c r="T100" i="26"/>
  <c r="Q100" i="26"/>
  <c r="T99" i="26"/>
  <c r="V99" i="26" s="1"/>
  <c r="Q99" i="26"/>
  <c r="V98" i="26"/>
  <c r="T98" i="26"/>
  <c r="Q98" i="26"/>
  <c r="T97" i="26"/>
  <c r="V97" i="26" s="1"/>
  <c r="Q97" i="26"/>
  <c r="V96" i="26"/>
  <c r="T96" i="26"/>
  <c r="Q96" i="26"/>
  <c r="T95" i="26"/>
  <c r="V95" i="26" s="1"/>
  <c r="Q95" i="26"/>
  <c r="V94" i="26"/>
  <c r="T94" i="26"/>
  <c r="Q94" i="26"/>
  <c r="T93" i="26"/>
  <c r="V93" i="26" s="1"/>
  <c r="Q93" i="26"/>
  <c r="V92" i="26"/>
  <c r="T92" i="26"/>
  <c r="Q92" i="26"/>
  <c r="T91" i="26"/>
  <c r="V91" i="26" s="1"/>
  <c r="Q91" i="26"/>
  <c r="V90" i="26"/>
  <c r="T90" i="26"/>
  <c r="Q90" i="26"/>
  <c r="T89" i="26"/>
  <c r="V89" i="26" s="1"/>
  <c r="Q89" i="26"/>
  <c r="V88" i="26"/>
  <c r="T88" i="26"/>
  <c r="Q88" i="26"/>
  <c r="T87" i="26"/>
  <c r="V87" i="26" s="1"/>
  <c r="Q87" i="26"/>
  <c r="V86" i="26"/>
  <c r="T86" i="26"/>
  <c r="Q86" i="26"/>
  <c r="T85" i="26"/>
  <c r="V85" i="26" s="1"/>
  <c r="Q85" i="26"/>
  <c r="V84" i="26"/>
  <c r="T84" i="26"/>
  <c r="Q84" i="26"/>
  <c r="T83" i="26"/>
  <c r="V83" i="26" s="1"/>
  <c r="Q83" i="26"/>
  <c r="V82" i="26"/>
  <c r="T82" i="26"/>
  <c r="Q82" i="26"/>
  <c r="T81" i="26"/>
  <c r="V81" i="26" s="1"/>
  <c r="Q81" i="26"/>
  <c r="V80" i="26"/>
  <c r="T80" i="26"/>
  <c r="Q80" i="26"/>
  <c r="T79" i="26"/>
  <c r="V79" i="26" s="1"/>
  <c r="Q79" i="26"/>
  <c r="V78" i="26"/>
  <c r="T78" i="26"/>
  <c r="Q78" i="26"/>
  <c r="T77" i="26"/>
  <c r="V77" i="26" s="1"/>
  <c r="Q77" i="26"/>
  <c r="V76" i="26"/>
  <c r="T76" i="26"/>
  <c r="Q76" i="26"/>
  <c r="T75" i="26"/>
  <c r="V75" i="26" s="1"/>
  <c r="Q75" i="26"/>
  <c r="V74" i="26"/>
  <c r="T74" i="26"/>
  <c r="Q74" i="26"/>
  <c r="T73" i="26"/>
  <c r="V73" i="26" s="1"/>
  <c r="Q73" i="26"/>
  <c r="V72" i="26"/>
  <c r="T72" i="26"/>
  <c r="Q72" i="26"/>
  <c r="T71" i="26"/>
  <c r="V71" i="26" s="1"/>
  <c r="Q71" i="26"/>
  <c r="V70" i="26"/>
  <c r="T70" i="26"/>
  <c r="Q70" i="26"/>
  <c r="T69" i="26"/>
  <c r="V69" i="26" s="1"/>
  <c r="Q69" i="26"/>
  <c r="V68" i="26"/>
  <c r="T68" i="26"/>
  <c r="Q68" i="26"/>
  <c r="T67" i="26"/>
  <c r="V67" i="26" s="1"/>
  <c r="Q67" i="26"/>
  <c r="V66" i="26"/>
  <c r="T66" i="26"/>
  <c r="Q66" i="26"/>
  <c r="T65" i="26"/>
  <c r="V65" i="26" s="1"/>
  <c r="Q65" i="26"/>
  <c r="V64" i="26"/>
  <c r="T64" i="26"/>
  <c r="Q64" i="26"/>
  <c r="T63" i="26"/>
  <c r="V63" i="26" s="1"/>
  <c r="Q63" i="26"/>
  <c r="V62" i="26"/>
  <c r="T62" i="26"/>
  <c r="Q62" i="26"/>
  <c r="T61" i="26"/>
  <c r="V61" i="26" s="1"/>
  <c r="Q61" i="26"/>
  <c r="V60" i="26"/>
  <c r="T60" i="26"/>
  <c r="Q60" i="26"/>
  <c r="T59" i="26"/>
  <c r="V59" i="26" s="1"/>
  <c r="Q59" i="26"/>
  <c r="V58" i="26"/>
  <c r="T58" i="26"/>
  <c r="Q58" i="26"/>
  <c r="T57" i="26"/>
  <c r="V57" i="26" s="1"/>
  <c r="Q57" i="26"/>
  <c r="V56" i="26"/>
  <c r="T56" i="26"/>
  <c r="Q56" i="26"/>
  <c r="T55" i="26"/>
  <c r="V55" i="26" s="1"/>
  <c r="Q55" i="26"/>
  <c r="V54" i="26"/>
  <c r="T54" i="26"/>
  <c r="Q54" i="26"/>
  <c r="T53" i="26"/>
  <c r="V53" i="26" s="1"/>
  <c r="Q53" i="26"/>
  <c r="V52" i="26"/>
  <c r="T52" i="26"/>
  <c r="Q52" i="26"/>
  <c r="T51" i="26"/>
  <c r="V51" i="26" s="1"/>
  <c r="Q51" i="26"/>
  <c r="V50" i="26"/>
  <c r="T50" i="26"/>
  <c r="Q50" i="26"/>
  <c r="T49" i="26"/>
  <c r="V49" i="26" s="1"/>
  <c r="Q49" i="26"/>
  <c r="V48" i="26"/>
  <c r="T48" i="26"/>
  <c r="Q48" i="26"/>
  <c r="T47" i="26"/>
  <c r="V47" i="26" s="1"/>
  <c r="Q47" i="26"/>
  <c r="V46" i="26"/>
  <c r="T46" i="26"/>
  <c r="Q46" i="26"/>
  <c r="T45" i="26"/>
  <c r="V45" i="26" s="1"/>
  <c r="Q45" i="26"/>
  <c r="V44" i="26"/>
  <c r="T44" i="26"/>
  <c r="Q44" i="26"/>
  <c r="T43" i="26"/>
  <c r="V43" i="26" s="1"/>
  <c r="Q43" i="26"/>
  <c r="V42" i="26"/>
  <c r="T42" i="26"/>
  <c r="Q42" i="26"/>
  <c r="T41" i="26"/>
  <c r="V41" i="26" s="1"/>
  <c r="Q41" i="26"/>
  <c r="V40" i="26"/>
  <c r="T40" i="26"/>
  <c r="Q40" i="26"/>
  <c r="T39" i="26"/>
  <c r="V39" i="26" s="1"/>
  <c r="Q39" i="26"/>
  <c r="V38" i="26"/>
  <c r="T38" i="26"/>
  <c r="Q38" i="26"/>
  <c r="T37" i="26"/>
  <c r="V37" i="26" s="1"/>
  <c r="Q37" i="26"/>
  <c r="V36" i="26"/>
  <c r="T36" i="26"/>
  <c r="Q36" i="26"/>
  <c r="T35" i="26"/>
  <c r="V35" i="26" s="1"/>
  <c r="Q35" i="26"/>
  <c r="V34" i="26"/>
  <c r="T34" i="26"/>
  <c r="Q34" i="26"/>
  <c r="T33" i="26"/>
  <c r="V33" i="26" s="1"/>
  <c r="Q33" i="26"/>
  <c r="V32" i="26"/>
  <c r="T32" i="26"/>
  <c r="Q32" i="26"/>
  <c r="T31" i="26"/>
  <c r="V31" i="26" s="1"/>
  <c r="Q31" i="26"/>
  <c r="V30" i="26"/>
  <c r="T30" i="26"/>
  <c r="Q30" i="26"/>
  <c r="T29" i="26"/>
  <c r="V29" i="26" s="1"/>
  <c r="Q29" i="26"/>
  <c r="V28" i="26"/>
  <c r="T28" i="26"/>
  <c r="Q28" i="26"/>
  <c r="T27" i="26"/>
  <c r="V27" i="26" s="1"/>
  <c r="Q27" i="26"/>
  <c r="V26" i="26"/>
  <c r="T26" i="26"/>
  <c r="Q26" i="26"/>
  <c r="T25" i="26"/>
  <c r="V25" i="26" s="1"/>
  <c r="Q25" i="26"/>
  <c r="V24" i="26"/>
  <c r="T24" i="26"/>
  <c r="Q24" i="26"/>
  <c r="T23" i="26"/>
  <c r="V23" i="26" s="1"/>
  <c r="Q23" i="26"/>
  <c r="V22" i="26"/>
  <c r="T22" i="26"/>
  <c r="Q22" i="26"/>
  <c r="T21" i="26"/>
  <c r="V21" i="26" s="1"/>
  <c r="Q21" i="26"/>
  <c r="V20" i="26"/>
  <c r="T20" i="26"/>
  <c r="Q20" i="26"/>
  <c r="T19" i="26"/>
  <c r="V19" i="26" s="1"/>
  <c r="Q19" i="26"/>
  <c r="V18" i="26"/>
  <c r="T18" i="26"/>
  <c r="Q18" i="26"/>
  <c r="T17" i="26"/>
  <c r="V17" i="26" s="1"/>
  <c r="Q17" i="26"/>
  <c r="V16" i="26"/>
  <c r="T16" i="26"/>
  <c r="Q16" i="26"/>
  <c r="T15" i="26"/>
  <c r="V15" i="26" s="1"/>
  <c r="Q15" i="26"/>
  <c r="V14" i="26"/>
  <c r="T14" i="26"/>
  <c r="Q14" i="26"/>
  <c r="T13" i="26"/>
  <c r="V13" i="26" s="1"/>
  <c r="Q13" i="26"/>
  <c r="V12" i="26"/>
  <c r="T12" i="26"/>
  <c r="Q12" i="26"/>
  <c r="T11" i="26"/>
  <c r="V11" i="26" s="1"/>
  <c r="Q11" i="26"/>
  <c r="T10" i="26"/>
  <c r="V10" i="26" s="1"/>
  <c r="Q10" i="26"/>
  <c r="T9" i="26"/>
  <c r="V9" i="26" s="1"/>
  <c r="Q9" i="26"/>
  <c r="V8" i="26"/>
  <c r="T8" i="26"/>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<sst xmlns="http://schemas.openxmlformats.org/spreadsheetml/2006/main" count="10563" uniqueCount="566">
  <si>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</si>
  <si>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</si>
  <si>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</si>
  <si>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</si>
  <si>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</si>
  <si>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</si>
  <si>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</si>
  <si>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</si>
  <si>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</si>
  <si>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</si>
  <si>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</si>
  <si>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</si>
  <si>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</si>
  <si>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</si>
  <si>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</si>
  <si>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</si>
  <si>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</si>
  <si>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</si>
  <si>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</si>
  <si>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</si>
  <si>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</si>
  <si>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</si>
  <si>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</si>
  <si>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</si>
  <si>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</si>
  <si>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</si>
  <si>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</si>
  <si>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</si>
  <si>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</si>
  <si>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</si>
  <si>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</si>
  <si>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</si>
  <si>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</si>
  <si>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</si>
  <si>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</si>
  <si>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</si>
  <si>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</si>
  <si>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</si>
  <si>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</si>
  <si>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</si>
  <si>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</si>
  <si>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</si>
  <si>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</si>
  <si>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</si>
  <si>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</si>
  <si>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</si>
  <si>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</si>
  <si>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</si>
  <si>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</si>
  <si>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</si>
  <si>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</si>
  <si>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</si>
  <si>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</si>
  <si>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</si>
  <si>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</si>
  <si>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</si>
  <si>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</si>
  <si>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</si>
  <si>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</si>
  <si>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</si>
  <si>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</si>
  <si>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</si>
  <si>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</si>
  <si>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</si>
  <si>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</si>
  <si>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</si>
  <si>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</si>
  <si>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</si>
  <si>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</si>
  <si>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</si>
  <si>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</si>
  <si>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</si>
  <si>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</si>
  <si>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</si>
  <si>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</si>
  <si>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</si>
  <si>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</si>
  <si>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</si>
  <si>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</si>
  <si>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</si>
  <si>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</si>
  <si>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</si>
  <si>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</si>
  <si>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</si>
  <si>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</si>
  <si>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</si>
  <si>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</si>
  <si>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</si>
  <si>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</si>
  <si>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</si>
  <si>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</si>
  <si>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</si>
  <si>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</si>
  <si>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</si>
  <si>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</si>
  <si>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</si>
  <si>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</si>
  <si>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</si>
  <si>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</si>
  <si>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</si>
  <si>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</si>
  <si>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</si>
  <si>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</si>
  <si>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</si>
  <si>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</si>
  <si>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</si>
  <si>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</si>
  <si>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</si>
  <si>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</si>
  <si>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</si>
  <si>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</si>
  <si>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</si>
  <si>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</si>
  <si>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</si>
  <si>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</si>
  <si>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</si>
  <si>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</si>
  <si>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</si>
  <si>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</si>
  <si>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</si>
  <si>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</si>
  <si>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</si>
  <si>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</si>
  <si>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</si>
  <si>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</si>
  <si>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</si>
  <si>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</si>
  <si>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</si>
  <si>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</si>
  <si>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</si>
  <si>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</si>
  <si>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</si>
  <si>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</si>
  <si>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</si>
  <si>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</si>
  <si>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</si>
  <si>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</si>
  <si>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</si>
  <si>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</si>
  <si>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</si>
  <si>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</si>
  <si>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</si>
  <si>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</si>
  <si>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</si>
  <si>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</si>
  <si>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</si>
  <si>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</si>
  <si>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</si>
  <si>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</si>
  <si>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</si>
  <si>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</si>
  <si>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</si>
  <si>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</si>
  <si>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</si>
  <si>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</si>
  <si>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</si>
  <si>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</si>
  <si>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</si>
  <si>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</si>
  <si>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</si>
  <si>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Green
Other
SIZE</t>
    <phoneticPr fontId="4"/>
  </si>
  <si>
    <r>
      <t xml:space="preserve">Gold
</t>
    </r>
    <r>
      <rPr>
        <b/>
        <sz val="8"/>
        <rFont val="ＭＳ Ｐゴシック"/>
        <family val="3"/>
        <charset val="128"/>
      </rPr>
      <t>最低重量</t>
    </r>
    <phoneticPr fontId="4"/>
  </si>
  <si>
    <t>GA</t>
  </si>
  <si>
    <t>HW</t>
    <phoneticPr fontId="4"/>
  </si>
  <si>
    <t>CK</t>
    <phoneticPr fontId="4"/>
  </si>
  <si>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</si>
  <si>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</si>
  <si>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</si>
  <si>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</si>
  <si>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</si>
  <si>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</si>
  <si>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</si>
  <si>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</si>
  <si>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</si>
  <si>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</si>
  <si>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</si>
  <si>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</si>
  <si>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</si>
  <si>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</si>
  <si>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</si>
  <si>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</si>
  <si>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</si>
  <si>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</si>
  <si>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</si>
  <si>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</si>
  <si>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</si>
  <si>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</si>
  <si>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</si>
  <si>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</si>
  <si>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</si>
  <si>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</si>
  <si>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</si>
  <si>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</si>
  <si>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</si>
  <si>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</si>
  <si>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</si>
  <si>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</si>
  <si>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</si>
  <si>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</si>
  <si>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</si>
  <si>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</si>
  <si>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</si>
  <si>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</si>
  <si>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</si>
  <si>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</si>
  <si>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</si>
  <si>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</si>
  <si>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</si>
  <si>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</si>
  <si>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</si>
  <si>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</si>
  <si>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</si>
  <si>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</si>
  <si>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</si>
  <si>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</si>
  <si>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</si>
  <si>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</si>
  <si>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</si>
  <si>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</si>
  <si>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</si>
  <si>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</si>
  <si>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</si>
  <si>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</si>
  <si>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</si>
  <si>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</si>
  <si>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</si>
  <si>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</si>
  <si>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</si>
  <si>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</si>
  <si>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</si>
  <si>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</si>
  <si>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</si>
  <si>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</si>
  <si>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</si>
  <si>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</si>
  <si>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</si>
  <si>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</si>
  <si>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</si>
  <si>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</si>
  <si>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</si>
  <si>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</si>
  <si>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</si>
  <si>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</si>
  <si>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</si>
  <si>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</si>
  <si>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</si>
  <si>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</si>
  <si>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</si>
  <si>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</si>
  <si>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</si>
  <si>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</si>
  <si>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</si>
  <si>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</si>
  <si>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</si>
  <si>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</si>
  <si>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</si>
  <si>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</si>
  <si>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</si>
  <si>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</si>
  <si>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</si>
  <si>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</si>
  <si>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</si>
  <si>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</si>
  <si>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</si>
  <si>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</si>
  <si>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</si>
  <si>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</si>
  <si>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</si>
  <si>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</si>
  <si>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</si>
  <si>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</si>
  <si>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</si>
  <si>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</si>
  <si>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</si>
  <si>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</si>
  <si>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</si>
  <si>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</si>
  <si>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</si>
  <si>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</si>
  <si>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</si>
  <si>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</si>
  <si>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</si>
  <si>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</si>
  <si>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</si>
  <si>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</si>
  <si>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</si>
  <si>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</si>
  <si>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</si>
  <si>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</si>
  <si>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</si>
  <si>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</si>
  <si>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</si>
  <si>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</si>
  <si>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</si>
  <si>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</si>
  <si>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</si>
  <si>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</si>
  <si>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</si>
  <si>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</si>
  <si>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</si>
  <si>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</si>
  <si>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</si>
  <si>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</si>
  <si>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</si>
  <si>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</si>
  <si>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</si>
  <si>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</si>
  <si>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</si>
  <si>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</si>
  <si>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</si>
  <si>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</si>
  <si>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</si>
  <si>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</si>
  <si>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</si>
  <si>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</si>
  <si>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</si>
  <si>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</si>
  <si>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</si>
  <si>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</si>
  <si>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</si>
  <si>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</si>
  <si>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</si>
  <si>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</si>
  <si>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</si>
  <si>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</si>
  <si>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</si>
  <si>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</si>
  <si>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</si>
  <si>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</si>
  <si>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</si>
  <si>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</si>
  <si>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</si>
  <si>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</si>
  <si>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</si>
  <si>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</si>
  <si>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</si>
  <si>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</si>
  <si>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</si>
  <si>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</si>
  <si>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</si>
  <si>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23.10.2018</t>
  </si>
  <si>
    <t>23.10.2018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</si>
  <si>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</si>
  <si>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</si>
  <si>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</si>
  <si>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</si>
  <si>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</si>
  <si>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</si>
  <si>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</si>
  <si>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</si>
  <si>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</si>
  <si>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</si>
  <si>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</si>
  <si>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22.10.2018</t>
    <phoneticPr fontId="3"/>
  </si>
  <si>
    <t>ﾆｭｰｼﾞｰﾗﾝﾄﾞ</t>
    <phoneticPr fontId="4"/>
  </si>
  <si>
    <t>22.10.2018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</si>
  <si>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</si>
  <si>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</si>
  <si>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</si>
  <si>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</si>
  <si>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</si>
  <si>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</si>
  <si>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</si>
  <si>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</si>
  <si>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</si>
  <si>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</si>
  <si>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</si>
  <si>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</si>
  <si>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</si>
  <si>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</si>
  <si>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</si>
  <si>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</si>
  <si>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</si>
  <si>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</si>
  <si>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</si>
  <si>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</si>
  <si>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</si>
  <si>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</si>
  <si>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</si>
  <si>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</si>
  <si>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</si>
  <si>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</si>
  <si>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26.10.2018</t>
    <phoneticPr fontId="3"/>
  </si>
  <si>
    <t>アオキスーパー</t>
  </si>
  <si>
    <t>アオキスーパー</t>
    <phoneticPr fontId="4"/>
  </si>
  <si>
    <t>ﾆｭｰｼﾞｰﾗﾝﾄﾞ</t>
    <phoneticPr fontId="4"/>
  </si>
  <si>
    <t>JP</t>
    <phoneticPr fontId="3"/>
  </si>
  <si>
    <t>26.10.2018</t>
    <phoneticPr fontId="3"/>
  </si>
  <si>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</si>
  <si>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</si>
  <si>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</si>
  <si>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</si>
  <si>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</si>
  <si>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</si>
  <si>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</si>
  <si>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</si>
  <si>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</si>
  <si>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</si>
  <si>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</si>
  <si>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</si>
  <si>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</si>
  <si>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</si>
  <si>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</si>
  <si>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26.10.2018</t>
    <phoneticPr fontId="3"/>
  </si>
  <si>
    <t>カネトク</t>
    <phoneticPr fontId="4"/>
  </si>
  <si>
    <t>JP</t>
    <phoneticPr fontId="3"/>
  </si>
  <si>
    <t>26.10.2018</t>
    <phoneticPr fontId="3"/>
  </si>
  <si>
    <t>マックスバリュ</t>
    <phoneticPr fontId="4"/>
  </si>
  <si>
    <t>長久手店</t>
    <phoneticPr fontId="4"/>
  </si>
  <si>
    <t>アピタ</t>
    <phoneticPr fontId="4"/>
  </si>
  <si>
    <t>JP</t>
    <phoneticPr fontId="3"/>
  </si>
  <si>
    <t>26.10.2018</t>
    <phoneticPr fontId="3"/>
  </si>
  <si>
    <t>アオキスーパー</t>
    <phoneticPr fontId="4"/>
  </si>
  <si>
    <t>長久手店</t>
    <phoneticPr fontId="4"/>
  </si>
  <si>
    <t>JP</t>
    <phoneticPr fontId="3"/>
  </si>
  <si>
    <t>26.10.2018</t>
    <phoneticPr fontId="3"/>
  </si>
  <si>
    <t>JP</t>
    <phoneticPr fontId="3"/>
  </si>
  <si>
    <t>26.10.2018</t>
    <phoneticPr fontId="3"/>
  </si>
  <si>
    <t>ピアゴ</t>
  </si>
  <si>
    <t>長久手南店</t>
  </si>
  <si>
    <t>JP</t>
    <phoneticPr fontId="3"/>
  </si>
  <si>
    <t>26.10.2018</t>
    <phoneticPr fontId="3"/>
  </si>
  <si>
    <t>カネスエ</t>
  </si>
  <si>
    <t>長久手店</t>
  </si>
  <si>
    <t>ラフランス</t>
    <phoneticPr fontId="4"/>
  </si>
  <si>
    <t>キラキラ</t>
    <phoneticPr fontId="4"/>
  </si>
  <si>
    <t>グリーンアイ</t>
    <phoneticPr fontId="4"/>
  </si>
  <si>
    <t>カネトク</t>
  </si>
  <si>
    <t>アピタ</t>
  </si>
  <si>
    <t>25.10.2018</t>
  </si>
  <si>
    <t>津久野店</t>
  </si>
  <si>
    <t>宮崎</t>
  </si>
  <si>
    <t>22.10.2018</t>
    <phoneticPr fontId="3"/>
  </si>
  <si>
    <t>22.10.2018</t>
    <phoneticPr fontId="3"/>
  </si>
  <si>
    <t>JPY</t>
    <phoneticPr fontId="3"/>
  </si>
  <si>
    <t>22.10.2018</t>
    <phoneticPr fontId="3"/>
  </si>
  <si>
    <t>JPY</t>
    <phoneticPr fontId="3"/>
  </si>
  <si>
    <t>バナナ</t>
    <phoneticPr fontId="4"/>
  </si>
  <si>
    <t>22.10.2018</t>
    <phoneticPr fontId="3"/>
  </si>
  <si>
    <t>JPY</t>
    <phoneticPr fontId="3"/>
  </si>
  <si>
    <t>パパイヤ</t>
    <phoneticPr fontId="4"/>
  </si>
  <si>
    <t>22.10.2018</t>
    <phoneticPr fontId="3"/>
  </si>
  <si>
    <t>JPY</t>
    <phoneticPr fontId="3"/>
  </si>
  <si>
    <t>びわ</t>
    <phoneticPr fontId="4"/>
  </si>
  <si>
    <t>22.10.2018</t>
    <phoneticPr fontId="3"/>
  </si>
  <si>
    <t>JPY</t>
    <phoneticPr fontId="3"/>
  </si>
  <si>
    <t>メロン</t>
    <phoneticPr fontId="4"/>
  </si>
  <si>
    <t>桃</t>
    <phoneticPr fontId="4"/>
  </si>
  <si>
    <t>22.10.2018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</si>
  <si>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</si>
  <si>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</si>
  <si>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</si>
  <si>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</si>
  <si>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</si>
  <si>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</si>
  <si>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</si>
  <si>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24.10.2018</t>
    <phoneticPr fontId="3"/>
  </si>
  <si>
    <t>マルショク</t>
    <phoneticPr fontId="3"/>
  </si>
  <si>
    <t>JPY</t>
    <phoneticPr fontId="4"/>
  </si>
  <si>
    <t>一般栽培</t>
    <phoneticPr fontId="4"/>
  </si>
  <si>
    <t>ﾆｭｰｼﾞｰﾗﾝﾄﾞ</t>
    <phoneticPr fontId="4"/>
  </si>
  <si>
    <t>JP</t>
    <phoneticPr fontId="3"/>
  </si>
  <si>
    <t>24.10.2018</t>
    <phoneticPr fontId="3"/>
  </si>
  <si>
    <t>マルショク</t>
    <phoneticPr fontId="3"/>
  </si>
  <si>
    <t>バナナ</t>
    <phoneticPr fontId="3"/>
  </si>
  <si>
    <t>JP</t>
    <phoneticPr fontId="3"/>
  </si>
  <si>
    <t>24.10.2018</t>
    <phoneticPr fontId="3"/>
  </si>
  <si>
    <t>マルショク</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</si>
  <si>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</si>
  <si>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</si>
  <si>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</si>
  <si>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</si>
  <si>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</si>
  <si>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</si>
  <si>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</si>
  <si>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</si>
  <si>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</si>
  <si>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24.10.2018</t>
    <phoneticPr fontId="3"/>
  </si>
  <si>
    <t>マルショク</t>
    <phoneticPr fontId="3"/>
  </si>
  <si>
    <t>HW</t>
    <phoneticPr fontId="3"/>
  </si>
  <si>
    <t>HE</t>
    <phoneticPr fontId="4"/>
  </si>
  <si>
    <t>JP</t>
    <phoneticPr fontId="3"/>
  </si>
  <si>
    <t>24.10.2018</t>
    <phoneticPr fontId="3"/>
  </si>
  <si>
    <t>GA</t>
    <phoneticPr fontId="4"/>
  </si>
  <si>
    <t>24.10.2018</t>
    <phoneticPr fontId="3"/>
  </si>
  <si>
    <t>オレンジ</t>
    <phoneticPr fontId="3"/>
  </si>
  <si>
    <t>JP</t>
    <phoneticPr fontId="3"/>
  </si>
  <si>
    <t>24.10.2018</t>
    <phoneticPr fontId="3"/>
  </si>
  <si>
    <t>24.10.2018</t>
    <phoneticPr fontId="3"/>
  </si>
  <si>
    <t>HW</t>
    <phoneticPr fontId="3"/>
  </si>
  <si>
    <t>24.10.2018</t>
    <phoneticPr fontId="3"/>
  </si>
  <si>
    <t>24.10.2018</t>
    <phoneticPr fontId="3"/>
  </si>
  <si>
    <t>いちじく</t>
    <phoneticPr fontId="4"/>
  </si>
  <si>
    <t>ラフランス</t>
    <phoneticPr fontId="3"/>
  </si>
  <si>
    <t>キラキラ</t>
    <phoneticPr fontId="4"/>
  </si>
  <si>
    <t>プラム</t>
    <phoneticPr fontId="3"/>
  </si>
  <si>
    <t>グリーンアイ</t>
    <phoneticPr fontId="4"/>
  </si>
  <si>
    <t>ぽんかん</t>
    <phoneticPr fontId="3"/>
  </si>
  <si>
    <t>HW</t>
    <phoneticPr fontId="3"/>
  </si>
  <si>
    <t>アメリカンチェリー</t>
    <phoneticPr fontId="3"/>
  </si>
  <si>
    <t>JPY</t>
    <phoneticPr fontId="4"/>
  </si>
  <si>
    <t>HW</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</si>
  <si>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</si>
  <si>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</si>
  <si>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</si>
  <si>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</si>
  <si>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</si>
  <si>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</si>
  <si>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</si>
  <si>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</si>
  <si>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</si>
  <si>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</si>
  <si>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</si>
  <si>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</si>
  <si>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25.10.2018</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</si>
  <si>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</si>
  <si>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</si>
  <si>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</si>
  <si>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</si>
  <si>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</si>
  <si>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</si>
  <si>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</si>
  <si>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</si>
  <si>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</si>
  <si>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</si>
  <si>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</si>
  <si>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</si>
  <si>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</si>
  <si>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</si>
  <si>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</si>
  <si>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</si>
  <si>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</si>
  <si>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</si>
  <si>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</si>
  <si>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</si>
  <si>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</si>
  <si>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</si>
  <si>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</si>
  <si>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</si>
  <si>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</si>
  <si>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</si>
  <si>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</si>
  <si>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</si>
  <si>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</si>
  <si>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</si>
  <si>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</si>
  <si>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</si>
  <si>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</si>
  <si>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</si>
  <si>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24.10.2018</t>
    <phoneticPr fontId="3"/>
  </si>
  <si>
    <t>ﾆｭｰｼﾞｰﾗﾝﾄﾞ</t>
    <phoneticPr fontId="4"/>
  </si>
  <si>
    <t>D'lish</t>
    <phoneticPr fontId="4"/>
  </si>
  <si>
    <t>24.10.2018</t>
    <phoneticPr fontId="3"/>
  </si>
  <si>
    <t>HW</t>
    <phoneticPr fontId="4"/>
  </si>
  <si>
    <t>CK</t>
    <phoneticPr fontId="4"/>
  </si>
  <si>
    <t>Del Monte</t>
    <phoneticPr fontId="3"/>
  </si>
  <si>
    <t>24.10.2018</t>
    <phoneticPr fontId="3"/>
  </si>
  <si>
    <t>GK</t>
    <phoneticPr fontId="4"/>
  </si>
  <si>
    <t>24.10.2018</t>
    <phoneticPr fontId="3"/>
  </si>
  <si>
    <t>HE</t>
    <phoneticPr fontId="4"/>
  </si>
  <si>
    <t>24.10.2018</t>
    <phoneticPr fontId="3"/>
  </si>
  <si>
    <t>GA</t>
    <phoneticPr fontId="4"/>
  </si>
  <si>
    <t>24.10.2018</t>
    <phoneticPr fontId="3"/>
  </si>
  <si>
    <t>24.10.2018</t>
    <phoneticPr fontId="3"/>
  </si>
  <si>
    <t>24.10.2018</t>
    <phoneticPr fontId="3"/>
  </si>
  <si>
    <t>ﾆｭｰｼﾞｰﾗﾝﾄﾞ</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</si>
</sst>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4" xfId="1" applyBorder="1"/>
    <xf numFmtId="14" fontId="0" fillId="0" borderId="0" xfId="1" applyNumberFormat="1" applyFont="1"/>
    <xf numFmtId="0" fontId="1" fillId="4" borderId="32"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14" fontId="0" fillId="4" borderId="44" xfId="1" applyNumberFormat="1" applyFont="1" applyFill="1" applyBorder="1"/>
    <xf numFmtId="14" fontId="0" fillId="4" borderId="45" xfId="1" applyNumberFormat="1" applyFont="1" applyFill="1" applyBorder="1"/>
    <xf numFmtId="14" fontId="0" fillId="0" borderId="0" xfId="1" applyNumberFormat="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4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4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4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4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4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ta_4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4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333</v>
      </c>
      <c r="B2" s="15" t="s">
        <v>335</v>
      </c>
      <c r="C2" s="15">
        <v>2018</v>
      </c>
      <c r="D2" s="50" t="s">
        <v>341</v>
      </c>
      <c r="E2" s="15" t="s">
        <v>141</v>
      </c>
      <c r="F2" s="15" t="s">
        <v>149</v>
      </c>
      <c r="G2" s="15" t="s">
        <v>36</v>
      </c>
      <c r="H2" s="15" t="s">
        <v>155</v>
      </c>
      <c r="I2" s="15" t="s">
        <v>153</v>
      </c>
      <c r="J2" s="15" t="s">
        <v>38</v>
      </c>
      <c r="K2" s="7" t="s">
        <v>154</v>
      </c>
      <c r="L2" s="7">
        <v>1</v>
      </c>
      <c r="N2" s="47">
        <v>1</v>
      </c>
      <c r="O2" s="15">
        <v>0.85</v>
      </c>
      <c r="P2" s="15">
        <v>0.75</v>
      </c>
      <c r="Q2" s="51">
        <f t="shared" ref="Q2:Q65" si="0">IF(OR(O2="",P2=""),"",AVERAGE(O2,P2))</f>
        <v>0.8</v>
      </c>
      <c r="R2" s="15">
        <v>14</v>
      </c>
      <c r="S2" s="15">
        <v>126</v>
      </c>
      <c r="T2" s="38">
        <f t="shared" ref="T2:T59" si="1">IF(H2="","",IF(OR(H2="GREEN",H2="GK"),IF(S2&gt;=$AX$2,VLOOKUP(S2,$AX$2:$AY$12,2,1),""),IF(S2&gt;=$AZ$2,VLOOKUP(S2,$AZ$2:$BA$12,2,1),"")))</f>
        <v>27</v>
      </c>
      <c r="U2" s="15">
        <v>105</v>
      </c>
      <c r="V2" s="38">
        <f t="shared" ref="V2:V65" si="2">IF(OR(N2="",U2="",T2=""),"",U2/N2*T2)</f>
        <v>2835</v>
      </c>
      <c r="W2" s="15">
        <v>3</v>
      </c>
      <c r="X2" s="15" t="s">
        <v>39</v>
      </c>
      <c r="Y2" s="15" t="s">
        <v>50</v>
      </c>
      <c r="Z2" s="15" t="s">
        <v>84</v>
      </c>
      <c r="AA2" s="15" t="s">
        <v>90</v>
      </c>
      <c r="AB2" s="39" t="s">
        <v>368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333</v>
      </c>
      <c r="B3" s="15" t="s">
        <v>334</v>
      </c>
      <c r="C3" s="15">
        <v>2018</v>
      </c>
      <c r="D3" s="37" t="s">
        <v>340</v>
      </c>
      <c r="E3" s="15" t="s">
        <v>141</v>
      </c>
      <c r="F3" s="7" t="s">
        <v>149</v>
      </c>
      <c r="G3" s="7" t="s">
        <v>36</v>
      </c>
      <c r="H3" s="15" t="s">
        <v>155</v>
      </c>
      <c r="I3" s="7" t="s">
        <v>153</v>
      </c>
      <c r="J3" s="15" t="s">
        <v>38</v>
      </c>
      <c r="K3" s="7" t="s">
        <v>154</v>
      </c>
      <c r="L3" s="7">
        <v>2</v>
      </c>
      <c r="N3" s="7">
        <v>1</v>
      </c>
      <c r="O3" s="34">
        <v>0.7</v>
      </c>
      <c r="P3" s="7">
        <v>0.7</v>
      </c>
      <c r="Q3" s="52">
        <f t="shared" si="0"/>
        <v>0.7</v>
      </c>
      <c r="R3" s="7">
        <v>13.5</v>
      </c>
      <c r="S3" s="7">
        <v>129</v>
      </c>
      <c r="T3" s="16">
        <f t="shared" si="1"/>
        <v>25</v>
      </c>
      <c r="U3" s="15">
        <v>105</v>
      </c>
      <c r="V3" s="16">
        <f t="shared" si="2"/>
        <v>2625</v>
      </c>
      <c r="W3" s="15">
        <v>3</v>
      </c>
      <c r="X3" s="15" t="s">
        <v>39</v>
      </c>
      <c r="Y3" s="215" t="s">
        <v>50</v>
      </c>
      <c r="Z3" s="215" t="s">
        <v>84</v>
      </c>
      <c r="AA3" s="215" t="s">
        <v>90</v>
      </c>
      <c r="AB3" s="39" t="s">
        <v>336</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333</v>
      </c>
      <c r="B4" s="15" t="s">
        <v>334</v>
      </c>
      <c r="C4" s="15">
        <v>2018</v>
      </c>
      <c r="D4" s="37" t="s">
        <v>340</v>
      </c>
      <c r="E4" s="15" t="s">
        <v>141</v>
      </c>
      <c r="F4" s="7" t="s">
        <v>149</v>
      </c>
      <c r="G4" s="7" t="s">
        <v>36</v>
      </c>
      <c r="H4" s="15" t="s">
        <v>155</v>
      </c>
      <c r="I4" s="207" t="s">
        <v>153</v>
      </c>
      <c r="J4" s="15" t="s">
        <v>38</v>
      </c>
      <c r="K4" s="7" t="s">
        <v>154</v>
      </c>
      <c r="L4" s="7">
        <v>3</v>
      </c>
      <c r="N4" s="7">
        <v>1</v>
      </c>
      <c r="O4" s="7">
        <v>0.75</v>
      </c>
      <c r="P4" s="7">
        <v>0.8</v>
      </c>
      <c r="Q4" s="52">
        <f t="shared" si="0"/>
        <v>0.77500000000000002</v>
      </c>
      <c r="R4" s="7">
        <v>15</v>
      </c>
      <c r="S4" s="7">
        <v>126</v>
      </c>
      <c r="T4" s="16">
        <f t="shared" si="1"/>
        <v>27</v>
      </c>
      <c r="U4" s="15">
        <v>105</v>
      </c>
      <c r="V4" s="16">
        <f t="shared" si="2"/>
        <v>2835</v>
      </c>
      <c r="W4" s="15">
        <v>3</v>
      </c>
      <c r="X4" s="215" t="s">
        <v>39</v>
      </c>
      <c r="Y4" s="215" t="s">
        <v>50</v>
      </c>
      <c r="Z4" s="215" t="s">
        <v>84</v>
      </c>
      <c r="AA4" s="215" t="s">
        <v>90</v>
      </c>
      <c r="AB4" s="39" t="s">
        <v>336</v>
      </c>
      <c r="AE4" s="22" t="s">
        <v>34</v>
      </c>
      <c r="AG4" s="49" t="s">
        <v>338</v>
      </c>
      <c r="AH4" s="49" t="s">
        <v>339</v>
      </c>
      <c r="AJ4" s="27" t="s">
        <v>48</v>
      </c>
      <c r="AL4" s="27" t="s">
        <v>129</v>
      </c>
      <c r="AN4" s="28" t="s">
        <v>49</v>
      </c>
      <c r="AP4" s="23" t="s">
        <v>93</v>
      </c>
      <c r="AR4" s="41" t="s">
        <v>121</v>
      </c>
      <c r="AT4" s="28"/>
      <c r="AV4" s="23" t="s">
        <v>50</v>
      </c>
      <c r="AX4" s="24">
        <v>75</v>
      </c>
      <c r="AY4" s="25">
        <v>42</v>
      </c>
      <c r="AZ4" s="25">
        <v>76</v>
      </c>
      <c r="BA4" s="26">
        <v>39</v>
      </c>
    </row>
    <row r="5" spans="1:53" x14ac:dyDescent="0.15">
      <c r="A5" s="15" t="s">
        <v>333</v>
      </c>
      <c r="B5" s="15" t="s">
        <v>334</v>
      </c>
      <c r="C5" s="15">
        <v>2018</v>
      </c>
      <c r="D5" s="37" t="s">
        <v>340</v>
      </c>
      <c r="E5" s="15" t="s">
        <v>141</v>
      </c>
      <c r="F5" s="15" t="s">
        <v>149</v>
      </c>
      <c r="G5" s="7" t="s">
        <v>36</v>
      </c>
      <c r="H5" s="15" t="s">
        <v>162</v>
      </c>
      <c r="I5" s="207" t="s">
        <v>153</v>
      </c>
      <c r="J5" s="15" t="s">
        <v>38</v>
      </c>
      <c r="K5" s="7" t="s">
        <v>154</v>
      </c>
      <c r="L5" s="7">
        <v>1</v>
      </c>
      <c r="N5" s="7">
        <v>1</v>
      </c>
      <c r="O5" s="7">
        <v>0.5</v>
      </c>
      <c r="P5" s="7">
        <v>0.5</v>
      </c>
      <c r="Q5" s="52">
        <f t="shared" si="0"/>
        <v>0.5</v>
      </c>
      <c r="R5" s="7">
        <v>18.100000000000001</v>
      </c>
      <c r="S5" s="7">
        <v>130</v>
      </c>
      <c r="T5" s="16">
        <f t="shared" si="1"/>
        <v>25</v>
      </c>
      <c r="U5" s="15">
        <v>145</v>
      </c>
      <c r="V5" s="16">
        <f t="shared" si="2"/>
        <v>3625</v>
      </c>
      <c r="W5" s="15">
        <v>2</v>
      </c>
      <c r="X5" s="215" t="s">
        <v>39</v>
      </c>
      <c r="Y5" s="215" t="s">
        <v>50</v>
      </c>
      <c r="Z5" s="215" t="s">
        <v>84</v>
      </c>
      <c r="AA5" s="215" t="s">
        <v>90</v>
      </c>
      <c r="AB5" s="39" t="s">
        <v>336</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333</v>
      </c>
      <c r="B6" s="15" t="s">
        <v>334</v>
      </c>
      <c r="C6" s="15">
        <v>2018</v>
      </c>
      <c r="D6" s="37" t="s">
        <v>340</v>
      </c>
      <c r="E6" s="15" t="s">
        <v>141</v>
      </c>
      <c r="F6" s="7" t="s">
        <v>149</v>
      </c>
      <c r="G6" s="7" t="s">
        <v>36</v>
      </c>
      <c r="H6" s="215" t="s">
        <v>162</v>
      </c>
      <c r="I6" s="207" t="s">
        <v>153</v>
      </c>
      <c r="J6" s="215" t="s">
        <v>38</v>
      </c>
      <c r="K6" s="207" t="s">
        <v>154</v>
      </c>
      <c r="L6" s="7">
        <v>2</v>
      </c>
      <c r="N6" s="7">
        <v>1</v>
      </c>
      <c r="O6" s="7">
        <v>0.5</v>
      </c>
      <c r="P6" s="7">
        <v>0.5</v>
      </c>
      <c r="Q6" s="52">
        <f t="shared" si="0"/>
        <v>0.5</v>
      </c>
      <c r="R6" s="7">
        <v>15.3</v>
      </c>
      <c r="S6" s="7">
        <v>132</v>
      </c>
      <c r="T6" s="16">
        <f t="shared" si="1"/>
        <v>25</v>
      </c>
      <c r="U6" s="215">
        <v>145</v>
      </c>
      <c r="V6" s="16">
        <f t="shared" si="2"/>
        <v>3625</v>
      </c>
      <c r="W6" s="15">
        <v>2</v>
      </c>
      <c r="X6" s="215" t="s">
        <v>39</v>
      </c>
      <c r="Y6" s="215" t="s">
        <v>50</v>
      </c>
      <c r="Z6" s="215" t="s">
        <v>84</v>
      </c>
      <c r="AA6" s="215" t="s">
        <v>90</v>
      </c>
      <c r="AB6" s="39" t="s">
        <v>336</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333</v>
      </c>
      <c r="B7" s="15" t="s">
        <v>334</v>
      </c>
      <c r="C7" s="15">
        <v>2018</v>
      </c>
      <c r="D7" s="37" t="s">
        <v>340</v>
      </c>
      <c r="E7" s="15" t="s">
        <v>141</v>
      </c>
      <c r="F7" s="7" t="s">
        <v>149</v>
      </c>
      <c r="G7" s="7" t="s">
        <v>36</v>
      </c>
      <c r="H7" s="215" t="s">
        <v>162</v>
      </c>
      <c r="I7" s="207" t="s">
        <v>153</v>
      </c>
      <c r="J7" s="215" t="s">
        <v>38</v>
      </c>
      <c r="K7" s="207" t="s">
        <v>154</v>
      </c>
      <c r="L7" s="7">
        <v>3</v>
      </c>
      <c r="N7" s="7">
        <v>1</v>
      </c>
      <c r="O7" s="7">
        <v>0.6</v>
      </c>
      <c r="P7" s="7">
        <v>0.7</v>
      </c>
      <c r="Q7" s="52">
        <f t="shared" si="0"/>
        <v>0.64999999999999991</v>
      </c>
      <c r="R7" s="34">
        <v>15.1</v>
      </c>
      <c r="S7" s="7">
        <v>130</v>
      </c>
      <c r="T7" s="16">
        <f t="shared" si="1"/>
        <v>25</v>
      </c>
      <c r="U7" s="215">
        <v>145</v>
      </c>
      <c r="V7" s="16">
        <f t="shared" si="2"/>
        <v>3625</v>
      </c>
      <c r="W7" s="15">
        <v>2</v>
      </c>
      <c r="X7" s="215" t="s">
        <v>39</v>
      </c>
      <c r="Y7" s="215" t="s">
        <v>50</v>
      </c>
      <c r="Z7" s="215" t="s">
        <v>84</v>
      </c>
      <c r="AA7" s="215" t="s">
        <v>90</v>
      </c>
      <c r="AB7" s="39" t="s">
        <v>336</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333</v>
      </c>
      <c r="B8" s="15" t="s">
        <v>334</v>
      </c>
      <c r="C8" s="15">
        <v>2018</v>
      </c>
      <c r="D8" s="37" t="s">
        <v>340</v>
      </c>
      <c r="E8" s="15" t="s">
        <v>133</v>
      </c>
      <c r="F8" s="7" t="s">
        <v>150</v>
      </c>
      <c r="G8" s="7" t="s">
        <v>36</v>
      </c>
      <c r="H8" s="15" t="s">
        <v>155</v>
      </c>
      <c r="I8" s="207" t="s">
        <v>153</v>
      </c>
      <c r="J8" s="15" t="s">
        <v>38</v>
      </c>
      <c r="K8" s="7" t="s">
        <v>154</v>
      </c>
      <c r="L8" s="7">
        <v>1</v>
      </c>
      <c r="N8" s="207">
        <v>1</v>
      </c>
      <c r="O8" s="7">
        <v>0.5</v>
      </c>
      <c r="P8" s="7">
        <v>0.5</v>
      </c>
      <c r="Q8" s="52">
        <f t="shared" si="0"/>
        <v>0.5</v>
      </c>
      <c r="R8" s="34">
        <v>14.2</v>
      </c>
      <c r="S8" s="7">
        <v>121</v>
      </c>
      <c r="T8" s="16">
        <f t="shared" si="1"/>
        <v>27</v>
      </c>
      <c r="U8" s="15">
        <v>86</v>
      </c>
      <c r="V8" s="16">
        <f t="shared" si="2"/>
        <v>2322</v>
      </c>
      <c r="W8" s="15">
        <v>7</v>
      </c>
      <c r="X8" s="15" t="s">
        <v>46</v>
      </c>
      <c r="Y8" s="215" t="s">
        <v>90</v>
      </c>
      <c r="Z8" s="215" t="s">
        <v>50</v>
      </c>
      <c r="AA8" s="215" t="s">
        <v>102</v>
      </c>
      <c r="AB8" s="39" t="s">
        <v>336</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333</v>
      </c>
      <c r="B9" s="15" t="s">
        <v>334</v>
      </c>
      <c r="C9" s="15">
        <v>2018</v>
      </c>
      <c r="D9" s="37" t="s">
        <v>340</v>
      </c>
      <c r="E9" s="15" t="s">
        <v>133</v>
      </c>
      <c r="F9" s="7" t="s">
        <v>150</v>
      </c>
      <c r="G9" s="7" t="s">
        <v>36</v>
      </c>
      <c r="H9" s="215" t="s">
        <v>155</v>
      </c>
      <c r="I9" s="207" t="s">
        <v>153</v>
      </c>
      <c r="J9" s="215" t="s">
        <v>38</v>
      </c>
      <c r="K9" s="207" t="s">
        <v>154</v>
      </c>
      <c r="L9" s="7">
        <v>2</v>
      </c>
      <c r="N9" s="207">
        <v>1</v>
      </c>
      <c r="O9" s="7">
        <v>0.55000000000000004</v>
      </c>
      <c r="P9" s="7">
        <v>0.7</v>
      </c>
      <c r="Q9" s="52">
        <f t="shared" si="0"/>
        <v>0.625</v>
      </c>
      <c r="R9" s="7">
        <v>14.8</v>
      </c>
      <c r="S9" s="7">
        <v>115</v>
      </c>
      <c r="T9" s="16">
        <f t="shared" si="1"/>
        <v>30</v>
      </c>
      <c r="U9" s="215">
        <v>86</v>
      </c>
      <c r="V9" s="16">
        <f t="shared" si="2"/>
        <v>2580</v>
      </c>
      <c r="W9" s="15">
        <v>7</v>
      </c>
      <c r="X9" s="15" t="s">
        <v>46</v>
      </c>
      <c r="Y9" s="215" t="s">
        <v>90</v>
      </c>
      <c r="Z9" s="215" t="s">
        <v>50</v>
      </c>
      <c r="AA9" s="215" t="s">
        <v>102</v>
      </c>
      <c r="AB9" s="39" t="s">
        <v>336</v>
      </c>
      <c r="AE9" s="22" t="s">
        <v>98</v>
      </c>
      <c r="AG9" s="49" t="s">
        <v>133</v>
      </c>
      <c r="AH9" s="49" t="s">
        <v>150</v>
      </c>
      <c r="AL9" s="34"/>
      <c r="AP9" s="23" t="s">
        <v>95</v>
      </c>
      <c r="AR9" s="30" t="s">
        <v>89</v>
      </c>
      <c r="AV9" s="23" t="s">
        <v>102</v>
      </c>
      <c r="AX9" s="24">
        <v>128</v>
      </c>
      <c r="AY9" s="25">
        <v>27</v>
      </c>
      <c r="AZ9" s="25">
        <v>129</v>
      </c>
      <c r="BA9" s="26">
        <v>25</v>
      </c>
    </row>
    <row r="10" spans="1:53" x14ac:dyDescent="0.15">
      <c r="A10" s="15" t="s">
        <v>333</v>
      </c>
      <c r="B10" s="15" t="s">
        <v>334</v>
      </c>
      <c r="C10" s="15">
        <v>2018</v>
      </c>
      <c r="D10" s="37" t="s">
        <v>340</v>
      </c>
      <c r="E10" s="15" t="s">
        <v>133</v>
      </c>
      <c r="F10" s="7" t="s">
        <v>150</v>
      </c>
      <c r="G10" s="7" t="s">
        <v>36</v>
      </c>
      <c r="H10" s="215" t="s">
        <v>155</v>
      </c>
      <c r="I10" s="207" t="s">
        <v>153</v>
      </c>
      <c r="J10" s="215" t="s">
        <v>38</v>
      </c>
      <c r="K10" s="207" t="s">
        <v>154</v>
      </c>
      <c r="L10" s="7">
        <v>3</v>
      </c>
      <c r="N10" s="207">
        <v>1</v>
      </c>
      <c r="O10" s="7">
        <v>0.5</v>
      </c>
      <c r="P10" s="7">
        <v>0.55000000000000004</v>
      </c>
      <c r="Q10" s="52">
        <f t="shared" si="0"/>
        <v>0.52500000000000002</v>
      </c>
      <c r="R10" s="7">
        <v>14.9</v>
      </c>
      <c r="S10" s="7">
        <v>119</v>
      </c>
      <c r="T10" s="16">
        <f t="shared" si="1"/>
        <v>30</v>
      </c>
      <c r="U10" s="215">
        <v>86</v>
      </c>
      <c r="V10" s="16">
        <f t="shared" si="2"/>
        <v>2580</v>
      </c>
      <c r="W10" s="15">
        <v>7</v>
      </c>
      <c r="X10" s="15" t="s">
        <v>46</v>
      </c>
      <c r="Y10" s="215" t="s">
        <v>90</v>
      </c>
      <c r="Z10" s="215" t="s">
        <v>50</v>
      </c>
      <c r="AA10" s="215" t="s">
        <v>102</v>
      </c>
      <c r="AB10" s="39" t="s">
        <v>336</v>
      </c>
      <c r="AE10" s="22" t="s">
        <v>103</v>
      </c>
      <c r="AG10" s="49" t="s">
        <v>142</v>
      </c>
      <c r="AH10" s="49" t="s">
        <v>151</v>
      </c>
      <c r="AP10" s="23" t="s">
        <v>100</v>
      </c>
      <c r="AR10" s="30" t="s">
        <v>123</v>
      </c>
      <c r="AV10" s="23" t="s">
        <v>106</v>
      </c>
      <c r="AX10" s="24">
        <v>138</v>
      </c>
      <c r="AY10" s="25">
        <v>25</v>
      </c>
      <c r="AZ10" s="25">
        <v>138</v>
      </c>
      <c r="BA10" s="26">
        <v>22</v>
      </c>
    </row>
    <row r="11" spans="1:53" x14ac:dyDescent="0.15">
      <c r="A11" s="15" t="s">
        <v>333</v>
      </c>
      <c r="B11" s="15" t="s">
        <v>334</v>
      </c>
      <c r="C11" s="15">
        <v>2018</v>
      </c>
      <c r="D11" s="37" t="s">
        <v>340</v>
      </c>
      <c r="E11" s="15" t="s">
        <v>133</v>
      </c>
      <c r="F11" s="7" t="s">
        <v>150</v>
      </c>
      <c r="G11" s="7" t="s">
        <v>36</v>
      </c>
      <c r="H11" s="215" t="s">
        <v>162</v>
      </c>
      <c r="I11" s="7" t="s">
        <v>153</v>
      </c>
      <c r="J11" s="15" t="s">
        <v>38</v>
      </c>
      <c r="K11" s="7" t="s">
        <v>154</v>
      </c>
      <c r="L11" s="7">
        <v>1</v>
      </c>
      <c r="N11" s="207">
        <v>1</v>
      </c>
      <c r="O11" s="7">
        <v>0.6</v>
      </c>
      <c r="P11" s="7">
        <v>0.6</v>
      </c>
      <c r="Q11" s="52">
        <f t="shared" si="0"/>
        <v>0.6</v>
      </c>
      <c r="R11" s="7">
        <v>14</v>
      </c>
      <c r="S11" s="7">
        <v>120</v>
      </c>
      <c r="T11" s="16">
        <f t="shared" si="1"/>
        <v>30</v>
      </c>
      <c r="U11" s="7">
        <v>86</v>
      </c>
      <c r="V11" s="16">
        <f t="shared" si="2"/>
        <v>2580</v>
      </c>
      <c r="W11" s="7">
        <v>6</v>
      </c>
      <c r="X11" s="15" t="s">
        <v>46</v>
      </c>
      <c r="Y11" s="215" t="s">
        <v>90</v>
      </c>
      <c r="Z11" s="215" t="s">
        <v>50</v>
      </c>
      <c r="AA11" s="215" t="s">
        <v>102</v>
      </c>
      <c r="AB11" s="39" t="s">
        <v>336</v>
      </c>
      <c r="AE11" s="22" t="s">
        <v>65</v>
      </c>
      <c r="AG11" s="49" t="s">
        <v>143</v>
      </c>
      <c r="AH11" s="49" t="s">
        <v>152</v>
      </c>
      <c r="AP11" s="23" t="s">
        <v>104</v>
      </c>
      <c r="AR11" s="30" t="s">
        <v>87</v>
      </c>
      <c r="AV11" s="23" t="s">
        <v>69</v>
      </c>
      <c r="AX11" s="24">
        <v>151</v>
      </c>
      <c r="AY11" s="25">
        <v>22</v>
      </c>
      <c r="AZ11" s="25">
        <v>152</v>
      </c>
      <c r="BA11" s="26">
        <v>18</v>
      </c>
    </row>
    <row r="12" spans="1:53" x14ac:dyDescent="0.15">
      <c r="A12" s="15" t="s">
        <v>333</v>
      </c>
      <c r="B12" s="15" t="s">
        <v>334</v>
      </c>
      <c r="C12" s="15">
        <v>2018</v>
      </c>
      <c r="D12" s="37" t="s">
        <v>340</v>
      </c>
      <c r="E12" s="15" t="s">
        <v>133</v>
      </c>
      <c r="F12" s="7" t="s">
        <v>150</v>
      </c>
      <c r="G12" s="7" t="s">
        <v>36</v>
      </c>
      <c r="H12" s="215" t="s">
        <v>162</v>
      </c>
      <c r="I12" s="207" t="s">
        <v>153</v>
      </c>
      <c r="J12" s="215" t="s">
        <v>38</v>
      </c>
      <c r="K12" s="207" t="s">
        <v>154</v>
      </c>
      <c r="L12" s="7">
        <v>2</v>
      </c>
      <c r="N12" s="7">
        <v>1</v>
      </c>
      <c r="O12" s="7">
        <v>0.55000000000000004</v>
      </c>
      <c r="P12" s="7">
        <v>0.6</v>
      </c>
      <c r="Q12" s="52">
        <f t="shared" si="0"/>
        <v>0.57499999999999996</v>
      </c>
      <c r="R12" s="34">
        <v>15.1</v>
      </c>
      <c r="S12" s="7">
        <v>126</v>
      </c>
      <c r="T12" s="16">
        <f t="shared" si="1"/>
        <v>27</v>
      </c>
      <c r="U12" s="207">
        <v>86</v>
      </c>
      <c r="V12" s="16">
        <f t="shared" si="2"/>
        <v>2322</v>
      </c>
      <c r="W12" s="7">
        <v>6</v>
      </c>
      <c r="X12" s="15" t="s">
        <v>46</v>
      </c>
      <c r="Y12" s="215" t="s">
        <v>90</v>
      </c>
      <c r="Z12" s="215" t="s">
        <v>50</v>
      </c>
      <c r="AA12" s="215" t="s">
        <v>102</v>
      </c>
      <c r="AB12" s="39" t="s">
        <v>336</v>
      </c>
      <c r="AE12" s="22" t="s">
        <v>70</v>
      </c>
      <c r="AG12" s="40"/>
      <c r="AH12" s="40"/>
      <c r="AP12" s="23" t="s">
        <v>67</v>
      </c>
      <c r="AR12" s="30" t="s">
        <v>124</v>
      </c>
      <c r="AV12" s="23" t="s">
        <v>72</v>
      </c>
      <c r="AX12" s="31">
        <v>180</v>
      </c>
      <c r="AY12" s="32">
        <v>18</v>
      </c>
      <c r="AZ12" s="32">
        <v>181</v>
      </c>
      <c r="BA12" s="33">
        <v>16</v>
      </c>
    </row>
    <row r="13" spans="1:53" x14ac:dyDescent="0.15">
      <c r="A13" s="15" t="s">
        <v>333</v>
      </c>
      <c r="B13" s="15" t="s">
        <v>334</v>
      </c>
      <c r="C13" s="15">
        <v>2018</v>
      </c>
      <c r="D13" s="37" t="s">
        <v>340</v>
      </c>
      <c r="E13" s="15" t="s">
        <v>133</v>
      </c>
      <c r="F13" s="7" t="s">
        <v>150</v>
      </c>
      <c r="G13" s="7" t="s">
        <v>36</v>
      </c>
      <c r="H13" s="215" t="s">
        <v>162</v>
      </c>
      <c r="I13" s="207" t="s">
        <v>153</v>
      </c>
      <c r="J13" s="215" t="s">
        <v>38</v>
      </c>
      <c r="K13" s="207" t="s">
        <v>154</v>
      </c>
      <c r="L13" s="7">
        <v>3</v>
      </c>
      <c r="N13" s="7">
        <v>1</v>
      </c>
      <c r="O13" s="7">
        <v>0.55000000000000004</v>
      </c>
      <c r="P13" s="7">
        <v>0.7</v>
      </c>
      <c r="Q13" s="52">
        <f t="shared" si="0"/>
        <v>0.625</v>
      </c>
      <c r="R13" s="7">
        <v>15.1</v>
      </c>
      <c r="S13" s="7">
        <v>118</v>
      </c>
      <c r="T13" s="16">
        <f t="shared" si="1"/>
        <v>30</v>
      </c>
      <c r="U13" s="207">
        <v>86</v>
      </c>
      <c r="V13" s="16">
        <f t="shared" si="2"/>
        <v>2580</v>
      </c>
      <c r="W13" s="7">
        <v>6</v>
      </c>
      <c r="X13" s="15" t="s">
        <v>46</v>
      </c>
      <c r="Y13" s="215" t="s">
        <v>90</v>
      </c>
      <c r="Z13" s="215" t="s">
        <v>50</v>
      </c>
      <c r="AA13" s="215" t="s">
        <v>102</v>
      </c>
      <c r="AB13" s="39" t="s">
        <v>336</v>
      </c>
      <c r="AE13" s="22" t="s">
        <v>73</v>
      </c>
      <c r="AG13" s="23"/>
      <c r="AH13" s="23"/>
      <c r="AP13" s="23" t="s">
        <v>71</v>
      </c>
      <c r="AR13" s="30" t="s">
        <v>103</v>
      </c>
      <c r="AV13" s="23" t="s">
        <v>75</v>
      </c>
    </row>
    <row r="14" spans="1:53" x14ac:dyDescent="0.15">
      <c r="A14" s="15" t="s">
        <v>333</v>
      </c>
      <c r="B14" s="15" t="s">
        <v>334</v>
      </c>
      <c r="C14" s="15">
        <v>2018</v>
      </c>
      <c r="D14" s="37" t="s">
        <v>340</v>
      </c>
      <c r="E14" s="15" t="s">
        <v>142</v>
      </c>
      <c r="F14" s="7" t="s">
        <v>151</v>
      </c>
      <c r="G14" s="7" t="s">
        <v>36</v>
      </c>
      <c r="H14" s="15" t="s">
        <v>155</v>
      </c>
      <c r="I14" s="7" t="s">
        <v>153</v>
      </c>
      <c r="J14" s="15" t="s">
        <v>38</v>
      </c>
      <c r="K14" s="7" t="s">
        <v>154</v>
      </c>
      <c r="L14" s="7">
        <v>1</v>
      </c>
      <c r="N14" s="7">
        <v>1</v>
      </c>
      <c r="O14" s="7">
        <v>0.5</v>
      </c>
      <c r="P14" s="7">
        <v>0.5</v>
      </c>
      <c r="Q14" s="52">
        <f t="shared" si="0"/>
        <v>0.5</v>
      </c>
      <c r="R14" s="7">
        <v>12.9</v>
      </c>
      <c r="S14" s="7">
        <v>170</v>
      </c>
      <c r="T14" s="16">
        <f t="shared" si="1"/>
        <v>18</v>
      </c>
      <c r="U14" s="7">
        <v>149</v>
      </c>
      <c r="V14" s="16">
        <f t="shared" si="2"/>
        <v>2682</v>
      </c>
      <c r="W14" s="7">
        <v>3</v>
      </c>
      <c r="X14" s="15" t="s">
        <v>46</v>
      </c>
      <c r="Y14" s="215" t="s">
        <v>50</v>
      </c>
      <c r="Z14" s="215" t="s">
        <v>90</v>
      </c>
      <c r="AA14" s="215" t="s">
        <v>78</v>
      </c>
      <c r="AB14" s="39" t="s">
        <v>336</v>
      </c>
      <c r="AE14" s="22" t="s">
        <v>76</v>
      </c>
      <c r="AG14" s="23"/>
      <c r="AH14" s="23"/>
      <c r="AP14" s="23" t="s">
        <v>74</v>
      </c>
      <c r="AR14" s="30" t="s">
        <v>125</v>
      </c>
      <c r="AV14" s="23" t="s">
        <v>78</v>
      </c>
    </row>
    <row r="15" spans="1:53" x14ac:dyDescent="0.15">
      <c r="A15" s="15" t="s">
        <v>333</v>
      </c>
      <c r="B15" s="15" t="s">
        <v>334</v>
      </c>
      <c r="C15" s="15">
        <v>2018</v>
      </c>
      <c r="D15" s="37" t="s">
        <v>340</v>
      </c>
      <c r="E15" s="15" t="s">
        <v>142</v>
      </c>
      <c r="F15" s="7" t="s">
        <v>151</v>
      </c>
      <c r="G15" s="7" t="s">
        <v>36</v>
      </c>
      <c r="H15" s="215" t="s">
        <v>155</v>
      </c>
      <c r="I15" s="207" t="s">
        <v>153</v>
      </c>
      <c r="J15" s="215" t="s">
        <v>38</v>
      </c>
      <c r="K15" s="207" t="s">
        <v>154</v>
      </c>
      <c r="L15" s="7">
        <v>2</v>
      </c>
      <c r="N15" s="7">
        <v>1</v>
      </c>
      <c r="O15" s="7">
        <v>0.8</v>
      </c>
      <c r="P15" s="7">
        <v>0.85</v>
      </c>
      <c r="Q15" s="52">
        <f t="shared" si="0"/>
        <v>0.82499999999999996</v>
      </c>
      <c r="R15" s="7">
        <v>12</v>
      </c>
      <c r="S15" s="7">
        <v>176</v>
      </c>
      <c r="T15" s="16">
        <f t="shared" si="1"/>
        <v>18</v>
      </c>
      <c r="U15" s="207">
        <v>149</v>
      </c>
      <c r="V15" s="16">
        <f t="shared" si="2"/>
        <v>2682</v>
      </c>
      <c r="W15" s="7">
        <v>3</v>
      </c>
      <c r="X15" s="215" t="s">
        <v>46</v>
      </c>
      <c r="Y15" s="215" t="s">
        <v>50</v>
      </c>
      <c r="Z15" s="215" t="s">
        <v>90</v>
      </c>
      <c r="AA15" s="215" t="s">
        <v>78</v>
      </c>
      <c r="AB15" s="39" t="s">
        <v>336</v>
      </c>
      <c r="AE15" s="22" t="s">
        <v>79</v>
      </c>
      <c r="AG15" s="23"/>
      <c r="AH15" s="23"/>
      <c r="AP15" s="23" t="s">
        <v>77</v>
      </c>
      <c r="AR15" s="30" t="s">
        <v>94</v>
      </c>
      <c r="AV15" s="23" t="s">
        <v>107</v>
      </c>
    </row>
    <row r="16" spans="1:53" x14ac:dyDescent="0.15">
      <c r="A16" s="15" t="s">
        <v>333</v>
      </c>
      <c r="B16" s="15" t="s">
        <v>334</v>
      </c>
      <c r="C16" s="15">
        <v>2018</v>
      </c>
      <c r="D16" s="37" t="s">
        <v>340</v>
      </c>
      <c r="E16" s="15" t="s">
        <v>142</v>
      </c>
      <c r="F16" s="7" t="s">
        <v>151</v>
      </c>
      <c r="G16" s="7" t="s">
        <v>36</v>
      </c>
      <c r="H16" s="215" t="s">
        <v>155</v>
      </c>
      <c r="I16" s="207" t="s">
        <v>153</v>
      </c>
      <c r="J16" s="215" t="s">
        <v>38</v>
      </c>
      <c r="K16" s="207" t="s">
        <v>154</v>
      </c>
      <c r="L16" s="7">
        <v>3</v>
      </c>
      <c r="N16" s="7">
        <v>1</v>
      </c>
      <c r="O16" s="7">
        <v>0.5</v>
      </c>
      <c r="P16" s="7">
        <v>0.5</v>
      </c>
      <c r="Q16" s="52">
        <f t="shared" si="0"/>
        <v>0.5</v>
      </c>
      <c r="R16" s="7">
        <v>12.6</v>
      </c>
      <c r="S16" s="7">
        <v>172</v>
      </c>
      <c r="T16" s="16">
        <f t="shared" si="1"/>
        <v>18</v>
      </c>
      <c r="U16" s="207">
        <v>149</v>
      </c>
      <c r="V16" s="16">
        <f t="shared" si="2"/>
        <v>2682</v>
      </c>
      <c r="W16" s="7">
        <v>3</v>
      </c>
      <c r="X16" s="215" t="s">
        <v>46</v>
      </c>
      <c r="Y16" s="215" t="s">
        <v>50</v>
      </c>
      <c r="Z16" s="215" t="s">
        <v>90</v>
      </c>
      <c r="AA16" s="215" t="s">
        <v>78</v>
      </c>
      <c r="AB16" s="39" t="s">
        <v>336</v>
      </c>
      <c r="AE16" s="22" t="s">
        <v>82</v>
      </c>
      <c r="AG16" s="28"/>
      <c r="AH16" s="28"/>
      <c r="AP16" s="23" t="s">
        <v>80</v>
      </c>
      <c r="AR16" s="41" t="s">
        <v>63</v>
      </c>
      <c r="AV16" s="23" t="s">
        <v>84</v>
      </c>
    </row>
    <row r="17" spans="1:48" x14ac:dyDescent="0.15">
      <c r="A17" s="15" t="s">
        <v>333</v>
      </c>
      <c r="B17" s="15" t="s">
        <v>334</v>
      </c>
      <c r="C17" s="15">
        <v>2018</v>
      </c>
      <c r="D17" s="37" t="s">
        <v>340</v>
      </c>
      <c r="E17" s="15" t="s">
        <v>142</v>
      </c>
      <c r="F17" s="7" t="s">
        <v>151</v>
      </c>
      <c r="G17" s="7" t="s">
        <v>36</v>
      </c>
      <c r="H17" s="15" t="s">
        <v>162</v>
      </c>
      <c r="I17" s="207" t="s">
        <v>153</v>
      </c>
      <c r="J17" s="215" t="s">
        <v>38</v>
      </c>
      <c r="K17" s="207" t="s">
        <v>154</v>
      </c>
      <c r="L17" s="7">
        <v>1</v>
      </c>
      <c r="N17" s="7">
        <v>1</v>
      </c>
      <c r="O17" s="7">
        <v>0.6</v>
      </c>
      <c r="P17" s="7">
        <v>0.5</v>
      </c>
      <c r="Q17" s="52">
        <f t="shared" si="0"/>
        <v>0.55000000000000004</v>
      </c>
      <c r="R17" s="7">
        <v>15.7</v>
      </c>
      <c r="S17" s="7">
        <v>148</v>
      </c>
      <c r="T17" s="16">
        <f t="shared" si="1"/>
        <v>22</v>
      </c>
      <c r="U17" s="7">
        <v>170</v>
      </c>
      <c r="V17" s="16">
        <f t="shared" si="2"/>
        <v>3740</v>
      </c>
      <c r="W17" s="7">
        <v>2</v>
      </c>
      <c r="X17" s="215" t="s">
        <v>46</v>
      </c>
      <c r="Y17" s="215" t="s">
        <v>50</v>
      </c>
      <c r="Z17" s="215" t="s">
        <v>90</v>
      </c>
      <c r="AA17" s="215" t="s">
        <v>78</v>
      </c>
      <c r="AB17" s="39" t="s">
        <v>336</v>
      </c>
      <c r="AE17" s="22" t="s">
        <v>85</v>
      </c>
      <c r="AP17" s="43" t="s">
        <v>110</v>
      </c>
      <c r="AR17" s="41" t="s">
        <v>96</v>
      </c>
      <c r="AV17" s="23" t="s">
        <v>86</v>
      </c>
    </row>
    <row r="18" spans="1:48" x14ac:dyDescent="0.15">
      <c r="A18" s="15" t="s">
        <v>333</v>
      </c>
      <c r="B18" s="15" t="s">
        <v>334</v>
      </c>
      <c r="C18" s="15">
        <v>2018</v>
      </c>
      <c r="D18" s="37" t="s">
        <v>340</v>
      </c>
      <c r="E18" s="15" t="s">
        <v>142</v>
      </c>
      <c r="F18" s="7" t="s">
        <v>151</v>
      </c>
      <c r="G18" s="7" t="s">
        <v>36</v>
      </c>
      <c r="H18" s="215" t="s">
        <v>162</v>
      </c>
      <c r="I18" s="207" t="s">
        <v>153</v>
      </c>
      <c r="J18" s="215" t="s">
        <v>38</v>
      </c>
      <c r="K18" s="207" t="s">
        <v>154</v>
      </c>
      <c r="L18" s="7">
        <v>2</v>
      </c>
      <c r="N18" s="7">
        <v>1</v>
      </c>
      <c r="O18" s="7">
        <v>0.5</v>
      </c>
      <c r="P18" s="7">
        <v>0.5</v>
      </c>
      <c r="Q18" s="52">
        <f t="shared" si="0"/>
        <v>0.5</v>
      </c>
      <c r="R18" s="7">
        <v>15.4</v>
      </c>
      <c r="S18" s="7">
        <v>147</v>
      </c>
      <c r="T18" s="16">
        <f t="shared" si="1"/>
        <v>22</v>
      </c>
      <c r="U18" s="207">
        <v>170</v>
      </c>
      <c r="V18" s="16">
        <f t="shared" si="2"/>
        <v>3740</v>
      </c>
      <c r="W18" s="7">
        <v>2</v>
      </c>
      <c r="X18" s="215" t="s">
        <v>46</v>
      </c>
      <c r="Y18" s="215" t="s">
        <v>50</v>
      </c>
      <c r="Z18" s="215" t="s">
        <v>90</v>
      </c>
      <c r="AA18" s="215" t="s">
        <v>78</v>
      </c>
      <c r="AB18" s="39" t="s">
        <v>336</v>
      </c>
      <c r="AE18" s="22" t="s">
        <v>87</v>
      </c>
      <c r="AP18" s="43" t="s">
        <v>111</v>
      </c>
      <c r="AR18" s="41" t="s">
        <v>101</v>
      </c>
      <c r="AV18" s="23" t="s">
        <v>88</v>
      </c>
    </row>
    <row r="19" spans="1:48" x14ac:dyDescent="0.15">
      <c r="A19" s="15" t="s">
        <v>333</v>
      </c>
      <c r="B19" s="15" t="s">
        <v>334</v>
      </c>
      <c r="C19" s="15">
        <v>2018</v>
      </c>
      <c r="D19" s="37" t="s">
        <v>340</v>
      </c>
      <c r="E19" s="15" t="s">
        <v>142</v>
      </c>
      <c r="F19" s="7" t="s">
        <v>151</v>
      </c>
      <c r="G19" s="7" t="s">
        <v>36</v>
      </c>
      <c r="H19" s="215" t="s">
        <v>162</v>
      </c>
      <c r="I19" s="207" t="s">
        <v>153</v>
      </c>
      <c r="J19" s="215" t="s">
        <v>38</v>
      </c>
      <c r="K19" s="207" t="s">
        <v>154</v>
      </c>
      <c r="L19" s="7">
        <v>3</v>
      </c>
      <c r="N19" s="7">
        <v>1</v>
      </c>
      <c r="O19" s="7">
        <v>0.55000000000000004</v>
      </c>
      <c r="P19" s="7">
        <v>0.7</v>
      </c>
      <c r="Q19" s="52">
        <f t="shared" si="0"/>
        <v>0.625</v>
      </c>
      <c r="R19" s="7">
        <v>20</v>
      </c>
      <c r="S19" s="7">
        <v>149</v>
      </c>
      <c r="T19" s="16">
        <f t="shared" si="1"/>
        <v>22</v>
      </c>
      <c r="U19" s="207">
        <v>170</v>
      </c>
      <c r="V19" s="16">
        <f t="shared" si="2"/>
        <v>3740</v>
      </c>
      <c r="W19" s="7">
        <v>2</v>
      </c>
      <c r="X19" s="215" t="s">
        <v>46</v>
      </c>
      <c r="Y19" s="215" t="s">
        <v>50</v>
      </c>
      <c r="Z19" s="215" t="s">
        <v>90</v>
      </c>
      <c r="AA19" s="215" t="s">
        <v>78</v>
      </c>
      <c r="AB19" s="39" t="s">
        <v>336</v>
      </c>
      <c r="AE19" s="35" t="s">
        <v>89</v>
      </c>
      <c r="AP19" s="43" t="s">
        <v>112</v>
      </c>
      <c r="AR19" s="30" t="s">
        <v>126</v>
      </c>
      <c r="AV19" s="23" t="s">
        <v>90</v>
      </c>
    </row>
    <row r="20" spans="1:48" x14ac:dyDescent="0.15">
      <c r="A20" s="15" t="s">
        <v>333</v>
      </c>
      <c r="B20" s="15" t="s">
        <v>334</v>
      </c>
      <c r="C20" s="15">
        <v>2018</v>
      </c>
      <c r="D20" s="37" t="s">
        <v>340</v>
      </c>
      <c r="E20" s="15" t="s">
        <v>143</v>
      </c>
      <c r="F20" s="7" t="s">
        <v>152</v>
      </c>
      <c r="G20" s="7" t="s">
        <v>36</v>
      </c>
      <c r="H20" s="15" t="s">
        <v>155</v>
      </c>
      <c r="I20" s="207" t="s">
        <v>153</v>
      </c>
      <c r="J20" s="15" t="s">
        <v>38</v>
      </c>
      <c r="K20" s="7" t="s">
        <v>154</v>
      </c>
      <c r="L20" s="7">
        <v>1</v>
      </c>
      <c r="N20" s="7">
        <v>1</v>
      </c>
      <c r="O20" s="7">
        <v>0.55000000000000004</v>
      </c>
      <c r="P20" s="34">
        <v>0.5</v>
      </c>
      <c r="Q20" s="52">
        <f t="shared" si="0"/>
        <v>0.52500000000000002</v>
      </c>
      <c r="R20" s="7">
        <v>11.7</v>
      </c>
      <c r="S20" s="7">
        <v>118</v>
      </c>
      <c r="T20" s="16">
        <f t="shared" si="1"/>
        <v>30</v>
      </c>
      <c r="U20" s="7">
        <v>105</v>
      </c>
      <c r="V20" s="16">
        <f t="shared" si="2"/>
        <v>3150</v>
      </c>
      <c r="W20" s="7">
        <v>3</v>
      </c>
      <c r="X20" s="215" t="s">
        <v>39</v>
      </c>
      <c r="Y20" s="215" t="s">
        <v>50</v>
      </c>
      <c r="Z20" s="215" t="s">
        <v>90</v>
      </c>
      <c r="AA20" s="215" t="s">
        <v>84</v>
      </c>
      <c r="AB20" s="39" t="s">
        <v>336</v>
      </c>
      <c r="AE20" s="22"/>
      <c r="AP20" s="43" t="s">
        <v>113</v>
      </c>
      <c r="AR20" s="41" t="s">
        <v>105</v>
      </c>
      <c r="AV20" s="27" t="s">
        <v>135</v>
      </c>
    </row>
    <row r="21" spans="1:48" x14ac:dyDescent="0.15">
      <c r="A21" s="15" t="s">
        <v>333</v>
      </c>
      <c r="B21" s="15" t="s">
        <v>334</v>
      </c>
      <c r="C21" s="15">
        <v>2018</v>
      </c>
      <c r="D21" s="37" t="s">
        <v>340</v>
      </c>
      <c r="E21" s="15" t="s">
        <v>143</v>
      </c>
      <c r="F21" s="7" t="s">
        <v>152</v>
      </c>
      <c r="G21" s="7" t="s">
        <v>36</v>
      </c>
      <c r="H21" s="215" t="s">
        <v>155</v>
      </c>
      <c r="I21" s="207" t="s">
        <v>153</v>
      </c>
      <c r="J21" s="215" t="s">
        <v>38</v>
      </c>
      <c r="K21" s="207" t="s">
        <v>154</v>
      </c>
      <c r="L21" s="7">
        <v>2</v>
      </c>
      <c r="N21" s="7">
        <v>1</v>
      </c>
      <c r="O21" s="7">
        <v>0.55000000000000004</v>
      </c>
      <c r="P21" s="7">
        <v>0.65</v>
      </c>
      <c r="Q21" s="52">
        <f t="shared" si="0"/>
        <v>0.60000000000000009</v>
      </c>
      <c r="R21" s="7">
        <v>12.3</v>
      </c>
      <c r="S21" s="7">
        <v>120</v>
      </c>
      <c r="T21" s="16">
        <f t="shared" si="1"/>
        <v>30</v>
      </c>
      <c r="U21" s="207">
        <v>105</v>
      </c>
      <c r="V21" s="16">
        <f t="shared" si="2"/>
        <v>3150</v>
      </c>
      <c r="W21" s="7">
        <v>3</v>
      </c>
      <c r="X21" s="215" t="s">
        <v>39</v>
      </c>
      <c r="Y21" s="215" t="s">
        <v>50</v>
      </c>
      <c r="Z21" s="215" t="s">
        <v>90</v>
      </c>
      <c r="AA21" s="215" t="s">
        <v>84</v>
      </c>
      <c r="AB21" s="39" t="s">
        <v>336</v>
      </c>
      <c r="AE21" s="22"/>
      <c r="AP21" s="43" t="s">
        <v>114</v>
      </c>
      <c r="AR21" s="41" t="s">
        <v>68</v>
      </c>
      <c r="AV21" s="27" t="s">
        <v>136</v>
      </c>
    </row>
    <row r="22" spans="1:48" x14ac:dyDescent="0.15">
      <c r="A22" s="15" t="s">
        <v>333</v>
      </c>
      <c r="B22" s="15" t="s">
        <v>334</v>
      </c>
      <c r="C22" s="15">
        <v>2018</v>
      </c>
      <c r="D22" s="37" t="s">
        <v>340</v>
      </c>
      <c r="E22" s="15" t="s">
        <v>143</v>
      </c>
      <c r="F22" s="7" t="s">
        <v>152</v>
      </c>
      <c r="G22" s="7" t="s">
        <v>36</v>
      </c>
      <c r="H22" s="215" t="s">
        <v>155</v>
      </c>
      <c r="I22" s="207" t="s">
        <v>153</v>
      </c>
      <c r="J22" s="215" t="s">
        <v>38</v>
      </c>
      <c r="K22" s="207" t="s">
        <v>154</v>
      </c>
      <c r="L22" s="7">
        <v>3</v>
      </c>
      <c r="N22" s="7">
        <v>1</v>
      </c>
      <c r="O22" s="34">
        <v>0.5</v>
      </c>
      <c r="P22" s="7">
        <v>0.5</v>
      </c>
      <c r="Q22" s="52">
        <f t="shared" si="0"/>
        <v>0.5</v>
      </c>
      <c r="R22" s="7">
        <v>14.1</v>
      </c>
      <c r="S22" s="7">
        <v>121</v>
      </c>
      <c r="T22" s="16">
        <f t="shared" si="1"/>
        <v>27</v>
      </c>
      <c r="U22" s="207">
        <v>105</v>
      </c>
      <c r="V22" s="16">
        <f t="shared" si="2"/>
        <v>2835</v>
      </c>
      <c r="W22" s="7">
        <v>3</v>
      </c>
      <c r="X22" s="215" t="s">
        <v>39</v>
      </c>
      <c r="Y22" s="215" t="s">
        <v>50</v>
      </c>
      <c r="Z22" s="215" t="s">
        <v>90</v>
      </c>
      <c r="AA22" s="215" t="s">
        <v>84</v>
      </c>
      <c r="AB22" s="39" t="s">
        <v>336</v>
      </c>
      <c r="AE22" s="35"/>
      <c r="AP22" s="43" t="s">
        <v>115</v>
      </c>
      <c r="AR22" s="41" t="s">
        <v>83</v>
      </c>
      <c r="AV22" s="27"/>
    </row>
    <row r="23" spans="1:48" x14ac:dyDescent="0.15">
      <c r="A23" s="15" t="s">
        <v>333</v>
      </c>
      <c r="B23" s="15" t="s">
        <v>334</v>
      </c>
      <c r="C23" s="15">
        <v>2018</v>
      </c>
      <c r="D23" s="37" t="s">
        <v>340</v>
      </c>
      <c r="E23" s="7" t="s">
        <v>143</v>
      </c>
      <c r="F23" s="7" t="s">
        <v>152</v>
      </c>
      <c r="G23" s="7" t="s">
        <v>36</v>
      </c>
      <c r="H23" s="15" t="s">
        <v>162</v>
      </c>
      <c r="I23" s="207" t="s">
        <v>153</v>
      </c>
      <c r="J23" s="15" t="s">
        <v>38</v>
      </c>
      <c r="K23" s="7" t="s">
        <v>154</v>
      </c>
      <c r="L23" s="7">
        <v>1</v>
      </c>
      <c r="N23" s="7">
        <v>1</v>
      </c>
      <c r="O23" s="34">
        <v>0.6</v>
      </c>
      <c r="P23" s="7">
        <v>0.7</v>
      </c>
      <c r="Q23" s="52">
        <f t="shared" si="0"/>
        <v>0.64999999999999991</v>
      </c>
      <c r="R23" s="7">
        <v>14.9</v>
      </c>
      <c r="S23" s="7">
        <v>134</v>
      </c>
      <c r="T23" s="16">
        <f t="shared" si="1"/>
        <v>25</v>
      </c>
      <c r="U23" s="7">
        <v>149</v>
      </c>
      <c r="V23" s="16">
        <f t="shared" si="2"/>
        <v>3725</v>
      </c>
      <c r="W23" s="7">
        <v>2</v>
      </c>
      <c r="X23" s="215" t="s">
        <v>39</v>
      </c>
      <c r="Y23" s="215" t="s">
        <v>50</v>
      </c>
      <c r="Z23" s="215" t="s">
        <v>90</v>
      </c>
      <c r="AA23" s="215" t="s">
        <v>84</v>
      </c>
      <c r="AB23" s="39" t="s">
        <v>336</v>
      </c>
      <c r="AE23" s="22"/>
      <c r="AP23" s="43" t="s">
        <v>137</v>
      </c>
      <c r="AR23" s="41" t="s">
        <v>61</v>
      </c>
      <c r="AV23" s="27"/>
    </row>
    <row r="24" spans="1:48" x14ac:dyDescent="0.15">
      <c r="A24" s="15" t="s">
        <v>333</v>
      </c>
      <c r="B24" s="15" t="s">
        <v>334</v>
      </c>
      <c r="C24" s="15">
        <v>2018</v>
      </c>
      <c r="D24" s="37" t="s">
        <v>340</v>
      </c>
      <c r="E24" s="7" t="s">
        <v>143</v>
      </c>
      <c r="F24" s="7" t="s">
        <v>152</v>
      </c>
      <c r="G24" s="7" t="s">
        <v>36</v>
      </c>
      <c r="H24" s="215" t="s">
        <v>162</v>
      </c>
      <c r="I24" s="207" t="s">
        <v>153</v>
      </c>
      <c r="J24" s="15" t="s">
        <v>38</v>
      </c>
      <c r="K24" s="7" t="s">
        <v>154</v>
      </c>
      <c r="L24" s="7">
        <v>2</v>
      </c>
      <c r="N24" s="7">
        <v>1</v>
      </c>
      <c r="O24" s="7">
        <v>0.55000000000000004</v>
      </c>
      <c r="P24" s="7">
        <v>0.55000000000000004</v>
      </c>
      <c r="Q24" s="52">
        <f t="shared" si="0"/>
        <v>0.55000000000000004</v>
      </c>
      <c r="R24" s="7">
        <v>15</v>
      </c>
      <c r="S24" s="7">
        <v>133</v>
      </c>
      <c r="T24" s="16">
        <f t="shared" si="1"/>
        <v>25</v>
      </c>
      <c r="U24" s="207">
        <v>149</v>
      </c>
      <c r="V24" s="16">
        <f t="shared" si="2"/>
        <v>3725</v>
      </c>
      <c r="W24" s="7">
        <v>2</v>
      </c>
      <c r="X24" s="215" t="s">
        <v>39</v>
      </c>
      <c r="Y24" s="215" t="s">
        <v>50</v>
      </c>
      <c r="Z24" s="215" t="s">
        <v>90</v>
      </c>
      <c r="AA24" s="215" t="s">
        <v>84</v>
      </c>
      <c r="AB24" s="39" t="s">
        <v>336</v>
      </c>
      <c r="AE24" s="22"/>
      <c r="AP24" s="43" t="s">
        <v>138</v>
      </c>
      <c r="AR24" s="41" t="s">
        <v>91</v>
      </c>
      <c r="AV24" s="27"/>
    </row>
    <row r="25" spans="1:48" x14ac:dyDescent="0.15">
      <c r="A25" s="15" t="s">
        <v>333</v>
      </c>
      <c r="B25" s="15" t="s">
        <v>334</v>
      </c>
      <c r="C25" s="15">
        <v>2018</v>
      </c>
      <c r="D25" s="37" t="s">
        <v>340</v>
      </c>
      <c r="E25" s="7" t="s">
        <v>143</v>
      </c>
      <c r="F25" s="7" t="s">
        <v>152</v>
      </c>
      <c r="G25" s="7" t="s">
        <v>36</v>
      </c>
      <c r="H25" s="215" t="s">
        <v>162</v>
      </c>
      <c r="I25" s="207" t="s">
        <v>153</v>
      </c>
      <c r="J25" s="15" t="s">
        <v>38</v>
      </c>
      <c r="K25" s="7" t="s">
        <v>154</v>
      </c>
      <c r="L25" s="7">
        <v>3</v>
      </c>
      <c r="N25" s="7">
        <v>1</v>
      </c>
      <c r="O25" s="7">
        <v>0.5</v>
      </c>
      <c r="P25" s="7">
        <v>0.6</v>
      </c>
      <c r="Q25" s="52">
        <f t="shared" si="0"/>
        <v>0.55000000000000004</v>
      </c>
      <c r="R25" s="7">
        <v>16.5</v>
      </c>
      <c r="S25" s="7">
        <v>131</v>
      </c>
      <c r="T25" s="16">
        <f t="shared" si="1"/>
        <v>25</v>
      </c>
      <c r="U25" s="207">
        <v>149</v>
      </c>
      <c r="V25" s="16">
        <f t="shared" si="2"/>
        <v>3725</v>
      </c>
      <c r="W25" s="7">
        <v>2</v>
      </c>
      <c r="X25" s="215" t="s">
        <v>39</v>
      </c>
      <c r="Y25" s="215" t="s">
        <v>50</v>
      </c>
      <c r="Z25" s="215" t="s">
        <v>90</v>
      </c>
      <c r="AA25" s="215" t="s">
        <v>84</v>
      </c>
      <c r="AB25" s="39" t="s">
        <v>336</v>
      </c>
      <c r="AE25" s="35"/>
      <c r="AP25" s="43" t="s">
        <v>116</v>
      </c>
      <c r="AR25" s="42" t="s">
        <v>92</v>
      </c>
      <c r="AV25" s="27"/>
    </row>
    <row r="26" spans="1:48" x14ac:dyDescent="0.15">
      <c r="A26" s="15" t="s">
        <v>333</v>
      </c>
      <c r="B26" s="15" t="s">
        <v>334</v>
      </c>
      <c r="C26" s="15">
        <v>2018</v>
      </c>
      <c r="D26" s="37" t="s">
        <v>340</v>
      </c>
      <c r="E26" s="7" t="s">
        <v>131</v>
      </c>
      <c r="F26" s="7" t="s">
        <v>144</v>
      </c>
      <c r="G26" s="7" t="s">
        <v>36</v>
      </c>
      <c r="H26" s="15" t="s">
        <v>155</v>
      </c>
      <c r="I26" s="207" t="s">
        <v>153</v>
      </c>
      <c r="J26" s="15" t="s">
        <v>38</v>
      </c>
      <c r="K26" s="7" t="s">
        <v>154</v>
      </c>
      <c r="L26" s="7">
        <v>1</v>
      </c>
      <c r="N26" s="7">
        <v>1</v>
      </c>
      <c r="O26" s="7">
        <v>0.7</v>
      </c>
      <c r="P26" s="7">
        <v>0.6</v>
      </c>
      <c r="Q26" s="52">
        <f t="shared" si="0"/>
        <v>0.64999999999999991</v>
      </c>
      <c r="R26" s="7">
        <v>13.5</v>
      </c>
      <c r="S26" s="7">
        <v>114</v>
      </c>
      <c r="T26" s="16">
        <f t="shared" si="1"/>
        <v>30</v>
      </c>
      <c r="U26" s="7">
        <v>59</v>
      </c>
      <c r="V26" s="16">
        <f t="shared" si="2"/>
        <v>1770</v>
      </c>
      <c r="W26" s="7">
        <v>3</v>
      </c>
      <c r="X26" s="15" t="s">
        <v>46</v>
      </c>
      <c r="Y26" s="215" t="s">
        <v>50</v>
      </c>
      <c r="Z26" s="215" t="s">
        <v>84</v>
      </c>
      <c r="AA26" s="215" t="s">
        <v>90</v>
      </c>
      <c r="AB26" s="39" t="s">
        <v>336</v>
      </c>
      <c r="AE26" s="35"/>
      <c r="AP26" s="43" t="s">
        <v>117</v>
      </c>
      <c r="AR26" s="23" t="s">
        <v>287</v>
      </c>
      <c r="AV26" s="28"/>
    </row>
    <row r="27" spans="1:48" x14ac:dyDescent="0.15">
      <c r="A27" s="15" t="s">
        <v>333</v>
      </c>
      <c r="B27" s="15" t="s">
        <v>334</v>
      </c>
      <c r="C27" s="15">
        <v>2018</v>
      </c>
      <c r="D27" s="37" t="s">
        <v>340</v>
      </c>
      <c r="E27" s="7" t="s">
        <v>131</v>
      </c>
      <c r="F27" s="7" t="s">
        <v>144</v>
      </c>
      <c r="G27" s="7" t="s">
        <v>36</v>
      </c>
      <c r="H27" s="215" t="s">
        <v>155</v>
      </c>
      <c r="I27" s="207" t="s">
        <v>153</v>
      </c>
      <c r="J27" s="15" t="s">
        <v>38</v>
      </c>
      <c r="K27" s="7" t="s">
        <v>154</v>
      </c>
      <c r="L27" s="7">
        <v>2</v>
      </c>
      <c r="N27" s="7">
        <v>1</v>
      </c>
      <c r="O27" s="7">
        <v>0.5</v>
      </c>
      <c r="P27" s="7">
        <v>0.5</v>
      </c>
      <c r="Q27" s="52">
        <f t="shared" si="0"/>
        <v>0.5</v>
      </c>
      <c r="R27" s="7">
        <v>14.1</v>
      </c>
      <c r="S27" s="7">
        <v>108</v>
      </c>
      <c r="T27" s="16">
        <f t="shared" si="1"/>
        <v>33</v>
      </c>
      <c r="U27" s="207">
        <v>59</v>
      </c>
      <c r="V27" s="16">
        <f t="shared" si="2"/>
        <v>1947</v>
      </c>
      <c r="W27" s="7">
        <v>3</v>
      </c>
      <c r="X27" s="15" t="s">
        <v>46</v>
      </c>
      <c r="Y27" s="215" t="s">
        <v>50</v>
      </c>
      <c r="Z27" s="215" t="s">
        <v>84</v>
      </c>
      <c r="AA27" s="215" t="s">
        <v>90</v>
      </c>
      <c r="AB27" s="39" t="s">
        <v>336</v>
      </c>
      <c r="AE27" s="28"/>
      <c r="AP27" s="43" t="s">
        <v>118</v>
      </c>
      <c r="AR27" s="23"/>
    </row>
    <row r="28" spans="1:48" x14ac:dyDescent="0.15">
      <c r="A28" s="15" t="s">
        <v>333</v>
      </c>
      <c r="B28" s="15" t="s">
        <v>334</v>
      </c>
      <c r="C28" s="15">
        <v>2018</v>
      </c>
      <c r="D28" s="37" t="s">
        <v>340</v>
      </c>
      <c r="E28" s="7" t="s">
        <v>131</v>
      </c>
      <c r="F28" s="7" t="s">
        <v>144</v>
      </c>
      <c r="G28" s="7" t="s">
        <v>36</v>
      </c>
      <c r="H28" s="215" t="s">
        <v>155</v>
      </c>
      <c r="I28" s="207" t="s">
        <v>153</v>
      </c>
      <c r="J28" s="15" t="s">
        <v>38</v>
      </c>
      <c r="K28" s="7" t="s">
        <v>154</v>
      </c>
      <c r="L28" s="7">
        <v>3</v>
      </c>
      <c r="N28" s="7">
        <v>1</v>
      </c>
      <c r="O28" s="7">
        <v>0.65</v>
      </c>
      <c r="P28" s="7">
        <v>0.65</v>
      </c>
      <c r="Q28" s="52">
        <f t="shared" si="0"/>
        <v>0.65</v>
      </c>
      <c r="R28" s="7">
        <v>15</v>
      </c>
      <c r="S28" s="7">
        <v>113</v>
      </c>
      <c r="T28" s="16">
        <f t="shared" si="1"/>
        <v>30</v>
      </c>
      <c r="U28" s="207">
        <v>59</v>
      </c>
      <c r="V28" s="16">
        <f t="shared" si="2"/>
        <v>1770</v>
      </c>
      <c r="W28" s="7">
        <v>3</v>
      </c>
      <c r="X28" s="15" t="s">
        <v>46</v>
      </c>
      <c r="Y28" s="215" t="s">
        <v>50</v>
      </c>
      <c r="Z28" s="215" t="s">
        <v>84</v>
      </c>
      <c r="AA28" s="215" t="s">
        <v>90</v>
      </c>
      <c r="AB28" s="39" t="s">
        <v>336</v>
      </c>
      <c r="AP28" s="27"/>
      <c r="AR28" s="23"/>
    </row>
    <row r="29" spans="1:48" x14ac:dyDescent="0.15">
      <c r="A29" s="15" t="s">
        <v>333</v>
      </c>
      <c r="B29" s="15" t="s">
        <v>334</v>
      </c>
      <c r="C29" s="15">
        <v>2018</v>
      </c>
      <c r="D29" s="37" t="s">
        <v>340</v>
      </c>
      <c r="E29" s="7" t="s">
        <v>131</v>
      </c>
      <c r="F29" s="7" t="s">
        <v>144</v>
      </c>
      <c r="G29" s="7" t="s">
        <v>36</v>
      </c>
      <c r="H29" s="15" t="s">
        <v>155</v>
      </c>
      <c r="I29" s="207" t="s">
        <v>156</v>
      </c>
      <c r="J29" s="15" t="s">
        <v>38</v>
      </c>
      <c r="K29" s="7" t="s">
        <v>154</v>
      </c>
      <c r="L29" s="7">
        <v>1</v>
      </c>
      <c r="N29" s="7">
        <v>4</v>
      </c>
      <c r="O29" s="7">
        <v>0.7</v>
      </c>
      <c r="P29" s="7">
        <v>0.7</v>
      </c>
      <c r="Q29" s="52">
        <f t="shared" si="0"/>
        <v>0.7</v>
      </c>
      <c r="R29" s="7">
        <v>11.8</v>
      </c>
      <c r="S29" s="7">
        <v>88</v>
      </c>
      <c r="T29" s="16">
        <f t="shared" si="1"/>
        <v>36</v>
      </c>
      <c r="U29" s="7">
        <v>430</v>
      </c>
      <c r="V29" s="16">
        <f t="shared" si="2"/>
        <v>3870</v>
      </c>
      <c r="W29" s="7">
        <v>1</v>
      </c>
      <c r="X29" s="15" t="s">
        <v>46</v>
      </c>
      <c r="Y29" s="215" t="s">
        <v>50</v>
      </c>
      <c r="Z29" s="215" t="s">
        <v>84</v>
      </c>
      <c r="AA29" s="215" t="s">
        <v>90</v>
      </c>
      <c r="AB29" s="39" t="s">
        <v>336</v>
      </c>
      <c r="AP29" s="27"/>
      <c r="AR29" s="27"/>
      <c r="AV29" s="28"/>
    </row>
    <row r="30" spans="1:48" x14ac:dyDescent="0.15">
      <c r="A30" s="15" t="s">
        <v>333</v>
      </c>
      <c r="B30" s="15" t="s">
        <v>334</v>
      </c>
      <c r="C30" s="15">
        <v>2018</v>
      </c>
      <c r="D30" s="37" t="s">
        <v>340</v>
      </c>
      <c r="E30" s="7" t="s">
        <v>131</v>
      </c>
      <c r="F30" s="7" t="s">
        <v>144</v>
      </c>
      <c r="G30" s="7" t="s">
        <v>36</v>
      </c>
      <c r="H30" s="215" t="s">
        <v>155</v>
      </c>
      <c r="I30" s="207" t="s">
        <v>156</v>
      </c>
      <c r="J30" s="15" t="s">
        <v>38</v>
      </c>
      <c r="K30" s="7" t="s">
        <v>154</v>
      </c>
      <c r="L30" s="7">
        <v>2</v>
      </c>
      <c r="N30" s="7">
        <v>4</v>
      </c>
      <c r="O30" s="7">
        <v>0.6</v>
      </c>
      <c r="P30" s="7">
        <v>0.75</v>
      </c>
      <c r="Q30" s="52">
        <f t="shared" si="0"/>
        <v>0.67500000000000004</v>
      </c>
      <c r="R30" s="7">
        <v>14</v>
      </c>
      <c r="S30" s="7">
        <v>88</v>
      </c>
      <c r="T30" s="16">
        <f t="shared" si="1"/>
        <v>36</v>
      </c>
      <c r="U30" s="207">
        <v>430</v>
      </c>
      <c r="V30" s="16">
        <f t="shared" si="2"/>
        <v>3870</v>
      </c>
      <c r="W30" s="7">
        <v>1</v>
      </c>
      <c r="X30" s="15" t="s">
        <v>46</v>
      </c>
      <c r="Y30" s="215" t="s">
        <v>50</v>
      </c>
      <c r="Z30" s="215" t="s">
        <v>84</v>
      </c>
      <c r="AA30" s="215" t="s">
        <v>90</v>
      </c>
      <c r="AB30" s="39" t="s">
        <v>336</v>
      </c>
      <c r="AP30" s="27"/>
      <c r="AR30" s="27"/>
    </row>
    <row r="31" spans="1:48" x14ac:dyDescent="0.15">
      <c r="A31" s="15" t="s">
        <v>333</v>
      </c>
      <c r="B31" s="15" t="s">
        <v>334</v>
      </c>
      <c r="C31" s="15">
        <v>2018</v>
      </c>
      <c r="D31" s="37" t="s">
        <v>340</v>
      </c>
      <c r="E31" s="7" t="s">
        <v>131</v>
      </c>
      <c r="F31" s="7" t="s">
        <v>144</v>
      </c>
      <c r="G31" s="7" t="s">
        <v>36</v>
      </c>
      <c r="H31" s="215" t="s">
        <v>155</v>
      </c>
      <c r="I31" s="207" t="s">
        <v>156</v>
      </c>
      <c r="J31" s="15" t="s">
        <v>38</v>
      </c>
      <c r="K31" s="7" t="s">
        <v>154</v>
      </c>
      <c r="L31" s="7">
        <v>3</v>
      </c>
      <c r="N31" s="7">
        <v>4</v>
      </c>
      <c r="O31" s="7">
        <v>0.75</v>
      </c>
      <c r="P31" s="7">
        <v>0.7</v>
      </c>
      <c r="Q31" s="52">
        <f t="shared" si="0"/>
        <v>0.72499999999999998</v>
      </c>
      <c r="R31" s="7">
        <v>11.7</v>
      </c>
      <c r="S31" s="7">
        <v>87</v>
      </c>
      <c r="T31" s="16">
        <f t="shared" si="1"/>
        <v>36</v>
      </c>
      <c r="U31" s="207">
        <v>430</v>
      </c>
      <c r="V31" s="16">
        <f t="shared" si="2"/>
        <v>3870</v>
      </c>
      <c r="W31" s="7">
        <v>1</v>
      </c>
      <c r="X31" s="15" t="s">
        <v>46</v>
      </c>
      <c r="Y31" s="215" t="s">
        <v>50</v>
      </c>
      <c r="Z31" s="215" t="s">
        <v>84</v>
      </c>
      <c r="AA31" s="215" t="s">
        <v>90</v>
      </c>
      <c r="AB31" s="39" t="s">
        <v>336</v>
      </c>
      <c r="AP31" s="27"/>
      <c r="AR31" s="27"/>
    </row>
    <row r="32" spans="1:48" x14ac:dyDescent="0.15">
      <c r="A32" s="15" t="s">
        <v>333</v>
      </c>
      <c r="B32" s="15" t="s">
        <v>334</v>
      </c>
      <c r="C32" s="15">
        <v>2018</v>
      </c>
      <c r="D32" s="37" t="s">
        <v>340</v>
      </c>
      <c r="E32" s="7" t="s">
        <v>131</v>
      </c>
      <c r="F32" s="7" t="s">
        <v>144</v>
      </c>
      <c r="G32" s="7" t="s">
        <v>36</v>
      </c>
      <c r="H32" s="15" t="s">
        <v>162</v>
      </c>
      <c r="I32" s="207" t="s">
        <v>153</v>
      </c>
      <c r="J32" s="15" t="s">
        <v>38</v>
      </c>
      <c r="K32" s="7" t="s">
        <v>154</v>
      </c>
      <c r="L32" s="7">
        <v>1</v>
      </c>
      <c r="N32" s="7">
        <v>1</v>
      </c>
      <c r="O32" s="7">
        <v>0.65</v>
      </c>
      <c r="P32" s="7">
        <v>0.55000000000000004</v>
      </c>
      <c r="Q32" s="52">
        <f t="shared" si="0"/>
        <v>0.60000000000000009</v>
      </c>
      <c r="R32" s="7">
        <v>15.5</v>
      </c>
      <c r="S32" s="7">
        <v>125</v>
      </c>
      <c r="T32" s="16">
        <f t="shared" si="1"/>
        <v>27</v>
      </c>
      <c r="U32" s="7">
        <v>138</v>
      </c>
      <c r="V32" s="16">
        <f t="shared" si="2"/>
        <v>3726</v>
      </c>
      <c r="W32" s="7">
        <v>4</v>
      </c>
      <c r="X32" s="15" t="s">
        <v>46</v>
      </c>
      <c r="Y32" s="215" t="s">
        <v>50</v>
      </c>
      <c r="Z32" s="215" t="s">
        <v>84</v>
      </c>
      <c r="AA32" s="215" t="s">
        <v>90</v>
      </c>
      <c r="AB32" s="39" t="s">
        <v>336</v>
      </c>
      <c r="AP32" s="28"/>
      <c r="AR32" s="28"/>
    </row>
    <row r="33" spans="1:44" x14ac:dyDescent="0.15">
      <c r="A33" s="15" t="s">
        <v>333</v>
      </c>
      <c r="B33" s="15" t="s">
        <v>334</v>
      </c>
      <c r="C33" s="15">
        <v>2018</v>
      </c>
      <c r="D33" s="37" t="s">
        <v>340</v>
      </c>
      <c r="E33" s="7" t="s">
        <v>131</v>
      </c>
      <c r="F33" s="7" t="s">
        <v>144</v>
      </c>
      <c r="G33" s="7" t="s">
        <v>36</v>
      </c>
      <c r="H33" s="215" t="s">
        <v>162</v>
      </c>
      <c r="I33" s="207" t="s">
        <v>153</v>
      </c>
      <c r="J33" s="15" t="s">
        <v>38</v>
      </c>
      <c r="K33" s="7" t="s">
        <v>154</v>
      </c>
      <c r="L33" s="7">
        <v>2</v>
      </c>
      <c r="N33" s="7">
        <v>1</v>
      </c>
      <c r="O33" s="7">
        <v>0.5</v>
      </c>
      <c r="P33" s="7">
        <v>0.5</v>
      </c>
      <c r="Q33" s="52">
        <f t="shared" si="0"/>
        <v>0.5</v>
      </c>
      <c r="R33" s="7">
        <v>15.4</v>
      </c>
      <c r="S33" s="7">
        <v>136</v>
      </c>
      <c r="T33" s="16">
        <f t="shared" si="1"/>
        <v>25</v>
      </c>
      <c r="U33" s="207">
        <v>138</v>
      </c>
      <c r="V33" s="16">
        <f t="shared" si="2"/>
        <v>3450</v>
      </c>
      <c r="W33" s="7">
        <v>4</v>
      </c>
      <c r="X33" s="15" t="s">
        <v>46</v>
      </c>
      <c r="Y33" s="215" t="s">
        <v>50</v>
      </c>
      <c r="Z33" s="215" t="s">
        <v>84</v>
      </c>
      <c r="AA33" s="215" t="s">
        <v>90</v>
      </c>
      <c r="AB33" s="39" t="s">
        <v>336</v>
      </c>
    </row>
    <row r="34" spans="1:44" x14ac:dyDescent="0.15">
      <c r="A34" s="15" t="s">
        <v>333</v>
      </c>
      <c r="B34" s="15" t="s">
        <v>334</v>
      </c>
      <c r="C34" s="15">
        <v>2018</v>
      </c>
      <c r="D34" s="37" t="s">
        <v>340</v>
      </c>
      <c r="E34" s="7" t="s">
        <v>131</v>
      </c>
      <c r="F34" s="7" t="s">
        <v>144</v>
      </c>
      <c r="G34" s="7" t="s">
        <v>36</v>
      </c>
      <c r="H34" s="215" t="s">
        <v>162</v>
      </c>
      <c r="I34" s="207" t="s">
        <v>153</v>
      </c>
      <c r="J34" s="15" t="s">
        <v>38</v>
      </c>
      <c r="K34" s="7" t="s">
        <v>154</v>
      </c>
      <c r="L34" s="7">
        <v>3</v>
      </c>
      <c r="N34" s="7">
        <v>1</v>
      </c>
      <c r="O34" s="7">
        <v>0.55000000000000004</v>
      </c>
      <c r="P34" s="7">
        <v>0.6</v>
      </c>
      <c r="Q34" s="52">
        <f t="shared" si="0"/>
        <v>0.57499999999999996</v>
      </c>
      <c r="R34" s="7">
        <v>15.6</v>
      </c>
      <c r="S34" s="7">
        <v>130</v>
      </c>
      <c r="T34" s="16">
        <f t="shared" si="1"/>
        <v>25</v>
      </c>
      <c r="U34" s="207">
        <v>138</v>
      </c>
      <c r="V34" s="16">
        <f t="shared" si="2"/>
        <v>3450</v>
      </c>
      <c r="W34" s="7">
        <v>4</v>
      </c>
      <c r="X34" s="15" t="s">
        <v>46</v>
      </c>
      <c r="Y34" s="215" t="s">
        <v>50</v>
      </c>
      <c r="Z34" s="215" t="s">
        <v>84</v>
      </c>
      <c r="AA34" s="215" t="s">
        <v>90</v>
      </c>
      <c r="AB34" s="39" t="s">
        <v>336</v>
      </c>
    </row>
    <row r="35" spans="1:44" x14ac:dyDescent="0.15">
      <c r="A35" s="15" t="s">
        <v>333</v>
      </c>
      <c r="B35" s="15" t="s">
        <v>334</v>
      </c>
      <c r="C35" s="15">
        <v>2018</v>
      </c>
      <c r="D35" s="37" t="s">
        <v>340</v>
      </c>
      <c r="E35" s="7" t="s">
        <v>139</v>
      </c>
      <c r="F35" s="7" t="s">
        <v>145</v>
      </c>
      <c r="G35" s="7" t="s">
        <v>36</v>
      </c>
      <c r="H35" s="215" t="s">
        <v>155</v>
      </c>
      <c r="I35" s="207" t="s">
        <v>153</v>
      </c>
      <c r="J35" s="15" t="s">
        <v>38</v>
      </c>
      <c r="K35" s="7" t="s">
        <v>154</v>
      </c>
      <c r="L35" s="7">
        <v>1</v>
      </c>
      <c r="N35" s="7">
        <v>1</v>
      </c>
      <c r="O35" s="7">
        <v>0.65</v>
      </c>
      <c r="P35" s="7">
        <v>0.65</v>
      </c>
      <c r="Q35" s="52">
        <f t="shared" si="0"/>
        <v>0.65</v>
      </c>
      <c r="R35" s="7">
        <v>12.5</v>
      </c>
      <c r="S35" s="7">
        <v>135</v>
      </c>
      <c r="T35" s="16">
        <f t="shared" si="1"/>
        <v>25</v>
      </c>
      <c r="U35" s="7">
        <v>100</v>
      </c>
      <c r="V35" s="16">
        <f t="shared" si="2"/>
        <v>2500</v>
      </c>
      <c r="W35" s="7">
        <v>5</v>
      </c>
      <c r="X35" s="15" t="s">
        <v>46</v>
      </c>
      <c r="Y35" s="215" t="s">
        <v>50</v>
      </c>
      <c r="Z35" s="215" t="s">
        <v>90</v>
      </c>
      <c r="AA35" s="215" t="s">
        <v>84</v>
      </c>
      <c r="AB35" s="39" t="s">
        <v>336</v>
      </c>
      <c r="AP35" s="28"/>
      <c r="AR35" s="28"/>
    </row>
    <row r="36" spans="1:44" x14ac:dyDescent="0.15">
      <c r="A36" s="15" t="s">
        <v>333</v>
      </c>
      <c r="B36" s="15" t="s">
        <v>334</v>
      </c>
      <c r="C36" s="15">
        <v>2018</v>
      </c>
      <c r="D36" s="37" t="s">
        <v>340</v>
      </c>
      <c r="E36" s="7" t="s">
        <v>139</v>
      </c>
      <c r="F36" s="7" t="s">
        <v>145</v>
      </c>
      <c r="G36" s="7" t="s">
        <v>36</v>
      </c>
      <c r="H36" s="215" t="s">
        <v>155</v>
      </c>
      <c r="I36" s="207" t="s">
        <v>153</v>
      </c>
      <c r="J36" s="15" t="s">
        <v>38</v>
      </c>
      <c r="K36" s="7" t="s">
        <v>154</v>
      </c>
      <c r="L36" s="7">
        <v>2</v>
      </c>
      <c r="N36" s="207">
        <v>1</v>
      </c>
      <c r="O36" s="7">
        <v>0.6</v>
      </c>
      <c r="P36" s="7">
        <v>0.6</v>
      </c>
      <c r="Q36" s="52">
        <f t="shared" si="0"/>
        <v>0.6</v>
      </c>
      <c r="R36" s="7">
        <v>15.1</v>
      </c>
      <c r="S36" s="7">
        <v>138</v>
      </c>
      <c r="T36" s="16">
        <f t="shared" si="1"/>
        <v>22</v>
      </c>
      <c r="U36" s="207">
        <v>100</v>
      </c>
      <c r="V36" s="16">
        <f t="shared" si="2"/>
        <v>2200</v>
      </c>
      <c r="W36" s="7">
        <v>5</v>
      </c>
      <c r="X36" s="15" t="s">
        <v>46</v>
      </c>
      <c r="Y36" s="215" t="s">
        <v>50</v>
      </c>
      <c r="Z36" s="215" t="s">
        <v>90</v>
      </c>
      <c r="AA36" s="215" t="s">
        <v>84</v>
      </c>
      <c r="AB36" s="39" t="s">
        <v>336</v>
      </c>
    </row>
    <row r="37" spans="1:44" x14ac:dyDescent="0.15">
      <c r="A37" s="15" t="s">
        <v>333</v>
      </c>
      <c r="B37" s="15" t="s">
        <v>334</v>
      </c>
      <c r="C37" s="15">
        <v>2018</v>
      </c>
      <c r="D37" s="37" t="s">
        <v>340</v>
      </c>
      <c r="E37" s="7" t="s">
        <v>139</v>
      </c>
      <c r="F37" s="7" t="s">
        <v>145</v>
      </c>
      <c r="G37" s="7" t="s">
        <v>36</v>
      </c>
      <c r="H37" s="215" t="s">
        <v>155</v>
      </c>
      <c r="I37" s="207" t="s">
        <v>153</v>
      </c>
      <c r="J37" s="15" t="s">
        <v>38</v>
      </c>
      <c r="K37" s="7" t="s">
        <v>154</v>
      </c>
      <c r="L37" s="7">
        <v>3</v>
      </c>
      <c r="N37" s="207">
        <v>1</v>
      </c>
      <c r="O37" s="34">
        <v>0.5</v>
      </c>
      <c r="P37" s="34">
        <v>0.5</v>
      </c>
      <c r="Q37" s="52">
        <f t="shared" si="0"/>
        <v>0.5</v>
      </c>
      <c r="R37" s="7">
        <v>15.5</v>
      </c>
      <c r="S37" s="7">
        <v>146</v>
      </c>
      <c r="T37" s="16">
        <f t="shared" si="1"/>
        <v>22</v>
      </c>
      <c r="U37" s="207">
        <v>100</v>
      </c>
      <c r="V37" s="16">
        <f t="shared" si="2"/>
        <v>2200</v>
      </c>
      <c r="W37" s="7">
        <v>5</v>
      </c>
      <c r="X37" s="15" t="s">
        <v>46</v>
      </c>
      <c r="Y37" s="215" t="s">
        <v>50</v>
      </c>
      <c r="Z37" s="215" t="s">
        <v>90</v>
      </c>
      <c r="AA37" s="215" t="s">
        <v>84</v>
      </c>
      <c r="AB37" s="39" t="s">
        <v>336</v>
      </c>
    </row>
    <row r="38" spans="1:44" x14ac:dyDescent="0.15">
      <c r="A38" s="15" t="s">
        <v>333</v>
      </c>
      <c r="B38" s="15" t="s">
        <v>334</v>
      </c>
      <c r="C38" s="15">
        <v>2018</v>
      </c>
      <c r="D38" s="37" t="s">
        <v>340</v>
      </c>
      <c r="E38" s="7" t="s">
        <v>139</v>
      </c>
      <c r="F38" s="7" t="s">
        <v>145</v>
      </c>
      <c r="G38" s="7" t="s">
        <v>36</v>
      </c>
      <c r="H38" s="215" t="s">
        <v>162</v>
      </c>
      <c r="I38" s="7" t="s">
        <v>153</v>
      </c>
      <c r="J38" s="215" t="s">
        <v>38</v>
      </c>
      <c r="K38" s="207" t="s">
        <v>154</v>
      </c>
      <c r="L38" s="7">
        <v>1</v>
      </c>
      <c r="N38" s="207">
        <v>1</v>
      </c>
      <c r="O38" s="34">
        <v>0.55000000000000004</v>
      </c>
      <c r="P38" s="34">
        <v>0.5</v>
      </c>
      <c r="Q38" s="52">
        <f t="shared" si="0"/>
        <v>0.52500000000000002</v>
      </c>
      <c r="R38" s="7">
        <v>15.2</v>
      </c>
      <c r="S38" s="7">
        <v>105</v>
      </c>
      <c r="T38" s="16">
        <f t="shared" si="1"/>
        <v>33</v>
      </c>
      <c r="U38" s="7">
        <v>100</v>
      </c>
      <c r="V38" s="16">
        <f t="shared" si="2"/>
        <v>3300</v>
      </c>
      <c r="W38" s="7">
        <v>5</v>
      </c>
      <c r="X38" s="15" t="s">
        <v>46</v>
      </c>
      <c r="Y38" s="215" t="s">
        <v>50</v>
      </c>
      <c r="Z38" s="215" t="s">
        <v>90</v>
      </c>
      <c r="AA38" s="215" t="s">
        <v>84</v>
      </c>
      <c r="AB38" s="39" t="s">
        <v>336</v>
      </c>
    </row>
    <row r="39" spans="1:44" x14ac:dyDescent="0.15">
      <c r="A39" s="15" t="s">
        <v>333</v>
      </c>
      <c r="B39" s="15" t="s">
        <v>334</v>
      </c>
      <c r="C39" s="15">
        <v>2018</v>
      </c>
      <c r="D39" s="37" t="s">
        <v>340</v>
      </c>
      <c r="E39" s="7" t="s">
        <v>139</v>
      </c>
      <c r="F39" s="7" t="s">
        <v>145</v>
      </c>
      <c r="G39" s="7" t="s">
        <v>36</v>
      </c>
      <c r="H39" s="215" t="s">
        <v>162</v>
      </c>
      <c r="I39" s="207" t="s">
        <v>153</v>
      </c>
      <c r="J39" s="215" t="s">
        <v>38</v>
      </c>
      <c r="K39" s="207" t="s">
        <v>154</v>
      </c>
      <c r="L39" s="7">
        <v>2</v>
      </c>
      <c r="N39" s="207">
        <v>1</v>
      </c>
      <c r="O39" s="7">
        <v>0.65</v>
      </c>
      <c r="P39" s="7">
        <v>0.55000000000000004</v>
      </c>
      <c r="Q39" s="52">
        <f t="shared" si="0"/>
        <v>0.60000000000000009</v>
      </c>
      <c r="R39" s="34">
        <v>15.9</v>
      </c>
      <c r="S39" s="7">
        <v>102</v>
      </c>
      <c r="T39" s="16">
        <f t="shared" si="1"/>
        <v>33</v>
      </c>
      <c r="U39" s="207">
        <v>100</v>
      </c>
      <c r="V39" s="16">
        <f t="shared" si="2"/>
        <v>3300</v>
      </c>
      <c r="W39" s="7">
        <v>5</v>
      </c>
      <c r="X39" s="15" t="s">
        <v>46</v>
      </c>
      <c r="Y39" s="215" t="s">
        <v>50</v>
      </c>
      <c r="Z39" s="215" t="s">
        <v>90</v>
      </c>
      <c r="AA39" s="215" t="s">
        <v>84</v>
      </c>
      <c r="AB39" s="39" t="s">
        <v>336</v>
      </c>
    </row>
    <row r="40" spans="1:44" x14ac:dyDescent="0.15">
      <c r="A40" s="15" t="s">
        <v>333</v>
      </c>
      <c r="B40" s="15" t="s">
        <v>334</v>
      </c>
      <c r="C40" s="15">
        <v>2018</v>
      </c>
      <c r="D40" s="37" t="s">
        <v>340</v>
      </c>
      <c r="E40" s="7" t="s">
        <v>139</v>
      </c>
      <c r="F40" s="7" t="s">
        <v>145</v>
      </c>
      <c r="G40" s="7" t="s">
        <v>36</v>
      </c>
      <c r="H40" s="215" t="s">
        <v>162</v>
      </c>
      <c r="I40" s="207" t="s">
        <v>153</v>
      </c>
      <c r="J40" s="215" t="s">
        <v>38</v>
      </c>
      <c r="K40" s="207" t="s">
        <v>154</v>
      </c>
      <c r="L40" s="7">
        <v>3</v>
      </c>
      <c r="N40" s="207">
        <v>1</v>
      </c>
      <c r="O40" s="7">
        <v>0.5</v>
      </c>
      <c r="P40" s="7">
        <v>0.65</v>
      </c>
      <c r="Q40" s="52">
        <f t="shared" si="0"/>
        <v>0.57499999999999996</v>
      </c>
      <c r="R40" s="7">
        <v>15.9</v>
      </c>
      <c r="S40" s="7">
        <v>108</v>
      </c>
      <c r="T40" s="16">
        <f t="shared" si="1"/>
        <v>33</v>
      </c>
      <c r="U40" s="207">
        <v>100</v>
      </c>
      <c r="V40" s="16">
        <f t="shared" si="2"/>
        <v>3300</v>
      </c>
      <c r="W40" s="7">
        <v>5</v>
      </c>
      <c r="X40" s="15" t="s">
        <v>46</v>
      </c>
      <c r="Y40" s="215" t="s">
        <v>50</v>
      </c>
      <c r="Z40" s="215" t="s">
        <v>90</v>
      </c>
      <c r="AA40" s="215" t="s">
        <v>84</v>
      </c>
      <c r="AB40" s="39" t="s">
        <v>336</v>
      </c>
    </row>
    <row r="41" spans="1:44" ht="12.75" customHeight="1" x14ac:dyDescent="0.15">
      <c r="A41" s="15" t="s">
        <v>333</v>
      </c>
      <c r="B41" s="15" t="s">
        <v>334</v>
      </c>
      <c r="C41" s="15">
        <v>2018</v>
      </c>
      <c r="D41" s="37" t="s">
        <v>340</v>
      </c>
      <c r="E41" s="7" t="s">
        <v>313</v>
      </c>
      <c r="F41" s="7" t="s">
        <v>339</v>
      </c>
      <c r="G41" s="7" t="s">
        <v>36</v>
      </c>
      <c r="H41" s="15" t="s">
        <v>155</v>
      </c>
      <c r="I41" s="7" t="s">
        <v>153</v>
      </c>
      <c r="J41" s="15" t="s">
        <v>38</v>
      </c>
      <c r="K41" s="7" t="s">
        <v>154</v>
      </c>
      <c r="L41" s="7">
        <v>1</v>
      </c>
      <c r="N41" s="207">
        <v>1</v>
      </c>
      <c r="O41" s="7">
        <v>0.85</v>
      </c>
      <c r="P41" s="7">
        <v>0.85</v>
      </c>
      <c r="Q41" s="52">
        <f t="shared" si="0"/>
        <v>0.85</v>
      </c>
      <c r="R41" s="7">
        <v>15.1</v>
      </c>
      <c r="S41" s="7">
        <v>120</v>
      </c>
      <c r="T41" s="16">
        <f t="shared" si="1"/>
        <v>30</v>
      </c>
      <c r="U41" s="7">
        <v>91</v>
      </c>
      <c r="V41" s="16">
        <f t="shared" si="2"/>
        <v>2730</v>
      </c>
      <c r="W41" s="7">
        <v>4</v>
      </c>
      <c r="X41" s="15" t="s">
        <v>46</v>
      </c>
      <c r="Y41" s="215" t="s">
        <v>84</v>
      </c>
      <c r="Z41" s="215" t="s">
        <v>78</v>
      </c>
      <c r="AA41" s="215" t="s">
        <v>90</v>
      </c>
      <c r="AB41" s="39" t="s">
        <v>336</v>
      </c>
    </row>
    <row r="42" spans="1:44" x14ac:dyDescent="0.15">
      <c r="A42" s="15" t="s">
        <v>333</v>
      </c>
      <c r="B42" s="15" t="s">
        <v>334</v>
      </c>
      <c r="C42" s="15">
        <v>2018</v>
      </c>
      <c r="D42" s="37" t="s">
        <v>340</v>
      </c>
      <c r="E42" s="7" t="s">
        <v>313</v>
      </c>
      <c r="F42" s="7" t="s">
        <v>339</v>
      </c>
      <c r="G42" s="7" t="s">
        <v>36</v>
      </c>
      <c r="H42" s="215" t="s">
        <v>155</v>
      </c>
      <c r="I42" s="207" t="s">
        <v>153</v>
      </c>
      <c r="J42" s="15" t="s">
        <v>38</v>
      </c>
      <c r="K42" s="7" t="s">
        <v>154</v>
      </c>
      <c r="L42" s="7">
        <v>2</v>
      </c>
      <c r="N42" s="207">
        <v>1</v>
      </c>
      <c r="O42" s="7">
        <v>0.5</v>
      </c>
      <c r="P42" s="7">
        <v>0.55000000000000004</v>
      </c>
      <c r="Q42" s="52">
        <f t="shared" si="0"/>
        <v>0.52500000000000002</v>
      </c>
      <c r="R42" s="7">
        <v>14.6</v>
      </c>
      <c r="S42" s="7">
        <v>120</v>
      </c>
      <c r="T42" s="16">
        <f t="shared" si="1"/>
        <v>30</v>
      </c>
      <c r="U42" s="207">
        <v>91</v>
      </c>
      <c r="V42" s="16">
        <f t="shared" si="2"/>
        <v>2730</v>
      </c>
      <c r="W42" s="7">
        <v>4</v>
      </c>
      <c r="X42" s="15" t="s">
        <v>46</v>
      </c>
      <c r="Y42" s="215" t="s">
        <v>84</v>
      </c>
      <c r="Z42" s="215" t="s">
        <v>78</v>
      </c>
      <c r="AA42" s="215" t="s">
        <v>90</v>
      </c>
      <c r="AB42" s="39" t="s">
        <v>336</v>
      </c>
    </row>
    <row r="43" spans="1:44" x14ac:dyDescent="0.15">
      <c r="A43" s="15" t="s">
        <v>333</v>
      </c>
      <c r="B43" s="15" t="s">
        <v>334</v>
      </c>
      <c r="C43" s="15">
        <v>2018</v>
      </c>
      <c r="D43" s="37" t="s">
        <v>340</v>
      </c>
      <c r="E43" s="7" t="s">
        <v>313</v>
      </c>
      <c r="F43" s="7" t="s">
        <v>339</v>
      </c>
      <c r="G43" s="7" t="s">
        <v>36</v>
      </c>
      <c r="H43" s="215" t="s">
        <v>155</v>
      </c>
      <c r="I43" s="207" t="s">
        <v>153</v>
      </c>
      <c r="J43" s="15" t="s">
        <v>38</v>
      </c>
      <c r="K43" s="7" t="s">
        <v>154</v>
      </c>
      <c r="L43" s="7">
        <v>3</v>
      </c>
      <c r="N43" s="207">
        <v>1</v>
      </c>
      <c r="O43" s="7">
        <v>0.55000000000000004</v>
      </c>
      <c r="P43" s="7">
        <v>0.5</v>
      </c>
      <c r="Q43" s="52">
        <f t="shared" si="0"/>
        <v>0.52500000000000002</v>
      </c>
      <c r="R43" s="7">
        <v>15.9</v>
      </c>
      <c r="S43" s="7">
        <v>114</v>
      </c>
      <c r="T43" s="16">
        <f t="shared" si="1"/>
        <v>30</v>
      </c>
      <c r="U43" s="207">
        <v>91</v>
      </c>
      <c r="V43" s="16">
        <f t="shared" si="2"/>
        <v>2730</v>
      </c>
      <c r="W43" s="7">
        <v>4</v>
      </c>
      <c r="X43" s="15" t="s">
        <v>46</v>
      </c>
      <c r="Y43" s="215" t="s">
        <v>84</v>
      </c>
      <c r="Z43" s="215" t="s">
        <v>78</v>
      </c>
      <c r="AA43" s="215" t="s">
        <v>90</v>
      </c>
      <c r="AB43" s="39" t="s">
        <v>336</v>
      </c>
    </row>
    <row r="44" spans="1:44" x14ac:dyDescent="0.15">
      <c r="A44" s="15" t="s">
        <v>333</v>
      </c>
      <c r="B44" s="15" t="s">
        <v>334</v>
      </c>
      <c r="C44" s="15">
        <v>2018</v>
      </c>
      <c r="D44" s="37" t="s">
        <v>340</v>
      </c>
      <c r="E44" s="7" t="s">
        <v>313</v>
      </c>
      <c r="F44" s="7" t="s">
        <v>339</v>
      </c>
      <c r="G44" s="7" t="s">
        <v>36</v>
      </c>
      <c r="H44" s="15" t="s">
        <v>162</v>
      </c>
      <c r="I44" s="207" t="s">
        <v>153</v>
      </c>
      <c r="J44" s="15" t="s">
        <v>38</v>
      </c>
      <c r="K44" s="7" t="s">
        <v>154</v>
      </c>
      <c r="L44" s="7">
        <v>1</v>
      </c>
      <c r="N44" s="207">
        <v>1</v>
      </c>
      <c r="O44" s="7">
        <v>0.5</v>
      </c>
      <c r="P44" s="7">
        <v>0.5</v>
      </c>
      <c r="Q44" s="52">
        <f t="shared" si="0"/>
        <v>0.5</v>
      </c>
      <c r="R44" s="7">
        <v>15.6</v>
      </c>
      <c r="S44" s="7">
        <v>117</v>
      </c>
      <c r="T44" s="16">
        <f t="shared" si="1"/>
        <v>30</v>
      </c>
      <c r="U44" s="7">
        <v>138</v>
      </c>
      <c r="V44" s="16">
        <f t="shared" si="2"/>
        <v>4140</v>
      </c>
      <c r="W44" s="7">
        <v>3</v>
      </c>
      <c r="X44" s="15" t="s">
        <v>46</v>
      </c>
      <c r="Y44" s="215" t="s">
        <v>84</v>
      </c>
      <c r="Z44" s="215" t="s">
        <v>78</v>
      </c>
      <c r="AA44" s="215" t="s">
        <v>90</v>
      </c>
      <c r="AB44" s="39" t="s">
        <v>336</v>
      </c>
    </row>
    <row r="45" spans="1:44" x14ac:dyDescent="0.15">
      <c r="A45" s="15" t="s">
        <v>333</v>
      </c>
      <c r="B45" s="15" t="s">
        <v>334</v>
      </c>
      <c r="C45" s="15">
        <v>2018</v>
      </c>
      <c r="D45" s="37" t="s">
        <v>340</v>
      </c>
      <c r="E45" s="7" t="s">
        <v>313</v>
      </c>
      <c r="F45" s="7" t="s">
        <v>339</v>
      </c>
      <c r="G45" s="7" t="s">
        <v>36</v>
      </c>
      <c r="H45" s="215" t="s">
        <v>162</v>
      </c>
      <c r="I45" s="207" t="s">
        <v>153</v>
      </c>
      <c r="J45" s="15" t="s">
        <v>38</v>
      </c>
      <c r="K45" s="7" t="s">
        <v>154</v>
      </c>
      <c r="L45" s="7">
        <v>2</v>
      </c>
      <c r="N45" s="207">
        <v>1</v>
      </c>
      <c r="O45" s="7">
        <v>0.55000000000000004</v>
      </c>
      <c r="P45" s="7">
        <v>0.55000000000000004</v>
      </c>
      <c r="Q45" s="52">
        <f t="shared" si="0"/>
        <v>0.55000000000000004</v>
      </c>
      <c r="R45" s="7">
        <v>14.5</v>
      </c>
      <c r="S45" s="7">
        <v>121</v>
      </c>
      <c r="T45" s="16">
        <f t="shared" si="1"/>
        <v>27</v>
      </c>
      <c r="U45" s="207">
        <v>138</v>
      </c>
      <c r="V45" s="16">
        <f t="shared" si="2"/>
        <v>3726</v>
      </c>
      <c r="W45" s="7">
        <v>3</v>
      </c>
      <c r="X45" s="15" t="s">
        <v>46</v>
      </c>
      <c r="Y45" s="215" t="s">
        <v>84</v>
      </c>
      <c r="Z45" s="215" t="s">
        <v>78</v>
      </c>
      <c r="AA45" s="215" t="s">
        <v>90</v>
      </c>
      <c r="AB45" s="39" t="s">
        <v>336</v>
      </c>
    </row>
    <row r="46" spans="1:44" x14ac:dyDescent="0.15">
      <c r="A46" s="15" t="s">
        <v>333</v>
      </c>
      <c r="B46" s="15" t="s">
        <v>334</v>
      </c>
      <c r="C46" s="15">
        <v>2018</v>
      </c>
      <c r="D46" s="37" t="s">
        <v>340</v>
      </c>
      <c r="E46" s="7" t="s">
        <v>313</v>
      </c>
      <c r="F46" s="7" t="s">
        <v>339</v>
      </c>
      <c r="G46" s="7" t="s">
        <v>36</v>
      </c>
      <c r="H46" s="215" t="s">
        <v>162</v>
      </c>
      <c r="I46" s="207" t="s">
        <v>153</v>
      </c>
      <c r="J46" s="15" t="s">
        <v>38</v>
      </c>
      <c r="K46" s="7" t="s">
        <v>154</v>
      </c>
      <c r="L46" s="7">
        <v>3</v>
      </c>
      <c r="N46" s="7">
        <v>1</v>
      </c>
      <c r="O46" s="7">
        <v>0.5</v>
      </c>
      <c r="P46" s="34">
        <v>0.5</v>
      </c>
      <c r="Q46" s="52">
        <f t="shared" si="0"/>
        <v>0.5</v>
      </c>
      <c r="R46" s="7">
        <v>15.2</v>
      </c>
      <c r="S46" s="7">
        <v>119</v>
      </c>
      <c r="T46" s="16">
        <f t="shared" si="1"/>
        <v>30</v>
      </c>
      <c r="U46" s="207">
        <v>138</v>
      </c>
      <c r="V46" s="16">
        <f t="shared" si="2"/>
        <v>4140</v>
      </c>
      <c r="W46" s="7">
        <v>3</v>
      </c>
      <c r="X46" s="15" t="s">
        <v>46</v>
      </c>
      <c r="Y46" s="215" t="s">
        <v>84</v>
      </c>
      <c r="Z46" s="215" t="s">
        <v>78</v>
      </c>
      <c r="AA46" s="215" t="s">
        <v>90</v>
      </c>
      <c r="AB46" s="39" t="s">
        <v>336</v>
      </c>
    </row>
    <row r="47" spans="1:44" x14ac:dyDescent="0.15">
      <c r="A47" s="15" t="s">
        <v>333</v>
      </c>
      <c r="B47" s="15" t="s">
        <v>334</v>
      </c>
      <c r="C47" s="15">
        <v>2018</v>
      </c>
      <c r="D47" s="37" t="s">
        <v>340</v>
      </c>
      <c r="E47" s="7" t="s">
        <v>313</v>
      </c>
      <c r="F47" s="7" t="s">
        <v>339</v>
      </c>
      <c r="G47" s="7" t="s">
        <v>36</v>
      </c>
      <c r="H47" s="15" t="s">
        <v>129</v>
      </c>
      <c r="I47" s="207" t="s">
        <v>153</v>
      </c>
      <c r="J47" s="15" t="s">
        <v>58</v>
      </c>
      <c r="K47" s="7" t="s">
        <v>59</v>
      </c>
      <c r="L47" s="7">
        <v>1</v>
      </c>
      <c r="N47" s="7">
        <v>4</v>
      </c>
      <c r="O47" s="7">
        <v>0.5</v>
      </c>
      <c r="P47" s="7">
        <v>0.5</v>
      </c>
      <c r="Q47" s="52">
        <f t="shared" si="0"/>
        <v>0.5</v>
      </c>
      <c r="R47" s="7">
        <v>15.7</v>
      </c>
      <c r="S47" s="7">
        <v>74</v>
      </c>
      <c r="T47" s="16">
        <f t="shared" si="1"/>
        <v>42</v>
      </c>
      <c r="U47" s="7">
        <v>429</v>
      </c>
      <c r="V47" s="16">
        <f t="shared" si="2"/>
        <v>4504.5</v>
      </c>
      <c r="W47" s="7">
        <v>1</v>
      </c>
      <c r="X47" s="15" t="s">
        <v>46</v>
      </c>
      <c r="Y47" s="215" t="s">
        <v>84</v>
      </c>
      <c r="Z47" s="215" t="s">
        <v>78</v>
      </c>
      <c r="AA47" s="215" t="s">
        <v>90</v>
      </c>
      <c r="AB47" s="39" t="s">
        <v>336</v>
      </c>
    </row>
    <row r="48" spans="1:44" x14ac:dyDescent="0.15">
      <c r="A48" s="15" t="s">
        <v>333</v>
      </c>
      <c r="B48" s="15" t="s">
        <v>334</v>
      </c>
      <c r="C48" s="15">
        <v>2018</v>
      </c>
      <c r="D48" s="37" t="s">
        <v>340</v>
      </c>
      <c r="E48" s="7" t="s">
        <v>313</v>
      </c>
      <c r="F48" s="7" t="s">
        <v>339</v>
      </c>
      <c r="G48" s="7" t="s">
        <v>36</v>
      </c>
      <c r="H48" s="215" t="s">
        <v>129</v>
      </c>
      <c r="I48" s="207" t="s">
        <v>153</v>
      </c>
      <c r="J48" s="215" t="s">
        <v>58</v>
      </c>
      <c r="K48" s="207" t="s">
        <v>59</v>
      </c>
      <c r="L48" s="7">
        <v>2</v>
      </c>
      <c r="N48" s="7">
        <v>4</v>
      </c>
      <c r="O48" s="7">
        <v>0.5</v>
      </c>
      <c r="P48" s="7">
        <v>0.5</v>
      </c>
      <c r="Q48" s="52">
        <f t="shared" si="0"/>
        <v>0.5</v>
      </c>
      <c r="R48" s="7">
        <v>14.5</v>
      </c>
      <c r="S48" s="7">
        <v>84</v>
      </c>
      <c r="T48" s="16">
        <f t="shared" si="1"/>
        <v>36</v>
      </c>
      <c r="U48" s="207">
        <v>429</v>
      </c>
      <c r="V48" s="16">
        <f t="shared" si="2"/>
        <v>3861</v>
      </c>
      <c r="W48" s="7">
        <v>1</v>
      </c>
      <c r="X48" s="15" t="s">
        <v>46</v>
      </c>
      <c r="Y48" s="215" t="s">
        <v>84</v>
      </c>
      <c r="Z48" s="215" t="s">
        <v>78</v>
      </c>
      <c r="AA48" s="215" t="s">
        <v>90</v>
      </c>
      <c r="AB48" s="39" t="s">
        <v>336</v>
      </c>
    </row>
    <row r="49" spans="1:29" x14ac:dyDescent="0.15">
      <c r="A49" s="15" t="s">
        <v>333</v>
      </c>
      <c r="B49" s="15" t="s">
        <v>334</v>
      </c>
      <c r="C49" s="15">
        <v>2018</v>
      </c>
      <c r="D49" s="37" t="s">
        <v>340</v>
      </c>
      <c r="E49" s="7" t="s">
        <v>313</v>
      </c>
      <c r="F49" s="7" t="s">
        <v>339</v>
      </c>
      <c r="G49" s="7" t="s">
        <v>36</v>
      </c>
      <c r="H49" s="215" t="s">
        <v>129</v>
      </c>
      <c r="I49" s="207" t="s">
        <v>153</v>
      </c>
      <c r="J49" s="215" t="s">
        <v>58</v>
      </c>
      <c r="K49" s="207" t="s">
        <v>59</v>
      </c>
      <c r="L49" s="7">
        <v>3</v>
      </c>
      <c r="N49" s="7">
        <v>4</v>
      </c>
      <c r="O49" s="7">
        <v>0.5</v>
      </c>
      <c r="P49" s="34">
        <v>0.5</v>
      </c>
      <c r="Q49" s="52">
        <f t="shared" si="0"/>
        <v>0.5</v>
      </c>
      <c r="R49" s="7">
        <v>19.7</v>
      </c>
      <c r="S49" s="7">
        <v>87</v>
      </c>
      <c r="T49" s="16">
        <f t="shared" si="1"/>
        <v>36</v>
      </c>
      <c r="U49" s="207">
        <v>429</v>
      </c>
      <c r="V49" s="16">
        <f t="shared" si="2"/>
        <v>3861</v>
      </c>
      <c r="W49" s="7">
        <v>1</v>
      </c>
      <c r="X49" s="15" t="s">
        <v>46</v>
      </c>
      <c r="Y49" s="215" t="s">
        <v>84</v>
      </c>
      <c r="Z49" s="215" t="s">
        <v>78</v>
      </c>
      <c r="AA49" s="215" t="s">
        <v>90</v>
      </c>
      <c r="AB49" s="39" t="s">
        <v>336</v>
      </c>
    </row>
    <row r="50" spans="1:29" x14ac:dyDescent="0.15">
      <c r="A50" s="15" t="s">
        <v>333</v>
      </c>
      <c r="B50" s="15" t="s">
        <v>334</v>
      </c>
      <c r="C50" s="15">
        <v>2018</v>
      </c>
      <c r="D50" s="37" t="s">
        <v>340</v>
      </c>
      <c r="E50" s="7" t="s">
        <v>130</v>
      </c>
      <c r="F50" s="7" t="s">
        <v>146</v>
      </c>
      <c r="G50" s="7" t="s">
        <v>36</v>
      </c>
      <c r="H50" s="15" t="s">
        <v>155</v>
      </c>
      <c r="I50" s="207" t="s">
        <v>153</v>
      </c>
      <c r="J50" s="15" t="s">
        <v>38</v>
      </c>
      <c r="K50" s="7" t="s">
        <v>154</v>
      </c>
      <c r="L50" s="7">
        <v>1</v>
      </c>
      <c r="N50" s="7">
        <v>1</v>
      </c>
      <c r="O50" s="7">
        <v>0.7</v>
      </c>
      <c r="P50" s="7">
        <v>0.7</v>
      </c>
      <c r="Q50" s="52">
        <f t="shared" si="0"/>
        <v>0.7</v>
      </c>
      <c r="R50" s="7">
        <v>14.3</v>
      </c>
      <c r="S50" s="7">
        <v>120</v>
      </c>
      <c r="T50" s="16">
        <f t="shared" si="1"/>
        <v>30</v>
      </c>
      <c r="U50" s="207">
        <v>102</v>
      </c>
      <c r="V50" s="16">
        <f t="shared" si="2"/>
        <v>3060</v>
      </c>
      <c r="W50" s="7">
        <v>5</v>
      </c>
      <c r="X50" s="15" t="s">
        <v>46</v>
      </c>
      <c r="Y50" s="215" t="s">
        <v>50</v>
      </c>
      <c r="Z50" s="215" t="s">
        <v>84</v>
      </c>
      <c r="AA50" s="215" t="s">
        <v>90</v>
      </c>
      <c r="AB50" s="39" t="s">
        <v>336</v>
      </c>
    </row>
    <row r="51" spans="1:29" x14ac:dyDescent="0.15">
      <c r="A51" s="15" t="s">
        <v>333</v>
      </c>
      <c r="B51" s="15" t="s">
        <v>334</v>
      </c>
      <c r="C51" s="15">
        <v>2018</v>
      </c>
      <c r="D51" s="37" t="s">
        <v>340</v>
      </c>
      <c r="E51" s="7" t="s">
        <v>130</v>
      </c>
      <c r="F51" s="7" t="s">
        <v>146</v>
      </c>
      <c r="G51" s="7" t="s">
        <v>36</v>
      </c>
      <c r="H51" s="215" t="s">
        <v>155</v>
      </c>
      <c r="I51" s="207" t="s">
        <v>153</v>
      </c>
      <c r="J51" s="15" t="s">
        <v>38</v>
      </c>
      <c r="K51" s="7" t="s">
        <v>154</v>
      </c>
      <c r="L51" s="7">
        <v>2</v>
      </c>
      <c r="N51" s="7">
        <v>1</v>
      </c>
      <c r="O51" s="7">
        <v>0.65</v>
      </c>
      <c r="P51" s="7">
        <v>0.7</v>
      </c>
      <c r="Q51" s="52">
        <f t="shared" si="0"/>
        <v>0.67500000000000004</v>
      </c>
      <c r="R51" s="7">
        <v>12</v>
      </c>
      <c r="S51" s="7">
        <v>125</v>
      </c>
      <c r="T51" s="16">
        <f t="shared" si="1"/>
        <v>27</v>
      </c>
      <c r="U51" s="207">
        <v>102</v>
      </c>
      <c r="V51" s="16">
        <f t="shared" si="2"/>
        <v>2754</v>
      </c>
      <c r="W51" s="7">
        <v>5</v>
      </c>
      <c r="X51" s="15" t="s">
        <v>46</v>
      </c>
      <c r="Y51" s="215" t="s">
        <v>50</v>
      </c>
      <c r="Z51" s="215" t="s">
        <v>84</v>
      </c>
      <c r="AA51" s="215" t="s">
        <v>90</v>
      </c>
      <c r="AB51" s="39" t="s">
        <v>336</v>
      </c>
    </row>
    <row r="52" spans="1:29" x14ac:dyDescent="0.15">
      <c r="A52" s="15" t="s">
        <v>333</v>
      </c>
      <c r="B52" s="15" t="s">
        <v>334</v>
      </c>
      <c r="C52" s="15">
        <v>2018</v>
      </c>
      <c r="D52" s="37" t="s">
        <v>340</v>
      </c>
      <c r="E52" s="7" t="s">
        <v>130</v>
      </c>
      <c r="F52" s="7" t="s">
        <v>146</v>
      </c>
      <c r="G52" s="7" t="s">
        <v>36</v>
      </c>
      <c r="H52" s="215" t="s">
        <v>155</v>
      </c>
      <c r="I52" s="207" t="s">
        <v>153</v>
      </c>
      <c r="J52" s="15" t="s">
        <v>38</v>
      </c>
      <c r="K52" s="7" t="s">
        <v>154</v>
      </c>
      <c r="L52" s="7">
        <v>3</v>
      </c>
      <c r="N52" s="7">
        <v>1</v>
      </c>
      <c r="O52" s="7">
        <v>0.7</v>
      </c>
      <c r="P52" s="7">
        <v>0.75</v>
      </c>
      <c r="Q52" s="52">
        <f t="shared" si="0"/>
        <v>0.72499999999999998</v>
      </c>
      <c r="R52" s="7">
        <v>14.9</v>
      </c>
      <c r="S52" s="7">
        <v>121</v>
      </c>
      <c r="T52" s="16">
        <f t="shared" si="1"/>
        <v>27</v>
      </c>
      <c r="U52" s="207">
        <v>102</v>
      </c>
      <c r="V52" s="16">
        <f t="shared" si="2"/>
        <v>2754</v>
      </c>
      <c r="W52" s="7">
        <v>5</v>
      </c>
      <c r="X52" s="15" t="s">
        <v>46</v>
      </c>
      <c r="Y52" s="215" t="s">
        <v>50</v>
      </c>
      <c r="Z52" s="215" t="s">
        <v>84</v>
      </c>
      <c r="AA52" s="215" t="s">
        <v>90</v>
      </c>
      <c r="AB52" s="39" t="s">
        <v>336</v>
      </c>
    </row>
    <row r="53" spans="1:29" x14ac:dyDescent="0.15">
      <c r="A53" s="15" t="s">
        <v>333</v>
      </c>
      <c r="B53" s="15" t="s">
        <v>334</v>
      </c>
      <c r="C53" s="15">
        <v>2018</v>
      </c>
      <c r="D53" s="37" t="s">
        <v>340</v>
      </c>
      <c r="E53" s="7" t="s">
        <v>130</v>
      </c>
      <c r="F53" s="7" t="s">
        <v>146</v>
      </c>
      <c r="G53" s="7" t="s">
        <v>36</v>
      </c>
      <c r="H53" s="15" t="s">
        <v>162</v>
      </c>
      <c r="I53" s="207" t="s">
        <v>153</v>
      </c>
      <c r="J53" s="15" t="s">
        <v>38</v>
      </c>
      <c r="K53" s="7" t="s">
        <v>154</v>
      </c>
      <c r="L53" s="7">
        <v>1</v>
      </c>
      <c r="N53" s="7">
        <v>1</v>
      </c>
      <c r="O53" s="7">
        <v>0.6</v>
      </c>
      <c r="P53" s="7">
        <v>0.75</v>
      </c>
      <c r="Q53" s="52">
        <f t="shared" si="0"/>
        <v>0.67500000000000004</v>
      </c>
      <c r="R53" s="7">
        <v>14.2</v>
      </c>
      <c r="S53" s="7">
        <v>125</v>
      </c>
      <c r="T53" s="16">
        <f t="shared" si="1"/>
        <v>27</v>
      </c>
      <c r="U53" s="7">
        <v>102</v>
      </c>
      <c r="V53" s="16">
        <f t="shared" si="2"/>
        <v>2754</v>
      </c>
      <c r="W53" s="7">
        <v>6</v>
      </c>
      <c r="X53" s="15" t="s">
        <v>46</v>
      </c>
      <c r="Y53" s="215" t="s">
        <v>50</v>
      </c>
      <c r="Z53" s="215" t="s">
        <v>84</v>
      </c>
      <c r="AA53" s="215" t="s">
        <v>90</v>
      </c>
      <c r="AB53" s="39" t="s">
        <v>336</v>
      </c>
      <c r="AC53" s="36"/>
    </row>
    <row r="54" spans="1:29" x14ac:dyDescent="0.15">
      <c r="A54" s="15" t="s">
        <v>333</v>
      </c>
      <c r="B54" s="15" t="s">
        <v>334</v>
      </c>
      <c r="C54" s="15">
        <v>2018</v>
      </c>
      <c r="D54" s="37" t="s">
        <v>340</v>
      </c>
      <c r="E54" s="7" t="s">
        <v>130</v>
      </c>
      <c r="F54" s="7" t="s">
        <v>146</v>
      </c>
      <c r="G54" s="7" t="s">
        <v>36</v>
      </c>
      <c r="H54" s="215" t="s">
        <v>162</v>
      </c>
      <c r="I54" s="207" t="s">
        <v>153</v>
      </c>
      <c r="J54" s="215" t="s">
        <v>38</v>
      </c>
      <c r="K54" s="7" t="s">
        <v>154</v>
      </c>
      <c r="L54" s="7">
        <v>2</v>
      </c>
      <c r="N54" s="7">
        <v>1</v>
      </c>
      <c r="O54" s="7">
        <v>0.7</v>
      </c>
      <c r="P54" s="7">
        <v>0.6</v>
      </c>
      <c r="Q54" s="52">
        <f t="shared" si="0"/>
        <v>0.64999999999999991</v>
      </c>
      <c r="R54" s="7">
        <v>15.9</v>
      </c>
      <c r="S54" s="7">
        <v>134</v>
      </c>
      <c r="T54" s="16">
        <f t="shared" si="1"/>
        <v>25</v>
      </c>
      <c r="U54" s="207">
        <v>102</v>
      </c>
      <c r="V54" s="16">
        <f t="shared" si="2"/>
        <v>2550</v>
      </c>
      <c r="W54" s="7">
        <v>6</v>
      </c>
      <c r="X54" s="15" t="s">
        <v>46</v>
      </c>
      <c r="Y54" s="215" t="s">
        <v>50</v>
      </c>
      <c r="Z54" s="215" t="s">
        <v>84</v>
      </c>
      <c r="AA54" s="215" t="s">
        <v>90</v>
      </c>
      <c r="AB54" s="39" t="s">
        <v>336</v>
      </c>
      <c r="AC54" s="36"/>
    </row>
    <row r="55" spans="1:29" x14ac:dyDescent="0.15">
      <c r="A55" s="15" t="s">
        <v>333</v>
      </c>
      <c r="B55" s="15" t="s">
        <v>334</v>
      </c>
      <c r="C55" s="15">
        <v>2018</v>
      </c>
      <c r="D55" s="37" t="s">
        <v>340</v>
      </c>
      <c r="E55" s="7" t="s">
        <v>130</v>
      </c>
      <c r="F55" s="7" t="s">
        <v>146</v>
      </c>
      <c r="G55" s="7" t="s">
        <v>36</v>
      </c>
      <c r="H55" s="215" t="s">
        <v>162</v>
      </c>
      <c r="I55" s="207" t="s">
        <v>153</v>
      </c>
      <c r="J55" s="215" t="s">
        <v>38</v>
      </c>
      <c r="K55" s="7" t="s">
        <v>154</v>
      </c>
      <c r="L55" s="7">
        <v>3</v>
      </c>
      <c r="N55" s="207">
        <v>1</v>
      </c>
      <c r="O55" s="7">
        <v>0.5</v>
      </c>
      <c r="P55" s="7">
        <v>0.6</v>
      </c>
      <c r="Q55" s="52">
        <f t="shared" si="0"/>
        <v>0.55000000000000004</v>
      </c>
      <c r="R55" s="7">
        <v>17.600000000000001</v>
      </c>
      <c r="S55" s="7">
        <v>131</v>
      </c>
      <c r="T55" s="16">
        <f t="shared" si="1"/>
        <v>25</v>
      </c>
      <c r="U55" s="207">
        <v>102</v>
      </c>
      <c r="V55" s="16">
        <f t="shared" si="2"/>
        <v>2550</v>
      </c>
      <c r="W55" s="7">
        <v>6</v>
      </c>
      <c r="X55" s="15" t="s">
        <v>46</v>
      </c>
      <c r="Y55" s="215" t="s">
        <v>50</v>
      </c>
      <c r="Z55" s="215" t="s">
        <v>84</v>
      </c>
      <c r="AA55" s="215" t="s">
        <v>90</v>
      </c>
      <c r="AB55" s="39" t="s">
        <v>336</v>
      </c>
      <c r="AC55" s="36"/>
    </row>
    <row r="56" spans="1:29" x14ac:dyDescent="0.15">
      <c r="A56" s="15" t="s">
        <v>333</v>
      </c>
      <c r="B56" s="15" t="s">
        <v>334</v>
      </c>
      <c r="C56" s="15">
        <v>2018</v>
      </c>
      <c r="D56" s="37" t="s">
        <v>340</v>
      </c>
      <c r="E56" s="7" t="s">
        <v>132</v>
      </c>
      <c r="F56" s="7" t="s">
        <v>147</v>
      </c>
      <c r="G56" s="7" t="s">
        <v>36</v>
      </c>
      <c r="H56" s="15" t="s">
        <v>155</v>
      </c>
      <c r="I56" s="207" t="s">
        <v>153</v>
      </c>
      <c r="J56" s="15" t="s">
        <v>38</v>
      </c>
      <c r="K56" s="7" t="s">
        <v>154</v>
      </c>
      <c r="L56" s="7">
        <v>1</v>
      </c>
      <c r="N56" s="207">
        <v>1</v>
      </c>
      <c r="O56" s="7">
        <v>0.5</v>
      </c>
      <c r="P56" s="7">
        <v>0.5</v>
      </c>
      <c r="Q56" s="52">
        <f t="shared" si="0"/>
        <v>0.5</v>
      </c>
      <c r="R56" s="7">
        <v>17.100000000000001</v>
      </c>
      <c r="S56" s="7">
        <v>162</v>
      </c>
      <c r="T56" s="16">
        <f t="shared" si="1"/>
        <v>18</v>
      </c>
      <c r="U56" s="207">
        <v>95</v>
      </c>
      <c r="V56" s="16">
        <f t="shared" si="2"/>
        <v>1710</v>
      </c>
      <c r="W56" s="7">
        <v>6</v>
      </c>
      <c r="X56" s="15" t="s">
        <v>46</v>
      </c>
      <c r="Y56" s="215" t="s">
        <v>50</v>
      </c>
      <c r="Z56" s="215" t="s">
        <v>84</v>
      </c>
      <c r="AA56" s="215" t="s">
        <v>90</v>
      </c>
      <c r="AB56" s="39" t="s">
        <v>336</v>
      </c>
    </row>
    <row r="57" spans="1:29" x14ac:dyDescent="0.15">
      <c r="A57" s="15" t="s">
        <v>333</v>
      </c>
      <c r="B57" s="15" t="s">
        <v>334</v>
      </c>
      <c r="C57" s="15">
        <v>2018</v>
      </c>
      <c r="D57" s="37" t="s">
        <v>340</v>
      </c>
      <c r="E57" s="7" t="s">
        <v>132</v>
      </c>
      <c r="F57" s="7" t="s">
        <v>147</v>
      </c>
      <c r="G57" s="7" t="s">
        <v>36</v>
      </c>
      <c r="H57" s="215" t="s">
        <v>155</v>
      </c>
      <c r="I57" s="207" t="s">
        <v>153</v>
      </c>
      <c r="J57" s="15" t="s">
        <v>38</v>
      </c>
      <c r="K57" s="7" t="s">
        <v>154</v>
      </c>
      <c r="L57" s="7">
        <v>2</v>
      </c>
      <c r="N57" s="207">
        <v>1</v>
      </c>
      <c r="O57" s="7">
        <v>0.75</v>
      </c>
      <c r="P57" s="7">
        <v>0.6</v>
      </c>
      <c r="Q57" s="52">
        <f t="shared" si="0"/>
        <v>0.67500000000000004</v>
      </c>
      <c r="R57" s="7">
        <v>14.3</v>
      </c>
      <c r="S57" s="7">
        <v>145</v>
      </c>
      <c r="T57" s="16">
        <f t="shared" si="1"/>
        <v>22</v>
      </c>
      <c r="U57" s="207">
        <v>95</v>
      </c>
      <c r="V57" s="16">
        <f t="shared" si="2"/>
        <v>2090</v>
      </c>
      <c r="W57" s="7">
        <v>6</v>
      </c>
      <c r="X57" s="15" t="s">
        <v>46</v>
      </c>
      <c r="Y57" s="215" t="s">
        <v>50</v>
      </c>
      <c r="Z57" s="215" t="s">
        <v>84</v>
      </c>
      <c r="AA57" s="215" t="s">
        <v>90</v>
      </c>
      <c r="AB57" s="39" t="s">
        <v>336</v>
      </c>
    </row>
    <row r="58" spans="1:29" x14ac:dyDescent="0.15">
      <c r="A58" s="15" t="s">
        <v>333</v>
      </c>
      <c r="B58" s="15" t="s">
        <v>334</v>
      </c>
      <c r="C58" s="15">
        <v>2018</v>
      </c>
      <c r="D58" s="37" t="s">
        <v>340</v>
      </c>
      <c r="E58" s="7" t="s">
        <v>132</v>
      </c>
      <c r="F58" s="7" t="s">
        <v>147</v>
      </c>
      <c r="G58" s="7" t="s">
        <v>36</v>
      </c>
      <c r="H58" s="215" t="s">
        <v>155</v>
      </c>
      <c r="I58" s="207" t="s">
        <v>153</v>
      </c>
      <c r="J58" s="15" t="s">
        <v>38</v>
      </c>
      <c r="K58" s="7" t="s">
        <v>154</v>
      </c>
      <c r="L58" s="7">
        <v>3</v>
      </c>
      <c r="N58" s="207">
        <v>1</v>
      </c>
      <c r="O58" s="7">
        <v>0.55000000000000004</v>
      </c>
      <c r="P58" s="7">
        <v>0.7</v>
      </c>
      <c r="Q58" s="52">
        <f t="shared" si="0"/>
        <v>0.625</v>
      </c>
      <c r="R58" s="7">
        <v>15.1</v>
      </c>
      <c r="S58" s="7">
        <v>147</v>
      </c>
      <c r="T58" s="16">
        <f t="shared" si="1"/>
        <v>22</v>
      </c>
      <c r="U58" s="207">
        <v>95</v>
      </c>
      <c r="V58" s="16">
        <f t="shared" si="2"/>
        <v>2090</v>
      </c>
      <c r="W58" s="7">
        <v>6</v>
      </c>
      <c r="X58" s="15" t="s">
        <v>46</v>
      </c>
      <c r="Y58" s="215" t="s">
        <v>50</v>
      </c>
      <c r="Z58" s="215" t="s">
        <v>84</v>
      </c>
      <c r="AA58" s="215" t="s">
        <v>90</v>
      </c>
      <c r="AB58" s="39" t="s">
        <v>336</v>
      </c>
    </row>
    <row r="59" spans="1:29" x14ac:dyDescent="0.15">
      <c r="A59" s="15" t="s">
        <v>333</v>
      </c>
      <c r="B59" s="15" t="s">
        <v>334</v>
      </c>
      <c r="C59" s="15">
        <v>2018</v>
      </c>
      <c r="D59" s="37" t="s">
        <v>340</v>
      </c>
      <c r="E59" s="7" t="s">
        <v>132</v>
      </c>
      <c r="F59" s="7" t="s">
        <v>147</v>
      </c>
      <c r="G59" s="7" t="s">
        <v>36</v>
      </c>
      <c r="H59" s="15" t="s">
        <v>162</v>
      </c>
      <c r="I59" s="207" t="s">
        <v>153</v>
      </c>
      <c r="J59" s="15" t="s">
        <v>38</v>
      </c>
      <c r="K59" s="7" t="s">
        <v>154</v>
      </c>
      <c r="L59" s="7">
        <v>1</v>
      </c>
      <c r="N59" s="207">
        <v>1</v>
      </c>
      <c r="O59" s="7">
        <v>0.6</v>
      </c>
      <c r="P59" s="7">
        <v>0.5</v>
      </c>
      <c r="Q59" s="52">
        <f t="shared" si="0"/>
        <v>0.55000000000000004</v>
      </c>
      <c r="R59" s="7">
        <v>17.2</v>
      </c>
      <c r="S59" s="7">
        <v>115</v>
      </c>
      <c r="T59" s="16">
        <f t="shared" si="1"/>
        <v>30</v>
      </c>
      <c r="U59" s="7">
        <v>138</v>
      </c>
      <c r="V59" s="16">
        <f t="shared" si="2"/>
        <v>4140</v>
      </c>
      <c r="W59" s="7">
        <v>9</v>
      </c>
      <c r="X59" s="15" t="s">
        <v>46</v>
      </c>
      <c r="Y59" s="215" t="s">
        <v>50</v>
      </c>
      <c r="Z59" s="215" t="s">
        <v>84</v>
      </c>
      <c r="AA59" s="215" t="s">
        <v>90</v>
      </c>
      <c r="AB59" s="39" t="s">
        <v>336</v>
      </c>
    </row>
    <row r="60" spans="1:29" x14ac:dyDescent="0.15">
      <c r="A60" s="15" t="s">
        <v>333</v>
      </c>
      <c r="B60" s="15" t="s">
        <v>334</v>
      </c>
      <c r="C60" s="15">
        <v>2018</v>
      </c>
      <c r="D60" s="37" t="s">
        <v>340</v>
      </c>
      <c r="E60" s="7" t="s">
        <v>132</v>
      </c>
      <c r="F60" s="7" t="s">
        <v>147</v>
      </c>
      <c r="G60" s="7" t="s">
        <v>36</v>
      </c>
      <c r="H60" s="215" t="s">
        <v>162</v>
      </c>
      <c r="I60" s="207" t="s">
        <v>153</v>
      </c>
      <c r="J60" s="15" t="s">
        <v>38</v>
      </c>
      <c r="K60" s="7" t="s">
        <v>154</v>
      </c>
      <c r="L60" s="7">
        <v>2</v>
      </c>
      <c r="N60" s="7">
        <v>1</v>
      </c>
      <c r="O60" s="7">
        <v>0.5</v>
      </c>
      <c r="P60" s="7">
        <v>0.5</v>
      </c>
      <c r="Q60" s="52">
        <f t="shared" si="0"/>
        <v>0.5</v>
      </c>
      <c r="R60" s="7">
        <v>14.9</v>
      </c>
      <c r="S60" s="7">
        <v>119</v>
      </c>
      <c r="T60" s="16">
        <f>IF(H60="","",IF(OR(H60="GREEN",H60="GK"),IF(S60&gt;=$AX$2,VLOOKUP(S60,$AX$2:$AY$12,2,1),""),IF(S60&gt;=$AZ$2,VLOOKUP(S60,$AZ$2:$BA$12,2,1),"")))</f>
        <v>30</v>
      </c>
      <c r="U60" s="207">
        <v>138</v>
      </c>
      <c r="V60" s="16">
        <f t="shared" si="2"/>
        <v>4140</v>
      </c>
      <c r="W60" s="7">
        <v>9</v>
      </c>
      <c r="X60" s="215" t="s">
        <v>46</v>
      </c>
      <c r="Y60" s="215" t="s">
        <v>50</v>
      </c>
      <c r="Z60" s="215" t="s">
        <v>84</v>
      </c>
      <c r="AA60" s="215" t="s">
        <v>90</v>
      </c>
      <c r="AB60" s="39" t="s">
        <v>336</v>
      </c>
    </row>
    <row r="61" spans="1:29" x14ac:dyDescent="0.15">
      <c r="A61" s="15" t="s">
        <v>333</v>
      </c>
      <c r="B61" s="15" t="s">
        <v>334</v>
      </c>
      <c r="C61" s="15">
        <v>2018</v>
      </c>
      <c r="D61" s="37" t="s">
        <v>340</v>
      </c>
      <c r="E61" s="7" t="s">
        <v>132</v>
      </c>
      <c r="F61" s="7" t="s">
        <v>147</v>
      </c>
      <c r="G61" s="7" t="s">
        <v>36</v>
      </c>
      <c r="H61" s="215" t="s">
        <v>162</v>
      </c>
      <c r="I61" s="207" t="s">
        <v>153</v>
      </c>
      <c r="J61" s="15" t="s">
        <v>38</v>
      </c>
      <c r="K61" s="7" t="s">
        <v>154</v>
      </c>
      <c r="L61" s="7">
        <v>3</v>
      </c>
      <c r="N61" s="7">
        <v>1</v>
      </c>
      <c r="O61" s="7">
        <v>0.5</v>
      </c>
      <c r="P61" s="7">
        <v>0.55000000000000004</v>
      </c>
      <c r="Q61" s="52">
        <f t="shared" si="0"/>
        <v>0.52500000000000002</v>
      </c>
      <c r="R61" s="7">
        <v>16</v>
      </c>
      <c r="S61" s="7">
        <v>117</v>
      </c>
      <c r="T61" s="16">
        <f>IF(H61="","",IF(OR(H61="GREEN",H61="GK"),IF(S61&gt;=$AX$2,VLOOKUP(S61,$AX$2:$AY$12,2,1),""),IF(S61&gt;=$AZ$2,VLOOKUP(S61,$AZ$2:$BA$12,2,1),"")))</f>
        <v>30</v>
      </c>
      <c r="U61" s="207">
        <v>138</v>
      </c>
      <c r="V61" s="16">
        <f t="shared" si="2"/>
        <v>4140</v>
      </c>
      <c r="W61" s="7">
        <v>9</v>
      </c>
      <c r="X61" s="215" t="s">
        <v>46</v>
      </c>
      <c r="Y61" s="215" t="s">
        <v>50</v>
      </c>
      <c r="Z61" s="215" t="s">
        <v>84</v>
      </c>
      <c r="AA61" s="215" t="s">
        <v>90</v>
      </c>
      <c r="AB61" s="39" t="s">
        <v>336</v>
      </c>
    </row>
    <row r="62" spans="1:29" x14ac:dyDescent="0.15">
      <c r="A62" s="15" t="s">
        <v>333</v>
      </c>
      <c r="B62" s="15" t="s">
        <v>334</v>
      </c>
      <c r="C62" s="15">
        <v>2018</v>
      </c>
      <c r="D62" s="37" t="s">
        <v>340</v>
      </c>
      <c r="E62" s="7" t="s">
        <v>140</v>
      </c>
      <c r="F62" s="7" t="s">
        <v>148</v>
      </c>
      <c r="G62" s="7" t="s">
        <v>36</v>
      </c>
      <c r="H62" s="15" t="s">
        <v>155</v>
      </c>
      <c r="I62" s="207" t="s">
        <v>153</v>
      </c>
      <c r="J62" s="15" t="s">
        <v>38</v>
      </c>
      <c r="K62" s="7" t="s">
        <v>154</v>
      </c>
      <c r="L62" s="7">
        <v>1</v>
      </c>
      <c r="N62" s="7">
        <v>1</v>
      </c>
      <c r="O62" s="7">
        <v>0.75</v>
      </c>
      <c r="P62" s="7">
        <v>0.7</v>
      </c>
      <c r="Q62" s="52">
        <f t="shared" si="0"/>
        <v>0.72499999999999998</v>
      </c>
      <c r="R62" s="7">
        <v>15.3</v>
      </c>
      <c r="S62" s="7">
        <v>123</v>
      </c>
      <c r="T62" s="16">
        <f t="shared" ref="T62:T120" si="3">IF(H62="","",IF(OR(H62="GREEN",H62="GK"),IF(S62&gt;=$AX$2,VLOOKUP(S62,$AX$2:$AY$12,2,1),""),IF(S62&gt;=$AZ$2,VLOOKUP(S62,$AZ$2:$BA$12,2,1),"")))</f>
        <v>27</v>
      </c>
      <c r="U62" s="7">
        <v>73</v>
      </c>
      <c r="V62" s="16">
        <f t="shared" si="2"/>
        <v>1971</v>
      </c>
      <c r="W62" s="7">
        <v>13</v>
      </c>
      <c r="X62" s="215" t="s">
        <v>46</v>
      </c>
      <c r="Y62" s="215" t="s">
        <v>50</v>
      </c>
      <c r="Z62" s="215" t="s">
        <v>90</v>
      </c>
      <c r="AA62" s="215" t="s">
        <v>84</v>
      </c>
      <c r="AB62" s="39" t="s">
        <v>336</v>
      </c>
    </row>
    <row r="63" spans="1:29" x14ac:dyDescent="0.15">
      <c r="A63" s="15" t="s">
        <v>333</v>
      </c>
      <c r="B63" s="15" t="s">
        <v>334</v>
      </c>
      <c r="C63" s="15">
        <v>2018</v>
      </c>
      <c r="D63" s="37" t="s">
        <v>340</v>
      </c>
      <c r="E63" s="7" t="s">
        <v>140</v>
      </c>
      <c r="F63" s="7" t="s">
        <v>148</v>
      </c>
      <c r="G63" s="7" t="s">
        <v>36</v>
      </c>
      <c r="H63" s="215" t="s">
        <v>155</v>
      </c>
      <c r="I63" s="207" t="s">
        <v>153</v>
      </c>
      <c r="J63" s="15" t="s">
        <v>38</v>
      </c>
      <c r="K63" s="7" t="s">
        <v>154</v>
      </c>
      <c r="L63" s="7">
        <v>2</v>
      </c>
      <c r="N63" s="7">
        <v>1</v>
      </c>
      <c r="O63" s="7">
        <v>0.8</v>
      </c>
      <c r="P63" s="7">
        <v>0.8</v>
      </c>
      <c r="Q63" s="52">
        <f t="shared" si="0"/>
        <v>0.8</v>
      </c>
      <c r="R63" s="7">
        <v>13</v>
      </c>
      <c r="S63" s="7">
        <v>112</v>
      </c>
      <c r="T63" s="16">
        <f t="shared" si="3"/>
        <v>33</v>
      </c>
      <c r="U63" s="207">
        <v>73</v>
      </c>
      <c r="V63" s="16">
        <f t="shared" si="2"/>
        <v>2409</v>
      </c>
      <c r="W63" s="7">
        <v>13</v>
      </c>
      <c r="X63" s="215" t="s">
        <v>46</v>
      </c>
      <c r="Y63" s="215" t="s">
        <v>50</v>
      </c>
      <c r="Z63" s="215" t="s">
        <v>90</v>
      </c>
      <c r="AA63" s="215" t="s">
        <v>84</v>
      </c>
      <c r="AB63" s="39" t="s">
        <v>336</v>
      </c>
    </row>
    <row r="64" spans="1:29" x14ac:dyDescent="0.15">
      <c r="A64" s="15" t="s">
        <v>333</v>
      </c>
      <c r="B64" s="15" t="s">
        <v>334</v>
      </c>
      <c r="C64" s="15">
        <v>2018</v>
      </c>
      <c r="D64" s="37" t="s">
        <v>340</v>
      </c>
      <c r="E64" s="7" t="s">
        <v>140</v>
      </c>
      <c r="F64" s="7" t="s">
        <v>148</v>
      </c>
      <c r="G64" s="7" t="s">
        <v>36</v>
      </c>
      <c r="H64" s="215" t="s">
        <v>155</v>
      </c>
      <c r="I64" s="207" t="s">
        <v>153</v>
      </c>
      <c r="J64" s="15" t="s">
        <v>38</v>
      </c>
      <c r="K64" s="7" t="s">
        <v>154</v>
      </c>
      <c r="L64" s="7">
        <v>3</v>
      </c>
      <c r="N64" s="7">
        <v>1</v>
      </c>
      <c r="O64" s="7">
        <v>0.5</v>
      </c>
      <c r="P64" s="7">
        <v>0.5</v>
      </c>
      <c r="Q64" s="52">
        <f t="shared" si="0"/>
        <v>0.5</v>
      </c>
      <c r="R64" s="7">
        <v>113.5</v>
      </c>
      <c r="S64" s="7">
        <v>115</v>
      </c>
      <c r="T64" s="16">
        <f t="shared" si="3"/>
        <v>30</v>
      </c>
      <c r="U64" s="207">
        <v>73</v>
      </c>
      <c r="V64" s="16">
        <f t="shared" si="2"/>
        <v>2190</v>
      </c>
      <c r="W64" s="7">
        <v>13</v>
      </c>
      <c r="X64" s="215" t="s">
        <v>46</v>
      </c>
      <c r="Y64" s="215" t="s">
        <v>50</v>
      </c>
      <c r="Z64" s="215" t="s">
        <v>90</v>
      </c>
      <c r="AA64" s="215" t="s">
        <v>84</v>
      </c>
      <c r="AB64" s="39" t="s">
        <v>336</v>
      </c>
    </row>
    <row r="65" spans="1:28" x14ac:dyDescent="0.15">
      <c r="A65" s="15" t="s">
        <v>333</v>
      </c>
      <c r="B65" s="15" t="s">
        <v>334</v>
      </c>
      <c r="C65" s="15">
        <v>2018</v>
      </c>
      <c r="D65" s="37" t="s">
        <v>340</v>
      </c>
      <c r="E65" s="7" t="s">
        <v>140</v>
      </c>
      <c r="F65" s="7" t="s">
        <v>148</v>
      </c>
      <c r="G65" s="7" t="s">
        <v>36</v>
      </c>
      <c r="H65" s="15" t="s">
        <v>162</v>
      </c>
      <c r="I65" s="207" t="s">
        <v>153</v>
      </c>
      <c r="J65" s="15" t="s">
        <v>38</v>
      </c>
      <c r="K65" s="7" t="s">
        <v>154</v>
      </c>
      <c r="L65" s="7">
        <v>1</v>
      </c>
      <c r="N65" s="7">
        <v>1</v>
      </c>
      <c r="O65" s="7">
        <v>0.55000000000000004</v>
      </c>
      <c r="P65" s="7">
        <v>0.5</v>
      </c>
      <c r="Q65" s="52">
        <f t="shared" si="0"/>
        <v>0.52500000000000002</v>
      </c>
      <c r="R65" s="7">
        <v>13.8</v>
      </c>
      <c r="S65" s="7">
        <v>125</v>
      </c>
      <c r="T65" s="16">
        <f t="shared" si="3"/>
        <v>27</v>
      </c>
      <c r="U65" s="7">
        <v>105</v>
      </c>
      <c r="V65" s="16">
        <f t="shared" si="2"/>
        <v>2835</v>
      </c>
      <c r="W65" s="7">
        <v>9</v>
      </c>
      <c r="X65" s="215" t="s">
        <v>46</v>
      </c>
      <c r="Y65" s="215" t="s">
        <v>50</v>
      </c>
      <c r="Z65" s="215" t="s">
        <v>90</v>
      </c>
      <c r="AA65" s="215" t="s">
        <v>84</v>
      </c>
      <c r="AB65" s="39" t="s">
        <v>336</v>
      </c>
    </row>
    <row r="66" spans="1:28" x14ac:dyDescent="0.15">
      <c r="A66" s="15" t="s">
        <v>333</v>
      </c>
      <c r="B66" s="15" t="s">
        <v>334</v>
      </c>
      <c r="C66" s="15">
        <v>2018</v>
      </c>
      <c r="D66" s="37" t="s">
        <v>340</v>
      </c>
      <c r="E66" s="7" t="s">
        <v>140</v>
      </c>
      <c r="F66" s="7" t="s">
        <v>148</v>
      </c>
      <c r="G66" s="7" t="s">
        <v>36</v>
      </c>
      <c r="H66" s="215" t="s">
        <v>162</v>
      </c>
      <c r="I66" s="207" t="s">
        <v>153</v>
      </c>
      <c r="J66" s="15" t="s">
        <v>38</v>
      </c>
      <c r="K66" s="7" t="s">
        <v>154</v>
      </c>
      <c r="L66" s="7">
        <v>2</v>
      </c>
      <c r="N66" s="7">
        <v>1</v>
      </c>
      <c r="O66" s="7">
        <v>0.6</v>
      </c>
      <c r="P66" s="7">
        <v>0.6</v>
      </c>
      <c r="Q66" s="52">
        <f t="shared" ref="Q66:Q77" si="4">IF(OR(O66="",P66=""),"",AVERAGE(O66,P66))</f>
        <v>0.6</v>
      </c>
      <c r="R66" s="7">
        <v>15.2</v>
      </c>
      <c r="S66" s="7">
        <v>123</v>
      </c>
      <c r="T66" s="16">
        <f t="shared" si="3"/>
        <v>27</v>
      </c>
      <c r="U66" s="207">
        <v>105</v>
      </c>
      <c r="V66" s="16">
        <f t="shared" ref="V66:V70" si="5">IF(OR(N66="",U66="",T66=""),"",U66/N66*T66)</f>
        <v>2835</v>
      </c>
      <c r="W66" s="7">
        <v>9</v>
      </c>
      <c r="X66" s="215" t="s">
        <v>46</v>
      </c>
      <c r="Y66" s="215" t="s">
        <v>50</v>
      </c>
      <c r="Z66" s="215" t="s">
        <v>90</v>
      </c>
      <c r="AA66" s="215" t="s">
        <v>84</v>
      </c>
      <c r="AB66" s="39" t="s">
        <v>336</v>
      </c>
    </row>
    <row r="67" spans="1:28" x14ac:dyDescent="0.15">
      <c r="A67" s="15" t="s">
        <v>333</v>
      </c>
      <c r="B67" s="15" t="s">
        <v>334</v>
      </c>
      <c r="C67" s="15">
        <v>2018</v>
      </c>
      <c r="D67" s="37" t="s">
        <v>340</v>
      </c>
      <c r="E67" s="7" t="s">
        <v>140</v>
      </c>
      <c r="F67" s="7" t="s">
        <v>148</v>
      </c>
      <c r="G67" s="7" t="s">
        <v>36</v>
      </c>
      <c r="H67" s="215" t="s">
        <v>162</v>
      </c>
      <c r="I67" s="207" t="s">
        <v>153</v>
      </c>
      <c r="J67" s="15" t="s">
        <v>38</v>
      </c>
      <c r="K67" s="7" t="s">
        <v>154</v>
      </c>
      <c r="L67" s="7">
        <v>3</v>
      </c>
      <c r="N67" s="7">
        <v>1</v>
      </c>
      <c r="O67" s="7">
        <v>0.6</v>
      </c>
      <c r="P67" s="7">
        <v>0.65</v>
      </c>
      <c r="Q67" s="52">
        <f t="shared" si="4"/>
        <v>0.625</v>
      </c>
      <c r="R67" s="7">
        <v>13.8</v>
      </c>
      <c r="S67" s="7">
        <v>127</v>
      </c>
      <c r="T67" s="16">
        <f t="shared" si="3"/>
        <v>27</v>
      </c>
      <c r="U67" s="207">
        <v>105</v>
      </c>
      <c r="V67" s="16">
        <f t="shared" si="5"/>
        <v>2835</v>
      </c>
      <c r="W67" s="7">
        <v>9</v>
      </c>
      <c r="X67" s="215" t="s">
        <v>46</v>
      </c>
      <c r="Y67" s="215" t="s">
        <v>50</v>
      </c>
      <c r="Z67" s="215" t="s">
        <v>90</v>
      </c>
      <c r="AA67" s="215" t="s">
        <v>84</v>
      </c>
      <c r="AB67" s="39" t="s">
        <v>336</v>
      </c>
    </row>
    <row r="68" spans="1:28" x14ac:dyDescent="0.15">
      <c r="A68" s="15" t="s">
        <v>333</v>
      </c>
      <c r="B68" s="15" t="s">
        <v>334</v>
      </c>
      <c r="C68" s="15">
        <v>2018</v>
      </c>
      <c r="D68" s="37" t="s">
        <v>340</v>
      </c>
      <c r="E68" s="7" t="s">
        <v>140</v>
      </c>
      <c r="F68" s="7" t="s">
        <v>148</v>
      </c>
      <c r="G68" s="7" t="s">
        <v>36</v>
      </c>
      <c r="H68" s="15" t="s">
        <v>129</v>
      </c>
      <c r="I68" s="207" t="s">
        <v>153</v>
      </c>
      <c r="J68" s="15" t="s">
        <v>58</v>
      </c>
      <c r="K68" s="7" t="s">
        <v>59</v>
      </c>
      <c r="L68" s="7">
        <v>1</v>
      </c>
      <c r="N68" s="7">
        <v>5</v>
      </c>
      <c r="O68" s="7">
        <v>0.5</v>
      </c>
      <c r="P68" s="7">
        <v>0.5</v>
      </c>
      <c r="Q68" s="52">
        <f t="shared" si="4"/>
        <v>0.5</v>
      </c>
      <c r="R68" s="7">
        <v>19.5</v>
      </c>
      <c r="S68" s="7">
        <v>70</v>
      </c>
      <c r="T68" s="16">
        <f t="shared" si="3"/>
        <v>50</v>
      </c>
      <c r="U68" s="7">
        <v>537</v>
      </c>
      <c r="V68" s="16">
        <f t="shared" si="5"/>
        <v>5370</v>
      </c>
      <c r="W68" s="7">
        <v>2</v>
      </c>
      <c r="X68" s="215" t="s">
        <v>46</v>
      </c>
      <c r="Y68" s="215" t="s">
        <v>50</v>
      </c>
      <c r="Z68" s="215" t="s">
        <v>90</v>
      </c>
      <c r="AA68" s="215" t="s">
        <v>84</v>
      </c>
      <c r="AB68" s="39" t="s">
        <v>336</v>
      </c>
    </row>
    <row r="69" spans="1:28" x14ac:dyDescent="0.15">
      <c r="A69" s="15" t="s">
        <v>333</v>
      </c>
      <c r="B69" s="15" t="s">
        <v>334</v>
      </c>
      <c r="C69" s="15">
        <v>2018</v>
      </c>
      <c r="D69" s="37" t="s">
        <v>340</v>
      </c>
      <c r="E69" s="7" t="s">
        <v>140</v>
      </c>
      <c r="F69" s="7" t="s">
        <v>148</v>
      </c>
      <c r="G69" s="7" t="s">
        <v>36</v>
      </c>
      <c r="H69" s="215" t="s">
        <v>129</v>
      </c>
      <c r="I69" s="207" t="s">
        <v>153</v>
      </c>
      <c r="J69" s="15" t="s">
        <v>58</v>
      </c>
      <c r="K69" s="7" t="s">
        <v>59</v>
      </c>
      <c r="L69" s="7">
        <v>2</v>
      </c>
      <c r="N69" s="207">
        <v>5</v>
      </c>
      <c r="O69" s="7">
        <v>0.5</v>
      </c>
      <c r="P69" s="7">
        <v>0.5</v>
      </c>
      <c r="Q69" s="52">
        <f t="shared" si="4"/>
        <v>0.5</v>
      </c>
      <c r="R69" s="7">
        <v>15.5</v>
      </c>
      <c r="S69" s="7">
        <v>71</v>
      </c>
      <c r="T69" s="16">
        <f t="shared" si="3"/>
        <v>42</v>
      </c>
      <c r="U69" s="207">
        <v>537</v>
      </c>
      <c r="V69" s="16">
        <f t="shared" si="5"/>
        <v>4510.8</v>
      </c>
      <c r="W69" s="7">
        <v>2</v>
      </c>
      <c r="X69" s="215" t="s">
        <v>46</v>
      </c>
      <c r="Y69" s="215" t="s">
        <v>50</v>
      </c>
      <c r="Z69" s="215" t="s">
        <v>90</v>
      </c>
      <c r="AA69" s="215" t="s">
        <v>84</v>
      </c>
      <c r="AB69" s="39" t="s">
        <v>336</v>
      </c>
    </row>
    <row r="70" spans="1:28" x14ac:dyDescent="0.15">
      <c r="A70" s="15" t="s">
        <v>333</v>
      </c>
      <c r="B70" s="15" t="s">
        <v>334</v>
      </c>
      <c r="C70" s="15">
        <v>2018</v>
      </c>
      <c r="D70" s="37" t="s">
        <v>340</v>
      </c>
      <c r="E70" s="7" t="s">
        <v>140</v>
      </c>
      <c r="F70" s="7" t="s">
        <v>148</v>
      </c>
      <c r="G70" s="7" t="s">
        <v>36</v>
      </c>
      <c r="H70" s="215" t="s">
        <v>129</v>
      </c>
      <c r="I70" s="207" t="s">
        <v>153</v>
      </c>
      <c r="J70" s="15" t="s">
        <v>58</v>
      </c>
      <c r="K70" s="7" t="s">
        <v>59</v>
      </c>
      <c r="L70" s="7">
        <v>3</v>
      </c>
      <c r="N70" s="207">
        <v>5</v>
      </c>
      <c r="O70" s="7">
        <v>0.5</v>
      </c>
      <c r="P70" s="7">
        <v>0.55000000000000004</v>
      </c>
      <c r="Q70" s="52">
        <f t="shared" si="4"/>
        <v>0.52500000000000002</v>
      </c>
      <c r="R70" s="7">
        <v>15.8</v>
      </c>
      <c r="S70" s="7">
        <v>71</v>
      </c>
      <c r="T70" s="16">
        <f t="shared" si="3"/>
        <v>42</v>
      </c>
      <c r="U70" s="207">
        <v>537</v>
      </c>
      <c r="V70" s="16">
        <f t="shared" si="5"/>
        <v>4510.8</v>
      </c>
      <c r="W70" s="7">
        <v>2</v>
      </c>
      <c r="X70" s="215" t="s">
        <v>46</v>
      </c>
      <c r="Y70" s="215" t="s">
        <v>50</v>
      </c>
      <c r="Z70" s="215" t="s">
        <v>90</v>
      </c>
      <c r="AA70" s="215" t="s">
        <v>84</v>
      </c>
      <c r="AB70" s="39" t="s">
        <v>336</v>
      </c>
    </row>
    <row r="71" spans="1:28" x14ac:dyDescent="0.15">
      <c r="A71" s="15"/>
      <c r="B71" s="15"/>
      <c r="C71" s="15"/>
      <c r="D71" s="37"/>
      <c r="H71" s="15"/>
      <c r="I71" s="207"/>
      <c r="J71" s="15"/>
      <c r="N71" s="207"/>
      <c r="Q71" s="52" t="str">
        <f t="shared" si="4"/>
        <v/>
      </c>
      <c r="T71" s="16" t="str">
        <f t="shared" si="3"/>
        <v/>
      </c>
      <c r="V71" s="16" t="str">
        <f>IF(OR(N71="",U71="",T71=""),"",U71/N71*T71)</f>
        <v/>
      </c>
      <c r="X71" s="15"/>
      <c r="Y71" s="15"/>
      <c r="Z71" s="15"/>
      <c r="AA71" s="15"/>
      <c r="AB71" s="39"/>
    </row>
    <row r="72" spans="1:28" x14ac:dyDescent="0.15">
      <c r="A72" s="15"/>
      <c r="B72" s="15"/>
      <c r="C72" s="15"/>
      <c r="D72" s="37"/>
      <c r="H72" s="215"/>
      <c r="I72" s="207"/>
      <c r="J72" s="215"/>
      <c r="K72" s="207"/>
      <c r="N72" s="207"/>
      <c r="Q72" s="52" t="str">
        <f t="shared" si="4"/>
        <v/>
      </c>
      <c r="T72" s="16" t="str">
        <f t="shared" si="3"/>
        <v/>
      </c>
      <c r="U72" s="207"/>
      <c r="V72" s="16" t="str">
        <f t="shared" ref="V72:V74" si="6">IF(OR(N72="",U72="",T72=""),"",U72/N72*T72)</f>
        <v/>
      </c>
      <c r="X72" s="15"/>
      <c r="Y72" s="215"/>
      <c r="Z72" s="215"/>
      <c r="AA72" s="215"/>
      <c r="AB72" s="39"/>
    </row>
    <row r="73" spans="1:28" x14ac:dyDescent="0.15">
      <c r="A73" s="15"/>
      <c r="B73" s="15"/>
      <c r="C73" s="15"/>
      <c r="D73" s="37"/>
      <c r="H73" s="215"/>
      <c r="I73" s="207"/>
      <c r="J73" s="215"/>
      <c r="K73" s="207"/>
      <c r="N73" s="207"/>
      <c r="Q73" s="52" t="str">
        <f t="shared" si="4"/>
        <v/>
      </c>
      <c r="T73" s="16" t="str">
        <f t="shared" si="3"/>
        <v/>
      </c>
      <c r="U73" s="207"/>
      <c r="V73" s="16" t="str">
        <f>IF(OR(N73="",U73="",T73=""),"",U73/N73*T73)</f>
        <v/>
      </c>
      <c r="X73" s="15"/>
      <c r="Y73" s="215"/>
      <c r="Z73" s="215"/>
      <c r="AA73" s="215"/>
      <c r="AB73" s="39"/>
    </row>
    <row r="74" spans="1:28" x14ac:dyDescent="0.15">
      <c r="A74" s="15"/>
      <c r="B74" s="15"/>
      <c r="C74" s="15"/>
      <c r="D74" s="37"/>
      <c r="H74" s="15"/>
      <c r="I74" s="207"/>
      <c r="J74" s="15"/>
      <c r="N74" s="207"/>
      <c r="Q74" s="52" t="str">
        <f t="shared" si="4"/>
        <v/>
      </c>
      <c r="T74" s="16" t="str">
        <f t="shared" si="3"/>
        <v/>
      </c>
      <c r="V74" s="16" t="str">
        <f t="shared" si="6"/>
        <v/>
      </c>
      <c r="X74" s="15"/>
      <c r="Y74" s="215"/>
      <c r="Z74" s="215"/>
      <c r="AA74" s="215"/>
      <c r="AB74" s="39"/>
    </row>
    <row r="75" spans="1:28" x14ac:dyDescent="0.15">
      <c r="A75" s="15"/>
      <c r="B75" s="15"/>
      <c r="C75" s="15"/>
      <c r="D75" s="37"/>
      <c r="H75" s="215"/>
      <c r="I75" s="207"/>
      <c r="J75" s="15"/>
      <c r="N75" s="207"/>
      <c r="Q75" s="52" t="str">
        <f t="shared" si="4"/>
        <v/>
      </c>
      <c r="T75" s="16" t="str">
        <f t="shared" si="3"/>
        <v/>
      </c>
      <c r="U75" s="207"/>
      <c r="V75" s="16" t="str">
        <f>IF(OR(N75="",U75="",T75=""),"",U75/N75*T75)</f>
        <v/>
      </c>
      <c r="X75" s="15"/>
      <c r="Y75" s="215"/>
      <c r="Z75" s="215"/>
      <c r="AA75" s="215"/>
      <c r="AB75" s="39"/>
    </row>
    <row r="76" spans="1:28" x14ac:dyDescent="0.15">
      <c r="A76" s="15"/>
      <c r="B76" s="15"/>
      <c r="C76" s="15"/>
      <c r="D76" s="37"/>
      <c r="H76" s="215"/>
      <c r="I76" s="207"/>
      <c r="J76" s="15"/>
      <c r="N76" s="207"/>
      <c r="Q76" s="52" t="str">
        <f t="shared" si="4"/>
        <v/>
      </c>
      <c r="T76" s="16" t="str">
        <f t="shared" si="3"/>
        <v/>
      </c>
      <c r="U76" s="207"/>
      <c r="V76" s="16" t="str">
        <f>IF(OR(N76="",U76="",T76=""),"",U76/N76*T76)</f>
        <v/>
      </c>
      <c r="X76" s="15"/>
      <c r="Y76" s="215"/>
      <c r="Z76" s="215"/>
      <c r="AA76" s="2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7"/>
  <sheetViews>
    <sheetView topLeftCell="A40" zoomScale="80" zoomScaleNormal="80" workbookViewId="0">
      <selection activeCell="J132" sqref="J132"/>
    </sheetView>
  </sheetViews>
  <sheetFormatPr defaultColWidth="9" defaultRowHeight="13.5" x14ac:dyDescent="0.15"/>
  <cols>
    <col min="1" max="3" width="9" style="236"/>
    <col min="4" max="4" width="11" style="236" bestFit="1" customWidth="1"/>
    <col min="5" max="5" width="10.875" style="236" bestFit="1" customWidth="1"/>
    <col min="6" max="16" width="9" style="236"/>
    <col min="17" max="17" width="9" style="57"/>
    <col min="18" max="18" width="9" style="236"/>
    <col min="19" max="19" width="11.625" style="236" bestFit="1" customWidth="1"/>
    <col min="20" max="20" width="9" style="57"/>
    <col min="21" max="21" width="9" style="236"/>
    <col min="22" max="22" width="9" style="58"/>
    <col min="23" max="32" width="9" style="236"/>
    <col min="33" max="33" width="14.375" style="236" bestFit="1" customWidth="1"/>
    <col min="34" max="34" width="11.375" style="236" bestFit="1" customWidth="1"/>
    <col min="35" max="16384" width="9" style="236"/>
  </cols>
  <sheetData>
    <row r="1" spans="1:53" ht="45" x14ac:dyDescent="0.15">
      <c r="A1" s="239" t="s">
        <v>0</v>
      </c>
      <c r="B1" s="201" t="s">
        <v>1</v>
      </c>
      <c r="C1" s="201" t="s">
        <v>342</v>
      </c>
      <c r="D1" s="202" t="s">
        <v>3</v>
      </c>
      <c r="E1" s="240" t="s">
        <v>4</v>
      </c>
      <c r="F1" s="240" t="s">
        <v>5</v>
      </c>
      <c r="G1" s="240" t="s">
        <v>6</v>
      </c>
      <c r="H1" s="240" t="s">
        <v>7</v>
      </c>
      <c r="I1" s="240" t="s">
        <v>8</v>
      </c>
      <c r="J1" s="240" t="s">
        <v>9</v>
      </c>
      <c r="K1" s="240" t="s">
        <v>10</v>
      </c>
      <c r="L1" s="202" t="s">
        <v>343</v>
      </c>
      <c r="M1" s="202" t="s">
        <v>12</v>
      </c>
      <c r="N1" s="202" t="s">
        <v>13</v>
      </c>
      <c r="O1" s="202" t="s">
        <v>344</v>
      </c>
      <c r="P1" s="202" t="s">
        <v>345</v>
      </c>
      <c r="Q1" s="53" t="s">
        <v>16</v>
      </c>
      <c r="R1" s="202" t="s">
        <v>346</v>
      </c>
      <c r="S1" s="202" t="s">
        <v>347</v>
      </c>
      <c r="T1" s="53" t="s">
        <v>19</v>
      </c>
      <c r="U1" s="204" t="s">
        <v>108</v>
      </c>
      <c r="V1" s="54" t="s">
        <v>20</v>
      </c>
      <c r="W1" s="202" t="s">
        <v>21</v>
      </c>
      <c r="X1" s="240" t="s">
        <v>22</v>
      </c>
      <c r="Y1" s="240" t="s">
        <v>23</v>
      </c>
      <c r="Z1" s="240" t="s">
        <v>24</v>
      </c>
      <c r="AA1" s="240" t="s">
        <v>25</v>
      </c>
      <c r="AB1" s="241" t="s">
        <v>348</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349</v>
      </c>
      <c r="AY1" s="213" t="s">
        <v>350</v>
      </c>
      <c r="AZ1" s="213" t="s">
        <v>351</v>
      </c>
      <c r="BA1" s="214" t="s">
        <v>352</v>
      </c>
    </row>
    <row r="2" spans="1:53" s="55" customFormat="1" x14ac:dyDescent="0.15">
      <c r="A2" s="55" t="s">
        <v>41</v>
      </c>
      <c r="B2" s="236" t="s">
        <v>334</v>
      </c>
      <c r="C2" s="152">
        <v>2018</v>
      </c>
      <c r="D2" s="56" t="s">
        <v>353</v>
      </c>
      <c r="E2" s="236" t="s">
        <v>133</v>
      </c>
      <c r="F2" s="236" t="s">
        <v>293</v>
      </c>
      <c r="G2" s="55" t="s">
        <v>42</v>
      </c>
      <c r="H2" s="55" t="s">
        <v>155</v>
      </c>
      <c r="I2" s="55" t="s">
        <v>153</v>
      </c>
      <c r="J2" s="55" t="s">
        <v>38</v>
      </c>
      <c r="K2" s="55" t="s">
        <v>154</v>
      </c>
      <c r="L2" s="236">
        <v>1</v>
      </c>
      <c r="M2" s="236"/>
      <c r="N2" s="55">
        <v>1</v>
      </c>
      <c r="O2" s="236">
        <v>1</v>
      </c>
      <c r="P2" s="236">
        <v>1.1000000000000001</v>
      </c>
      <c r="Q2" s="57">
        <f t="shared" ref="Q2:Q65" si="0">IF(OR(O2="",P2=""),"",AVERAGE(O2,P2))</f>
        <v>1.05</v>
      </c>
      <c r="R2" s="236">
        <v>15</v>
      </c>
      <c r="S2" s="236">
        <v>145</v>
      </c>
      <c r="T2" s="57">
        <f t="shared" ref="T2:T10" si="1">IF(H2="","",IF(OR(H2="GREEN",H2="GK"),IF(S2&gt;=$AX$2,VLOOKUP(S2,$AX$2:$AY$10,2,1),""),IF(S2&gt;=$AZ$2,VLOOKUP(S2,$AZ$2:$BA$10,2,1),"")))</f>
        <v>22</v>
      </c>
      <c r="U2" s="236">
        <v>105</v>
      </c>
      <c r="V2" s="58">
        <f t="shared" ref="V2:V65" si="2">IF(OR(N2="",U2="",T2=""),"",U2/N2*T2)</f>
        <v>2310</v>
      </c>
      <c r="W2" s="236">
        <v>3</v>
      </c>
      <c r="X2" s="55" t="s">
        <v>46</v>
      </c>
      <c r="Y2" s="55" t="s">
        <v>84</v>
      </c>
      <c r="Z2" s="55" t="s">
        <v>78</v>
      </c>
      <c r="AA2" s="55" t="s">
        <v>90</v>
      </c>
      <c r="AB2" s="55" t="s">
        <v>369</v>
      </c>
      <c r="AE2" s="217" t="s">
        <v>35</v>
      </c>
      <c r="AG2" s="59" t="s">
        <v>133</v>
      </c>
      <c r="AH2" s="60" t="s">
        <v>293</v>
      </c>
      <c r="AJ2" s="242" t="s">
        <v>36</v>
      </c>
      <c r="AL2" s="242" t="s">
        <v>127</v>
      </c>
      <c r="AN2" s="242" t="s">
        <v>37</v>
      </c>
      <c r="AP2" s="242" t="s">
        <v>38</v>
      </c>
      <c r="AR2" s="242" t="s">
        <v>354</v>
      </c>
      <c r="AT2" s="242" t="s">
        <v>39</v>
      </c>
      <c r="AV2" s="242" t="s">
        <v>40</v>
      </c>
      <c r="AX2" s="61">
        <v>1</v>
      </c>
      <c r="AY2" s="62">
        <v>50</v>
      </c>
      <c r="AZ2" s="62">
        <v>1</v>
      </c>
      <c r="BA2" s="63">
        <v>50</v>
      </c>
    </row>
    <row r="3" spans="1:53" x14ac:dyDescent="0.15">
      <c r="A3" s="55" t="s">
        <v>41</v>
      </c>
      <c r="B3" s="236" t="s">
        <v>334</v>
      </c>
      <c r="C3" s="152">
        <v>2018</v>
      </c>
      <c r="D3" s="56" t="s">
        <v>353</v>
      </c>
      <c r="E3" s="236" t="s">
        <v>133</v>
      </c>
      <c r="F3" s="236" t="s">
        <v>293</v>
      </c>
      <c r="G3" s="55" t="s">
        <v>42</v>
      </c>
      <c r="H3" s="55" t="s">
        <v>155</v>
      </c>
      <c r="I3" s="55" t="s">
        <v>153</v>
      </c>
      <c r="J3" s="55" t="s">
        <v>38</v>
      </c>
      <c r="K3" s="55" t="s">
        <v>154</v>
      </c>
      <c r="L3" s="236">
        <v>2</v>
      </c>
      <c r="N3" s="55">
        <v>1</v>
      </c>
      <c r="O3" s="236">
        <v>0.85</v>
      </c>
      <c r="P3" s="236">
        <v>0.95</v>
      </c>
      <c r="Q3" s="57">
        <f t="shared" si="0"/>
        <v>0.89999999999999991</v>
      </c>
      <c r="R3" s="236">
        <v>12.9</v>
      </c>
      <c r="S3" s="236">
        <v>141</v>
      </c>
      <c r="T3" s="57">
        <f t="shared" si="1"/>
        <v>22</v>
      </c>
      <c r="U3" s="236">
        <v>105</v>
      </c>
      <c r="V3" s="58">
        <f t="shared" si="2"/>
        <v>2310</v>
      </c>
      <c r="W3" s="236">
        <v>3</v>
      </c>
      <c r="X3" s="55" t="s">
        <v>46</v>
      </c>
      <c r="Y3" s="55" t="s">
        <v>84</v>
      </c>
      <c r="Z3" s="55" t="s">
        <v>78</v>
      </c>
      <c r="AA3" s="55" t="s">
        <v>90</v>
      </c>
      <c r="AB3" s="55" t="s">
        <v>369</v>
      </c>
      <c r="AE3" s="222" t="s">
        <v>41</v>
      </c>
      <c r="AG3" s="64" t="s">
        <v>288</v>
      </c>
      <c r="AH3" s="64" t="s">
        <v>293</v>
      </c>
      <c r="AJ3" s="65" t="s">
        <v>42</v>
      </c>
      <c r="AL3" s="65" t="s">
        <v>128</v>
      </c>
      <c r="AN3" s="65" t="s">
        <v>43</v>
      </c>
      <c r="AP3" s="65" t="s">
        <v>44</v>
      </c>
      <c r="AR3" s="230" t="s">
        <v>45</v>
      </c>
      <c r="AT3" s="65" t="s">
        <v>46</v>
      </c>
      <c r="AV3" s="65" t="s">
        <v>47</v>
      </c>
      <c r="AX3" s="66">
        <v>72</v>
      </c>
      <c r="AY3" s="67">
        <v>46</v>
      </c>
      <c r="AZ3" s="67">
        <v>71</v>
      </c>
      <c r="BA3" s="68">
        <v>42</v>
      </c>
    </row>
    <row r="4" spans="1:53" x14ac:dyDescent="0.15">
      <c r="A4" s="55" t="s">
        <v>41</v>
      </c>
      <c r="B4" s="236" t="s">
        <v>334</v>
      </c>
      <c r="C4" s="152">
        <v>2018</v>
      </c>
      <c r="D4" s="56" t="s">
        <v>355</v>
      </c>
      <c r="E4" s="236" t="s">
        <v>133</v>
      </c>
      <c r="F4" s="236" t="s">
        <v>293</v>
      </c>
      <c r="G4" s="55" t="s">
        <v>42</v>
      </c>
      <c r="H4" s="55" t="s">
        <v>155</v>
      </c>
      <c r="I4" s="55" t="s">
        <v>153</v>
      </c>
      <c r="J4" s="55" t="s">
        <v>38</v>
      </c>
      <c r="K4" s="55" t="s">
        <v>154</v>
      </c>
      <c r="L4" s="236">
        <v>3</v>
      </c>
      <c r="N4" s="55">
        <v>1</v>
      </c>
      <c r="O4" s="236">
        <v>0.9</v>
      </c>
      <c r="P4" s="236">
        <v>1.1000000000000001</v>
      </c>
      <c r="Q4" s="57">
        <f t="shared" si="0"/>
        <v>1</v>
      </c>
      <c r="R4" s="236">
        <v>16</v>
      </c>
      <c r="S4" s="236">
        <v>139</v>
      </c>
      <c r="T4" s="57">
        <f t="shared" si="1"/>
        <v>22</v>
      </c>
      <c r="U4" s="236">
        <v>105</v>
      </c>
      <c r="V4" s="58">
        <f t="shared" si="2"/>
        <v>2310</v>
      </c>
      <c r="W4" s="236">
        <v>3</v>
      </c>
      <c r="X4" s="55" t="s">
        <v>46</v>
      </c>
      <c r="Y4" s="55" t="s">
        <v>84</v>
      </c>
      <c r="Z4" s="55" t="s">
        <v>78</v>
      </c>
      <c r="AA4" s="55" t="s">
        <v>90</v>
      </c>
      <c r="AB4" s="55" t="s">
        <v>369</v>
      </c>
      <c r="AE4" s="222" t="s">
        <v>34</v>
      </c>
      <c r="AG4" s="64" t="s">
        <v>288</v>
      </c>
      <c r="AH4" s="64" t="s">
        <v>294</v>
      </c>
      <c r="AJ4" s="69" t="s">
        <v>48</v>
      </c>
      <c r="AL4" s="69" t="s">
        <v>129</v>
      </c>
      <c r="AN4" s="243" t="s">
        <v>49</v>
      </c>
      <c r="AP4" s="65" t="s">
        <v>356</v>
      </c>
      <c r="AR4" s="230" t="s">
        <v>357</v>
      </c>
      <c r="AT4" s="243"/>
      <c r="AV4" s="65" t="s">
        <v>50</v>
      </c>
      <c r="AX4" s="66">
        <v>75</v>
      </c>
      <c r="AY4" s="67">
        <v>42</v>
      </c>
      <c r="AZ4" s="67">
        <v>76</v>
      </c>
      <c r="BA4" s="68">
        <v>39</v>
      </c>
    </row>
    <row r="5" spans="1:53" s="55" customFormat="1" ht="13.5" customHeight="1" x14ac:dyDescent="0.15">
      <c r="A5" s="55" t="s">
        <v>41</v>
      </c>
      <c r="B5" s="236" t="s">
        <v>334</v>
      </c>
      <c r="C5" s="152">
        <v>2018</v>
      </c>
      <c r="D5" s="56" t="s">
        <v>355</v>
      </c>
      <c r="E5" s="236" t="s">
        <v>133</v>
      </c>
      <c r="F5" s="236" t="s">
        <v>293</v>
      </c>
      <c r="G5" s="55" t="s">
        <v>42</v>
      </c>
      <c r="H5" s="55" t="s">
        <v>155</v>
      </c>
      <c r="I5" s="55" t="s">
        <v>153</v>
      </c>
      <c r="J5" s="55" t="s">
        <v>38</v>
      </c>
      <c r="K5" s="55" t="s">
        <v>154</v>
      </c>
      <c r="L5" s="236">
        <v>1</v>
      </c>
      <c r="N5" s="55">
        <v>8</v>
      </c>
      <c r="O5" s="236">
        <v>0.4</v>
      </c>
      <c r="P5" s="236">
        <v>0.65</v>
      </c>
      <c r="Q5" s="57">
        <f t="shared" si="0"/>
        <v>0.52500000000000002</v>
      </c>
      <c r="R5" s="236">
        <v>12.7</v>
      </c>
      <c r="S5" s="236">
        <v>120</v>
      </c>
      <c r="T5" s="77">
        <f t="shared" si="1"/>
        <v>30</v>
      </c>
      <c r="U5" s="55">
        <v>753</v>
      </c>
      <c r="V5" s="78">
        <f t="shared" si="2"/>
        <v>2823.75</v>
      </c>
      <c r="W5" s="55">
        <v>1</v>
      </c>
      <c r="X5" s="55" t="s">
        <v>46</v>
      </c>
      <c r="Y5" s="55" t="s">
        <v>84</v>
      </c>
      <c r="Z5" s="55" t="s">
        <v>78</v>
      </c>
      <c r="AA5" s="55" t="s">
        <v>90</v>
      </c>
      <c r="AB5" s="55" t="s">
        <v>369</v>
      </c>
      <c r="AC5" s="236"/>
      <c r="AD5" s="236"/>
      <c r="AE5" s="70" t="s">
        <v>358</v>
      </c>
      <c r="AG5" s="64" t="s">
        <v>289</v>
      </c>
      <c r="AH5" s="64" t="s">
        <v>293</v>
      </c>
      <c r="AJ5" s="71"/>
      <c r="AL5" s="72" t="s">
        <v>359</v>
      </c>
      <c r="AN5" s="72" t="s">
        <v>360</v>
      </c>
      <c r="AP5" s="230" t="s">
        <v>361</v>
      </c>
      <c r="AR5" s="230" t="s">
        <v>54</v>
      </c>
      <c r="AV5" s="230" t="s">
        <v>55</v>
      </c>
      <c r="AX5" s="73">
        <v>84</v>
      </c>
      <c r="AY5" s="74">
        <v>39</v>
      </c>
      <c r="AZ5" s="74">
        <v>84</v>
      </c>
      <c r="BA5" s="75">
        <v>36</v>
      </c>
    </row>
    <row r="6" spans="1:53" x14ac:dyDescent="0.15">
      <c r="A6" s="55" t="s">
        <v>41</v>
      </c>
      <c r="B6" s="236" t="s">
        <v>334</v>
      </c>
      <c r="C6" s="152">
        <v>2018</v>
      </c>
      <c r="D6" s="56" t="s">
        <v>355</v>
      </c>
      <c r="E6" s="236" t="s">
        <v>133</v>
      </c>
      <c r="F6" s="236" t="s">
        <v>293</v>
      </c>
      <c r="G6" s="55" t="s">
        <v>42</v>
      </c>
      <c r="H6" s="55" t="s">
        <v>155</v>
      </c>
      <c r="I6" s="55" t="s">
        <v>153</v>
      </c>
      <c r="J6" s="55" t="s">
        <v>38</v>
      </c>
      <c r="K6" s="55" t="s">
        <v>154</v>
      </c>
      <c r="L6" s="236">
        <v>2</v>
      </c>
      <c r="N6" s="55">
        <v>8</v>
      </c>
      <c r="O6" s="236">
        <v>0.35</v>
      </c>
      <c r="P6" s="236">
        <v>0.5</v>
      </c>
      <c r="Q6" s="57">
        <f t="shared" si="0"/>
        <v>0.42499999999999999</v>
      </c>
      <c r="R6" s="236">
        <v>14.8</v>
      </c>
      <c r="S6" s="236">
        <v>121</v>
      </c>
      <c r="T6" s="77">
        <f t="shared" si="1"/>
        <v>27</v>
      </c>
      <c r="U6" s="55">
        <v>753</v>
      </c>
      <c r="V6" s="78">
        <f t="shared" si="2"/>
        <v>2541.375</v>
      </c>
      <c r="W6" s="55">
        <v>1</v>
      </c>
      <c r="X6" s="55" t="s">
        <v>46</v>
      </c>
      <c r="Y6" s="55" t="s">
        <v>84</v>
      </c>
      <c r="Z6" s="55" t="s">
        <v>78</v>
      </c>
      <c r="AA6" s="55" t="s">
        <v>90</v>
      </c>
      <c r="AB6" s="55" t="s">
        <v>369</v>
      </c>
      <c r="AE6" s="222" t="s">
        <v>56</v>
      </c>
      <c r="AG6" s="64" t="s">
        <v>289</v>
      </c>
      <c r="AH6" s="64" t="s">
        <v>295</v>
      </c>
      <c r="AL6" s="72" t="s">
        <v>362</v>
      </c>
      <c r="AN6" s="72" t="s">
        <v>363</v>
      </c>
      <c r="AP6" s="65" t="s">
        <v>53</v>
      </c>
      <c r="AR6" s="230" t="s">
        <v>59</v>
      </c>
      <c r="AV6" s="65" t="s">
        <v>60</v>
      </c>
      <c r="AX6" s="66">
        <v>97</v>
      </c>
      <c r="AY6" s="67">
        <v>36</v>
      </c>
      <c r="AZ6" s="67">
        <v>99</v>
      </c>
      <c r="BA6" s="68">
        <v>33</v>
      </c>
    </row>
    <row r="7" spans="1:53" x14ac:dyDescent="0.15">
      <c r="A7" s="55" t="s">
        <v>41</v>
      </c>
      <c r="B7" s="236" t="s">
        <v>334</v>
      </c>
      <c r="C7" s="152">
        <v>2018</v>
      </c>
      <c r="D7" s="56" t="s">
        <v>355</v>
      </c>
      <c r="E7" s="236" t="s">
        <v>133</v>
      </c>
      <c r="F7" s="236" t="s">
        <v>293</v>
      </c>
      <c r="G7" s="55" t="s">
        <v>42</v>
      </c>
      <c r="H7" s="55" t="s">
        <v>155</v>
      </c>
      <c r="I7" s="55" t="s">
        <v>153</v>
      </c>
      <c r="J7" s="55" t="s">
        <v>38</v>
      </c>
      <c r="K7" s="55" t="s">
        <v>154</v>
      </c>
      <c r="L7" s="236">
        <v>3</v>
      </c>
      <c r="N7" s="55">
        <v>8</v>
      </c>
      <c r="O7" s="236">
        <v>0.45</v>
      </c>
      <c r="P7" s="236">
        <v>0.5</v>
      </c>
      <c r="Q7" s="57">
        <f t="shared" si="0"/>
        <v>0.47499999999999998</v>
      </c>
      <c r="R7" s="236">
        <v>15.1</v>
      </c>
      <c r="S7" s="236">
        <v>118</v>
      </c>
      <c r="T7" s="77">
        <f t="shared" si="1"/>
        <v>30</v>
      </c>
      <c r="U7" s="55">
        <v>753</v>
      </c>
      <c r="V7" s="78">
        <f t="shared" si="2"/>
        <v>2823.75</v>
      </c>
      <c r="W7" s="236">
        <v>1</v>
      </c>
      <c r="X7" s="55" t="s">
        <v>46</v>
      </c>
      <c r="Y7" s="55" t="s">
        <v>84</v>
      </c>
      <c r="Z7" s="55" t="s">
        <v>78</v>
      </c>
      <c r="AA7" s="55" t="s">
        <v>90</v>
      </c>
      <c r="AB7" s="55" t="s">
        <v>369</v>
      </c>
      <c r="AE7" s="222" t="s">
        <v>61</v>
      </c>
      <c r="AG7" s="64" t="s">
        <v>290</v>
      </c>
      <c r="AH7" s="64" t="s">
        <v>295</v>
      </c>
      <c r="AL7" s="76" t="s">
        <v>364</v>
      </c>
      <c r="AP7" s="65" t="s">
        <v>58</v>
      </c>
      <c r="AR7" s="230" t="s">
        <v>122</v>
      </c>
      <c r="AV7" s="65" t="s">
        <v>64</v>
      </c>
      <c r="AX7" s="66">
        <v>109</v>
      </c>
      <c r="AY7" s="67">
        <v>33</v>
      </c>
      <c r="AZ7" s="67">
        <v>113</v>
      </c>
      <c r="BA7" s="68">
        <v>30</v>
      </c>
    </row>
    <row r="8" spans="1:53" x14ac:dyDescent="0.15">
      <c r="A8" s="55" t="s">
        <v>41</v>
      </c>
      <c r="B8" s="236" t="s">
        <v>334</v>
      </c>
      <c r="C8" s="152">
        <v>2018</v>
      </c>
      <c r="D8" s="56" t="s">
        <v>355</v>
      </c>
      <c r="E8" s="236" t="s">
        <v>133</v>
      </c>
      <c r="F8" s="236" t="s">
        <v>293</v>
      </c>
      <c r="G8" s="55" t="s">
        <v>42</v>
      </c>
      <c r="H8" s="55" t="s">
        <v>162</v>
      </c>
      <c r="I8" s="55" t="s">
        <v>153</v>
      </c>
      <c r="J8" s="55" t="s">
        <v>38</v>
      </c>
      <c r="K8" s="55" t="s">
        <v>154</v>
      </c>
      <c r="L8" s="236">
        <v>1</v>
      </c>
      <c r="M8" s="55"/>
      <c r="N8" s="55">
        <v>1</v>
      </c>
      <c r="O8" s="55">
        <v>0.65</v>
      </c>
      <c r="P8" s="55">
        <v>0.65</v>
      </c>
      <c r="Q8" s="57">
        <f t="shared" si="0"/>
        <v>0.65</v>
      </c>
      <c r="R8" s="236">
        <v>14.7</v>
      </c>
      <c r="S8" s="236">
        <v>145</v>
      </c>
      <c r="T8" s="77">
        <f t="shared" si="1"/>
        <v>22</v>
      </c>
      <c r="U8" s="55">
        <v>149</v>
      </c>
      <c r="V8" s="78">
        <f t="shared" si="2"/>
        <v>3278</v>
      </c>
      <c r="W8" s="55">
        <v>1</v>
      </c>
      <c r="X8" s="55" t="s">
        <v>46</v>
      </c>
      <c r="Y8" s="55" t="s">
        <v>84</v>
      </c>
      <c r="Z8" s="55" t="s">
        <v>78</v>
      </c>
      <c r="AA8" s="55" t="s">
        <v>90</v>
      </c>
      <c r="AB8" s="55" t="s">
        <v>369</v>
      </c>
      <c r="AC8" s="55"/>
      <c r="AD8" s="55"/>
      <c r="AE8" s="222" t="s">
        <v>59</v>
      </c>
      <c r="AG8" s="64" t="s">
        <v>291</v>
      </c>
      <c r="AH8" s="64" t="s">
        <v>296</v>
      </c>
      <c r="AL8" s="76" t="s">
        <v>365</v>
      </c>
      <c r="AP8" s="65" t="s">
        <v>62</v>
      </c>
      <c r="AR8" s="230" t="s">
        <v>81</v>
      </c>
      <c r="AV8" s="65" t="s">
        <v>97</v>
      </c>
      <c r="AX8" s="66">
        <v>119</v>
      </c>
      <c r="AY8" s="67">
        <v>30</v>
      </c>
      <c r="AZ8" s="67">
        <v>121</v>
      </c>
      <c r="BA8" s="68">
        <v>27</v>
      </c>
    </row>
    <row r="9" spans="1:53" x14ac:dyDescent="0.15">
      <c r="A9" s="55" t="s">
        <v>41</v>
      </c>
      <c r="B9" s="236" t="s">
        <v>334</v>
      </c>
      <c r="C9" s="152">
        <v>2018</v>
      </c>
      <c r="D9" s="56" t="s">
        <v>355</v>
      </c>
      <c r="E9" s="236" t="s">
        <v>133</v>
      </c>
      <c r="F9" s="236" t="s">
        <v>293</v>
      </c>
      <c r="G9" s="55" t="s">
        <v>42</v>
      </c>
      <c r="H9" s="55" t="s">
        <v>162</v>
      </c>
      <c r="I9" s="55" t="s">
        <v>153</v>
      </c>
      <c r="J9" s="55" t="s">
        <v>38</v>
      </c>
      <c r="K9" s="55" t="s">
        <v>154</v>
      </c>
      <c r="L9" s="236">
        <v>2</v>
      </c>
      <c r="N9" s="55">
        <v>1</v>
      </c>
      <c r="O9" s="55">
        <v>0.75</v>
      </c>
      <c r="P9" s="55">
        <v>0.7</v>
      </c>
      <c r="Q9" s="57">
        <f t="shared" si="0"/>
        <v>0.72499999999999998</v>
      </c>
      <c r="R9" s="236">
        <v>16.8</v>
      </c>
      <c r="S9" s="236">
        <v>142</v>
      </c>
      <c r="T9" s="77">
        <f t="shared" si="1"/>
        <v>22</v>
      </c>
      <c r="U9" s="55">
        <v>149</v>
      </c>
      <c r="V9" s="58">
        <f t="shared" si="2"/>
        <v>3278</v>
      </c>
      <c r="W9" s="236">
        <v>1</v>
      </c>
      <c r="X9" s="55" t="s">
        <v>46</v>
      </c>
      <c r="Y9" s="55" t="s">
        <v>84</v>
      </c>
      <c r="Z9" s="55" t="s">
        <v>78</v>
      </c>
      <c r="AA9" s="55" t="s">
        <v>90</v>
      </c>
      <c r="AB9" s="55" t="s">
        <v>369</v>
      </c>
      <c r="AE9" s="222" t="s">
        <v>98</v>
      </c>
      <c r="AG9" s="64" t="s">
        <v>291</v>
      </c>
      <c r="AH9" s="64" t="s">
        <v>297</v>
      </c>
      <c r="AL9" s="72"/>
      <c r="AP9" s="65" t="s">
        <v>95</v>
      </c>
      <c r="AR9" s="230" t="s">
        <v>89</v>
      </c>
      <c r="AV9" s="65" t="s">
        <v>102</v>
      </c>
      <c r="AX9" s="66">
        <v>128</v>
      </c>
      <c r="AY9" s="67">
        <v>27</v>
      </c>
      <c r="AZ9" s="67">
        <v>129</v>
      </c>
      <c r="BA9" s="68">
        <v>25</v>
      </c>
    </row>
    <row r="10" spans="1:53" x14ac:dyDescent="0.15">
      <c r="A10" s="55" t="s">
        <v>41</v>
      </c>
      <c r="B10" s="236" t="s">
        <v>334</v>
      </c>
      <c r="C10" s="152">
        <v>2018</v>
      </c>
      <c r="D10" s="56" t="s">
        <v>355</v>
      </c>
      <c r="E10" s="236" t="s">
        <v>133</v>
      </c>
      <c r="F10" s="236" t="s">
        <v>293</v>
      </c>
      <c r="G10" s="55" t="s">
        <v>42</v>
      </c>
      <c r="H10" s="55" t="s">
        <v>162</v>
      </c>
      <c r="I10" s="55" t="s">
        <v>153</v>
      </c>
      <c r="J10" s="55" t="s">
        <v>38</v>
      </c>
      <c r="K10" s="55" t="s">
        <v>154</v>
      </c>
      <c r="L10" s="236">
        <v>3</v>
      </c>
      <c r="N10" s="55">
        <v>1</v>
      </c>
      <c r="O10" s="55">
        <v>0.8</v>
      </c>
      <c r="P10" s="55">
        <v>0.65</v>
      </c>
      <c r="Q10" s="57">
        <f t="shared" si="0"/>
        <v>0.72500000000000009</v>
      </c>
      <c r="R10" s="236">
        <v>17.5</v>
      </c>
      <c r="S10" s="236">
        <v>148</v>
      </c>
      <c r="T10" s="77">
        <f t="shared" si="1"/>
        <v>22</v>
      </c>
      <c r="U10" s="55">
        <v>149</v>
      </c>
      <c r="V10" s="58">
        <f t="shared" si="2"/>
        <v>3278</v>
      </c>
      <c r="W10" s="236">
        <v>1</v>
      </c>
      <c r="X10" s="55" t="s">
        <v>46</v>
      </c>
      <c r="Y10" s="55" t="s">
        <v>84</v>
      </c>
      <c r="Z10" s="55" t="s">
        <v>78</v>
      </c>
      <c r="AA10" s="55" t="s">
        <v>90</v>
      </c>
      <c r="AB10" s="55" t="s">
        <v>369</v>
      </c>
      <c r="AE10" s="222" t="s">
        <v>103</v>
      </c>
      <c r="AG10" s="64" t="s">
        <v>292</v>
      </c>
      <c r="AH10" s="64" t="s">
        <v>298</v>
      </c>
      <c r="AL10" s="76"/>
      <c r="AP10" s="65" t="s">
        <v>100</v>
      </c>
      <c r="AR10" s="230" t="s">
        <v>123</v>
      </c>
      <c r="AV10" s="65" t="s">
        <v>106</v>
      </c>
      <c r="AX10" s="66">
        <v>138</v>
      </c>
      <c r="AY10" s="67">
        <v>25</v>
      </c>
      <c r="AZ10" s="67">
        <v>138</v>
      </c>
      <c r="BA10" s="68">
        <v>22</v>
      </c>
    </row>
    <row r="11" spans="1:53" x14ac:dyDescent="0.15">
      <c r="A11" s="55" t="s">
        <v>41</v>
      </c>
      <c r="B11" s="236" t="s">
        <v>334</v>
      </c>
      <c r="C11" s="152">
        <v>2018</v>
      </c>
      <c r="D11" s="56" t="s">
        <v>355</v>
      </c>
      <c r="E11" s="236" t="s">
        <v>133</v>
      </c>
      <c r="F11" s="55" t="s">
        <v>293</v>
      </c>
      <c r="G11" s="55" t="s">
        <v>42</v>
      </c>
      <c r="H11" s="55" t="s">
        <v>162</v>
      </c>
      <c r="I11" s="55" t="s">
        <v>153</v>
      </c>
      <c r="J11" s="55" t="s">
        <v>38</v>
      </c>
      <c r="K11" s="55" t="s">
        <v>154</v>
      </c>
      <c r="L11" s="236">
        <v>1</v>
      </c>
      <c r="N11" s="55">
        <v>6</v>
      </c>
      <c r="O11" s="55">
        <v>0.45</v>
      </c>
      <c r="P11" s="55">
        <v>0.5</v>
      </c>
      <c r="Q11" s="57">
        <f t="shared" si="0"/>
        <v>0.47499999999999998</v>
      </c>
      <c r="R11" s="236">
        <v>15</v>
      </c>
      <c r="S11" s="236">
        <v>130</v>
      </c>
      <c r="T11" s="77">
        <f t="shared" ref="T11:T22" si="3">IF(H11="","",IF(OR(H11="GREEN",H11="GK"),IF(S11&gt;=$AX$2,VLOOKUP(S11,$AX$2:$AY$12,2,1),""),IF(S11&gt;=$AZ$2,VLOOKUP(S11,$AZ$2:$BA$12,2,1),"")))</f>
        <v>25</v>
      </c>
      <c r="U11" s="55">
        <v>753</v>
      </c>
      <c r="V11" s="58">
        <f t="shared" si="2"/>
        <v>3137.5</v>
      </c>
      <c r="W11" s="236">
        <v>1</v>
      </c>
      <c r="X11" s="55" t="s">
        <v>46</v>
      </c>
      <c r="Y11" s="55" t="s">
        <v>84</v>
      </c>
      <c r="Z11" s="55" t="s">
        <v>78</v>
      </c>
      <c r="AA11" s="55" t="s">
        <v>90</v>
      </c>
      <c r="AB11" s="55" t="s">
        <v>369</v>
      </c>
      <c r="AE11" s="222" t="s">
        <v>65</v>
      </c>
      <c r="AG11" s="64" t="s">
        <v>167</v>
      </c>
      <c r="AH11" s="64" t="s">
        <v>299</v>
      </c>
      <c r="AL11" s="76"/>
      <c r="AP11" s="65" t="s">
        <v>104</v>
      </c>
      <c r="AR11" s="230" t="s">
        <v>87</v>
      </c>
      <c r="AV11" s="65" t="s">
        <v>69</v>
      </c>
      <c r="AX11" s="66">
        <v>151</v>
      </c>
      <c r="AY11" s="67">
        <v>22</v>
      </c>
      <c r="AZ11" s="67">
        <v>152</v>
      </c>
      <c r="BA11" s="68">
        <v>18</v>
      </c>
    </row>
    <row r="12" spans="1:53" x14ac:dyDescent="0.15">
      <c r="A12" s="55" t="s">
        <v>41</v>
      </c>
      <c r="B12" s="236" t="s">
        <v>334</v>
      </c>
      <c r="C12" s="152">
        <v>2018</v>
      </c>
      <c r="D12" s="56" t="s">
        <v>355</v>
      </c>
      <c r="E12" s="236" t="s">
        <v>133</v>
      </c>
      <c r="F12" s="55" t="s">
        <v>293</v>
      </c>
      <c r="G12" s="55" t="s">
        <v>42</v>
      </c>
      <c r="H12" s="55" t="s">
        <v>162</v>
      </c>
      <c r="I12" s="55" t="s">
        <v>153</v>
      </c>
      <c r="J12" s="55" t="s">
        <v>38</v>
      </c>
      <c r="K12" s="55" t="s">
        <v>154</v>
      </c>
      <c r="L12" s="236">
        <v>2</v>
      </c>
      <c r="N12" s="55">
        <v>6</v>
      </c>
      <c r="O12" s="55">
        <v>0.35</v>
      </c>
      <c r="P12" s="55">
        <v>0.45</v>
      </c>
      <c r="Q12" s="57">
        <f t="shared" si="0"/>
        <v>0.4</v>
      </c>
      <c r="R12" s="236">
        <v>15.4</v>
      </c>
      <c r="S12" s="236">
        <v>131</v>
      </c>
      <c r="T12" s="77">
        <f t="shared" si="3"/>
        <v>25</v>
      </c>
      <c r="U12" s="55">
        <v>753</v>
      </c>
      <c r="V12" s="58">
        <f t="shared" si="2"/>
        <v>3137.5</v>
      </c>
      <c r="W12" s="236">
        <v>1</v>
      </c>
      <c r="X12" s="55" t="s">
        <v>46</v>
      </c>
      <c r="Y12" s="55" t="s">
        <v>84</v>
      </c>
      <c r="Z12" s="55" t="s">
        <v>78</v>
      </c>
      <c r="AA12" s="55" t="s">
        <v>90</v>
      </c>
      <c r="AB12" s="55" t="s">
        <v>369</v>
      </c>
      <c r="AE12" s="222" t="s">
        <v>70</v>
      </c>
      <c r="AG12" s="70"/>
      <c r="AH12" s="70"/>
      <c r="AL12" s="76"/>
      <c r="AP12" s="65" t="s">
        <v>67</v>
      </c>
      <c r="AR12" s="230" t="s">
        <v>124</v>
      </c>
      <c r="AV12" s="65" t="s">
        <v>72</v>
      </c>
      <c r="AX12" s="79">
        <v>180</v>
      </c>
      <c r="AY12" s="80">
        <v>18</v>
      </c>
      <c r="AZ12" s="80">
        <v>181</v>
      </c>
      <c r="BA12" s="81">
        <v>16</v>
      </c>
    </row>
    <row r="13" spans="1:53" x14ac:dyDescent="0.15">
      <c r="A13" s="55" t="s">
        <v>41</v>
      </c>
      <c r="B13" s="236" t="s">
        <v>334</v>
      </c>
      <c r="C13" s="152">
        <v>2018</v>
      </c>
      <c r="D13" s="56" t="s">
        <v>355</v>
      </c>
      <c r="E13" s="236" t="s">
        <v>133</v>
      </c>
      <c r="F13" s="55" t="s">
        <v>293</v>
      </c>
      <c r="G13" s="55" t="s">
        <v>42</v>
      </c>
      <c r="H13" s="55" t="s">
        <v>162</v>
      </c>
      <c r="I13" s="55" t="s">
        <v>153</v>
      </c>
      <c r="J13" s="55" t="s">
        <v>38</v>
      </c>
      <c r="K13" s="55" t="s">
        <v>154</v>
      </c>
      <c r="L13" s="236">
        <v>3</v>
      </c>
      <c r="N13" s="55">
        <v>6</v>
      </c>
      <c r="O13" s="55">
        <v>0.35</v>
      </c>
      <c r="P13" s="55">
        <v>0.35</v>
      </c>
      <c r="Q13" s="57">
        <f t="shared" si="0"/>
        <v>0.35</v>
      </c>
      <c r="R13" s="236">
        <v>14.9</v>
      </c>
      <c r="S13" s="236">
        <v>131</v>
      </c>
      <c r="T13" s="77">
        <f t="shared" si="3"/>
        <v>25</v>
      </c>
      <c r="U13" s="55">
        <v>753</v>
      </c>
      <c r="V13" s="58">
        <f t="shared" si="2"/>
        <v>3137.5</v>
      </c>
      <c r="W13" s="236">
        <v>1</v>
      </c>
      <c r="X13" s="55" t="s">
        <v>46</v>
      </c>
      <c r="Y13" s="55" t="s">
        <v>84</v>
      </c>
      <c r="Z13" s="55" t="s">
        <v>78</v>
      </c>
      <c r="AA13" s="55" t="s">
        <v>90</v>
      </c>
      <c r="AB13" s="55" t="s">
        <v>369</v>
      </c>
      <c r="AE13" s="222" t="s">
        <v>73</v>
      </c>
      <c r="AG13" s="230"/>
      <c r="AH13" s="230"/>
      <c r="AP13" s="65" t="s">
        <v>71</v>
      </c>
      <c r="AR13" s="230" t="s">
        <v>103</v>
      </c>
      <c r="AV13" s="65" t="s">
        <v>75</v>
      </c>
    </row>
    <row r="14" spans="1:53" x14ac:dyDescent="0.15">
      <c r="A14" s="55" t="s">
        <v>41</v>
      </c>
      <c r="B14" s="236" t="s">
        <v>334</v>
      </c>
      <c r="C14" s="152">
        <v>2018</v>
      </c>
      <c r="D14" s="56" t="s">
        <v>355</v>
      </c>
      <c r="E14" s="236" t="s">
        <v>288</v>
      </c>
      <c r="F14" s="55" t="s">
        <v>293</v>
      </c>
      <c r="G14" s="55" t="s">
        <v>42</v>
      </c>
      <c r="H14" s="55" t="s">
        <v>162</v>
      </c>
      <c r="I14" s="55" t="s">
        <v>153</v>
      </c>
      <c r="J14" s="55" t="s">
        <v>38</v>
      </c>
      <c r="K14" s="55" t="s">
        <v>154</v>
      </c>
      <c r="L14" s="236">
        <v>1</v>
      </c>
      <c r="N14" s="55">
        <v>3</v>
      </c>
      <c r="O14" s="55">
        <v>0.45</v>
      </c>
      <c r="P14" s="55">
        <v>0.65</v>
      </c>
      <c r="Q14" s="57">
        <f t="shared" si="0"/>
        <v>0.55000000000000004</v>
      </c>
      <c r="R14" s="236">
        <v>18.7</v>
      </c>
      <c r="S14" s="55">
        <v>134</v>
      </c>
      <c r="T14" s="77">
        <f t="shared" si="3"/>
        <v>25</v>
      </c>
      <c r="U14" s="55">
        <v>537</v>
      </c>
      <c r="V14" s="58">
        <f t="shared" si="2"/>
        <v>4475</v>
      </c>
      <c r="W14" s="236">
        <v>1</v>
      </c>
      <c r="X14" s="55" t="s">
        <v>39</v>
      </c>
      <c r="Y14" s="55" t="s">
        <v>84</v>
      </c>
      <c r="Z14" s="55" t="s">
        <v>90</v>
      </c>
      <c r="AA14" s="55" t="s">
        <v>78</v>
      </c>
      <c r="AB14" s="55" t="s">
        <v>369</v>
      </c>
      <c r="AE14" s="222" t="s">
        <v>76</v>
      </c>
      <c r="AG14" s="230"/>
      <c r="AH14" s="230"/>
      <c r="AP14" s="65" t="s">
        <v>74</v>
      </c>
      <c r="AR14" s="230" t="s">
        <v>125</v>
      </c>
      <c r="AV14" s="65" t="s">
        <v>78</v>
      </c>
    </row>
    <row r="15" spans="1:53" x14ac:dyDescent="0.15">
      <c r="A15" s="55" t="s">
        <v>41</v>
      </c>
      <c r="B15" s="236" t="s">
        <v>334</v>
      </c>
      <c r="C15" s="152">
        <v>2018</v>
      </c>
      <c r="D15" s="56" t="s">
        <v>355</v>
      </c>
      <c r="E15" s="236" t="s">
        <v>288</v>
      </c>
      <c r="F15" s="55" t="s">
        <v>293</v>
      </c>
      <c r="G15" s="55" t="s">
        <v>42</v>
      </c>
      <c r="H15" s="55" t="s">
        <v>162</v>
      </c>
      <c r="I15" s="55" t="s">
        <v>153</v>
      </c>
      <c r="J15" s="55" t="s">
        <v>38</v>
      </c>
      <c r="K15" s="55" t="s">
        <v>154</v>
      </c>
      <c r="L15" s="236">
        <v>2</v>
      </c>
      <c r="N15" s="55">
        <v>3</v>
      </c>
      <c r="O15" s="55">
        <v>0.65</v>
      </c>
      <c r="P15" s="55">
        <v>0.6</v>
      </c>
      <c r="Q15" s="57">
        <f t="shared" si="0"/>
        <v>0.625</v>
      </c>
      <c r="R15" s="236">
        <v>15.6</v>
      </c>
      <c r="S15" s="55">
        <v>137</v>
      </c>
      <c r="T15" s="77">
        <f t="shared" si="3"/>
        <v>25</v>
      </c>
      <c r="U15" s="55">
        <v>537</v>
      </c>
      <c r="V15" s="58">
        <f t="shared" si="2"/>
        <v>4475</v>
      </c>
      <c r="W15" s="236">
        <v>1</v>
      </c>
      <c r="X15" s="55" t="s">
        <v>39</v>
      </c>
      <c r="Y15" s="55" t="s">
        <v>84</v>
      </c>
      <c r="Z15" s="55" t="s">
        <v>90</v>
      </c>
      <c r="AA15" s="55" t="s">
        <v>78</v>
      </c>
      <c r="AB15" s="55" t="s">
        <v>369</v>
      </c>
      <c r="AE15" s="222" t="s">
        <v>79</v>
      </c>
      <c r="AG15" s="230"/>
      <c r="AH15" s="230"/>
      <c r="AP15" s="65" t="s">
        <v>77</v>
      </c>
      <c r="AR15" s="230" t="s">
        <v>94</v>
      </c>
      <c r="AV15" s="65" t="s">
        <v>107</v>
      </c>
    </row>
    <row r="16" spans="1:53" x14ac:dyDescent="0.15">
      <c r="A16" s="55" t="s">
        <v>41</v>
      </c>
      <c r="B16" s="236" t="s">
        <v>334</v>
      </c>
      <c r="C16" s="152">
        <v>2018</v>
      </c>
      <c r="D16" s="56" t="s">
        <v>355</v>
      </c>
      <c r="E16" s="236" t="s">
        <v>288</v>
      </c>
      <c r="F16" s="55" t="s">
        <v>293</v>
      </c>
      <c r="G16" s="55" t="s">
        <v>42</v>
      </c>
      <c r="H16" s="55" t="s">
        <v>162</v>
      </c>
      <c r="I16" s="55" t="s">
        <v>153</v>
      </c>
      <c r="J16" s="55" t="s">
        <v>38</v>
      </c>
      <c r="K16" s="55" t="s">
        <v>154</v>
      </c>
      <c r="L16" s="236">
        <v>3</v>
      </c>
      <c r="N16" s="55">
        <v>3</v>
      </c>
      <c r="O16" s="55">
        <v>0.5</v>
      </c>
      <c r="P16" s="55">
        <v>0.55000000000000004</v>
      </c>
      <c r="Q16" s="57">
        <f t="shared" si="0"/>
        <v>0.52500000000000002</v>
      </c>
      <c r="R16" s="55">
        <v>14.1</v>
      </c>
      <c r="S16" s="55">
        <v>132</v>
      </c>
      <c r="T16" s="77">
        <f t="shared" si="3"/>
        <v>25</v>
      </c>
      <c r="U16" s="55">
        <v>537</v>
      </c>
      <c r="V16" s="58">
        <f t="shared" si="2"/>
        <v>4475</v>
      </c>
      <c r="W16" s="236">
        <v>1</v>
      </c>
      <c r="X16" s="55" t="s">
        <v>39</v>
      </c>
      <c r="Y16" s="55" t="s">
        <v>84</v>
      </c>
      <c r="Z16" s="55" t="s">
        <v>90</v>
      </c>
      <c r="AA16" s="55" t="s">
        <v>78</v>
      </c>
      <c r="AB16" s="55" t="s">
        <v>369</v>
      </c>
      <c r="AE16" s="222" t="s">
        <v>82</v>
      </c>
      <c r="AG16" s="71"/>
      <c r="AH16" s="71"/>
      <c r="AP16" s="65" t="s">
        <v>80</v>
      </c>
      <c r="AR16" s="230" t="s">
        <v>63</v>
      </c>
      <c r="AV16" s="65" t="s">
        <v>84</v>
      </c>
    </row>
    <row r="17" spans="1:49" x14ac:dyDescent="0.15">
      <c r="A17" s="55" t="s">
        <v>41</v>
      </c>
      <c r="B17" s="236" t="s">
        <v>334</v>
      </c>
      <c r="C17" s="152">
        <v>2018</v>
      </c>
      <c r="D17" s="56" t="s">
        <v>355</v>
      </c>
      <c r="E17" s="236" t="s">
        <v>288</v>
      </c>
      <c r="F17" s="236" t="s">
        <v>293</v>
      </c>
      <c r="G17" s="55" t="s">
        <v>42</v>
      </c>
      <c r="H17" s="55" t="s">
        <v>162</v>
      </c>
      <c r="I17" s="55" t="s">
        <v>153</v>
      </c>
      <c r="J17" s="55" t="s">
        <v>38</v>
      </c>
      <c r="K17" s="55" t="s">
        <v>154</v>
      </c>
      <c r="L17" s="236">
        <v>1</v>
      </c>
      <c r="M17" s="55"/>
      <c r="N17" s="55">
        <v>1</v>
      </c>
      <c r="O17" s="55">
        <v>0.75</v>
      </c>
      <c r="P17" s="55">
        <v>0.9</v>
      </c>
      <c r="Q17" s="57">
        <f t="shared" si="0"/>
        <v>0.82499999999999996</v>
      </c>
      <c r="R17" s="236">
        <v>16.8</v>
      </c>
      <c r="S17" s="236">
        <v>125</v>
      </c>
      <c r="T17" s="77">
        <f t="shared" si="3"/>
        <v>27</v>
      </c>
      <c r="U17" s="55">
        <v>148</v>
      </c>
      <c r="V17" s="78">
        <f t="shared" si="2"/>
        <v>3996</v>
      </c>
      <c r="W17" s="55">
        <v>1</v>
      </c>
      <c r="X17" s="55" t="s">
        <v>39</v>
      </c>
      <c r="Y17" s="55" t="s">
        <v>84</v>
      </c>
      <c r="Z17" s="55" t="s">
        <v>90</v>
      </c>
      <c r="AA17" s="55" t="s">
        <v>78</v>
      </c>
      <c r="AB17" s="55" t="s">
        <v>369</v>
      </c>
      <c r="AE17" s="222" t="s">
        <v>85</v>
      </c>
      <c r="AP17" s="238" t="s">
        <v>110</v>
      </c>
      <c r="AR17" s="230" t="s">
        <v>96</v>
      </c>
      <c r="AV17" s="65" t="s">
        <v>86</v>
      </c>
    </row>
    <row r="18" spans="1:49" x14ac:dyDescent="0.15">
      <c r="A18" s="55" t="s">
        <v>41</v>
      </c>
      <c r="B18" s="236" t="s">
        <v>334</v>
      </c>
      <c r="C18" s="152">
        <v>2018</v>
      </c>
      <c r="D18" s="56" t="s">
        <v>355</v>
      </c>
      <c r="E18" s="236" t="s">
        <v>288</v>
      </c>
      <c r="F18" s="55" t="s">
        <v>293</v>
      </c>
      <c r="G18" s="55" t="s">
        <v>42</v>
      </c>
      <c r="H18" s="55" t="s">
        <v>162</v>
      </c>
      <c r="I18" s="55" t="s">
        <v>153</v>
      </c>
      <c r="J18" s="55" t="s">
        <v>38</v>
      </c>
      <c r="K18" s="55" t="s">
        <v>154</v>
      </c>
      <c r="L18" s="236">
        <v>2</v>
      </c>
      <c r="N18" s="55">
        <v>1</v>
      </c>
      <c r="O18" s="55">
        <v>0.75</v>
      </c>
      <c r="P18" s="55">
        <v>0.75</v>
      </c>
      <c r="Q18" s="57">
        <f t="shared" si="0"/>
        <v>0.75</v>
      </c>
      <c r="R18" s="236">
        <v>17.2</v>
      </c>
      <c r="S18" s="236">
        <v>124</v>
      </c>
      <c r="T18" s="77">
        <f t="shared" si="3"/>
        <v>27</v>
      </c>
      <c r="U18" s="55">
        <v>148</v>
      </c>
      <c r="V18" s="58">
        <f t="shared" si="2"/>
        <v>3996</v>
      </c>
      <c r="W18" s="236">
        <v>1</v>
      </c>
      <c r="X18" s="55" t="s">
        <v>39</v>
      </c>
      <c r="Y18" s="55" t="s">
        <v>84</v>
      </c>
      <c r="Z18" s="55" t="s">
        <v>90</v>
      </c>
      <c r="AA18" s="55" t="s">
        <v>78</v>
      </c>
      <c r="AB18" s="55" t="s">
        <v>369</v>
      </c>
      <c r="AE18" s="222" t="s">
        <v>87</v>
      </c>
      <c r="AP18" s="238" t="s">
        <v>111</v>
      </c>
      <c r="AR18" s="230" t="s">
        <v>101</v>
      </c>
      <c r="AV18" s="65" t="s">
        <v>88</v>
      </c>
    </row>
    <row r="19" spans="1:49" x14ac:dyDescent="0.15">
      <c r="A19" s="55" t="s">
        <v>41</v>
      </c>
      <c r="B19" s="236" t="s">
        <v>334</v>
      </c>
      <c r="C19" s="152">
        <v>2018</v>
      </c>
      <c r="D19" s="56" t="s">
        <v>355</v>
      </c>
      <c r="E19" s="236" t="s">
        <v>288</v>
      </c>
      <c r="F19" s="55" t="s">
        <v>293</v>
      </c>
      <c r="G19" s="55" t="s">
        <v>42</v>
      </c>
      <c r="H19" s="55" t="s">
        <v>162</v>
      </c>
      <c r="I19" s="55" t="s">
        <v>153</v>
      </c>
      <c r="J19" s="55" t="s">
        <v>38</v>
      </c>
      <c r="K19" s="55" t="s">
        <v>154</v>
      </c>
      <c r="L19" s="236">
        <v>3</v>
      </c>
      <c r="N19" s="55">
        <v>1</v>
      </c>
      <c r="O19" s="55">
        <v>0.65</v>
      </c>
      <c r="P19" s="55">
        <v>0.5</v>
      </c>
      <c r="Q19" s="57">
        <f t="shared" si="0"/>
        <v>0.57499999999999996</v>
      </c>
      <c r="R19" s="236">
        <v>15.9</v>
      </c>
      <c r="S19" s="236">
        <v>121</v>
      </c>
      <c r="T19" s="77">
        <f t="shared" si="3"/>
        <v>27</v>
      </c>
      <c r="U19" s="55">
        <v>148</v>
      </c>
      <c r="V19" s="58">
        <f t="shared" si="2"/>
        <v>3996</v>
      </c>
      <c r="W19" s="236">
        <v>1</v>
      </c>
      <c r="X19" s="55" t="s">
        <v>39</v>
      </c>
      <c r="Y19" s="55" t="s">
        <v>84</v>
      </c>
      <c r="Z19" s="55" t="s">
        <v>90</v>
      </c>
      <c r="AA19" s="55" t="s">
        <v>78</v>
      </c>
      <c r="AB19" s="55" t="s">
        <v>369</v>
      </c>
      <c r="AE19" s="235" t="s">
        <v>89</v>
      </c>
      <c r="AP19" s="238" t="s">
        <v>112</v>
      </c>
      <c r="AR19" s="230" t="s">
        <v>126</v>
      </c>
      <c r="AV19" s="65" t="s">
        <v>90</v>
      </c>
    </row>
    <row r="20" spans="1:49" x14ac:dyDescent="0.15">
      <c r="A20" s="55" t="s">
        <v>41</v>
      </c>
      <c r="B20" s="236" t="s">
        <v>334</v>
      </c>
      <c r="C20" s="152">
        <v>2018</v>
      </c>
      <c r="D20" s="56" t="s">
        <v>355</v>
      </c>
      <c r="E20" s="236" t="s">
        <v>288</v>
      </c>
      <c r="F20" s="236" t="s">
        <v>293</v>
      </c>
      <c r="G20" s="55" t="s">
        <v>42</v>
      </c>
      <c r="H20" s="55" t="s">
        <v>155</v>
      </c>
      <c r="I20" s="55" t="s">
        <v>153</v>
      </c>
      <c r="J20" s="55" t="s">
        <v>38</v>
      </c>
      <c r="K20" s="55" t="s">
        <v>154</v>
      </c>
      <c r="L20" s="236">
        <v>1</v>
      </c>
      <c r="M20" s="55"/>
      <c r="N20" s="55">
        <v>1</v>
      </c>
      <c r="O20" s="55">
        <v>1</v>
      </c>
      <c r="P20" s="55">
        <v>0.95</v>
      </c>
      <c r="Q20" s="57">
        <f t="shared" si="0"/>
        <v>0.97499999999999998</v>
      </c>
      <c r="R20" s="236">
        <v>15.6</v>
      </c>
      <c r="S20" s="236">
        <v>130</v>
      </c>
      <c r="T20" s="77">
        <f t="shared" si="3"/>
        <v>25</v>
      </c>
      <c r="U20" s="55">
        <v>105</v>
      </c>
      <c r="V20" s="78">
        <f t="shared" si="2"/>
        <v>2625</v>
      </c>
      <c r="W20" s="55">
        <v>3</v>
      </c>
      <c r="X20" s="55" t="s">
        <v>39</v>
      </c>
      <c r="Y20" s="55" t="s">
        <v>84</v>
      </c>
      <c r="Z20" s="55" t="s">
        <v>90</v>
      </c>
      <c r="AA20" s="55" t="s">
        <v>78</v>
      </c>
      <c r="AB20" s="55" t="s">
        <v>369</v>
      </c>
      <c r="AE20" s="235"/>
      <c r="AP20" s="238" t="s">
        <v>113</v>
      </c>
      <c r="AR20" s="230" t="s">
        <v>105</v>
      </c>
      <c r="AV20" s="69" t="s">
        <v>366</v>
      </c>
    </row>
    <row r="21" spans="1:49" x14ac:dyDescent="0.15">
      <c r="A21" s="55" t="s">
        <v>41</v>
      </c>
      <c r="B21" s="236" t="s">
        <v>334</v>
      </c>
      <c r="C21" s="152">
        <v>2018</v>
      </c>
      <c r="D21" s="56" t="s">
        <v>355</v>
      </c>
      <c r="E21" s="236" t="s">
        <v>288</v>
      </c>
      <c r="F21" s="236" t="s">
        <v>293</v>
      </c>
      <c r="G21" s="55" t="s">
        <v>42</v>
      </c>
      <c r="H21" s="55" t="s">
        <v>155</v>
      </c>
      <c r="I21" s="55" t="s">
        <v>153</v>
      </c>
      <c r="J21" s="55" t="s">
        <v>38</v>
      </c>
      <c r="K21" s="55" t="s">
        <v>154</v>
      </c>
      <c r="L21" s="236">
        <v>2</v>
      </c>
      <c r="N21" s="55">
        <v>1</v>
      </c>
      <c r="O21" s="55">
        <v>0.95</v>
      </c>
      <c r="P21" s="55">
        <v>1.1000000000000001</v>
      </c>
      <c r="Q21" s="57">
        <f t="shared" si="0"/>
        <v>1.0249999999999999</v>
      </c>
      <c r="R21" s="236">
        <v>16.8</v>
      </c>
      <c r="S21" s="236">
        <v>125</v>
      </c>
      <c r="T21" s="77">
        <f t="shared" si="3"/>
        <v>27</v>
      </c>
      <c r="U21" s="55">
        <v>105</v>
      </c>
      <c r="V21" s="58">
        <f t="shared" si="2"/>
        <v>2835</v>
      </c>
      <c r="W21" s="236">
        <v>3</v>
      </c>
      <c r="X21" s="55" t="s">
        <v>39</v>
      </c>
      <c r="Y21" s="55" t="s">
        <v>84</v>
      </c>
      <c r="Z21" s="55" t="s">
        <v>90</v>
      </c>
      <c r="AA21" s="55" t="s">
        <v>78</v>
      </c>
      <c r="AB21" s="55" t="s">
        <v>369</v>
      </c>
      <c r="AE21" s="243"/>
      <c r="AP21" s="238" t="s">
        <v>114</v>
      </c>
      <c r="AR21" s="230" t="s">
        <v>68</v>
      </c>
      <c r="AV21" s="69" t="s">
        <v>367</v>
      </c>
    </row>
    <row r="22" spans="1:49" x14ac:dyDescent="0.15">
      <c r="A22" s="55" t="s">
        <v>41</v>
      </c>
      <c r="B22" s="236" t="s">
        <v>334</v>
      </c>
      <c r="C22" s="152">
        <v>2018</v>
      </c>
      <c r="D22" s="56" t="s">
        <v>355</v>
      </c>
      <c r="E22" s="236" t="s">
        <v>288</v>
      </c>
      <c r="F22" s="236" t="s">
        <v>293</v>
      </c>
      <c r="G22" s="55" t="s">
        <v>42</v>
      </c>
      <c r="H22" s="55" t="s">
        <v>155</v>
      </c>
      <c r="I22" s="55" t="s">
        <v>153</v>
      </c>
      <c r="J22" s="55" t="s">
        <v>38</v>
      </c>
      <c r="K22" s="55" t="s">
        <v>154</v>
      </c>
      <c r="L22" s="236">
        <v>3</v>
      </c>
      <c r="N22" s="55">
        <v>1</v>
      </c>
      <c r="O22" s="55">
        <v>1</v>
      </c>
      <c r="P22" s="55">
        <v>1.2</v>
      </c>
      <c r="Q22" s="57">
        <f t="shared" si="0"/>
        <v>1.1000000000000001</v>
      </c>
      <c r="R22" s="236">
        <v>15.8</v>
      </c>
      <c r="S22" s="236">
        <v>126</v>
      </c>
      <c r="T22" s="77">
        <f t="shared" si="3"/>
        <v>27</v>
      </c>
      <c r="U22" s="55">
        <v>105</v>
      </c>
      <c r="V22" s="58">
        <f t="shared" si="2"/>
        <v>2835</v>
      </c>
      <c r="W22" s="236">
        <v>3</v>
      </c>
      <c r="X22" s="55" t="s">
        <v>39</v>
      </c>
      <c r="Y22" s="55" t="s">
        <v>84</v>
      </c>
      <c r="Z22" s="55" t="s">
        <v>90</v>
      </c>
      <c r="AA22" s="55" t="s">
        <v>78</v>
      </c>
      <c r="AB22" s="55" t="s">
        <v>369</v>
      </c>
      <c r="AP22" s="238" t="s">
        <v>115</v>
      </c>
      <c r="AR22" s="230" t="s">
        <v>83</v>
      </c>
      <c r="AV22" s="69"/>
    </row>
    <row r="23" spans="1:49" x14ac:dyDescent="0.15">
      <c r="A23" s="55" t="s">
        <v>41</v>
      </c>
      <c r="B23" s="236" t="s">
        <v>334</v>
      </c>
      <c r="C23" s="152">
        <v>2018</v>
      </c>
      <c r="D23" s="56" t="s">
        <v>355</v>
      </c>
      <c r="E23" s="236" t="s">
        <v>288</v>
      </c>
      <c r="F23" s="236" t="s">
        <v>293</v>
      </c>
      <c r="G23" s="55" t="s">
        <v>42</v>
      </c>
      <c r="H23" s="55" t="s">
        <v>155</v>
      </c>
      <c r="I23" s="55" t="s">
        <v>153</v>
      </c>
      <c r="J23" s="55" t="s">
        <v>38</v>
      </c>
      <c r="K23" s="55" t="s">
        <v>154</v>
      </c>
      <c r="L23" s="236">
        <v>1</v>
      </c>
      <c r="M23" s="55"/>
      <c r="N23" s="55">
        <v>3</v>
      </c>
      <c r="O23" s="236">
        <v>0.75</v>
      </c>
      <c r="P23" s="236">
        <v>0.65</v>
      </c>
      <c r="Q23" s="57">
        <f t="shared" si="0"/>
        <v>0.7</v>
      </c>
      <c r="R23" s="236">
        <v>13.7</v>
      </c>
      <c r="S23" s="55">
        <v>131</v>
      </c>
      <c r="T23" s="77">
        <f t="shared" ref="T23:T86" si="4">IF(H23="","",IF(OR(H23="GREEN",H23="GK"),IF(S23&gt;=$AX$2,VLOOKUP(S23,$AX$2:$AY$10,2,1),""),IF(S23&gt;=$AZ$2,VLOOKUP(S23,$AZ$2:$BA$10,2,1),"")))</f>
        <v>25</v>
      </c>
      <c r="U23" s="55">
        <v>428</v>
      </c>
      <c r="V23" s="78">
        <f t="shared" si="2"/>
        <v>3566.6666666666665</v>
      </c>
      <c r="W23" s="55">
        <v>1</v>
      </c>
      <c r="X23" s="55" t="s">
        <v>39</v>
      </c>
      <c r="Y23" s="55" t="s">
        <v>84</v>
      </c>
      <c r="Z23" s="55" t="s">
        <v>90</v>
      </c>
      <c r="AA23" s="55" t="s">
        <v>78</v>
      </c>
      <c r="AB23" s="55" t="s">
        <v>369</v>
      </c>
      <c r="AP23" s="238" t="s">
        <v>117</v>
      </c>
      <c r="AR23" s="243" t="s">
        <v>287</v>
      </c>
      <c r="AV23" s="243"/>
    </row>
    <row r="24" spans="1:49" x14ac:dyDescent="0.15">
      <c r="A24" s="55" t="s">
        <v>41</v>
      </c>
      <c r="B24" s="236" t="s">
        <v>334</v>
      </c>
      <c r="C24" s="152">
        <v>2018</v>
      </c>
      <c r="D24" s="56" t="s">
        <v>355</v>
      </c>
      <c r="E24" s="236" t="s">
        <v>288</v>
      </c>
      <c r="F24" s="236" t="s">
        <v>293</v>
      </c>
      <c r="G24" s="55" t="s">
        <v>42</v>
      </c>
      <c r="H24" s="55" t="s">
        <v>155</v>
      </c>
      <c r="I24" s="55" t="s">
        <v>153</v>
      </c>
      <c r="J24" s="55" t="s">
        <v>38</v>
      </c>
      <c r="K24" s="55" t="s">
        <v>154</v>
      </c>
      <c r="L24" s="236">
        <v>2</v>
      </c>
      <c r="N24" s="55">
        <v>3</v>
      </c>
      <c r="O24" s="236">
        <v>0.65</v>
      </c>
      <c r="P24" s="236">
        <v>0.7</v>
      </c>
      <c r="Q24" s="57">
        <f t="shared" si="0"/>
        <v>0.67500000000000004</v>
      </c>
      <c r="R24" s="236">
        <v>14.4</v>
      </c>
      <c r="S24" s="55">
        <v>130</v>
      </c>
      <c r="T24" s="77">
        <f t="shared" si="4"/>
        <v>25</v>
      </c>
      <c r="U24" s="55">
        <v>428</v>
      </c>
      <c r="V24" s="58">
        <f t="shared" si="2"/>
        <v>3566.6666666666665</v>
      </c>
      <c r="W24" s="236">
        <v>1</v>
      </c>
      <c r="X24" s="55" t="s">
        <v>39</v>
      </c>
      <c r="Y24" s="55" t="s">
        <v>84</v>
      </c>
      <c r="Z24" s="55" t="s">
        <v>90</v>
      </c>
      <c r="AA24" s="55" t="s">
        <v>78</v>
      </c>
      <c r="AB24" s="55" t="s">
        <v>369</v>
      </c>
      <c r="AP24" s="238" t="s">
        <v>118</v>
      </c>
    </row>
    <row r="25" spans="1:49" x14ac:dyDescent="0.15">
      <c r="A25" s="55" t="s">
        <v>41</v>
      </c>
      <c r="B25" s="236" t="s">
        <v>334</v>
      </c>
      <c r="C25" s="152">
        <v>2018</v>
      </c>
      <c r="D25" s="56" t="s">
        <v>355</v>
      </c>
      <c r="E25" s="236" t="s">
        <v>288</v>
      </c>
      <c r="F25" s="236" t="s">
        <v>293</v>
      </c>
      <c r="G25" s="55" t="s">
        <v>42</v>
      </c>
      <c r="H25" s="55" t="s">
        <v>155</v>
      </c>
      <c r="I25" s="55" t="s">
        <v>153</v>
      </c>
      <c r="J25" s="55" t="s">
        <v>38</v>
      </c>
      <c r="K25" s="55" t="s">
        <v>154</v>
      </c>
      <c r="L25" s="236">
        <v>3</v>
      </c>
      <c r="N25" s="55">
        <v>3</v>
      </c>
      <c r="O25" s="236">
        <v>0.7</v>
      </c>
      <c r="P25" s="236">
        <v>0.5</v>
      </c>
      <c r="Q25" s="57">
        <f t="shared" si="0"/>
        <v>0.6</v>
      </c>
      <c r="R25" s="236">
        <v>13.1</v>
      </c>
      <c r="S25" s="55">
        <v>128</v>
      </c>
      <c r="T25" s="77">
        <f t="shared" si="4"/>
        <v>27</v>
      </c>
      <c r="U25" s="55">
        <v>428</v>
      </c>
      <c r="V25" s="58">
        <f t="shared" si="2"/>
        <v>3851.9999999999995</v>
      </c>
      <c r="W25" s="236">
        <v>1</v>
      </c>
      <c r="X25" s="55" t="s">
        <v>39</v>
      </c>
      <c r="Y25" s="55" t="s">
        <v>84</v>
      </c>
      <c r="Z25" s="55" t="s">
        <v>90</v>
      </c>
      <c r="AA25" s="55" t="s">
        <v>78</v>
      </c>
      <c r="AB25" s="55" t="s">
        <v>369</v>
      </c>
    </row>
    <row r="26" spans="1:49" x14ac:dyDescent="0.15">
      <c r="A26" s="55" t="s">
        <v>41</v>
      </c>
      <c r="B26" s="236" t="s">
        <v>334</v>
      </c>
      <c r="C26" s="152">
        <v>2018</v>
      </c>
      <c r="D26" s="56" t="s">
        <v>355</v>
      </c>
      <c r="E26" s="236" t="s">
        <v>288</v>
      </c>
      <c r="F26" s="236" t="s">
        <v>293</v>
      </c>
      <c r="G26" s="55" t="s">
        <v>42</v>
      </c>
      <c r="H26" s="55" t="s">
        <v>155</v>
      </c>
      <c r="I26" s="55" t="s">
        <v>153</v>
      </c>
      <c r="J26" s="55" t="s">
        <v>38</v>
      </c>
      <c r="K26" s="55" t="s">
        <v>154</v>
      </c>
      <c r="L26" s="236">
        <v>1</v>
      </c>
      <c r="M26" s="55"/>
      <c r="N26" s="55">
        <v>8</v>
      </c>
      <c r="O26" s="236">
        <v>0.65</v>
      </c>
      <c r="P26" s="236">
        <v>0.65</v>
      </c>
      <c r="Q26" s="57">
        <f t="shared" si="0"/>
        <v>0.65</v>
      </c>
      <c r="R26" s="55">
        <v>14.1</v>
      </c>
      <c r="S26" s="55">
        <v>104</v>
      </c>
      <c r="T26" s="77">
        <f t="shared" si="4"/>
        <v>33</v>
      </c>
      <c r="U26" s="55">
        <v>626</v>
      </c>
      <c r="V26" s="78">
        <f t="shared" si="2"/>
        <v>2582.25</v>
      </c>
      <c r="W26" s="55">
        <v>2</v>
      </c>
      <c r="X26" s="55" t="s">
        <v>39</v>
      </c>
      <c r="Y26" s="55" t="s">
        <v>84</v>
      </c>
      <c r="Z26" s="55" t="s">
        <v>90</v>
      </c>
      <c r="AA26" s="55" t="s">
        <v>78</v>
      </c>
      <c r="AB26" s="55" t="s">
        <v>369</v>
      </c>
    </row>
    <row r="27" spans="1:49" x14ac:dyDescent="0.15">
      <c r="A27" s="55" t="s">
        <v>41</v>
      </c>
      <c r="B27" s="236" t="s">
        <v>334</v>
      </c>
      <c r="C27" s="152">
        <v>2018</v>
      </c>
      <c r="D27" s="56" t="s">
        <v>355</v>
      </c>
      <c r="E27" s="236" t="s">
        <v>288</v>
      </c>
      <c r="F27" s="236" t="s">
        <v>293</v>
      </c>
      <c r="G27" s="55" t="s">
        <v>42</v>
      </c>
      <c r="H27" s="55" t="s">
        <v>155</v>
      </c>
      <c r="I27" s="55" t="s">
        <v>153</v>
      </c>
      <c r="J27" s="55" t="s">
        <v>38</v>
      </c>
      <c r="K27" s="55" t="s">
        <v>154</v>
      </c>
      <c r="L27" s="236">
        <v>2</v>
      </c>
      <c r="N27" s="55">
        <v>8</v>
      </c>
      <c r="O27" s="55">
        <v>0.7</v>
      </c>
      <c r="P27" s="55">
        <v>0.7</v>
      </c>
      <c r="Q27" s="57">
        <f t="shared" si="0"/>
        <v>0.7</v>
      </c>
      <c r="R27" s="236">
        <v>15.1</v>
      </c>
      <c r="S27" s="236">
        <v>105</v>
      </c>
      <c r="T27" s="77">
        <f t="shared" si="4"/>
        <v>33</v>
      </c>
      <c r="U27" s="55">
        <v>626</v>
      </c>
      <c r="V27" s="78">
        <f t="shared" si="2"/>
        <v>2582.25</v>
      </c>
      <c r="W27" s="55">
        <v>2</v>
      </c>
      <c r="X27" s="55" t="s">
        <v>39</v>
      </c>
      <c r="Y27" s="55" t="s">
        <v>84</v>
      </c>
      <c r="Z27" s="55" t="s">
        <v>90</v>
      </c>
      <c r="AA27" s="55" t="s">
        <v>78</v>
      </c>
      <c r="AB27" s="55" t="s">
        <v>369</v>
      </c>
      <c r="AE27" s="252"/>
      <c r="AF27" s="252"/>
      <c r="AG27" s="252"/>
      <c r="AH27" s="252"/>
      <c r="AI27" s="252"/>
      <c r="AJ27" s="252"/>
      <c r="AK27" s="252"/>
      <c r="AL27" s="252"/>
      <c r="AM27" s="252"/>
      <c r="AN27" s="252"/>
      <c r="AO27" s="252"/>
      <c r="AP27" s="252"/>
      <c r="AQ27" s="252"/>
      <c r="AR27" s="252"/>
      <c r="AS27" s="252"/>
      <c r="AT27" s="252"/>
      <c r="AU27" s="252"/>
      <c r="AV27" s="252"/>
      <c r="AW27" s="252"/>
    </row>
    <row r="28" spans="1:49" x14ac:dyDescent="0.15">
      <c r="A28" s="55" t="s">
        <v>41</v>
      </c>
      <c r="B28" s="236" t="s">
        <v>334</v>
      </c>
      <c r="C28" s="152">
        <v>2018</v>
      </c>
      <c r="D28" s="56" t="s">
        <v>355</v>
      </c>
      <c r="E28" s="236" t="s">
        <v>288</v>
      </c>
      <c r="F28" s="236" t="s">
        <v>293</v>
      </c>
      <c r="G28" s="55" t="s">
        <v>42</v>
      </c>
      <c r="H28" s="55" t="s">
        <v>155</v>
      </c>
      <c r="I28" s="55" t="s">
        <v>153</v>
      </c>
      <c r="J28" s="55" t="s">
        <v>38</v>
      </c>
      <c r="K28" s="55" t="s">
        <v>154</v>
      </c>
      <c r="L28" s="236">
        <v>3</v>
      </c>
      <c r="N28" s="55">
        <v>8</v>
      </c>
      <c r="O28" s="55">
        <v>0.8</v>
      </c>
      <c r="P28" s="55">
        <v>0.7</v>
      </c>
      <c r="Q28" s="57">
        <f t="shared" si="0"/>
        <v>0.75</v>
      </c>
      <c r="R28" s="236">
        <v>14.8</v>
      </c>
      <c r="S28" s="236">
        <v>102</v>
      </c>
      <c r="T28" s="77">
        <f t="shared" si="4"/>
        <v>33</v>
      </c>
      <c r="U28" s="55">
        <v>626</v>
      </c>
      <c r="V28" s="78">
        <f t="shared" si="2"/>
        <v>2582.25</v>
      </c>
      <c r="W28" s="236">
        <v>2</v>
      </c>
      <c r="X28" s="55" t="s">
        <v>39</v>
      </c>
      <c r="Y28" s="55" t="s">
        <v>84</v>
      </c>
      <c r="Z28" s="55" t="s">
        <v>90</v>
      </c>
      <c r="AA28" s="55" t="s">
        <v>78</v>
      </c>
      <c r="AB28" s="55" t="s">
        <v>369</v>
      </c>
      <c r="AE28" s="252"/>
      <c r="AF28" s="252"/>
      <c r="AG28" s="252"/>
      <c r="AH28" s="252"/>
      <c r="AI28" s="252"/>
      <c r="AJ28" s="252"/>
      <c r="AK28" s="252"/>
      <c r="AL28" s="252"/>
      <c r="AM28" s="252"/>
      <c r="AN28" s="252"/>
      <c r="AO28" s="252"/>
      <c r="AP28" s="252"/>
      <c r="AQ28" s="252"/>
      <c r="AR28" s="252"/>
      <c r="AS28" s="252"/>
      <c r="AT28" s="252"/>
      <c r="AU28" s="252"/>
      <c r="AV28" s="252"/>
      <c r="AW28" s="252"/>
    </row>
    <row r="29" spans="1:49" x14ac:dyDescent="0.15">
      <c r="A29" s="55" t="s">
        <v>41</v>
      </c>
      <c r="B29" s="236" t="s">
        <v>334</v>
      </c>
      <c r="C29" s="152">
        <v>2018</v>
      </c>
      <c r="D29" s="56" t="s">
        <v>355</v>
      </c>
      <c r="E29" s="236" t="s">
        <v>288</v>
      </c>
      <c r="F29" s="236" t="s">
        <v>293</v>
      </c>
      <c r="G29" s="55" t="s">
        <v>42</v>
      </c>
      <c r="H29" s="55" t="s">
        <v>162</v>
      </c>
      <c r="I29" s="55" t="s">
        <v>153</v>
      </c>
      <c r="J29" s="55" t="s">
        <v>38</v>
      </c>
      <c r="K29" s="55" t="s">
        <v>154</v>
      </c>
      <c r="L29" s="236">
        <v>1</v>
      </c>
      <c r="N29" s="55">
        <v>6</v>
      </c>
      <c r="O29" s="55">
        <v>0.25</v>
      </c>
      <c r="P29" s="55">
        <v>0.35</v>
      </c>
      <c r="Q29" s="57">
        <f t="shared" si="0"/>
        <v>0.3</v>
      </c>
      <c r="R29" s="236">
        <v>16.100000000000001</v>
      </c>
      <c r="S29" s="55">
        <v>144</v>
      </c>
      <c r="T29" s="77">
        <f t="shared" si="4"/>
        <v>22</v>
      </c>
      <c r="U29" s="55">
        <v>540</v>
      </c>
      <c r="V29" s="58">
        <f t="shared" si="2"/>
        <v>1980</v>
      </c>
      <c r="W29" s="236">
        <v>1</v>
      </c>
      <c r="X29" s="55" t="s">
        <v>46</v>
      </c>
      <c r="Y29" s="55" t="s">
        <v>84</v>
      </c>
      <c r="Z29" s="55" t="s">
        <v>90</v>
      </c>
      <c r="AA29" s="55" t="s">
        <v>78</v>
      </c>
      <c r="AB29" s="55" t="s">
        <v>369</v>
      </c>
    </row>
    <row r="30" spans="1:49" x14ac:dyDescent="0.15">
      <c r="A30" s="55" t="s">
        <v>41</v>
      </c>
      <c r="B30" s="236" t="s">
        <v>334</v>
      </c>
      <c r="C30" s="152">
        <v>2018</v>
      </c>
      <c r="D30" s="56" t="s">
        <v>355</v>
      </c>
      <c r="E30" s="236" t="s">
        <v>288</v>
      </c>
      <c r="F30" s="236" t="s">
        <v>293</v>
      </c>
      <c r="G30" s="55" t="s">
        <v>42</v>
      </c>
      <c r="H30" s="55" t="s">
        <v>162</v>
      </c>
      <c r="I30" s="55" t="s">
        <v>153</v>
      </c>
      <c r="J30" s="55" t="s">
        <v>38</v>
      </c>
      <c r="K30" s="55" t="s">
        <v>154</v>
      </c>
      <c r="L30" s="236">
        <v>2</v>
      </c>
      <c r="M30" s="55"/>
      <c r="N30" s="55">
        <v>6</v>
      </c>
      <c r="O30" s="55">
        <v>0.25</v>
      </c>
      <c r="P30" s="55">
        <v>0.3</v>
      </c>
      <c r="Q30" s="57">
        <f t="shared" si="0"/>
        <v>0.27500000000000002</v>
      </c>
      <c r="R30" s="236">
        <v>15</v>
      </c>
      <c r="S30" s="55">
        <v>140</v>
      </c>
      <c r="T30" s="77">
        <f t="shared" si="4"/>
        <v>22</v>
      </c>
      <c r="U30" s="55">
        <v>540</v>
      </c>
      <c r="V30" s="78">
        <f t="shared" si="2"/>
        <v>1980</v>
      </c>
      <c r="W30" s="55">
        <v>1</v>
      </c>
      <c r="X30" s="55" t="s">
        <v>46</v>
      </c>
      <c r="Y30" s="55" t="s">
        <v>84</v>
      </c>
      <c r="Z30" s="55" t="s">
        <v>90</v>
      </c>
      <c r="AA30" s="55" t="s">
        <v>78</v>
      </c>
      <c r="AB30" s="55" t="s">
        <v>369</v>
      </c>
      <c r="AE30" s="252"/>
      <c r="AF30" s="252"/>
      <c r="AG30" s="252"/>
      <c r="AH30" s="252"/>
      <c r="AI30" s="252"/>
      <c r="AJ30" s="252"/>
      <c r="AK30" s="252"/>
      <c r="AL30" s="252"/>
      <c r="AM30" s="252"/>
      <c r="AN30" s="252"/>
      <c r="AO30" s="252"/>
      <c r="AP30" s="252"/>
      <c r="AQ30" s="252"/>
      <c r="AR30" s="252"/>
      <c r="AS30" s="252"/>
      <c r="AT30" s="252"/>
      <c r="AU30" s="252"/>
      <c r="AV30" s="252"/>
      <c r="AW30" s="252"/>
    </row>
    <row r="31" spans="1:49" x14ac:dyDescent="0.15">
      <c r="A31" s="55" t="s">
        <v>41</v>
      </c>
      <c r="B31" s="236" t="s">
        <v>334</v>
      </c>
      <c r="C31" s="152">
        <v>2018</v>
      </c>
      <c r="D31" s="56" t="s">
        <v>355</v>
      </c>
      <c r="E31" s="236" t="s">
        <v>288</v>
      </c>
      <c r="F31" s="236" t="s">
        <v>293</v>
      </c>
      <c r="G31" s="55" t="s">
        <v>42</v>
      </c>
      <c r="H31" s="55" t="s">
        <v>162</v>
      </c>
      <c r="I31" s="55" t="s">
        <v>153</v>
      </c>
      <c r="J31" s="55" t="s">
        <v>38</v>
      </c>
      <c r="K31" s="55" t="s">
        <v>154</v>
      </c>
      <c r="L31" s="236">
        <v>3</v>
      </c>
      <c r="N31" s="55">
        <v>6</v>
      </c>
      <c r="O31" s="55">
        <v>0.25</v>
      </c>
      <c r="P31" s="55">
        <v>0.35</v>
      </c>
      <c r="Q31" s="57">
        <f t="shared" si="0"/>
        <v>0.3</v>
      </c>
      <c r="R31" s="236">
        <v>17.8</v>
      </c>
      <c r="S31" s="55">
        <v>145</v>
      </c>
      <c r="T31" s="77">
        <f t="shared" si="4"/>
        <v>22</v>
      </c>
      <c r="U31" s="55">
        <v>540</v>
      </c>
      <c r="V31" s="58">
        <f t="shared" si="2"/>
        <v>1980</v>
      </c>
      <c r="W31" s="236">
        <v>1</v>
      </c>
      <c r="X31" s="55" t="s">
        <v>46</v>
      </c>
      <c r="Y31" s="55" t="s">
        <v>84</v>
      </c>
      <c r="Z31" s="55" t="s">
        <v>90</v>
      </c>
      <c r="AA31" s="55" t="s">
        <v>78</v>
      </c>
      <c r="AB31" s="55" t="s">
        <v>369</v>
      </c>
      <c r="AE31" s="252"/>
      <c r="AF31" s="252"/>
      <c r="AG31" s="252"/>
      <c r="AH31" s="252"/>
      <c r="AI31" s="252"/>
      <c r="AJ31" s="252"/>
      <c r="AK31" s="252"/>
      <c r="AL31" s="252"/>
      <c r="AM31" s="252"/>
      <c r="AN31" s="252"/>
      <c r="AO31" s="252"/>
      <c r="AP31" s="252"/>
      <c r="AQ31" s="252"/>
      <c r="AR31" s="252"/>
      <c r="AS31" s="252"/>
      <c r="AT31" s="252"/>
      <c r="AU31" s="252"/>
      <c r="AV31" s="252"/>
      <c r="AW31" s="252"/>
    </row>
    <row r="32" spans="1:49" x14ac:dyDescent="0.15">
      <c r="A32" s="55" t="s">
        <v>41</v>
      </c>
      <c r="B32" s="236" t="s">
        <v>334</v>
      </c>
      <c r="C32" s="152">
        <v>2018</v>
      </c>
      <c r="D32" s="56" t="s">
        <v>355</v>
      </c>
      <c r="E32" s="236" t="s">
        <v>288</v>
      </c>
      <c r="F32" s="236" t="s">
        <v>293</v>
      </c>
      <c r="G32" s="55" t="s">
        <v>42</v>
      </c>
      <c r="H32" s="55" t="s">
        <v>129</v>
      </c>
      <c r="I32" s="55" t="s">
        <v>153</v>
      </c>
      <c r="J32" s="55" t="s">
        <v>58</v>
      </c>
      <c r="K32" s="55" t="s">
        <v>59</v>
      </c>
      <c r="L32" s="236">
        <v>1</v>
      </c>
      <c r="N32" s="55">
        <v>5</v>
      </c>
      <c r="O32" s="55">
        <v>0.25</v>
      </c>
      <c r="P32" s="55">
        <v>0.25</v>
      </c>
      <c r="Q32" s="57">
        <f t="shared" si="0"/>
        <v>0.25</v>
      </c>
      <c r="R32" s="236">
        <v>15.5</v>
      </c>
      <c r="S32" s="55">
        <v>86</v>
      </c>
      <c r="T32" s="77">
        <f t="shared" si="4"/>
        <v>36</v>
      </c>
      <c r="U32" s="55">
        <v>537</v>
      </c>
      <c r="V32" s="58">
        <f t="shared" si="2"/>
        <v>3866.4</v>
      </c>
      <c r="W32" s="236">
        <v>1</v>
      </c>
      <c r="X32" s="55" t="s">
        <v>39</v>
      </c>
      <c r="Y32" s="55" t="s">
        <v>84</v>
      </c>
      <c r="Z32" s="55" t="s">
        <v>90</v>
      </c>
      <c r="AA32" s="55" t="s">
        <v>78</v>
      </c>
      <c r="AB32" s="55" t="s">
        <v>369</v>
      </c>
    </row>
    <row r="33" spans="1:49" x14ac:dyDescent="0.15">
      <c r="A33" s="55" t="s">
        <v>41</v>
      </c>
      <c r="B33" s="236" t="s">
        <v>334</v>
      </c>
      <c r="C33" s="152">
        <v>2018</v>
      </c>
      <c r="D33" s="56" t="s">
        <v>355</v>
      </c>
      <c r="E33" s="236" t="s">
        <v>288</v>
      </c>
      <c r="F33" s="236" t="s">
        <v>293</v>
      </c>
      <c r="G33" s="55" t="s">
        <v>42</v>
      </c>
      <c r="H33" s="55" t="s">
        <v>129</v>
      </c>
      <c r="I33" s="55" t="s">
        <v>153</v>
      </c>
      <c r="J33" s="55" t="s">
        <v>58</v>
      </c>
      <c r="K33" s="55" t="s">
        <v>59</v>
      </c>
      <c r="L33" s="236">
        <v>2</v>
      </c>
      <c r="M33" s="55"/>
      <c r="N33" s="55">
        <v>5</v>
      </c>
      <c r="O33" s="55">
        <v>0.25</v>
      </c>
      <c r="P33" s="55">
        <v>0.25</v>
      </c>
      <c r="Q33" s="57">
        <f t="shared" si="0"/>
        <v>0.25</v>
      </c>
      <c r="R33" s="236">
        <v>14.7</v>
      </c>
      <c r="S33" s="55">
        <v>80</v>
      </c>
      <c r="T33" s="77">
        <f t="shared" si="4"/>
        <v>39</v>
      </c>
      <c r="U33" s="55">
        <v>537</v>
      </c>
      <c r="V33" s="78">
        <f t="shared" si="2"/>
        <v>4188.6000000000004</v>
      </c>
      <c r="W33" s="55">
        <v>1</v>
      </c>
      <c r="X33" s="55" t="s">
        <v>39</v>
      </c>
      <c r="Y33" s="55" t="s">
        <v>84</v>
      </c>
      <c r="Z33" s="55" t="s">
        <v>90</v>
      </c>
      <c r="AA33" s="55" t="s">
        <v>78</v>
      </c>
      <c r="AB33" s="55" t="s">
        <v>369</v>
      </c>
      <c r="AE33" s="252"/>
      <c r="AF33" s="252"/>
      <c r="AG33" s="252"/>
      <c r="AH33" s="252"/>
      <c r="AI33" s="252"/>
      <c r="AJ33" s="252"/>
      <c r="AK33" s="252"/>
      <c r="AL33" s="252"/>
      <c r="AM33" s="252"/>
      <c r="AN33" s="252"/>
      <c r="AO33" s="252"/>
      <c r="AP33" s="252"/>
      <c r="AQ33" s="252"/>
      <c r="AR33" s="252"/>
      <c r="AS33" s="252"/>
      <c r="AT33" s="252"/>
      <c r="AU33" s="252"/>
      <c r="AV33" s="252"/>
      <c r="AW33" s="252"/>
    </row>
    <row r="34" spans="1:49" x14ac:dyDescent="0.15">
      <c r="A34" s="55" t="s">
        <v>41</v>
      </c>
      <c r="B34" s="236" t="s">
        <v>334</v>
      </c>
      <c r="C34" s="152">
        <v>2018</v>
      </c>
      <c r="D34" s="56" t="s">
        <v>355</v>
      </c>
      <c r="E34" s="236" t="s">
        <v>288</v>
      </c>
      <c r="F34" s="236" t="s">
        <v>293</v>
      </c>
      <c r="G34" s="55" t="s">
        <v>42</v>
      </c>
      <c r="H34" s="55" t="s">
        <v>129</v>
      </c>
      <c r="I34" s="55" t="s">
        <v>153</v>
      </c>
      <c r="J34" s="55" t="s">
        <v>58</v>
      </c>
      <c r="K34" s="55" t="s">
        <v>59</v>
      </c>
      <c r="L34" s="236">
        <v>3</v>
      </c>
      <c r="N34" s="55">
        <v>5</v>
      </c>
      <c r="O34" s="55">
        <v>0.25</v>
      </c>
      <c r="P34" s="55">
        <v>0.25</v>
      </c>
      <c r="Q34" s="57">
        <f t="shared" si="0"/>
        <v>0.25</v>
      </c>
      <c r="R34" s="236">
        <v>16.399999999999999</v>
      </c>
      <c r="S34" s="55">
        <v>75</v>
      </c>
      <c r="T34" s="77">
        <f t="shared" si="4"/>
        <v>42</v>
      </c>
      <c r="U34" s="55">
        <v>537</v>
      </c>
      <c r="V34" s="58">
        <f t="shared" si="2"/>
        <v>4510.8</v>
      </c>
      <c r="W34" s="236">
        <v>1</v>
      </c>
      <c r="X34" s="55" t="s">
        <v>39</v>
      </c>
      <c r="Y34" s="55" t="s">
        <v>84</v>
      </c>
      <c r="Z34" s="55" t="s">
        <v>90</v>
      </c>
      <c r="AA34" s="55" t="s">
        <v>78</v>
      </c>
      <c r="AB34" s="55" t="s">
        <v>369</v>
      </c>
      <c r="AE34" s="252"/>
      <c r="AF34" s="252"/>
      <c r="AG34" s="252"/>
      <c r="AH34" s="252"/>
      <c r="AI34" s="252"/>
      <c r="AJ34" s="252"/>
      <c r="AK34" s="252"/>
      <c r="AL34" s="252"/>
      <c r="AM34" s="252"/>
      <c r="AN34" s="252"/>
      <c r="AO34" s="252"/>
      <c r="AP34" s="252"/>
      <c r="AQ34" s="252"/>
      <c r="AR34" s="252"/>
      <c r="AS34" s="252"/>
      <c r="AT34" s="252"/>
      <c r="AU34" s="252"/>
      <c r="AV34" s="252"/>
      <c r="AW34" s="252"/>
    </row>
    <row r="35" spans="1:49" x14ac:dyDescent="0.15">
      <c r="A35" s="55" t="s">
        <v>41</v>
      </c>
      <c r="B35" s="236" t="s">
        <v>334</v>
      </c>
      <c r="C35" s="152">
        <v>2018</v>
      </c>
      <c r="D35" s="56" t="s">
        <v>355</v>
      </c>
      <c r="E35" s="236" t="s">
        <v>288</v>
      </c>
      <c r="F35" s="236" t="s">
        <v>294</v>
      </c>
      <c r="G35" s="55" t="s">
        <v>42</v>
      </c>
      <c r="H35" s="55" t="s">
        <v>129</v>
      </c>
      <c r="I35" s="55" t="s">
        <v>153</v>
      </c>
      <c r="J35" s="55" t="s">
        <v>58</v>
      </c>
      <c r="K35" s="55" t="s">
        <v>59</v>
      </c>
      <c r="L35" s="236">
        <v>1</v>
      </c>
      <c r="M35" s="55"/>
      <c r="N35" s="55">
        <v>1</v>
      </c>
      <c r="O35" s="55">
        <v>0.35</v>
      </c>
      <c r="P35" s="55">
        <v>0.3</v>
      </c>
      <c r="Q35" s="57">
        <f t="shared" si="0"/>
        <v>0.32499999999999996</v>
      </c>
      <c r="R35" s="55">
        <v>15.2</v>
      </c>
      <c r="S35" s="236">
        <v>89</v>
      </c>
      <c r="T35" s="77">
        <f t="shared" si="4"/>
        <v>36</v>
      </c>
      <c r="U35" s="55">
        <v>148</v>
      </c>
      <c r="V35" s="78">
        <f t="shared" si="2"/>
        <v>5328</v>
      </c>
      <c r="W35" s="55">
        <v>1</v>
      </c>
      <c r="X35" s="55" t="s">
        <v>39</v>
      </c>
      <c r="Y35" s="55" t="s">
        <v>84</v>
      </c>
      <c r="Z35" s="55" t="s">
        <v>90</v>
      </c>
      <c r="AA35" s="55" t="s">
        <v>78</v>
      </c>
      <c r="AB35" s="55" t="s">
        <v>369</v>
      </c>
    </row>
    <row r="36" spans="1:49" x14ac:dyDescent="0.15">
      <c r="A36" s="55" t="s">
        <v>41</v>
      </c>
      <c r="B36" s="236" t="s">
        <v>334</v>
      </c>
      <c r="C36" s="152">
        <v>2018</v>
      </c>
      <c r="D36" s="56" t="s">
        <v>355</v>
      </c>
      <c r="E36" s="236" t="s">
        <v>288</v>
      </c>
      <c r="F36" s="236" t="s">
        <v>294</v>
      </c>
      <c r="G36" s="55" t="s">
        <v>42</v>
      </c>
      <c r="H36" s="55" t="s">
        <v>129</v>
      </c>
      <c r="I36" s="55" t="s">
        <v>153</v>
      </c>
      <c r="J36" s="55" t="s">
        <v>58</v>
      </c>
      <c r="K36" s="55" t="s">
        <v>59</v>
      </c>
      <c r="L36" s="236">
        <v>2</v>
      </c>
      <c r="N36" s="55">
        <v>1</v>
      </c>
      <c r="O36" s="55">
        <v>0.25</v>
      </c>
      <c r="P36" s="55">
        <v>0.3</v>
      </c>
      <c r="Q36" s="57">
        <f t="shared" si="0"/>
        <v>0.27500000000000002</v>
      </c>
      <c r="R36" s="55">
        <v>16</v>
      </c>
      <c r="S36" s="236">
        <v>90</v>
      </c>
      <c r="T36" s="77">
        <f t="shared" si="4"/>
        <v>36</v>
      </c>
      <c r="U36" s="55">
        <v>148</v>
      </c>
      <c r="V36" s="58">
        <f t="shared" si="2"/>
        <v>5328</v>
      </c>
      <c r="W36" s="236">
        <v>1</v>
      </c>
      <c r="X36" s="55" t="s">
        <v>39</v>
      </c>
      <c r="Y36" s="55" t="s">
        <v>84</v>
      </c>
      <c r="Z36" s="55" t="s">
        <v>90</v>
      </c>
      <c r="AA36" s="55" t="s">
        <v>78</v>
      </c>
      <c r="AB36" s="55" t="s">
        <v>369</v>
      </c>
      <c r="AE36" s="252"/>
      <c r="AF36" s="252"/>
      <c r="AG36" s="252"/>
      <c r="AH36" s="252"/>
      <c r="AI36" s="252"/>
      <c r="AJ36" s="252"/>
      <c r="AK36" s="252"/>
      <c r="AL36" s="252"/>
      <c r="AM36" s="252"/>
      <c r="AN36" s="252"/>
      <c r="AO36" s="252"/>
      <c r="AP36" s="252"/>
      <c r="AQ36" s="252"/>
      <c r="AR36" s="252"/>
      <c r="AS36" s="252"/>
      <c r="AT36" s="252"/>
      <c r="AU36" s="252"/>
      <c r="AV36" s="252"/>
      <c r="AW36" s="252"/>
    </row>
    <row r="37" spans="1:49" x14ac:dyDescent="0.15">
      <c r="A37" s="55" t="s">
        <v>41</v>
      </c>
      <c r="B37" s="236" t="s">
        <v>334</v>
      </c>
      <c r="C37" s="152">
        <v>2018</v>
      </c>
      <c r="D37" s="56" t="s">
        <v>355</v>
      </c>
      <c r="E37" s="236" t="s">
        <v>288</v>
      </c>
      <c r="F37" s="236" t="s">
        <v>294</v>
      </c>
      <c r="G37" s="55" t="s">
        <v>42</v>
      </c>
      <c r="H37" s="55" t="s">
        <v>129</v>
      </c>
      <c r="I37" s="55" t="s">
        <v>153</v>
      </c>
      <c r="J37" s="55" t="s">
        <v>58</v>
      </c>
      <c r="K37" s="55" t="s">
        <v>59</v>
      </c>
      <c r="L37" s="236">
        <v>3</v>
      </c>
      <c r="N37" s="55">
        <v>1</v>
      </c>
      <c r="O37" s="55">
        <v>0.35</v>
      </c>
      <c r="P37" s="55">
        <v>0.35</v>
      </c>
      <c r="Q37" s="57">
        <f t="shared" si="0"/>
        <v>0.35</v>
      </c>
      <c r="R37" s="55">
        <v>13.7</v>
      </c>
      <c r="S37" s="236">
        <v>95</v>
      </c>
      <c r="T37" s="77">
        <f t="shared" si="4"/>
        <v>36</v>
      </c>
      <c r="U37" s="55">
        <v>148</v>
      </c>
      <c r="V37" s="58">
        <f t="shared" si="2"/>
        <v>5328</v>
      </c>
      <c r="W37" s="236">
        <v>1</v>
      </c>
      <c r="X37" s="55" t="s">
        <v>39</v>
      </c>
      <c r="Y37" s="55" t="s">
        <v>84</v>
      </c>
      <c r="Z37" s="55" t="s">
        <v>90</v>
      </c>
      <c r="AA37" s="55" t="s">
        <v>78</v>
      </c>
      <c r="AB37" s="55" t="s">
        <v>369</v>
      </c>
      <c r="AE37" s="252"/>
      <c r="AF37" s="252"/>
      <c r="AG37" s="252"/>
      <c r="AH37" s="252"/>
      <c r="AI37" s="252"/>
      <c r="AJ37" s="252"/>
      <c r="AK37" s="252"/>
      <c r="AL37" s="252"/>
      <c r="AM37" s="252"/>
      <c r="AN37" s="252"/>
      <c r="AO37" s="252"/>
      <c r="AP37" s="252"/>
      <c r="AQ37" s="252"/>
      <c r="AR37" s="252"/>
      <c r="AS37" s="252"/>
      <c r="AT37" s="252"/>
      <c r="AU37" s="252"/>
      <c r="AV37" s="252"/>
      <c r="AW37" s="252"/>
    </row>
    <row r="38" spans="1:49" x14ac:dyDescent="0.15">
      <c r="A38" s="55" t="s">
        <v>41</v>
      </c>
      <c r="B38" s="236" t="s">
        <v>334</v>
      </c>
      <c r="C38" s="152">
        <v>2018</v>
      </c>
      <c r="D38" s="56" t="s">
        <v>355</v>
      </c>
      <c r="E38" s="236" t="s">
        <v>288</v>
      </c>
      <c r="F38" s="236" t="s">
        <v>294</v>
      </c>
      <c r="G38" s="55" t="s">
        <v>42</v>
      </c>
      <c r="H38" s="55" t="s">
        <v>162</v>
      </c>
      <c r="I38" s="55" t="s">
        <v>153</v>
      </c>
      <c r="J38" s="55" t="s">
        <v>38</v>
      </c>
      <c r="K38" s="55" t="s">
        <v>154</v>
      </c>
      <c r="L38" s="236">
        <v>1</v>
      </c>
      <c r="M38" s="55"/>
      <c r="N38" s="55">
        <v>1</v>
      </c>
      <c r="O38" s="55">
        <v>0.75</v>
      </c>
      <c r="P38" s="55">
        <v>0.9</v>
      </c>
      <c r="Q38" s="57">
        <f t="shared" si="0"/>
        <v>0.82499999999999996</v>
      </c>
      <c r="R38" s="55">
        <v>14.5</v>
      </c>
      <c r="S38" s="236">
        <v>131</v>
      </c>
      <c r="T38" s="77">
        <f t="shared" si="4"/>
        <v>25</v>
      </c>
      <c r="U38" s="55">
        <v>148</v>
      </c>
      <c r="V38" s="78">
        <f t="shared" si="2"/>
        <v>3700</v>
      </c>
      <c r="W38" s="55">
        <v>1</v>
      </c>
      <c r="X38" s="55" t="s">
        <v>39</v>
      </c>
      <c r="Y38" s="55" t="s">
        <v>84</v>
      </c>
      <c r="Z38" s="55" t="s">
        <v>90</v>
      </c>
      <c r="AA38" s="55" t="s">
        <v>78</v>
      </c>
      <c r="AB38" s="55" t="s">
        <v>369</v>
      </c>
    </row>
    <row r="39" spans="1:49" x14ac:dyDescent="0.15">
      <c r="A39" s="55" t="s">
        <v>41</v>
      </c>
      <c r="B39" s="236" t="s">
        <v>334</v>
      </c>
      <c r="C39" s="152">
        <v>2018</v>
      </c>
      <c r="D39" s="56" t="s">
        <v>355</v>
      </c>
      <c r="E39" s="236" t="s">
        <v>288</v>
      </c>
      <c r="F39" s="236" t="s">
        <v>294</v>
      </c>
      <c r="G39" s="55" t="s">
        <v>42</v>
      </c>
      <c r="H39" s="55" t="s">
        <v>162</v>
      </c>
      <c r="I39" s="55" t="s">
        <v>153</v>
      </c>
      <c r="J39" s="55" t="s">
        <v>38</v>
      </c>
      <c r="K39" s="55" t="s">
        <v>154</v>
      </c>
      <c r="L39" s="236">
        <v>2</v>
      </c>
      <c r="N39" s="55">
        <v>1</v>
      </c>
      <c r="O39" s="55">
        <v>0.8</v>
      </c>
      <c r="P39" s="55">
        <v>0.85</v>
      </c>
      <c r="Q39" s="57">
        <f t="shared" si="0"/>
        <v>0.82499999999999996</v>
      </c>
      <c r="R39" s="55">
        <v>14.7</v>
      </c>
      <c r="S39" s="236">
        <v>131</v>
      </c>
      <c r="T39" s="77">
        <f t="shared" si="4"/>
        <v>25</v>
      </c>
      <c r="U39" s="55">
        <v>148</v>
      </c>
      <c r="V39" s="58">
        <f t="shared" si="2"/>
        <v>3700</v>
      </c>
      <c r="W39" s="236">
        <v>1</v>
      </c>
      <c r="X39" s="55" t="s">
        <v>39</v>
      </c>
      <c r="Y39" s="55" t="s">
        <v>84</v>
      </c>
      <c r="Z39" s="55" t="s">
        <v>90</v>
      </c>
      <c r="AA39" s="55" t="s">
        <v>78</v>
      </c>
      <c r="AB39" s="55" t="s">
        <v>369</v>
      </c>
      <c r="AE39" s="252"/>
      <c r="AF39" s="252"/>
      <c r="AG39" s="252"/>
      <c r="AH39" s="252"/>
      <c r="AI39" s="252"/>
      <c r="AJ39" s="252"/>
      <c r="AK39" s="252"/>
      <c r="AL39" s="252"/>
      <c r="AM39" s="252"/>
      <c r="AN39" s="252"/>
      <c r="AO39" s="252"/>
      <c r="AP39" s="252"/>
      <c r="AQ39" s="252"/>
      <c r="AR39" s="252"/>
      <c r="AS39" s="252"/>
      <c r="AT39" s="252"/>
      <c r="AU39" s="252"/>
      <c r="AV39" s="252"/>
      <c r="AW39" s="252"/>
    </row>
    <row r="40" spans="1:49" x14ac:dyDescent="0.15">
      <c r="A40" s="55" t="s">
        <v>41</v>
      </c>
      <c r="B40" s="236" t="s">
        <v>334</v>
      </c>
      <c r="C40" s="152">
        <v>2018</v>
      </c>
      <c r="D40" s="56" t="s">
        <v>355</v>
      </c>
      <c r="E40" s="236" t="s">
        <v>288</v>
      </c>
      <c r="F40" s="236" t="s">
        <v>294</v>
      </c>
      <c r="G40" s="55" t="s">
        <v>42</v>
      </c>
      <c r="H40" s="55" t="s">
        <v>162</v>
      </c>
      <c r="I40" s="55" t="s">
        <v>153</v>
      </c>
      <c r="J40" s="55" t="s">
        <v>38</v>
      </c>
      <c r="K40" s="55" t="s">
        <v>154</v>
      </c>
      <c r="L40" s="236">
        <v>3</v>
      </c>
      <c r="N40" s="55">
        <v>1</v>
      </c>
      <c r="O40" s="55">
        <v>0.95</v>
      </c>
      <c r="P40" s="55">
        <v>1.05</v>
      </c>
      <c r="Q40" s="57">
        <f t="shared" si="0"/>
        <v>1</v>
      </c>
      <c r="R40" s="55">
        <v>15.1</v>
      </c>
      <c r="S40" s="236">
        <v>128</v>
      </c>
      <c r="T40" s="77">
        <f t="shared" si="4"/>
        <v>27</v>
      </c>
      <c r="U40" s="55">
        <v>148</v>
      </c>
      <c r="V40" s="58">
        <f t="shared" si="2"/>
        <v>3996</v>
      </c>
      <c r="W40" s="236">
        <v>1</v>
      </c>
      <c r="X40" s="55" t="s">
        <v>39</v>
      </c>
      <c r="Y40" s="55" t="s">
        <v>84</v>
      </c>
      <c r="Z40" s="55" t="s">
        <v>90</v>
      </c>
      <c r="AA40" s="55" t="s">
        <v>78</v>
      </c>
      <c r="AB40" s="55" t="s">
        <v>369</v>
      </c>
      <c r="AE40" s="252"/>
      <c r="AF40" s="252"/>
      <c r="AG40" s="252"/>
      <c r="AH40" s="252"/>
      <c r="AI40" s="252"/>
      <c r="AJ40" s="252"/>
      <c r="AK40" s="252"/>
      <c r="AL40" s="252"/>
      <c r="AM40" s="252"/>
      <c r="AN40" s="252"/>
      <c r="AO40" s="252"/>
      <c r="AP40" s="252"/>
      <c r="AQ40" s="252"/>
      <c r="AR40" s="252"/>
      <c r="AS40" s="252"/>
      <c r="AT40" s="252"/>
      <c r="AU40" s="252"/>
      <c r="AV40" s="252"/>
      <c r="AW40" s="252"/>
    </row>
    <row r="41" spans="1:49" x14ac:dyDescent="0.15">
      <c r="A41" s="55" t="s">
        <v>41</v>
      </c>
      <c r="B41" s="236" t="s">
        <v>334</v>
      </c>
      <c r="C41" s="152">
        <v>2018</v>
      </c>
      <c r="D41" s="56" t="s">
        <v>355</v>
      </c>
      <c r="E41" s="236" t="s">
        <v>288</v>
      </c>
      <c r="F41" s="236" t="s">
        <v>294</v>
      </c>
      <c r="G41" s="55" t="s">
        <v>42</v>
      </c>
      <c r="H41" s="55" t="s">
        <v>155</v>
      </c>
      <c r="I41" s="55" t="s">
        <v>153</v>
      </c>
      <c r="J41" s="55" t="s">
        <v>38</v>
      </c>
      <c r="K41" s="55" t="s">
        <v>154</v>
      </c>
      <c r="L41" s="236">
        <v>1</v>
      </c>
      <c r="M41" s="55"/>
      <c r="N41" s="55">
        <v>1</v>
      </c>
      <c r="O41" s="55">
        <v>0.45</v>
      </c>
      <c r="P41" s="55">
        <v>0.65</v>
      </c>
      <c r="Q41" s="57">
        <f t="shared" si="0"/>
        <v>0.55000000000000004</v>
      </c>
      <c r="R41" s="236">
        <v>16.100000000000001</v>
      </c>
      <c r="S41" s="236">
        <v>124</v>
      </c>
      <c r="T41" s="77">
        <f t="shared" si="4"/>
        <v>27</v>
      </c>
      <c r="U41" s="55">
        <v>105</v>
      </c>
      <c r="V41" s="78">
        <f t="shared" si="2"/>
        <v>2835</v>
      </c>
      <c r="W41" s="55">
        <v>1</v>
      </c>
      <c r="X41" s="55" t="s">
        <v>39</v>
      </c>
      <c r="Y41" s="55" t="s">
        <v>84</v>
      </c>
      <c r="Z41" s="55" t="s">
        <v>90</v>
      </c>
      <c r="AA41" s="55" t="s">
        <v>78</v>
      </c>
      <c r="AB41" s="55" t="s">
        <v>369</v>
      </c>
      <c r="AE41" s="255"/>
      <c r="AF41" s="252"/>
      <c r="AG41" s="256"/>
      <c r="AH41" s="256"/>
      <c r="AI41" s="252"/>
      <c r="AJ41" s="252"/>
      <c r="AK41" s="252"/>
      <c r="AL41" s="252"/>
      <c r="AM41" s="252"/>
      <c r="AN41" s="252"/>
      <c r="AO41" s="252"/>
      <c r="AP41" s="252"/>
      <c r="AQ41" s="252"/>
      <c r="AR41" s="256"/>
      <c r="AS41" s="252"/>
      <c r="AT41" s="252"/>
      <c r="AU41" s="252"/>
      <c r="AV41" s="252"/>
      <c r="AW41" s="252"/>
    </row>
    <row r="42" spans="1:49" x14ac:dyDescent="0.15">
      <c r="A42" s="55" t="s">
        <v>41</v>
      </c>
      <c r="B42" s="236" t="s">
        <v>334</v>
      </c>
      <c r="C42" s="152">
        <v>2018</v>
      </c>
      <c r="D42" s="56" t="s">
        <v>355</v>
      </c>
      <c r="E42" s="236" t="s">
        <v>288</v>
      </c>
      <c r="F42" s="236" t="s">
        <v>294</v>
      </c>
      <c r="G42" s="55" t="s">
        <v>42</v>
      </c>
      <c r="H42" s="55" t="s">
        <v>155</v>
      </c>
      <c r="I42" s="55" t="s">
        <v>153</v>
      </c>
      <c r="J42" s="55" t="s">
        <v>38</v>
      </c>
      <c r="K42" s="55" t="s">
        <v>154</v>
      </c>
      <c r="L42" s="236">
        <v>2</v>
      </c>
      <c r="N42" s="55">
        <v>1</v>
      </c>
      <c r="O42" s="55">
        <v>0.5</v>
      </c>
      <c r="P42" s="55">
        <v>0.55000000000000004</v>
      </c>
      <c r="Q42" s="57">
        <f t="shared" si="0"/>
        <v>0.52500000000000002</v>
      </c>
      <c r="R42" s="236">
        <v>15</v>
      </c>
      <c r="S42" s="236">
        <v>123</v>
      </c>
      <c r="T42" s="77">
        <f t="shared" si="4"/>
        <v>27</v>
      </c>
      <c r="U42" s="55">
        <v>105</v>
      </c>
      <c r="V42" s="58">
        <f t="shared" si="2"/>
        <v>2835</v>
      </c>
      <c r="W42" s="236">
        <v>1</v>
      </c>
      <c r="X42" s="55" t="s">
        <v>39</v>
      </c>
      <c r="Y42" s="55" t="s">
        <v>84</v>
      </c>
      <c r="Z42" s="55" t="s">
        <v>90</v>
      </c>
      <c r="AA42" s="55" t="s">
        <v>78</v>
      </c>
      <c r="AB42" s="55" t="s">
        <v>369</v>
      </c>
      <c r="AE42" s="255"/>
      <c r="AF42" s="252"/>
      <c r="AG42" s="256"/>
      <c r="AH42" s="256"/>
      <c r="AI42" s="252"/>
      <c r="AJ42" s="252"/>
      <c r="AK42" s="252"/>
      <c r="AL42" s="252"/>
      <c r="AM42" s="252"/>
      <c r="AN42" s="252"/>
      <c r="AO42" s="252"/>
      <c r="AP42" s="252"/>
      <c r="AQ42" s="252"/>
      <c r="AR42" s="256"/>
      <c r="AS42" s="252"/>
      <c r="AT42" s="252"/>
      <c r="AU42" s="252"/>
      <c r="AV42" s="252"/>
      <c r="AW42" s="252"/>
    </row>
    <row r="43" spans="1:49" x14ac:dyDescent="0.15">
      <c r="A43" s="55" t="s">
        <v>41</v>
      </c>
      <c r="B43" s="236" t="s">
        <v>334</v>
      </c>
      <c r="C43" s="152">
        <v>2018</v>
      </c>
      <c r="D43" s="56" t="s">
        <v>355</v>
      </c>
      <c r="E43" s="236" t="s">
        <v>288</v>
      </c>
      <c r="F43" s="236" t="s">
        <v>294</v>
      </c>
      <c r="G43" s="55" t="s">
        <v>42</v>
      </c>
      <c r="H43" s="55" t="s">
        <v>155</v>
      </c>
      <c r="I43" s="55" t="s">
        <v>153</v>
      </c>
      <c r="J43" s="55" t="s">
        <v>38</v>
      </c>
      <c r="K43" s="55" t="s">
        <v>154</v>
      </c>
      <c r="L43" s="236">
        <v>3</v>
      </c>
      <c r="N43" s="55">
        <v>1</v>
      </c>
      <c r="O43" s="55">
        <v>0.65</v>
      </c>
      <c r="P43" s="55">
        <v>0.5</v>
      </c>
      <c r="Q43" s="57">
        <f t="shared" si="0"/>
        <v>0.57499999999999996</v>
      </c>
      <c r="R43" s="236">
        <v>15.8</v>
      </c>
      <c r="S43" s="236">
        <v>128</v>
      </c>
      <c r="T43" s="77">
        <f t="shared" si="4"/>
        <v>27</v>
      </c>
      <c r="U43" s="55">
        <v>105</v>
      </c>
      <c r="V43" s="58">
        <f t="shared" si="2"/>
        <v>2835</v>
      </c>
      <c r="W43" s="236">
        <v>1</v>
      </c>
      <c r="X43" s="55" t="s">
        <v>39</v>
      </c>
      <c r="Y43" s="55" t="s">
        <v>84</v>
      </c>
      <c r="Z43" s="55" t="s">
        <v>90</v>
      </c>
      <c r="AA43" s="55" t="s">
        <v>78</v>
      </c>
      <c r="AB43" s="55" t="s">
        <v>369</v>
      </c>
      <c r="AE43" s="255"/>
      <c r="AF43" s="252"/>
      <c r="AG43" s="256"/>
      <c r="AH43" s="256"/>
      <c r="AI43" s="252"/>
      <c r="AJ43" s="252"/>
      <c r="AK43" s="252"/>
      <c r="AL43" s="252"/>
      <c r="AM43" s="252"/>
      <c r="AN43" s="252"/>
      <c r="AO43" s="252"/>
      <c r="AP43" s="252"/>
      <c r="AQ43" s="252"/>
      <c r="AR43" s="256"/>
      <c r="AS43" s="252"/>
      <c r="AT43" s="252"/>
      <c r="AU43" s="252"/>
      <c r="AV43" s="252"/>
      <c r="AW43" s="252"/>
    </row>
    <row r="44" spans="1:49" x14ac:dyDescent="0.15">
      <c r="A44" s="55" t="s">
        <v>41</v>
      </c>
      <c r="B44" s="236" t="s">
        <v>334</v>
      </c>
      <c r="C44" s="152">
        <v>2018</v>
      </c>
      <c r="D44" s="56" t="s">
        <v>355</v>
      </c>
      <c r="E44" s="236" t="s">
        <v>289</v>
      </c>
      <c r="F44" s="236" t="s">
        <v>293</v>
      </c>
      <c r="G44" s="55" t="s">
        <v>42</v>
      </c>
      <c r="H44" s="55" t="s">
        <v>155</v>
      </c>
      <c r="I44" s="55" t="s">
        <v>153</v>
      </c>
      <c r="J44" s="55" t="s">
        <v>38</v>
      </c>
      <c r="K44" s="55" t="s">
        <v>154</v>
      </c>
      <c r="L44" s="236">
        <v>1</v>
      </c>
      <c r="N44" s="55">
        <v>1</v>
      </c>
      <c r="O44" s="55">
        <v>0.9</v>
      </c>
      <c r="P44" s="55">
        <v>1</v>
      </c>
      <c r="Q44" s="57">
        <f t="shared" si="0"/>
        <v>0.95</v>
      </c>
      <c r="R44" s="55">
        <v>13.8</v>
      </c>
      <c r="S44" s="236">
        <v>124</v>
      </c>
      <c r="T44" s="57">
        <f t="shared" si="4"/>
        <v>27</v>
      </c>
      <c r="U44" s="236">
        <v>95</v>
      </c>
      <c r="V44" s="58">
        <f t="shared" si="2"/>
        <v>2565</v>
      </c>
      <c r="W44" s="236">
        <v>3</v>
      </c>
      <c r="X44" s="55" t="s">
        <v>46</v>
      </c>
      <c r="Y44" s="55" t="s">
        <v>84</v>
      </c>
      <c r="Z44" s="55" t="s">
        <v>50</v>
      </c>
      <c r="AA44" s="55" t="s">
        <v>78</v>
      </c>
      <c r="AB44" s="55" t="s">
        <v>369</v>
      </c>
    </row>
    <row r="45" spans="1:49" x14ac:dyDescent="0.15">
      <c r="A45" s="55" t="s">
        <v>41</v>
      </c>
      <c r="B45" s="236" t="s">
        <v>334</v>
      </c>
      <c r="C45" s="152">
        <v>2018</v>
      </c>
      <c r="D45" s="56" t="s">
        <v>355</v>
      </c>
      <c r="E45" s="236" t="s">
        <v>289</v>
      </c>
      <c r="F45" s="236" t="s">
        <v>293</v>
      </c>
      <c r="G45" s="55" t="s">
        <v>42</v>
      </c>
      <c r="H45" s="55" t="s">
        <v>155</v>
      </c>
      <c r="I45" s="55" t="s">
        <v>153</v>
      </c>
      <c r="J45" s="55" t="s">
        <v>38</v>
      </c>
      <c r="K45" s="55" t="s">
        <v>154</v>
      </c>
      <c r="L45" s="236">
        <v>2</v>
      </c>
      <c r="N45" s="55">
        <v>1</v>
      </c>
      <c r="O45" s="55">
        <v>1.05</v>
      </c>
      <c r="P45" s="55">
        <v>1</v>
      </c>
      <c r="Q45" s="57">
        <f t="shared" si="0"/>
        <v>1.0249999999999999</v>
      </c>
      <c r="R45" s="55">
        <v>14</v>
      </c>
      <c r="S45" s="236">
        <v>120</v>
      </c>
      <c r="T45" s="57">
        <f t="shared" si="4"/>
        <v>30</v>
      </c>
      <c r="U45" s="236">
        <v>95</v>
      </c>
      <c r="V45" s="58">
        <f t="shared" si="2"/>
        <v>2850</v>
      </c>
      <c r="W45" s="236">
        <v>3</v>
      </c>
      <c r="X45" s="55" t="s">
        <v>46</v>
      </c>
      <c r="Y45" s="55" t="s">
        <v>84</v>
      </c>
      <c r="Z45" s="55" t="s">
        <v>50</v>
      </c>
      <c r="AA45" s="55" t="s">
        <v>78</v>
      </c>
      <c r="AB45" s="55" t="s">
        <v>369</v>
      </c>
    </row>
    <row r="46" spans="1:49" x14ac:dyDescent="0.15">
      <c r="A46" s="55" t="s">
        <v>41</v>
      </c>
      <c r="B46" s="236" t="s">
        <v>334</v>
      </c>
      <c r="C46" s="152">
        <v>2018</v>
      </c>
      <c r="D46" s="56" t="s">
        <v>355</v>
      </c>
      <c r="E46" s="236" t="s">
        <v>289</v>
      </c>
      <c r="F46" s="236" t="s">
        <v>293</v>
      </c>
      <c r="G46" s="55" t="s">
        <v>42</v>
      </c>
      <c r="H46" s="55" t="s">
        <v>155</v>
      </c>
      <c r="I46" s="55" t="s">
        <v>153</v>
      </c>
      <c r="J46" s="55" t="s">
        <v>38</v>
      </c>
      <c r="K46" s="55" t="s">
        <v>154</v>
      </c>
      <c r="L46" s="236">
        <v>3</v>
      </c>
      <c r="N46" s="55">
        <v>1</v>
      </c>
      <c r="O46" s="236">
        <v>0.8</v>
      </c>
      <c r="P46" s="236">
        <v>0.95</v>
      </c>
      <c r="Q46" s="57">
        <f t="shared" si="0"/>
        <v>0.875</v>
      </c>
      <c r="R46" s="55">
        <v>15.1</v>
      </c>
      <c r="S46" s="236">
        <v>128</v>
      </c>
      <c r="T46" s="57">
        <f t="shared" si="4"/>
        <v>27</v>
      </c>
      <c r="U46" s="236">
        <v>95</v>
      </c>
      <c r="V46" s="58">
        <f t="shared" si="2"/>
        <v>2565</v>
      </c>
      <c r="W46" s="236">
        <v>3</v>
      </c>
      <c r="X46" s="55" t="s">
        <v>46</v>
      </c>
      <c r="Y46" s="55" t="s">
        <v>84</v>
      </c>
      <c r="Z46" s="55" t="s">
        <v>50</v>
      </c>
      <c r="AA46" s="55" t="s">
        <v>78</v>
      </c>
      <c r="AB46" s="55" t="s">
        <v>369</v>
      </c>
    </row>
    <row r="47" spans="1:49" x14ac:dyDescent="0.15">
      <c r="A47" s="55" t="s">
        <v>41</v>
      </c>
      <c r="B47" s="236" t="s">
        <v>334</v>
      </c>
      <c r="C47" s="152">
        <v>2018</v>
      </c>
      <c r="D47" s="56" t="s">
        <v>355</v>
      </c>
      <c r="E47" s="236" t="s">
        <v>289</v>
      </c>
      <c r="F47" s="236" t="s">
        <v>293</v>
      </c>
      <c r="G47" s="55" t="s">
        <v>42</v>
      </c>
      <c r="H47" s="55" t="s">
        <v>162</v>
      </c>
      <c r="I47" s="55" t="s">
        <v>153</v>
      </c>
      <c r="J47" s="55" t="s">
        <v>38</v>
      </c>
      <c r="K47" s="55" t="s">
        <v>154</v>
      </c>
      <c r="L47" s="236">
        <v>1</v>
      </c>
      <c r="N47" s="55">
        <v>1</v>
      </c>
      <c r="O47" s="236">
        <v>0.8</v>
      </c>
      <c r="P47" s="236">
        <v>0.95</v>
      </c>
      <c r="Q47" s="82">
        <f t="shared" si="0"/>
        <v>0.875</v>
      </c>
      <c r="R47" s="55">
        <v>14.8</v>
      </c>
      <c r="S47" s="55">
        <v>126</v>
      </c>
      <c r="T47" s="57">
        <f t="shared" si="4"/>
        <v>27</v>
      </c>
      <c r="U47" s="236">
        <v>170</v>
      </c>
      <c r="V47" s="58">
        <f t="shared" si="2"/>
        <v>4590</v>
      </c>
      <c r="W47" s="236">
        <v>1</v>
      </c>
      <c r="X47" s="55" t="s">
        <v>46</v>
      </c>
      <c r="Y47" s="55" t="s">
        <v>84</v>
      </c>
      <c r="Z47" s="55" t="s">
        <v>50</v>
      </c>
      <c r="AA47" s="55" t="s">
        <v>78</v>
      </c>
      <c r="AB47" s="55" t="s">
        <v>369</v>
      </c>
      <c r="AC47" s="55"/>
      <c r="AD47" s="55"/>
    </row>
    <row r="48" spans="1:49" x14ac:dyDescent="0.15">
      <c r="A48" s="55" t="s">
        <v>41</v>
      </c>
      <c r="B48" s="236" t="s">
        <v>334</v>
      </c>
      <c r="C48" s="152">
        <v>2018</v>
      </c>
      <c r="D48" s="56" t="s">
        <v>355</v>
      </c>
      <c r="E48" s="236" t="s">
        <v>289</v>
      </c>
      <c r="F48" s="236" t="s">
        <v>293</v>
      </c>
      <c r="G48" s="55" t="s">
        <v>42</v>
      </c>
      <c r="H48" s="55" t="s">
        <v>162</v>
      </c>
      <c r="I48" s="55" t="s">
        <v>153</v>
      </c>
      <c r="J48" s="55" t="s">
        <v>38</v>
      </c>
      <c r="K48" s="55" t="s">
        <v>154</v>
      </c>
      <c r="L48" s="236">
        <v>2</v>
      </c>
      <c r="N48" s="55">
        <v>1</v>
      </c>
      <c r="O48" s="236">
        <v>0.75</v>
      </c>
      <c r="P48" s="236">
        <v>0.7</v>
      </c>
      <c r="Q48" s="82">
        <f t="shared" si="0"/>
        <v>0.72499999999999998</v>
      </c>
      <c r="R48" s="55">
        <v>16.399999999999999</v>
      </c>
      <c r="S48" s="55">
        <v>125</v>
      </c>
      <c r="T48" s="57">
        <f t="shared" si="4"/>
        <v>27</v>
      </c>
      <c r="U48" s="236">
        <v>170</v>
      </c>
      <c r="V48" s="58">
        <f t="shared" si="2"/>
        <v>4590</v>
      </c>
      <c r="W48" s="236">
        <v>1</v>
      </c>
      <c r="X48" s="55" t="s">
        <v>46</v>
      </c>
      <c r="Y48" s="55" t="s">
        <v>84</v>
      </c>
      <c r="Z48" s="55" t="s">
        <v>50</v>
      </c>
      <c r="AA48" s="55" t="s">
        <v>78</v>
      </c>
      <c r="AB48" s="55" t="s">
        <v>369</v>
      </c>
      <c r="AC48" s="55"/>
      <c r="AD48" s="55"/>
    </row>
    <row r="49" spans="1:30" x14ac:dyDescent="0.15">
      <c r="A49" s="55" t="s">
        <v>41</v>
      </c>
      <c r="B49" s="236" t="s">
        <v>334</v>
      </c>
      <c r="C49" s="152">
        <v>2018</v>
      </c>
      <c r="D49" s="56" t="s">
        <v>355</v>
      </c>
      <c r="E49" s="236" t="s">
        <v>289</v>
      </c>
      <c r="F49" s="236" t="s">
        <v>293</v>
      </c>
      <c r="G49" s="55" t="s">
        <v>42</v>
      </c>
      <c r="H49" s="55" t="s">
        <v>162</v>
      </c>
      <c r="I49" s="55" t="s">
        <v>153</v>
      </c>
      <c r="J49" s="55" t="s">
        <v>38</v>
      </c>
      <c r="K49" s="55" t="s">
        <v>154</v>
      </c>
      <c r="L49" s="236">
        <v>3</v>
      </c>
      <c r="N49" s="55">
        <v>1</v>
      </c>
      <c r="O49" s="236">
        <v>0.8</v>
      </c>
      <c r="P49" s="236">
        <v>0.9</v>
      </c>
      <c r="Q49" s="82">
        <f t="shared" si="0"/>
        <v>0.85000000000000009</v>
      </c>
      <c r="R49" s="55">
        <v>17.399999999999999</v>
      </c>
      <c r="S49" s="55">
        <v>124</v>
      </c>
      <c r="T49" s="57">
        <f t="shared" si="4"/>
        <v>27</v>
      </c>
      <c r="U49" s="236">
        <v>170</v>
      </c>
      <c r="V49" s="58">
        <f t="shared" si="2"/>
        <v>4590</v>
      </c>
      <c r="W49" s="236">
        <v>1</v>
      </c>
      <c r="X49" s="55" t="s">
        <v>46</v>
      </c>
      <c r="Y49" s="55" t="s">
        <v>84</v>
      </c>
      <c r="Z49" s="55" t="s">
        <v>50</v>
      </c>
      <c r="AA49" s="55" t="s">
        <v>78</v>
      </c>
      <c r="AB49" s="55" t="s">
        <v>369</v>
      </c>
      <c r="AC49" s="55"/>
      <c r="AD49" s="55"/>
    </row>
    <row r="50" spans="1:30" x14ac:dyDescent="0.15">
      <c r="A50" s="55" t="s">
        <v>41</v>
      </c>
      <c r="B50" s="236" t="s">
        <v>334</v>
      </c>
      <c r="C50" s="152">
        <v>2018</v>
      </c>
      <c r="D50" s="56" t="s">
        <v>355</v>
      </c>
      <c r="E50" s="236" t="s">
        <v>289</v>
      </c>
      <c r="F50" s="236" t="s">
        <v>293</v>
      </c>
      <c r="G50" s="55" t="s">
        <v>42</v>
      </c>
      <c r="H50" s="55" t="s">
        <v>162</v>
      </c>
      <c r="I50" s="55" t="s">
        <v>153</v>
      </c>
      <c r="J50" s="55" t="s">
        <v>38</v>
      </c>
      <c r="K50" s="55" t="s">
        <v>154</v>
      </c>
      <c r="L50" s="236">
        <v>1</v>
      </c>
      <c r="N50" s="55">
        <v>4</v>
      </c>
      <c r="O50" s="236">
        <v>0.5</v>
      </c>
      <c r="P50" s="236">
        <v>0.6</v>
      </c>
      <c r="Q50" s="82">
        <f t="shared" si="0"/>
        <v>0.55000000000000004</v>
      </c>
      <c r="R50" s="236">
        <v>15</v>
      </c>
      <c r="S50" s="55">
        <v>127</v>
      </c>
      <c r="T50" s="57">
        <f t="shared" si="4"/>
        <v>27</v>
      </c>
      <c r="U50" s="236">
        <v>645</v>
      </c>
      <c r="V50" s="58">
        <f t="shared" si="2"/>
        <v>4353.75</v>
      </c>
      <c r="W50" s="236">
        <v>2</v>
      </c>
      <c r="X50" s="55" t="s">
        <v>46</v>
      </c>
      <c r="Y50" s="55" t="s">
        <v>84</v>
      </c>
      <c r="Z50" s="55" t="s">
        <v>50</v>
      </c>
      <c r="AA50" s="55" t="s">
        <v>78</v>
      </c>
      <c r="AB50" s="55" t="s">
        <v>369</v>
      </c>
    </row>
    <row r="51" spans="1:30" x14ac:dyDescent="0.15">
      <c r="A51" s="55" t="s">
        <v>41</v>
      </c>
      <c r="B51" s="236" t="s">
        <v>334</v>
      </c>
      <c r="C51" s="152">
        <v>2018</v>
      </c>
      <c r="D51" s="56" t="s">
        <v>355</v>
      </c>
      <c r="E51" s="236" t="s">
        <v>289</v>
      </c>
      <c r="F51" s="236" t="s">
        <v>293</v>
      </c>
      <c r="G51" s="55" t="s">
        <v>42</v>
      </c>
      <c r="H51" s="55" t="s">
        <v>162</v>
      </c>
      <c r="I51" s="55" t="s">
        <v>153</v>
      </c>
      <c r="J51" s="55" t="s">
        <v>38</v>
      </c>
      <c r="K51" s="55" t="s">
        <v>154</v>
      </c>
      <c r="L51" s="236">
        <v>2</v>
      </c>
      <c r="N51" s="55">
        <v>4</v>
      </c>
      <c r="O51" s="236">
        <v>0.5</v>
      </c>
      <c r="P51" s="236">
        <v>0.5</v>
      </c>
      <c r="Q51" s="82">
        <f t="shared" si="0"/>
        <v>0.5</v>
      </c>
      <c r="R51" s="236">
        <v>16.100000000000001</v>
      </c>
      <c r="S51" s="55">
        <v>122</v>
      </c>
      <c r="T51" s="57">
        <f t="shared" si="4"/>
        <v>27</v>
      </c>
      <c r="U51" s="236">
        <v>645</v>
      </c>
      <c r="V51" s="58">
        <f t="shared" si="2"/>
        <v>4353.75</v>
      </c>
      <c r="W51" s="236">
        <v>2</v>
      </c>
      <c r="X51" s="55" t="s">
        <v>46</v>
      </c>
      <c r="Y51" s="55" t="s">
        <v>84</v>
      </c>
      <c r="Z51" s="55" t="s">
        <v>50</v>
      </c>
      <c r="AA51" s="55" t="s">
        <v>78</v>
      </c>
      <c r="AB51" s="55" t="s">
        <v>369</v>
      </c>
    </row>
    <row r="52" spans="1:30" x14ac:dyDescent="0.15">
      <c r="A52" s="55" t="s">
        <v>41</v>
      </c>
      <c r="B52" s="236" t="s">
        <v>334</v>
      </c>
      <c r="C52" s="152">
        <v>2018</v>
      </c>
      <c r="D52" s="56" t="s">
        <v>355</v>
      </c>
      <c r="E52" s="236" t="s">
        <v>289</v>
      </c>
      <c r="F52" s="236" t="s">
        <v>293</v>
      </c>
      <c r="G52" s="55" t="s">
        <v>42</v>
      </c>
      <c r="H52" s="55" t="s">
        <v>162</v>
      </c>
      <c r="I52" s="55" t="s">
        <v>153</v>
      </c>
      <c r="J52" s="55" t="s">
        <v>38</v>
      </c>
      <c r="K52" s="55" t="s">
        <v>154</v>
      </c>
      <c r="L52" s="236">
        <v>3</v>
      </c>
      <c r="N52" s="55">
        <v>4</v>
      </c>
      <c r="O52" s="236">
        <v>0.85</v>
      </c>
      <c r="P52" s="236">
        <v>0.8</v>
      </c>
      <c r="Q52" s="82">
        <f t="shared" si="0"/>
        <v>0.82499999999999996</v>
      </c>
      <c r="R52" s="236">
        <v>16.600000000000001</v>
      </c>
      <c r="S52" s="55">
        <v>121</v>
      </c>
      <c r="T52" s="57">
        <f t="shared" si="4"/>
        <v>27</v>
      </c>
      <c r="U52" s="55">
        <v>645</v>
      </c>
      <c r="V52" s="58">
        <f t="shared" si="2"/>
        <v>4353.75</v>
      </c>
      <c r="W52" s="236">
        <v>2</v>
      </c>
      <c r="X52" s="55" t="s">
        <v>46</v>
      </c>
      <c r="Y52" s="55" t="s">
        <v>84</v>
      </c>
      <c r="Z52" s="55" t="s">
        <v>50</v>
      </c>
      <c r="AA52" s="55" t="s">
        <v>78</v>
      </c>
      <c r="AB52" s="55" t="s">
        <v>369</v>
      </c>
    </row>
    <row r="53" spans="1:30" x14ac:dyDescent="0.15">
      <c r="A53" s="55" t="s">
        <v>41</v>
      </c>
      <c r="B53" s="236" t="s">
        <v>334</v>
      </c>
      <c r="C53" s="152">
        <v>2018</v>
      </c>
      <c r="D53" s="56" t="s">
        <v>355</v>
      </c>
      <c r="E53" s="236" t="s">
        <v>289</v>
      </c>
      <c r="F53" s="236" t="s">
        <v>293</v>
      </c>
      <c r="G53" s="55" t="s">
        <v>42</v>
      </c>
      <c r="H53" s="55" t="s">
        <v>155</v>
      </c>
      <c r="I53" s="55" t="s">
        <v>153</v>
      </c>
      <c r="J53" s="55" t="s">
        <v>38</v>
      </c>
      <c r="K53" s="55" t="s">
        <v>154</v>
      </c>
      <c r="L53" s="236">
        <v>1</v>
      </c>
      <c r="N53" s="55">
        <v>8</v>
      </c>
      <c r="O53" s="55">
        <v>0.45</v>
      </c>
      <c r="P53" s="55">
        <v>0.5</v>
      </c>
      <c r="Q53" s="82">
        <f t="shared" si="0"/>
        <v>0.47499999999999998</v>
      </c>
      <c r="R53" s="236">
        <v>14.8</v>
      </c>
      <c r="S53" s="55">
        <v>100</v>
      </c>
      <c r="T53" s="57">
        <f t="shared" si="4"/>
        <v>33</v>
      </c>
      <c r="U53" s="236">
        <v>950</v>
      </c>
      <c r="V53" s="58">
        <f t="shared" si="2"/>
        <v>3918.75</v>
      </c>
      <c r="W53" s="236">
        <v>1</v>
      </c>
      <c r="X53" s="55" t="s">
        <v>46</v>
      </c>
      <c r="Y53" s="55" t="s">
        <v>84</v>
      </c>
      <c r="Z53" s="55" t="s">
        <v>50</v>
      </c>
      <c r="AA53" s="55" t="s">
        <v>78</v>
      </c>
      <c r="AB53" s="55" t="s">
        <v>369</v>
      </c>
    </row>
    <row r="54" spans="1:30" x14ac:dyDescent="0.15">
      <c r="A54" s="55" t="s">
        <v>41</v>
      </c>
      <c r="B54" s="236" t="s">
        <v>334</v>
      </c>
      <c r="C54" s="152">
        <v>2018</v>
      </c>
      <c r="D54" s="56" t="s">
        <v>355</v>
      </c>
      <c r="E54" s="236" t="s">
        <v>289</v>
      </c>
      <c r="F54" s="236" t="s">
        <v>293</v>
      </c>
      <c r="G54" s="55" t="s">
        <v>42</v>
      </c>
      <c r="H54" s="55" t="s">
        <v>155</v>
      </c>
      <c r="I54" s="55" t="s">
        <v>153</v>
      </c>
      <c r="J54" s="55" t="s">
        <v>38</v>
      </c>
      <c r="K54" s="55" t="s">
        <v>154</v>
      </c>
      <c r="L54" s="236">
        <v>2</v>
      </c>
      <c r="N54" s="55">
        <v>8</v>
      </c>
      <c r="O54" s="55">
        <v>0.7</v>
      </c>
      <c r="P54" s="55">
        <v>0.65</v>
      </c>
      <c r="Q54" s="82">
        <f t="shared" si="0"/>
        <v>0.67500000000000004</v>
      </c>
      <c r="R54" s="236">
        <v>14.2</v>
      </c>
      <c r="S54" s="55">
        <v>104</v>
      </c>
      <c r="T54" s="57">
        <f t="shared" si="4"/>
        <v>33</v>
      </c>
      <c r="U54" s="236">
        <v>950</v>
      </c>
      <c r="V54" s="58">
        <f t="shared" si="2"/>
        <v>3918.75</v>
      </c>
      <c r="W54" s="236">
        <v>1</v>
      </c>
      <c r="X54" s="55" t="s">
        <v>46</v>
      </c>
      <c r="Y54" s="55" t="s">
        <v>84</v>
      </c>
      <c r="Z54" s="55" t="s">
        <v>50</v>
      </c>
      <c r="AA54" s="55" t="s">
        <v>78</v>
      </c>
      <c r="AB54" s="55" t="s">
        <v>369</v>
      </c>
    </row>
    <row r="55" spans="1:30" x14ac:dyDescent="0.15">
      <c r="A55" s="55" t="s">
        <v>41</v>
      </c>
      <c r="B55" s="236" t="s">
        <v>334</v>
      </c>
      <c r="C55" s="152">
        <v>2018</v>
      </c>
      <c r="D55" s="56" t="s">
        <v>355</v>
      </c>
      <c r="E55" s="236" t="s">
        <v>289</v>
      </c>
      <c r="F55" s="236" t="s">
        <v>293</v>
      </c>
      <c r="G55" s="55" t="s">
        <v>42</v>
      </c>
      <c r="H55" s="55" t="s">
        <v>155</v>
      </c>
      <c r="I55" s="55" t="s">
        <v>153</v>
      </c>
      <c r="J55" s="55" t="s">
        <v>38</v>
      </c>
      <c r="K55" s="55" t="s">
        <v>154</v>
      </c>
      <c r="L55" s="236">
        <v>3</v>
      </c>
      <c r="N55" s="55">
        <v>8</v>
      </c>
      <c r="O55" s="55">
        <v>0.6</v>
      </c>
      <c r="P55" s="55">
        <v>0.55000000000000004</v>
      </c>
      <c r="Q55" s="82">
        <f t="shared" si="0"/>
        <v>0.57499999999999996</v>
      </c>
      <c r="R55" s="236">
        <v>14.3</v>
      </c>
      <c r="S55" s="55">
        <v>106</v>
      </c>
      <c r="T55" s="57">
        <f t="shared" si="4"/>
        <v>33</v>
      </c>
      <c r="U55" s="55">
        <v>950</v>
      </c>
      <c r="V55" s="58">
        <f t="shared" si="2"/>
        <v>3918.75</v>
      </c>
      <c r="W55" s="236">
        <v>1</v>
      </c>
      <c r="X55" s="55" t="s">
        <v>46</v>
      </c>
      <c r="Y55" s="55" t="s">
        <v>84</v>
      </c>
      <c r="Z55" s="55" t="s">
        <v>50</v>
      </c>
      <c r="AA55" s="55" t="s">
        <v>78</v>
      </c>
      <c r="AB55" s="55" t="s">
        <v>369</v>
      </c>
    </row>
    <row r="56" spans="1:30" x14ac:dyDescent="0.15">
      <c r="A56" s="55" t="s">
        <v>41</v>
      </c>
      <c r="B56" s="236" t="s">
        <v>334</v>
      </c>
      <c r="C56" s="152">
        <v>2018</v>
      </c>
      <c r="D56" s="56" t="s">
        <v>355</v>
      </c>
      <c r="E56" s="236" t="s">
        <v>289</v>
      </c>
      <c r="F56" s="236" t="s">
        <v>293</v>
      </c>
      <c r="G56" s="55" t="s">
        <v>42</v>
      </c>
      <c r="H56" s="55" t="s">
        <v>155</v>
      </c>
      <c r="I56" s="55" t="s">
        <v>153</v>
      </c>
      <c r="J56" s="55" t="s">
        <v>38</v>
      </c>
      <c r="K56" s="55" t="s">
        <v>154</v>
      </c>
      <c r="L56" s="236">
        <v>1</v>
      </c>
      <c r="N56" s="236">
        <v>5</v>
      </c>
      <c r="O56" s="55">
        <v>0.45</v>
      </c>
      <c r="P56" s="55">
        <v>0.4</v>
      </c>
      <c r="Q56" s="82">
        <f t="shared" si="0"/>
        <v>0.42500000000000004</v>
      </c>
      <c r="R56" s="236">
        <v>15.8</v>
      </c>
      <c r="S56" s="55">
        <v>118</v>
      </c>
      <c r="T56" s="57">
        <f t="shared" si="4"/>
        <v>30</v>
      </c>
      <c r="U56" s="236">
        <v>429</v>
      </c>
      <c r="V56" s="58">
        <f t="shared" si="2"/>
        <v>2574</v>
      </c>
      <c r="W56" s="236">
        <v>2</v>
      </c>
      <c r="X56" s="55" t="s">
        <v>46</v>
      </c>
      <c r="Y56" s="55" t="s">
        <v>84</v>
      </c>
      <c r="Z56" s="55" t="s">
        <v>50</v>
      </c>
      <c r="AA56" s="55" t="s">
        <v>78</v>
      </c>
      <c r="AB56" s="55" t="s">
        <v>369</v>
      </c>
    </row>
    <row r="57" spans="1:30" x14ac:dyDescent="0.15">
      <c r="A57" s="55" t="s">
        <v>41</v>
      </c>
      <c r="B57" s="236" t="s">
        <v>334</v>
      </c>
      <c r="C57" s="152">
        <v>2018</v>
      </c>
      <c r="D57" s="56" t="s">
        <v>355</v>
      </c>
      <c r="E57" s="236" t="s">
        <v>289</v>
      </c>
      <c r="F57" s="236" t="s">
        <v>293</v>
      </c>
      <c r="G57" s="55" t="s">
        <v>42</v>
      </c>
      <c r="H57" s="55" t="s">
        <v>155</v>
      </c>
      <c r="I57" s="55" t="s">
        <v>153</v>
      </c>
      <c r="J57" s="55" t="s">
        <v>38</v>
      </c>
      <c r="K57" s="55" t="s">
        <v>154</v>
      </c>
      <c r="L57" s="236">
        <v>2</v>
      </c>
      <c r="N57" s="236">
        <v>5</v>
      </c>
      <c r="O57" s="55">
        <v>0.5</v>
      </c>
      <c r="P57" s="55">
        <v>0.65</v>
      </c>
      <c r="Q57" s="82">
        <f t="shared" si="0"/>
        <v>0.57499999999999996</v>
      </c>
      <c r="R57" s="236">
        <v>16.399999999999999</v>
      </c>
      <c r="S57" s="55">
        <v>120</v>
      </c>
      <c r="T57" s="57">
        <f t="shared" si="4"/>
        <v>30</v>
      </c>
      <c r="U57" s="236">
        <v>429</v>
      </c>
      <c r="V57" s="58">
        <f t="shared" si="2"/>
        <v>2574</v>
      </c>
      <c r="W57" s="236">
        <v>2</v>
      </c>
      <c r="X57" s="55" t="s">
        <v>46</v>
      </c>
      <c r="Y57" s="55" t="s">
        <v>84</v>
      </c>
      <c r="Z57" s="55" t="s">
        <v>50</v>
      </c>
      <c r="AA57" s="55" t="s">
        <v>78</v>
      </c>
      <c r="AB57" s="55" t="s">
        <v>369</v>
      </c>
    </row>
    <row r="58" spans="1:30" x14ac:dyDescent="0.15">
      <c r="A58" s="55" t="s">
        <v>41</v>
      </c>
      <c r="B58" s="236" t="s">
        <v>334</v>
      </c>
      <c r="C58" s="152">
        <v>2018</v>
      </c>
      <c r="D58" s="56" t="s">
        <v>355</v>
      </c>
      <c r="E58" s="236" t="s">
        <v>289</v>
      </c>
      <c r="F58" s="236" t="s">
        <v>293</v>
      </c>
      <c r="G58" s="55" t="s">
        <v>42</v>
      </c>
      <c r="H58" s="55" t="s">
        <v>155</v>
      </c>
      <c r="I58" s="55" t="s">
        <v>153</v>
      </c>
      <c r="J58" s="55" t="s">
        <v>38</v>
      </c>
      <c r="K58" s="55" t="s">
        <v>154</v>
      </c>
      <c r="L58" s="236">
        <v>3</v>
      </c>
      <c r="N58" s="236">
        <v>5</v>
      </c>
      <c r="O58" s="55">
        <v>0.7</v>
      </c>
      <c r="P58" s="55">
        <v>0.5</v>
      </c>
      <c r="Q58" s="82">
        <f t="shared" si="0"/>
        <v>0.6</v>
      </c>
      <c r="R58" s="236">
        <v>15</v>
      </c>
      <c r="S58" s="55">
        <v>117</v>
      </c>
      <c r="T58" s="57">
        <f t="shared" si="4"/>
        <v>30</v>
      </c>
      <c r="U58" s="236">
        <v>429</v>
      </c>
      <c r="V58" s="58">
        <f t="shared" si="2"/>
        <v>2574</v>
      </c>
      <c r="W58" s="236">
        <v>2</v>
      </c>
      <c r="X58" s="55" t="s">
        <v>46</v>
      </c>
      <c r="Y58" s="55" t="s">
        <v>84</v>
      </c>
      <c r="Z58" s="55" t="s">
        <v>50</v>
      </c>
      <c r="AA58" s="55" t="s">
        <v>78</v>
      </c>
      <c r="AB58" s="55" t="s">
        <v>369</v>
      </c>
    </row>
    <row r="59" spans="1:30" x14ac:dyDescent="0.15">
      <c r="A59" s="55" t="s">
        <v>41</v>
      </c>
      <c r="B59" s="236" t="s">
        <v>334</v>
      </c>
      <c r="C59" s="152">
        <v>2018</v>
      </c>
      <c r="D59" s="56" t="s">
        <v>355</v>
      </c>
      <c r="E59" s="236" t="s">
        <v>289</v>
      </c>
      <c r="F59" s="236" t="s">
        <v>295</v>
      </c>
      <c r="G59" s="55" t="s">
        <v>42</v>
      </c>
      <c r="H59" s="55" t="s">
        <v>155</v>
      </c>
      <c r="I59" s="55" t="s">
        <v>153</v>
      </c>
      <c r="J59" s="55" t="s">
        <v>38</v>
      </c>
      <c r="K59" s="55" t="s">
        <v>154</v>
      </c>
      <c r="L59" s="236">
        <v>1</v>
      </c>
      <c r="N59" s="55">
        <v>1</v>
      </c>
      <c r="O59" s="236">
        <v>1.05</v>
      </c>
      <c r="P59" s="236">
        <v>1.1000000000000001</v>
      </c>
      <c r="Q59" s="57">
        <f t="shared" si="0"/>
        <v>1.0750000000000002</v>
      </c>
      <c r="R59" s="236">
        <v>16</v>
      </c>
      <c r="S59" s="236">
        <v>132</v>
      </c>
      <c r="T59" s="57">
        <f t="shared" si="4"/>
        <v>25</v>
      </c>
      <c r="U59" s="236">
        <v>108</v>
      </c>
      <c r="V59" s="58">
        <f t="shared" si="2"/>
        <v>2700</v>
      </c>
      <c r="W59" s="236">
        <v>1</v>
      </c>
      <c r="X59" s="55" t="s">
        <v>46</v>
      </c>
      <c r="Y59" s="55" t="s">
        <v>90</v>
      </c>
      <c r="Z59" s="55" t="s">
        <v>84</v>
      </c>
      <c r="AA59" s="55" t="s">
        <v>50</v>
      </c>
      <c r="AB59" s="55" t="s">
        <v>369</v>
      </c>
      <c r="AC59" s="55"/>
      <c r="AD59" s="55"/>
    </row>
    <row r="60" spans="1:30" x14ac:dyDescent="0.15">
      <c r="A60" s="55" t="s">
        <v>41</v>
      </c>
      <c r="B60" s="236" t="s">
        <v>334</v>
      </c>
      <c r="C60" s="152">
        <v>2018</v>
      </c>
      <c r="D60" s="56" t="s">
        <v>355</v>
      </c>
      <c r="E60" s="236" t="s">
        <v>289</v>
      </c>
      <c r="F60" s="236" t="s">
        <v>295</v>
      </c>
      <c r="G60" s="55" t="s">
        <v>42</v>
      </c>
      <c r="H60" s="55" t="s">
        <v>155</v>
      </c>
      <c r="I60" s="55" t="s">
        <v>153</v>
      </c>
      <c r="J60" s="55" t="s">
        <v>38</v>
      </c>
      <c r="K60" s="55" t="s">
        <v>154</v>
      </c>
      <c r="L60" s="236">
        <v>2</v>
      </c>
      <c r="N60" s="55">
        <v>1</v>
      </c>
      <c r="O60" s="236">
        <v>1.2</v>
      </c>
      <c r="P60" s="236">
        <v>1.3</v>
      </c>
      <c r="Q60" s="57">
        <f t="shared" si="0"/>
        <v>1.25</v>
      </c>
      <c r="R60" s="236">
        <v>12.8</v>
      </c>
      <c r="S60" s="236">
        <v>135</v>
      </c>
      <c r="T60" s="57">
        <f t="shared" si="4"/>
        <v>25</v>
      </c>
      <c r="U60" s="236">
        <v>108</v>
      </c>
      <c r="V60" s="58">
        <f t="shared" si="2"/>
        <v>2700</v>
      </c>
      <c r="W60" s="236">
        <v>1</v>
      </c>
      <c r="X60" s="55" t="s">
        <v>46</v>
      </c>
      <c r="Y60" s="55" t="s">
        <v>90</v>
      </c>
      <c r="Z60" s="55" t="s">
        <v>84</v>
      </c>
      <c r="AA60" s="55" t="s">
        <v>50</v>
      </c>
      <c r="AB60" s="55" t="s">
        <v>369</v>
      </c>
      <c r="AC60" s="55"/>
      <c r="AD60" s="55"/>
    </row>
    <row r="61" spans="1:30" x14ac:dyDescent="0.15">
      <c r="A61" s="55" t="s">
        <v>41</v>
      </c>
      <c r="B61" s="236" t="s">
        <v>334</v>
      </c>
      <c r="C61" s="152">
        <v>2018</v>
      </c>
      <c r="D61" s="56" t="s">
        <v>355</v>
      </c>
      <c r="E61" s="236" t="s">
        <v>289</v>
      </c>
      <c r="F61" s="236" t="s">
        <v>295</v>
      </c>
      <c r="G61" s="55" t="s">
        <v>42</v>
      </c>
      <c r="H61" s="55" t="s">
        <v>155</v>
      </c>
      <c r="I61" s="55" t="s">
        <v>153</v>
      </c>
      <c r="J61" s="55" t="s">
        <v>38</v>
      </c>
      <c r="K61" s="55" t="s">
        <v>154</v>
      </c>
      <c r="L61" s="236">
        <v>3</v>
      </c>
      <c r="N61" s="55">
        <v>1</v>
      </c>
      <c r="O61" s="236">
        <v>1.05</v>
      </c>
      <c r="P61" s="236">
        <v>1.2</v>
      </c>
      <c r="Q61" s="57">
        <f t="shared" si="0"/>
        <v>1.125</v>
      </c>
      <c r="R61" s="236">
        <v>14.5</v>
      </c>
      <c r="S61" s="236">
        <v>130</v>
      </c>
      <c r="T61" s="57">
        <f t="shared" si="4"/>
        <v>25</v>
      </c>
      <c r="U61" s="55">
        <v>108</v>
      </c>
      <c r="V61" s="58">
        <f t="shared" si="2"/>
        <v>2700</v>
      </c>
      <c r="W61" s="236">
        <v>1</v>
      </c>
      <c r="X61" s="55" t="s">
        <v>46</v>
      </c>
      <c r="Y61" s="55" t="s">
        <v>90</v>
      </c>
      <c r="Z61" s="55" t="s">
        <v>84</v>
      </c>
      <c r="AA61" s="55" t="s">
        <v>50</v>
      </c>
      <c r="AB61" s="55" t="s">
        <v>369</v>
      </c>
      <c r="AC61" s="55"/>
      <c r="AD61" s="55"/>
    </row>
    <row r="62" spans="1:30" x14ac:dyDescent="0.15">
      <c r="A62" s="55" t="s">
        <v>41</v>
      </c>
      <c r="B62" s="236" t="s">
        <v>334</v>
      </c>
      <c r="C62" s="152">
        <v>2018</v>
      </c>
      <c r="D62" s="56" t="s">
        <v>355</v>
      </c>
      <c r="E62" s="236" t="s">
        <v>289</v>
      </c>
      <c r="F62" s="236" t="s">
        <v>295</v>
      </c>
      <c r="G62" s="55" t="s">
        <v>42</v>
      </c>
      <c r="H62" s="55" t="s">
        <v>155</v>
      </c>
      <c r="I62" s="55" t="s">
        <v>153</v>
      </c>
      <c r="J62" s="55" t="s">
        <v>38</v>
      </c>
      <c r="K62" s="55" t="s">
        <v>154</v>
      </c>
      <c r="L62" s="236">
        <v>1</v>
      </c>
      <c r="N62" s="55">
        <v>5</v>
      </c>
      <c r="O62" s="236">
        <v>0.85</v>
      </c>
      <c r="P62" s="236">
        <v>0.8</v>
      </c>
      <c r="Q62" s="57">
        <f t="shared" si="0"/>
        <v>0.82499999999999996</v>
      </c>
      <c r="R62" s="236">
        <v>14.1</v>
      </c>
      <c r="S62" s="236">
        <v>129</v>
      </c>
      <c r="T62" s="57">
        <f t="shared" si="4"/>
        <v>25</v>
      </c>
      <c r="U62" s="236">
        <v>429</v>
      </c>
      <c r="V62" s="58">
        <f t="shared" si="2"/>
        <v>2145</v>
      </c>
      <c r="W62" s="236">
        <v>1</v>
      </c>
      <c r="X62" s="55" t="s">
        <v>46</v>
      </c>
      <c r="Y62" s="55" t="s">
        <v>90</v>
      </c>
      <c r="Z62" s="55" t="s">
        <v>84</v>
      </c>
      <c r="AA62" s="55" t="s">
        <v>50</v>
      </c>
      <c r="AB62" s="55" t="s">
        <v>369</v>
      </c>
      <c r="AC62" s="55"/>
      <c r="AD62" s="55"/>
    </row>
    <row r="63" spans="1:30" x14ac:dyDescent="0.15">
      <c r="A63" s="55" t="s">
        <v>41</v>
      </c>
      <c r="B63" s="236" t="s">
        <v>334</v>
      </c>
      <c r="C63" s="152">
        <v>2018</v>
      </c>
      <c r="D63" s="56" t="s">
        <v>355</v>
      </c>
      <c r="E63" s="236" t="s">
        <v>289</v>
      </c>
      <c r="F63" s="236" t="s">
        <v>295</v>
      </c>
      <c r="G63" s="55" t="s">
        <v>42</v>
      </c>
      <c r="H63" s="55" t="s">
        <v>155</v>
      </c>
      <c r="I63" s="55" t="s">
        <v>153</v>
      </c>
      <c r="J63" s="55" t="s">
        <v>38</v>
      </c>
      <c r="K63" s="55" t="s">
        <v>154</v>
      </c>
      <c r="L63" s="236">
        <v>2</v>
      </c>
      <c r="N63" s="55">
        <v>5</v>
      </c>
      <c r="O63" s="236">
        <v>0.95</v>
      </c>
      <c r="P63" s="236">
        <v>0.95</v>
      </c>
      <c r="Q63" s="57">
        <f t="shared" si="0"/>
        <v>0.95</v>
      </c>
      <c r="R63" s="236">
        <v>13.8</v>
      </c>
      <c r="S63" s="236">
        <v>128</v>
      </c>
      <c r="T63" s="57">
        <f t="shared" si="4"/>
        <v>27</v>
      </c>
      <c r="U63" s="236">
        <v>429</v>
      </c>
      <c r="V63" s="58">
        <f t="shared" si="2"/>
        <v>2316.6</v>
      </c>
      <c r="W63" s="236">
        <v>1</v>
      </c>
      <c r="X63" s="55" t="s">
        <v>46</v>
      </c>
      <c r="Y63" s="55" t="s">
        <v>90</v>
      </c>
      <c r="Z63" s="55" t="s">
        <v>84</v>
      </c>
      <c r="AA63" s="55" t="s">
        <v>50</v>
      </c>
      <c r="AB63" s="55" t="s">
        <v>369</v>
      </c>
    </row>
    <row r="64" spans="1:30" x14ac:dyDescent="0.15">
      <c r="A64" s="55" t="s">
        <v>41</v>
      </c>
      <c r="B64" s="236" t="s">
        <v>334</v>
      </c>
      <c r="C64" s="152">
        <v>2018</v>
      </c>
      <c r="D64" s="56" t="s">
        <v>355</v>
      </c>
      <c r="E64" s="236" t="s">
        <v>289</v>
      </c>
      <c r="F64" s="236" t="s">
        <v>295</v>
      </c>
      <c r="G64" s="55" t="s">
        <v>42</v>
      </c>
      <c r="H64" s="55" t="s">
        <v>155</v>
      </c>
      <c r="I64" s="55" t="s">
        <v>153</v>
      </c>
      <c r="J64" s="55" t="s">
        <v>38</v>
      </c>
      <c r="K64" s="55" t="s">
        <v>154</v>
      </c>
      <c r="L64" s="236">
        <v>3</v>
      </c>
      <c r="N64" s="55">
        <v>5</v>
      </c>
      <c r="O64" s="236">
        <v>0.7</v>
      </c>
      <c r="P64" s="236">
        <v>0.85</v>
      </c>
      <c r="Q64" s="57">
        <f t="shared" si="0"/>
        <v>0.77499999999999991</v>
      </c>
      <c r="R64" s="236">
        <v>15.9</v>
      </c>
      <c r="S64" s="236">
        <v>125</v>
      </c>
      <c r="T64" s="57">
        <f t="shared" si="4"/>
        <v>27</v>
      </c>
      <c r="U64" s="55">
        <v>429</v>
      </c>
      <c r="V64" s="58">
        <f t="shared" si="2"/>
        <v>2316.6</v>
      </c>
      <c r="W64" s="236">
        <v>1</v>
      </c>
      <c r="X64" s="55" t="s">
        <v>46</v>
      </c>
      <c r="Y64" s="55" t="s">
        <v>90</v>
      </c>
      <c r="Z64" s="55" t="s">
        <v>84</v>
      </c>
      <c r="AA64" s="55" t="s">
        <v>50</v>
      </c>
      <c r="AB64" s="55" t="s">
        <v>369</v>
      </c>
    </row>
    <row r="65" spans="1:30" x14ac:dyDescent="0.15">
      <c r="A65" s="55" t="s">
        <v>41</v>
      </c>
      <c r="B65" s="236" t="s">
        <v>334</v>
      </c>
      <c r="C65" s="152">
        <v>2018</v>
      </c>
      <c r="D65" s="56" t="s">
        <v>355</v>
      </c>
      <c r="E65" s="236" t="s">
        <v>289</v>
      </c>
      <c r="F65" s="236" t="s">
        <v>295</v>
      </c>
      <c r="G65" s="55" t="s">
        <v>42</v>
      </c>
      <c r="H65" s="55" t="s">
        <v>155</v>
      </c>
      <c r="I65" s="55" t="s">
        <v>153</v>
      </c>
      <c r="J65" s="55" t="s">
        <v>38</v>
      </c>
      <c r="K65" s="55" t="s">
        <v>154</v>
      </c>
      <c r="L65" s="236">
        <v>1</v>
      </c>
      <c r="N65" s="55">
        <v>3</v>
      </c>
      <c r="O65" s="236">
        <v>0.65</v>
      </c>
      <c r="P65" s="236">
        <v>0.65</v>
      </c>
      <c r="Q65" s="57">
        <f t="shared" si="0"/>
        <v>0.65</v>
      </c>
      <c r="R65" s="236">
        <v>15.4</v>
      </c>
      <c r="S65" s="236">
        <v>130</v>
      </c>
      <c r="T65" s="57">
        <f t="shared" si="4"/>
        <v>25</v>
      </c>
      <c r="U65" s="236">
        <v>324</v>
      </c>
      <c r="V65" s="58">
        <f t="shared" si="2"/>
        <v>2700</v>
      </c>
      <c r="W65" s="236">
        <v>1</v>
      </c>
      <c r="X65" s="55" t="s">
        <v>46</v>
      </c>
      <c r="Y65" s="55" t="s">
        <v>90</v>
      </c>
      <c r="Z65" s="55" t="s">
        <v>84</v>
      </c>
      <c r="AA65" s="55" t="s">
        <v>50</v>
      </c>
      <c r="AB65" s="55" t="s">
        <v>369</v>
      </c>
      <c r="AC65" s="55"/>
      <c r="AD65" s="55"/>
    </row>
    <row r="66" spans="1:30" x14ac:dyDescent="0.15">
      <c r="A66" s="55" t="s">
        <v>41</v>
      </c>
      <c r="B66" s="236" t="s">
        <v>334</v>
      </c>
      <c r="C66" s="152">
        <v>2018</v>
      </c>
      <c r="D66" s="56" t="s">
        <v>355</v>
      </c>
      <c r="E66" s="236" t="s">
        <v>289</v>
      </c>
      <c r="F66" s="236" t="s">
        <v>295</v>
      </c>
      <c r="G66" s="55" t="s">
        <v>42</v>
      </c>
      <c r="H66" s="55" t="s">
        <v>155</v>
      </c>
      <c r="I66" s="55" t="s">
        <v>153</v>
      </c>
      <c r="J66" s="55" t="s">
        <v>38</v>
      </c>
      <c r="K66" s="55" t="s">
        <v>154</v>
      </c>
      <c r="L66" s="236">
        <v>2</v>
      </c>
      <c r="N66" s="55">
        <v>3</v>
      </c>
      <c r="O66" s="236">
        <v>0.5</v>
      </c>
      <c r="P66" s="236">
        <v>0.65</v>
      </c>
      <c r="Q66" s="57">
        <f t="shared" ref="Q66:Q106" si="5">IF(OR(O66="",P66=""),"",AVERAGE(O66,P66))</f>
        <v>0.57499999999999996</v>
      </c>
      <c r="R66" s="236">
        <v>14.2</v>
      </c>
      <c r="S66" s="236">
        <v>132</v>
      </c>
      <c r="T66" s="57">
        <f t="shared" si="4"/>
        <v>25</v>
      </c>
      <c r="U66" s="236">
        <v>324</v>
      </c>
      <c r="V66" s="58">
        <f t="shared" ref="V66:V127" si="6">IF(OR(N66="",U66="",T66=""),"",U66/N66*T66)</f>
        <v>2700</v>
      </c>
      <c r="W66" s="236">
        <v>1</v>
      </c>
      <c r="X66" s="55" t="s">
        <v>46</v>
      </c>
      <c r="Y66" s="55" t="s">
        <v>90</v>
      </c>
      <c r="Z66" s="55" t="s">
        <v>84</v>
      </c>
      <c r="AA66" s="55" t="s">
        <v>50</v>
      </c>
      <c r="AB66" s="55" t="s">
        <v>369</v>
      </c>
      <c r="AC66" s="55"/>
      <c r="AD66" s="55"/>
    </row>
    <row r="67" spans="1:30" x14ac:dyDescent="0.15">
      <c r="A67" s="55" t="s">
        <v>41</v>
      </c>
      <c r="B67" s="236" t="s">
        <v>334</v>
      </c>
      <c r="C67" s="152">
        <v>2018</v>
      </c>
      <c r="D67" s="56" t="s">
        <v>355</v>
      </c>
      <c r="E67" s="236" t="s">
        <v>289</v>
      </c>
      <c r="F67" s="236" t="s">
        <v>295</v>
      </c>
      <c r="G67" s="55" t="s">
        <v>42</v>
      </c>
      <c r="H67" s="55" t="s">
        <v>155</v>
      </c>
      <c r="I67" s="55" t="s">
        <v>153</v>
      </c>
      <c r="J67" s="55" t="s">
        <v>38</v>
      </c>
      <c r="K67" s="55" t="s">
        <v>154</v>
      </c>
      <c r="L67" s="236">
        <v>3</v>
      </c>
      <c r="N67" s="55">
        <v>3</v>
      </c>
      <c r="O67" s="236">
        <v>0.65</v>
      </c>
      <c r="P67" s="236">
        <v>0.5</v>
      </c>
      <c r="Q67" s="57">
        <f t="shared" si="5"/>
        <v>0.57499999999999996</v>
      </c>
      <c r="R67" s="236">
        <v>13.8</v>
      </c>
      <c r="S67" s="236">
        <v>134</v>
      </c>
      <c r="T67" s="57">
        <f t="shared" si="4"/>
        <v>25</v>
      </c>
      <c r="U67" s="55">
        <v>324</v>
      </c>
      <c r="V67" s="58">
        <f t="shared" si="6"/>
        <v>2700</v>
      </c>
      <c r="W67" s="236">
        <v>1</v>
      </c>
      <c r="X67" s="55" t="s">
        <v>46</v>
      </c>
      <c r="Y67" s="55" t="s">
        <v>90</v>
      </c>
      <c r="Z67" s="55" t="s">
        <v>84</v>
      </c>
      <c r="AA67" s="55" t="s">
        <v>50</v>
      </c>
      <c r="AB67" s="55" t="s">
        <v>369</v>
      </c>
      <c r="AC67" s="55"/>
      <c r="AD67" s="55"/>
    </row>
    <row r="68" spans="1:30" x14ac:dyDescent="0.15">
      <c r="A68" s="55" t="s">
        <v>41</v>
      </c>
      <c r="B68" s="236" t="s">
        <v>334</v>
      </c>
      <c r="C68" s="152">
        <v>2018</v>
      </c>
      <c r="D68" s="56" t="s">
        <v>355</v>
      </c>
      <c r="E68" s="236" t="s">
        <v>289</v>
      </c>
      <c r="F68" s="236" t="s">
        <v>295</v>
      </c>
      <c r="G68" s="55" t="s">
        <v>42</v>
      </c>
      <c r="H68" s="55" t="s">
        <v>162</v>
      </c>
      <c r="I68" s="55" t="s">
        <v>153</v>
      </c>
      <c r="J68" s="55" t="s">
        <v>38</v>
      </c>
      <c r="K68" s="55" t="s">
        <v>154</v>
      </c>
      <c r="L68" s="236">
        <v>1</v>
      </c>
      <c r="N68" s="236">
        <v>8</v>
      </c>
      <c r="O68" s="236">
        <v>0.9</v>
      </c>
      <c r="P68" s="236">
        <v>0.85</v>
      </c>
      <c r="Q68" s="57">
        <f t="shared" si="5"/>
        <v>0.875</v>
      </c>
      <c r="R68" s="236">
        <v>16.399999999999999</v>
      </c>
      <c r="S68" s="236">
        <v>100</v>
      </c>
      <c r="T68" s="57">
        <f t="shared" si="4"/>
        <v>33</v>
      </c>
      <c r="U68" s="236">
        <v>1058</v>
      </c>
      <c r="V68" s="58">
        <f t="shared" si="6"/>
        <v>4364.25</v>
      </c>
      <c r="W68" s="236">
        <v>1</v>
      </c>
      <c r="X68" s="55" t="s">
        <v>46</v>
      </c>
      <c r="Y68" s="55" t="s">
        <v>90</v>
      </c>
      <c r="Z68" s="55" t="s">
        <v>84</v>
      </c>
      <c r="AA68" s="55" t="s">
        <v>50</v>
      </c>
      <c r="AB68" s="55" t="s">
        <v>369</v>
      </c>
      <c r="AC68" s="55"/>
      <c r="AD68" s="55"/>
    </row>
    <row r="69" spans="1:30" x14ac:dyDescent="0.15">
      <c r="A69" s="55" t="s">
        <v>41</v>
      </c>
      <c r="B69" s="236" t="s">
        <v>334</v>
      </c>
      <c r="C69" s="152">
        <v>2018</v>
      </c>
      <c r="D69" s="56" t="s">
        <v>355</v>
      </c>
      <c r="E69" s="236" t="s">
        <v>289</v>
      </c>
      <c r="F69" s="236" t="s">
        <v>295</v>
      </c>
      <c r="G69" s="55" t="s">
        <v>42</v>
      </c>
      <c r="H69" s="55" t="s">
        <v>162</v>
      </c>
      <c r="I69" s="55" t="s">
        <v>153</v>
      </c>
      <c r="J69" s="55" t="s">
        <v>38</v>
      </c>
      <c r="K69" s="55" t="s">
        <v>154</v>
      </c>
      <c r="L69" s="236">
        <v>2</v>
      </c>
      <c r="N69" s="236">
        <v>8</v>
      </c>
      <c r="O69" s="236">
        <v>0.45</v>
      </c>
      <c r="P69" s="236">
        <v>0.6</v>
      </c>
      <c r="Q69" s="57">
        <f t="shared" si="5"/>
        <v>0.52500000000000002</v>
      </c>
      <c r="R69" s="236">
        <v>15.2</v>
      </c>
      <c r="S69" s="236">
        <v>105</v>
      </c>
      <c r="T69" s="57">
        <f t="shared" si="4"/>
        <v>33</v>
      </c>
      <c r="U69" s="236">
        <v>1058</v>
      </c>
      <c r="V69" s="58">
        <f t="shared" si="6"/>
        <v>4364.25</v>
      </c>
      <c r="W69" s="236">
        <v>1</v>
      </c>
      <c r="X69" s="55" t="s">
        <v>46</v>
      </c>
      <c r="Y69" s="55" t="s">
        <v>90</v>
      </c>
      <c r="Z69" s="55" t="s">
        <v>84</v>
      </c>
      <c r="AA69" s="55" t="s">
        <v>50</v>
      </c>
      <c r="AB69" s="55" t="s">
        <v>369</v>
      </c>
    </row>
    <row r="70" spans="1:30" x14ac:dyDescent="0.15">
      <c r="A70" s="55" t="s">
        <v>41</v>
      </c>
      <c r="B70" s="236" t="s">
        <v>334</v>
      </c>
      <c r="C70" s="152">
        <v>2018</v>
      </c>
      <c r="D70" s="56" t="s">
        <v>355</v>
      </c>
      <c r="E70" s="236" t="s">
        <v>289</v>
      </c>
      <c r="F70" s="236" t="s">
        <v>295</v>
      </c>
      <c r="G70" s="55" t="s">
        <v>42</v>
      </c>
      <c r="H70" s="55" t="s">
        <v>162</v>
      </c>
      <c r="I70" s="55" t="s">
        <v>153</v>
      </c>
      <c r="J70" s="55" t="s">
        <v>38</v>
      </c>
      <c r="K70" s="55" t="s">
        <v>154</v>
      </c>
      <c r="L70" s="236">
        <v>3</v>
      </c>
      <c r="N70" s="236">
        <v>8</v>
      </c>
      <c r="O70" s="236">
        <v>0.6</v>
      </c>
      <c r="P70" s="236">
        <v>0.7</v>
      </c>
      <c r="Q70" s="57">
        <f t="shared" si="5"/>
        <v>0.64999999999999991</v>
      </c>
      <c r="R70" s="236">
        <v>15</v>
      </c>
      <c r="S70" s="236">
        <v>104</v>
      </c>
      <c r="T70" s="57">
        <f t="shared" si="4"/>
        <v>33</v>
      </c>
      <c r="U70" s="236">
        <v>1058</v>
      </c>
      <c r="V70" s="58">
        <f t="shared" si="6"/>
        <v>4364.25</v>
      </c>
      <c r="W70" s="236">
        <v>1</v>
      </c>
      <c r="X70" s="55" t="s">
        <v>46</v>
      </c>
      <c r="Y70" s="55" t="s">
        <v>90</v>
      </c>
      <c r="Z70" s="55" t="s">
        <v>84</v>
      </c>
      <c r="AA70" s="55" t="s">
        <v>50</v>
      </c>
      <c r="AB70" s="55" t="s">
        <v>369</v>
      </c>
    </row>
    <row r="71" spans="1:30" x14ac:dyDescent="0.15">
      <c r="A71" s="55" t="s">
        <v>41</v>
      </c>
      <c r="B71" s="236" t="s">
        <v>334</v>
      </c>
      <c r="C71" s="152">
        <v>2018</v>
      </c>
      <c r="D71" s="56" t="s">
        <v>355</v>
      </c>
      <c r="E71" s="236" t="s">
        <v>289</v>
      </c>
      <c r="F71" s="236" t="s">
        <v>295</v>
      </c>
      <c r="G71" s="55" t="s">
        <v>42</v>
      </c>
      <c r="H71" s="55" t="s">
        <v>162</v>
      </c>
      <c r="I71" s="55" t="s">
        <v>153</v>
      </c>
      <c r="J71" s="55" t="s">
        <v>38</v>
      </c>
      <c r="K71" s="55" t="s">
        <v>154</v>
      </c>
      <c r="L71" s="236">
        <v>1</v>
      </c>
      <c r="N71" s="55">
        <v>1</v>
      </c>
      <c r="O71" s="55">
        <v>1</v>
      </c>
      <c r="P71" s="257">
        <v>1.1000000000000001</v>
      </c>
      <c r="Q71" s="258">
        <f t="shared" si="5"/>
        <v>1.05</v>
      </c>
      <c r="R71" s="55">
        <v>13.8</v>
      </c>
      <c r="S71" s="55">
        <v>134</v>
      </c>
      <c r="T71" s="57">
        <f t="shared" si="4"/>
        <v>25</v>
      </c>
      <c r="U71" s="236">
        <v>170</v>
      </c>
      <c r="V71" s="58">
        <f t="shared" si="6"/>
        <v>4250</v>
      </c>
      <c r="W71" s="236">
        <v>1</v>
      </c>
      <c r="X71" s="55" t="s">
        <v>46</v>
      </c>
      <c r="Y71" s="55" t="s">
        <v>90</v>
      </c>
      <c r="Z71" s="55" t="s">
        <v>84</v>
      </c>
      <c r="AA71" s="55" t="s">
        <v>50</v>
      </c>
      <c r="AB71" s="55" t="s">
        <v>369</v>
      </c>
    </row>
    <row r="72" spans="1:30" x14ac:dyDescent="0.15">
      <c r="A72" s="55" t="s">
        <v>41</v>
      </c>
      <c r="B72" s="236" t="s">
        <v>334</v>
      </c>
      <c r="C72" s="152">
        <v>2018</v>
      </c>
      <c r="D72" s="56" t="s">
        <v>355</v>
      </c>
      <c r="E72" s="236" t="s">
        <v>289</v>
      </c>
      <c r="F72" s="236" t="s">
        <v>295</v>
      </c>
      <c r="G72" s="55" t="s">
        <v>42</v>
      </c>
      <c r="H72" s="55" t="s">
        <v>162</v>
      </c>
      <c r="I72" s="55" t="s">
        <v>153</v>
      </c>
      <c r="J72" s="55" t="s">
        <v>38</v>
      </c>
      <c r="K72" s="55" t="s">
        <v>154</v>
      </c>
      <c r="L72" s="236">
        <v>2</v>
      </c>
      <c r="N72" s="55">
        <v>1</v>
      </c>
      <c r="O72" s="55">
        <v>0.85</v>
      </c>
      <c r="P72" s="55">
        <v>0.95</v>
      </c>
      <c r="Q72" s="258">
        <f t="shared" si="5"/>
        <v>0.89999999999999991</v>
      </c>
      <c r="R72" s="55">
        <v>15.3</v>
      </c>
      <c r="S72" s="55">
        <v>138</v>
      </c>
      <c r="T72" s="57">
        <f t="shared" si="4"/>
        <v>22</v>
      </c>
      <c r="U72" s="236">
        <v>170</v>
      </c>
      <c r="V72" s="58">
        <f t="shared" si="6"/>
        <v>3740</v>
      </c>
      <c r="W72" s="236">
        <v>1</v>
      </c>
      <c r="X72" s="55" t="s">
        <v>46</v>
      </c>
      <c r="Y72" s="55" t="s">
        <v>90</v>
      </c>
      <c r="Z72" s="55" t="s">
        <v>84</v>
      </c>
      <c r="AA72" s="55" t="s">
        <v>50</v>
      </c>
      <c r="AB72" s="55" t="s">
        <v>369</v>
      </c>
    </row>
    <row r="73" spans="1:30" x14ac:dyDescent="0.15">
      <c r="A73" s="55" t="s">
        <v>41</v>
      </c>
      <c r="B73" s="236" t="s">
        <v>334</v>
      </c>
      <c r="C73" s="152">
        <v>2018</v>
      </c>
      <c r="D73" s="56" t="s">
        <v>355</v>
      </c>
      <c r="E73" s="236" t="s">
        <v>289</v>
      </c>
      <c r="F73" s="236" t="s">
        <v>295</v>
      </c>
      <c r="G73" s="55" t="s">
        <v>42</v>
      </c>
      <c r="H73" s="55" t="s">
        <v>162</v>
      </c>
      <c r="I73" s="55" t="s">
        <v>153</v>
      </c>
      <c r="J73" s="55" t="s">
        <v>38</v>
      </c>
      <c r="K73" s="55" t="s">
        <v>154</v>
      </c>
      <c r="L73" s="236">
        <v>3</v>
      </c>
      <c r="N73" s="55">
        <v>1</v>
      </c>
      <c r="O73" s="55">
        <v>0.95</v>
      </c>
      <c r="P73" s="55">
        <v>0.85</v>
      </c>
      <c r="Q73" s="258">
        <f t="shared" si="5"/>
        <v>0.89999999999999991</v>
      </c>
      <c r="R73" s="55">
        <v>16.3</v>
      </c>
      <c r="S73" s="55">
        <v>135</v>
      </c>
      <c r="T73" s="57">
        <f t="shared" si="4"/>
        <v>25</v>
      </c>
      <c r="U73" s="55">
        <v>170</v>
      </c>
      <c r="V73" s="58">
        <f t="shared" si="6"/>
        <v>4250</v>
      </c>
      <c r="W73" s="236">
        <v>1</v>
      </c>
      <c r="X73" s="55" t="s">
        <v>46</v>
      </c>
      <c r="Y73" s="55" t="s">
        <v>90</v>
      </c>
      <c r="Z73" s="55" t="s">
        <v>84</v>
      </c>
      <c r="AA73" s="55" t="s">
        <v>50</v>
      </c>
      <c r="AB73" s="55" t="s">
        <v>369</v>
      </c>
    </row>
    <row r="74" spans="1:30" x14ac:dyDescent="0.15">
      <c r="A74" s="55" t="s">
        <v>41</v>
      </c>
      <c r="B74" s="236" t="s">
        <v>334</v>
      </c>
      <c r="C74" s="152">
        <v>2018</v>
      </c>
      <c r="D74" s="56" t="s">
        <v>355</v>
      </c>
      <c r="E74" s="236" t="s">
        <v>289</v>
      </c>
      <c r="F74" s="236" t="s">
        <v>295</v>
      </c>
      <c r="G74" s="55" t="s">
        <v>42</v>
      </c>
      <c r="H74" s="55" t="s">
        <v>162</v>
      </c>
      <c r="I74" s="55" t="s">
        <v>153</v>
      </c>
      <c r="J74" s="55" t="s">
        <v>38</v>
      </c>
      <c r="K74" s="55" t="s">
        <v>154</v>
      </c>
      <c r="L74" s="236">
        <v>1</v>
      </c>
      <c r="N74" s="55">
        <v>4</v>
      </c>
      <c r="O74" s="55">
        <v>0.45</v>
      </c>
      <c r="P74" s="55">
        <v>0.5</v>
      </c>
      <c r="Q74" s="82">
        <f t="shared" si="5"/>
        <v>0.47499999999999998</v>
      </c>
      <c r="R74" s="55">
        <v>15.4</v>
      </c>
      <c r="S74" s="55">
        <v>128</v>
      </c>
      <c r="T74" s="57">
        <f t="shared" si="4"/>
        <v>27</v>
      </c>
      <c r="U74" s="236">
        <v>645</v>
      </c>
      <c r="V74" s="58">
        <f t="shared" si="6"/>
        <v>4353.75</v>
      </c>
      <c r="W74" s="236">
        <v>1</v>
      </c>
      <c r="X74" s="55" t="s">
        <v>46</v>
      </c>
      <c r="Y74" s="55" t="s">
        <v>90</v>
      </c>
      <c r="Z74" s="55" t="s">
        <v>84</v>
      </c>
      <c r="AA74" s="55" t="s">
        <v>50</v>
      </c>
      <c r="AB74" s="55" t="s">
        <v>369</v>
      </c>
    </row>
    <row r="75" spans="1:30" x14ac:dyDescent="0.15">
      <c r="A75" s="55" t="s">
        <v>41</v>
      </c>
      <c r="B75" s="236" t="s">
        <v>334</v>
      </c>
      <c r="C75" s="152">
        <v>2018</v>
      </c>
      <c r="D75" s="56" t="s">
        <v>355</v>
      </c>
      <c r="E75" s="236" t="s">
        <v>289</v>
      </c>
      <c r="F75" s="236" t="s">
        <v>295</v>
      </c>
      <c r="G75" s="55" t="s">
        <v>42</v>
      </c>
      <c r="H75" s="55" t="s">
        <v>162</v>
      </c>
      <c r="I75" s="55" t="s">
        <v>153</v>
      </c>
      <c r="J75" s="55" t="s">
        <v>38</v>
      </c>
      <c r="K75" s="55" t="s">
        <v>154</v>
      </c>
      <c r="L75" s="236">
        <v>2</v>
      </c>
      <c r="N75" s="55">
        <v>4</v>
      </c>
      <c r="O75" s="55">
        <v>0.35</v>
      </c>
      <c r="P75" s="55">
        <v>0.3</v>
      </c>
      <c r="Q75" s="82">
        <f t="shared" si="5"/>
        <v>0.32499999999999996</v>
      </c>
      <c r="R75" s="55">
        <v>14.4</v>
      </c>
      <c r="S75" s="55">
        <v>130</v>
      </c>
      <c r="T75" s="57">
        <f t="shared" si="4"/>
        <v>25</v>
      </c>
      <c r="U75" s="236">
        <v>645</v>
      </c>
      <c r="V75" s="58">
        <f t="shared" si="6"/>
        <v>4031.25</v>
      </c>
      <c r="W75" s="236">
        <v>1</v>
      </c>
      <c r="X75" s="55" t="s">
        <v>46</v>
      </c>
      <c r="Y75" s="55" t="s">
        <v>90</v>
      </c>
      <c r="Z75" s="55" t="s">
        <v>84</v>
      </c>
      <c r="AA75" s="55" t="s">
        <v>50</v>
      </c>
      <c r="AB75" s="55" t="s">
        <v>369</v>
      </c>
    </row>
    <row r="76" spans="1:30" x14ac:dyDescent="0.15">
      <c r="A76" s="55" t="s">
        <v>41</v>
      </c>
      <c r="B76" s="236" t="s">
        <v>334</v>
      </c>
      <c r="C76" s="152">
        <v>2018</v>
      </c>
      <c r="D76" s="56" t="s">
        <v>355</v>
      </c>
      <c r="E76" s="236" t="s">
        <v>289</v>
      </c>
      <c r="F76" s="236" t="s">
        <v>295</v>
      </c>
      <c r="G76" s="55" t="s">
        <v>42</v>
      </c>
      <c r="H76" s="55" t="s">
        <v>162</v>
      </c>
      <c r="I76" s="55" t="s">
        <v>153</v>
      </c>
      <c r="J76" s="55" t="s">
        <v>38</v>
      </c>
      <c r="K76" s="55" t="s">
        <v>154</v>
      </c>
      <c r="L76" s="236">
        <v>3</v>
      </c>
      <c r="N76" s="55">
        <v>4</v>
      </c>
      <c r="O76" s="55">
        <v>0.35</v>
      </c>
      <c r="P76" s="55">
        <v>0.3</v>
      </c>
      <c r="Q76" s="82">
        <f t="shared" si="5"/>
        <v>0.32499999999999996</v>
      </c>
      <c r="R76" s="55">
        <v>14.7</v>
      </c>
      <c r="S76" s="55">
        <v>128</v>
      </c>
      <c r="T76" s="57">
        <f t="shared" si="4"/>
        <v>27</v>
      </c>
      <c r="U76" s="55">
        <v>645</v>
      </c>
      <c r="V76" s="58">
        <f t="shared" si="6"/>
        <v>4353.75</v>
      </c>
      <c r="W76" s="236">
        <v>1</v>
      </c>
      <c r="X76" s="55" t="s">
        <v>46</v>
      </c>
      <c r="Y76" s="55" t="s">
        <v>90</v>
      </c>
      <c r="Z76" s="55" t="s">
        <v>84</v>
      </c>
      <c r="AA76" s="55" t="s">
        <v>50</v>
      </c>
      <c r="AB76" s="55" t="s">
        <v>369</v>
      </c>
    </row>
    <row r="77" spans="1:30" x14ac:dyDescent="0.15">
      <c r="A77" s="55" t="s">
        <v>41</v>
      </c>
      <c r="B77" s="236" t="s">
        <v>334</v>
      </c>
      <c r="C77" s="152">
        <v>2018</v>
      </c>
      <c r="D77" s="56" t="s">
        <v>355</v>
      </c>
      <c r="E77" s="55" t="s">
        <v>291</v>
      </c>
      <c r="F77" s="236" t="s">
        <v>296</v>
      </c>
      <c r="G77" s="55" t="s">
        <v>42</v>
      </c>
      <c r="H77" s="55" t="s">
        <v>155</v>
      </c>
      <c r="I77" s="55" t="s">
        <v>153</v>
      </c>
      <c r="J77" s="55" t="s">
        <v>38</v>
      </c>
      <c r="K77" s="55" t="s">
        <v>154</v>
      </c>
      <c r="L77" s="236">
        <v>1</v>
      </c>
      <c r="N77" s="236">
        <v>1</v>
      </c>
      <c r="O77" s="55">
        <v>1.5</v>
      </c>
      <c r="P77" s="55">
        <v>1.35</v>
      </c>
      <c r="Q77" s="82">
        <f t="shared" si="5"/>
        <v>1.425</v>
      </c>
      <c r="R77" s="55">
        <v>13.8</v>
      </c>
      <c r="S77" s="55">
        <v>132</v>
      </c>
      <c r="T77" s="57">
        <f t="shared" si="4"/>
        <v>25</v>
      </c>
      <c r="U77" s="236">
        <v>105</v>
      </c>
      <c r="V77" s="58">
        <f t="shared" si="6"/>
        <v>2625</v>
      </c>
      <c r="W77" s="236">
        <v>3</v>
      </c>
      <c r="X77" s="55" t="s">
        <v>46</v>
      </c>
      <c r="Y77" s="55" t="s">
        <v>90</v>
      </c>
      <c r="Z77" s="55" t="s">
        <v>84</v>
      </c>
      <c r="AA77" s="55" t="s">
        <v>69</v>
      </c>
      <c r="AB77" s="55" t="s">
        <v>369</v>
      </c>
    </row>
    <row r="78" spans="1:30" x14ac:dyDescent="0.15">
      <c r="A78" s="55" t="s">
        <v>41</v>
      </c>
      <c r="B78" s="236" t="s">
        <v>334</v>
      </c>
      <c r="C78" s="152">
        <v>2018</v>
      </c>
      <c r="D78" s="56" t="s">
        <v>355</v>
      </c>
      <c r="E78" s="55" t="s">
        <v>291</v>
      </c>
      <c r="F78" s="236" t="s">
        <v>296</v>
      </c>
      <c r="G78" s="55" t="s">
        <v>42</v>
      </c>
      <c r="H78" s="55" t="s">
        <v>155</v>
      </c>
      <c r="I78" s="55" t="s">
        <v>153</v>
      </c>
      <c r="J78" s="55" t="s">
        <v>38</v>
      </c>
      <c r="K78" s="55" t="s">
        <v>154</v>
      </c>
      <c r="L78" s="236">
        <v>2</v>
      </c>
      <c r="N78" s="236">
        <v>1</v>
      </c>
      <c r="O78" s="55">
        <v>1.2</v>
      </c>
      <c r="P78" s="55">
        <v>1.25</v>
      </c>
      <c r="Q78" s="82">
        <f t="shared" si="5"/>
        <v>1.2250000000000001</v>
      </c>
      <c r="R78" s="55">
        <v>14.5</v>
      </c>
      <c r="S78" s="55">
        <v>134</v>
      </c>
      <c r="T78" s="57">
        <f t="shared" si="4"/>
        <v>25</v>
      </c>
      <c r="U78" s="236">
        <v>105</v>
      </c>
      <c r="V78" s="58">
        <f t="shared" si="6"/>
        <v>2625</v>
      </c>
      <c r="W78" s="236">
        <v>3</v>
      </c>
      <c r="X78" s="55" t="s">
        <v>46</v>
      </c>
      <c r="Y78" s="55" t="s">
        <v>90</v>
      </c>
      <c r="Z78" s="55" t="s">
        <v>84</v>
      </c>
      <c r="AA78" s="55" t="s">
        <v>69</v>
      </c>
      <c r="AB78" s="55" t="s">
        <v>369</v>
      </c>
    </row>
    <row r="79" spans="1:30" x14ac:dyDescent="0.15">
      <c r="A79" s="55" t="s">
        <v>41</v>
      </c>
      <c r="B79" s="236" t="s">
        <v>334</v>
      </c>
      <c r="C79" s="152">
        <v>2018</v>
      </c>
      <c r="D79" s="56" t="s">
        <v>355</v>
      </c>
      <c r="E79" s="55" t="s">
        <v>291</v>
      </c>
      <c r="F79" s="236" t="s">
        <v>296</v>
      </c>
      <c r="G79" s="55" t="s">
        <v>42</v>
      </c>
      <c r="H79" s="55" t="s">
        <v>155</v>
      </c>
      <c r="I79" s="55" t="s">
        <v>153</v>
      </c>
      <c r="J79" s="55" t="s">
        <v>38</v>
      </c>
      <c r="K79" s="55" t="s">
        <v>154</v>
      </c>
      <c r="L79" s="236">
        <v>3</v>
      </c>
      <c r="N79" s="236">
        <v>1</v>
      </c>
      <c r="O79" s="55">
        <v>1</v>
      </c>
      <c r="P79" s="55">
        <v>1.2</v>
      </c>
      <c r="Q79" s="82">
        <f t="shared" si="5"/>
        <v>1.1000000000000001</v>
      </c>
      <c r="R79" s="55">
        <v>14</v>
      </c>
      <c r="S79" s="55">
        <v>129</v>
      </c>
      <c r="T79" s="57">
        <f t="shared" si="4"/>
        <v>25</v>
      </c>
      <c r="U79" s="236">
        <v>105</v>
      </c>
      <c r="V79" s="58">
        <f t="shared" si="6"/>
        <v>2625</v>
      </c>
      <c r="W79" s="236">
        <v>3</v>
      </c>
      <c r="X79" s="55" t="s">
        <v>46</v>
      </c>
      <c r="Y79" s="55" t="s">
        <v>90</v>
      </c>
      <c r="Z79" s="55" t="s">
        <v>84</v>
      </c>
      <c r="AA79" s="55" t="s">
        <v>69</v>
      </c>
      <c r="AB79" s="55" t="s">
        <v>369</v>
      </c>
    </row>
    <row r="80" spans="1:30" x14ac:dyDescent="0.15">
      <c r="A80" s="55" t="s">
        <v>41</v>
      </c>
      <c r="B80" s="236" t="s">
        <v>334</v>
      </c>
      <c r="C80" s="152">
        <v>2018</v>
      </c>
      <c r="D80" s="56" t="s">
        <v>355</v>
      </c>
      <c r="E80" s="55" t="s">
        <v>291</v>
      </c>
      <c r="F80" s="236" t="s">
        <v>296</v>
      </c>
      <c r="G80" s="55" t="s">
        <v>42</v>
      </c>
      <c r="H80" s="55" t="s">
        <v>155</v>
      </c>
      <c r="I80" s="55" t="s">
        <v>153</v>
      </c>
      <c r="J80" s="55" t="s">
        <v>38</v>
      </c>
      <c r="K80" s="55" t="s">
        <v>154</v>
      </c>
      <c r="L80" s="236">
        <v>1</v>
      </c>
      <c r="N80" s="236">
        <v>3</v>
      </c>
      <c r="O80" s="236">
        <v>0.75</v>
      </c>
      <c r="P80" s="236">
        <v>0.85</v>
      </c>
      <c r="Q80" s="57">
        <f t="shared" si="5"/>
        <v>0.8</v>
      </c>
      <c r="R80" s="236">
        <v>12.9</v>
      </c>
      <c r="S80" s="236">
        <v>135</v>
      </c>
      <c r="T80" s="57">
        <f t="shared" si="4"/>
        <v>25</v>
      </c>
      <c r="U80" s="236">
        <v>419</v>
      </c>
      <c r="V80" s="58">
        <f t="shared" si="6"/>
        <v>3491.6666666666665</v>
      </c>
      <c r="W80" s="236">
        <v>1</v>
      </c>
      <c r="X80" s="55" t="s">
        <v>46</v>
      </c>
      <c r="Y80" s="55" t="s">
        <v>90</v>
      </c>
      <c r="Z80" s="55" t="s">
        <v>84</v>
      </c>
      <c r="AA80" s="55" t="s">
        <v>69</v>
      </c>
      <c r="AB80" s="55" t="s">
        <v>369</v>
      </c>
    </row>
    <row r="81" spans="1:28" x14ac:dyDescent="0.15">
      <c r="A81" s="55" t="s">
        <v>41</v>
      </c>
      <c r="B81" s="236" t="s">
        <v>334</v>
      </c>
      <c r="C81" s="152">
        <v>2018</v>
      </c>
      <c r="D81" s="56" t="s">
        <v>355</v>
      </c>
      <c r="E81" s="55" t="s">
        <v>291</v>
      </c>
      <c r="F81" s="236" t="s">
        <v>296</v>
      </c>
      <c r="G81" s="55" t="s">
        <v>42</v>
      </c>
      <c r="H81" s="55" t="s">
        <v>155</v>
      </c>
      <c r="I81" s="55" t="s">
        <v>153</v>
      </c>
      <c r="J81" s="55" t="s">
        <v>38</v>
      </c>
      <c r="K81" s="55" t="s">
        <v>154</v>
      </c>
      <c r="L81" s="236">
        <v>2</v>
      </c>
      <c r="N81" s="236">
        <v>3</v>
      </c>
      <c r="O81" s="236">
        <v>0.65</v>
      </c>
      <c r="P81" s="236">
        <v>0.75</v>
      </c>
      <c r="Q81" s="57">
        <f t="shared" si="5"/>
        <v>0.7</v>
      </c>
      <c r="R81" s="236">
        <v>13.8</v>
      </c>
      <c r="S81" s="236">
        <v>130</v>
      </c>
      <c r="T81" s="57">
        <f t="shared" si="4"/>
        <v>25</v>
      </c>
      <c r="U81" s="236">
        <v>419</v>
      </c>
      <c r="V81" s="58">
        <f t="shared" si="6"/>
        <v>3491.6666666666665</v>
      </c>
      <c r="W81" s="236">
        <v>1</v>
      </c>
      <c r="X81" s="55" t="s">
        <v>46</v>
      </c>
      <c r="Y81" s="55" t="s">
        <v>90</v>
      </c>
      <c r="Z81" s="55" t="s">
        <v>84</v>
      </c>
      <c r="AA81" s="55" t="s">
        <v>69</v>
      </c>
      <c r="AB81" s="55" t="s">
        <v>369</v>
      </c>
    </row>
    <row r="82" spans="1:28" x14ac:dyDescent="0.15">
      <c r="A82" s="55" t="s">
        <v>41</v>
      </c>
      <c r="B82" s="236" t="s">
        <v>334</v>
      </c>
      <c r="C82" s="152">
        <v>2018</v>
      </c>
      <c r="D82" s="56" t="s">
        <v>355</v>
      </c>
      <c r="E82" s="55" t="s">
        <v>291</v>
      </c>
      <c r="F82" s="236" t="s">
        <v>296</v>
      </c>
      <c r="G82" s="55" t="s">
        <v>42</v>
      </c>
      <c r="H82" s="55" t="s">
        <v>155</v>
      </c>
      <c r="I82" s="55" t="s">
        <v>153</v>
      </c>
      <c r="J82" s="55" t="s">
        <v>38</v>
      </c>
      <c r="K82" s="55" t="s">
        <v>154</v>
      </c>
      <c r="L82" s="236">
        <v>3</v>
      </c>
      <c r="N82" s="236">
        <v>3</v>
      </c>
      <c r="O82" s="236">
        <v>0.65</v>
      </c>
      <c r="P82" s="236">
        <v>0.6</v>
      </c>
      <c r="Q82" s="57">
        <f t="shared" si="5"/>
        <v>0.625</v>
      </c>
      <c r="R82" s="236">
        <v>15.1</v>
      </c>
      <c r="S82" s="236">
        <v>131</v>
      </c>
      <c r="T82" s="57">
        <f t="shared" si="4"/>
        <v>25</v>
      </c>
      <c r="U82" s="236">
        <v>419</v>
      </c>
      <c r="V82" s="58">
        <f t="shared" si="6"/>
        <v>3491.6666666666665</v>
      </c>
      <c r="W82" s="236">
        <v>1</v>
      </c>
      <c r="X82" s="55" t="s">
        <v>46</v>
      </c>
      <c r="Y82" s="55" t="s">
        <v>90</v>
      </c>
      <c r="Z82" s="55" t="s">
        <v>84</v>
      </c>
      <c r="AA82" s="55" t="s">
        <v>69</v>
      </c>
      <c r="AB82" s="55" t="s">
        <v>369</v>
      </c>
    </row>
    <row r="83" spans="1:28" x14ac:dyDescent="0.15">
      <c r="A83" s="55" t="s">
        <v>41</v>
      </c>
      <c r="B83" s="236" t="s">
        <v>334</v>
      </c>
      <c r="C83" s="152">
        <v>2018</v>
      </c>
      <c r="D83" s="56" t="s">
        <v>355</v>
      </c>
      <c r="E83" s="55" t="s">
        <v>291</v>
      </c>
      <c r="F83" s="236" t="s">
        <v>296</v>
      </c>
      <c r="G83" s="55" t="s">
        <v>42</v>
      </c>
      <c r="H83" s="55" t="s">
        <v>162</v>
      </c>
      <c r="I83" s="55" t="s">
        <v>153</v>
      </c>
      <c r="J83" s="55" t="s">
        <v>38</v>
      </c>
      <c r="K83" s="55" t="s">
        <v>154</v>
      </c>
      <c r="L83" s="236">
        <v>1</v>
      </c>
      <c r="N83" s="55">
        <v>1</v>
      </c>
      <c r="O83" s="236">
        <v>0.45</v>
      </c>
      <c r="P83" s="236">
        <v>0.5</v>
      </c>
      <c r="Q83" s="57">
        <f t="shared" si="5"/>
        <v>0.47499999999999998</v>
      </c>
      <c r="R83" s="236">
        <v>14.7</v>
      </c>
      <c r="S83" s="236">
        <v>124</v>
      </c>
      <c r="T83" s="57">
        <f t="shared" si="4"/>
        <v>27</v>
      </c>
      <c r="U83" s="236">
        <v>138</v>
      </c>
      <c r="V83" s="58">
        <f t="shared" si="6"/>
        <v>3726</v>
      </c>
      <c r="W83" s="236">
        <v>1</v>
      </c>
      <c r="X83" s="55" t="s">
        <v>46</v>
      </c>
      <c r="Y83" s="55" t="s">
        <v>90</v>
      </c>
      <c r="Z83" s="55" t="s">
        <v>84</v>
      </c>
      <c r="AA83" s="55" t="s">
        <v>69</v>
      </c>
      <c r="AB83" s="55" t="s">
        <v>369</v>
      </c>
    </row>
    <row r="84" spans="1:28" x14ac:dyDescent="0.15">
      <c r="A84" s="55" t="s">
        <v>41</v>
      </c>
      <c r="B84" s="236" t="s">
        <v>334</v>
      </c>
      <c r="C84" s="152">
        <v>2018</v>
      </c>
      <c r="D84" s="56" t="s">
        <v>355</v>
      </c>
      <c r="E84" s="55" t="s">
        <v>291</v>
      </c>
      <c r="F84" s="236" t="s">
        <v>296</v>
      </c>
      <c r="G84" s="55" t="s">
        <v>42</v>
      </c>
      <c r="H84" s="55" t="s">
        <v>162</v>
      </c>
      <c r="I84" s="55" t="s">
        <v>153</v>
      </c>
      <c r="J84" s="55" t="s">
        <v>38</v>
      </c>
      <c r="K84" s="55" t="s">
        <v>154</v>
      </c>
      <c r="L84" s="236">
        <v>2</v>
      </c>
      <c r="N84" s="55">
        <v>1</v>
      </c>
      <c r="O84" s="236">
        <v>0.5</v>
      </c>
      <c r="P84" s="236">
        <v>0.45</v>
      </c>
      <c r="Q84" s="57">
        <f t="shared" si="5"/>
        <v>0.47499999999999998</v>
      </c>
      <c r="R84" s="236">
        <v>15.6</v>
      </c>
      <c r="S84" s="236">
        <v>125</v>
      </c>
      <c r="T84" s="57">
        <f t="shared" si="4"/>
        <v>27</v>
      </c>
      <c r="U84" s="236">
        <v>138</v>
      </c>
      <c r="V84" s="58">
        <f t="shared" si="6"/>
        <v>3726</v>
      </c>
      <c r="W84" s="236">
        <v>1</v>
      </c>
      <c r="X84" s="55" t="s">
        <v>46</v>
      </c>
      <c r="Y84" s="55" t="s">
        <v>90</v>
      </c>
      <c r="Z84" s="55" t="s">
        <v>84</v>
      </c>
      <c r="AA84" s="55" t="s">
        <v>69</v>
      </c>
      <c r="AB84" s="55" t="s">
        <v>369</v>
      </c>
    </row>
    <row r="85" spans="1:28" x14ac:dyDescent="0.15">
      <c r="A85" s="55" t="s">
        <v>41</v>
      </c>
      <c r="B85" s="236" t="s">
        <v>334</v>
      </c>
      <c r="C85" s="152">
        <v>2018</v>
      </c>
      <c r="D85" s="56" t="s">
        <v>355</v>
      </c>
      <c r="E85" s="55" t="s">
        <v>291</v>
      </c>
      <c r="F85" s="236" t="s">
        <v>296</v>
      </c>
      <c r="G85" s="55" t="s">
        <v>42</v>
      </c>
      <c r="H85" s="55" t="s">
        <v>162</v>
      </c>
      <c r="I85" s="55" t="s">
        <v>153</v>
      </c>
      <c r="J85" s="55" t="s">
        <v>38</v>
      </c>
      <c r="K85" s="55" t="s">
        <v>154</v>
      </c>
      <c r="L85" s="236">
        <v>3</v>
      </c>
      <c r="N85" s="236">
        <v>1</v>
      </c>
      <c r="O85" s="236">
        <v>0.5</v>
      </c>
      <c r="P85" s="236">
        <v>0.6</v>
      </c>
      <c r="Q85" s="57">
        <f t="shared" si="5"/>
        <v>0.55000000000000004</v>
      </c>
      <c r="R85" s="236">
        <v>16.100000000000001</v>
      </c>
      <c r="S85" s="236">
        <v>126</v>
      </c>
      <c r="T85" s="57">
        <f t="shared" si="4"/>
        <v>27</v>
      </c>
      <c r="U85" s="236">
        <v>138</v>
      </c>
      <c r="V85" s="58">
        <f t="shared" si="6"/>
        <v>3726</v>
      </c>
      <c r="W85" s="236">
        <v>1</v>
      </c>
      <c r="X85" s="55" t="s">
        <v>46</v>
      </c>
      <c r="Y85" s="55" t="s">
        <v>90</v>
      </c>
      <c r="Z85" s="55" t="s">
        <v>84</v>
      </c>
      <c r="AA85" s="55" t="s">
        <v>69</v>
      </c>
      <c r="AB85" s="55" t="s">
        <v>369</v>
      </c>
    </row>
    <row r="86" spans="1:28" x14ac:dyDescent="0.15">
      <c r="A86" s="55" t="s">
        <v>41</v>
      </c>
      <c r="B86" s="236" t="s">
        <v>334</v>
      </c>
      <c r="C86" s="152">
        <v>2018</v>
      </c>
      <c r="D86" s="56" t="s">
        <v>355</v>
      </c>
      <c r="E86" s="55" t="s">
        <v>291</v>
      </c>
      <c r="F86" s="236" t="s">
        <v>297</v>
      </c>
      <c r="G86" s="55" t="s">
        <v>42</v>
      </c>
      <c r="H86" s="55" t="s">
        <v>155</v>
      </c>
      <c r="I86" s="55" t="s">
        <v>153</v>
      </c>
      <c r="J86" s="55" t="s">
        <v>38</v>
      </c>
      <c r="K86" s="55" t="s">
        <v>154</v>
      </c>
      <c r="L86" s="236">
        <v>1</v>
      </c>
      <c r="N86" s="236">
        <v>1</v>
      </c>
      <c r="O86" s="55">
        <v>0.5</v>
      </c>
      <c r="P86" s="257">
        <v>0.45</v>
      </c>
      <c r="Q86" s="258">
        <f t="shared" si="5"/>
        <v>0.47499999999999998</v>
      </c>
      <c r="R86" s="55">
        <v>13.8</v>
      </c>
      <c r="S86" s="55">
        <v>120</v>
      </c>
      <c r="T86" s="57">
        <f t="shared" si="4"/>
        <v>30</v>
      </c>
      <c r="U86" s="236">
        <v>105</v>
      </c>
      <c r="V86" s="58">
        <f t="shared" si="6"/>
        <v>3150</v>
      </c>
      <c r="W86" s="236">
        <v>2</v>
      </c>
      <c r="X86" s="55" t="s">
        <v>46</v>
      </c>
      <c r="Y86" s="55" t="s">
        <v>84</v>
      </c>
      <c r="Z86" s="55" t="s">
        <v>90</v>
      </c>
      <c r="AA86" s="55" t="s">
        <v>78</v>
      </c>
      <c r="AB86" s="55" t="s">
        <v>369</v>
      </c>
    </row>
    <row r="87" spans="1:28" x14ac:dyDescent="0.15">
      <c r="A87" s="55" t="s">
        <v>41</v>
      </c>
      <c r="B87" s="236" t="s">
        <v>334</v>
      </c>
      <c r="C87" s="152">
        <v>2018</v>
      </c>
      <c r="D87" s="56" t="s">
        <v>355</v>
      </c>
      <c r="E87" s="55" t="s">
        <v>291</v>
      </c>
      <c r="F87" s="236" t="s">
        <v>297</v>
      </c>
      <c r="G87" s="55" t="s">
        <v>42</v>
      </c>
      <c r="H87" s="55" t="s">
        <v>155</v>
      </c>
      <c r="I87" s="55" t="s">
        <v>153</v>
      </c>
      <c r="J87" s="55" t="s">
        <v>38</v>
      </c>
      <c r="K87" s="55" t="s">
        <v>154</v>
      </c>
      <c r="L87" s="236">
        <v>2</v>
      </c>
      <c r="N87" s="236">
        <v>1</v>
      </c>
      <c r="O87" s="55">
        <v>0.65</v>
      </c>
      <c r="P87" s="55">
        <v>0.5</v>
      </c>
      <c r="Q87" s="258">
        <f t="shared" si="5"/>
        <v>0.57499999999999996</v>
      </c>
      <c r="R87" s="55">
        <v>15</v>
      </c>
      <c r="S87" s="55">
        <v>121</v>
      </c>
      <c r="T87" s="57">
        <f t="shared" ref="T87:T127" si="7">IF(H87="","",IF(OR(H87="GREEN",H87="GK"),IF(S87&gt;=$AX$2,VLOOKUP(S87,$AX$2:$AY$10,2,1),""),IF(S87&gt;=$AZ$2,VLOOKUP(S87,$AZ$2:$BA$10,2,1),"")))</f>
        <v>27</v>
      </c>
      <c r="U87" s="236">
        <v>105</v>
      </c>
      <c r="V87" s="58">
        <f t="shared" si="6"/>
        <v>2835</v>
      </c>
      <c r="W87" s="236">
        <v>2</v>
      </c>
      <c r="X87" s="55" t="s">
        <v>46</v>
      </c>
      <c r="Y87" s="55" t="s">
        <v>84</v>
      </c>
      <c r="Z87" s="55" t="s">
        <v>90</v>
      </c>
      <c r="AA87" s="55" t="s">
        <v>78</v>
      </c>
      <c r="AB87" s="55" t="s">
        <v>369</v>
      </c>
    </row>
    <row r="88" spans="1:28" x14ac:dyDescent="0.15">
      <c r="A88" s="55" t="s">
        <v>41</v>
      </c>
      <c r="B88" s="236" t="s">
        <v>334</v>
      </c>
      <c r="C88" s="152">
        <v>2018</v>
      </c>
      <c r="D88" s="56" t="s">
        <v>355</v>
      </c>
      <c r="E88" s="55" t="s">
        <v>291</v>
      </c>
      <c r="F88" s="236" t="s">
        <v>297</v>
      </c>
      <c r="G88" s="55" t="s">
        <v>42</v>
      </c>
      <c r="H88" s="55" t="s">
        <v>155</v>
      </c>
      <c r="I88" s="55" t="s">
        <v>153</v>
      </c>
      <c r="J88" s="55" t="s">
        <v>38</v>
      </c>
      <c r="K88" s="55" t="s">
        <v>154</v>
      </c>
      <c r="L88" s="236">
        <v>3</v>
      </c>
      <c r="N88" s="236">
        <v>1</v>
      </c>
      <c r="O88" s="55">
        <v>0.5</v>
      </c>
      <c r="P88" s="55">
        <v>0.45</v>
      </c>
      <c r="Q88" s="258">
        <f t="shared" si="5"/>
        <v>0.47499999999999998</v>
      </c>
      <c r="R88" s="55">
        <v>12.9</v>
      </c>
      <c r="S88" s="55">
        <v>124</v>
      </c>
      <c r="T88" s="57">
        <f t="shared" si="7"/>
        <v>27</v>
      </c>
      <c r="U88" s="236">
        <v>105</v>
      </c>
      <c r="V88" s="58">
        <f t="shared" si="6"/>
        <v>2835</v>
      </c>
      <c r="W88" s="236">
        <v>2</v>
      </c>
      <c r="X88" s="55" t="s">
        <v>46</v>
      </c>
      <c r="Y88" s="55" t="s">
        <v>84</v>
      </c>
      <c r="Z88" s="55" t="s">
        <v>90</v>
      </c>
      <c r="AA88" s="55" t="s">
        <v>78</v>
      </c>
      <c r="AB88" s="55" t="s">
        <v>369</v>
      </c>
    </row>
    <row r="89" spans="1:28" x14ac:dyDescent="0.15">
      <c r="A89" s="55" t="s">
        <v>41</v>
      </c>
      <c r="B89" s="236" t="s">
        <v>334</v>
      </c>
      <c r="C89" s="152">
        <v>2018</v>
      </c>
      <c r="D89" s="56" t="s">
        <v>355</v>
      </c>
      <c r="E89" s="55" t="s">
        <v>291</v>
      </c>
      <c r="F89" s="236" t="s">
        <v>297</v>
      </c>
      <c r="G89" s="55" t="s">
        <v>42</v>
      </c>
      <c r="H89" s="55" t="s">
        <v>155</v>
      </c>
      <c r="I89" s="55" t="s">
        <v>153</v>
      </c>
      <c r="J89" s="55" t="s">
        <v>38</v>
      </c>
      <c r="K89" s="55" t="s">
        <v>154</v>
      </c>
      <c r="L89" s="236">
        <v>1</v>
      </c>
      <c r="N89" s="236">
        <v>5</v>
      </c>
      <c r="O89" s="55">
        <v>0.25</v>
      </c>
      <c r="P89" s="257">
        <v>0.25</v>
      </c>
      <c r="Q89" s="258">
        <f t="shared" si="5"/>
        <v>0.25</v>
      </c>
      <c r="R89" s="55">
        <v>14.1</v>
      </c>
      <c r="S89" s="55">
        <v>120</v>
      </c>
      <c r="T89" s="57">
        <f t="shared" si="7"/>
        <v>30</v>
      </c>
      <c r="U89" s="236">
        <v>518</v>
      </c>
      <c r="V89" s="58">
        <f t="shared" si="6"/>
        <v>3108</v>
      </c>
      <c r="W89" s="236">
        <v>1</v>
      </c>
      <c r="X89" s="55" t="s">
        <v>46</v>
      </c>
      <c r="Y89" s="55" t="s">
        <v>84</v>
      </c>
      <c r="Z89" s="55" t="s">
        <v>90</v>
      </c>
      <c r="AA89" s="55" t="s">
        <v>78</v>
      </c>
      <c r="AB89" s="55" t="s">
        <v>369</v>
      </c>
    </row>
    <row r="90" spans="1:28" x14ac:dyDescent="0.15">
      <c r="A90" s="55" t="s">
        <v>41</v>
      </c>
      <c r="B90" s="236" t="s">
        <v>334</v>
      </c>
      <c r="C90" s="152">
        <v>2018</v>
      </c>
      <c r="D90" s="56" t="s">
        <v>355</v>
      </c>
      <c r="E90" s="55" t="s">
        <v>291</v>
      </c>
      <c r="F90" s="236" t="s">
        <v>297</v>
      </c>
      <c r="G90" s="55" t="s">
        <v>42</v>
      </c>
      <c r="H90" s="55" t="s">
        <v>155</v>
      </c>
      <c r="I90" s="55" t="s">
        <v>153</v>
      </c>
      <c r="J90" s="55" t="s">
        <v>38</v>
      </c>
      <c r="K90" s="55" t="s">
        <v>154</v>
      </c>
      <c r="L90" s="236">
        <v>2</v>
      </c>
      <c r="N90" s="236">
        <v>5</v>
      </c>
      <c r="O90" s="55">
        <v>0.25</v>
      </c>
      <c r="P90" s="55">
        <v>0.3</v>
      </c>
      <c r="Q90" s="258">
        <f t="shared" si="5"/>
        <v>0.27500000000000002</v>
      </c>
      <c r="R90" s="55">
        <v>13.2</v>
      </c>
      <c r="S90" s="55">
        <v>118</v>
      </c>
      <c r="T90" s="57">
        <f t="shared" si="7"/>
        <v>30</v>
      </c>
      <c r="U90" s="236">
        <v>518</v>
      </c>
      <c r="V90" s="58">
        <f t="shared" si="6"/>
        <v>3108</v>
      </c>
      <c r="W90" s="236">
        <v>1</v>
      </c>
      <c r="X90" s="55" t="s">
        <v>46</v>
      </c>
      <c r="Y90" s="55" t="s">
        <v>84</v>
      </c>
      <c r="Z90" s="55" t="s">
        <v>90</v>
      </c>
      <c r="AA90" s="55" t="s">
        <v>78</v>
      </c>
      <c r="AB90" s="55" t="s">
        <v>369</v>
      </c>
    </row>
    <row r="91" spans="1:28" x14ac:dyDescent="0.15">
      <c r="A91" s="55" t="s">
        <v>41</v>
      </c>
      <c r="B91" s="236" t="s">
        <v>334</v>
      </c>
      <c r="C91" s="152">
        <v>2018</v>
      </c>
      <c r="D91" s="56" t="s">
        <v>355</v>
      </c>
      <c r="E91" s="55" t="s">
        <v>291</v>
      </c>
      <c r="F91" s="236" t="s">
        <v>297</v>
      </c>
      <c r="G91" s="55" t="s">
        <v>42</v>
      </c>
      <c r="H91" s="55" t="s">
        <v>155</v>
      </c>
      <c r="I91" s="55" t="s">
        <v>153</v>
      </c>
      <c r="J91" s="55" t="s">
        <v>38</v>
      </c>
      <c r="K91" s="55" t="s">
        <v>154</v>
      </c>
      <c r="L91" s="236">
        <v>3</v>
      </c>
      <c r="N91" s="236">
        <v>5</v>
      </c>
      <c r="O91" s="55">
        <v>0.3</v>
      </c>
      <c r="P91" s="55">
        <v>0.25</v>
      </c>
      <c r="Q91" s="258">
        <f t="shared" si="5"/>
        <v>0.27500000000000002</v>
      </c>
      <c r="R91" s="55">
        <v>13.8</v>
      </c>
      <c r="S91" s="55">
        <v>115</v>
      </c>
      <c r="T91" s="57">
        <f t="shared" si="7"/>
        <v>30</v>
      </c>
      <c r="U91" s="236">
        <v>518</v>
      </c>
      <c r="V91" s="58">
        <f t="shared" si="6"/>
        <v>3108</v>
      </c>
      <c r="W91" s="236">
        <v>1</v>
      </c>
      <c r="X91" s="55" t="s">
        <v>46</v>
      </c>
      <c r="Y91" s="55" t="s">
        <v>84</v>
      </c>
      <c r="Z91" s="55" t="s">
        <v>90</v>
      </c>
      <c r="AA91" s="55" t="s">
        <v>78</v>
      </c>
      <c r="AB91" s="55" t="s">
        <v>369</v>
      </c>
    </row>
    <row r="92" spans="1:28" x14ac:dyDescent="0.15">
      <c r="A92" s="55" t="s">
        <v>41</v>
      </c>
      <c r="B92" s="236" t="s">
        <v>334</v>
      </c>
      <c r="C92" s="152">
        <v>2018</v>
      </c>
      <c r="D92" s="56" t="s">
        <v>355</v>
      </c>
      <c r="E92" s="55" t="s">
        <v>291</v>
      </c>
      <c r="F92" s="236" t="s">
        <v>297</v>
      </c>
      <c r="G92" s="55" t="s">
        <v>42</v>
      </c>
      <c r="H92" s="55" t="s">
        <v>162</v>
      </c>
      <c r="I92" s="55" t="s">
        <v>153</v>
      </c>
      <c r="J92" s="55" t="s">
        <v>38</v>
      </c>
      <c r="K92" s="55" t="s">
        <v>154</v>
      </c>
      <c r="L92" s="236">
        <v>1</v>
      </c>
      <c r="N92" s="236">
        <v>1</v>
      </c>
      <c r="O92" s="55">
        <v>0.65</v>
      </c>
      <c r="P92" s="55">
        <v>0.5</v>
      </c>
      <c r="Q92" s="82">
        <f t="shared" si="5"/>
        <v>0.57499999999999996</v>
      </c>
      <c r="R92" s="55">
        <v>15.1</v>
      </c>
      <c r="S92" s="55">
        <v>124</v>
      </c>
      <c r="T92" s="57">
        <f t="shared" si="7"/>
        <v>27</v>
      </c>
      <c r="U92" s="236">
        <v>138</v>
      </c>
      <c r="V92" s="58">
        <f t="shared" si="6"/>
        <v>3726</v>
      </c>
      <c r="W92" s="236">
        <v>1</v>
      </c>
      <c r="X92" s="55" t="s">
        <v>46</v>
      </c>
      <c r="Y92" s="55" t="s">
        <v>84</v>
      </c>
      <c r="Z92" s="55" t="s">
        <v>90</v>
      </c>
      <c r="AA92" s="55" t="s">
        <v>78</v>
      </c>
      <c r="AB92" s="55" t="s">
        <v>369</v>
      </c>
    </row>
    <row r="93" spans="1:28" x14ac:dyDescent="0.15">
      <c r="A93" s="55" t="s">
        <v>41</v>
      </c>
      <c r="B93" s="236" t="s">
        <v>334</v>
      </c>
      <c r="C93" s="152">
        <v>2018</v>
      </c>
      <c r="D93" s="56" t="s">
        <v>355</v>
      </c>
      <c r="E93" s="55" t="s">
        <v>291</v>
      </c>
      <c r="F93" s="236" t="s">
        <v>297</v>
      </c>
      <c r="G93" s="55" t="s">
        <v>42</v>
      </c>
      <c r="H93" s="55" t="s">
        <v>162</v>
      </c>
      <c r="I93" s="55" t="s">
        <v>153</v>
      </c>
      <c r="J93" s="55" t="s">
        <v>38</v>
      </c>
      <c r="K93" s="55" t="s">
        <v>154</v>
      </c>
      <c r="L93" s="236">
        <v>2</v>
      </c>
      <c r="N93" s="236">
        <v>1</v>
      </c>
      <c r="O93" s="55">
        <v>0.7</v>
      </c>
      <c r="P93" s="55">
        <v>0.65</v>
      </c>
      <c r="Q93" s="82">
        <f t="shared" si="5"/>
        <v>0.67500000000000004</v>
      </c>
      <c r="R93" s="55">
        <v>14.1</v>
      </c>
      <c r="S93" s="55">
        <v>122</v>
      </c>
      <c r="T93" s="57">
        <f t="shared" si="7"/>
        <v>27</v>
      </c>
      <c r="U93" s="236">
        <v>138</v>
      </c>
      <c r="V93" s="58">
        <f t="shared" si="6"/>
        <v>3726</v>
      </c>
      <c r="W93" s="236">
        <v>1</v>
      </c>
      <c r="X93" s="55" t="s">
        <v>46</v>
      </c>
      <c r="Y93" s="55" t="s">
        <v>84</v>
      </c>
      <c r="Z93" s="55" t="s">
        <v>90</v>
      </c>
      <c r="AA93" s="55" t="s">
        <v>78</v>
      </c>
      <c r="AB93" s="55" t="s">
        <v>369</v>
      </c>
    </row>
    <row r="94" spans="1:28" x14ac:dyDescent="0.15">
      <c r="A94" s="55" t="s">
        <v>41</v>
      </c>
      <c r="B94" s="236" t="s">
        <v>334</v>
      </c>
      <c r="C94" s="152">
        <v>2018</v>
      </c>
      <c r="D94" s="56" t="s">
        <v>355</v>
      </c>
      <c r="E94" s="55" t="s">
        <v>291</v>
      </c>
      <c r="F94" s="236" t="s">
        <v>297</v>
      </c>
      <c r="G94" s="55" t="s">
        <v>42</v>
      </c>
      <c r="H94" s="55" t="s">
        <v>162</v>
      </c>
      <c r="I94" s="55" t="s">
        <v>153</v>
      </c>
      <c r="J94" s="55" t="s">
        <v>38</v>
      </c>
      <c r="K94" s="55" t="s">
        <v>154</v>
      </c>
      <c r="L94" s="236">
        <v>3</v>
      </c>
      <c r="N94" s="236">
        <v>1</v>
      </c>
      <c r="O94" s="55">
        <v>0.65</v>
      </c>
      <c r="P94" s="55">
        <v>0.45</v>
      </c>
      <c r="Q94" s="82">
        <f t="shared" si="5"/>
        <v>0.55000000000000004</v>
      </c>
      <c r="R94" s="55">
        <v>14.9</v>
      </c>
      <c r="S94" s="55">
        <v>126</v>
      </c>
      <c r="T94" s="57">
        <f t="shared" si="7"/>
        <v>27</v>
      </c>
      <c r="U94" s="236">
        <v>138</v>
      </c>
      <c r="V94" s="58">
        <f t="shared" si="6"/>
        <v>3726</v>
      </c>
      <c r="W94" s="236">
        <v>1</v>
      </c>
      <c r="X94" s="55" t="s">
        <v>46</v>
      </c>
      <c r="Y94" s="55" t="s">
        <v>84</v>
      </c>
      <c r="Z94" s="55" t="s">
        <v>90</v>
      </c>
      <c r="AA94" s="55" t="s">
        <v>78</v>
      </c>
      <c r="AB94" s="55" t="s">
        <v>369</v>
      </c>
    </row>
    <row r="95" spans="1:28" x14ac:dyDescent="0.15">
      <c r="A95" s="55" t="s">
        <v>41</v>
      </c>
      <c r="B95" s="236" t="s">
        <v>334</v>
      </c>
      <c r="C95" s="152">
        <v>2018</v>
      </c>
      <c r="D95" s="56" t="s">
        <v>355</v>
      </c>
      <c r="E95" s="55" t="s">
        <v>291</v>
      </c>
      <c r="F95" s="236" t="s">
        <v>297</v>
      </c>
      <c r="G95" s="55" t="s">
        <v>42</v>
      </c>
      <c r="H95" s="55" t="s">
        <v>162</v>
      </c>
      <c r="I95" s="55" t="s">
        <v>153</v>
      </c>
      <c r="J95" s="55" t="s">
        <v>38</v>
      </c>
      <c r="K95" s="55" t="s">
        <v>154</v>
      </c>
      <c r="L95" s="236">
        <v>1</v>
      </c>
      <c r="N95" s="236">
        <v>3</v>
      </c>
      <c r="O95" s="55">
        <v>1.05</v>
      </c>
      <c r="P95" s="55">
        <v>0.95</v>
      </c>
      <c r="Q95" s="82">
        <f t="shared" si="5"/>
        <v>1</v>
      </c>
      <c r="R95" s="55">
        <v>12.9</v>
      </c>
      <c r="S95" s="55">
        <v>130</v>
      </c>
      <c r="T95" s="57">
        <f t="shared" si="7"/>
        <v>25</v>
      </c>
      <c r="U95" s="236">
        <v>537</v>
      </c>
      <c r="V95" s="58">
        <f t="shared" si="6"/>
        <v>4475</v>
      </c>
      <c r="W95" s="236">
        <v>1</v>
      </c>
      <c r="X95" s="55" t="s">
        <v>46</v>
      </c>
      <c r="Y95" s="55" t="s">
        <v>84</v>
      </c>
      <c r="Z95" s="55" t="s">
        <v>90</v>
      </c>
      <c r="AA95" s="55" t="s">
        <v>78</v>
      </c>
      <c r="AB95" s="55" t="s">
        <v>369</v>
      </c>
    </row>
    <row r="96" spans="1:28" x14ac:dyDescent="0.15">
      <c r="A96" s="55" t="s">
        <v>41</v>
      </c>
      <c r="B96" s="236" t="s">
        <v>334</v>
      </c>
      <c r="C96" s="152">
        <v>2018</v>
      </c>
      <c r="D96" s="56" t="s">
        <v>355</v>
      </c>
      <c r="E96" s="55" t="s">
        <v>291</v>
      </c>
      <c r="F96" s="236" t="s">
        <v>297</v>
      </c>
      <c r="G96" s="55" t="s">
        <v>42</v>
      </c>
      <c r="H96" s="55" t="s">
        <v>162</v>
      </c>
      <c r="I96" s="55" t="s">
        <v>153</v>
      </c>
      <c r="J96" s="55" t="s">
        <v>38</v>
      </c>
      <c r="K96" s="55" t="s">
        <v>154</v>
      </c>
      <c r="L96" s="236">
        <v>2</v>
      </c>
      <c r="N96" s="236">
        <v>3</v>
      </c>
      <c r="O96" s="55">
        <v>1</v>
      </c>
      <c r="P96" s="55">
        <v>1.05</v>
      </c>
      <c r="Q96" s="82">
        <f t="shared" si="5"/>
        <v>1.0249999999999999</v>
      </c>
      <c r="R96" s="55">
        <v>15.8</v>
      </c>
      <c r="S96" s="55">
        <v>128</v>
      </c>
      <c r="T96" s="57">
        <f t="shared" si="7"/>
        <v>27</v>
      </c>
      <c r="U96" s="236">
        <v>537</v>
      </c>
      <c r="V96" s="58">
        <f t="shared" si="6"/>
        <v>4833</v>
      </c>
      <c r="W96" s="236">
        <v>1</v>
      </c>
      <c r="X96" s="55" t="s">
        <v>46</v>
      </c>
      <c r="Y96" s="55" t="s">
        <v>84</v>
      </c>
      <c r="Z96" s="55" t="s">
        <v>90</v>
      </c>
      <c r="AA96" s="55" t="s">
        <v>78</v>
      </c>
      <c r="AB96" s="55" t="s">
        <v>369</v>
      </c>
    </row>
    <row r="97" spans="1:28" x14ac:dyDescent="0.15">
      <c r="A97" s="55" t="s">
        <v>41</v>
      </c>
      <c r="B97" s="236" t="s">
        <v>334</v>
      </c>
      <c r="C97" s="152">
        <v>2018</v>
      </c>
      <c r="D97" s="56" t="s">
        <v>355</v>
      </c>
      <c r="E97" s="55" t="s">
        <v>291</v>
      </c>
      <c r="F97" s="236" t="s">
        <v>297</v>
      </c>
      <c r="G97" s="55" t="s">
        <v>42</v>
      </c>
      <c r="H97" s="55" t="s">
        <v>162</v>
      </c>
      <c r="I97" s="55" t="s">
        <v>153</v>
      </c>
      <c r="J97" s="55" t="s">
        <v>38</v>
      </c>
      <c r="K97" s="55" t="s">
        <v>154</v>
      </c>
      <c r="L97" s="236">
        <v>3</v>
      </c>
      <c r="N97" s="236">
        <v>3</v>
      </c>
      <c r="O97" s="55">
        <v>0.95</v>
      </c>
      <c r="P97" s="55">
        <v>0.95</v>
      </c>
      <c r="Q97" s="82">
        <f t="shared" si="5"/>
        <v>0.95</v>
      </c>
      <c r="R97" s="55">
        <v>16.399999999999999</v>
      </c>
      <c r="S97" s="55">
        <v>126</v>
      </c>
      <c r="T97" s="57">
        <f t="shared" si="7"/>
        <v>27</v>
      </c>
      <c r="U97" s="236">
        <v>537</v>
      </c>
      <c r="V97" s="58">
        <f t="shared" si="6"/>
        <v>4833</v>
      </c>
      <c r="W97" s="236">
        <v>1</v>
      </c>
      <c r="X97" s="55" t="s">
        <v>46</v>
      </c>
      <c r="Y97" s="55" t="s">
        <v>84</v>
      </c>
      <c r="Z97" s="55" t="s">
        <v>90</v>
      </c>
      <c r="AA97" s="55" t="s">
        <v>78</v>
      </c>
      <c r="AB97" s="55" t="s">
        <v>369</v>
      </c>
    </row>
    <row r="98" spans="1:28" x14ac:dyDescent="0.15">
      <c r="A98" s="55" t="s">
        <v>41</v>
      </c>
      <c r="B98" s="236" t="s">
        <v>334</v>
      </c>
      <c r="C98" s="152">
        <v>2018</v>
      </c>
      <c r="D98" s="56" t="s">
        <v>355</v>
      </c>
      <c r="E98" s="236" t="s">
        <v>292</v>
      </c>
      <c r="F98" s="236" t="s">
        <v>298</v>
      </c>
      <c r="G98" s="55" t="s">
        <v>42</v>
      </c>
      <c r="H98" s="55" t="s">
        <v>162</v>
      </c>
      <c r="I98" s="55" t="s">
        <v>153</v>
      </c>
      <c r="J98" s="55" t="s">
        <v>38</v>
      </c>
      <c r="K98" s="55" t="s">
        <v>154</v>
      </c>
      <c r="L98" s="236">
        <v>1</v>
      </c>
      <c r="N98" s="236">
        <v>1</v>
      </c>
      <c r="O98" s="55">
        <v>0.45</v>
      </c>
      <c r="P98" s="55">
        <v>0.5</v>
      </c>
      <c r="Q98" s="57">
        <f t="shared" si="5"/>
        <v>0.47499999999999998</v>
      </c>
      <c r="R98" s="236">
        <v>15.2</v>
      </c>
      <c r="S98" s="236">
        <v>128</v>
      </c>
      <c r="T98" s="57">
        <f t="shared" si="7"/>
        <v>27</v>
      </c>
      <c r="U98" s="236">
        <v>138</v>
      </c>
      <c r="V98" s="58">
        <f t="shared" si="6"/>
        <v>3726</v>
      </c>
      <c r="W98" s="236">
        <v>1</v>
      </c>
      <c r="X98" s="55" t="s">
        <v>46</v>
      </c>
      <c r="Y98" s="55" t="s">
        <v>50</v>
      </c>
      <c r="Z98" s="55" t="s">
        <v>90</v>
      </c>
      <c r="AA98" s="55" t="s">
        <v>84</v>
      </c>
      <c r="AB98" s="55" t="s">
        <v>369</v>
      </c>
    </row>
    <row r="99" spans="1:28" x14ac:dyDescent="0.15">
      <c r="A99" s="55" t="s">
        <v>41</v>
      </c>
      <c r="B99" s="236" t="s">
        <v>334</v>
      </c>
      <c r="C99" s="152">
        <v>2018</v>
      </c>
      <c r="D99" s="56" t="s">
        <v>355</v>
      </c>
      <c r="E99" s="236" t="s">
        <v>292</v>
      </c>
      <c r="F99" s="236" t="s">
        <v>298</v>
      </c>
      <c r="G99" s="55" t="s">
        <v>42</v>
      </c>
      <c r="H99" s="55" t="s">
        <v>162</v>
      </c>
      <c r="I99" s="55" t="s">
        <v>153</v>
      </c>
      <c r="J99" s="55" t="s">
        <v>38</v>
      </c>
      <c r="K99" s="55" t="s">
        <v>154</v>
      </c>
      <c r="L99" s="236">
        <v>2</v>
      </c>
      <c r="N99" s="236">
        <v>1</v>
      </c>
      <c r="O99" s="55">
        <v>0.6</v>
      </c>
      <c r="P99" s="55">
        <v>0.5</v>
      </c>
      <c r="Q99" s="57">
        <f t="shared" si="5"/>
        <v>0.55000000000000004</v>
      </c>
      <c r="R99" s="236">
        <v>14.7</v>
      </c>
      <c r="S99" s="236">
        <v>125</v>
      </c>
      <c r="T99" s="57">
        <f t="shared" si="7"/>
        <v>27</v>
      </c>
      <c r="U99" s="236">
        <v>138</v>
      </c>
      <c r="V99" s="58">
        <f t="shared" si="6"/>
        <v>3726</v>
      </c>
      <c r="W99" s="236">
        <v>1</v>
      </c>
      <c r="X99" s="55" t="s">
        <v>46</v>
      </c>
      <c r="Y99" s="55" t="s">
        <v>50</v>
      </c>
      <c r="Z99" s="55" t="s">
        <v>90</v>
      </c>
      <c r="AA99" s="55" t="s">
        <v>84</v>
      </c>
      <c r="AB99" s="55" t="s">
        <v>369</v>
      </c>
    </row>
    <row r="100" spans="1:28" x14ac:dyDescent="0.15">
      <c r="A100" s="55" t="s">
        <v>41</v>
      </c>
      <c r="B100" s="236" t="s">
        <v>334</v>
      </c>
      <c r="C100" s="152">
        <v>2018</v>
      </c>
      <c r="D100" s="56" t="s">
        <v>355</v>
      </c>
      <c r="E100" s="236" t="s">
        <v>292</v>
      </c>
      <c r="F100" s="236" t="s">
        <v>298</v>
      </c>
      <c r="G100" s="55" t="s">
        <v>42</v>
      </c>
      <c r="H100" s="55" t="s">
        <v>162</v>
      </c>
      <c r="I100" s="55" t="s">
        <v>153</v>
      </c>
      <c r="J100" s="55" t="s">
        <v>38</v>
      </c>
      <c r="K100" s="55" t="s">
        <v>154</v>
      </c>
      <c r="L100" s="236">
        <v>3</v>
      </c>
      <c r="N100" s="236">
        <v>1</v>
      </c>
      <c r="O100" s="55">
        <v>0.7</v>
      </c>
      <c r="P100" s="55">
        <v>0.6</v>
      </c>
      <c r="Q100" s="57">
        <f t="shared" si="5"/>
        <v>0.64999999999999991</v>
      </c>
      <c r="R100" s="236">
        <v>14.9</v>
      </c>
      <c r="S100" s="236">
        <v>123</v>
      </c>
      <c r="T100" s="57">
        <f t="shared" si="7"/>
        <v>27</v>
      </c>
      <c r="U100" s="236">
        <v>138</v>
      </c>
      <c r="V100" s="58">
        <f t="shared" si="6"/>
        <v>3726</v>
      </c>
      <c r="W100" s="236">
        <v>1</v>
      </c>
      <c r="X100" s="55" t="s">
        <v>46</v>
      </c>
      <c r="Y100" s="55" t="s">
        <v>50</v>
      </c>
      <c r="Z100" s="55" t="s">
        <v>90</v>
      </c>
      <c r="AA100" s="55" t="s">
        <v>84</v>
      </c>
      <c r="AB100" s="55" t="s">
        <v>369</v>
      </c>
    </row>
    <row r="101" spans="1:28" x14ac:dyDescent="0.15">
      <c r="A101" s="55" t="s">
        <v>41</v>
      </c>
      <c r="B101" s="236" t="s">
        <v>334</v>
      </c>
      <c r="C101" s="152">
        <v>2018</v>
      </c>
      <c r="D101" s="56" t="s">
        <v>355</v>
      </c>
      <c r="E101" s="236" t="s">
        <v>292</v>
      </c>
      <c r="F101" s="236" t="s">
        <v>298</v>
      </c>
      <c r="G101" s="55" t="s">
        <v>42</v>
      </c>
      <c r="H101" s="55" t="s">
        <v>162</v>
      </c>
      <c r="I101" s="55" t="s">
        <v>153</v>
      </c>
      <c r="J101" s="55" t="s">
        <v>38</v>
      </c>
      <c r="K101" s="55" t="s">
        <v>154</v>
      </c>
      <c r="L101" s="236">
        <v>1</v>
      </c>
      <c r="N101" s="236">
        <v>4</v>
      </c>
      <c r="O101" s="55">
        <v>0.8</v>
      </c>
      <c r="P101" s="55">
        <v>0.75</v>
      </c>
      <c r="Q101" s="57">
        <f t="shared" si="5"/>
        <v>0.77500000000000002</v>
      </c>
      <c r="R101" s="236">
        <v>15.1</v>
      </c>
      <c r="S101" s="236">
        <v>124</v>
      </c>
      <c r="T101" s="57">
        <f t="shared" si="7"/>
        <v>27</v>
      </c>
      <c r="U101" s="236">
        <v>429</v>
      </c>
      <c r="V101" s="58">
        <f t="shared" si="6"/>
        <v>2895.75</v>
      </c>
      <c r="W101" s="236">
        <v>2</v>
      </c>
      <c r="X101" s="55" t="s">
        <v>46</v>
      </c>
      <c r="Y101" s="55" t="s">
        <v>50</v>
      </c>
      <c r="Z101" s="55" t="s">
        <v>90</v>
      </c>
      <c r="AA101" s="55" t="s">
        <v>84</v>
      </c>
      <c r="AB101" s="55" t="s">
        <v>369</v>
      </c>
    </row>
    <row r="102" spans="1:28" x14ac:dyDescent="0.15">
      <c r="A102" s="55" t="s">
        <v>41</v>
      </c>
      <c r="B102" s="236" t="s">
        <v>334</v>
      </c>
      <c r="C102" s="152">
        <v>2018</v>
      </c>
      <c r="D102" s="56" t="s">
        <v>355</v>
      </c>
      <c r="E102" s="236" t="s">
        <v>292</v>
      </c>
      <c r="F102" s="236" t="s">
        <v>298</v>
      </c>
      <c r="G102" s="55" t="s">
        <v>42</v>
      </c>
      <c r="H102" s="55" t="s">
        <v>162</v>
      </c>
      <c r="I102" s="55" t="s">
        <v>153</v>
      </c>
      <c r="J102" s="55" t="s">
        <v>38</v>
      </c>
      <c r="K102" s="55" t="s">
        <v>154</v>
      </c>
      <c r="L102" s="236">
        <v>2</v>
      </c>
      <c r="N102" s="236">
        <v>4</v>
      </c>
      <c r="O102" s="55">
        <v>0.9</v>
      </c>
      <c r="P102" s="55">
        <v>0.7</v>
      </c>
      <c r="Q102" s="57">
        <f t="shared" si="5"/>
        <v>0.8</v>
      </c>
      <c r="R102" s="236">
        <v>13.8</v>
      </c>
      <c r="S102" s="236">
        <v>121</v>
      </c>
      <c r="T102" s="57">
        <f t="shared" si="7"/>
        <v>27</v>
      </c>
      <c r="U102" s="236">
        <v>429</v>
      </c>
      <c r="V102" s="58">
        <f t="shared" si="6"/>
        <v>2895.75</v>
      </c>
      <c r="W102" s="236">
        <v>2</v>
      </c>
      <c r="X102" s="55" t="s">
        <v>46</v>
      </c>
      <c r="Y102" s="55" t="s">
        <v>50</v>
      </c>
      <c r="Z102" s="55" t="s">
        <v>90</v>
      </c>
      <c r="AA102" s="55" t="s">
        <v>84</v>
      </c>
      <c r="AB102" s="55" t="s">
        <v>369</v>
      </c>
    </row>
    <row r="103" spans="1:28" x14ac:dyDescent="0.15">
      <c r="A103" s="55" t="s">
        <v>41</v>
      </c>
      <c r="B103" s="236" t="s">
        <v>334</v>
      </c>
      <c r="C103" s="152">
        <v>2018</v>
      </c>
      <c r="D103" s="56" t="s">
        <v>355</v>
      </c>
      <c r="E103" s="236" t="s">
        <v>292</v>
      </c>
      <c r="F103" s="236" t="s">
        <v>298</v>
      </c>
      <c r="G103" s="55" t="s">
        <v>42</v>
      </c>
      <c r="H103" s="55" t="s">
        <v>162</v>
      </c>
      <c r="I103" s="55" t="s">
        <v>153</v>
      </c>
      <c r="J103" s="55" t="s">
        <v>38</v>
      </c>
      <c r="K103" s="55" t="s">
        <v>154</v>
      </c>
      <c r="L103" s="236">
        <v>3</v>
      </c>
      <c r="N103" s="236">
        <v>4</v>
      </c>
      <c r="O103" s="55">
        <v>0.8</v>
      </c>
      <c r="P103" s="55">
        <v>0.65</v>
      </c>
      <c r="Q103" s="57">
        <f t="shared" si="5"/>
        <v>0.72500000000000009</v>
      </c>
      <c r="R103" s="236">
        <v>16.100000000000001</v>
      </c>
      <c r="S103" s="236">
        <v>124</v>
      </c>
      <c r="T103" s="57">
        <f t="shared" si="7"/>
        <v>27</v>
      </c>
      <c r="U103" s="236">
        <v>429</v>
      </c>
      <c r="V103" s="58">
        <f t="shared" si="6"/>
        <v>2895.75</v>
      </c>
      <c r="W103" s="236">
        <v>2</v>
      </c>
      <c r="X103" s="55" t="s">
        <v>46</v>
      </c>
      <c r="Y103" s="55" t="s">
        <v>50</v>
      </c>
      <c r="Z103" s="55" t="s">
        <v>90</v>
      </c>
      <c r="AA103" s="55" t="s">
        <v>84</v>
      </c>
      <c r="AB103" s="55" t="s">
        <v>369</v>
      </c>
    </row>
    <row r="104" spans="1:28" x14ac:dyDescent="0.15">
      <c r="A104" s="55" t="s">
        <v>41</v>
      </c>
      <c r="B104" s="236" t="s">
        <v>334</v>
      </c>
      <c r="C104" s="152">
        <v>2018</v>
      </c>
      <c r="D104" s="56" t="s">
        <v>355</v>
      </c>
      <c r="E104" s="236" t="s">
        <v>292</v>
      </c>
      <c r="F104" s="236" t="s">
        <v>298</v>
      </c>
      <c r="G104" s="55" t="s">
        <v>42</v>
      </c>
      <c r="H104" s="55" t="s">
        <v>155</v>
      </c>
      <c r="I104" s="55" t="s">
        <v>153</v>
      </c>
      <c r="J104" s="55" t="s">
        <v>38</v>
      </c>
      <c r="K104" s="55" t="s">
        <v>154</v>
      </c>
      <c r="L104" s="236">
        <v>1</v>
      </c>
      <c r="N104" s="236">
        <v>1</v>
      </c>
      <c r="O104" s="236">
        <v>0.75</v>
      </c>
      <c r="P104" s="236">
        <v>0.65</v>
      </c>
      <c r="Q104" s="82">
        <f t="shared" si="5"/>
        <v>0.7</v>
      </c>
      <c r="R104" s="55">
        <v>15.9</v>
      </c>
      <c r="S104" s="55">
        <v>126</v>
      </c>
      <c r="T104" s="57">
        <f t="shared" si="7"/>
        <v>27</v>
      </c>
      <c r="U104" s="236">
        <v>105</v>
      </c>
      <c r="V104" s="58">
        <f t="shared" si="6"/>
        <v>2835</v>
      </c>
      <c r="W104" s="236">
        <v>1</v>
      </c>
      <c r="X104" s="55" t="s">
        <v>46</v>
      </c>
      <c r="Y104" s="55" t="s">
        <v>50</v>
      </c>
      <c r="Z104" s="55" t="s">
        <v>90</v>
      </c>
      <c r="AA104" s="55" t="s">
        <v>84</v>
      </c>
      <c r="AB104" s="55" t="s">
        <v>369</v>
      </c>
    </row>
    <row r="105" spans="1:28" x14ac:dyDescent="0.15">
      <c r="A105" s="55" t="s">
        <v>41</v>
      </c>
      <c r="B105" s="236" t="s">
        <v>334</v>
      </c>
      <c r="C105" s="152">
        <v>2018</v>
      </c>
      <c r="D105" s="56" t="s">
        <v>355</v>
      </c>
      <c r="E105" s="236" t="s">
        <v>292</v>
      </c>
      <c r="F105" s="236" t="s">
        <v>298</v>
      </c>
      <c r="G105" s="55" t="s">
        <v>42</v>
      </c>
      <c r="H105" s="55" t="s">
        <v>155</v>
      </c>
      <c r="I105" s="55" t="s">
        <v>153</v>
      </c>
      <c r="J105" s="55" t="s">
        <v>38</v>
      </c>
      <c r="K105" s="55" t="s">
        <v>154</v>
      </c>
      <c r="L105" s="236">
        <v>2</v>
      </c>
      <c r="N105" s="236">
        <v>1</v>
      </c>
      <c r="O105" s="236">
        <v>0.9</v>
      </c>
      <c r="P105" s="236">
        <v>0.8</v>
      </c>
      <c r="Q105" s="82">
        <f t="shared" si="5"/>
        <v>0.85000000000000009</v>
      </c>
      <c r="R105" s="55">
        <v>13.1</v>
      </c>
      <c r="S105" s="55">
        <v>125</v>
      </c>
      <c r="T105" s="57">
        <f t="shared" si="7"/>
        <v>27</v>
      </c>
      <c r="U105" s="236">
        <v>105</v>
      </c>
      <c r="V105" s="58">
        <f t="shared" si="6"/>
        <v>2835</v>
      </c>
      <c r="W105" s="236">
        <v>1</v>
      </c>
      <c r="X105" s="55" t="s">
        <v>46</v>
      </c>
      <c r="Y105" s="55" t="s">
        <v>50</v>
      </c>
      <c r="Z105" s="55" t="s">
        <v>90</v>
      </c>
      <c r="AA105" s="55" t="s">
        <v>84</v>
      </c>
      <c r="AB105" s="55" t="s">
        <v>369</v>
      </c>
    </row>
    <row r="106" spans="1:28" x14ac:dyDescent="0.15">
      <c r="A106" s="55" t="s">
        <v>41</v>
      </c>
      <c r="B106" s="236" t="s">
        <v>334</v>
      </c>
      <c r="C106" s="152">
        <v>2018</v>
      </c>
      <c r="D106" s="56" t="s">
        <v>355</v>
      </c>
      <c r="E106" s="236" t="s">
        <v>292</v>
      </c>
      <c r="F106" s="236" t="s">
        <v>298</v>
      </c>
      <c r="G106" s="55" t="s">
        <v>42</v>
      </c>
      <c r="H106" s="55" t="s">
        <v>155</v>
      </c>
      <c r="I106" s="55" t="s">
        <v>153</v>
      </c>
      <c r="J106" s="55" t="s">
        <v>38</v>
      </c>
      <c r="K106" s="55" t="s">
        <v>154</v>
      </c>
      <c r="L106" s="236">
        <v>3</v>
      </c>
      <c r="N106" s="236">
        <v>1</v>
      </c>
      <c r="O106" s="55">
        <v>0.85</v>
      </c>
      <c r="P106" s="55">
        <v>0.9</v>
      </c>
      <c r="Q106" s="82">
        <f t="shared" si="5"/>
        <v>0.875</v>
      </c>
      <c r="R106" s="55">
        <v>14</v>
      </c>
      <c r="S106" s="55">
        <v>123</v>
      </c>
      <c r="T106" s="57">
        <f t="shared" si="7"/>
        <v>27</v>
      </c>
      <c r="U106" s="236">
        <v>105</v>
      </c>
      <c r="V106" s="58">
        <f t="shared" si="6"/>
        <v>2835</v>
      </c>
      <c r="W106" s="236">
        <v>1</v>
      </c>
      <c r="X106" s="55" t="s">
        <v>46</v>
      </c>
      <c r="Y106" s="55" t="s">
        <v>50</v>
      </c>
      <c r="Z106" s="55" t="s">
        <v>90</v>
      </c>
      <c r="AA106" s="55" t="s">
        <v>84</v>
      </c>
      <c r="AB106" s="55" t="s">
        <v>369</v>
      </c>
    </row>
    <row r="107" spans="1:28" x14ac:dyDescent="0.15">
      <c r="A107" s="55" t="s">
        <v>41</v>
      </c>
      <c r="B107" s="236" t="s">
        <v>334</v>
      </c>
      <c r="C107" s="152">
        <v>2018</v>
      </c>
      <c r="D107" s="56" t="s">
        <v>355</v>
      </c>
      <c r="E107" s="236" t="s">
        <v>292</v>
      </c>
      <c r="F107" s="236" t="s">
        <v>298</v>
      </c>
      <c r="G107" s="55" t="s">
        <v>42</v>
      </c>
      <c r="H107" s="55" t="s">
        <v>155</v>
      </c>
      <c r="I107" s="55" t="s">
        <v>153</v>
      </c>
      <c r="J107" s="55" t="s">
        <v>38</v>
      </c>
      <c r="K107" s="55" t="s">
        <v>154</v>
      </c>
      <c r="L107" s="236">
        <v>1</v>
      </c>
      <c r="N107" s="236">
        <v>8</v>
      </c>
      <c r="O107" s="55">
        <v>0.9</v>
      </c>
      <c r="P107" s="55">
        <v>0.85</v>
      </c>
      <c r="Q107" s="82">
        <f>IF(OR(O107="",P107=""),"",AVERAGE(O107,P107))</f>
        <v>0.875</v>
      </c>
      <c r="R107" s="236">
        <v>13.8</v>
      </c>
      <c r="S107" s="55">
        <v>100</v>
      </c>
      <c r="T107" s="57">
        <f t="shared" si="7"/>
        <v>33</v>
      </c>
      <c r="U107" s="236">
        <v>321</v>
      </c>
      <c r="V107" s="58">
        <f t="shared" si="6"/>
        <v>1324.125</v>
      </c>
      <c r="W107" s="236">
        <v>3</v>
      </c>
      <c r="X107" s="55" t="s">
        <v>46</v>
      </c>
      <c r="Y107" s="55" t="s">
        <v>50</v>
      </c>
      <c r="Z107" s="55" t="s">
        <v>90</v>
      </c>
      <c r="AA107" s="55" t="s">
        <v>84</v>
      </c>
      <c r="AB107" s="55" t="s">
        <v>369</v>
      </c>
    </row>
    <row r="108" spans="1:28" x14ac:dyDescent="0.15">
      <c r="A108" s="55" t="s">
        <v>41</v>
      </c>
      <c r="B108" s="236" t="s">
        <v>334</v>
      </c>
      <c r="C108" s="152">
        <v>2018</v>
      </c>
      <c r="D108" s="56" t="s">
        <v>355</v>
      </c>
      <c r="E108" s="236" t="s">
        <v>292</v>
      </c>
      <c r="F108" s="236" t="s">
        <v>298</v>
      </c>
      <c r="G108" s="55" t="s">
        <v>42</v>
      </c>
      <c r="H108" s="55" t="s">
        <v>155</v>
      </c>
      <c r="I108" s="55" t="s">
        <v>153</v>
      </c>
      <c r="J108" s="55" t="s">
        <v>38</v>
      </c>
      <c r="K108" s="55" t="s">
        <v>154</v>
      </c>
      <c r="L108" s="236">
        <v>2</v>
      </c>
      <c r="N108" s="236">
        <v>8</v>
      </c>
      <c r="O108" s="55">
        <v>0.75</v>
      </c>
      <c r="P108" s="55">
        <v>0.75</v>
      </c>
      <c r="Q108" s="82">
        <f>IF(OR(O108="",P108=""),"",AVERAGE(O108,P108))</f>
        <v>0.75</v>
      </c>
      <c r="R108" s="236">
        <v>14.2</v>
      </c>
      <c r="S108" s="55">
        <v>105</v>
      </c>
      <c r="T108" s="57">
        <f t="shared" si="7"/>
        <v>33</v>
      </c>
      <c r="U108" s="236">
        <v>321</v>
      </c>
      <c r="V108" s="58">
        <f t="shared" si="6"/>
        <v>1324.125</v>
      </c>
      <c r="W108" s="236">
        <v>3</v>
      </c>
      <c r="X108" s="55" t="s">
        <v>46</v>
      </c>
      <c r="Y108" s="55" t="s">
        <v>50</v>
      </c>
      <c r="Z108" s="55" t="s">
        <v>90</v>
      </c>
      <c r="AA108" s="55" t="s">
        <v>84</v>
      </c>
      <c r="AB108" s="55" t="s">
        <v>369</v>
      </c>
    </row>
    <row r="109" spans="1:28" x14ac:dyDescent="0.15">
      <c r="A109" s="55" t="s">
        <v>41</v>
      </c>
      <c r="B109" s="236" t="s">
        <v>334</v>
      </c>
      <c r="C109" s="152">
        <v>2018</v>
      </c>
      <c r="D109" s="56" t="s">
        <v>355</v>
      </c>
      <c r="E109" s="236" t="s">
        <v>292</v>
      </c>
      <c r="F109" s="236" t="s">
        <v>298</v>
      </c>
      <c r="G109" s="55" t="s">
        <v>42</v>
      </c>
      <c r="H109" s="55" t="s">
        <v>155</v>
      </c>
      <c r="I109" s="55" t="s">
        <v>153</v>
      </c>
      <c r="J109" s="55" t="s">
        <v>38</v>
      </c>
      <c r="K109" s="55" t="s">
        <v>154</v>
      </c>
      <c r="L109" s="236">
        <v>3</v>
      </c>
      <c r="N109" s="236">
        <v>8</v>
      </c>
      <c r="O109" s="55">
        <v>0.65</v>
      </c>
      <c r="P109" s="55">
        <v>0.6</v>
      </c>
      <c r="Q109" s="82">
        <f>IF(OR(O109="",P109=""),"",AVERAGE(O109,P109))</f>
        <v>0.625</v>
      </c>
      <c r="R109" s="236">
        <v>15.4</v>
      </c>
      <c r="S109" s="55">
        <v>106</v>
      </c>
      <c r="T109" s="57">
        <f t="shared" si="7"/>
        <v>33</v>
      </c>
      <c r="U109" s="236">
        <v>321</v>
      </c>
      <c r="V109" s="58">
        <f t="shared" si="6"/>
        <v>1324.125</v>
      </c>
      <c r="W109" s="236">
        <v>3</v>
      </c>
      <c r="X109" s="55" t="s">
        <v>46</v>
      </c>
      <c r="Y109" s="55" t="s">
        <v>50</v>
      </c>
      <c r="Z109" s="55" t="s">
        <v>90</v>
      </c>
      <c r="AA109" s="55" t="s">
        <v>84</v>
      </c>
      <c r="AB109" s="55" t="s">
        <v>369</v>
      </c>
    </row>
    <row r="110" spans="1:28" x14ac:dyDescent="0.15">
      <c r="A110" s="55" t="s">
        <v>41</v>
      </c>
      <c r="B110" s="236" t="s">
        <v>334</v>
      </c>
      <c r="C110" s="152">
        <v>2018</v>
      </c>
      <c r="D110" s="56" t="s">
        <v>355</v>
      </c>
      <c r="E110" s="236" t="s">
        <v>167</v>
      </c>
      <c r="F110" s="236" t="s">
        <v>299</v>
      </c>
      <c r="G110" s="55" t="s">
        <v>42</v>
      </c>
      <c r="H110" s="55" t="s">
        <v>162</v>
      </c>
      <c r="I110" s="55" t="s">
        <v>153</v>
      </c>
      <c r="J110" s="55" t="s">
        <v>38</v>
      </c>
      <c r="K110" s="55" t="s">
        <v>154</v>
      </c>
      <c r="L110" s="236">
        <v>1</v>
      </c>
      <c r="N110" s="236">
        <v>1</v>
      </c>
      <c r="O110" s="55">
        <v>0.45</v>
      </c>
      <c r="P110" s="55">
        <v>0.45</v>
      </c>
      <c r="Q110" s="57">
        <f t="shared" ref="Q110:Q127" si="8">IF(OR(O110="",P110=""),"",AVERAGE(O110,P110))</f>
        <v>0.45</v>
      </c>
      <c r="R110" s="55">
        <v>15.9</v>
      </c>
      <c r="S110" s="236">
        <v>138</v>
      </c>
      <c r="T110" s="57">
        <f t="shared" si="7"/>
        <v>22</v>
      </c>
      <c r="U110" s="236">
        <v>137</v>
      </c>
      <c r="V110" s="58">
        <f t="shared" si="6"/>
        <v>3014</v>
      </c>
      <c r="W110" s="236">
        <v>1</v>
      </c>
      <c r="X110" s="55" t="s">
        <v>39</v>
      </c>
      <c r="Y110" s="55" t="s">
        <v>84</v>
      </c>
      <c r="Z110" s="55" t="s">
        <v>90</v>
      </c>
      <c r="AA110" s="55" t="s">
        <v>69</v>
      </c>
      <c r="AB110" s="55" t="s">
        <v>369</v>
      </c>
    </row>
    <row r="111" spans="1:28" x14ac:dyDescent="0.15">
      <c r="A111" s="55" t="s">
        <v>41</v>
      </c>
      <c r="B111" s="236" t="s">
        <v>334</v>
      </c>
      <c r="C111" s="152">
        <v>2018</v>
      </c>
      <c r="D111" s="56" t="s">
        <v>355</v>
      </c>
      <c r="E111" s="236" t="s">
        <v>167</v>
      </c>
      <c r="F111" s="236" t="s">
        <v>299</v>
      </c>
      <c r="G111" s="55" t="s">
        <v>42</v>
      </c>
      <c r="H111" s="55" t="s">
        <v>162</v>
      </c>
      <c r="I111" s="55" t="s">
        <v>153</v>
      </c>
      <c r="J111" s="55" t="s">
        <v>38</v>
      </c>
      <c r="K111" s="55" t="s">
        <v>154</v>
      </c>
      <c r="L111" s="236">
        <v>2</v>
      </c>
      <c r="N111" s="236">
        <v>1</v>
      </c>
      <c r="O111" s="55">
        <v>0.6</v>
      </c>
      <c r="P111" s="55">
        <v>0.6</v>
      </c>
      <c r="Q111" s="57">
        <f t="shared" si="8"/>
        <v>0.6</v>
      </c>
      <c r="R111" s="55">
        <v>15.5</v>
      </c>
      <c r="S111" s="236">
        <v>133</v>
      </c>
      <c r="T111" s="57">
        <f t="shared" si="7"/>
        <v>25</v>
      </c>
      <c r="U111" s="236">
        <v>137</v>
      </c>
      <c r="V111" s="58">
        <f t="shared" si="6"/>
        <v>3425</v>
      </c>
      <c r="W111" s="236">
        <v>1</v>
      </c>
      <c r="X111" s="55" t="s">
        <v>39</v>
      </c>
      <c r="Y111" s="55" t="s">
        <v>84</v>
      </c>
      <c r="Z111" s="55" t="s">
        <v>90</v>
      </c>
      <c r="AA111" s="55" t="s">
        <v>69</v>
      </c>
      <c r="AB111" s="55" t="s">
        <v>369</v>
      </c>
    </row>
    <row r="112" spans="1:28" x14ac:dyDescent="0.15">
      <c r="A112" s="55" t="s">
        <v>41</v>
      </c>
      <c r="B112" s="236" t="s">
        <v>334</v>
      </c>
      <c r="C112" s="152">
        <v>2018</v>
      </c>
      <c r="D112" s="56" t="s">
        <v>355</v>
      </c>
      <c r="E112" s="236" t="s">
        <v>167</v>
      </c>
      <c r="F112" s="236" t="s">
        <v>299</v>
      </c>
      <c r="G112" s="55" t="s">
        <v>42</v>
      </c>
      <c r="H112" s="55" t="s">
        <v>162</v>
      </c>
      <c r="I112" s="55" t="s">
        <v>153</v>
      </c>
      <c r="J112" s="55" t="s">
        <v>38</v>
      </c>
      <c r="K112" s="55" t="s">
        <v>154</v>
      </c>
      <c r="L112" s="236">
        <v>3</v>
      </c>
      <c r="N112" s="236">
        <v>1</v>
      </c>
      <c r="O112" s="55">
        <v>0.8</v>
      </c>
      <c r="P112" s="55">
        <v>0.85</v>
      </c>
      <c r="Q112" s="57">
        <f t="shared" si="8"/>
        <v>0.82499999999999996</v>
      </c>
      <c r="R112" s="55">
        <v>16.100000000000001</v>
      </c>
      <c r="S112" s="236">
        <v>148</v>
      </c>
      <c r="T112" s="57">
        <f t="shared" si="7"/>
        <v>22</v>
      </c>
      <c r="U112" s="236">
        <v>137</v>
      </c>
      <c r="V112" s="58">
        <f t="shared" si="6"/>
        <v>3014</v>
      </c>
      <c r="W112" s="236">
        <v>1</v>
      </c>
      <c r="X112" s="55" t="s">
        <v>39</v>
      </c>
      <c r="Y112" s="55" t="s">
        <v>84</v>
      </c>
      <c r="Z112" s="55" t="s">
        <v>90</v>
      </c>
      <c r="AA112" s="55" t="s">
        <v>69</v>
      </c>
      <c r="AB112" s="55" t="s">
        <v>369</v>
      </c>
    </row>
    <row r="113" spans="1:28" x14ac:dyDescent="0.15">
      <c r="A113" s="55" t="s">
        <v>41</v>
      </c>
      <c r="B113" s="236" t="s">
        <v>334</v>
      </c>
      <c r="C113" s="152">
        <v>2018</v>
      </c>
      <c r="D113" s="56" t="s">
        <v>355</v>
      </c>
      <c r="E113" s="236" t="s">
        <v>167</v>
      </c>
      <c r="F113" s="236" t="s">
        <v>299</v>
      </c>
      <c r="G113" s="55" t="s">
        <v>42</v>
      </c>
      <c r="H113" s="55" t="s">
        <v>162</v>
      </c>
      <c r="I113" s="55" t="s">
        <v>153</v>
      </c>
      <c r="J113" s="55" t="s">
        <v>38</v>
      </c>
      <c r="K113" s="55" t="s">
        <v>154</v>
      </c>
      <c r="L113" s="236">
        <v>1</v>
      </c>
      <c r="N113" s="236">
        <v>4</v>
      </c>
      <c r="O113" s="55">
        <v>0.75</v>
      </c>
      <c r="P113" s="55">
        <v>0.65</v>
      </c>
      <c r="Q113" s="57">
        <f t="shared" si="8"/>
        <v>0.7</v>
      </c>
      <c r="R113" s="55">
        <v>13.4</v>
      </c>
      <c r="S113" s="236">
        <v>133</v>
      </c>
      <c r="T113" s="57">
        <f t="shared" si="7"/>
        <v>25</v>
      </c>
      <c r="U113" s="236">
        <v>515</v>
      </c>
      <c r="V113" s="58">
        <f t="shared" si="6"/>
        <v>3218.75</v>
      </c>
      <c r="W113" s="236">
        <v>1</v>
      </c>
      <c r="X113" s="55" t="s">
        <v>39</v>
      </c>
      <c r="Y113" s="55" t="s">
        <v>84</v>
      </c>
      <c r="Z113" s="55" t="s">
        <v>90</v>
      </c>
      <c r="AA113" s="55" t="s">
        <v>69</v>
      </c>
      <c r="AB113" s="55" t="s">
        <v>369</v>
      </c>
    </row>
    <row r="114" spans="1:28" x14ac:dyDescent="0.15">
      <c r="A114" s="55" t="s">
        <v>41</v>
      </c>
      <c r="B114" s="236" t="s">
        <v>334</v>
      </c>
      <c r="C114" s="152">
        <v>2018</v>
      </c>
      <c r="D114" s="56" t="s">
        <v>355</v>
      </c>
      <c r="E114" s="236" t="s">
        <v>167</v>
      </c>
      <c r="F114" s="236" t="s">
        <v>299</v>
      </c>
      <c r="G114" s="55" t="s">
        <v>42</v>
      </c>
      <c r="H114" s="55" t="s">
        <v>162</v>
      </c>
      <c r="I114" s="55" t="s">
        <v>153</v>
      </c>
      <c r="J114" s="55" t="s">
        <v>38</v>
      </c>
      <c r="K114" s="55" t="s">
        <v>154</v>
      </c>
      <c r="L114" s="236">
        <v>2</v>
      </c>
      <c r="N114" s="236">
        <v>4</v>
      </c>
      <c r="O114" s="55">
        <v>0.4</v>
      </c>
      <c r="P114" s="55">
        <v>0.55000000000000004</v>
      </c>
      <c r="Q114" s="57">
        <f t="shared" si="8"/>
        <v>0.47500000000000003</v>
      </c>
      <c r="R114" s="55">
        <v>14.8</v>
      </c>
      <c r="S114" s="236">
        <v>130</v>
      </c>
      <c r="T114" s="57">
        <f t="shared" si="7"/>
        <v>25</v>
      </c>
      <c r="U114" s="236">
        <v>515</v>
      </c>
      <c r="V114" s="58">
        <f t="shared" si="6"/>
        <v>3218.75</v>
      </c>
      <c r="W114" s="236">
        <v>1</v>
      </c>
      <c r="X114" s="55" t="s">
        <v>39</v>
      </c>
      <c r="Y114" s="55" t="s">
        <v>84</v>
      </c>
      <c r="Z114" s="55" t="s">
        <v>90</v>
      </c>
      <c r="AA114" s="55" t="s">
        <v>69</v>
      </c>
      <c r="AB114" s="55" t="s">
        <v>369</v>
      </c>
    </row>
    <row r="115" spans="1:28" x14ac:dyDescent="0.15">
      <c r="A115" s="55" t="s">
        <v>41</v>
      </c>
      <c r="B115" s="236" t="s">
        <v>334</v>
      </c>
      <c r="C115" s="152">
        <v>2018</v>
      </c>
      <c r="D115" s="56" t="s">
        <v>355</v>
      </c>
      <c r="E115" s="236" t="s">
        <v>167</v>
      </c>
      <c r="F115" s="236" t="s">
        <v>299</v>
      </c>
      <c r="G115" s="55" t="s">
        <v>42</v>
      </c>
      <c r="H115" s="55" t="s">
        <v>162</v>
      </c>
      <c r="I115" s="55" t="s">
        <v>153</v>
      </c>
      <c r="J115" s="55" t="s">
        <v>38</v>
      </c>
      <c r="K115" s="55" t="s">
        <v>154</v>
      </c>
      <c r="L115" s="236">
        <v>3</v>
      </c>
      <c r="N115" s="236">
        <v>4</v>
      </c>
      <c r="O115" s="55">
        <v>0.65</v>
      </c>
      <c r="P115" s="55">
        <v>0.6</v>
      </c>
      <c r="Q115" s="57">
        <f t="shared" si="8"/>
        <v>0.625</v>
      </c>
      <c r="R115" s="55">
        <v>14.9</v>
      </c>
      <c r="S115" s="236">
        <v>129</v>
      </c>
      <c r="T115" s="57">
        <f t="shared" si="7"/>
        <v>25</v>
      </c>
      <c r="U115" s="236">
        <v>515</v>
      </c>
      <c r="V115" s="58">
        <f t="shared" si="6"/>
        <v>3218.75</v>
      </c>
      <c r="W115" s="236">
        <v>1</v>
      </c>
      <c r="X115" s="55" t="s">
        <v>39</v>
      </c>
      <c r="Y115" s="55" t="s">
        <v>84</v>
      </c>
      <c r="Z115" s="55" t="s">
        <v>90</v>
      </c>
      <c r="AA115" s="55" t="s">
        <v>69</v>
      </c>
      <c r="AB115" s="55" t="s">
        <v>369</v>
      </c>
    </row>
    <row r="116" spans="1:28" x14ac:dyDescent="0.15">
      <c r="A116" s="55" t="s">
        <v>41</v>
      </c>
      <c r="B116" s="236" t="s">
        <v>334</v>
      </c>
      <c r="C116" s="152">
        <v>2018</v>
      </c>
      <c r="D116" s="56" t="s">
        <v>355</v>
      </c>
      <c r="E116" s="236" t="s">
        <v>167</v>
      </c>
      <c r="F116" s="236" t="s">
        <v>299</v>
      </c>
      <c r="G116" s="55" t="s">
        <v>42</v>
      </c>
      <c r="H116" s="55" t="s">
        <v>155</v>
      </c>
      <c r="I116" s="55" t="s">
        <v>153</v>
      </c>
      <c r="J116" s="55" t="s">
        <v>38</v>
      </c>
      <c r="K116" s="55" t="s">
        <v>154</v>
      </c>
      <c r="L116" s="236">
        <v>1</v>
      </c>
      <c r="N116" s="236">
        <v>1</v>
      </c>
      <c r="O116" s="55">
        <v>0.25</v>
      </c>
      <c r="P116" s="55">
        <v>0.25</v>
      </c>
      <c r="Q116" s="57">
        <f t="shared" si="8"/>
        <v>0.25</v>
      </c>
      <c r="R116" s="236">
        <v>12.8</v>
      </c>
      <c r="S116" s="236">
        <v>134</v>
      </c>
      <c r="T116" s="57">
        <f t="shared" si="7"/>
        <v>25</v>
      </c>
      <c r="U116" s="236">
        <v>137</v>
      </c>
      <c r="V116" s="58">
        <f t="shared" si="6"/>
        <v>3425</v>
      </c>
      <c r="W116" s="236">
        <v>1</v>
      </c>
      <c r="X116" s="55" t="s">
        <v>39</v>
      </c>
      <c r="Y116" s="55" t="s">
        <v>84</v>
      </c>
      <c r="Z116" s="55" t="s">
        <v>90</v>
      </c>
      <c r="AA116" s="55" t="s">
        <v>69</v>
      </c>
      <c r="AB116" s="55" t="s">
        <v>369</v>
      </c>
    </row>
    <row r="117" spans="1:28" x14ac:dyDescent="0.15">
      <c r="A117" s="55" t="s">
        <v>41</v>
      </c>
      <c r="B117" s="236" t="s">
        <v>334</v>
      </c>
      <c r="C117" s="152">
        <v>2018</v>
      </c>
      <c r="D117" s="56" t="s">
        <v>355</v>
      </c>
      <c r="E117" s="236" t="s">
        <v>167</v>
      </c>
      <c r="F117" s="236" t="s">
        <v>299</v>
      </c>
      <c r="G117" s="55" t="s">
        <v>42</v>
      </c>
      <c r="H117" s="55" t="s">
        <v>155</v>
      </c>
      <c r="I117" s="55" t="s">
        <v>153</v>
      </c>
      <c r="J117" s="55" t="s">
        <v>38</v>
      </c>
      <c r="K117" s="55" t="s">
        <v>154</v>
      </c>
      <c r="L117" s="236">
        <v>2</v>
      </c>
      <c r="N117" s="236">
        <v>1</v>
      </c>
      <c r="O117" s="55">
        <v>0.25</v>
      </c>
      <c r="P117" s="55">
        <v>0.25</v>
      </c>
      <c r="Q117" s="57">
        <f t="shared" si="8"/>
        <v>0.25</v>
      </c>
      <c r="R117" s="236">
        <v>15.1</v>
      </c>
      <c r="S117" s="236">
        <v>135</v>
      </c>
      <c r="T117" s="57">
        <f t="shared" si="7"/>
        <v>25</v>
      </c>
      <c r="U117" s="236">
        <v>137</v>
      </c>
      <c r="V117" s="58">
        <f t="shared" si="6"/>
        <v>3425</v>
      </c>
      <c r="W117" s="236">
        <v>1</v>
      </c>
      <c r="X117" s="55" t="s">
        <v>39</v>
      </c>
      <c r="Y117" s="55" t="s">
        <v>84</v>
      </c>
      <c r="Z117" s="55" t="s">
        <v>90</v>
      </c>
      <c r="AA117" s="55" t="s">
        <v>69</v>
      </c>
      <c r="AB117" s="55" t="s">
        <v>369</v>
      </c>
    </row>
    <row r="118" spans="1:28" x14ac:dyDescent="0.15">
      <c r="A118" s="55" t="s">
        <v>41</v>
      </c>
      <c r="B118" s="236" t="s">
        <v>334</v>
      </c>
      <c r="C118" s="152">
        <v>2018</v>
      </c>
      <c r="D118" s="56" t="s">
        <v>355</v>
      </c>
      <c r="E118" s="236" t="s">
        <v>167</v>
      </c>
      <c r="F118" s="236" t="s">
        <v>299</v>
      </c>
      <c r="G118" s="55" t="s">
        <v>42</v>
      </c>
      <c r="H118" s="55" t="s">
        <v>155</v>
      </c>
      <c r="I118" s="55" t="s">
        <v>153</v>
      </c>
      <c r="J118" s="55" t="s">
        <v>38</v>
      </c>
      <c r="K118" s="55" t="s">
        <v>154</v>
      </c>
      <c r="L118" s="236">
        <v>3</v>
      </c>
      <c r="N118" s="236">
        <v>1</v>
      </c>
      <c r="O118" s="55">
        <v>0.25</v>
      </c>
      <c r="P118" s="55">
        <v>0.25</v>
      </c>
      <c r="Q118" s="57">
        <f t="shared" si="8"/>
        <v>0.25</v>
      </c>
      <c r="R118" s="236">
        <v>13.4</v>
      </c>
      <c r="S118" s="236">
        <v>130</v>
      </c>
      <c r="T118" s="57">
        <f t="shared" si="7"/>
        <v>25</v>
      </c>
      <c r="U118" s="236">
        <v>137</v>
      </c>
      <c r="V118" s="58">
        <f t="shared" si="6"/>
        <v>3425</v>
      </c>
      <c r="W118" s="236">
        <v>1</v>
      </c>
      <c r="X118" s="55" t="s">
        <v>39</v>
      </c>
      <c r="Y118" s="55" t="s">
        <v>84</v>
      </c>
      <c r="Z118" s="55" t="s">
        <v>90</v>
      </c>
      <c r="AA118" s="55" t="s">
        <v>69</v>
      </c>
      <c r="AB118" s="55" t="s">
        <v>369</v>
      </c>
    </row>
    <row r="119" spans="1:28" x14ac:dyDescent="0.15">
      <c r="A119" s="55" t="s">
        <v>41</v>
      </c>
      <c r="B119" s="236" t="s">
        <v>334</v>
      </c>
      <c r="C119" s="152">
        <v>2018</v>
      </c>
      <c r="D119" s="56" t="s">
        <v>355</v>
      </c>
      <c r="E119" s="236" t="s">
        <v>167</v>
      </c>
      <c r="F119" s="236" t="s">
        <v>299</v>
      </c>
      <c r="G119" s="55" t="s">
        <v>42</v>
      </c>
      <c r="H119" s="55" t="s">
        <v>155</v>
      </c>
      <c r="I119" s="55" t="s">
        <v>153</v>
      </c>
      <c r="J119" s="55" t="s">
        <v>38</v>
      </c>
      <c r="K119" s="55" t="s">
        <v>154</v>
      </c>
      <c r="L119" s="236">
        <v>1</v>
      </c>
      <c r="N119" s="236">
        <v>4</v>
      </c>
      <c r="O119" s="55">
        <v>0.45</v>
      </c>
      <c r="P119" s="55">
        <v>0.8</v>
      </c>
      <c r="Q119" s="57">
        <f t="shared" si="8"/>
        <v>0.625</v>
      </c>
      <c r="R119" s="236">
        <v>14.7</v>
      </c>
      <c r="S119" s="236">
        <v>129</v>
      </c>
      <c r="T119" s="57">
        <f t="shared" si="7"/>
        <v>25</v>
      </c>
      <c r="U119" s="236">
        <v>515</v>
      </c>
      <c r="V119" s="58">
        <f t="shared" si="6"/>
        <v>3218.75</v>
      </c>
      <c r="W119" s="236">
        <v>1</v>
      </c>
      <c r="X119" s="55" t="s">
        <v>39</v>
      </c>
      <c r="Y119" s="55" t="s">
        <v>84</v>
      </c>
      <c r="Z119" s="55" t="s">
        <v>90</v>
      </c>
      <c r="AA119" s="55" t="s">
        <v>69</v>
      </c>
      <c r="AB119" s="55" t="s">
        <v>369</v>
      </c>
    </row>
    <row r="120" spans="1:28" x14ac:dyDescent="0.15">
      <c r="A120" s="55" t="s">
        <v>41</v>
      </c>
      <c r="B120" s="236" t="s">
        <v>334</v>
      </c>
      <c r="C120" s="152">
        <v>2018</v>
      </c>
      <c r="D120" s="56" t="s">
        <v>355</v>
      </c>
      <c r="E120" s="236" t="s">
        <v>167</v>
      </c>
      <c r="F120" s="236" t="s">
        <v>299</v>
      </c>
      <c r="G120" s="55" t="s">
        <v>42</v>
      </c>
      <c r="H120" s="55" t="s">
        <v>155</v>
      </c>
      <c r="I120" s="55" t="s">
        <v>153</v>
      </c>
      <c r="J120" s="55" t="s">
        <v>38</v>
      </c>
      <c r="K120" s="55" t="s">
        <v>154</v>
      </c>
      <c r="L120" s="236">
        <v>2</v>
      </c>
      <c r="N120" s="236">
        <v>4</v>
      </c>
      <c r="O120" s="55">
        <v>0.8</v>
      </c>
      <c r="P120" s="55">
        <v>0.95</v>
      </c>
      <c r="Q120" s="57">
        <f t="shared" si="8"/>
        <v>0.875</v>
      </c>
      <c r="R120" s="236">
        <v>15.6</v>
      </c>
      <c r="S120" s="236">
        <v>125</v>
      </c>
      <c r="T120" s="57">
        <f t="shared" si="7"/>
        <v>27</v>
      </c>
      <c r="U120" s="236">
        <v>515</v>
      </c>
      <c r="V120" s="58">
        <f t="shared" si="6"/>
        <v>3476.25</v>
      </c>
      <c r="W120" s="236">
        <v>1</v>
      </c>
      <c r="X120" s="55" t="s">
        <v>39</v>
      </c>
      <c r="Y120" s="55" t="s">
        <v>84</v>
      </c>
      <c r="Z120" s="55" t="s">
        <v>90</v>
      </c>
      <c r="AA120" s="55" t="s">
        <v>69</v>
      </c>
      <c r="AB120" s="55" t="s">
        <v>369</v>
      </c>
    </row>
    <row r="121" spans="1:28" x14ac:dyDescent="0.15">
      <c r="A121" s="55" t="s">
        <v>41</v>
      </c>
      <c r="B121" s="236" t="s">
        <v>334</v>
      </c>
      <c r="C121" s="152">
        <v>2018</v>
      </c>
      <c r="D121" s="56" t="s">
        <v>355</v>
      </c>
      <c r="E121" s="236" t="s">
        <v>167</v>
      </c>
      <c r="F121" s="236" t="s">
        <v>299</v>
      </c>
      <c r="G121" s="55" t="s">
        <v>42</v>
      </c>
      <c r="H121" s="55" t="s">
        <v>155</v>
      </c>
      <c r="I121" s="55" t="s">
        <v>153</v>
      </c>
      <c r="J121" s="55" t="s">
        <v>38</v>
      </c>
      <c r="K121" s="55" t="s">
        <v>154</v>
      </c>
      <c r="L121" s="236">
        <v>3</v>
      </c>
      <c r="N121" s="236">
        <v>4</v>
      </c>
      <c r="O121" s="55">
        <v>0.65</v>
      </c>
      <c r="P121" s="55">
        <v>0.7</v>
      </c>
      <c r="Q121" s="57">
        <f t="shared" si="8"/>
        <v>0.67500000000000004</v>
      </c>
      <c r="R121" s="236">
        <v>17.399999999999999</v>
      </c>
      <c r="S121" s="236">
        <v>127</v>
      </c>
      <c r="T121" s="57">
        <f t="shared" si="7"/>
        <v>27</v>
      </c>
      <c r="U121" s="236">
        <v>515</v>
      </c>
      <c r="V121" s="58">
        <f t="shared" si="6"/>
        <v>3476.25</v>
      </c>
      <c r="W121" s="236">
        <v>1</v>
      </c>
      <c r="X121" s="55" t="s">
        <v>39</v>
      </c>
      <c r="Y121" s="55" t="s">
        <v>84</v>
      </c>
      <c r="Z121" s="55" t="s">
        <v>90</v>
      </c>
      <c r="AA121" s="55" t="s">
        <v>69</v>
      </c>
      <c r="AB121" s="55" t="s">
        <v>369</v>
      </c>
    </row>
    <row r="122" spans="1:28" x14ac:dyDescent="0.15">
      <c r="A122" s="55" t="s">
        <v>41</v>
      </c>
      <c r="B122" s="236" t="s">
        <v>334</v>
      </c>
      <c r="C122" s="152">
        <v>2018</v>
      </c>
      <c r="D122" s="56" t="s">
        <v>355</v>
      </c>
      <c r="E122" s="236" t="s">
        <v>290</v>
      </c>
      <c r="F122" s="236" t="s">
        <v>295</v>
      </c>
      <c r="G122" s="55" t="s">
        <v>42</v>
      </c>
      <c r="H122" s="55" t="s">
        <v>162</v>
      </c>
      <c r="I122" s="55" t="s">
        <v>153</v>
      </c>
      <c r="J122" s="55" t="s">
        <v>38</v>
      </c>
      <c r="K122" s="55" t="s">
        <v>154</v>
      </c>
      <c r="L122" s="236">
        <v>1</v>
      </c>
      <c r="N122" s="236">
        <v>1</v>
      </c>
      <c r="O122" s="55">
        <v>0.4</v>
      </c>
      <c r="P122" s="55">
        <v>0.3</v>
      </c>
      <c r="Q122" s="57">
        <f t="shared" si="8"/>
        <v>0.35</v>
      </c>
      <c r="R122" s="236">
        <v>15.8</v>
      </c>
      <c r="S122" s="236">
        <v>114</v>
      </c>
      <c r="T122" s="57">
        <f t="shared" si="7"/>
        <v>30</v>
      </c>
      <c r="U122" s="236">
        <v>104</v>
      </c>
      <c r="V122" s="58">
        <f t="shared" si="6"/>
        <v>3120</v>
      </c>
      <c r="W122" s="236">
        <v>4</v>
      </c>
      <c r="X122" s="55" t="s">
        <v>46</v>
      </c>
      <c r="Y122" s="55" t="s">
        <v>84</v>
      </c>
      <c r="Z122" s="55" t="s">
        <v>90</v>
      </c>
      <c r="AA122" s="55" t="s">
        <v>69</v>
      </c>
      <c r="AB122" s="55" t="s">
        <v>369</v>
      </c>
    </row>
    <row r="123" spans="1:28" x14ac:dyDescent="0.15">
      <c r="A123" s="55" t="s">
        <v>41</v>
      </c>
      <c r="B123" s="236" t="s">
        <v>334</v>
      </c>
      <c r="C123" s="152">
        <v>2018</v>
      </c>
      <c r="D123" s="56" t="s">
        <v>355</v>
      </c>
      <c r="E123" s="236" t="s">
        <v>290</v>
      </c>
      <c r="F123" s="236" t="s">
        <v>295</v>
      </c>
      <c r="G123" s="55" t="s">
        <v>42</v>
      </c>
      <c r="H123" s="55" t="s">
        <v>162</v>
      </c>
      <c r="I123" s="55" t="s">
        <v>153</v>
      </c>
      <c r="J123" s="55" t="s">
        <v>38</v>
      </c>
      <c r="K123" s="55" t="s">
        <v>154</v>
      </c>
      <c r="L123" s="236">
        <v>2</v>
      </c>
      <c r="N123" s="236">
        <v>1</v>
      </c>
      <c r="O123" s="55">
        <v>0.5</v>
      </c>
      <c r="P123" s="55">
        <v>0.6</v>
      </c>
      <c r="Q123" s="57">
        <f t="shared" si="8"/>
        <v>0.55000000000000004</v>
      </c>
      <c r="R123" s="236">
        <v>18.399999999999999</v>
      </c>
      <c r="S123" s="236">
        <v>110</v>
      </c>
      <c r="T123" s="57">
        <f t="shared" si="7"/>
        <v>33</v>
      </c>
      <c r="U123" s="236">
        <v>104</v>
      </c>
      <c r="V123" s="58">
        <f t="shared" si="6"/>
        <v>3432</v>
      </c>
      <c r="W123" s="236">
        <v>4</v>
      </c>
      <c r="X123" s="55" t="s">
        <v>46</v>
      </c>
      <c r="Y123" s="55" t="s">
        <v>84</v>
      </c>
      <c r="Z123" s="55" t="s">
        <v>90</v>
      </c>
      <c r="AA123" s="55" t="s">
        <v>69</v>
      </c>
      <c r="AB123" s="55" t="s">
        <v>369</v>
      </c>
    </row>
    <row r="124" spans="1:28" x14ac:dyDescent="0.15">
      <c r="A124" s="55" t="s">
        <v>41</v>
      </c>
      <c r="B124" s="236" t="s">
        <v>334</v>
      </c>
      <c r="C124" s="152">
        <v>2018</v>
      </c>
      <c r="D124" s="56" t="s">
        <v>355</v>
      </c>
      <c r="E124" s="236" t="s">
        <v>290</v>
      </c>
      <c r="F124" s="236" t="s">
        <v>295</v>
      </c>
      <c r="G124" s="55" t="s">
        <v>42</v>
      </c>
      <c r="H124" s="55" t="s">
        <v>162</v>
      </c>
      <c r="I124" s="55" t="s">
        <v>153</v>
      </c>
      <c r="J124" s="55" t="s">
        <v>38</v>
      </c>
      <c r="K124" s="55" t="s">
        <v>154</v>
      </c>
      <c r="L124" s="236">
        <v>3</v>
      </c>
      <c r="N124" s="236">
        <v>1</v>
      </c>
      <c r="O124" s="55">
        <v>0.35</v>
      </c>
      <c r="P124" s="55">
        <v>0.45</v>
      </c>
      <c r="Q124" s="57">
        <f t="shared" si="8"/>
        <v>0.4</v>
      </c>
      <c r="R124" s="236">
        <v>16.8</v>
      </c>
      <c r="S124" s="236">
        <v>115</v>
      </c>
      <c r="T124" s="57">
        <f t="shared" si="7"/>
        <v>30</v>
      </c>
      <c r="U124" s="236">
        <v>104</v>
      </c>
      <c r="V124" s="58">
        <f t="shared" si="6"/>
        <v>3120</v>
      </c>
      <c r="W124" s="236">
        <v>4</v>
      </c>
      <c r="X124" s="55" t="s">
        <v>46</v>
      </c>
      <c r="Y124" s="55" t="s">
        <v>84</v>
      </c>
      <c r="Z124" s="55" t="s">
        <v>90</v>
      </c>
      <c r="AA124" s="55" t="s">
        <v>69</v>
      </c>
      <c r="AB124" s="55" t="s">
        <v>369</v>
      </c>
    </row>
    <row r="125" spans="1:28" x14ac:dyDescent="0.15">
      <c r="A125" s="55" t="s">
        <v>41</v>
      </c>
      <c r="B125" s="236" t="s">
        <v>334</v>
      </c>
      <c r="C125" s="152">
        <v>2018</v>
      </c>
      <c r="D125" s="56" t="s">
        <v>355</v>
      </c>
      <c r="E125" s="236" t="s">
        <v>290</v>
      </c>
      <c r="F125" s="236" t="s">
        <v>295</v>
      </c>
      <c r="G125" s="55" t="s">
        <v>42</v>
      </c>
      <c r="H125" s="55" t="s">
        <v>155</v>
      </c>
      <c r="I125" s="55" t="s">
        <v>153</v>
      </c>
      <c r="J125" s="55" t="s">
        <v>38</v>
      </c>
      <c r="K125" s="55" t="s">
        <v>154</v>
      </c>
      <c r="L125" s="236">
        <v>1</v>
      </c>
      <c r="N125" s="236">
        <v>1</v>
      </c>
      <c r="O125" s="55">
        <v>0.35</v>
      </c>
      <c r="P125" s="55">
        <v>0.45</v>
      </c>
      <c r="Q125" s="57">
        <f t="shared" si="8"/>
        <v>0.4</v>
      </c>
      <c r="R125" s="236">
        <v>14.1</v>
      </c>
      <c r="S125" s="55">
        <v>117</v>
      </c>
      <c r="T125" s="57">
        <f t="shared" si="7"/>
        <v>30</v>
      </c>
      <c r="U125" s="236">
        <v>104</v>
      </c>
      <c r="V125" s="58">
        <f t="shared" si="6"/>
        <v>3120</v>
      </c>
      <c r="W125" s="236">
        <v>2</v>
      </c>
      <c r="X125" s="55" t="s">
        <v>46</v>
      </c>
      <c r="Y125" s="55" t="s">
        <v>84</v>
      </c>
      <c r="Z125" s="55" t="s">
        <v>90</v>
      </c>
      <c r="AA125" s="55" t="s">
        <v>69</v>
      </c>
      <c r="AB125" s="55" t="s">
        <v>369</v>
      </c>
    </row>
    <row r="126" spans="1:28" x14ac:dyDescent="0.15">
      <c r="A126" s="55" t="s">
        <v>41</v>
      </c>
      <c r="B126" s="236" t="s">
        <v>334</v>
      </c>
      <c r="C126" s="152">
        <v>2018</v>
      </c>
      <c r="D126" s="56" t="s">
        <v>355</v>
      </c>
      <c r="E126" s="236" t="s">
        <v>290</v>
      </c>
      <c r="F126" s="236" t="s">
        <v>295</v>
      </c>
      <c r="G126" s="55" t="s">
        <v>42</v>
      </c>
      <c r="H126" s="55" t="s">
        <v>155</v>
      </c>
      <c r="I126" s="55" t="s">
        <v>153</v>
      </c>
      <c r="J126" s="55" t="s">
        <v>38</v>
      </c>
      <c r="K126" s="55" t="s">
        <v>154</v>
      </c>
      <c r="L126" s="236">
        <v>2</v>
      </c>
      <c r="N126" s="236">
        <v>1</v>
      </c>
      <c r="O126" s="55">
        <v>0.5</v>
      </c>
      <c r="P126" s="55">
        <v>0.65</v>
      </c>
      <c r="Q126" s="57">
        <f t="shared" si="8"/>
        <v>0.57499999999999996</v>
      </c>
      <c r="R126" s="236">
        <v>15.4</v>
      </c>
      <c r="S126" s="55">
        <v>119</v>
      </c>
      <c r="T126" s="57">
        <f t="shared" si="7"/>
        <v>30</v>
      </c>
      <c r="U126" s="236">
        <v>104</v>
      </c>
      <c r="V126" s="58">
        <f t="shared" si="6"/>
        <v>3120</v>
      </c>
      <c r="W126" s="236">
        <v>2</v>
      </c>
      <c r="X126" s="55" t="s">
        <v>46</v>
      </c>
      <c r="Y126" s="55" t="s">
        <v>84</v>
      </c>
      <c r="Z126" s="55" t="s">
        <v>90</v>
      </c>
      <c r="AA126" s="55" t="s">
        <v>69</v>
      </c>
      <c r="AB126" s="55" t="s">
        <v>369</v>
      </c>
    </row>
    <row r="127" spans="1:28" x14ac:dyDescent="0.15">
      <c r="A127" s="55" t="s">
        <v>41</v>
      </c>
      <c r="B127" s="236" t="s">
        <v>334</v>
      </c>
      <c r="C127" s="152">
        <v>2018</v>
      </c>
      <c r="D127" s="56" t="s">
        <v>355</v>
      </c>
      <c r="E127" s="236" t="s">
        <v>290</v>
      </c>
      <c r="F127" s="236" t="s">
        <v>295</v>
      </c>
      <c r="G127" s="55" t="s">
        <v>42</v>
      </c>
      <c r="H127" s="55" t="s">
        <v>155</v>
      </c>
      <c r="I127" s="55" t="s">
        <v>153</v>
      </c>
      <c r="J127" s="55" t="s">
        <v>38</v>
      </c>
      <c r="K127" s="55" t="s">
        <v>154</v>
      </c>
      <c r="L127" s="236">
        <v>3</v>
      </c>
      <c r="N127" s="236">
        <v>1</v>
      </c>
      <c r="O127" s="55">
        <v>0.6</v>
      </c>
      <c r="P127" s="55">
        <v>0.6</v>
      </c>
      <c r="Q127" s="57">
        <f t="shared" si="8"/>
        <v>0.6</v>
      </c>
      <c r="R127" s="236">
        <v>14.2</v>
      </c>
      <c r="S127" s="55">
        <v>120</v>
      </c>
      <c r="T127" s="57">
        <f t="shared" si="7"/>
        <v>30</v>
      </c>
      <c r="U127" s="236">
        <v>104</v>
      </c>
      <c r="V127" s="58">
        <f t="shared" si="6"/>
        <v>3120</v>
      </c>
      <c r="W127" s="236">
        <v>2</v>
      </c>
      <c r="X127" s="55" t="s">
        <v>46</v>
      </c>
      <c r="Y127" s="55" t="s">
        <v>84</v>
      </c>
      <c r="Z127" s="55" t="s">
        <v>90</v>
      </c>
      <c r="AA127" s="55" t="s">
        <v>69</v>
      </c>
      <c r="AB127" s="55" t="s">
        <v>369</v>
      </c>
    </row>
  </sheetData>
  <autoFilter ref="A1:BA127"/>
  <dataConsolidate/>
  <phoneticPr fontId="3"/>
  <dataValidations count="13">
    <dataValidation operator="equal" allowBlank="1" showInputMessage="1" showErrorMessage="1" sqref="B2:B127"/>
    <dataValidation type="decimal" allowBlank="1" showInputMessage="1" showErrorMessage="1" error="硬度を正しく入力して下さい。" sqref="O2:P310">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7">
      <formula1>$AR$2:$AR$23</formula1>
    </dataValidation>
    <dataValidation type="list" allowBlank="1" showInputMessage="1" showErrorMessage="1" sqref="J2:J310">
      <formula1>$AP$2:$AP$19</formula1>
    </dataValidation>
    <dataValidation type="list" allowBlank="1" showInputMessage="1" showErrorMessage="1" sqref="A2:A310">
      <formula1>$AE$2:$AE$16</formula1>
    </dataValidation>
    <dataValidation type="list" allowBlank="1" showInputMessage="1" showErrorMessage="1" sqref="X2:X310">
      <formula1>$AT$2:$AT$3</formula1>
    </dataValidation>
    <dataValidation type="list" allowBlank="1" showInputMessage="1" showErrorMessage="1" sqref="I2:I310">
      <formula1>$AN$5:$AN$6</formula1>
    </dataValidation>
    <dataValidation type="list" allowBlank="1" showInputMessage="1" showErrorMessage="1" sqref="G2:G310">
      <formula1>$AJ$2:$AJ$4</formula1>
    </dataValidation>
    <dataValidation type="list" allowBlank="1" showInputMessage="1" showErrorMessage="1" sqref="H2:H310">
      <formula1>$AL$2:$AL$8</formula1>
    </dataValidation>
    <dataValidation type="list" allowBlank="1" showInputMessage="1" showErrorMessage="1" sqref="K128:K310">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C58" sqref="AC58"/>
    </sheetView>
  </sheetViews>
  <sheetFormatPr defaultRowHeight="13.5" x14ac:dyDescent="0.15"/>
  <cols>
    <col min="1" max="1" width="9" style="207"/>
    <col min="2" max="2" width="9" style="215"/>
    <col min="3" max="3" width="9" style="207"/>
    <col min="4" max="4" width="10.5" style="207" bestFit="1" customWidth="1"/>
    <col min="5" max="13" width="9" style="207"/>
    <col min="14" max="14" width="9.5" style="207" bestFit="1" customWidth="1"/>
    <col min="15" max="16" width="9" style="207"/>
    <col min="17" max="17" width="9" style="216"/>
    <col min="18" max="19" width="9" style="207"/>
    <col min="20" max="20" width="9" style="216"/>
    <col min="21" max="21" width="9" style="207"/>
    <col min="22" max="22" width="9" style="216"/>
    <col min="23" max="27" width="9" style="207"/>
    <col min="28" max="28" width="9" style="215"/>
    <col min="29" max="32" width="9" style="207"/>
    <col min="33" max="33" width="15.875" style="207" bestFit="1" customWidth="1"/>
    <col min="34" max="34" width="11.375" style="207" bestFit="1" customWidth="1"/>
    <col min="35" max="259" width="9" style="207"/>
    <col min="260" max="260" width="10.5" style="207" bestFit="1" customWidth="1"/>
    <col min="261" max="269" width="9" style="207"/>
    <col min="270" max="270" width="9.5" style="207" bestFit="1" customWidth="1"/>
    <col min="271" max="288" width="9" style="207"/>
    <col min="289" max="289" width="15.875" style="207" bestFit="1" customWidth="1"/>
    <col min="290" max="290" width="11.375" style="207" bestFit="1" customWidth="1"/>
    <col min="291" max="515" width="9" style="207"/>
    <col min="516" max="516" width="10.5" style="207" bestFit="1" customWidth="1"/>
    <col min="517" max="525" width="9" style="207"/>
    <col min="526" max="526" width="9.5" style="207" bestFit="1" customWidth="1"/>
    <col min="527" max="544" width="9" style="207"/>
    <col min="545" max="545" width="15.875" style="207" bestFit="1" customWidth="1"/>
    <col min="546" max="546" width="11.375" style="207" bestFit="1" customWidth="1"/>
    <col min="547" max="771" width="9" style="207"/>
    <col min="772" max="772" width="10.5" style="207" bestFit="1" customWidth="1"/>
    <col min="773" max="781" width="9" style="207"/>
    <col min="782" max="782" width="9.5" style="207" bestFit="1" customWidth="1"/>
    <col min="783" max="800" width="9" style="207"/>
    <col min="801" max="801" width="15.875" style="207" bestFit="1" customWidth="1"/>
    <col min="802" max="802" width="11.375" style="207" bestFit="1" customWidth="1"/>
    <col min="803" max="1027" width="9" style="207"/>
    <col min="1028" max="1028" width="10.5" style="207" bestFit="1" customWidth="1"/>
    <col min="1029" max="1037" width="9" style="207"/>
    <col min="1038" max="1038" width="9.5" style="207" bestFit="1" customWidth="1"/>
    <col min="1039" max="1056" width="9" style="207"/>
    <col min="1057" max="1057" width="15.875" style="207" bestFit="1" customWidth="1"/>
    <col min="1058" max="1058" width="11.375" style="207" bestFit="1" customWidth="1"/>
    <col min="1059" max="1283" width="9" style="207"/>
    <col min="1284" max="1284" width="10.5" style="207" bestFit="1" customWidth="1"/>
    <col min="1285" max="1293" width="9" style="207"/>
    <col min="1294" max="1294" width="9.5" style="207" bestFit="1" customWidth="1"/>
    <col min="1295" max="1312" width="9" style="207"/>
    <col min="1313" max="1313" width="15.875" style="207" bestFit="1" customWidth="1"/>
    <col min="1314" max="1314" width="11.375" style="207" bestFit="1" customWidth="1"/>
    <col min="1315" max="1539" width="9" style="207"/>
    <col min="1540" max="1540" width="10.5" style="207" bestFit="1" customWidth="1"/>
    <col min="1541" max="1549" width="9" style="207"/>
    <col min="1550" max="1550" width="9.5" style="207" bestFit="1" customWidth="1"/>
    <col min="1551" max="1568" width="9" style="207"/>
    <col min="1569" max="1569" width="15.875" style="207" bestFit="1" customWidth="1"/>
    <col min="1570" max="1570" width="11.375" style="207" bestFit="1" customWidth="1"/>
    <col min="1571" max="1795" width="9" style="207"/>
    <col min="1796" max="1796" width="10.5" style="207" bestFit="1" customWidth="1"/>
    <col min="1797" max="1805" width="9" style="207"/>
    <col min="1806" max="1806" width="9.5" style="207" bestFit="1" customWidth="1"/>
    <col min="1807" max="1824" width="9" style="207"/>
    <col min="1825" max="1825" width="15.875" style="207" bestFit="1" customWidth="1"/>
    <col min="1826" max="1826" width="11.375" style="207" bestFit="1" customWidth="1"/>
    <col min="1827" max="2051" width="9" style="207"/>
    <col min="2052" max="2052" width="10.5" style="207" bestFit="1" customWidth="1"/>
    <col min="2053" max="2061" width="9" style="207"/>
    <col min="2062" max="2062" width="9.5" style="207" bestFit="1" customWidth="1"/>
    <col min="2063" max="2080" width="9" style="207"/>
    <col min="2081" max="2081" width="15.875" style="207" bestFit="1" customWidth="1"/>
    <col min="2082" max="2082" width="11.375" style="207" bestFit="1" customWidth="1"/>
    <col min="2083" max="2307" width="9" style="207"/>
    <col min="2308" max="2308" width="10.5" style="207" bestFit="1" customWidth="1"/>
    <col min="2309" max="2317" width="9" style="207"/>
    <col min="2318" max="2318" width="9.5" style="207" bestFit="1" customWidth="1"/>
    <col min="2319" max="2336" width="9" style="207"/>
    <col min="2337" max="2337" width="15.875" style="207" bestFit="1" customWidth="1"/>
    <col min="2338" max="2338" width="11.375" style="207" bestFit="1" customWidth="1"/>
    <col min="2339" max="2563" width="9" style="207"/>
    <col min="2564" max="2564" width="10.5" style="207" bestFit="1" customWidth="1"/>
    <col min="2565" max="2573" width="9" style="207"/>
    <col min="2574" max="2574" width="9.5" style="207" bestFit="1" customWidth="1"/>
    <col min="2575" max="2592" width="9" style="207"/>
    <col min="2593" max="2593" width="15.875" style="207" bestFit="1" customWidth="1"/>
    <col min="2594" max="2594" width="11.375" style="207" bestFit="1" customWidth="1"/>
    <col min="2595" max="2819" width="9" style="207"/>
    <col min="2820" max="2820" width="10.5" style="207" bestFit="1" customWidth="1"/>
    <col min="2821" max="2829" width="9" style="207"/>
    <col min="2830" max="2830" width="9.5" style="207" bestFit="1" customWidth="1"/>
    <col min="2831" max="2848" width="9" style="207"/>
    <col min="2849" max="2849" width="15.875" style="207" bestFit="1" customWidth="1"/>
    <col min="2850" max="2850" width="11.375" style="207" bestFit="1" customWidth="1"/>
    <col min="2851" max="3075" width="9" style="207"/>
    <col min="3076" max="3076" width="10.5" style="207" bestFit="1" customWidth="1"/>
    <col min="3077" max="3085" width="9" style="207"/>
    <col min="3086" max="3086" width="9.5" style="207" bestFit="1" customWidth="1"/>
    <col min="3087" max="3104" width="9" style="207"/>
    <col min="3105" max="3105" width="15.875" style="207" bestFit="1" customWidth="1"/>
    <col min="3106" max="3106" width="11.375" style="207" bestFit="1" customWidth="1"/>
    <col min="3107" max="3331" width="9" style="207"/>
    <col min="3332" max="3332" width="10.5" style="207" bestFit="1" customWidth="1"/>
    <col min="3333" max="3341" width="9" style="207"/>
    <col min="3342" max="3342" width="9.5" style="207" bestFit="1" customWidth="1"/>
    <col min="3343" max="3360" width="9" style="207"/>
    <col min="3361" max="3361" width="15.875" style="207" bestFit="1" customWidth="1"/>
    <col min="3362" max="3362" width="11.375" style="207" bestFit="1" customWidth="1"/>
    <col min="3363" max="3587" width="9" style="207"/>
    <col min="3588" max="3588" width="10.5" style="207" bestFit="1" customWidth="1"/>
    <col min="3589" max="3597" width="9" style="207"/>
    <col min="3598" max="3598" width="9.5" style="207" bestFit="1" customWidth="1"/>
    <col min="3599" max="3616" width="9" style="207"/>
    <col min="3617" max="3617" width="15.875" style="207" bestFit="1" customWidth="1"/>
    <col min="3618" max="3618" width="11.375" style="207" bestFit="1" customWidth="1"/>
    <col min="3619" max="3843" width="9" style="207"/>
    <col min="3844" max="3844" width="10.5" style="207" bestFit="1" customWidth="1"/>
    <col min="3845" max="3853" width="9" style="207"/>
    <col min="3854" max="3854" width="9.5" style="207" bestFit="1" customWidth="1"/>
    <col min="3855" max="3872" width="9" style="207"/>
    <col min="3873" max="3873" width="15.875" style="207" bestFit="1" customWidth="1"/>
    <col min="3874" max="3874" width="11.375" style="207" bestFit="1" customWidth="1"/>
    <col min="3875" max="4099" width="9" style="207"/>
    <col min="4100" max="4100" width="10.5" style="207" bestFit="1" customWidth="1"/>
    <col min="4101" max="4109" width="9" style="207"/>
    <col min="4110" max="4110" width="9.5" style="207" bestFit="1" customWidth="1"/>
    <col min="4111" max="4128" width="9" style="207"/>
    <col min="4129" max="4129" width="15.875" style="207" bestFit="1" customWidth="1"/>
    <col min="4130" max="4130" width="11.375" style="207" bestFit="1" customWidth="1"/>
    <col min="4131" max="4355" width="9" style="207"/>
    <col min="4356" max="4356" width="10.5" style="207" bestFit="1" customWidth="1"/>
    <col min="4357" max="4365" width="9" style="207"/>
    <col min="4366" max="4366" width="9.5" style="207" bestFit="1" customWidth="1"/>
    <col min="4367" max="4384" width="9" style="207"/>
    <col min="4385" max="4385" width="15.875" style="207" bestFit="1" customWidth="1"/>
    <col min="4386" max="4386" width="11.375" style="207" bestFit="1" customWidth="1"/>
    <col min="4387" max="4611" width="9" style="207"/>
    <col min="4612" max="4612" width="10.5" style="207" bestFit="1" customWidth="1"/>
    <col min="4613" max="4621" width="9" style="207"/>
    <col min="4622" max="4622" width="9.5" style="207" bestFit="1" customWidth="1"/>
    <col min="4623" max="4640" width="9" style="207"/>
    <col min="4641" max="4641" width="15.875" style="207" bestFit="1" customWidth="1"/>
    <col min="4642" max="4642" width="11.375" style="207" bestFit="1" customWidth="1"/>
    <col min="4643" max="4867" width="9" style="207"/>
    <col min="4868" max="4868" width="10.5" style="207" bestFit="1" customWidth="1"/>
    <col min="4869" max="4877" width="9" style="207"/>
    <col min="4878" max="4878" width="9.5" style="207" bestFit="1" customWidth="1"/>
    <col min="4879" max="4896" width="9" style="207"/>
    <col min="4897" max="4897" width="15.875" style="207" bestFit="1" customWidth="1"/>
    <col min="4898" max="4898" width="11.375" style="207" bestFit="1" customWidth="1"/>
    <col min="4899" max="5123" width="9" style="207"/>
    <col min="5124" max="5124" width="10.5" style="207" bestFit="1" customWidth="1"/>
    <col min="5125" max="5133" width="9" style="207"/>
    <col min="5134" max="5134" width="9.5" style="207" bestFit="1" customWidth="1"/>
    <col min="5135" max="5152" width="9" style="207"/>
    <col min="5153" max="5153" width="15.875" style="207" bestFit="1" customWidth="1"/>
    <col min="5154" max="5154" width="11.375" style="207" bestFit="1" customWidth="1"/>
    <col min="5155" max="5379" width="9" style="207"/>
    <col min="5380" max="5380" width="10.5" style="207" bestFit="1" customWidth="1"/>
    <col min="5381" max="5389" width="9" style="207"/>
    <col min="5390" max="5390" width="9.5" style="207" bestFit="1" customWidth="1"/>
    <col min="5391" max="5408" width="9" style="207"/>
    <col min="5409" max="5409" width="15.875" style="207" bestFit="1" customWidth="1"/>
    <col min="5410" max="5410" width="11.375" style="207" bestFit="1" customWidth="1"/>
    <col min="5411" max="5635" width="9" style="207"/>
    <col min="5636" max="5636" width="10.5" style="207" bestFit="1" customWidth="1"/>
    <col min="5637" max="5645" width="9" style="207"/>
    <col min="5646" max="5646" width="9.5" style="207" bestFit="1" customWidth="1"/>
    <col min="5647" max="5664" width="9" style="207"/>
    <col min="5665" max="5665" width="15.875" style="207" bestFit="1" customWidth="1"/>
    <col min="5666" max="5666" width="11.375" style="207" bestFit="1" customWidth="1"/>
    <col min="5667" max="5891" width="9" style="207"/>
    <col min="5892" max="5892" width="10.5" style="207" bestFit="1" customWidth="1"/>
    <col min="5893" max="5901" width="9" style="207"/>
    <col min="5902" max="5902" width="9.5" style="207" bestFit="1" customWidth="1"/>
    <col min="5903" max="5920" width="9" style="207"/>
    <col min="5921" max="5921" width="15.875" style="207" bestFit="1" customWidth="1"/>
    <col min="5922" max="5922" width="11.375" style="207" bestFit="1" customWidth="1"/>
    <col min="5923" max="6147" width="9" style="207"/>
    <col min="6148" max="6148" width="10.5" style="207" bestFit="1" customWidth="1"/>
    <col min="6149" max="6157" width="9" style="207"/>
    <col min="6158" max="6158" width="9.5" style="207" bestFit="1" customWidth="1"/>
    <col min="6159" max="6176" width="9" style="207"/>
    <col min="6177" max="6177" width="15.875" style="207" bestFit="1" customWidth="1"/>
    <col min="6178" max="6178" width="11.375" style="207" bestFit="1" customWidth="1"/>
    <col min="6179" max="6403" width="9" style="207"/>
    <col min="6404" max="6404" width="10.5" style="207" bestFit="1" customWidth="1"/>
    <col min="6405" max="6413" width="9" style="207"/>
    <col min="6414" max="6414" width="9.5" style="207" bestFit="1" customWidth="1"/>
    <col min="6415" max="6432" width="9" style="207"/>
    <col min="6433" max="6433" width="15.875" style="207" bestFit="1" customWidth="1"/>
    <col min="6434" max="6434" width="11.375" style="207" bestFit="1" customWidth="1"/>
    <col min="6435" max="6659" width="9" style="207"/>
    <col min="6660" max="6660" width="10.5" style="207" bestFit="1" customWidth="1"/>
    <col min="6661" max="6669" width="9" style="207"/>
    <col min="6670" max="6670" width="9.5" style="207" bestFit="1" customWidth="1"/>
    <col min="6671" max="6688" width="9" style="207"/>
    <col min="6689" max="6689" width="15.875" style="207" bestFit="1" customWidth="1"/>
    <col min="6690" max="6690" width="11.375" style="207" bestFit="1" customWidth="1"/>
    <col min="6691" max="6915" width="9" style="207"/>
    <col min="6916" max="6916" width="10.5" style="207" bestFit="1" customWidth="1"/>
    <col min="6917" max="6925" width="9" style="207"/>
    <col min="6926" max="6926" width="9.5" style="207" bestFit="1" customWidth="1"/>
    <col min="6927" max="6944" width="9" style="207"/>
    <col min="6945" max="6945" width="15.875" style="207" bestFit="1" customWidth="1"/>
    <col min="6946" max="6946" width="11.375" style="207" bestFit="1" customWidth="1"/>
    <col min="6947" max="7171" width="9" style="207"/>
    <col min="7172" max="7172" width="10.5" style="207" bestFit="1" customWidth="1"/>
    <col min="7173" max="7181" width="9" style="207"/>
    <col min="7182" max="7182" width="9.5" style="207" bestFit="1" customWidth="1"/>
    <col min="7183" max="7200" width="9" style="207"/>
    <col min="7201" max="7201" width="15.875" style="207" bestFit="1" customWidth="1"/>
    <col min="7202" max="7202" width="11.375" style="207" bestFit="1" customWidth="1"/>
    <col min="7203" max="7427" width="9" style="207"/>
    <col min="7428" max="7428" width="10.5" style="207" bestFit="1" customWidth="1"/>
    <col min="7429" max="7437" width="9" style="207"/>
    <col min="7438" max="7438" width="9.5" style="207" bestFit="1" customWidth="1"/>
    <col min="7439" max="7456" width="9" style="207"/>
    <col min="7457" max="7457" width="15.875" style="207" bestFit="1" customWidth="1"/>
    <col min="7458" max="7458" width="11.375" style="207" bestFit="1" customWidth="1"/>
    <col min="7459" max="7683" width="9" style="207"/>
    <col min="7684" max="7684" width="10.5" style="207" bestFit="1" customWidth="1"/>
    <col min="7685" max="7693" width="9" style="207"/>
    <col min="7694" max="7694" width="9.5" style="207" bestFit="1" customWidth="1"/>
    <col min="7695" max="7712" width="9" style="207"/>
    <col min="7713" max="7713" width="15.875" style="207" bestFit="1" customWidth="1"/>
    <col min="7714" max="7714" width="11.375" style="207" bestFit="1" customWidth="1"/>
    <col min="7715" max="7939" width="9" style="207"/>
    <col min="7940" max="7940" width="10.5" style="207" bestFit="1" customWidth="1"/>
    <col min="7941" max="7949" width="9" style="207"/>
    <col min="7950" max="7950" width="9.5" style="207" bestFit="1" customWidth="1"/>
    <col min="7951" max="7968" width="9" style="207"/>
    <col min="7969" max="7969" width="15.875" style="207" bestFit="1" customWidth="1"/>
    <col min="7970" max="7970" width="11.375" style="207" bestFit="1" customWidth="1"/>
    <col min="7971" max="8195" width="9" style="207"/>
    <col min="8196" max="8196" width="10.5" style="207" bestFit="1" customWidth="1"/>
    <col min="8197" max="8205" width="9" style="207"/>
    <col min="8206" max="8206" width="9.5" style="207" bestFit="1" customWidth="1"/>
    <col min="8207" max="8224" width="9" style="207"/>
    <col min="8225" max="8225" width="15.875" style="207" bestFit="1" customWidth="1"/>
    <col min="8226" max="8226" width="11.375" style="207" bestFit="1" customWidth="1"/>
    <col min="8227" max="8451" width="9" style="207"/>
    <col min="8452" max="8452" width="10.5" style="207" bestFit="1" customWidth="1"/>
    <col min="8453" max="8461" width="9" style="207"/>
    <col min="8462" max="8462" width="9.5" style="207" bestFit="1" customWidth="1"/>
    <col min="8463" max="8480" width="9" style="207"/>
    <col min="8481" max="8481" width="15.875" style="207" bestFit="1" customWidth="1"/>
    <col min="8482" max="8482" width="11.375" style="207" bestFit="1" customWidth="1"/>
    <col min="8483" max="8707" width="9" style="207"/>
    <col min="8708" max="8708" width="10.5" style="207" bestFit="1" customWidth="1"/>
    <col min="8709" max="8717" width="9" style="207"/>
    <col min="8718" max="8718" width="9.5" style="207" bestFit="1" customWidth="1"/>
    <col min="8719" max="8736" width="9" style="207"/>
    <col min="8737" max="8737" width="15.875" style="207" bestFit="1" customWidth="1"/>
    <col min="8738" max="8738" width="11.375" style="207" bestFit="1" customWidth="1"/>
    <col min="8739" max="8963" width="9" style="207"/>
    <col min="8964" max="8964" width="10.5" style="207" bestFit="1" customWidth="1"/>
    <col min="8965" max="8973" width="9" style="207"/>
    <col min="8974" max="8974" width="9.5" style="207" bestFit="1" customWidth="1"/>
    <col min="8975" max="8992" width="9" style="207"/>
    <col min="8993" max="8993" width="15.875" style="207" bestFit="1" customWidth="1"/>
    <col min="8994" max="8994" width="11.375" style="207" bestFit="1" customWidth="1"/>
    <col min="8995" max="9219" width="9" style="207"/>
    <col min="9220" max="9220" width="10.5" style="207" bestFit="1" customWidth="1"/>
    <col min="9221" max="9229" width="9" style="207"/>
    <col min="9230" max="9230" width="9.5" style="207" bestFit="1" customWidth="1"/>
    <col min="9231" max="9248" width="9" style="207"/>
    <col min="9249" max="9249" width="15.875" style="207" bestFit="1" customWidth="1"/>
    <col min="9250" max="9250" width="11.375" style="207" bestFit="1" customWidth="1"/>
    <col min="9251" max="9475" width="9" style="207"/>
    <col min="9476" max="9476" width="10.5" style="207" bestFit="1" customWidth="1"/>
    <col min="9477" max="9485" width="9" style="207"/>
    <col min="9486" max="9486" width="9.5" style="207" bestFit="1" customWidth="1"/>
    <col min="9487" max="9504" width="9" style="207"/>
    <col min="9505" max="9505" width="15.875" style="207" bestFit="1" customWidth="1"/>
    <col min="9506" max="9506" width="11.375" style="207" bestFit="1" customWidth="1"/>
    <col min="9507" max="9731" width="9" style="207"/>
    <col min="9732" max="9732" width="10.5" style="207" bestFit="1" customWidth="1"/>
    <col min="9733" max="9741" width="9" style="207"/>
    <col min="9742" max="9742" width="9.5" style="207" bestFit="1" customWidth="1"/>
    <col min="9743" max="9760" width="9" style="207"/>
    <col min="9761" max="9761" width="15.875" style="207" bestFit="1" customWidth="1"/>
    <col min="9762" max="9762" width="11.375" style="207" bestFit="1" customWidth="1"/>
    <col min="9763" max="9987" width="9" style="207"/>
    <col min="9988" max="9988" width="10.5" style="207" bestFit="1" customWidth="1"/>
    <col min="9989" max="9997" width="9" style="207"/>
    <col min="9998" max="9998" width="9.5" style="207" bestFit="1" customWidth="1"/>
    <col min="9999" max="10016" width="9" style="207"/>
    <col min="10017" max="10017" width="15.875" style="207" bestFit="1" customWidth="1"/>
    <col min="10018" max="10018" width="11.375" style="207" bestFit="1" customWidth="1"/>
    <col min="10019" max="10243" width="9" style="207"/>
    <col min="10244" max="10244" width="10.5" style="207" bestFit="1" customWidth="1"/>
    <col min="10245" max="10253" width="9" style="207"/>
    <col min="10254" max="10254" width="9.5" style="207" bestFit="1" customWidth="1"/>
    <col min="10255" max="10272" width="9" style="207"/>
    <col min="10273" max="10273" width="15.875" style="207" bestFit="1" customWidth="1"/>
    <col min="10274" max="10274" width="11.375" style="207" bestFit="1" customWidth="1"/>
    <col min="10275" max="10499" width="9" style="207"/>
    <col min="10500" max="10500" width="10.5" style="207" bestFit="1" customWidth="1"/>
    <col min="10501" max="10509" width="9" style="207"/>
    <col min="10510" max="10510" width="9.5" style="207" bestFit="1" customWidth="1"/>
    <col min="10511" max="10528" width="9" style="207"/>
    <col min="10529" max="10529" width="15.875" style="207" bestFit="1" customWidth="1"/>
    <col min="10530" max="10530" width="11.375" style="207" bestFit="1" customWidth="1"/>
    <col min="10531" max="10755" width="9" style="207"/>
    <col min="10756" max="10756" width="10.5" style="207" bestFit="1" customWidth="1"/>
    <col min="10757" max="10765" width="9" style="207"/>
    <col min="10766" max="10766" width="9.5" style="207" bestFit="1" customWidth="1"/>
    <col min="10767" max="10784" width="9" style="207"/>
    <col min="10785" max="10785" width="15.875" style="207" bestFit="1" customWidth="1"/>
    <col min="10786" max="10786" width="11.375" style="207" bestFit="1" customWidth="1"/>
    <col min="10787" max="11011" width="9" style="207"/>
    <col min="11012" max="11012" width="10.5" style="207" bestFit="1" customWidth="1"/>
    <col min="11013" max="11021" width="9" style="207"/>
    <col min="11022" max="11022" width="9.5" style="207" bestFit="1" customWidth="1"/>
    <col min="11023" max="11040" width="9" style="207"/>
    <col min="11041" max="11041" width="15.875" style="207" bestFit="1" customWidth="1"/>
    <col min="11042" max="11042" width="11.375" style="207" bestFit="1" customWidth="1"/>
    <col min="11043" max="11267" width="9" style="207"/>
    <col min="11268" max="11268" width="10.5" style="207" bestFit="1" customWidth="1"/>
    <col min="11269" max="11277" width="9" style="207"/>
    <col min="11278" max="11278" width="9.5" style="207" bestFit="1" customWidth="1"/>
    <col min="11279" max="11296" width="9" style="207"/>
    <col min="11297" max="11297" width="15.875" style="207" bestFit="1" customWidth="1"/>
    <col min="11298" max="11298" width="11.375" style="207" bestFit="1" customWidth="1"/>
    <col min="11299" max="11523" width="9" style="207"/>
    <col min="11524" max="11524" width="10.5" style="207" bestFit="1" customWidth="1"/>
    <col min="11525" max="11533" width="9" style="207"/>
    <col min="11534" max="11534" width="9.5" style="207" bestFit="1" customWidth="1"/>
    <col min="11535" max="11552" width="9" style="207"/>
    <col min="11553" max="11553" width="15.875" style="207" bestFit="1" customWidth="1"/>
    <col min="11554" max="11554" width="11.375" style="207" bestFit="1" customWidth="1"/>
    <col min="11555" max="11779" width="9" style="207"/>
    <col min="11780" max="11780" width="10.5" style="207" bestFit="1" customWidth="1"/>
    <col min="11781" max="11789" width="9" style="207"/>
    <col min="11790" max="11790" width="9.5" style="207" bestFit="1" customWidth="1"/>
    <col min="11791" max="11808" width="9" style="207"/>
    <col min="11809" max="11809" width="15.875" style="207" bestFit="1" customWidth="1"/>
    <col min="11810" max="11810" width="11.375" style="207" bestFit="1" customWidth="1"/>
    <col min="11811" max="12035" width="9" style="207"/>
    <col min="12036" max="12036" width="10.5" style="207" bestFit="1" customWidth="1"/>
    <col min="12037" max="12045" width="9" style="207"/>
    <col min="12046" max="12046" width="9.5" style="207" bestFit="1" customWidth="1"/>
    <col min="12047" max="12064" width="9" style="207"/>
    <col min="12065" max="12065" width="15.875" style="207" bestFit="1" customWidth="1"/>
    <col min="12066" max="12066" width="11.375" style="207" bestFit="1" customWidth="1"/>
    <col min="12067" max="12291" width="9" style="207"/>
    <col min="12292" max="12292" width="10.5" style="207" bestFit="1" customWidth="1"/>
    <col min="12293" max="12301" width="9" style="207"/>
    <col min="12302" max="12302" width="9.5" style="207" bestFit="1" customWidth="1"/>
    <col min="12303" max="12320" width="9" style="207"/>
    <col min="12321" max="12321" width="15.875" style="207" bestFit="1" customWidth="1"/>
    <col min="12322" max="12322" width="11.375" style="207" bestFit="1" customWidth="1"/>
    <col min="12323" max="12547" width="9" style="207"/>
    <col min="12548" max="12548" width="10.5" style="207" bestFit="1" customWidth="1"/>
    <col min="12549" max="12557" width="9" style="207"/>
    <col min="12558" max="12558" width="9.5" style="207" bestFit="1" customWidth="1"/>
    <col min="12559" max="12576" width="9" style="207"/>
    <col min="12577" max="12577" width="15.875" style="207" bestFit="1" customWidth="1"/>
    <col min="12578" max="12578" width="11.375" style="207" bestFit="1" customWidth="1"/>
    <col min="12579" max="12803" width="9" style="207"/>
    <col min="12804" max="12804" width="10.5" style="207" bestFit="1" customWidth="1"/>
    <col min="12805" max="12813" width="9" style="207"/>
    <col min="12814" max="12814" width="9.5" style="207" bestFit="1" customWidth="1"/>
    <col min="12815" max="12832" width="9" style="207"/>
    <col min="12833" max="12833" width="15.875" style="207" bestFit="1" customWidth="1"/>
    <col min="12834" max="12834" width="11.375" style="207" bestFit="1" customWidth="1"/>
    <col min="12835" max="13059" width="9" style="207"/>
    <col min="13060" max="13060" width="10.5" style="207" bestFit="1" customWidth="1"/>
    <col min="13061" max="13069" width="9" style="207"/>
    <col min="13070" max="13070" width="9.5" style="207" bestFit="1" customWidth="1"/>
    <col min="13071" max="13088" width="9" style="207"/>
    <col min="13089" max="13089" width="15.875" style="207" bestFit="1" customWidth="1"/>
    <col min="13090" max="13090" width="11.375" style="207" bestFit="1" customWidth="1"/>
    <col min="13091" max="13315" width="9" style="207"/>
    <col min="13316" max="13316" width="10.5" style="207" bestFit="1" customWidth="1"/>
    <col min="13317" max="13325" width="9" style="207"/>
    <col min="13326" max="13326" width="9.5" style="207" bestFit="1" customWidth="1"/>
    <col min="13327" max="13344" width="9" style="207"/>
    <col min="13345" max="13345" width="15.875" style="207" bestFit="1" customWidth="1"/>
    <col min="13346" max="13346" width="11.375" style="207" bestFit="1" customWidth="1"/>
    <col min="13347" max="13571" width="9" style="207"/>
    <col min="13572" max="13572" width="10.5" style="207" bestFit="1" customWidth="1"/>
    <col min="13573" max="13581" width="9" style="207"/>
    <col min="13582" max="13582" width="9.5" style="207" bestFit="1" customWidth="1"/>
    <col min="13583" max="13600" width="9" style="207"/>
    <col min="13601" max="13601" width="15.875" style="207" bestFit="1" customWidth="1"/>
    <col min="13602" max="13602" width="11.375" style="207" bestFit="1" customWidth="1"/>
    <col min="13603" max="13827" width="9" style="207"/>
    <col min="13828" max="13828" width="10.5" style="207" bestFit="1" customWidth="1"/>
    <col min="13829" max="13837" width="9" style="207"/>
    <col min="13838" max="13838" width="9.5" style="207" bestFit="1" customWidth="1"/>
    <col min="13839" max="13856" width="9" style="207"/>
    <col min="13857" max="13857" width="15.875" style="207" bestFit="1" customWidth="1"/>
    <col min="13858" max="13858" width="11.375" style="207" bestFit="1" customWidth="1"/>
    <col min="13859" max="14083" width="9" style="207"/>
    <col min="14084" max="14084" width="10.5" style="207" bestFit="1" customWidth="1"/>
    <col min="14085" max="14093" width="9" style="207"/>
    <col min="14094" max="14094" width="9.5" style="207" bestFit="1" customWidth="1"/>
    <col min="14095" max="14112" width="9" style="207"/>
    <col min="14113" max="14113" width="15.875" style="207" bestFit="1" customWidth="1"/>
    <col min="14114" max="14114" width="11.375" style="207" bestFit="1" customWidth="1"/>
    <col min="14115" max="14339" width="9" style="207"/>
    <col min="14340" max="14340" width="10.5" style="207" bestFit="1" customWidth="1"/>
    <col min="14341" max="14349" width="9" style="207"/>
    <col min="14350" max="14350" width="9.5" style="207" bestFit="1" customWidth="1"/>
    <col min="14351" max="14368" width="9" style="207"/>
    <col min="14369" max="14369" width="15.875" style="207" bestFit="1" customWidth="1"/>
    <col min="14370" max="14370" width="11.375" style="207" bestFit="1" customWidth="1"/>
    <col min="14371" max="14595" width="9" style="207"/>
    <col min="14596" max="14596" width="10.5" style="207" bestFit="1" customWidth="1"/>
    <col min="14597" max="14605" width="9" style="207"/>
    <col min="14606" max="14606" width="9.5" style="207" bestFit="1" customWidth="1"/>
    <col min="14607" max="14624" width="9" style="207"/>
    <col min="14625" max="14625" width="15.875" style="207" bestFit="1" customWidth="1"/>
    <col min="14626" max="14626" width="11.375" style="207" bestFit="1" customWidth="1"/>
    <col min="14627" max="14851" width="9" style="207"/>
    <col min="14852" max="14852" width="10.5" style="207" bestFit="1" customWidth="1"/>
    <col min="14853" max="14861" width="9" style="207"/>
    <col min="14862" max="14862" width="9.5" style="207" bestFit="1" customWidth="1"/>
    <col min="14863" max="14880" width="9" style="207"/>
    <col min="14881" max="14881" width="15.875" style="207" bestFit="1" customWidth="1"/>
    <col min="14882" max="14882" width="11.375" style="207" bestFit="1" customWidth="1"/>
    <col min="14883" max="15107" width="9" style="207"/>
    <col min="15108" max="15108" width="10.5" style="207" bestFit="1" customWidth="1"/>
    <col min="15109" max="15117" width="9" style="207"/>
    <col min="15118" max="15118" width="9.5" style="207" bestFit="1" customWidth="1"/>
    <col min="15119" max="15136" width="9" style="207"/>
    <col min="15137" max="15137" width="15.875" style="207" bestFit="1" customWidth="1"/>
    <col min="15138" max="15138" width="11.375" style="207" bestFit="1" customWidth="1"/>
    <col min="15139" max="15363" width="9" style="207"/>
    <col min="15364" max="15364" width="10.5" style="207" bestFit="1" customWidth="1"/>
    <col min="15365" max="15373" width="9" style="207"/>
    <col min="15374" max="15374" width="9.5" style="207" bestFit="1" customWidth="1"/>
    <col min="15375" max="15392" width="9" style="207"/>
    <col min="15393" max="15393" width="15.875" style="207" bestFit="1" customWidth="1"/>
    <col min="15394" max="15394" width="11.375" style="207" bestFit="1" customWidth="1"/>
    <col min="15395" max="15619" width="9" style="207"/>
    <col min="15620" max="15620" width="10.5" style="207" bestFit="1" customWidth="1"/>
    <col min="15621" max="15629" width="9" style="207"/>
    <col min="15630" max="15630" width="9.5" style="207" bestFit="1" customWidth="1"/>
    <col min="15631" max="15648" width="9" style="207"/>
    <col min="15649" max="15649" width="15.875" style="207" bestFit="1" customWidth="1"/>
    <col min="15650" max="15650" width="11.375" style="207" bestFit="1" customWidth="1"/>
    <col min="15651" max="15875" width="9" style="207"/>
    <col min="15876" max="15876" width="10.5" style="207" bestFit="1" customWidth="1"/>
    <col min="15877" max="15885" width="9" style="207"/>
    <col min="15886" max="15886" width="9.5" style="207" bestFit="1" customWidth="1"/>
    <col min="15887" max="15904" width="9" style="207"/>
    <col min="15905" max="15905" width="15.875" style="207" bestFit="1" customWidth="1"/>
    <col min="15906" max="15906" width="11.375" style="207" bestFit="1" customWidth="1"/>
    <col min="15907" max="16131" width="9" style="207"/>
    <col min="16132" max="16132" width="10.5" style="207" bestFit="1" customWidth="1"/>
    <col min="16133" max="16141" width="9" style="207"/>
    <col min="16142" max="16142" width="9.5" style="207" bestFit="1" customWidth="1"/>
    <col min="16143" max="16160" width="9" style="207"/>
    <col min="16161" max="16161" width="15.875" style="207" bestFit="1" customWidth="1"/>
    <col min="16162" max="16162" width="11.375" style="207" bestFit="1" customWidth="1"/>
    <col min="16163" max="16384" width="9" style="207"/>
  </cols>
  <sheetData>
    <row r="1" spans="1:53" ht="45" x14ac:dyDescent="0.15">
      <c r="A1" s="83" t="s">
        <v>0</v>
      </c>
      <c r="B1" s="201" t="s">
        <v>1</v>
      </c>
      <c r="C1" s="201" t="s">
        <v>370</v>
      </c>
      <c r="D1" s="202" t="s">
        <v>3</v>
      </c>
      <c r="E1" s="84" t="s">
        <v>4</v>
      </c>
      <c r="F1" s="84" t="s">
        <v>5</v>
      </c>
      <c r="G1" s="84" t="s">
        <v>6</v>
      </c>
      <c r="H1" s="84" t="s">
        <v>7</v>
      </c>
      <c r="I1" s="84" t="s">
        <v>8</v>
      </c>
      <c r="J1" s="84" t="s">
        <v>9</v>
      </c>
      <c r="K1" s="84" t="s">
        <v>10</v>
      </c>
      <c r="L1" s="202" t="s">
        <v>371</v>
      </c>
      <c r="M1" s="202" t="s">
        <v>12</v>
      </c>
      <c r="N1" s="202" t="s">
        <v>13</v>
      </c>
      <c r="O1" s="202" t="s">
        <v>372</v>
      </c>
      <c r="P1" s="202" t="s">
        <v>373</v>
      </c>
      <c r="Q1" s="203" t="s">
        <v>16</v>
      </c>
      <c r="R1" s="202" t="s">
        <v>374</v>
      </c>
      <c r="S1" s="202" t="s">
        <v>375</v>
      </c>
      <c r="T1" s="203" t="s">
        <v>19</v>
      </c>
      <c r="U1" s="204" t="s">
        <v>108</v>
      </c>
      <c r="V1" s="205" t="s">
        <v>20</v>
      </c>
      <c r="W1" s="202" t="s">
        <v>21</v>
      </c>
      <c r="X1" s="84" t="s">
        <v>22</v>
      </c>
      <c r="Y1" s="84" t="s">
        <v>23</v>
      </c>
      <c r="Z1" s="84" t="s">
        <v>24</v>
      </c>
      <c r="AA1" s="85" t="s">
        <v>25</v>
      </c>
      <c r="AB1" s="206" t="s">
        <v>376</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377</v>
      </c>
      <c r="AY1" s="213" t="s">
        <v>378</v>
      </c>
      <c r="AZ1" s="213" t="s">
        <v>379</v>
      </c>
      <c r="BA1" s="214" t="s">
        <v>380</v>
      </c>
    </row>
    <row r="2" spans="1:53" s="215" customFormat="1" x14ac:dyDescent="0.15">
      <c r="A2" s="55" t="s">
        <v>56</v>
      </c>
      <c r="B2" s="55" t="s">
        <v>381</v>
      </c>
      <c r="C2" s="215">
        <v>2018</v>
      </c>
      <c r="D2" s="86" t="s">
        <v>382</v>
      </c>
      <c r="E2" s="215" t="s">
        <v>383</v>
      </c>
      <c r="F2" s="215" t="s">
        <v>168</v>
      </c>
      <c r="G2" s="55" t="s">
        <v>42</v>
      </c>
      <c r="H2" s="215" t="s">
        <v>155</v>
      </c>
      <c r="I2" s="55" t="s">
        <v>153</v>
      </c>
      <c r="J2" s="215" t="s">
        <v>38</v>
      </c>
      <c r="K2" s="215" t="s">
        <v>154</v>
      </c>
      <c r="L2" s="215">
        <v>1</v>
      </c>
      <c r="N2" s="207">
        <v>1</v>
      </c>
      <c r="O2" s="215">
        <v>0.85</v>
      </c>
      <c r="P2" s="207">
        <v>0.85</v>
      </c>
      <c r="Q2" s="244">
        <f t="shared" ref="Q2:Q61" si="0">IF(OR(O2="",P2=""),"",AVERAGE(O2,P2))</f>
        <v>0.85</v>
      </c>
      <c r="R2" s="215">
        <v>12.4</v>
      </c>
      <c r="S2" s="215">
        <v>132</v>
      </c>
      <c r="T2" s="216">
        <f t="shared" ref="T2:T61" si="1">IF(H2="","",IF(OR(H2="GREEN",H2="GK"),IF(S2&gt;=$AX$2,VLOOKUP(S2,$AX$2:$AY$10,2,1),""),IF(S2&gt;=$AZ$2,VLOOKUP(S2,$AZ$2:$BA$10,2,1),"")))</f>
        <v>25</v>
      </c>
      <c r="U2" s="215">
        <v>84</v>
      </c>
      <c r="V2" s="216">
        <f t="shared" ref="V2:V61" si="2">IF(OR(N2="",U2="",T2=""),"",U2/N2*T2)</f>
        <v>2100</v>
      </c>
      <c r="W2" s="215">
        <v>3</v>
      </c>
      <c r="X2" s="55" t="s">
        <v>46</v>
      </c>
      <c r="Y2" s="55" t="s">
        <v>84</v>
      </c>
      <c r="Z2" s="215" t="s">
        <v>55</v>
      </c>
      <c r="AA2" s="55" t="s">
        <v>90</v>
      </c>
      <c r="AB2" s="215" t="s">
        <v>369</v>
      </c>
      <c r="AE2" s="217" t="s">
        <v>35</v>
      </c>
      <c r="AG2" s="230" t="s">
        <v>384</v>
      </c>
      <c r="AH2" s="87" t="s">
        <v>168</v>
      </c>
      <c r="AJ2" s="218" t="s">
        <v>36</v>
      </c>
      <c r="AL2" s="218" t="s">
        <v>127</v>
      </c>
      <c r="AN2" s="218" t="s">
        <v>37</v>
      </c>
      <c r="AP2" s="218" t="s">
        <v>38</v>
      </c>
      <c r="AR2" s="218" t="s">
        <v>385</v>
      </c>
      <c r="AT2" s="218" t="s">
        <v>39</v>
      </c>
      <c r="AV2" s="218" t="s">
        <v>40</v>
      </c>
      <c r="AX2" s="219">
        <v>1</v>
      </c>
      <c r="AY2" s="220">
        <v>50</v>
      </c>
      <c r="AZ2" s="220">
        <v>1</v>
      </c>
      <c r="BA2" s="221">
        <v>50</v>
      </c>
    </row>
    <row r="3" spans="1:53" x14ac:dyDescent="0.15">
      <c r="A3" s="55" t="s">
        <v>56</v>
      </c>
      <c r="B3" s="55" t="s">
        <v>386</v>
      </c>
      <c r="C3" s="215">
        <v>2018</v>
      </c>
      <c r="D3" s="86" t="s">
        <v>387</v>
      </c>
      <c r="E3" s="215" t="s">
        <v>383</v>
      </c>
      <c r="F3" s="215" t="s">
        <v>168</v>
      </c>
      <c r="G3" s="55" t="s">
        <v>42</v>
      </c>
      <c r="H3" s="215" t="s">
        <v>155</v>
      </c>
      <c r="I3" s="55" t="s">
        <v>153</v>
      </c>
      <c r="J3" s="215" t="s">
        <v>38</v>
      </c>
      <c r="K3" s="215" t="s">
        <v>154</v>
      </c>
      <c r="L3" s="207">
        <v>2</v>
      </c>
      <c r="N3" s="207">
        <v>1</v>
      </c>
      <c r="O3" s="207">
        <v>0.8</v>
      </c>
      <c r="P3" s="207">
        <v>0.85</v>
      </c>
      <c r="Q3" s="244">
        <f t="shared" si="0"/>
        <v>0.82499999999999996</v>
      </c>
      <c r="R3" s="207">
        <v>14.7</v>
      </c>
      <c r="S3" s="207">
        <v>131</v>
      </c>
      <c r="T3" s="216">
        <f t="shared" si="1"/>
        <v>25</v>
      </c>
      <c r="U3" s="207">
        <v>84</v>
      </c>
      <c r="V3" s="216">
        <f t="shared" si="2"/>
        <v>2100</v>
      </c>
      <c r="W3" s="207">
        <v>3</v>
      </c>
      <c r="X3" s="55" t="s">
        <v>46</v>
      </c>
      <c r="Y3" s="55" t="s">
        <v>84</v>
      </c>
      <c r="Z3" s="215" t="s">
        <v>55</v>
      </c>
      <c r="AA3" s="55" t="s">
        <v>90</v>
      </c>
      <c r="AB3" s="215" t="s">
        <v>369</v>
      </c>
      <c r="AE3" s="222" t="s">
        <v>41</v>
      </c>
      <c r="AG3" s="230" t="s">
        <v>384</v>
      </c>
      <c r="AH3" s="87" t="s">
        <v>169</v>
      </c>
      <c r="AJ3" s="223" t="s">
        <v>42</v>
      </c>
      <c r="AL3" s="223" t="s">
        <v>128</v>
      </c>
      <c r="AN3" s="223" t="s">
        <v>43</v>
      </c>
      <c r="AP3" s="223" t="s">
        <v>44</v>
      </c>
      <c r="AR3" s="237" t="s">
        <v>45</v>
      </c>
      <c r="AT3" s="223" t="s">
        <v>46</v>
      </c>
      <c r="AV3" s="223" t="s">
        <v>47</v>
      </c>
      <c r="AX3" s="224">
        <v>72</v>
      </c>
      <c r="AY3" s="225">
        <v>46</v>
      </c>
      <c r="AZ3" s="225">
        <v>71</v>
      </c>
      <c r="BA3" s="226">
        <v>42</v>
      </c>
    </row>
    <row r="4" spans="1:53" x14ac:dyDescent="0.15">
      <c r="A4" s="55" t="s">
        <v>56</v>
      </c>
      <c r="B4" s="55" t="s">
        <v>386</v>
      </c>
      <c r="C4" s="215">
        <v>2018</v>
      </c>
      <c r="D4" s="86" t="s">
        <v>387</v>
      </c>
      <c r="E4" s="215" t="s">
        <v>383</v>
      </c>
      <c r="F4" s="215" t="s">
        <v>168</v>
      </c>
      <c r="G4" s="55" t="s">
        <v>42</v>
      </c>
      <c r="H4" s="215" t="s">
        <v>155</v>
      </c>
      <c r="I4" s="55" t="s">
        <v>153</v>
      </c>
      <c r="J4" s="215" t="s">
        <v>38</v>
      </c>
      <c r="K4" s="215" t="s">
        <v>154</v>
      </c>
      <c r="L4" s="207">
        <v>3</v>
      </c>
      <c r="N4" s="207">
        <v>1</v>
      </c>
      <c r="O4" s="207">
        <v>0.85</v>
      </c>
      <c r="P4" s="207">
        <v>0.85</v>
      </c>
      <c r="Q4" s="244">
        <f t="shared" si="0"/>
        <v>0.85</v>
      </c>
      <c r="R4" s="207">
        <v>14.4</v>
      </c>
      <c r="S4" s="207">
        <v>131</v>
      </c>
      <c r="T4" s="216">
        <f t="shared" si="1"/>
        <v>25</v>
      </c>
      <c r="U4" s="207">
        <v>84</v>
      </c>
      <c r="V4" s="216">
        <f t="shared" si="2"/>
        <v>2100</v>
      </c>
      <c r="W4" s="207">
        <v>3</v>
      </c>
      <c r="X4" s="55" t="s">
        <v>46</v>
      </c>
      <c r="Y4" s="55" t="s">
        <v>84</v>
      </c>
      <c r="Z4" s="215" t="s">
        <v>55</v>
      </c>
      <c r="AA4" s="55" t="s">
        <v>90</v>
      </c>
      <c r="AB4" s="215" t="s">
        <v>369</v>
      </c>
      <c r="AE4" s="222" t="s">
        <v>34</v>
      </c>
      <c r="AG4" s="230" t="s">
        <v>388</v>
      </c>
      <c r="AH4" s="87" t="s">
        <v>389</v>
      </c>
      <c r="AJ4" s="227" t="s">
        <v>48</v>
      </c>
      <c r="AL4" s="227" t="s">
        <v>170</v>
      </c>
      <c r="AN4" s="228" t="s">
        <v>49</v>
      </c>
      <c r="AP4" s="223" t="s">
        <v>390</v>
      </c>
      <c r="AR4" s="237" t="s">
        <v>391</v>
      </c>
      <c r="AT4" s="228"/>
      <c r="AV4" s="223" t="s">
        <v>50</v>
      </c>
      <c r="AX4" s="224">
        <v>75</v>
      </c>
      <c r="AY4" s="225">
        <v>42</v>
      </c>
      <c r="AZ4" s="225">
        <v>76</v>
      </c>
      <c r="BA4" s="226">
        <v>39</v>
      </c>
    </row>
    <row r="5" spans="1:53" x14ac:dyDescent="0.15">
      <c r="A5" s="55" t="s">
        <v>56</v>
      </c>
      <c r="B5" s="55" t="s">
        <v>386</v>
      </c>
      <c r="C5" s="215">
        <v>2018</v>
      </c>
      <c r="D5" s="86" t="s">
        <v>387</v>
      </c>
      <c r="E5" s="215" t="s">
        <v>383</v>
      </c>
      <c r="F5" s="215" t="s">
        <v>168</v>
      </c>
      <c r="G5" s="55" t="s">
        <v>42</v>
      </c>
      <c r="H5" s="215" t="s">
        <v>162</v>
      </c>
      <c r="I5" s="55" t="s">
        <v>153</v>
      </c>
      <c r="J5" s="215" t="s">
        <v>38</v>
      </c>
      <c r="K5" s="215" t="s">
        <v>154</v>
      </c>
      <c r="L5" s="215">
        <v>1</v>
      </c>
      <c r="M5" s="215"/>
      <c r="N5" s="207">
        <v>1</v>
      </c>
      <c r="O5" s="215">
        <v>0.95</v>
      </c>
      <c r="P5" s="207">
        <v>0.7</v>
      </c>
      <c r="Q5" s="244">
        <f t="shared" si="0"/>
        <v>0.82499999999999996</v>
      </c>
      <c r="R5" s="215">
        <v>15.5</v>
      </c>
      <c r="S5" s="215">
        <v>143</v>
      </c>
      <c r="T5" s="216">
        <f t="shared" si="1"/>
        <v>22</v>
      </c>
      <c r="U5" s="215">
        <v>84</v>
      </c>
      <c r="V5" s="216">
        <f t="shared" si="2"/>
        <v>1848</v>
      </c>
      <c r="W5" s="215">
        <v>5</v>
      </c>
      <c r="X5" s="55" t="s">
        <v>46</v>
      </c>
      <c r="Y5" s="55" t="s">
        <v>84</v>
      </c>
      <c r="Z5" s="215" t="s">
        <v>55</v>
      </c>
      <c r="AA5" s="55" t="s">
        <v>90</v>
      </c>
      <c r="AB5" s="215" t="s">
        <v>369</v>
      </c>
      <c r="AE5" s="222" t="s">
        <v>51</v>
      </c>
      <c r="AG5" s="230" t="s">
        <v>392</v>
      </c>
      <c r="AH5" s="87" t="s">
        <v>393</v>
      </c>
      <c r="AJ5" s="228"/>
      <c r="AL5" s="229" t="s">
        <v>394</v>
      </c>
      <c r="AN5" s="229" t="s">
        <v>395</v>
      </c>
      <c r="AP5" s="223" t="s">
        <v>396</v>
      </c>
      <c r="AR5" s="237" t="s">
        <v>54</v>
      </c>
      <c r="AV5" s="223" t="s">
        <v>55</v>
      </c>
      <c r="AX5" s="224">
        <v>84</v>
      </c>
      <c r="AY5" s="225">
        <v>39</v>
      </c>
      <c r="AZ5" s="225">
        <v>84</v>
      </c>
      <c r="BA5" s="226">
        <v>36</v>
      </c>
    </row>
    <row r="6" spans="1:53" x14ac:dyDescent="0.15">
      <c r="A6" s="55" t="s">
        <v>56</v>
      </c>
      <c r="B6" s="55" t="s">
        <v>386</v>
      </c>
      <c r="C6" s="215">
        <v>2018</v>
      </c>
      <c r="D6" s="86" t="s">
        <v>387</v>
      </c>
      <c r="E6" s="215" t="s">
        <v>383</v>
      </c>
      <c r="F6" s="215" t="s">
        <v>168</v>
      </c>
      <c r="G6" s="55" t="s">
        <v>42</v>
      </c>
      <c r="H6" s="215" t="s">
        <v>162</v>
      </c>
      <c r="I6" s="55" t="s">
        <v>153</v>
      </c>
      <c r="J6" s="215" t="s">
        <v>38</v>
      </c>
      <c r="K6" s="215" t="s">
        <v>154</v>
      </c>
      <c r="L6" s="207">
        <v>2</v>
      </c>
      <c r="N6" s="207">
        <v>1</v>
      </c>
      <c r="O6" s="207">
        <v>0.7</v>
      </c>
      <c r="P6" s="207">
        <v>0.75</v>
      </c>
      <c r="Q6" s="244">
        <f t="shared" si="0"/>
        <v>0.72499999999999998</v>
      </c>
      <c r="R6" s="207">
        <v>15.2</v>
      </c>
      <c r="S6" s="207">
        <v>147</v>
      </c>
      <c r="T6" s="216">
        <f t="shared" si="1"/>
        <v>22</v>
      </c>
      <c r="U6" s="207">
        <v>84</v>
      </c>
      <c r="V6" s="216">
        <f t="shared" si="2"/>
        <v>1848</v>
      </c>
      <c r="W6" s="207">
        <v>5</v>
      </c>
      <c r="X6" s="55" t="s">
        <v>46</v>
      </c>
      <c r="Y6" s="55" t="s">
        <v>84</v>
      </c>
      <c r="Z6" s="215" t="s">
        <v>55</v>
      </c>
      <c r="AA6" s="55" t="s">
        <v>90</v>
      </c>
      <c r="AB6" s="215" t="s">
        <v>369</v>
      </c>
      <c r="AE6" s="222" t="s">
        <v>56</v>
      </c>
      <c r="AG6" s="230" t="s">
        <v>397</v>
      </c>
      <c r="AH6" s="87" t="s">
        <v>393</v>
      </c>
      <c r="AL6" s="229" t="s">
        <v>398</v>
      </c>
      <c r="AN6" s="229" t="s">
        <v>399</v>
      </c>
      <c r="AP6" s="223" t="s">
        <v>53</v>
      </c>
      <c r="AR6" s="237" t="s">
        <v>59</v>
      </c>
      <c r="AV6" s="223" t="s">
        <v>60</v>
      </c>
      <c r="AX6" s="224">
        <v>97</v>
      </c>
      <c r="AY6" s="225">
        <v>36</v>
      </c>
      <c r="AZ6" s="225">
        <v>99</v>
      </c>
      <c r="BA6" s="226">
        <v>33</v>
      </c>
    </row>
    <row r="7" spans="1:53" x14ac:dyDescent="0.15">
      <c r="A7" s="55" t="s">
        <v>56</v>
      </c>
      <c r="B7" s="55" t="s">
        <v>386</v>
      </c>
      <c r="C7" s="215">
        <v>2018</v>
      </c>
      <c r="D7" s="86" t="s">
        <v>387</v>
      </c>
      <c r="E7" s="215" t="s">
        <v>383</v>
      </c>
      <c r="F7" s="215" t="s">
        <v>168</v>
      </c>
      <c r="G7" s="55" t="s">
        <v>42</v>
      </c>
      <c r="H7" s="215" t="s">
        <v>162</v>
      </c>
      <c r="I7" s="55" t="s">
        <v>153</v>
      </c>
      <c r="J7" s="215" t="s">
        <v>38</v>
      </c>
      <c r="K7" s="215" t="s">
        <v>154</v>
      </c>
      <c r="L7" s="207">
        <v>3</v>
      </c>
      <c r="N7" s="207">
        <v>1</v>
      </c>
      <c r="O7" s="207">
        <v>0.65</v>
      </c>
      <c r="P7" s="207">
        <v>0.65</v>
      </c>
      <c r="Q7" s="244">
        <f t="shared" si="0"/>
        <v>0.65</v>
      </c>
      <c r="R7" s="207">
        <v>14.9</v>
      </c>
      <c r="S7" s="207">
        <v>144</v>
      </c>
      <c r="T7" s="216">
        <f t="shared" si="1"/>
        <v>22</v>
      </c>
      <c r="U7" s="207">
        <v>84</v>
      </c>
      <c r="V7" s="216">
        <f t="shared" si="2"/>
        <v>1848</v>
      </c>
      <c r="W7" s="207">
        <v>5</v>
      </c>
      <c r="X7" s="55" t="s">
        <v>46</v>
      </c>
      <c r="Y7" s="55" t="s">
        <v>84</v>
      </c>
      <c r="Z7" s="215" t="s">
        <v>55</v>
      </c>
      <c r="AA7" s="55" t="s">
        <v>90</v>
      </c>
      <c r="AB7" s="215" t="s">
        <v>369</v>
      </c>
      <c r="AE7" s="222" t="s">
        <v>61</v>
      </c>
      <c r="AG7" s="230" t="s">
        <v>400</v>
      </c>
      <c r="AH7" s="87" t="s">
        <v>171</v>
      </c>
      <c r="AL7" s="88" t="s">
        <v>401</v>
      </c>
      <c r="AP7" s="223" t="s">
        <v>58</v>
      </c>
      <c r="AR7" s="230" t="s">
        <v>122</v>
      </c>
      <c r="AV7" s="223" t="s">
        <v>64</v>
      </c>
      <c r="AX7" s="224">
        <v>109</v>
      </c>
      <c r="AY7" s="225">
        <v>33</v>
      </c>
      <c r="AZ7" s="225">
        <v>113</v>
      </c>
      <c r="BA7" s="226">
        <v>30</v>
      </c>
    </row>
    <row r="8" spans="1:53" x14ac:dyDescent="0.15">
      <c r="A8" s="55" t="s">
        <v>56</v>
      </c>
      <c r="B8" s="55" t="s">
        <v>402</v>
      </c>
      <c r="C8" s="215">
        <v>2018</v>
      </c>
      <c r="D8" s="86" t="s">
        <v>403</v>
      </c>
      <c r="E8" s="215" t="s">
        <v>383</v>
      </c>
      <c r="F8" s="215" t="s">
        <v>169</v>
      </c>
      <c r="G8" s="55" t="s">
        <v>42</v>
      </c>
      <c r="H8" s="215" t="s">
        <v>155</v>
      </c>
      <c r="I8" s="55" t="s">
        <v>153</v>
      </c>
      <c r="J8" s="215" t="s">
        <v>38</v>
      </c>
      <c r="K8" s="215" t="s">
        <v>154</v>
      </c>
      <c r="L8" s="207">
        <v>1</v>
      </c>
      <c r="N8" s="207">
        <v>1</v>
      </c>
      <c r="O8" s="207">
        <v>0.85</v>
      </c>
      <c r="P8" s="207">
        <v>0.85</v>
      </c>
      <c r="Q8" s="244">
        <f t="shared" si="0"/>
        <v>0.85</v>
      </c>
      <c r="R8" s="207">
        <v>14.3</v>
      </c>
      <c r="S8" s="207">
        <v>141</v>
      </c>
      <c r="T8" s="216">
        <f t="shared" si="1"/>
        <v>22</v>
      </c>
      <c r="U8" s="207">
        <v>84</v>
      </c>
      <c r="V8" s="216">
        <f t="shared" si="2"/>
        <v>1848</v>
      </c>
      <c r="W8" s="207">
        <v>6</v>
      </c>
      <c r="X8" s="55" t="s">
        <v>46</v>
      </c>
      <c r="Y8" s="55" t="s">
        <v>84</v>
      </c>
      <c r="Z8" s="215" t="s">
        <v>55</v>
      </c>
      <c r="AA8" s="55" t="s">
        <v>50</v>
      </c>
      <c r="AB8" s="215" t="s">
        <v>369</v>
      </c>
      <c r="AE8" s="222" t="s">
        <v>59</v>
      </c>
      <c r="AG8" s="230" t="s">
        <v>404</v>
      </c>
      <c r="AH8" s="87" t="s">
        <v>171</v>
      </c>
      <c r="AL8" s="88" t="s">
        <v>365</v>
      </c>
      <c r="AP8" s="223" t="s">
        <v>62</v>
      </c>
      <c r="AR8" s="237" t="s">
        <v>81</v>
      </c>
      <c r="AV8" s="223" t="s">
        <v>97</v>
      </c>
      <c r="AX8" s="224">
        <v>119</v>
      </c>
      <c r="AY8" s="225">
        <v>30</v>
      </c>
      <c r="AZ8" s="225">
        <v>121</v>
      </c>
      <c r="BA8" s="226">
        <v>27</v>
      </c>
    </row>
    <row r="9" spans="1:53" x14ac:dyDescent="0.15">
      <c r="A9" s="55" t="s">
        <v>56</v>
      </c>
      <c r="B9" s="55" t="s">
        <v>402</v>
      </c>
      <c r="C9" s="215">
        <v>2018</v>
      </c>
      <c r="D9" s="86" t="s">
        <v>403</v>
      </c>
      <c r="E9" s="215" t="s">
        <v>383</v>
      </c>
      <c r="F9" s="215" t="s">
        <v>169</v>
      </c>
      <c r="G9" s="55" t="s">
        <v>42</v>
      </c>
      <c r="H9" s="215" t="s">
        <v>155</v>
      </c>
      <c r="I9" s="55" t="s">
        <v>153</v>
      </c>
      <c r="J9" s="215" t="s">
        <v>38</v>
      </c>
      <c r="K9" s="215" t="s">
        <v>154</v>
      </c>
      <c r="L9" s="207">
        <v>2</v>
      </c>
      <c r="N9" s="207">
        <v>1</v>
      </c>
      <c r="O9" s="207">
        <v>0.5</v>
      </c>
      <c r="P9" s="207">
        <v>0.75</v>
      </c>
      <c r="Q9" s="244">
        <f t="shared" si="0"/>
        <v>0.625</v>
      </c>
      <c r="R9" s="207">
        <v>15.1</v>
      </c>
      <c r="S9" s="207">
        <v>140</v>
      </c>
      <c r="T9" s="216">
        <f t="shared" si="1"/>
        <v>22</v>
      </c>
      <c r="U9" s="207">
        <v>84</v>
      </c>
      <c r="V9" s="216">
        <f t="shared" si="2"/>
        <v>1848</v>
      </c>
      <c r="W9" s="207">
        <v>6</v>
      </c>
      <c r="X9" s="55" t="s">
        <v>46</v>
      </c>
      <c r="Y9" s="55" t="s">
        <v>84</v>
      </c>
      <c r="Z9" s="215" t="s">
        <v>55</v>
      </c>
      <c r="AA9" s="55" t="s">
        <v>50</v>
      </c>
      <c r="AB9" s="215" t="s">
        <v>369</v>
      </c>
      <c r="AE9" s="222" t="s">
        <v>98</v>
      </c>
      <c r="AG9" s="230" t="s">
        <v>172</v>
      </c>
      <c r="AH9" s="230" t="s">
        <v>169</v>
      </c>
      <c r="AL9" s="229"/>
      <c r="AP9" s="223" t="s">
        <v>95</v>
      </c>
      <c r="AR9" s="230" t="s">
        <v>89</v>
      </c>
      <c r="AV9" s="223" t="s">
        <v>102</v>
      </c>
      <c r="AX9" s="224">
        <v>128</v>
      </c>
      <c r="AY9" s="225">
        <v>27</v>
      </c>
      <c r="AZ9" s="225">
        <v>129</v>
      </c>
      <c r="BA9" s="226">
        <v>25</v>
      </c>
    </row>
    <row r="10" spans="1:53" x14ac:dyDescent="0.15">
      <c r="A10" s="55" t="s">
        <v>56</v>
      </c>
      <c r="B10" s="55" t="s">
        <v>405</v>
      </c>
      <c r="C10" s="215">
        <v>2018</v>
      </c>
      <c r="D10" s="86" t="s">
        <v>406</v>
      </c>
      <c r="E10" s="215" t="s">
        <v>383</v>
      </c>
      <c r="F10" s="215" t="s">
        <v>169</v>
      </c>
      <c r="G10" s="55" t="s">
        <v>42</v>
      </c>
      <c r="H10" s="215" t="s">
        <v>155</v>
      </c>
      <c r="I10" s="55" t="s">
        <v>153</v>
      </c>
      <c r="J10" s="215" t="s">
        <v>38</v>
      </c>
      <c r="K10" s="215" t="s">
        <v>154</v>
      </c>
      <c r="L10" s="207">
        <v>3</v>
      </c>
      <c r="N10" s="207">
        <v>1</v>
      </c>
      <c r="O10" s="207">
        <v>0.6</v>
      </c>
      <c r="P10" s="207">
        <v>0.6</v>
      </c>
      <c r="Q10" s="244">
        <f t="shared" si="0"/>
        <v>0.6</v>
      </c>
      <c r="R10" s="236">
        <v>15.6</v>
      </c>
      <c r="S10" s="207">
        <v>144</v>
      </c>
      <c r="T10" s="216">
        <f t="shared" si="1"/>
        <v>22</v>
      </c>
      <c r="U10" s="207">
        <v>84</v>
      </c>
      <c r="V10" s="216">
        <f t="shared" si="2"/>
        <v>1848</v>
      </c>
      <c r="W10" s="207">
        <v>6</v>
      </c>
      <c r="X10" s="55" t="s">
        <v>46</v>
      </c>
      <c r="Y10" s="55" t="s">
        <v>84</v>
      </c>
      <c r="Z10" s="215" t="s">
        <v>55</v>
      </c>
      <c r="AA10" s="55" t="s">
        <v>50</v>
      </c>
      <c r="AB10" s="215" t="s">
        <v>369</v>
      </c>
      <c r="AE10" s="222" t="s">
        <v>103</v>
      </c>
      <c r="AG10" s="230" t="s">
        <v>407</v>
      </c>
      <c r="AH10" s="87" t="s">
        <v>408</v>
      </c>
      <c r="AL10" s="88"/>
      <c r="AP10" s="223" t="s">
        <v>100</v>
      </c>
      <c r="AR10" s="230" t="s">
        <v>123</v>
      </c>
      <c r="AV10" s="223" t="s">
        <v>106</v>
      </c>
      <c r="AX10" s="224">
        <v>138</v>
      </c>
      <c r="AY10" s="225">
        <v>25</v>
      </c>
      <c r="AZ10" s="225">
        <v>138</v>
      </c>
      <c r="BA10" s="226">
        <v>22</v>
      </c>
    </row>
    <row r="11" spans="1:53" x14ac:dyDescent="0.15">
      <c r="A11" s="55" t="s">
        <v>56</v>
      </c>
      <c r="B11" s="55" t="s">
        <v>405</v>
      </c>
      <c r="C11" s="215">
        <v>2018</v>
      </c>
      <c r="D11" s="86" t="s">
        <v>406</v>
      </c>
      <c r="E11" s="215" t="s">
        <v>383</v>
      </c>
      <c r="F11" s="215" t="s">
        <v>169</v>
      </c>
      <c r="G11" s="55" t="s">
        <v>42</v>
      </c>
      <c r="H11" s="215" t="s">
        <v>162</v>
      </c>
      <c r="I11" s="55" t="s">
        <v>153</v>
      </c>
      <c r="J11" s="215" t="s">
        <v>38</v>
      </c>
      <c r="K11" s="215" t="s">
        <v>154</v>
      </c>
      <c r="L11" s="207">
        <v>1</v>
      </c>
      <c r="N11" s="207">
        <v>1</v>
      </c>
      <c r="O11" s="207">
        <v>0.75</v>
      </c>
      <c r="P11" s="207">
        <v>0.75</v>
      </c>
      <c r="Q11" s="244">
        <f t="shared" si="0"/>
        <v>0.75</v>
      </c>
      <c r="R11" s="207">
        <v>12.9</v>
      </c>
      <c r="S11" s="207">
        <v>147</v>
      </c>
      <c r="T11" s="216">
        <f t="shared" si="1"/>
        <v>22</v>
      </c>
      <c r="U11" s="207">
        <v>84</v>
      </c>
      <c r="V11" s="216">
        <f t="shared" si="2"/>
        <v>1848</v>
      </c>
      <c r="W11" s="207">
        <v>12</v>
      </c>
      <c r="X11" s="55" t="s">
        <v>46</v>
      </c>
      <c r="Y11" s="55" t="s">
        <v>84</v>
      </c>
      <c r="Z11" s="215" t="s">
        <v>55</v>
      </c>
      <c r="AA11" s="55" t="s">
        <v>50</v>
      </c>
      <c r="AB11" s="215" t="s">
        <v>369</v>
      </c>
      <c r="AE11" s="222" t="s">
        <v>65</v>
      </c>
      <c r="AG11" s="230" t="s">
        <v>409</v>
      </c>
      <c r="AH11" s="87" t="s">
        <v>408</v>
      </c>
      <c r="AJ11" s="88"/>
      <c r="AP11" s="223" t="s">
        <v>104</v>
      </c>
      <c r="AR11" s="230" t="s">
        <v>87</v>
      </c>
      <c r="AV11" s="223" t="s">
        <v>69</v>
      </c>
    </row>
    <row r="12" spans="1:53" x14ac:dyDescent="0.15">
      <c r="A12" s="55" t="s">
        <v>56</v>
      </c>
      <c r="B12" s="55" t="s">
        <v>410</v>
      </c>
      <c r="C12" s="215">
        <v>2018</v>
      </c>
      <c r="D12" s="86" t="s">
        <v>411</v>
      </c>
      <c r="E12" s="215" t="s">
        <v>383</v>
      </c>
      <c r="F12" s="215" t="s">
        <v>169</v>
      </c>
      <c r="G12" s="55" t="s">
        <v>42</v>
      </c>
      <c r="H12" s="215" t="s">
        <v>162</v>
      </c>
      <c r="I12" s="55" t="s">
        <v>153</v>
      </c>
      <c r="J12" s="215" t="s">
        <v>38</v>
      </c>
      <c r="K12" s="215" t="s">
        <v>154</v>
      </c>
      <c r="L12" s="207">
        <v>2</v>
      </c>
      <c r="N12" s="207">
        <v>1</v>
      </c>
      <c r="O12" s="207">
        <v>0.7</v>
      </c>
      <c r="P12" s="207">
        <v>0.7</v>
      </c>
      <c r="Q12" s="244">
        <f t="shared" si="0"/>
        <v>0.7</v>
      </c>
      <c r="R12" s="207">
        <v>15.2</v>
      </c>
      <c r="S12" s="207">
        <v>137</v>
      </c>
      <c r="T12" s="216">
        <f t="shared" si="1"/>
        <v>25</v>
      </c>
      <c r="U12" s="207">
        <v>84</v>
      </c>
      <c r="V12" s="216">
        <f t="shared" si="2"/>
        <v>2100</v>
      </c>
      <c r="W12" s="207">
        <v>12</v>
      </c>
      <c r="X12" s="55" t="s">
        <v>46</v>
      </c>
      <c r="Y12" s="55" t="s">
        <v>84</v>
      </c>
      <c r="Z12" s="215" t="s">
        <v>55</v>
      </c>
      <c r="AA12" s="55" t="s">
        <v>50</v>
      </c>
      <c r="AB12" s="215" t="s">
        <v>369</v>
      </c>
      <c r="AE12" s="222" t="s">
        <v>70</v>
      </c>
      <c r="AG12" s="230" t="s">
        <v>412</v>
      </c>
      <c r="AH12" s="87" t="s">
        <v>413</v>
      </c>
      <c r="AJ12" s="88"/>
      <c r="AP12" s="223" t="s">
        <v>67</v>
      </c>
      <c r="AR12" s="230" t="s">
        <v>124</v>
      </c>
      <c r="AV12" s="223" t="s">
        <v>72</v>
      </c>
    </row>
    <row r="13" spans="1:53" x14ac:dyDescent="0.15">
      <c r="A13" s="55" t="s">
        <v>56</v>
      </c>
      <c r="B13" s="55" t="s">
        <v>414</v>
      </c>
      <c r="C13" s="215">
        <v>2018</v>
      </c>
      <c r="D13" s="86" t="s">
        <v>415</v>
      </c>
      <c r="E13" s="215" t="s">
        <v>383</v>
      </c>
      <c r="F13" s="215" t="s">
        <v>169</v>
      </c>
      <c r="G13" s="55" t="s">
        <v>42</v>
      </c>
      <c r="H13" s="215" t="s">
        <v>162</v>
      </c>
      <c r="I13" s="55" t="s">
        <v>153</v>
      </c>
      <c r="J13" s="215" t="s">
        <v>38</v>
      </c>
      <c r="K13" s="215" t="s">
        <v>154</v>
      </c>
      <c r="L13" s="207">
        <v>3</v>
      </c>
      <c r="N13" s="207">
        <v>1</v>
      </c>
      <c r="O13" s="207">
        <v>0.65</v>
      </c>
      <c r="P13" s="207">
        <v>0.75</v>
      </c>
      <c r="Q13" s="244">
        <f t="shared" si="0"/>
        <v>0.7</v>
      </c>
      <c r="R13" s="236">
        <v>14.4</v>
      </c>
      <c r="S13" s="207">
        <v>139</v>
      </c>
      <c r="T13" s="216">
        <f t="shared" si="1"/>
        <v>22</v>
      </c>
      <c r="U13" s="207">
        <v>84</v>
      </c>
      <c r="V13" s="216">
        <f t="shared" si="2"/>
        <v>1848</v>
      </c>
      <c r="W13" s="207">
        <v>12</v>
      </c>
      <c r="X13" s="55" t="s">
        <v>46</v>
      </c>
      <c r="Y13" s="55" t="s">
        <v>84</v>
      </c>
      <c r="Z13" s="215" t="s">
        <v>55</v>
      </c>
      <c r="AA13" s="55" t="s">
        <v>50</v>
      </c>
      <c r="AB13" s="215" t="s">
        <v>369</v>
      </c>
      <c r="AE13" s="222" t="s">
        <v>73</v>
      </c>
      <c r="AP13" s="223" t="s">
        <v>71</v>
      </c>
      <c r="AR13" s="230" t="s">
        <v>103</v>
      </c>
      <c r="AV13" s="223" t="s">
        <v>75</v>
      </c>
    </row>
    <row r="14" spans="1:53" x14ac:dyDescent="0.15">
      <c r="A14" s="55" t="s">
        <v>56</v>
      </c>
      <c r="B14" s="55" t="s">
        <v>416</v>
      </c>
      <c r="C14" s="215">
        <v>2018</v>
      </c>
      <c r="D14" s="86" t="s">
        <v>417</v>
      </c>
      <c r="E14" s="215" t="s">
        <v>418</v>
      </c>
      <c r="F14" s="215" t="s">
        <v>419</v>
      </c>
      <c r="G14" s="55" t="s">
        <v>42</v>
      </c>
      <c r="H14" s="215" t="s">
        <v>155</v>
      </c>
      <c r="I14" s="55" t="s">
        <v>153</v>
      </c>
      <c r="J14" s="215" t="s">
        <v>38</v>
      </c>
      <c r="K14" s="215" t="s">
        <v>154</v>
      </c>
      <c r="L14" s="207">
        <v>1</v>
      </c>
      <c r="N14" s="207">
        <v>1</v>
      </c>
      <c r="O14" s="207">
        <v>0.65</v>
      </c>
      <c r="P14" s="207">
        <v>0.65</v>
      </c>
      <c r="Q14" s="244">
        <f t="shared" si="0"/>
        <v>0.65</v>
      </c>
      <c r="R14" s="207">
        <v>14.9</v>
      </c>
      <c r="S14" s="207">
        <v>124</v>
      </c>
      <c r="T14" s="216">
        <f t="shared" si="1"/>
        <v>27</v>
      </c>
      <c r="U14" s="207">
        <v>106</v>
      </c>
      <c r="V14" s="216">
        <f t="shared" si="2"/>
        <v>2862</v>
      </c>
      <c r="W14" s="207">
        <v>2</v>
      </c>
      <c r="X14" s="55" t="s">
        <v>46</v>
      </c>
      <c r="Y14" s="55" t="s">
        <v>84</v>
      </c>
      <c r="Z14" s="215" t="s">
        <v>90</v>
      </c>
      <c r="AA14" s="55" t="s">
        <v>78</v>
      </c>
      <c r="AB14" s="215" t="s">
        <v>369</v>
      </c>
      <c r="AE14" s="222" t="s">
        <v>76</v>
      </c>
      <c r="AP14" s="223" t="s">
        <v>74</v>
      </c>
      <c r="AR14" s="230" t="s">
        <v>125</v>
      </c>
      <c r="AV14" s="223" t="s">
        <v>78</v>
      </c>
    </row>
    <row r="15" spans="1:53" x14ac:dyDescent="0.15">
      <c r="A15" s="55" t="s">
        <v>56</v>
      </c>
      <c r="B15" s="55" t="s">
        <v>416</v>
      </c>
      <c r="C15" s="215">
        <v>2018</v>
      </c>
      <c r="D15" s="86" t="s">
        <v>417</v>
      </c>
      <c r="E15" s="215" t="s">
        <v>418</v>
      </c>
      <c r="F15" s="215" t="s">
        <v>419</v>
      </c>
      <c r="G15" s="55" t="s">
        <v>42</v>
      </c>
      <c r="H15" s="215" t="s">
        <v>155</v>
      </c>
      <c r="I15" s="55" t="s">
        <v>153</v>
      </c>
      <c r="J15" s="215" t="s">
        <v>38</v>
      </c>
      <c r="K15" s="215" t="s">
        <v>154</v>
      </c>
      <c r="L15" s="207">
        <v>2</v>
      </c>
      <c r="N15" s="207">
        <v>1</v>
      </c>
      <c r="O15" s="207">
        <v>0.85</v>
      </c>
      <c r="P15" s="207">
        <v>0.7</v>
      </c>
      <c r="Q15" s="244">
        <f t="shared" si="0"/>
        <v>0.77499999999999991</v>
      </c>
      <c r="R15" s="207">
        <v>14.4</v>
      </c>
      <c r="S15" s="207">
        <v>126</v>
      </c>
      <c r="T15" s="216">
        <f t="shared" si="1"/>
        <v>27</v>
      </c>
      <c r="U15" s="207">
        <v>106</v>
      </c>
      <c r="V15" s="216">
        <f t="shared" si="2"/>
        <v>2862</v>
      </c>
      <c r="W15" s="207">
        <v>2</v>
      </c>
      <c r="X15" s="55" t="s">
        <v>46</v>
      </c>
      <c r="Y15" s="55" t="s">
        <v>84</v>
      </c>
      <c r="Z15" s="215" t="s">
        <v>90</v>
      </c>
      <c r="AA15" s="55" t="s">
        <v>78</v>
      </c>
      <c r="AB15" s="215" t="s">
        <v>369</v>
      </c>
      <c r="AE15" s="222" t="s">
        <v>79</v>
      </c>
      <c r="AP15" s="223" t="s">
        <v>77</v>
      </c>
      <c r="AR15" s="230" t="s">
        <v>94</v>
      </c>
      <c r="AV15" s="223" t="s">
        <v>107</v>
      </c>
    </row>
    <row r="16" spans="1:53" x14ac:dyDescent="0.15">
      <c r="A16" s="55" t="s">
        <v>56</v>
      </c>
      <c r="B16" s="55" t="s">
        <v>420</v>
      </c>
      <c r="C16" s="215">
        <v>2018</v>
      </c>
      <c r="D16" s="86" t="s">
        <v>421</v>
      </c>
      <c r="E16" s="215" t="s">
        <v>418</v>
      </c>
      <c r="F16" s="215" t="s">
        <v>419</v>
      </c>
      <c r="G16" s="55" t="s">
        <v>42</v>
      </c>
      <c r="H16" s="215" t="s">
        <v>155</v>
      </c>
      <c r="I16" s="55" t="s">
        <v>153</v>
      </c>
      <c r="J16" s="215" t="s">
        <v>38</v>
      </c>
      <c r="K16" s="215" t="s">
        <v>154</v>
      </c>
      <c r="L16" s="207">
        <v>3</v>
      </c>
      <c r="N16" s="207">
        <v>1</v>
      </c>
      <c r="O16" s="207">
        <v>0.7</v>
      </c>
      <c r="P16" s="207">
        <v>0.6</v>
      </c>
      <c r="Q16" s="244">
        <f t="shared" si="0"/>
        <v>0.64999999999999991</v>
      </c>
      <c r="R16" s="236">
        <v>15.6</v>
      </c>
      <c r="S16" s="207">
        <v>132</v>
      </c>
      <c r="T16" s="216">
        <f t="shared" si="1"/>
        <v>25</v>
      </c>
      <c r="U16" s="207">
        <v>106</v>
      </c>
      <c r="V16" s="216">
        <f t="shared" si="2"/>
        <v>2650</v>
      </c>
      <c r="W16" s="207">
        <v>2</v>
      </c>
      <c r="X16" s="55" t="s">
        <v>46</v>
      </c>
      <c r="Y16" s="55" t="s">
        <v>84</v>
      </c>
      <c r="Z16" s="215" t="s">
        <v>90</v>
      </c>
      <c r="AA16" s="55" t="s">
        <v>78</v>
      </c>
      <c r="AB16" s="215" t="s">
        <v>369</v>
      </c>
      <c r="AE16" s="222" t="s">
        <v>82</v>
      </c>
      <c r="AP16" s="223" t="s">
        <v>80</v>
      </c>
      <c r="AR16" s="237" t="s">
        <v>63</v>
      </c>
      <c r="AV16" s="223" t="s">
        <v>84</v>
      </c>
    </row>
    <row r="17" spans="1:48" x14ac:dyDescent="0.15">
      <c r="A17" s="55" t="s">
        <v>56</v>
      </c>
      <c r="B17" s="55" t="s">
        <v>420</v>
      </c>
      <c r="C17" s="215">
        <v>2018</v>
      </c>
      <c r="D17" s="86" t="s">
        <v>421</v>
      </c>
      <c r="E17" s="215" t="s">
        <v>418</v>
      </c>
      <c r="F17" s="215" t="s">
        <v>419</v>
      </c>
      <c r="G17" s="55" t="s">
        <v>42</v>
      </c>
      <c r="H17" s="215" t="s">
        <v>162</v>
      </c>
      <c r="I17" s="55" t="s">
        <v>153</v>
      </c>
      <c r="J17" s="215" t="s">
        <v>38</v>
      </c>
      <c r="K17" s="215" t="s">
        <v>154</v>
      </c>
      <c r="L17" s="207">
        <v>1</v>
      </c>
      <c r="N17" s="207">
        <v>5</v>
      </c>
      <c r="O17" s="207">
        <v>0.6</v>
      </c>
      <c r="P17" s="207">
        <v>0.6</v>
      </c>
      <c r="Q17" s="244">
        <f t="shared" si="0"/>
        <v>0.6</v>
      </c>
      <c r="R17" s="207">
        <v>16.5</v>
      </c>
      <c r="S17" s="207">
        <v>116</v>
      </c>
      <c r="T17" s="216">
        <f t="shared" si="1"/>
        <v>30</v>
      </c>
      <c r="U17" s="207">
        <v>646</v>
      </c>
      <c r="V17" s="216">
        <f t="shared" si="2"/>
        <v>3875.9999999999995</v>
      </c>
      <c r="W17" s="207">
        <v>2</v>
      </c>
      <c r="X17" s="55" t="s">
        <v>46</v>
      </c>
      <c r="Y17" s="55" t="s">
        <v>84</v>
      </c>
      <c r="Z17" s="215" t="s">
        <v>90</v>
      </c>
      <c r="AA17" s="55" t="s">
        <v>78</v>
      </c>
      <c r="AB17" s="215" t="s">
        <v>369</v>
      </c>
      <c r="AE17" s="222" t="s">
        <v>85</v>
      </c>
      <c r="AP17" s="238" t="s">
        <v>110</v>
      </c>
      <c r="AR17" s="237" t="s">
        <v>96</v>
      </c>
      <c r="AV17" s="223" t="s">
        <v>86</v>
      </c>
    </row>
    <row r="18" spans="1:48" x14ac:dyDescent="0.15">
      <c r="A18" s="55" t="s">
        <v>56</v>
      </c>
      <c r="B18" s="55" t="s">
        <v>420</v>
      </c>
      <c r="C18" s="215">
        <v>2018</v>
      </c>
      <c r="D18" s="86" t="s">
        <v>421</v>
      </c>
      <c r="E18" s="215" t="s">
        <v>418</v>
      </c>
      <c r="F18" s="215" t="s">
        <v>419</v>
      </c>
      <c r="G18" s="55" t="s">
        <v>42</v>
      </c>
      <c r="H18" s="215" t="s">
        <v>162</v>
      </c>
      <c r="I18" s="55" t="s">
        <v>153</v>
      </c>
      <c r="J18" s="215" t="s">
        <v>38</v>
      </c>
      <c r="K18" s="215" t="s">
        <v>154</v>
      </c>
      <c r="L18" s="207">
        <v>2</v>
      </c>
      <c r="N18" s="207">
        <v>5</v>
      </c>
      <c r="O18" s="207">
        <v>0.65</v>
      </c>
      <c r="P18" s="207">
        <v>0.6</v>
      </c>
      <c r="Q18" s="244">
        <f t="shared" si="0"/>
        <v>0.625</v>
      </c>
      <c r="R18" s="207">
        <v>15.7</v>
      </c>
      <c r="S18" s="207">
        <v>123</v>
      </c>
      <c r="T18" s="216">
        <f t="shared" si="1"/>
        <v>27</v>
      </c>
      <c r="U18" s="207">
        <v>646</v>
      </c>
      <c r="V18" s="216">
        <f t="shared" si="2"/>
        <v>3488.3999999999996</v>
      </c>
      <c r="W18" s="207">
        <v>2</v>
      </c>
      <c r="X18" s="55" t="s">
        <v>46</v>
      </c>
      <c r="Y18" s="55" t="s">
        <v>84</v>
      </c>
      <c r="Z18" s="215" t="s">
        <v>90</v>
      </c>
      <c r="AA18" s="55" t="s">
        <v>78</v>
      </c>
      <c r="AB18" s="215" t="s">
        <v>369</v>
      </c>
      <c r="AE18" s="222" t="s">
        <v>87</v>
      </c>
      <c r="AP18" s="238" t="s">
        <v>111</v>
      </c>
      <c r="AR18" s="237" t="s">
        <v>101</v>
      </c>
      <c r="AV18" s="223" t="s">
        <v>88</v>
      </c>
    </row>
    <row r="19" spans="1:48" x14ac:dyDescent="0.15">
      <c r="A19" s="55" t="s">
        <v>56</v>
      </c>
      <c r="B19" s="55" t="s">
        <v>410</v>
      </c>
      <c r="C19" s="215">
        <v>2018</v>
      </c>
      <c r="D19" s="86" t="s">
        <v>411</v>
      </c>
      <c r="E19" s="215" t="s">
        <v>418</v>
      </c>
      <c r="F19" s="215" t="s">
        <v>419</v>
      </c>
      <c r="G19" s="55" t="s">
        <v>42</v>
      </c>
      <c r="H19" s="215" t="s">
        <v>162</v>
      </c>
      <c r="I19" s="55" t="s">
        <v>153</v>
      </c>
      <c r="J19" s="215" t="s">
        <v>38</v>
      </c>
      <c r="K19" s="215" t="s">
        <v>154</v>
      </c>
      <c r="L19" s="207">
        <v>3</v>
      </c>
      <c r="N19" s="207">
        <v>5</v>
      </c>
      <c r="O19" s="207">
        <v>0.55000000000000004</v>
      </c>
      <c r="P19" s="207">
        <v>0.5</v>
      </c>
      <c r="Q19" s="244">
        <f t="shared" si="0"/>
        <v>0.52500000000000002</v>
      </c>
      <c r="R19" s="236">
        <v>14.9</v>
      </c>
      <c r="S19" s="207">
        <v>122</v>
      </c>
      <c r="T19" s="216">
        <f t="shared" si="1"/>
        <v>27</v>
      </c>
      <c r="U19" s="207">
        <v>646</v>
      </c>
      <c r="V19" s="216">
        <f t="shared" si="2"/>
        <v>3488.3999999999996</v>
      </c>
      <c r="W19" s="207">
        <v>2</v>
      </c>
      <c r="X19" s="55" t="s">
        <v>46</v>
      </c>
      <c r="Y19" s="55" t="s">
        <v>84</v>
      </c>
      <c r="Z19" s="215" t="s">
        <v>90</v>
      </c>
      <c r="AA19" s="55" t="s">
        <v>78</v>
      </c>
      <c r="AB19" s="215" t="s">
        <v>369</v>
      </c>
      <c r="AE19" s="235" t="s">
        <v>89</v>
      </c>
      <c r="AP19" s="238" t="s">
        <v>112</v>
      </c>
      <c r="AR19" s="230" t="s">
        <v>126</v>
      </c>
      <c r="AV19" s="223" t="s">
        <v>90</v>
      </c>
    </row>
    <row r="20" spans="1:48" x14ac:dyDescent="0.15">
      <c r="A20" s="55" t="s">
        <v>56</v>
      </c>
      <c r="B20" s="55" t="s">
        <v>410</v>
      </c>
      <c r="C20" s="215">
        <v>2018</v>
      </c>
      <c r="D20" s="86" t="s">
        <v>411</v>
      </c>
      <c r="E20" s="215" t="s">
        <v>422</v>
      </c>
      <c r="F20" s="215" t="s">
        <v>423</v>
      </c>
      <c r="G20" s="55" t="s">
        <v>42</v>
      </c>
      <c r="H20" s="215" t="s">
        <v>155</v>
      </c>
      <c r="I20" s="55" t="s">
        <v>153</v>
      </c>
      <c r="J20" s="215" t="s">
        <v>38</v>
      </c>
      <c r="K20" s="215" t="s">
        <v>154</v>
      </c>
      <c r="L20" s="207">
        <v>1</v>
      </c>
      <c r="N20" s="207">
        <v>4</v>
      </c>
      <c r="O20" s="207">
        <v>0.75</v>
      </c>
      <c r="P20" s="207">
        <v>0.75</v>
      </c>
      <c r="Q20" s="244">
        <f t="shared" si="0"/>
        <v>0.75</v>
      </c>
      <c r="R20" s="207">
        <v>12.2</v>
      </c>
      <c r="S20" s="207">
        <v>96</v>
      </c>
      <c r="T20" s="216">
        <f t="shared" si="1"/>
        <v>36</v>
      </c>
      <c r="U20" s="207">
        <v>388</v>
      </c>
      <c r="V20" s="216">
        <f t="shared" si="2"/>
        <v>3492</v>
      </c>
      <c r="W20" s="207">
        <v>2</v>
      </c>
      <c r="X20" s="55" t="s">
        <v>46</v>
      </c>
      <c r="Y20" s="55" t="s">
        <v>90</v>
      </c>
      <c r="Z20" s="215" t="s">
        <v>84</v>
      </c>
      <c r="AA20" s="55" t="s">
        <v>78</v>
      </c>
      <c r="AB20" s="215" t="s">
        <v>369</v>
      </c>
      <c r="AP20" s="238" t="s">
        <v>113</v>
      </c>
      <c r="AR20" s="237" t="s">
        <v>105</v>
      </c>
      <c r="AV20" s="227" t="s">
        <v>366</v>
      </c>
    </row>
    <row r="21" spans="1:48" x14ac:dyDescent="0.15">
      <c r="A21" s="55" t="s">
        <v>56</v>
      </c>
      <c r="B21" s="55" t="s">
        <v>410</v>
      </c>
      <c r="C21" s="215">
        <v>2018</v>
      </c>
      <c r="D21" s="86" t="s">
        <v>411</v>
      </c>
      <c r="E21" s="215" t="s">
        <v>422</v>
      </c>
      <c r="F21" s="215" t="s">
        <v>423</v>
      </c>
      <c r="G21" s="55" t="s">
        <v>42</v>
      </c>
      <c r="H21" s="215" t="s">
        <v>155</v>
      </c>
      <c r="I21" s="55" t="s">
        <v>153</v>
      </c>
      <c r="J21" s="215" t="s">
        <v>38</v>
      </c>
      <c r="K21" s="215" t="s">
        <v>154</v>
      </c>
      <c r="L21" s="207">
        <v>2</v>
      </c>
      <c r="N21" s="207">
        <v>4</v>
      </c>
      <c r="O21" s="207">
        <v>0.9</v>
      </c>
      <c r="P21" s="207">
        <v>1</v>
      </c>
      <c r="Q21" s="244">
        <f t="shared" si="0"/>
        <v>0.95</v>
      </c>
      <c r="R21" s="207">
        <v>13.2</v>
      </c>
      <c r="S21" s="207">
        <v>99</v>
      </c>
      <c r="T21" s="216">
        <f t="shared" si="1"/>
        <v>33</v>
      </c>
      <c r="U21" s="207">
        <v>388</v>
      </c>
      <c r="V21" s="216">
        <f t="shared" si="2"/>
        <v>3201</v>
      </c>
      <c r="W21" s="207">
        <v>2</v>
      </c>
      <c r="X21" s="55" t="s">
        <v>46</v>
      </c>
      <c r="Y21" s="55" t="s">
        <v>90</v>
      </c>
      <c r="Z21" s="215" t="s">
        <v>84</v>
      </c>
      <c r="AA21" s="55" t="s">
        <v>78</v>
      </c>
      <c r="AB21" s="215" t="s">
        <v>369</v>
      </c>
      <c r="AP21" s="238" t="s">
        <v>114</v>
      </c>
      <c r="AR21" s="237" t="s">
        <v>68</v>
      </c>
      <c r="AV21" s="228" t="s">
        <v>424</v>
      </c>
    </row>
    <row r="22" spans="1:48" x14ac:dyDescent="0.15">
      <c r="A22" s="55" t="s">
        <v>56</v>
      </c>
      <c r="B22" s="55" t="s">
        <v>410</v>
      </c>
      <c r="C22" s="215">
        <v>2018</v>
      </c>
      <c r="D22" s="86" t="s">
        <v>411</v>
      </c>
      <c r="E22" s="215" t="s">
        <v>422</v>
      </c>
      <c r="F22" s="215" t="s">
        <v>423</v>
      </c>
      <c r="G22" s="55" t="s">
        <v>42</v>
      </c>
      <c r="H22" s="215" t="s">
        <v>155</v>
      </c>
      <c r="I22" s="55" t="s">
        <v>153</v>
      </c>
      <c r="J22" s="215" t="s">
        <v>38</v>
      </c>
      <c r="K22" s="215" t="s">
        <v>154</v>
      </c>
      <c r="L22" s="207">
        <v>3</v>
      </c>
      <c r="N22" s="207">
        <v>4</v>
      </c>
      <c r="O22" s="207">
        <v>0.6</v>
      </c>
      <c r="P22" s="207">
        <v>0.55000000000000004</v>
      </c>
      <c r="Q22" s="244">
        <f t="shared" si="0"/>
        <v>0.57499999999999996</v>
      </c>
      <c r="R22" s="236">
        <v>13</v>
      </c>
      <c r="S22" s="207">
        <v>98</v>
      </c>
      <c r="T22" s="216">
        <f t="shared" si="1"/>
        <v>36</v>
      </c>
      <c r="U22" s="207">
        <v>388</v>
      </c>
      <c r="V22" s="216">
        <f t="shared" si="2"/>
        <v>3492</v>
      </c>
      <c r="W22" s="207">
        <v>2</v>
      </c>
      <c r="X22" s="55" t="s">
        <v>46</v>
      </c>
      <c r="Y22" s="55" t="s">
        <v>90</v>
      </c>
      <c r="Z22" s="215" t="s">
        <v>84</v>
      </c>
      <c r="AA22" s="55" t="s">
        <v>78</v>
      </c>
      <c r="AB22" s="215" t="s">
        <v>369</v>
      </c>
      <c r="AP22" s="238" t="s">
        <v>115</v>
      </c>
      <c r="AR22" s="237" t="s">
        <v>83</v>
      </c>
    </row>
    <row r="23" spans="1:48" x14ac:dyDescent="0.15">
      <c r="A23" s="55" t="s">
        <v>56</v>
      </c>
      <c r="B23" s="55" t="s">
        <v>410</v>
      </c>
      <c r="C23" s="215">
        <v>2018</v>
      </c>
      <c r="D23" s="86" t="s">
        <v>411</v>
      </c>
      <c r="E23" s="215" t="s">
        <v>422</v>
      </c>
      <c r="F23" s="215" t="s">
        <v>423</v>
      </c>
      <c r="G23" s="55" t="s">
        <v>42</v>
      </c>
      <c r="H23" s="215" t="s">
        <v>162</v>
      </c>
      <c r="I23" s="55" t="s">
        <v>153</v>
      </c>
      <c r="J23" s="215" t="s">
        <v>38</v>
      </c>
      <c r="K23" s="215" t="s">
        <v>154</v>
      </c>
      <c r="L23" s="207">
        <v>1</v>
      </c>
      <c r="N23" s="207">
        <v>4</v>
      </c>
      <c r="O23" s="207">
        <v>0.55000000000000004</v>
      </c>
      <c r="P23" s="207">
        <v>0.6</v>
      </c>
      <c r="Q23" s="244">
        <f t="shared" si="0"/>
        <v>0.57499999999999996</v>
      </c>
      <c r="R23" s="207">
        <v>15.6</v>
      </c>
      <c r="S23" s="207">
        <v>96</v>
      </c>
      <c r="T23" s="216">
        <f t="shared" si="1"/>
        <v>36</v>
      </c>
      <c r="U23" s="207">
        <v>409</v>
      </c>
      <c r="V23" s="216">
        <f t="shared" si="2"/>
        <v>3681</v>
      </c>
      <c r="W23" s="207">
        <v>2</v>
      </c>
      <c r="X23" s="55" t="s">
        <v>46</v>
      </c>
      <c r="Y23" s="55" t="s">
        <v>90</v>
      </c>
      <c r="Z23" s="215" t="s">
        <v>84</v>
      </c>
      <c r="AA23" s="55" t="s">
        <v>78</v>
      </c>
      <c r="AB23" s="215" t="s">
        <v>369</v>
      </c>
      <c r="AP23" s="238" t="s">
        <v>425</v>
      </c>
      <c r="AR23" s="237" t="s">
        <v>61</v>
      </c>
    </row>
    <row r="24" spans="1:48" x14ac:dyDescent="0.15">
      <c r="A24" s="55" t="s">
        <v>56</v>
      </c>
      <c r="B24" s="55" t="s">
        <v>410</v>
      </c>
      <c r="C24" s="215">
        <v>2018</v>
      </c>
      <c r="D24" s="86" t="s">
        <v>411</v>
      </c>
      <c r="E24" s="215" t="s">
        <v>422</v>
      </c>
      <c r="F24" s="215" t="s">
        <v>423</v>
      </c>
      <c r="G24" s="55" t="s">
        <v>42</v>
      </c>
      <c r="H24" s="215" t="s">
        <v>162</v>
      </c>
      <c r="I24" s="55" t="s">
        <v>153</v>
      </c>
      <c r="J24" s="215" t="s">
        <v>38</v>
      </c>
      <c r="K24" s="215" t="s">
        <v>154</v>
      </c>
      <c r="L24" s="207">
        <v>2</v>
      </c>
      <c r="N24" s="207">
        <v>4</v>
      </c>
      <c r="O24" s="207">
        <v>0.55000000000000004</v>
      </c>
      <c r="P24" s="207">
        <v>0.55000000000000004</v>
      </c>
      <c r="Q24" s="244">
        <f t="shared" si="0"/>
        <v>0.55000000000000004</v>
      </c>
      <c r="R24" s="207">
        <v>14.2</v>
      </c>
      <c r="S24" s="207">
        <v>97</v>
      </c>
      <c r="T24" s="216">
        <f t="shared" si="1"/>
        <v>36</v>
      </c>
      <c r="U24" s="207">
        <v>409</v>
      </c>
      <c r="V24" s="216">
        <f t="shared" si="2"/>
        <v>3681</v>
      </c>
      <c r="W24" s="207">
        <v>2</v>
      </c>
      <c r="X24" s="55" t="s">
        <v>46</v>
      </c>
      <c r="Y24" s="55" t="s">
        <v>90</v>
      </c>
      <c r="Z24" s="215" t="s">
        <v>84</v>
      </c>
      <c r="AA24" s="55" t="s">
        <v>78</v>
      </c>
      <c r="AB24" s="215" t="s">
        <v>369</v>
      </c>
      <c r="AP24" s="238" t="s">
        <v>426</v>
      </c>
      <c r="AR24" s="237" t="s">
        <v>91</v>
      </c>
    </row>
    <row r="25" spans="1:48" x14ac:dyDescent="0.15">
      <c r="A25" s="55" t="s">
        <v>56</v>
      </c>
      <c r="B25" s="55" t="s">
        <v>410</v>
      </c>
      <c r="C25" s="215">
        <v>2018</v>
      </c>
      <c r="D25" s="86" t="s">
        <v>411</v>
      </c>
      <c r="E25" s="215" t="s">
        <v>422</v>
      </c>
      <c r="F25" s="215" t="s">
        <v>423</v>
      </c>
      <c r="G25" s="55" t="s">
        <v>42</v>
      </c>
      <c r="H25" s="215" t="s">
        <v>162</v>
      </c>
      <c r="I25" s="55" t="s">
        <v>153</v>
      </c>
      <c r="J25" s="215" t="s">
        <v>38</v>
      </c>
      <c r="K25" s="215" t="s">
        <v>154</v>
      </c>
      <c r="L25" s="207">
        <v>3</v>
      </c>
      <c r="N25" s="207">
        <v>4</v>
      </c>
      <c r="O25" s="207">
        <v>0.65</v>
      </c>
      <c r="P25" s="207">
        <v>0.65</v>
      </c>
      <c r="Q25" s="244">
        <f t="shared" si="0"/>
        <v>0.65</v>
      </c>
      <c r="R25" s="236">
        <v>15.6</v>
      </c>
      <c r="S25" s="207">
        <v>105</v>
      </c>
      <c r="T25" s="216">
        <f t="shared" si="1"/>
        <v>33</v>
      </c>
      <c r="U25" s="207">
        <v>409</v>
      </c>
      <c r="V25" s="216">
        <f t="shared" si="2"/>
        <v>3374.25</v>
      </c>
      <c r="W25" s="207">
        <v>2</v>
      </c>
      <c r="X25" s="55" t="s">
        <v>46</v>
      </c>
      <c r="Y25" s="55" t="s">
        <v>90</v>
      </c>
      <c r="Z25" s="215" t="s">
        <v>84</v>
      </c>
      <c r="AA25" s="55" t="s">
        <v>78</v>
      </c>
      <c r="AB25" s="215" t="s">
        <v>369</v>
      </c>
      <c r="AP25" s="238" t="s">
        <v>116</v>
      </c>
      <c r="AR25" s="42" t="s">
        <v>92</v>
      </c>
    </row>
    <row r="26" spans="1:48" x14ac:dyDescent="0.15">
      <c r="A26" s="55" t="s">
        <v>56</v>
      </c>
      <c r="B26" s="55" t="s">
        <v>410</v>
      </c>
      <c r="C26" s="215">
        <v>2018</v>
      </c>
      <c r="D26" s="86" t="s">
        <v>411</v>
      </c>
      <c r="E26" s="215" t="s">
        <v>313</v>
      </c>
      <c r="F26" s="215" t="s">
        <v>171</v>
      </c>
      <c r="G26" s="55" t="s">
        <v>42</v>
      </c>
      <c r="H26" s="215" t="s">
        <v>155</v>
      </c>
      <c r="I26" s="55" t="s">
        <v>153</v>
      </c>
      <c r="J26" s="215" t="s">
        <v>38</v>
      </c>
      <c r="K26" s="215" t="s">
        <v>154</v>
      </c>
      <c r="L26" s="207">
        <v>1</v>
      </c>
      <c r="N26" s="207">
        <v>1</v>
      </c>
      <c r="O26" s="207">
        <v>0.65</v>
      </c>
      <c r="P26" s="207">
        <v>0.6</v>
      </c>
      <c r="Q26" s="244">
        <f t="shared" si="0"/>
        <v>0.625</v>
      </c>
      <c r="R26" s="207">
        <v>17</v>
      </c>
      <c r="S26" s="207">
        <v>134</v>
      </c>
      <c r="T26" s="216">
        <f t="shared" si="1"/>
        <v>25</v>
      </c>
      <c r="U26" s="207">
        <v>105</v>
      </c>
      <c r="V26" s="216">
        <f t="shared" si="2"/>
        <v>2625</v>
      </c>
      <c r="W26" s="207">
        <v>2</v>
      </c>
      <c r="X26" s="55" t="s">
        <v>46</v>
      </c>
      <c r="Y26" s="55" t="s">
        <v>78</v>
      </c>
      <c r="Z26" s="215" t="s">
        <v>84</v>
      </c>
      <c r="AA26" s="55" t="s">
        <v>90</v>
      </c>
      <c r="AB26" s="215" t="s">
        <v>369</v>
      </c>
      <c r="AP26" s="238" t="s">
        <v>117</v>
      </c>
      <c r="AR26" s="207" t="s">
        <v>287</v>
      </c>
    </row>
    <row r="27" spans="1:48" x14ac:dyDescent="0.15">
      <c r="A27" s="55" t="s">
        <v>56</v>
      </c>
      <c r="B27" s="55" t="s">
        <v>410</v>
      </c>
      <c r="C27" s="215">
        <v>2018</v>
      </c>
      <c r="D27" s="86" t="s">
        <v>411</v>
      </c>
      <c r="E27" s="215" t="s">
        <v>313</v>
      </c>
      <c r="F27" s="215" t="s">
        <v>171</v>
      </c>
      <c r="G27" s="55" t="s">
        <v>42</v>
      </c>
      <c r="H27" s="215" t="s">
        <v>155</v>
      </c>
      <c r="I27" s="55" t="s">
        <v>153</v>
      </c>
      <c r="J27" s="215" t="s">
        <v>38</v>
      </c>
      <c r="K27" s="215" t="s">
        <v>154</v>
      </c>
      <c r="L27" s="207">
        <v>2</v>
      </c>
      <c r="N27" s="207">
        <v>1</v>
      </c>
      <c r="O27" s="207">
        <v>0.7</v>
      </c>
      <c r="P27" s="207">
        <v>0.75</v>
      </c>
      <c r="Q27" s="244">
        <f t="shared" si="0"/>
        <v>0.72499999999999998</v>
      </c>
      <c r="R27" s="207">
        <v>15.8</v>
      </c>
      <c r="S27" s="207">
        <v>130</v>
      </c>
      <c r="T27" s="216">
        <f t="shared" si="1"/>
        <v>25</v>
      </c>
      <c r="U27" s="207">
        <v>105</v>
      </c>
      <c r="V27" s="216">
        <f t="shared" si="2"/>
        <v>2625</v>
      </c>
      <c r="W27" s="207">
        <v>2</v>
      </c>
      <c r="X27" s="55" t="s">
        <v>46</v>
      </c>
      <c r="Y27" s="55" t="s">
        <v>78</v>
      </c>
      <c r="Z27" s="215" t="s">
        <v>84</v>
      </c>
      <c r="AA27" s="55" t="s">
        <v>90</v>
      </c>
      <c r="AB27" s="215" t="s">
        <v>369</v>
      </c>
      <c r="AP27" s="238" t="s">
        <v>118</v>
      </c>
    </row>
    <row r="28" spans="1:48" x14ac:dyDescent="0.15">
      <c r="A28" s="55" t="s">
        <v>56</v>
      </c>
      <c r="B28" s="55" t="s">
        <v>410</v>
      </c>
      <c r="C28" s="215">
        <v>2018</v>
      </c>
      <c r="D28" s="86" t="s">
        <v>411</v>
      </c>
      <c r="E28" s="215" t="s">
        <v>313</v>
      </c>
      <c r="F28" s="215" t="s">
        <v>171</v>
      </c>
      <c r="G28" s="55" t="s">
        <v>42</v>
      </c>
      <c r="H28" s="215" t="s">
        <v>155</v>
      </c>
      <c r="I28" s="55" t="s">
        <v>153</v>
      </c>
      <c r="J28" s="215" t="s">
        <v>38</v>
      </c>
      <c r="K28" s="215" t="s">
        <v>154</v>
      </c>
      <c r="L28" s="207">
        <v>3</v>
      </c>
      <c r="N28" s="207">
        <v>1</v>
      </c>
      <c r="O28" s="207">
        <v>0.8</v>
      </c>
      <c r="P28" s="207">
        <v>0.8</v>
      </c>
      <c r="Q28" s="244">
        <f t="shared" si="0"/>
        <v>0.8</v>
      </c>
      <c r="R28" s="207">
        <v>14.5</v>
      </c>
      <c r="S28" s="207">
        <v>130</v>
      </c>
      <c r="T28" s="216">
        <f t="shared" si="1"/>
        <v>25</v>
      </c>
      <c r="U28" s="207">
        <v>105</v>
      </c>
      <c r="V28" s="216">
        <f t="shared" si="2"/>
        <v>2625</v>
      </c>
      <c r="W28" s="207">
        <v>2</v>
      </c>
      <c r="X28" s="55" t="s">
        <v>46</v>
      </c>
      <c r="Y28" s="55" t="s">
        <v>78</v>
      </c>
      <c r="Z28" s="215" t="s">
        <v>84</v>
      </c>
      <c r="AA28" s="55" t="s">
        <v>90</v>
      </c>
      <c r="AB28" s="215" t="s">
        <v>369</v>
      </c>
    </row>
    <row r="29" spans="1:48" x14ac:dyDescent="0.15">
      <c r="A29" s="55" t="s">
        <v>56</v>
      </c>
      <c r="B29" s="55" t="s">
        <v>410</v>
      </c>
      <c r="C29" s="215">
        <v>2018</v>
      </c>
      <c r="D29" s="86" t="s">
        <v>411</v>
      </c>
      <c r="E29" s="215" t="s">
        <v>313</v>
      </c>
      <c r="F29" s="215" t="s">
        <v>171</v>
      </c>
      <c r="G29" s="55" t="s">
        <v>42</v>
      </c>
      <c r="H29" s="215" t="s">
        <v>162</v>
      </c>
      <c r="I29" s="55" t="s">
        <v>153</v>
      </c>
      <c r="J29" s="215" t="s">
        <v>38</v>
      </c>
      <c r="K29" s="215" t="s">
        <v>154</v>
      </c>
      <c r="L29" s="207">
        <v>1</v>
      </c>
      <c r="N29" s="207">
        <v>1</v>
      </c>
      <c r="O29" s="207">
        <v>0.65</v>
      </c>
      <c r="P29" s="207">
        <v>0.7</v>
      </c>
      <c r="Q29" s="244">
        <f t="shared" si="0"/>
        <v>0.67500000000000004</v>
      </c>
      <c r="R29" s="207">
        <v>15.9</v>
      </c>
      <c r="S29" s="207">
        <v>132</v>
      </c>
      <c r="T29" s="216">
        <f t="shared" si="1"/>
        <v>25</v>
      </c>
      <c r="U29" s="207">
        <v>105</v>
      </c>
      <c r="V29" s="216">
        <f t="shared" si="2"/>
        <v>2625</v>
      </c>
      <c r="W29" s="207">
        <v>2</v>
      </c>
      <c r="X29" s="55" t="s">
        <v>46</v>
      </c>
      <c r="Y29" s="55" t="s">
        <v>78</v>
      </c>
      <c r="Z29" s="215" t="s">
        <v>84</v>
      </c>
      <c r="AA29" s="55" t="s">
        <v>90</v>
      </c>
      <c r="AB29" s="215" t="s">
        <v>369</v>
      </c>
    </row>
    <row r="30" spans="1:48" x14ac:dyDescent="0.15">
      <c r="A30" s="55" t="s">
        <v>56</v>
      </c>
      <c r="B30" s="55" t="s">
        <v>410</v>
      </c>
      <c r="C30" s="215">
        <v>2018</v>
      </c>
      <c r="D30" s="86" t="s">
        <v>411</v>
      </c>
      <c r="E30" s="215" t="s">
        <v>313</v>
      </c>
      <c r="F30" s="215" t="s">
        <v>171</v>
      </c>
      <c r="G30" s="55" t="s">
        <v>42</v>
      </c>
      <c r="H30" s="215" t="s">
        <v>162</v>
      </c>
      <c r="I30" s="55" t="s">
        <v>153</v>
      </c>
      <c r="J30" s="215" t="s">
        <v>38</v>
      </c>
      <c r="K30" s="215" t="s">
        <v>154</v>
      </c>
      <c r="L30" s="207">
        <v>2</v>
      </c>
      <c r="N30" s="207">
        <v>1</v>
      </c>
      <c r="O30" s="207">
        <v>0.75</v>
      </c>
      <c r="P30" s="207">
        <v>0.75</v>
      </c>
      <c r="Q30" s="244">
        <f t="shared" si="0"/>
        <v>0.75</v>
      </c>
      <c r="R30" s="207">
        <v>15.8</v>
      </c>
      <c r="S30" s="207">
        <v>124</v>
      </c>
      <c r="T30" s="216">
        <f t="shared" si="1"/>
        <v>27</v>
      </c>
      <c r="U30" s="207">
        <v>105</v>
      </c>
      <c r="V30" s="216">
        <f t="shared" si="2"/>
        <v>2835</v>
      </c>
      <c r="W30" s="207">
        <v>2</v>
      </c>
      <c r="X30" s="55" t="s">
        <v>46</v>
      </c>
      <c r="Y30" s="55" t="s">
        <v>78</v>
      </c>
      <c r="Z30" s="215" t="s">
        <v>84</v>
      </c>
      <c r="AA30" s="55" t="s">
        <v>90</v>
      </c>
      <c r="AB30" s="215" t="s">
        <v>369</v>
      </c>
    </row>
    <row r="31" spans="1:48" x14ac:dyDescent="0.15">
      <c r="A31" s="55" t="s">
        <v>56</v>
      </c>
      <c r="B31" s="55" t="s">
        <v>410</v>
      </c>
      <c r="C31" s="215">
        <v>2018</v>
      </c>
      <c r="D31" s="86" t="s">
        <v>411</v>
      </c>
      <c r="E31" s="215" t="s">
        <v>313</v>
      </c>
      <c r="F31" s="215" t="s">
        <v>171</v>
      </c>
      <c r="G31" s="55" t="s">
        <v>42</v>
      </c>
      <c r="H31" s="215" t="s">
        <v>162</v>
      </c>
      <c r="I31" s="55" t="s">
        <v>153</v>
      </c>
      <c r="J31" s="215" t="s">
        <v>38</v>
      </c>
      <c r="K31" s="215" t="s">
        <v>154</v>
      </c>
      <c r="L31" s="207">
        <v>3</v>
      </c>
      <c r="N31" s="207">
        <v>1</v>
      </c>
      <c r="O31" s="207">
        <v>0.7</v>
      </c>
      <c r="P31" s="207">
        <v>0.7</v>
      </c>
      <c r="Q31" s="244">
        <f t="shared" si="0"/>
        <v>0.7</v>
      </c>
      <c r="R31" s="207">
        <v>16.600000000000001</v>
      </c>
      <c r="S31" s="207">
        <v>116</v>
      </c>
      <c r="T31" s="216">
        <f t="shared" si="1"/>
        <v>30</v>
      </c>
      <c r="U31" s="207">
        <v>105</v>
      </c>
      <c r="V31" s="216">
        <f t="shared" si="2"/>
        <v>3150</v>
      </c>
      <c r="W31" s="207">
        <v>2</v>
      </c>
      <c r="X31" s="55" t="s">
        <v>46</v>
      </c>
      <c r="Y31" s="55" t="s">
        <v>78</v>
      </c>
      <c r="Z31" s="215" t="s">
        <v>84</v>
      </c>
      <c r="AA31" s="55" t="s">
        <v>90</v>
      </c>
      <c r="AB31" s="215" t="s">
        <v>369</v>
      </c>
    </row>
    <row r="32" spans="1:48" x14ac:dyDescent="0.15">
      <c r="A32" s="55" t="s">
        <v>56</v>
      </c>
      <c r="B32" s="55" t="s">
        <v>410</v>
      </c>
      <c r="C32" s="215">
        <v>2018</v>
      </c>
      <c r="D32" s="86" t="s">
        <v>411</v>
      </c>
      <c r="E32" s="215" t="s">
        <v>427</v>
      </c>
      <c r="F32" s="215" t="s">
        <v>171</v>
      </c>
      <c r="G32" s="55" t="s">
        <v>42</v>
      </c>
      <c r="H32" s="215" t="s">
        <v>155</v>
      </c>
      <c r="I32" s="55" t="s">
        <v>153</v>
      </c>
      <c r="J32" s="215" t="s">
        <v>38</v>
      </c>
      <c r="K32" s="215" t="s">
        <v>154</v>
      </c>
      <c r="L32" s="207">
        <v>1</v>
      </c>
      <c r="N32" s="207">
        <v>1</v>
      </c>
      <c r="O32" s="207">
        <v>0.75</v>
      </c>
      <c r="P32" s="207">
        <v>0.7</v>
      </c>
      <c r="Q32" s="216">
        <f t="shared" si="0"/>
        <v>0.72499999999999998</v>
      </c>
      <c r="R32" s="207">
        <v>14.5</v>
      </c>
      <c r="S32" s="207">
        <v>127</v>
      </c>
      <c r="T32" s="216">
        <f t="shared" si="1"/>
        <v>27</v>
      </c>
      <c r="U32" s="207">
        <v>138</v>
      </c>
      <c r="V32" s="216">
        <f t="shared" si="2"/>
        <v>3726</v>
      </c>
      <c r="W32" s="207">
        <v>1</v>
      </c>
      <c r="X32" s="55" t="s">
        <v>39</v>
      </c>
      <c r="Y32" s="55" t="s">
        <v>78</v>
      </c>
      <c r="Z32" s="215" t="s">
        <v>84</v>
      </c>
      <c r="AA32" s="55" t="s">
        <v>90</v>
      </c>
      <c r="AB32" s="215" t="s">
        <v>369</v>
      </c>
    </row>
    <row r="33" spans="1:28" x14ac:dyDescent="0.15">
      <c r="A33" s="55" t="s">
        <v>56</v>
      </c>
      <c r="B33" s="55" t="s">
        <v>410</v>
      </c>
      <c r="C33" s="215">
        <v>2018</v>
      </c>
      <c r="D33" s="86" t="s">
        <v>411</v>
      </c>
      <c r="E33" s="215" t="s">
        <v>427</v>
      </c>
      <c r="F33" s="215" t="s">
        <v>171</v>
      </c>
      <c r="G33" s="55" t="s">
        <v>42</v>
      </c>
      <c r="H33" s="215" t="s">
        <v>155</v>
      </c>
      <c r="I33" s="55" t="s">
        <v>153</v>
      </c>
      <c r="J33" s="215" t="s">
        <v>38</v>
      </c>
      <c r="K33" s="215" t="s">
        <v>154</v>
      </c>
      <c r="L33" s="207">
        <v>2</v>
      </c>
      <c r="N33" s="207">
        <v>1</v>
      </c>
      <c r="O33" s="207">
        <v>0.75</v>
      </c>
      <c r="P33" s="207">
        <v>0.8</v>
      </c>
      <c r="Q33" s="216">
        <f t="shared" si="0"/>
        <v>0.77500000000000002</v>
      </c>
      <c r="R33" s="207">
        <v>14.8</v>
      </c>
      <c r="S33" s="207">
        <v>133</v>
      </c>
      <c r="T33" s="216">
        <f t="shared" si="1"/>
        <v>25</v>
      </c>
      <c r="U33" s="207">
        <v>138</v>
      </c>
      <c r="V33" s="216">
        <f t="shared" si="2"/>
        <v>3450</v>
      </c>
      <c r="W33" s="207">
        <v>1</v>
      </c>
      <c r="X33" s="55" t="s">
        <v>39</v>
      </c>
      <c r="Y33" s="55" t="s">
        <v>78</v>
      </c>
      <c r="Z33" s="215" t="s">
        <v>84</v>
      </c>
      <c r="AA33" s="55" t="s">
        <v>90</v>
      </c>
      <c r="AB33" s="215" t="s">
        <v>369</v>
      </c>
    </row>
    <row r="34" spans="1:28" x14ac:dyDescent="0.15">
      <c r="A34" s="55" t="s">
        <v>56</v>
      </c>
      <c r="B34" s="55" t="s">
        <v>410</v>
      </c>
      <c r="C34" s="215">
        <v>2018</v>
      </c>
      <c r="D34" s="86" t="s">
        <v>411</v>
      </c>
      <c r="E34" s="215" t="s">
        <v>427</v>
      </c>
      <c r="F34" s="215" t="s">
        <v>171</v>
      </c>
      <c r="G34" s="55" t="s">
        <v>42</v>
      </c>
      <c r="H34" s="215" t="s">
        <v>155</v>
      </c>
      <c r="I34" s="55" t="s">
        <v>153</v>
      </c>
      <c r="J34" s="215" t="s">
        <v>38</v>
      </c>
      <c r="K34" s="215" t="s">
        <v>154</v>
      </c>
      <c r="L34" s="207">
        <v>3</v>
      </c>
      <c r="N34" s="207">
        <v>1</v>
      </c>
      <c r="O34" s="207">
        <v>0.6</v>
      </c>
      <c r="P34" s="207">
        <v>0.6</v>
      </c>
      <c r="Q34" s="216">
        <f t="shared" si="0"/>
        <v>0.6</v>
      </c>
      <c r="R34" s="207">
        <v>12.9</v>
      </c>
      <c r="S34" s="207">
        <v>134</v>
      </c>
      <c r="T34" s="216">
        <f t="shared" si="1"/>
        <v>25</v>
      </c>
      <c r="U34" s="207">
        <v>138</v>
      </c>
      <c r="V34" s="216">
        <f t="shared" si="2"/>
        <v>3450</v>
      </c>
      <c r="W34" s="207">
        <v>1</v>
      </c>
      <c r="X34" s="55" t="s">
        <v>39</v>
      </c>
      <c r="Y34" s="55" t="s">
        <v>78</v>
      </c>
      <c r="Z34" s="215" t="s">
        <v>84</v>
      </c>
      <c r="AA34" s="55" t="s">
        <v>90</v>
      </c>
      <c r="AB34" s="215" t="s">
        <v>369</v>
      </c>
    </row>
    <row r="35" spans="1:28" x14ac:dyDescent="0.15">
      <c r="A35" s="55" t="s">
        <v>56</v>
      </c>
      <c r="B35" s="55" t="s">
        <v>410</v>
      </c>
      <c r="C35" s="215">
        <v>2018</v>
      </c>
      <c r="D35" s="86" t="s">
        <v>411</v>
      </c>
      <c r="E35" s="215" t="s">
        <v>427</v>
      </c>
      <c r="F35" s="215" t="s">
        <v>171</v>
      </c>
      <c r="G35" s="55" t="s">
        <v>42</v>
      </c>
      <c r="H35" s="215" t="s">
        <v>162</v>
      </c>
      <c r="I35" s="55" t="s">
        <v>153</v>
      </c>
      <c r="J35" s="215" t="s">
        <v>38</v>
      </c>
      <c r="K35" s="215" t="s">
        <v>154</v>
      </c>
      <c r="L35" s="207">
        <v>1</v>
      </c>
      <c r="N35" s="207">
        <v>1</v>
      </c>
      <c r="O35" s="207">
        <v>0.6</v>
      </c>
      <c r="P35" s="207">
        <v>0.65</v>
      </c>
      <c r="Q35" s="216">
        <f t="shared" si="0"/>
        <v>0.625</v>
      </c>
      <c r="R35" s="207">
        <v>16.100000000000001</v>
      </c>
      <c r="S35" s="207">
        <v>132</v>
      </c>
      <c r="T35" s="216">
        <f t="shared" si="1"/>
        <v>25</v>
      </c>
      <c r="U35" s="207">
        <v>177</v>
      </c>
      <c r="V35" s="216">
        <f t="shared" si="2"/>
        <v>4425</v>
      </c>
      <c r="W35" s="207">
        <v>1</v>
      </c>
      <c r="X35" s="55" t="s">
        <v>39</v>
      </c>
      <c r="Y35" s="55" t="s">
        <v>78</v>
      </c>
      <c r="Z35" s="215" t="s">
        <v>84</v>
      </c>
      <c r="AA35" s="55" t="s">
        <v>90</v>
      </c>
      <c r="AB35" s="215" t="s">
        <v>369</v>
      </c>
    </row>
    <row r="36" spans="1:28" x14ac:dyDescent="0.15">
      <c r="A36" s="55" t="s">
        <v>56</v>
      </c>
      <c r="B36" s="55" t="s">
        <v>410</v>
      </c>
      <c r="C36" s="215">
        <v>2018</v>
      </c>
      <c r="D36" s="86" t="s">
        <v>411</v>
      </c>
      <c r="E36" s="215" t="s">
        <v>427</v>
      </c>
      <c r="F36" s="215" t="s">
        <v>171</v>
      </c>
      <c r="G36" s="55" t="s">
        <v>42</v>
      </c>
      <c r="H36" s="215" t="s">
        <v>162</v>
      </c>
      <c r="I36" s="55" t="s">
        <v>153</v>
      </c>
      <c r="J36" s="215" t="s">
        <v>38</v>
      </c>
      <c r="K36" s="215" t="s">
        <v>154</v>
      </c>
      <c r="L36" s="207">
        <v>2</v>
      </c>
      <c r="N36" s="207">
        <v>1</v>
      </c>
      <c r="O36" s="207">
        <v>0.55000000000000004</v>
      </c>
      <c r="P36" s="207">
        <v>0.6</v>
      </c>
      <c r="Q36" s="216">
        <f t="shared" si="0"/>
        <v>0.57499999999999996</v>
      </c>
      <c r="R36" s="207">
        <v>15.5</v>
      </c>
      <c r="S36" s="207">
        <v>123</v>
      </c>
      <c r="T36" s="216">
        <f t="shared" si="1"/>
        <v>27</v>
      </c>
      <c r="U36" s="207">
        <v>177</v>
      </c>
      <c r="V36" s="216">
        <f t="shared" si="2"/>
        <v>4779</v>
      </c>
      <c r="W36" s="207">
        <v>1</v>
      </c>
      <c r="X36" s="55" t="s">
        <v>39</v>
      </c>
      <c r="Y36" s="55" t="s">
        <v>78</v>
      </c>
      <c r="Z36" s="215" t="s">
        <v>84</v>
      </c>
      <c r="AA36" s="55" t="s">
        <v>90</v>
      </c>
      <c r="AB36" s="215" t="s">
        <v>369</v>
      </c>
    </row>
    <row r="37" spans="1:28" x14ac:dyDescent="0.15">
      <c r="A37" s="55" t="s">
        <v>56</v>
      </c>
      <c r="B37" s="55" t="s">
        <v>410</v>
      </c>
      <c r="C37" s="215">
        <v>2018</v>
      </c>
      <c r="D37" s="86" t="s">
        <v>411</v>
      </c>
      <c r="E37" s="215" t="s">
        <v>427</v>
      </c>
      <c r="F37" s="215" t="s">
        <v>171</v>
      </c>
      <c r="G37" s="55" t="s">
        <v>42</v>
      </c>
      <c r="H37" s="215" t="s">
        <v>162</v>
      </c>
      <c r="I37" s="55" t="s">
        <v>153</v>
      </c>
      <c r="J37" s="215" t="s">
        <v>38</v>
      </c>
      <c r="K37" s="215" t="s">
        <v>154</v>
      </c>
      <c r="L37" s="207">
        <v>3</v>
      </c>
      <c r="N37" s="207">
        <v>1</v>
      </c>
      <c r="O37" s="207">
        <v>0.65</v>
      </c>
      <c r="P37" s="207">
        <v>0.65</v>
      </c>
      <c r="Q37" s="216">
        <f t="shared" si="0"/>
        <v>0.65</v>
      </c>
      <c r="R37" s="207">
        <v>16</v>
      </c>
      <c r="S37" s="207">
        <v>127</v>
      </c>
      <c r="T37" s="216">
        <f t="shared" si="1"/>
        <v>27</v>
      </c>
      <c r="U37" s="207">
        <v>177</v>
      </c>
      <c r="V37" s="216">
        <f t="shared" si="2"/>
        <v>4779</v>
      </c>
      <c r="W37" s="207">
        <v>1</v>
      </c>
      <c r="X37" s="55" t="s">
        <v>39</v>
      </c>
      <c r="Y37" s="55" t="s">
        <v>78</v>
      </c>
      <c r="Z37" s="215" t="s">
        <v>84</v>
      </c>
      <c r="AA37" s="55" t="s">
        <v>90</v>
      </c>
      <c r="AB37" s="215" t="s">
        <v>369</v>
      </c>
    </row>
    <row r="38" spans="1:28" x14ac:dyDescent="0.15">
      <c r="A38" s="55" t="s">
        <v>56</v>
      </c>
      <c r="B38" s="55" t="s">
        <v>410</v>
      </c>
      <c r="C38" s="215">
        <v>2018</v>
      </c>
      <c r="D38" s="86" t="s">
        <v>411</v>
      </c>
      <c r="E38" s="215" t="s">
        <v>172</v>
      </c>
      <c r="F38" s="215" t="s">
        <v>423</v>
      </c>
      <c r="G38" s="55" t="s">
        <v>42</v>
      </c>
      <c r="H38" s="215" t="s">
        <v>155</v>
      </c>
      <c r="I38" s="55" t="s">
        <v>156</v>
      </c>
      <c r="J38" s="215" t="s">
        <v>38</v>
      </c>
      <c r="K38" s="215" t="s">
        <v>154</v>
      </c>
      <c r="L38" s="207">
        <v>1</v>
      </c>
      <c r="N38" s="207">
        <v>4</v>
      </c>
      <c r="O38" s="207">
        <v>0.7</v>
      </c>
      <c r="P38" s="207">
        <v>0.7</v>
      </c>
      <c r="Q38" s="216">
        <f t="shared" si="0"/>
        <v>0.7</v>
      </c>
      <c r="R38" s="207">
        <v>14.4</v>
      </c>
      <c r="S38" s="207">
        <v>111</v>
      </c>
      <c r="T38" s="216">
        <f t="shared" si="1"/>
        <v>33</v>
      </c>
      <c r="U38" s="207">
        <v>539</v>
      </c>
      <c r="V38" s="216">
        <f t="shared" si="2"/>
        <v>4446.75</v>
      </c>
      <c r="W38" s="207">
        <v>6</v>
      </c>
      <c r="X38" s="55" t="s">
        <v>39</v>
      </c>
      <c r="Y38" s="55" t="s">
        <v>90</v>
      </c>
      <c r="Z38" s="215" t="s">
        <v>84</v>
      </c>
      <c r="AA38" s="55" t="s">
        <v>55</v>
      </c>
      <c r="AB38" s="215" t="s">
        <v>369</v>
      </c>
    </row>
    <row r="39" spans="1:28" x14ac:dyDescent="0.15">
      <c r="A39" s="55" t="s">
        <v>56</v>
      </c>
      <c r="B39" s="55" t="s">
        <v>410</v>
      </c>
      <c r="C39" s="215">
        <v>2018</v>
      </c>
      <c r="D39" s="86" t="s">
        <v>411</v>
      </c>
      <c r="E39" s="215" t="s">
        <v>172</v>
      </c>
      <c r="F39" s="215" t="s">
        <v>423</v>
      </c>
      <c r="G39" s="55" t="s">
        <v>42</v>
      </c>
      <c r="H39" s="215" t="s">
        <v>155</v>
      </c>
      <c r="I39" s="55" t="s">
        <v>156</v>
      </c>
      <c r="J39" s="215" t="s">
        <v>38</v>
      </c>
      <c r="K39" s="215" t="s">
        <v>154</v>
      </c>
      <c r="L39" s="207">
        <v>2</v>
      </c>
      <c r="N39" s="207">
        <v>4</v>
      </c>
      <c r="O39" s="207">
        <v>0.5</v>
      </c>
      <c r="P39" s="207">
        <v>0.5</v>
      </c>
      <c r="Q39" s="216">
        <f t="shared" si="0"/>
        <v>0.5</v>
      </c>
      <c r="R39" s="207">
        <v>11.2</v>
      </c>
      <c r="S39" s="207">
        <v>111</v>
      </c>
      <c r="T39" s="216">
        <f t="shared" si="1"/>
        <v>33</v>
      </c>
      <c r="U39" s="207">
        <v>539</v>
      </c>
      <c r="V39" s="216">
        <f t="shared" si="2"/>
        <v>4446.75</v>
      </c>
      <c r="W39" s="207">
        <v>6</v>
      </c>
      <c r="X39" s="55" t="s">
        <v>39</v>
      </c>
      <c r="Y39" s="55" t="s">
        <v>90</v>
      </c>
      <c r="Z39" s="215" t="s">
        <v>84</v>
      </c>
      <c r="AA39" s="55" t="s">
        <v>55</v>
      </c>
      <c r="AB39" s="215" t="s">
        <v>369</v>
      </c>
    </row>
    <row r="40" spans="1:28" x14ac:dyDescent="0.15">
      <c r="A40" s="55" t="s">
        <v>56</v>
      </c>
      <c r="B40" s="55" t="s">
        <v>410</v>
      </c>
      <c r="C40" s="215">
        <v>2018</v>
      </c>
      <c r="D40" s="86" t="s">
        <v>411</v>
      </c>
      <c r="E40" s="215" t="s">
        <v>172</v>
      </c>
      <c r="F40" s="215" t="s">
        <v>423</v>
      </c>
      <c r="G40" s="55" t="s">
        <v>42</v>
      </c>
      <c r="H40" s="215" t="s">
        <v>155</v>
      </c>
      <c r="I40" s="55" t="s">
        <v>156</v>
      </c>
      <c r="J40" s="215" t="s">
        <v>38</v>
      </c>
      <c r="K40" s="215" t="s">
        <v>154</v>
      </c>
      <c r="L40" s="207">
        <v>3</v>
      </c>
      <c r="N40" s="207">
        <v>4</v>
      </c>
      <c r="O40" s="207">
        <v>0.65</v>
      </c>
      <c r="P40" s="207">
        <v>0.6</v>
      </c>
      <c r="Q40" s="216">
        <f t="shared" si="0"/>
        <v>0.625</v>
      </c>
      <c r="R40" s="207">
        <v>10.9</v>
      </c>
      <c r="S40" s="207">
        <v>111</v>
      </c>
      <c r="T40" s="216">
        <f t="shared" si="1"/>
        <v>33</v>
      </c>
      <c r="U40" s="207">
        <v>539</v>
      </c>
      <c r="V40" s="216">
        <f t="shared" si="2"/>
        <v>4446.75</v>
      </c>
      <c r="W40" s="207">
        <v>6</v>
      </c>
      <c r="X40" s="55" t="s">
        <v>39</v>
      </c>
      <c r="Y40" s="55" t="s">
        <v>90</v>
      </c>
      <c r="Z40" s="215" t="s">
        <v>84</v>
      </c>
      <c r="AA40" s="55" t="s">
        <v>55</v>
      </c>
      <c r="AB40" s="215" t="s">
        <v>369</v>
      </c>
    </row>
    <row r="41" spans="1:28" x14ac:dyDescent="0.15">
      <c r="A41" s="55" t="s">
        <v>56</v>
      </c>
      <c r="B41" s="55" t="s">
        <v>410</v>
      </c>
      <c r="C41" s="215">
        <v>2018</v>
      </c>
      <c r="D41" s="86" t="s">
        <v>411</v>
      </c>
      <c r="E41" s="215" t="s">
        <v>313</v>
      </c>
      <c r="F41" s="215" t="s">
        <v>423</v>
      </c>
      <c r="G41" s="55" t="s">
        <v>42</v>
      </c>
      <c r="H41" s="215" t="s">
        <v>155</v>
      </c>
      <c r="I41" s="55" t="s">
        <v>153</v>
      </c>
      <c r="J41" s="215" t="s">
        <v>38</v>
      </c>
      <c r="K41" s="215" t="s">
        <v>154</v>
      </c>
      <c r="L41" s="207">
        <v>1</v>
      </c>
      <c r="N41" s="207">
        <v>1</v>
      </c>
      <c r="O41" s="207">
        <v>0.5</v>
      </c>
      <c r="P41" s="207">
        <v>0.55000000000000004</v>
      </c>
      <c r="Q41" s="216">
        <f t="shared" si="0"/>
        <v>0.52500000000000002</v>
      </c>
      <c r="R41" s="207">
        <v>13.9</v>
      </c>
      <c r="S41" s="207">
        <v>128</v>
      </c>
      <c r="T41" s="216">
        <f t="shared" si="1"/>
        <v>27</v>
      </c>
      <c r="U41" s="207">
        <v>105</v>
      </c>
      <c r="V41" s="216">
        <f t="shared" si="2"/>
        <v>2835</v>
      </c>
      <c r="W41" s="207">
        <v>2</v>
      </c>
      <c r="X41" s="55" t="s">
        <v>46</v>
      </c>
      <c r="Y41" s="55" t="s">
        <v>84</v>
      </c>
      <c r="Z41" s="207" t="s">
        <v>90</v>
      </c>
      <c r="AA41" s="55" t="s">
        <v>78</v>
      </c>
      <c r="AB41" s="215" t="s">
        <v>369</v>
      </c>
    </row>
    <row r="42" spans="1:28" x14ac:dyDescent="0.15">
      <c r="A42" s="55" t="s">
        <v>56</v>
      </c>
      <c r="B42" s="55" t="s">
        <v>410</v>
      </c>
      <c r="C42" s="215">
        <v>2018</v>
      </c>
      <c r="D42" s="86" t="s">
        <v>411</v>
      </c>
      <c r="E42" s="215" t="s">
        <v>313</v>
      </c>
      <c r="F42" s="215" t="s">
        <v>423</v>
      </c>
      <c r="G42" s="55" t="s">
        <v>42</v>
      </c>
      <c r="H42" s="215" t="s">
        <v>155</v>
      </c>
      <c r="I42" s="55" t="s">
        <v>153</v>
      </c>
      <c r="J42" s="215" t="s">
        <v>38</v>
      </c>
      <c r="K42" s="215" t="s">
        <v>154</v>
      </c>
      <c r="L42" s="207">
        <v>2</v>
      </c>
      <c r="N42" s="207">
        <v>1</v>
      </c>
      <c r="O42" s="207">
        <v>0.95</v>
      </c>
      <c r="P42" s="207">
        <v>0.8</v>
      </c>
      <c r="Q42" s="216">
        <f t="shared" si="0"/>
        <v>0.875</v>
      </c>
      <c r="R42" s="207">
        <v>14.4</v>
      </c>
      <c r="S42" s="207">
        <v>124</v>
      </c>
      <c r="T42" s="216">
        <f t="shared" si="1"/>
        <v>27</v>
      </c>
      <c r="U42" s="207">
        <v>105</v>
      </c>
      <c r="V42" s="216">
        <f t="shared" si="2"/>
        <v>2835</v>
      </c>
      <c r="W42" s="207">
        <v>2</v>
      </c>
      <c r="X42" s="55" t="s">
        <v>46</v>
      </c>
      <c r="Y42" s="55" t="s">
        <v>84</v>
      </c>
      <c r="Z42" s="207" t="s">
        <v>90</v>
      </c>
      <c r="AA42" s="55" t="s">
        <v>78</v>
      </c>
      <c r="AB42" s="215" t="s">
        <v>369</v>
      </c>
    </row>
    <row r="43" spans="1:28" x14ac:dyDescent="0.15">
      <c r="A43" s="55" t="s">
        <v>56</v>
      </c>
      <c r="B43" s="55" t="s">
        <v>410</v>
      </c>
      <c r="C43" s="215">
        <v>2018</v>
      </c>
      <c r="D43" s="86" t="s">
        <v>411</v>
      </c>
      <c r="E43" s="215" t="s">
        <v>313</v>
      </c>
      <c r="F43" s="215" t="s">
        <v>423</v>
      </c>
      <c r="G43" s="55" t="s">
        <v>42</v>
      </c>
      <c r="H43" s="215" t="s">
        <v>155</v>
      </c>
      <c r="I43" s="55" t="s">
        <v>153</v>
      </c>
      <c r="J43" s="215" t="s">
        <v>38</v>
      </c>
      <c r="K43" s="215" t="s">
        <v>154</v>
      </c>
      <c r="L43" s="207">
        <v>3</v>
      </c>
      <c r="N43" s="207">
        <v>1</v>
      </c>
      <c r="O43" s="207">
        <v>0.7</v>
      </c>
      <c r="P43" s="207">
        <v>0.75</v>
      </c>
      <c r="Q43" s="216">
        <f t="shared" si="0"/>
        <v>0.72499999999999998</v>
      </c>
      <c r="R43" s="207">
        <v>14.1</v>
      </c>
      <c r="S43" s="207">
        <v>124</v>
      </c>
      <c r="T43" s="216">
        <f t="shared" si="1"/>
        <v>27</v>
      </c>
      <c r="U43" s="207">
        <v>105</v>
      </c>
      <c r="V43" s="216">
        <f t="shared" si="2"/>
        <v>2835</v>
      </c>
      <c r="W43" s="207">
        <v>2</v>
      </c>
      <c r="X43" s="55" t="s">
        <v>46</v>
      </c>
      <c r="Y43" s="55" t="s">
        <v>84</v>
      </c>
      <c r="Z43" s="207" t="s">
        <v>90</v>
      </c>
      <c r="AA43" s="55" t="s">
        <v>78</v>
      </c>
      <c r="AB43" s="215" t="s">
        <v>369</v>
      </c>
    </row>
    <row r="44" spans="1:28" x14ac:dyDescent="0.15">
      <c r="A44" s="55" t="s">
        <v>56</v>
      </c>
      <c r="B44" s="55" t="s">
        <v>410</v>
      </c>
      <c r="C44" s="215">
        <v>2018</v>
      </c>
      <c r="D44" s="86" t="s">
        <v>411</v>
      </c>
      <c r="E44" s="215" t="s">
        <v>313</v>
      </c>
      <c r="F44" s="215" t="s">
        <v>423</v>
      </c>
      <c r="G44" s="55" t="s">
        <v>42</v>
      </c>
      <c r="H44" s="215" t="s">
        <v>162</v>
      </c>
      <c r="I44" s="55" t="s">
        <v>153</v>
      </c>
      <c r="J44" s="215" t="s">
        <v>38</v>
      </c>
      <c r="K44" s="215" t="s">
        <v>154</v>
      </c>
      <c r="L44" s="207">
        <v>1</v>
      </c>
      <c r="N44" s="207">
        <v>1</v>
      </c>
      <c r="O44" s="207">
        <v>0.55000000000000004</v>
      </c>
      <c r="P44" s="207">
        <v>0.6</v>
      </c>
      <c r="Q44" s="216">
        <f t="shared" si="0"/>
        <v>0.57499999999999996</v>
      </c>
      <c r="R44" s="207">
        <v>15.9</v>
      </c>
      <c r="S44" s="207">
        <v>131</v>
      </c>
      <c r="T44" s="216">
        <f t="shared" si="1"/>
        <v>25</v>
      </c>
      <c r="U44" s="207">
        <v>149</v>
      </c>
      <c r="V44" s="216">
        <f t="shared" si="2"/>
        <v>3725</v>
      </c>
      <c r="W44" s="207">
        <v>2</v>
      </c>
      <c r="X44" s="55" t="s">
        <v>46</v>
      </c>
      <c r="Y44" s="55" t="s">
        <v>84</v>
      </c>
      <c r="Z44" s="207" t="s">
        <v>90</v>
      </c>
      <c r="AA44" s="55" t="s">
        <v>78</v>
      </c>
      <c r="AB44" s="215" t="s">
        <v>369</v>
      </c>
    </row>
    <row r="45" spans="1:28" x14ac:dyDescent="0.15">
      <c r="A45" s="55" t="s">
        <v>56</v>
      </c>
      <c r="B45" s="55" t="s">
        <v>410</v>
      </c>
      <c r="C45" s="215">
        <v>2018</v>
      </c>
      <c r="D45" s="86" t="s">
        <v>411</v>
      </c>
      <c r="E45" s="215" t="s">
        <v>313</v>
      </c>
      <c r="F45" s="215" t="s">
        <v>423</v>
      </c>
      <c r="G45" s="55" t="s">
        <v>42</v>
      </c>
      <c r="H45" s="215" t="s">
        <v>162</v>
      </c>
      <c r="I45" s="55" t="s">
        <v>153</v>
      </c>
      <c r="J45" s="215" t="s">
        <v>38</v>
      </c>
      <c r="K45" s="215" t="s">
        <v>154</v>
      </c>
      <c r="L45" s="207">
        <v>2</v>
      </c>
      <c r="N45" s="207">
        <v>1</v>
      </c>
      <c r="O45" s="207">
        <v>0.55000000000000004</v>
      </c>
      <c r="P45" s="207">
        <v>0.55000000000000004</v>
      </c>
      <c r="Q45" s="216">
        <f t="shared" si="0"/>
        <v>0.55000000000000004</v>
      </c>
      <c r="R45" s="207">
        <v>15.3</v>
      </c>
      <c r="S45" s="207">
        <v>124</v>
      </c>
      <c r="T45" s="216">
        <f t="shared" si="1"/>
        <v>27</v>
      </c>
      <c r="U45" s="207">
        <v>149</v>
      </c>
      <c r="V45" s="216">
        <f t="shared" si="2"/>
        <v>4023</v>
      </c>
      <c r="W45" s="207">
        <v>2</v>
      </c>
      <c r="X45" s="55" t="s">
        <v>46</v>
      </c>
      <c r="Y45" s="55" t="s">
        <v>84</v>
      </c>
      <c r="Z45" s="207" t="s">
        <v>90</v>
      </c>
      <c r="AA45" s="55" t="s">
        <v>78</v>
      </c>
      <c r="AB45" s="215" t="s">
        <v>369</v>
      </c>
    </row>
    <row r="46" spans="1:28" x14ac:dyDescent="0.15">
      <c r="A46" s="55" t="s">
        <v>56</v>
      </c>
      <c r="B46" s="55" t="s">
        <v>410</v>
      </c>
      <c r="C46" s="215">
        <v>2018</v>
      </c>
      <c r="D46" s="86" t="s">
        <v>411</v>
      </c>
      <c r="E46" s="215" t="s">
        <v>313</v>
      </c>
      <c r="F46" s="215" t="s">
        <v>423</v>
      </c>
      <c r="G46" s="55" t="s">
        <v>42</v>
      </c>
      <c r="H46" s="215" t="s">
        <v>162</v>
      </c>
      <c r="I46" s="55" t="s">
        <v>153</v>
      </c>
      <c r="J46" s="215" t="s">
        <v>38</v>
      </c>
      <c r="K46" s="215" t="s">
        <v>154</v>
      </c>
      <c r="L46" s="207">
        <v>3</v>
      </c>
      <c r="N46" s="207">
        <v>1</v>
      </c>
      <c r="O46" s="207">
        <v>0.6</v>
      </c>
      <c r="P46" s="207">
        <v>0.65</v>
      </c>
      <c r="Q46" s="216">
        <f t="shared" si="0"/>
        <v>0.625</v>
      </c>
      <c r="R46" s="207">
        <v>15.4</v>
      </c>
      <c r="S46" s="207">
        <v>133</v>
      </c>
      <c r="T46" s="216">
        <f t="shared" si="1"/>
        <v>25</v>
      </c>
      <c r="U46" s="207">
        <v>149</v>
      </c>
      <c r="V46" s="216">
        <f t="shared" si="2"/>
        <v>3725</v>
      </c>
      <c r="W46" s="207">
        <v>2</v>
      </c>
      <c r="X46" s="55" t="s">
        <v>46</v>
      </c>
      <c r="Y46" s="55" t="s">
        <v>84</v>
      </c>
      <c r="Z46" s="207" t="s">
        <v>90</v>
      </c>
      <c r="AA46" s="55" t="s">
        <v>78</v>
      </c>
      <c r="AB46" s="215" t="s">
        <v>369</v>
      </c>
    </row>
    <row r="47" spans="1:28" x14ac:dyDescent="0.15">
      <c r="A47" s="55" t="s">
        <v>56</v>
      </c>
      <c r="B47" s="55" t="s">
        <v>410</v>
      </c>
      <c r="C47" s="215">
        <v>2018</v>
      </c>
      <c r="D47" s="86" t="s">
        <v>411</v>
      </c>
      <c r="E47" s="215" t="s">
        <v>383</v>
      </c>
      <c r="F47" s="215" t="s">
        <v>423</v>
      </c>
      <c r="G47" s="55" t="s">
        <v>42</v>
      </c>
      <c r="H47" s="215" t="s">
        <v>155</v>
      </c>
      <c r="I47" s="55" t="s">
        <v>153</v>
      </c>
      <c r="J47" s="215" t="s">
        <v>38</v>
      </c>
      <c r="K47" s="215" t="s">
        <v>154</v>
      </c>
      <c r="L47" s="207">
        <v>1</v>
      </c>
      <c r="N47" s="207">
        <v>1</v>
      </c>
      <c r="O47" s="207">
        <v>0.65</v>
      </c>
      <c r="P47" s="207">
        <v>0.7</v>
      </c>
      <c r="Q47" s="216">
        <f t="shared" si="0"/>
        <v>0.67500000000000004</v>
      </c>
      <c r="R47" s="207">
        <v>14.8</v>
      </c>
      <c r="S47" s="207">
        <v>142</v>
      </c>
      <c r="T47" s="216">
        <f t="shared" si="1"/>
        <v>22</v>
      </c>
      <c r="U47" s="207">
        <v>84</v>
      </c>
      <c r="V47" s="216">
        <f t="shared" si="2"/>
        <v>1848</v>
      </c>
      <c r="W47" s="207">
        <v>4</v>
      </c>
      <c r="X47" s="55" t="s">
        <v>46</v>
      </c>
      <c r="Y47" s="55" t="s">
        <v>84</v>
      </c>
      <c r="Z47" s="207" t="s">
        <v>90</v>
      </c>
      <c r="AA47" s="55" t="s">
        <v>78</v>
      </c>
      <c r="AB47" s="215" t="s">
        <v>369</v>
      </c>
    </row>
    <row r="48" spans="1:28" x14ac:dyDescent="0.15">
      <c r="A48" s="55" t="s">
        <v>56</v>
      </c>
      <c r="B48" s="55" t="s">
        <v>410</v>
      </c>
      <c r="C48" s="215">
        <v>2018</v>
      </c>
      <c r="D48" s="86" t="s">
        <v>411</v>
      </c>
      <c r="E48" s="215" t="s">
        <v>383</v>
      </c>
      <c r="F48" s="215" t="s">
        <v>423</v>
      </c>
      <c r="G48" s="55" t="s">
        <v>42</v>
      </c>
      <c r="H48" s="215" t="s">
        <v>155</v>
      </c>
      <c r="I48" s="55" t="s">
        <v>153</v>
      </c>
      <c r="J48" s="215" t="s">
        <v>38</v>
      </c>
      <c r="K48" s="215" t="s">
        <v>154</v>
      </c>
      <c r="L48" s="207">
        <v>2</v>
      </c>
      <c r="N48" s="207">
        <v>1</v>
      </c>
      <c r="O48" s="207">
        <v>0.65</v>
      </c>
      <c r="P48" s="207">
        <v>0.65</v>
      </c>
      <c r="Q48" s="216">
        <f t="shared" si="0"/>
        <v>0.65</v>
      </c>
      <c r="R48" s="207">
        <v>11.1</v>
      </c>
      <c r="S48" s="207">
        <v>151</v>
      </c>
      <c r="T48" s="216">
        <f t="shared" si="1"/>
        <v>22</v>
      </c>
      <c r="U48" s="207">
        <v>84</v>
      </c>
      <c r="V48" s="216">
        <f t="shared" si="2"/>
        <v>1848</v>
      </c>
      <c r="W48" s="207">
        <v>4</v>
      </c>
      <c r="X48" s="55" t="s">
        <v>46</v>
      </c>
      <c r="Y48" s="55" t="s">
        <v>84</v>
      </c>
      <c r="Z48" s="207" t="s">
        <v>90</v>
      </c>
      <c r="AA48" s="55" t="s">
        <v>78</v>
      </c>
      <c r="AB48" s="215" t="s">
        <v>369</v>
      </c>
    </row>
    <row r="49" spans="1:28" x14ac:dyDescent="0.15">
      <c r="A49" s="55" t="s">
        <v>56</v>
      </c>
      <c r="B49" s="55" t="s">
        <v>410</v>
      </c>
      <c r="C49" s="215">
        <v>2018</v>
      </c>
      <c r="D49" s="86" t="s">
        <v>411</v>
      </c>
      <c r="E49" s="215" t="s">
        <v>383</v>
      </c>
      <c r="F49" s="215" t="s">
        <v>423</v>
      </c>
      <c r="G49" s="55" t="s">
        <v>42</v>
      </c>
      <c r="H49" s="215" t="s">
        <v>155</v>
      </c>
      <c r="I49" s="55" t="s">
        <v>153</v>
      </c>
      <c r="J49" s="215" t="s">
        <v>38</v>
      </c>
      <c r="K49" s="215" t="s">
        <v>154</v>
      </c>
      <c r="L49" s="207">
        <v>3</v>
      </c>
      <c r="N49" s="207">
        <v>1</v>
      </c>
      <c r="O49" s="207">
        <v>0.75</v>
      </c>
      <c r="P49" s="207">
        <v>0.75</v>
      </c>
      <c r="Q49" s="216">
        <f t="shared" si="0"/>
        <v>0.75</v>
      </c>
      <c r="R49" s="207">
        <v>14.1</v>
      </c>
      <c r="S49" s="207">
        <v>151</v>
      </c>
      <c r="T49" s="216">
        <f t="shared" si="1"/>
        <v>22</v>
      </c>
      <c r="U49" s="207">
        <v>84</v>
      </c>
      <c r="V49" s="216">
        <f t="shared" si="2"/>
        <v>1848</v>
      </c>
      <c r="W49" s="207">
        <v>4</v>
      </c>
      <c r="X49" s="55" t="s">
        <v>46</v>
      </c>
      <c r="Y49" s="55" t="s">
        <v>84</v>
      </c>
      <c r="Z49" s="207" t="s">
        <v>90</v>
      </c>
      <c r="AA49" s="55" t="s">
        <v>78</v>
      </c>
      <c r="AB49" s="215" t="s">
        <v>369</v>
      </c>
    </row>
    <row r="50" spans="1:28" x14ac:dyDescent="0.15">
      <c r="A50" s="55" t="s">
        <v>56</v>
      </c>
      <c r="B50" s="55" t="s">
        <v>410</v>
      </c>
      <c r="C50" s="215">
        <v>2018</v>
      </c>
      <c r="D50" s="86" t="s">
        <v>411</v>
      </c>
      <c r="E50" s="215" t="s">
        <v>383</v>
      </c>
      <c r="F50" s="215" t="s">
        <v>423</v>
      </c>
      <c r="G50" s="55" t="s">
        <v>42</v>
      </c>
      <c r="H50" s="215" t="s">
        <v>155</v>
      </c>
      <c r="I50" s="55" t="s">
        <v>156</v>
      </c>
      <c r="J50" s="215" t="s">
        <v>38</v>
      </c>
      <c r="K50" s="215" t="s">
        <v>154</v>
      </c>
      <c r="L50" s="207">
        <v>1</v>
      </c>
      <c r="N50" s="207">
        <v>4</v>
      </c>
      <c r="O50" s="207">
        <v>0.5</v>
      </c>
      <c r="P50" s="207">
        <v>0.55000000000000004</v>
      </c>
      <c r="Q50" s="216">
        <f t="shared" si="0"/>
        <v>0.52500000000000002</v>
      </c>
      <c r="R50" s="207">
        <v>14.2</v>
      </c>
      <c r="S50" s="207">
        <v>98</v>
      </c>
      <c r="T50" s="216">
        <f t="shared" si="1"/>
        <v>36</v>
      </c>
      <c r="U50" s="207">
        <v>430</v>
      </c>
      <c r="V50" s="216">
        <f t="shared" si="2"/>
        <v>3870</v>
      </c>
      <c r="W50" s="207">
        <v>1</v>
      </c>
      <c r="X50" s="55" t="s">
        <v>46</v>
      </c>
      <c r="Y50" s="55" t="s">
        <v>84</v>
      </c>
      <c r="Z50" s="207" t="s">
        <v>90</v>
      </c>
      <c r="AA50" s="55" t="s">
        <v>78</v>
      </c>
      <c r="AB50" s="215" t="s">
        <v>369</v>
      </c>
    </row>
    <row r="51" spans="1:28" x14ac:dyDescent="0.15">
      <c r="A51" s="55" t="s">
        <v>56</v>
      </c>
      <c r="B51" s="55" t="s">
        <v>410</v>
      </c>
      <c r="C51" s="215">
        <v>2018</v>
      </c>
      <c r="D51" s="86" t="s">
        <v>411</v>
      </c>
      <c r="E51" s="215" t="s">
        <v>383</v>
      </c>
      <c r="F51" s="215" t="s">
        <v>423</v>
      </c>
      <c r="G51" s="55" t="s">
        <v>42</v>
      </c>
      <c r="H51" s="215" t="s">
        <v>155</v>
      </c>
      <c r="I51" s="55" t="s">
        <v>156</v>
      </c>
      <c r="J51" s="215" t="s">
        <v>38</v>
      </c>
      <c r="K51" s="215" t="s">
        <v>154</v>
      </c>
      <c r="L51" s="207">
        <v>2</v>
      </c>
      <c r="N51" s="207">
        <v>4</v>
      </c>
      <c r="O51" s="207">
        <v>0.75</v>
      </c>
      <c r="P51" s="207">
        <v>0.75</v>
      </c>
      <c r="Q51" s="216">
        <f t="shared" si="0"/>
        <v>0.75</v>
      </c>
      <c r="R51" s="207">
        <v>14.9</v>
      </c>
      <c r="S51" s="207">
        <v>98</v>
      </c>
      <c r="T51" s="216">
        <f t="shared" si="1"/>
        <v>36</v>
      </c>
      <c r="U51" s="207">
        <v>430</v>
      </c>
      <c r="V51" s="216">
        <f t="shared" si="2"/>
        <v>3870</v>
      </c>
      <c r="W51" s="207">
        <v>1</v>
      </c>
      <c r="X51" s="55" t="s">
        <v>46</v>
      </c>
      <c r="Y51" s="55" t="s">
        <v>84</v>
      </c>
      <c r="Z51" s="207" t="s">
        <v>90</v>
      </c>
      <c r="AA51" s="55" t="s">
        <v>78</v>
      </c>
      <c r="AB51" s="215" t="s">
        <v>369</v>
      </c>
    </row>
    <row r="52" spans="1:28" x14ac:dyDescent="0.15">
      <c r="A52" s="55" t="s">
        <v>56</v>
      </c>
      <c r="B52" s="55" t="s">
        <v>410</v>
      </c>
      <c r="C52" s="215">
        <v>2018</v>
      </c>
      <c r="D52" s="86" t="s">
        <v>411</v>
      </c>
      <c r="E52" s="215" t="s">
        <v>383</v>
      </c>
      <c r="F52" s="215" t="s">
        <v>423</v>
      </c>
      <c r="G52" s="55" t="s">
        <v>42</v>
      </c>
      <c r="H52" s="215" t="s">
        <v>155</v>
      </c>
      <c r="I52" s="55" t="s">
        <v>156</v>
      </c>
      <c r="J52" s="215" t="s">
        <v>38</v>
      </c>
      <c r="K52" s="215" t="s">
        <v>154</v>
      </c>
      <c r="L52" s="207">
        <v>3</v>
      </c>
      <c r="N52" s="207">
        <v>4</v>
      </c>
      <c r="O52" s="207">
        <v>0.65</v>
      </c>
      <c r="P52" s="207">
        <v>0.8</v>
      </c>
      <c r="Q52" s="216">
        <f t="shared" si="0"/>
        <v>0.72500000000000009</v>
      </c>
      <c r="R52" s="207">
        <v>14.1</v>
      </c>
      <c r="S52" s="207">
        <v>98</v>
      </c>
      <c r="T52" s="216">
        <f t="shared" si="1"/>
        <v>36</v>
      </c>
      <c r="U52" s="207">
        <v>430</v>
      </c>
      <c r="V52" s="216">
        <f t="shared" si="2"/>
        <v>3870</v>
      </c>
      <c r="W52" s="207">
        <v>1</v>
      </c>
      <c r="X52" s="55" t="s">
        <v>46</v>
      </c>
      <c r="Y52" s="55" t="s">
        <v>84</v>
      </c>
      <c r="Z52" s="207" t="s">
        <v>90</v>
      </c>
      <c r="AA52" s="55" t="s">
        <v>78</v>
      </c>
      <c r="AB52" s="215" t="s">
        <v>369</v>
      </c>
    </row>
    <row r="53" spans="1:28" x14ac:dyDescent="0.15">
      <c r="A53" s="55" t="s">
        <v>56</v>
      </c>
      <c r="B53" s="55" t="s">
        <v>410</v>
      </c>
      <c r="C53" s="215">
        <v>2018</v>
      </c>
      <c r="D53" s="86" t="s">
        <v>411</v>
      </c>
      <c r="E53" s="215" t="s">
        <v>383</v>
      </c>
      <c r="F53" s="215" t="s">
        <v>423</v>
      </c>
      <c r="G53" s="55" t="s">
        <v>42</v>
      </c>
      <c r="H53" s="215" t="s">
        <v>162</v>
      </c>
      <c r="I53" s="55" t="s">
        <v>153</v>
      </c>
      <c r="J53" s="215" t="s">
        <v>38</v>
      </c>
      <c r="K53" s="215" t="s">
        <v>154</v>
      </c>
      <c r="L53" s="207">
        <v>1</v>
      </c>
      <c r="N53" s="207">
        <v>1</v>
      </c>
      <c r="O53" s="207">
        <v>0.7</v>
      </c>
      <c r="P53" s="207">
        <v>0.7</v>
      </c>
      <c r="Q53" s="216">
        <f t="shared" si="0"/>
        <v>0.7</v>
      </c>
      <c r="R53" s="207">
        <v>15.6</v>
      </c>
      <c r="S53" s="207">
        <v>136</v>
      </c>
      <c r="T53" s="216">
        <f t="shared" si="1"/>
        <v>25</v>
      </c>
      <c r="U53" s="207">
        <v>84</v>
      </c>
      <c r="V53" s="216">
        <f t="shared" si="2"/>
        <v>2100</v>
      </c>
      <c r="W53" s="207">
        <v>2</v>
      </c>
      <c r="X53" s="55" t="s">
        <v>46</v>
      </c>
      <c r="Y53" s="55" t="s">
        <v>84</v>
      </c>
      <c r="Z53" s="207" t="s">
        <v>90</v>
      </c>
      <c r="AA53" s="55" t="s">
        <v>78</v>
      </c>
      <c r="AB53" s="215" t="s">
        <v>369</v>
      </c>
    </row>
    <row r="54" spans="1:28" x14ac:dyDescent="0.15">
      <c r="A54" s="55" t="s">
        <v>56</v>
      </c>
      <c r="B54" s="55" t="s">
        <v>410</v>
      </c>
      <c r="C54" s="215">
        <v>2018</v>
      </c>
      <c r="D54" s="86" t="s">
        <v>411</v>
      </c>
      <c r="E54" s="215" t="s">
        <v>383</v>
      </c>
      <c r="F54" s="215" t="s">
        <v>423</v>
      </c>
      <c r="G54" s="55" t="s">
        <v>42</v>
      </c>
      <c r="H54" s="215" t="s">
        <v>162</v>
      </c>
      <c r="I54" s="55" t="s">
        <v>153</v>
      </c>
      <c r="J54" s="215" t="s">
        <v>38</v>
      </c>
      <c r="K54" s="215" t="s">
        <v>154</v>
      </c>
      <c r="L54" s="207">
        <v>2</v>
      </c>
      <c r="N54" s="207">
        <v>1</v>
      </c>
      <c r="O54" s="207">
        <v>0.75</v>
      </c>
      <c r="P54" s="207">
        <v>0.75</v>
      </c>
      <c r="Q54" s="216">
        <f t="shared" si="0"/>
        <v>0.75</v>
      </c>
      <c r="R54" s="207">
        <v>14.2</v>
      </c>
      <c r="S54" s="207">
        <v>138</v>
      </c>
      <c r="T54" s="216">
        <f t="shared" si="1"/>
        <v>22</v>
      </c>
      <c r="U54" s="207">
        <v>84</v>
      </c>
      <c r="V54" s="216">
        <f t="shared" si="2"/>
        <v>1848</v>
      </c>
      <c r="W54" s="207">
        <v>2</v>
      </c>
      <c r="X54" s="55" t="s">
        <v>46</v>
      </c>
      <c r="Y54" s="55" t="s">
        <v>84</v>
      </c>
      <c r="Z54" s="207" t="s">
        <v>90</v>
      </c>
      <c r="AA54" s="55" t="s">
        <v>78</v>
      </c>
      <c r="AB54" s="215" t="s">
        <v>369</v>
      </c>
    </row>
    <row r="55" spans="1:28" x14ac:dyDescent="0.15">
      <c r="A55" s="55" t="s">
        <v>56</v>
      </c>
      <c r="B55" s="55" t="s">
        <v>410</v>
      </c>
      <c r="C55" s="215">
        <v>2018</v>
      </c>
      <c r="D55" s="86" t="s">
        <v>411</v>
      </c>
      <c r="E55" s="215" t="s">
        <v>383</v>
      </c>
      <c r="F55" s="215" t="s">
        <v>423</v>
      </c>
      <c r="G55" s="55" t="s">
        <v>42</v>
      </c>
      <c r="H55" s="215" t="s">
        <v>162</v>
      </c>
      <c r="I55" s="55" t="s">
        <v>153</v>
      </c>
      <c r="J55" s="215" t="s">
        <v>38</v>
      </c>
      <c r="K55" s="215" t="s">
        <v>154</v>
      </c>
      <c r="L55" s="207">
        <v>3</v>
      </c>
      <c r="N55" s="207">
        <v>1</v>
      </c>
      <c r="O55" s="207">
        <v>0.75</v>
      </c>
      <c r="P55" s="207">
        <v>0.75</v>
      </c>
      <c r="Q55" s="216">
        <f t="shared" si="0"/>
        <v>0.75</v>
      </c>
      <c r="R55" s="207">
        <v>14.3</v>
      </c>
      <c r="S55" s="207">
        <v>144</v>
      </c>
      <c r="T55" s="216">
        <f t="shared" si="1"/>
        <v>22</v>
      </c>
      <c r="U55" s="207">
        <v>84</v>
      </c>
      <c r="V55" s="216">
        <f t="shared" si="2"/>
        <v>1848</v>
      </c>
      <c r="W55" s="207">
        <v>2</v>
      </c>
      <c r="X55" s="55" t="s">
        <v>46</v>
      </c>
      <c r="Y55" s="55" t="s">
        <v>84</v>
      </c>
      <c r="Z55" s="207" t="s">
        <v>90</v>
      </c>
      <c r="AA55" s="55" t="s">
        <v>78</v>
      </c>
      <c r="AB55" s="215" t="s">
        <v>369</v>
      </c>
    </row>
    <row r="56" spans="1:28" x14ac:dyDescent="0.15">
      <c r="A56" s="55" t="s">
        <v>56</v>
      </c>
      <c r="B56" s="55" t="s">
        <v>410</v>
      </c>
      <c r="C56" s="215">
        <v>2018</v>
      </c>
      <c r="D56" s="86" t="s">
        <v>411</v>
      </c>
      <c r="E56" s="215" t="s">
        <v>428</v>
      </c>
      <c r="F56" s="215" t="s">
        <v>423</v>
      </c>
      <c r="G56" s="55" t="s">
        <v>42</v>
      </c>
      <c r="H56" s="215" t="s">
        <v>155</v>
      </c>
      <c r="I56" s="55" t="s">
        <v>153</v>
      </c>
      <c r="J56" s="215" t="s">
        <v>38</v>
      </c>
      <c r="K56" s="215" t="s">
        <v>154</v>
      </c>
      <c r="L56" s="207">
        <v>1</v>
      </c>
      <c r="N56" s="207">
        <v>8</v>
      </c>
      <c r="O56" s="207">
        <v>0.75</v>
      </c>
      <c r="P56" s="207">
        <v>0.85</v>
      </c>
      <c r="Q56" s="216">
        <f t="shared" si="0"/>
        <v>0.8</v>
      </c>
      <c r="R56" s="207">
        <v>14.2</v>
      </c>
      <c r="S56" s="207">
        <v>109</v>
      </c>
      <c r="T56" s="216">
        <f t="shared" si="1"/>
        <v>33</v>
      </c>
      <c r="U56" s="207">
        <v>430</v>
      </c>
      <c r="V56" s="216">
        <f t="shared" si="2"/>
        <v>1773.75</v>
      </c>
      <c r="W56" s="207">
        <v>6</v>
      </c>
      <c r="X56" s="55" t="s">
        <v>46</v>
      </c>
      <c r="Y56" s="55" t="s">
        <v>84</v>
      </c>
      <c r="Z56" s="207" t="s">
        <v>78</v>
      </c>
      <c r="AA56" s="55" t="s">
        <v>50</v>
      </c>
      <c r="AB56" s="215" t="s">
        <v>369</v>
      </c>
    </row>
    <row r="57" spans="1:28" x14ac:dyDescent="0.15">
      <c r="A57" s="55" t="s">
        <v>56</v>
      </c>
      <c r="B57" s="55" t="s">
        <v>410</v>
      </c>
      <c r="C57" s="215">
        <v>2018</v>
      </c>
      <c r="D57" s="86" t="s">
        <v>411</v>
      </c>
      <c r="E57" s="215" t="s">
        <v>428</v>
      </c>
      <c r="F57" s="215" t="s">
        <v>423</v>
      </c>
      <c r="G57" s="55" t="s">
        <v>42</v>
      </c>
      <c r="H57" s="215" t="s">
        <v>155</v>
      </c>
      <c r="I57" s="55" t="s">
        <v>153</v>
      </c>
      <c r="J57" s="215" t="s">
        <v>38</v>
      </c>
      <c r="K57" s="215" t="s">
        <v>154</v>
      </c>
      <c r="L57" s="207">
        <v>2</v>
      </c>
      <c r="N57" s="207">
        <v>8</v>
      </c>
      <c r="O57" s="207">
        <v>1</v>
      </c>
      <c r="P57" s="207">
        <v>0.95</v>
      </c>
      <c r="Q57" s="216">
        <f t="shared" si="0"/>
        <v>0.97499999999999998</v>
      </c>
      <c r="R57" s="207">
        <v>14.2</v>
      </c>
      <c r="S57" s="207">
        <v>108</v>
      </c>
      <c r="T57" s="216">
        <f t="shared" si="1"/>
        <v>33</v>
      </c>
      <c r="U57" s="207">
        <v>430</v>
      </c>
      <c r="V57" s="216">
        <f t="shared" si="2"/>
        <v>1773.75</v>
      </c>
      <c r="W57" s="207">
        <v>6</v>
      </c>
      <c r="X57" s="55" t="s">
        <v>46</v>
      </c>
      <c r="Y57" s="55" t="s">
        <v>84</v>
      </c>
      <c r="Z57" s="207" t="s">
        <v>78</v>
      </c>
      <c r="AA57" s="55" t="s">
        <v>50</v>
      </c>
      <c r="AB57" s="215" t="s">
        <v>369</v>
      </c>
    </row>
    <row r="58" spans="1:28" x14ac:dyDescent="0.15">
      <c r="A58" s="55" t="s">
        <v>56</v>
      </c>
      <c r="B58" s="55" t="s">
        <v>410</v>
      </c>
      <c r="C58" s="215">
        <v>2018</v>
      </c>
      <c r="D58" s="86" t="s">
        <v>411</v>
      </c>
      <c r="E58" s="215" t="s">
        <v>428</v>
      </c>
      <c r="F58" s="215" t="s">
        <v>423</v>
      </c>
      <c r="G58" s="55" t="s">
        <v>42</v>
      </c>
      <c r="H58" s="215" t="s">
        <v>155</v>
      </c>
      <c r="I58" s="55" t="s">
        <v>153</v>
      </c>
      <c r="J58" s="215" t="s">
        <v>38</v>
      </c>
      <c r="K58" s="215" t="s">
        <v>154</v>
      </c>
      <c r="L58" s="207">
        <v>3</v>
      </c>
      <c r="N58" s="207">
        <v>8</v>
      </c>
      <c r="O58" s="207">
        <v>0.9</v>
      </c>
      <c r="P58" s="207">
        <v>0.95</v>
      </c>
      <c r="Q58" s="216">
        <f t="shared" si="0"/>
        <v>0.92500000000000004</v>
      </c>
      <c r="R58" s="207">
        <v>13.3</v>
      </c>
      <c r="S58" s="207">
        <v>113</v>
      </c>
      <c r="T58" s="216">
        <f t="shared" si="1"/>
        <v>30</v>
      </c>
      <c r="U58" s="207">
        <v>430</v>
      </c>
      <c r="V58" s="216">
        <f t="shared" si="2"/>
        <v>1612.5</v>
      </c>
      <c r="W58" s="207">
        <v>6</v>
      </c>
      <c r="X58" s="55" t="s">
        <v>46</v>
      </c>
      <c r="Y58" s="55" t="s">
        <v>84</v>
      </c>
      <c r="Z58" s="207" t="s">
        <v>78</v>
      </c>
      <c r="AA58" s="55" t="s">
        <v>50</v>
      </c>
      <c r="AB58" s="215" t="s">
        <v>369</v>
      </c>
    </row>
    <row r="59" spans="1:28" x14ac:dyDescent="0.15">
      <c r="A59" s="55" t="s">
        <v>56</v>
      </c>
      <c r="B59" s="55" t="s">
        <v>410</v>
      </c>
      <c r="C59" s="215">
        <v>2018</v>
      </c>
      <c r="D59" s="86" t="s">
        <v>411</v>
      </c>
      <c r="E59" s="215" t="s">
        <v>428</v>
      </c>
      <c r="F59" s="215" t="s">
        <v>423</v>
      </c>
      <c r="G59" s="55" t="s">
        <v>42</v>
      </c>
      <c r="H59" s="215" t="s">
        <v>162</v>
      </c>
      <c r="I59" s="55" t="s">
        <v>153</v>
      </c>
      <c r="J59" s="215" t="s">
        <v>38</v>
      </c>
      <c r="K59" s="215" t="s">
        <v>154</v>
      </c>
      <c r="L59" s="207">
        <v>1</v>
      </c>
      <c r="N59" s="207">
        <v>5</v>
      </c>
      <c r="O59" s="207">
        <v>0.65</v>
      </c>
      <c r="P59" s="207">
        <v>0.65</v>
      </c>
      <c r="Q59" s="216">
        <f t="shared" si="0"/>
        <v>0.65</v>
      </c>
      <c r="R59" s="207">
        <v>15.9</v>
      </c>
      <c r="S59" s="207">
        <v>116</v>
      </c>
      <c r="T59" s="216">
        <f t="shared" si="1"/>
        <v>30</v>
      </c>
      <c r="U59" s="207">
        <v>646</v>
      </c>
      <c r="V59" s="216">
        <f t="shared" si="2"/>
        <v>3875.9999999999995</v>
      </c>
      <c r="W59" s="207">
        <v>6</v>
      </c>
      <c r="X59" s="55" t="s">
        <v>46</v>
      </c>
      <c r="Y59" s="55" t="s">
        <v>84</v>
      </c>
      <c r="Z59" s="207" t="s">
        <v>78</v>
      </c>
      <c r="AA59" s="55" t="s">
        <v>50</v>
      </c>
      <c r="AB59" s="215" t="s">
        <v>369</v>
      </c>
    </row>
    <row r="60" spans="1:28" x14ac:dyDescent="0.15">
      <c r="A60" s="55" t="s">
        <v>56</v>
      </c>
      <c r="B60" s="55" t="s">
        <v>410</v>
      </c>
      <c r="C60" s="215">
        <v>2018</v>
      </c>
      <c r="D60" s="86" t="s">
        <v>411</v>
      </c>
      <c r="E60" s="215" t="s">
        <v>428</v>
      </c>
      <c r="F60" s="215" t="s">
        <v>423</v>
      </c>
      <c r="G60" s="55" t="s">
        <v>42</v>
      </c>
      <c r="H60" s="215" t="s">
        <v>162</v>
      </c>
      <c r="I60" s="55" t="s">
        <v>153</v>
      </c>
      <c r="J60" s="215" t="s">
        <v>38</v>
      </c>
      <c r="K60" s="215" t="s">
        <v>154</v>
      </c>
      <c r="L60" s="207">
        <v>2</v>
      </c>
      <c r="N60" s="207">
        <v>5</v>
      </c>
      <c r="O60" s="207">
        <v>0.7</v>
      </c>
      <c r="P60" s="207">
        <v>0.7</v>
      </c>
      <c r="Q60" s="216">
        <f t="shared" si="0"/>
        <v>0.7</v>
      </c>
      <c r="R60" s="207">
        <v>14</v>
      </c>
      <c r="S60" s="207">
        <v>131</v>
      </c>
      <c r="T60" s="216">
        <f t="shared" si="1"/>
        <v>25</v>
      </c>
      <c r="U60" s="207">
        <v>646</v>
      </c>
      <c r="V60" s="216">
        <f t="shared" si="2"/>
        <v>3229.9999999999995</v>
      </c>
      <c r="W60" s="207">
        <v>6</v>
      </c>
      <c r="X60" s="55" t="s">
        <v>46</v>
      </c>
      <c r="Y60" s="55" t="s">
        <v>84</v>
      </c>
      <c r="Z60" s="207" t="s">
        <v>78</v>
      </c>
      <c r="AA60" s="55" t="s">
        <v>50</v>
      </c>
      <c r="AB60" s="215" t="s">
        <v>369</v>
      </c>
    </row>
    <row r="61" spans="1:28" x14ac:dyDescent="0.15">
      <c r="A61" s="55" t="s">
        <v>56</v>
      </c>
      <c r="B61" s="55" t="s">
        <v>410</v>
      </c>
      <c r="C61" s="215">
        <v>2018</v>
      </c>
      <c r="D61" s="86" t="s">
        <v>411</v>
      </c>
      <c r="E61" s="215" t="s">
        <v>428</v>
      </c>
      <c r="F61" s="215" t="s">
        <v>423</v>
      </c>
      <c r="G61" s="55" t="s">
        <v>42</v>
      </c>
      <c r="H61" s="215" t="s">
        <v>162</v>
      </c>
      <c r="I61" s="55" t="s">
        <v>153</v>
      </c>
      <c r="J61" s="215" t="s">
        <v>38</v>
      </c>
      <c r="K61" s="215" t="s">
        <v>154</v>
      </c>
      <c r="L61" s="207">
        <v>3</v>
      </c>
      <c r="N61" s="207">
        <v>5</v>
      </c>
      <c r="O61" s="207">
        <v>0.75</v>
      </c>
      <c r="P61" s="207">
        <v>0.75</v>
      </c>
      <c r="Q61" s="216">
        <f t="shared" si="0"/>
        <v>0.75</v>
      </c>
      <c r="R61" s="207">
        <v>15.1</v>
      </c>
      <c r="S61" s="207">
        <v>121</v>
      </c>
      <c r="T61" s="216">
        <f t="shared" si="1"/>
        <v>27</v>
      </c>
      <c r="U61" s="207">
        <v>646</v>
      </c>
      <c r="V61" s="216">
        <f t="shared" si="2"/>
        <v>3488.3999999999996</v>
      </c>
      <c r="W61" s="207">
        <v>6</v>
      </c>
      <c r="X61" s="55" t="s">
        <v>46</v>
      </c>
      <c r="Y61" s="55" t="s">
        <v>84</v>
      </c>
      <c r="Z61" s="207" t="s">
        <v>78</v>
      </c>
      <c r="AA61" s="55" t="s">
        <v>50</v>
      </c>
      <c r="AB61" s="215" t="s">
        <v>369</v>
      </c>
    </row>
    <row r="62" spans="1:28" x14ac:dyDescent="0.15">
      <c r="A62" s="55"/>
      <c r="B62" s="55"/>
      <c r="C62" s="215"/>
      <c r="D62" s="86"/>
      <c r="E62" s="215"/>
      <c r="F62" s="215"/>
      <c r="G62" s="55"/>
      <c r="H62" s="215"/>
      <c r="I62" s="55"/>
      <c r="J62" s="215"/>
      <c r="K62" s="215"/>
      <c r="X62" s="55"/>
      <c r="Y62" s="55"/>
      <c r="AA62" s="55"/>
    </row>
    <row r="63" spans="1:28" x14ac:dyDescent="0.15">
      <c r="A63" s="55"/>
      <c r="B63" s="55"/>
      <c r="C63" s="215"/>
      <c r="D63" s="86"/>
      <c r="E63" s="215"/>
      <c r="F63" s="215"/>
      <c r="G63" s="55"/>
      <c r="H63" s="215"/>
      <c r="I63" s="55"/>
      <c r="J63" s="215"/>
      <c r="K63" s="215"/>
      <c r="X63" s="55"/>
      <c r="Y63" s="55"/>
      <c r="AA63" s="55"/>
    </row>
    <row r="64" spans="1:28" x14ac:dyDescent="0.15">
      <c r="A64" s="55"/>
      <c r="B64" s="55"/>
      <c r="C64" s="215"/>
      <c r="D64" s="86"/>
      <c r="E64" s="215"/>
      <c r="F64" s="215"/>
      <c r="G64" s="55"/>
      <c r="H64" s="215"/>
      <c r="I64" s="55"/>
      <c r="J64" s="215"/>
      <c r="K64" s="215"/>
      <c r="X64" s="55"/>
      <c r="Y64" s="55"/>
      <c r="AA64" s="55"/>
    </row>
    <row r="65" spans="1:27" x14ac:dyDescent="0.15">
      <c r="A65" s="55"/>
      <c r="B65" s="55"/>
      <c r="C65" s="215"/>
      <c r="D65" s="86"/>
      <c r="E65" s="215"/>
      <c r="F65" s="215"/>
      <c r="G65" s="55"/>
      <c r="H65" s="215"/>
      <c r="I65" s="55"/>
      <c r="J65" s="215"/>
      <c r="K65" s="215"/>
      <c r="X65" s="55"/>
      <c r="Y65" s="55"/>
      <c r="AA65" s="55"/>
    </row>
    <row r="66" spans="1:27" x14ac:dyDescent="0.15">
      <c r="A66" s="55"/>
      <c r="B66" s="55"/>
      <c r="C66" s="215"/>
      <c r="D66" s="86"/>
      <c r="E66" s="215"/>
      <c r="F66" s="215"/>
      <c r="G66" s="55"/>
      <c r="H66" s="215"/>
      <c r="I66" s="55"/>
      <c r="J66" s="215"/>
      <c r="K66" s="215"/>
      <c r="X66" s="55"/>
      <c r="Y66" s="55"/>
      <c r="AA66" s="55"/>
    </row>
    <row r="67" spans="1:27" x14ac:dyDescent="0.15">
      <c r="A67" s="55"/>
      <c r="B67" s="55"/>
      <c r="C67" s="215"/>
      <c r="D67" s="86"/>
      <c r="E67" s="215"/>
      <c r="F67" s="215"/>
      <c r="G67" s="55"/>
      <c r="H67" s="215"/>
      <c r="I67" s="55"/>
      <c r="J67" s="215"/>
      <c r="K67" s="215"/>
      <c r="X67" s="55"/>
      <c r="Y67" s="55"/>
      <c r="AA67" s="55"/>
    </row>
    <row r="68" spans="1:27" x14ac:dyDescent="0.15">
      <c r="A68" s="55"/>
      <c r="B68" s="55"/>
      <c r="C68" s="215"/>
      <c r="D68" s="86"/>
      <c r="E68" s="215"/>
      <c r="F68" s="215"/>
      <c r="G68" s="55"/>
      <c r="H68" s="215"/>
      <c r="I68" s="55"/>
      <c r="J68" s="215"/>
      <c r="K68" s="215"/>
      <c r="X68" s="55"/>
      <c r="Y68" s="55"/>
      <c r="AA68" s="55"/>
    </row>
    <row r="69" spans="1:27" x14ac:dyDescent="0.15">
      <c r="A69" s="55"/>
      <c r="B69" s="55"/>
      <c r="C69" s="215"/>
      <c r="D69" s="86"/>
      <c r="E69" s="215"/>
      <c r="F69" s="215"/>
      <c r="G69" s="55"/>
      <c r="H69" s="215"/>
      <c r="I69" s="55"/>
      <c r="J69" s="215"/>
      <c r="K69" s="215"/>
      <c r="X69" s="55"/>
      <c r="Y69" s="55"/>
      <c r="AA69" s="55"/>
    </row>
    <row r="70" spans="1:27" x14ac:dyDescent="0.15">
      <c r="A70" s="55"/>
      <c r="B70" s="55"/>
      <c r="C70" s="215"/>
      <c r="D70" s="86"/>
      <c r="E70" s="215"/>
      <c r="F70" s="215"/>
      <c r="G70" s="55"/>
      <c r="H70" s="215"/>
      <c r="I70" s="55"/>
      <c r="J70" s="215"/>
      <c r="K70" s="215"/>
      <c r="X70" s="55"/>
      <c r="Y70" s="55"/>
      <c r="AA70" s="55"/>
    </row>
    <row r="71" spans="1:27" x14ac:dyDescent="0.15">
      <c r="A71" s="55"/>
      <c r="B71" s="55"/>
      <c r="C71" s="215"/>
      <c r="D71" s="86"/>
      <c r="E71" s="215"/>
      <c r="F71" s="215"/>
      <c r="G71" s="55"/>
      <c r="H71" s="215"/>
      <c r="I71" s="55"/>
      <c r="J71" s="215"/>
      <c r="K71" s="215"/>
      <c r="X71" s="55"/>
      <c r="Y71" s="55"/>
      <c r="AA71" s="55"/>
    </row>
    <row r="72" spans="1:27" x14ac:dyDescent="0.15">
      <c r="A72" s="55"/>
      <c r="B72" s="55"/>
      <c r="C72" s="215"/>
      <c r="D72" s="86"/>
      <c r="E72" s="215"/>
      <c r="F72" s="215"/>
      <c r="G72" s="55"/>
      <c r="H72" s="215"/>
      <c r="I72" s="55"/>
      <c r="J72" s="215"/>
      <c r="K72" s="215"/>
      <c r="X72" s="55"/>
      <c r="Y72" s="55"/>
      <c r="AA72" s="55"/>
    </row>
    <row r="73" spans="1:27" x14ac:dyDescent="0.15">
      <c r="A73" s="55"/>
      <c r="B73" s="55"/>
      <c r="C73" s="215"/>
      <c r="D73" s="86"/>
      <c r="E73" s="215"/>
      <c r="F73" s="215"/>
      <c r="G73" s="55"/>
      <c r="H73" s="215"/>
      <c r="I73" s="55"/>
      <c r="J73" s="215"/>
      <c r="K73" s="215"/>
      <c r="X73" s="55"/>
      <c r="Y73" s="55"/>
      <c r="AA73" s="55"/>
    </row>
    <row r="74" spans="1:27" x14ac:dyDescent="0.15">
      <c r="A74" s="55"/>
      <c r="B74" s="55"/>
      <c r="C74" s="215"/>
      <c r="D74" s="86"/>
      <c r="E74" s="215"/>
      <c r="F74" s="215"/>
      <c r="G74" s="55"/>
      <c r="H74" s="215"/>
      <c r="I74" s="55"/>
      <c r="J74" s="215"/>
      <c r="K74" s="215"/>
      <c r="X74" s="55"/>
      <c r="Y74" s="55"/>
      <c r="AA74" s="55"/>
    </row>
    <row r="75" spans="1:27" x14ac:dyDescent="0.15">
      <c r="A75" s="55"/>
      <c r="B75" s="55"/>
      <c r="C75" s="215"/>
      <c r="D75" s="86"/>
      <c r="E75" s="215"/>
      <c r="F75" s="215"/>
      <c r="G75" s="55"/>
      <c r="H75" s="215"/>
      <c r="I75" s="55"/>
      <c r="J75" s="215"/>
      <c r="K75" s="215"/>
      <c r="X75" s="55"/>
      <c r="Y75" s="55"/>
      <c r="AA75" s="55"/>
    </row>
    <row r="76" spans="1:27" x14ac:dyDescent="0.15">
      <c r="A76" s="55"/>
      <c r="B76" s="55"/>
      <c r="C76" s="215"/>
      <c r="D76" s="86"/>
      <c r="E76" s="215"/>
      <c r="F76" s="215"/>
      <c r="G76" s="55"/>
      <c r="H76" s="215"/>
      <c r="I76" s="55"/>
      <c r="J76" s="215"/>
      <c r="K76" s="215"/>
      <c r="X76" s="55"/>
      <c r="Y76" s="55"/>
      <c r="AA76" s="55"/>
    </row>
    <row r="77" spans="1:27" x14ac:dyDescent="0.15">
      <c r="A77" s="55"/>
      <c r="B77" s="55"/>
      <c r="C77" s="215"/>
      <c r="D77" s="86"/>
      <c r="E77" s="215"/>
      <c r="F77" s="215"/>
      <c r="G77" s="55"/>
      <c r="H77" s="215"/>
      <c r="I77" s="55"/>
      <c r="J77" s="215"/>
      <c r="K77" s="215"/>
      <c r="X77" s="55"/>
      <c r="Y77" s="55"/>
      <c r="AA77" s="55"/>
    </row>
    <row r="78" spans="1:27" x14ac:dyDescent="0.15">
      <c r="A78" s="55"/>
      <c r="B78" s="55"/>
      <c r="C78" s="215"/>
      <c r="D78" s="86"/>
      <c r="E78" s="215"/>
      <c r="F78" s="215"/>
      <c r="G78" s="55"/>
      <c r="H78" s="215"/>
      <c r="I78" s="55"/>
      <c r="J78" s="215"/>
      <c r="K78" s="215"/>
      <c r="X78" s="55"/>
      <c r="Y78" s="55"/>
      <c r="AA78" s="55"/>
    </row>
    <row r="79" spans="1:27" x14ac:dyDescent="0.15">
      <c r="A79" s="55"/>
      <c r="B79" s="55"/>
      <c r="C79" s="215"/>
      <c r="D79" s="86"/>
      <c r="E79" s="215"/>
      <c r="F79" s="215"/>
      <c r="G79" s="55"/>
      <c r="H79" s="215"/>
      <c r="I79" s="55"/>
      <c r="J79" s="215"/>
      <c r="K79" s="215"/>
      <c r="X79" s="55"/>
      <c r="Y79" s="55"/>
      <c r="AA79" s="55"/>
    </row>
    <row r="80" spans="1:27" x14ac:dyDescent="0.15">
      <c r="A80" s="55"/>
      <c r="B80" s="55"/>
      <c r="C80" s="215"/>
      <c r="D80" s="86"/>
      <c r="E80" s="215"/>
      <c r="F80" s="215"/>
      <c r="G80" s="55"/>
      <c r="H80" s="215"/>
      <c r="I80" s="55"/>
      <c r="J80" s="215"/>
      <c r="K80" s="215"/>
      <c r="X80" s="55"/>
      <c r="Y80" s="55"/>
      <c r="AA80" s="55"/>
    </row>
    <row r="81" spans="1:27" x14ac:dyDescent="0.15">
      <c r="A81" s="55"/>
      <c r="B81" s="55"/>
      <c r="C81" s="215"/>
      <c r="D81" s="86"/>
      <c r="E81" s="215"/>
      <c r="F81" s="215"/>
      <c r="G81" s="55"/>
      <c r="H81" s="215"/>
      <c r="I81" s="55"/>
      <c r="J81" s="215"/>
      <c r="K81" s="215"/>
      <c r="X81" s="55"/>
      <c r="Y81" s="55"/>
      <c r="AA81" s="55"/>
    </row>
    <row r="82" spans="1:27" x14ac:dyDescent="0.15">
      <c r="A82" s="55"/>
      <c r="B82" s="55"/>
      <c r="C82" s="215"/>
      <c r="D82" s="86"/>
      <c r="E82" s="215"/>
      <c r="F82" s="215"/>
      <c r="G82" s="55"/>
      <c r="H82" s="215"/>
      <c r="I82" s="55"/>
      <c r="J82" s="215"/>
      <c r="K82" s="215"/>
      <c r="X82" s="55"/>
      <c r="Y82" s="55"/>
      <c r="AA82" s="55"/>
    </row>
    <row r="83" spans="1:27" x14ac:dyDescent="0.15">
      <c r="E83" s="215"/>
      <c r="F83" s="215"/>
      <c r="G83" s="55"/>
      <c r="H83" s="215"/>
      <c r="I83" s="55"/>
      <c r="J83" s="215"/>
      <c r="K83" s="215"/>
      <c r="X83" s="55"/>
      <c r="Y83" s="55"/>
      <c r="AA83" s="55"/>
    </row>
    <row r="84" spans="1:27" x14ac:dyDescent="0.15">
      <c r="E84" s="215"/>
      <c r="F84" s="215"/>
      <c r="G84" s="55"/>
      <c r="H84" s="215"/>
      <c r="I84" s="55"/>
      <c r="J84" s="215"/>
      <c r="K84" s="215"/>
      <c r="X84" s="55"/>
      <c r="Y84" s="55"/>
      <c r="AA84" s="55"/>
    </row>
    <row r="85" spans="1:27" x14ac:dyDescent="0.15">
      <c r="E85" s="215"/>
      <c r="F85" s="215"/>
      <c r="G85" s="55"/>
      <c r="H85" s="215"/>
      <c r="I85" s="55"/>
      <c r="J85" s="215"/>
      <c r="K85" s="215"/>
      <c r="X85" s="55"/>
      <c r="Y85" s="55"/>
      <c r="AA85" s="55"/>
    </row>
    <row r="86" spans="1:27" x14ac:dyDescent="0.15">
      <c r="J86" s="215"/>
      <c r="K86" s="215"/>
    </row>
    <row r="87" spans="1:27" x14ac:dyDescent="0.15">
      <c r="J87" s="215"/>
      <c r="K87" s="215"/>
    </row>
    <row r="88" spans="1:27" x14ac:dyDescent="0.15">
      <c r="J88" s="215"/>
      <c r="K88" s="215"/>
    </row>
    <row r="89" spans="1:27" x14ac:dyDescent="0.15">
      <c r="J89" s="215"/>
      <c r="K89" s="215"/>
    </row>
    <row r="90" spans="1:27" x14ac:dyDescent="0.15">
      <c r="J90" s="215"/>
      <c r="K90" s="215"/>
    </row>
    <row r="91" spans="1:27" x14ac:dyDescent="0.15">
      <c r="J91" s="215"/>
      <c r="K91" s="215"/>
    </row>
    <row r="92" spans="1:27" x14ac:dyDescent="0.15">
      <c r="J92" s="215"/>
      <c r="K92" s="215"/>
    </row>
    <row r="93" spans="1:27" x14ac:dyDescent="0.15">
      <c r="J93" s="215"/>
      <c r="K93" s="215"/>
    </row>
    <row r="94" spans="1:27" x14ac:dyDescent="0.15">
      <c r="J94" s="215"/>
      <c r="K94" s="215"/>
    </row>
    <row r="95" spans="1:27" x14ac:dyDescent="0.15">
      <c r="J95" s="215"/>
      <c r="K95" s="215"/>
    </row>
    <row r="96" spans="1:27" x14ac:dyDescent="0.15">
      <c r="J96" s="215"/>
      <c r="K96" s="215"/>
    </row>
    <row r="97" spans="10:11" x14ac:dyDescent="0.15">
      <c r="J97" s="215"/>
      <c r="K97" s="215"/>
    </row>
    <row r="98" spans="10:11" x14ac:dyDescent="0.15">
      <c r="J98" s="215"/>
      <c r="K98" s="215"/>
    </row>
    <row r="99" spans="10:11" x14ac:dyDescent="0.15">
      <c r="J99" s="215"/>
      <c r="K99" s="215"/>
    </row>
    <row r="100" spans="10:11" x14ac:dyDescent="0.15">
      <c r="J100" s="215"/>
      <c r="K100" s="215"/>
    </row>
    <row r="101" spans="10:11" x14ac:dyDescent="0.15">
      <c r="K101" s="215"/>
    </row>
    <row r="102" spans="10:11" x14ac:dyDescent="0.15">
      <c r="K102" s="215"/>
    </row>
    <row r="103" spans="10:11" x14ac:dyDescent="0.15">
      <c r="K103" s="215"/>
    </row>
    <row r="104" spans="10:11" x14ac:dyDescent="0.15">
      <c r="K104" s="215"/>
    </row>
    <row r="105" spans="10:11" x14ac:dyDescent="0.15">
      <c r="K105" s="215"/>
    </row>
    <row r="106" spans="10:11" x14ac:dyDescent="0.15">
      <c r="K106" s="215"/>
    </row>
    <row r="107" spans="10:11" x14ac:dyDescent="0.15">
      <c r="K107" s="215"/>
    </row>
    <row r="108" spans="10:11" x14ac:dyDescent="0.15">
      <c r="K108" s="215"/>
    </row>
    <row r="109" spans="10:11" x14ac:dyDescent="0.15">
      <c r="K109" s="215"/>
    </row>
    <row r="110" spans="10:11" x14ac:dyDescent="0.15">
      <c r="K110" s="215"/>
    </row>
    <row r="111" spans="10:11" x14ac:dyDescent="0.15">
      <c r="K111" s="215"/>
    </row>
    <row r="112" spans="10:11" x14ac:dyDescent="0.15">
      <c r="K112" s="215"/>
    </row>
    <row r="113" spans="11:11" x14ac:dyDescent="0.15">
      <c r="K113" s="215"/>
    </row>
    <row r="114" spans="11:11" x14ac:dyDescent="0.15">
      <c r="K114" s="215"/>
    </row>
    <row r="115" spans="11:11" x14ac:dyDescent="0.15">
      <c r="K115" s="215"/>
    </row>
    <row r="116" spans="11:11" x14ac:dyDescent="0.15">
      <c r="K116" s="215"/>
    </row>
    <row r="117" spans="11:11" x14ac:dyDescent="0.15">
      <c r="K117" s="215"/>
    </row>
    <row r="118" spans="11:11" x14ac:dyDescent="0.15">
      <c r="K118" s="215"/>
    </row>
    <row r="119" spans="11:11" x14ac:dyDescent="0.15">
      <c r="K119" s="215"/>
    </row>
    <row r="120" spans="11:11" x14ac:dyDescent="0.15">
      <c r="K120" s="215"/>
    </row>
    <row r="121" spans="11:11" x14ac:dyDescent="0.15">
      <c r="K121" s="215"/>
    </row>
    <row r="122" spans="11:11" x14ac:dyDescent="0.15">
      <c r="K122" s="215"/>
    </row>
    <row r="123" spans="11:11" x14ac:dyDescent="0.15">
      <c r="K123" s="215"/>
    </row>
    <row r="124" spans="11:11" x14ac:dyDescent="0.15">
      <c r="K124" s="215"/>
    </row>
    <row r="125" spans="11:11" x14ac:dyDescent="0.15">
      <c r="K125" s="215"/>
    </row>
    <row r="126" spans="11:11" x14ac:dyDescent="0.15">
      <c r="K126" s="215"/>
    </row>
    <row r="127" spans="11:11" x14ac:dyDescent="0.15">
      <c r="K127" s="215"/>
    </row>
    <row r="128" spans="11:11" x14ac:dyDescent="0.15">
      <c r="K128" s="215"/>
    </row>
    <row r="129" spans="11:11" x14ac:dyDescent="0.15">
      <c r="K129" s="215"/>
    </row>
    <row r="130" spans="11:11" x14ac:dyDescent="0.15">
      <c r="K130" s="215"/>
    </row>
    <row r="131" spans="11:11" x14ac:dyDescent="0.15">
      <c r="K131" s="215"/>
    </row>
    <row r="132" spans="11:11" x14ac:dyDescent="0.15">
      <c r="K132" s="215"/>
    </row>
    <row r="133" spans="11:11" x14ac:dyDescent="0.15">
      <c r="K133" s="215"/>
    </row>
    <row r="134" spans="11:11" x14ac:dyDescent="0.15">
      <c r="K134" s="215"/>
    </row>
    <row r="135" spans="11:11" x14ac:dyDescent="0.15">
      <c r="K135" s="215"/>
    </row>
    <row r="136" spans="11:11" x14ac:dyDescent="0.15">
      <c r="K136" s="215"/>
    </row>
    <row r="137" spans="11:11" x14ac:dyDescent="0.15">
      <c r="K137" s="215"/>
    </row>
    <row r="138" spans="11:11" x14ac:dyDescent="0.15">
      <c r="K138" s="215"/>
    </row>
    <row r="139" spans="11:11" x14ac:dyDescent="0.15">
      <c r="K139" s="215"/>
    </row>
    <row r="140" spans="11:11" x14ac:dyDescent="0.15">
      <c r="K140" s="215"/>
    </row>
    <row r="141" spans="11:11" x14ac:dyDescent="0.15">
      <c r="K141" s="215"/>
    </row>
    <row r="142" spans="11:11" x14ac:dyDescent="0.15">
      <c r="K142" s="215"/>
    </row>
    <row r="143" spans="11:11" x14ac:dyDescent="0.15">
      <c r="K143" s="215"/>
    </row>
    <row r="144" spans="11:11" x14ac:dyDescent="0.15">
      <c r="K144" s="215"/>
    </row>
    <row r="145" spans="11:11" x14ac:dyDescent="0.15">
      <c r="K145" s="215"/>
    </row>
    <row r="146" spans="11:11" x14ac:dyDescent="0.15">
      <c r="K146" s="215"/>
    </row>
    <row r="147" spans="11:11" x14ac:dyDescent="0.15">
      <c r="K147" s="215"/>
    </row>
    <row r="148" spans="11:11" x14ac:dyDescent="0.15">
      <c r="K148" s="215"/>
    </row>
    <row r="149" spans="11:11" x14ac:dyDescent="0.15">
      <c r="K149" s="215"/>
    </row>
    <row r="150" spans="11:11" x14ac:dyDescent="0.15">
      <c r="K150" s="215"/>
    </row>
    <row r="151" spans="11:11" x14ac:dyDescent="0.15">
      <c r="K151" s="215"/>
    </row>
    <row r="152" spans="11:11" x14ac:dyDescent="0.15">
      <c r="K152" s="215"/>
    </row>
    <row r="153" spans="11:11" x14ac:dyDescent="0.15">
      <c r="K153" s="215"/>
    </row>
    <row r="154" spans="11:11" x14ac:dyDescent="0.15">
      <c r="K154" s="215"/>
    </row>
    <row r="155" spans="11:11" x14ac:dyDescent="0.15">
      <c r="K155" s="215"/>
    </row>
    <row r="156" spans="11:11" x14ac:dyDescent="0.15">
      <c r="K156" s="215"/>
    </row>
    <row r="157" spans="11:11" x14ac:dyDescent="0.15">
      <c r="K157" s="215"/>
    </row>
    <row r="158" spans="11:11" x14ac:dyDescent="0.15">
      <c r="K158" s="215"/>
    </row>
    <row r="159" spans="11:11" x14ac:dyDescent="0.15">
      <c r="K159" s="215"/>
    </row>
    <row r="160" spans="11:11" x14ac:dyDescent="0.15">
      <c r="K160" s="215"/>
    </row>
    <row r="161" spans="11:11" x14ac:dyDescent="0.15">
      <c r="K161" s="215"/>
    </row>
    <row r="162" spans="11:11" x14ac:dyDescent="0.15">
      <c r="K162" s="215"/>
    </row>
    <row r="163" spans="11:11" x14ac:dyDescent="0.15">
      <c r="K163" s="215"/>
    </row>
    <row r="164" spans="11:11" x14ac:dyDescent="0.15">
      <c r="K164" s="215"/>
    </row>
    <row r="165" spans="11:11" x14ac:dyDescent="0.15">
      <c r="K165" s="215"/>
    </row>
    <row r="166" spans="11:11" x14ac:dyDescent="0.15">
      <c r="K166" s="215"/>
    </row>
    <row r="167" spans="11:11" x14ac:dyDescent="0.15">
      <c r="K167" s="215"/>
    </row>
    <row r="168" spans="11:11" x14ac:dyDescent="0.15">
      <c r="K168" s="215"/>
    </row>
    <row r="169" spans="11:11" x14ac:dyDescent="0.15">
      <c r="K169" s="215"/>
    </row>
    <row r="170" spans="11:11" x14ac:dyDescent="0.15">
      <c r="K170" s="215"/>
    </row>
    <row r="171" spans="11:11" x14ac:dyDescent="0.15">
      <c r="K171" s="215"/>
    </row>
    <row r="172" spans="11:11" x14ac:dyDescent="0.15">
      <c r="K172" s="215"/>
    </row>
    <row r="173" spans="11:11" x14ac:dyDescent="0.15">
      <c r="K173" s="215"/>
    </row>
    <row r="174" spans="11:11" x14ac:dyDescent="0.15">
      <c r="K174" s="215"/>
    </row>
    <row r="175" spans="11:11" x14ac:dyDescent="0.15">
      <c r="K175" s="215"/>
    </row>
    <row r="176" spans="11:11" x14ac:dyDescent="0.15">
      <c r="K176" s="215"/>
    </row>
    <row r="177" spans="11:11" x14ac:dyDescent="0.15">
      <c r="K177" s="215"/>
    </row>
    <row r="178" spans="11:11" x14ac:dyDescent="0.15">
      <c r="K178" s="215"/>
    </row>
    <row r="179" spans="11:11" x14ac:dyDescent="0.15">
      <c r="K179" s="215"/>
    </row>
    <row r="180" spans="11:11" x14ac:dyDescent="0.15">
      <c r="K180" s="215"/>
    </row>
    <row r="181" spans="11:11" x14ac:dyDescent="0.15">
      <c r="K181" s="215"/>
    </row>
    <row r="182" spans="11:11" x14ac:dyDescent="0.15">
      <c r="K182" s="215"/>
    </row>
    <row r="183" spans="11:11" x14ac:dyDescent="0.15">
      <c r="K183" s="215"/>
    </row>
    <row r="184" spans="11:11" x14ac:dyDescent="0.15">
      <c r="K184" s="215"/>
    </row>
    <row r="185" spans="11:11" x14ac:dyDescent="0.15">
      <c r="K185" s="215"/>
    </row>
    <row r="186" spans="11:11" x14ac:dyDescent="0.15">
      <c r="K186" s="215"/>
    </row>
    <row r="187" spans="11:11" x14ac:dyDescent="0.15">
      <c r="K187" s="215"/>
    </row>
    <row r="188" spans="11:11" x14ac:dyDescent="0.15">
      <c r="K188" s="215"/>
    </row>
    <row r="189" spans="11:11" x14ac:dyDescent="0.15">
      <c r="K189" s="215"/>
    </row>
    <row r="190" spans="11:11" x14ac:dyDescent="0.15">
      <c r="K190" s="215"/>
    </row>
    <row r="191" spans="11:11" x14ac:dyDescent="0.15">
      <c r="K191" s="215"/>
    </row>
    <row r="192" spans="11:11" x14ac:dyDescent="0.15">
      <c r="K192" s="215"/>
    </row>
    <row r="193" spans="11:11" x14ac:dyDescent="0.15">
      <c r="K193" s="215"/>
    </row>
    <row r="194" spans="11:11" x14ac:dyDescent="0.15">
      <c r="K194" s="215"/>
    </row>
    <row r="195" spans="11:11" x14ac:dyDescent="0.15">
      <c r="K195" s="215"/>
    </row>
    <row r="196" spans="11:11" x14ac:dyDescent="0.15">
      <c r="K196" s="215"/>
    </row>
    <row r="197" spans="11:11" x14ac:dyDescent="0.15">
      <c r="K197" s="215"/>
    </row>
    <row r="198" spans="11:11" x14ac:dyDescent="0.15">
      <c r="K198" s="215"/>
    </row>
    <row r="199" spans="11:11" x14ac:dyDescent="0.15">
      <c r="K199" s="215"/>
    </row>
    <row r="200" spans="11:11" x14ac:dyDescent="0.15">
      <c r="K200" s="215"/>
    </row>
    <row r="201" spans="11:11" x14ac:dyDescent="0.15">
      <c r="K201" s="215"/>
    </row>
    <row r="202" spans="11:11" x14ac:dyDescent="0.15">
      <c r="K202" s="215"/>
    </row>
    <row r="203" spans="11:11" x14ac:dyDescent="0.15">
      <c r="K203" s="215"/>
    </row>
    <row r="204" spans="11:11" x14ac:dyDescent="0.15">
      <c r="K204" s="215"/>
    </row>
    <row r="205" spans="11:11" x14ac:dyDescent="0.15">
      <c r="K205" s="215"/>
    </row>
    <row r="206" spans="11:11" x14ac:dyDescent="0.15">
      <c r="K206" s="215"/>
    </row>
    <row r="207" spans="11:11" x14ac:dyDescent="0.15">
      <c r="K207" s="215"/>
    </row>
    <row r="208" spans="11:11" x14ac:dyDescent="0.15">
      <c r="K208" s="215"/>
    </row>
    <row r="209" spans="11:11" x14ac:dyDescent="0.15">
      <c r="K209" s="215"/>
    </row>
    <row r="210" spans="11:11" x14ac:dyDescent="0.15">
      <c r="K210" s="215"/>
    </row>
    <row r="211" spans="11:11" x14ac:dyDescent="0.15">
      <c r="K211" s="215"/>
    </row>
    <row r="212" spans="11:11" x14ac:dyDescent="0.15">
      <c r="K212" s="215"/>
    </row>
    <row r="213" spans="11:11" x14ac:dyDescent="0.15">
      <c r="K213" s="215"/>
    </row>
    <row r="214" spans="11:11" x14ac:dyDescent="0.15">
      <c r="K214" s="215"/>
    </row>
    <row r="215" spans="11:11" x14ac:dyDescent="0.15">
      <c r="K215" s="215"/>
    </row>
    <row r="216" spans="11:11" x14ac:dyDescent="0.15">
      <c r="K216" s="215"/>
    </row>
    <row r="217" spans="11:11" x14ac:dyDescent="0.15">
      <c r="K217" s="215"/>
    </row>
    <row r="218" spans="11:11" x14ac:dyDescent="0.15">
      <c r="K218" s="215"/>
    </row>
    <row r="219" spans="11:11" x14ac:dyDescent="0.15">
      <c r="K219" s="215"/>
    </row>
    <row r="220" spans="11:11" x14ac:dyDescent="0.15">
      <c r="K220" s="215"/>
    </row>
    <row r="221" spans="11:11" x14ac:dyDescent="0.15">
      <c r="K221" s="215"/>
    </row>
    <row r="222" spans="11:11" x14ac:dyDescent="0.15">
      <c r="K222" s="215"/>
    </row>
    <row r="223" spans="11:11" x14ac:dyDescent="0.15">
      <c r="K223" s="215"/>
    </row>
    <row r="224" spans="11:11" x14ac:dyDescent="0.15">
      <c r="K224" s="215"/>
    </row>
    <row r="225" spans="11:11" x14ac:dyDescent="0.15">
      <c r="K225" s="215"/>
    </row>
    <row r="226" spans="11:11" x14ac:dyDescent="0.15">
      <c r="K226" s="215"/>
    </row>
    <row r="227" spans="11:11" x14ac:dyDescent="0.15">
      <c r="K227" s="215"/>
    </row>
    <row r="228" spans="11:11" x14ac:dyDescent="0.15">
      <c r="K228" s="215"/>
    </row>
    <row r="229" spans="11:11" x14ac:dyDescent="0.15">
      <c r="K229" s="215"/>
    </row>
    <row r="230" spans="11:11" x14ac:dyDescent="0.15">
      <c r="K230" s="215"/>
    </row>
    <row r="231" spans="11:11" x14ac:dyDescent="0.15">
      <c r="K231" s="215"/>
    </row>
    <row r="232" spans="11:11" x14ac:dyDescent="0.15">
      <c r="K232" s="215"/>
    </row>
    <row r="233" spans="11:11" x14ac:dyDescent="0.15">
      <c r="K233" s="215"/>
    </row>
    <row r="234" spans="11:11" x14ac:dyDescent="0.15">
      <c r="K234" s="215"/>
    </row>
    <row r="235" spans="11:11" x14ac:dyDescent="0.15">
      <c r="K235" s="215"/>
    </row>
    <row r="236" spans="11:11" x14ac:dyDescent="0.15">
      <c r="K236" s="215"/>
    </row>
    <row r="237" spans="11:11" x14ac:dyDescent="0.15">
      <c r="K237" s="215"/>
    </row>
    <row r="238" spans="11:11" x14ac:dyDescent="0.15">
      <c r="K238" s="215"/>
    </row>
    <row r="239" spans="11:11" x14ac:dyDescent="0.15">
      <c r="K239" s="215"/>
    </row>
    <row r="240" spans="11:11" x14ac:dyDescent="0.15">
      <c r="K240" s="215"/>
    </row>
    <row r="241" spans="11:11" x14ac:dyDescent="0.15">
      <c r="K241" s="215"/>
    </row>
    <row r="242" spans="11:11" x14ac:dyDescent="0.15">
      <c r="K242" s="215"/>
    </row>
    <row r="243" spans="11:11" x14ac:dyDescent="0.15">
      <c r="K243" s="215"/>
    </row>
    <row r="244" spans="11:11" x14ac:dyDescent="0.15">
      <c r="K244" s="215"/>
    </row>
    <row r="245" spans="11:11" x14ac:dyDescent="0.15">
      <c r="K245" s="215"/>
    </row>
    <row r="246" spans="11:11" x14ac:dyDescent="0.15">
      <c r="K246" s="215"/>
    </row>
    <row r="247" spans="11:11" x14ac:dyDescent="0.15">
      <c r="K247" s="215"/>
    </row>
    <row r="248" spans="11:11" x14ac:dyDescent="0.15">
      <c r="K248" s="215"/>
    </row>
    <row r="249" spans="11:11" x14ac:dyDescent="0.15">
      <c r="K249" s="215"/>
    </row>
    <row r="250" spans="11:11" x14ac:dyDescent="0.15">
      <c r="K250" s="215"/>
    </row>
    <row r="251" spans="11:11" x14ac:dyDescent="0.15">
      <c r="K251" s="215"/>
    </row>
    <row r="252" spans="11:11" x14ac:dyDescent="0.15">
      <c r="K252" s="215"/>
    </row>
    <row r="253" spans="11:11" x14ac:dyDescent="0.15">
      <c r="K253" s="215"/>
    </row>
    <row r="254" spans="11:11" x14ac:dyDescent="0.15">
      <c r="K254" s="215"/>
    </row>
    <row r="255" spans="11:11" x14ac:dyDescent="0.15">
      <c r="K255" s="215"/>
    </row>
    <row r="256" spans="11:11" x14ac:dyDescent="0.15">
      <c r="K256" s="215"/>
    </row>
    <row r="257" spans="11:11" x14ac:dyDescent="0.15">
      <c r="K257" s="215"/>
    </row>
    <row r="258" spans="11:11" x14ac:dyDescent="0.15">
      <c r="K258" s="215"/>
    </row>
    <row r="259" spans="11:11" x14ac:dyDescent="0.15">
      <c r="K259" s="215"/>
    </row>
    <row r="260" spans="11:11" x14ac:dyDescent="0.15">
      <c r="K260" s="215"/>
    </row>
    <row r="261" spans="11:11" x14ac:dyDescent="0.15">
      <c r="K261" s="215"/>
    </row>
    <row r="262" spans="11:11" x14ac:dyDescent="0.15">
      <c r="K262" s="215"/>
    </row>
    <row r="263" spans="11:11" x14ac:dyDescent="0.15">
      <c r="K263" s="215"/>
    </row>
    <row r="264" spans="11:11" x14ac:dyDescent="0.15">
      <c r="K264" s="215"/>
    </row>
    <row r="265" spans="11:11" x14ac:dyDescent="0.15">
      <c r="K265" s="215"/>
    </row>
    <row r="266" spans="11:11" x14ac:dyDescent="0.15">
      <c r="K266" s="215"/>
    </row>
    <row r="267" spans="11:11" x14ac:dyDescent="0.15">
      <c r="K267" s="215"/>
    </row>
    <row r="268" spans="11:11" x14ac:dyDescent="0.15">
      <c r="K268" s="215"/>
    </row>
    <row r="269" spans="11:11" x14ac:dyDescent="0.15">
      <c r="K269" s="215"/>
    </row>
    <row r="270" spans="11:11" x14ac:dyDescent="0.15">
      <c r="K270" s="215"/>
    </row>
    <row r="271" spans="11:11" x14ac:dyDescent="0.15">
      <c r="K271" s="215"/>
    </row>
    <row r="272" spans="11:11" x14ac:dyDescent="0.15">
      <c r="K272" s="215"/>
    </row>
    <row r="273" spans="11:11" x14ac:dyDescent="0.15">
      <c r="K273" s="215"/>
    </row>
    <row r="274" spans="11:11" x14ac:dyDescent="0.15">
      <c r="K274" s="215"/>
    </row>
    <row r="275" spans="11:11" x14ac:dyDescent="0.15">
      <c r="K275" s="215"/>
    </row>
    <row r="276" spans="11:11" x14ac:dyDescent="0.15">
      <c r="K276" s="215"/>
    </row>
    <row r="277" spans="11:11" x14ac:dyDescent="0.15">
      <c r="K277" s="215"/>
    </row>
    <row r="278" spans="11:11" x14ac:dyDescent="0.15">
      <c r="K278" s="215"/>
    </row>
    <row r="279" spans="11:11" x14ac:dyDescent="0.15">
      <c r="K279" s="215"/>
    </row>
    <row r="280" spans="11:11" x14ac:dyDescent="0.15">
      <c r="K280" s="215"/>
    </row>
    <row r="281" spans="11:11" x14ac:dyDescent="0.15">
      <c r="K281" s="215"/>
    </row>
    <row r="282" spans="11:11" x14ac:dyDescent="0.15">
      <c r="K282" s="215"/>
    </row>
    <row r="283" spans="11:11" x14ac:dyDescent="0.15">
      <c r="K283" s="215"/>
    </row>
    <row r="284" spans="11:11" x14ac:dyDescent="0.15">
      <c r="K284" s="215"/>
    </row>
    <row r="285" spans="11:11" x14ac:dyDescent="0.15">
      <c r="K285" s="215"/>
    </row>
    <row r="286" spans="11:11" x14ac:dyDescent="0.15">
      <c r="K286" s="215"/>
    </row>
    <row r="287" spans="11:11" x14ac:dyDescent="0.15">
      <c r="K287" s="215"/>
    </row>
    <row r="288" spans="11:11" x14ac:dyDescent="0.15">
      <c r="K288" s="215"/>
    </row>
    <row r="289" spans="11:11" x14ac:dyDescent="0.15">
      <c r="K289" s="215"/>
    </row>
    <row r="290" spans="11:11" x14ac:dyDescent="0.15">
      <c r="K290" s="215"/>
    </row>
    <row r="291" spans="11:11" x14ac:dyDescent="0.15">
      <c r="K291" s="215"/>
    </row>
    <row r="292" spans="11:11" x14ac:dyDescent="0.15">
      <c r="K292" s="215"/>
    </row>
    <row r="293" spans="11:11" x14ac:dyDescent="0.15">
      <c r="K293" s="215"/>
    </row>
    <row r="294" spans="11:11" x14ac:dyDescent="0.15">
      <c r="K294" s="215"/>
    </row>
    <row r="295" spans="11:11" x14ac:dyDescent="0.15">
      <c r="K295" s="215"/>
    </row>
    <row r="296" spans="11:11" x14ac:dyDescent="0.15">
      <c r="K296" s="215"/>
    </row>
    <row r="297" spans="11:11" x14ac:dyDescent="0.15">
      <c r="K297" s="215"/>
    </row>
    <row r="298" spans="11:11" x14ac:dyDescent="0.15">
      <c r="K298" s="215"/>
    </row>
    <row r="299" spans="11:11" x14ac:dyDescent="0.15">
      <c r="K299" s="215"/>
    </row>
    <row r="300" spans="11:11" x14ac:dyDescent="0.15">
      <c r="K300" s="215"/>
    </row>
    <row r="301" spans="11:11" x14ac:dyDescent="0.15">
      <c r="K301" s="215"/>
    </row>
    <row r="302" spans="11:11" x14ac:dyDescent="0.15">
      <c r="K302" s="215"/>
    </row>
    <row r="303" spans="11:11" x14ac:dyDescent="0.15">
      <c r="K303" s="215"/>
    </row>
    <row r="304" spans="11:11" x14ac:dyDescent="0.15">
      <c r="K304" s="215"/>
    </row>
    <row r="305" spans="11:11" x14ac:dyDescent="0.15">
      <c r="K305" s="215"/>
    </row>
    <row r="306" spans="11:11" x14ac:dyDescent="0.15">
      <c r="K306" s="215"/>
    </row>
    <row r="307" spans="11:11" x14ac:dyDescent="0.15">
      <c r="K307" s="215"/>
    </row>
    <row r="308" spans="11:11" x14ac:dyDescent="0.15">
      <c r="K308" s="215"/>
    </row>
    <row r="309" spans="11:11" x14ac:dyDescent="0.15">
      <c r="K309" s="215"/>
    </row>
    <row r="310" spans="11:11" x14ac:dyDescent="0.15">
      <c r="K310" s="215"/>
    </row>
    <row r="311" spans="11:11" x14ac:dyDescent="0.15">
      <c r="K311" s="215"/>
    </row>
    <row r="312" spans="11:11" x14ac:dyDescent="0.15">
      <c r="K312" s="215"/>
    </row>
    <row r="313" spans="11:11" x14ac:dyDescent="0.15">
      <c r="K313" s="215"/>
    </row>
    <row r="314" spans="11:11" x14ac:dyDescent="0.15">
      <c r="K314" s="215"/>
    </row>
    <row r="315" spans="11:11" x14ac:dyDescent="0.15">
      <c r="K315" s="215"/>
    </row>
    <row r="316" spans="11:11" x14ac:dyDescent="0.15">
      <c r="K316" s="215"/>
    </row>
    <row r="317" spans="11:11" x14ac:dyDescent="0.15">
      <c r="K317" s="215"/>
    </row>
    <row r="318" spans="11:11" x14ac:dyDescent="0.15">
      <c r="K318" s="215"/>
    </row>
    <row r="319" spans="11:11" x14ac:dyDescent="0.15">
      <c r="K319" s="215"/>
    </row>
    <row r="320" spans="11:11" x14ac:dyDescent="0.15">
      <c r="K320" s="215"/>
    </row>
    <row r="321" spans="11:11" x14ac:dyDescent="0.15">
      <c r="K321" s="215"/>
    </row>
    <row r="322" spans="11:11" x14ac:dyDescent="0.15">
      <c r="K322" s="215"/>
    </row>
    <row r="323" spans="11:11" x14ac:dyDescent="0.15">
      <c r="K323" s="215"/>
    </row>
    <row r="324" spans="11:11" x14ac:dyDescent="0.15">
      <c r="K324" s="215"/>
    </row>
    <row r="325" spans="11:11" x14ac:dyDescent="0.15">
      <c r="K325" s="215"/>
    </row>
    <row r="326" spans="11:11" x14ac:dyDescent="0.15">
      <c r="K326" s="215"/>
    </row>
    <row r="327" spans="11:11" x14ac:dyDescent="0.15">
      <c r="K327" s="215"/>
    </row>
    <row r="328" spans="11:11" x14ac:dyDescent="0.15">
      <c r="K328" s="215"/>
    </row>
    <row r="329" spans="11:11" x14ac:dyDescent="0.15">
      <c r="K329" s="215"/>
    </row>
    <row r="330" spans="11:11" x14ac:dyDescent="0.15">
      <c r="K330" s="215"/>
    </row>
    <row r="331" spans="11:11" x14ac:dyDescent="0.15">
      <c r="K331" s="215"/>
    </row>
    <row r="332" spans="11:11" x14ac:dyDescent="0.15">
      <c r="K332" s="215"/>
    </row>
    <row r="333" spans="11:11" x14ac:dyDescent="0.15">
      <c r="K333" s="215"/>
    </row>
    <row r="334" spans="11:11" x14ac:dyDescent="0.15">
      <c r="K334" s="215"/>
    </row>
    <row r="335" spans="11:11" x14ac:dyDescent="0.15">
      <c r="K335" s="215"/>
    </row>
    <row r="336" spans="11:11" x14ac:dyDescent="0.15">
      <c r="K336" s="215"/>
    </row>
    <row r="337" spans="11:11" x14ac:dyDescent="0.15">
      <c r="K337" s="215"/>
    </row>
    <row r="338" spans="11:11" x14ac:dyDescent="0.15">
      <c r="K338" s="215"/>
    </row>
    <row r="339" spans="11:11" x14ac:dyDescent="0.15">
      <c r="K339" s="215"/>
    </row>
    <row r="340" spans="11:11" x14ac:dyDescent="0.15">
      <c r="K340" s="215"/>
    </row>
    <row r="341" spans="11:11" x14ac:dyDescent="0.15">
      <c r="K341" s="215"/>
    </row>
    <row r="342" spans="11:11" x14ac:dyDescent="0.15">
      <c r="K342" s="215"/>
    </row>
    <row r="343" spans="11:11" x14ac:dyDescent="0.15">
      <c r="K343" s="215"/>
    </row>
    <row r="344" spans="11:11" x14ac:dyDescent="0.15">
      <c r="K344" s="215"/>
    </row>
    <row r="345" spans="11:11" x14ac:dyDescent="0.15">
      <c r="K345" s="215"/>
    </row>
    <row r="346" spans="11:11" x14ac:dyDescent="0.15">
      <c r="K346" s="215"/>
    </row>
    <row r="347" spans="11:11" x14ac:dyDescent="0.15">
      <c r="K347" s="215"/>
    </row>
    <row r="348" spans="11:11" x14ac:dyDescent="0.15">
      <c r="K348" s="215"/>
    </row>
    <row r="349" spans="11:11" x14ac:dyDescent="0.15">
      <c r="K349" s="215"/>
    </row>
    <row r="350" spans="11:11" x14ac:dyDescent="0.15">
      <c r="K350" s="215"/>
    </row>
    <row r="351" spans="11:11" x14ac:dyDescent="0.15">
      <c r="K351" s="215"/>
    </row>
    <row r="352" spans="11:11" x14ac:dyDescent="0.15">
      <c r="K352" s="215"/>
    </row>
    <row r="353" spans="11:11" x14ac:dyDescent="0.15">
      <c r="K353" s="215"/>
    </row>
    <row r="354" spans="11:11" x14ac:dyDescent="0.15">
      <c r="K354" s="215"/>
    </row>
    <row r="355" spans="11:11" x14ac:dyDescent="0.15">
      <c r="K355" s="215"/>
    </row>
    <row r="356" spans="11:11" x14ac:dyDescent="0.15">
      <c r="K356" s="215"/>
    </row>
    <row r="357" spans="11:11" x14ac:dyDescent="0.15">
      <c r="K357" s="215"/>
    </row>
    <row r="358" spans="11:11" x14ac:dyDescent="0.15">
      <c r="K358" s="215"/>
    </row>
    <row r="359" spans="11:11" x14ac:dyDescent="0.15">
      <c r="K359" s="215"/>
    </row>
    <row r="360" spans="11:11" x14ac:dyDescent="0.15">
      <c r="K360" s="215"/>
    </row>
    <row r="361" spans="11:11" x14ac:dyDescent="0.15">
      <c r="K361" s="215"/>
    </row>
    <row r="362" spans="11:11" x14ac:dyDescent="0.15">
      <c r="K362" s="215"/>
    </row>
    <row r="363" spans="11:11" x14ac:dyDescent="0.15">
      <c r="K363" s="215"/>
    </row>
    <row r="364" spans="11:11" x14ac:dyDescent="0.15">
      <c r="K364" s="215"/>
    </row>
    <row r="365" spans="11:11" x14ac:dyDescent="0.15">
      <c r="K365" s="215"/>
    </row>
    <row r="366" spans="11:11" x14ac:dyDescent="0.15">
      <c r="K366" s="215"/>
    </row>
    <row r="367" spans="11:11" x14ac:dyDescent="0.15">
      <c r="K367" s="215"/>
    </row>
    <row r="368" spans="11:11" x14ac:dyDescent="0.15">
      <c r="K368" s="215"/>
    </row>
    <row r="369" spans="11:11" x14ac:dyDescent="0.15">
      <c r="K369" s="215"/>
    </row>
    <row r="370" spans="11:11" x14ac:dyDescent="0.15">
      <c r="K370" s="215"/>
    </row>
    <row r="371" spans="11:11" x14ac:dyDescent="0.15">
      <c r="K371" s="215"/>
    </row>
    <row r="372" spans="11:11" x14ac:dyDescent="0.15">
      <c r="K372" s="215"/>
    </row>
    <row r="373" spans="11:11" x14ac:dyDescent="0.15">
      <c r="K373" s="215"/>
    </row>
    <row r="374" spans="11:11" x14ac:dyDescent="0.15">
      <c r="K374" s="215"/>
    </row>
    <row r="375" spans="11:11" x14ac:dyDescent="0.15">
      <c r="K375" s="215"/>
    </row>
    <row r="376" spans="11:11" x14ac:dyDescent="0.15">
      <c r="K376" s="215"/>
    </row>
    <row r="377" spans="11:11" x14ac:dyDescent="0.15">
      <c r="K377" s="215"/>
    </row>
    <row r="378" spans="11:11" x14ac:dyDescent="0.15">
      <c r="K378" s="215"/>
    </row>
    <row r="379" spans="11:11" x14ac:dyDescent="0.15">
      <c r="K379" s="215"/>
    </row>
    <row r="380" spans="11:11" x14ac:dyDescent="0.15">
      <c r="K380" s="215"/>
    </row>
    <row r="381" spans="11:11" x14ac:dyDescent="0.15">
      <c r="K381" s="215"/>
    </row>
    <row r="382" spans="11:11" x14ac:dyDescent="0.15">
      <c r="K382" s="215"/>
    </row>
    <row r="383" spans="11:11" x14ac:dyDescent="0.15">
      <c r="K383" s="215"/>
    </row>
    <row r="384" spans="11:11" x14ac:dyDescent="0.15">
      <c r="K384" s="215"/>
    </row>
    <row r="385" spans="11:11" x14ac:dyDescent="0.15">
      <c r="K385" s="215"/>
    </row>
    <row r="386" spans="11:11" x14ac:dyDescent="0.15">
      <c r="K386" s="215"/>
    </row>
    <row r="387" spans="11:11" x14ac:dyDescent="0.15">
      <c r="K387" s="215"/>
    </row>
    <row r="388" spans="11:11" x14ac:dyDescent="0.15">
      <c r="K388" s="215"/>
    </row>
    <row r="389" spans="11:11" x14ac:dyDescent="0.15">
      <c r="K389" s="215"/>
    </row>
    <row r="390" spans="11:11" x14ac:dyDescent="0.15">
      <c r="K390" s="215"/>
    </row>
    <row r="391" spans="11:11" x14ac:dyDescent="0.15">
      <c r="K391" s="215"/>
    </row>
    <row r="392" spans="11:11" x14ac:dyDescent="0.15">
      <c r="K392" s="215"/>
    </row>
    <row r="393" spans="11:11" x14ac:dyDescent="0.15">
      <c r="K393" s="215"/>
    </row>
    <row r="394" spans="11:11" x14ac:dyDescent="0.15">
      <c r="K394" s="215"/>
    </row>
    <row r="395" spans="11:11" x14ac:dyDescent="0.15">
      <c r="K395" s="215"/>
    </row>
    <row r="396" spans="11:11" x14ac:dyDescent="0.15">
      <c r="K396" s="215"/>
    </row>
    <row r="397" spans="11:11" x14ac:dyDescent="0.15">
      <c r="K397" s="215"/>
    </row>
    <row r="398" spans="11:11" x14ac:dyDescent="0.15">
      <c r="K398" s="215"/>
    </row>
    <row r="399" spans="11:11" x14ac:dyDescent="0.15">
      <c r="K399" s="215"/>
    </row>
    <row r="400" spans="11:11" x14ac:dyDescent="0.15">
      <c r="K400" s="215"/>
    </row>
    <row r="401" spans="11:11" x14ac:dyDescent="0.15">
      <c r="K401" s="215"/>
    </row>
    <row r="402" spans="11:11" x14ac:dyDescent="0.15">
      <c r="K402" s="215"/>
    </row>
    <row r="403" spans="11:11" x14ac:dyDescent="0.15">
      <c r="K403" s="215"/>
    </row>
    <row r="404" spans="11:11" x14ac:dyDescent="0.15">
      <c r="K404" s="215"/>
    </row>
    <row r="405" spans="11:11" x14ac:dyDescent="0.15">
      <c r="K405" s="215"/>
    </row>
    <row r="406" spans="11:11" x14ac:dyDescent="0.15">
      <c r="K406" s="215"/>
    </row>
    <row r="407" spans="11:11" x14ac:dyDescent="0.15">
      <c r="K407" s="215"/>
    </row>
    <row r="408" spans="11:11" x14ac:dyDescent="0.15">
      <c r="K408" s="215"/>
    </row>
    <row r="409" spans="11:11" x14ac:dyDescent="0.15">
      <c r="K409" s="215"/>
    </row>
    <row r="410" spans="11:11" x14ac:dyDescent="0.15">
      <c r="K410" s="215"/>
    </row>
    <row r="411" spans="11:11" x14ac:dyDescent="0.15">
      <c r="K411" s="215"/>
    </row>
    <row r="412" spans="11:11" x14ac:dyDescent="0.15">
      <c r="K412" s="215"/>
    </row>
    <row r="413" spans="11:11" x14ac:dyDescent="0.15">
      <c r="K413" s="215"/>
    </row>
    <row r="414" spans="11:11" x14ac:dyDescent="0.15">
      <c r="K414" s="215"/>
    </row>
    <row r="415" spans="11:11" x14ac:dyDescent="0.15">
      <c r="K415" s="215"/>
    </row>
    <row r="416" spans="11:11" x14ac:dyDescent="0.15">
      <c r="K416" s="215"/>
    </row>
    <row r="417" spans="11:11" x14ac:dyDescent="0.15">
      <c r="K417" s="215"/>
    </row>
    <row r="418" spans="11:11" x14ac:dyDescent="0.15">
      <c r="K418" s="215"/>
    </row>
    <row r="419" spans="11:11" x14ac:dyDescent="0.15">
      <c r="K419" s="215"/>
    </row>
    <row r="420" spans="11:11" x14ac:dyDescent="0.15">
      <c r="K420" s="215"/>
    </row>
    <row r="421" spans="11:11" x14ac:dyDescent="0.15">
      <c r="K421" s="215"/>
    </row>
    <row r="422" spans="11:11" x14ac:dyDescent="0.15">
      <c r="K422" s="215"/>
    </row>
    <row r="423" spans="11:11" x14ac:dyDescent="0.15">
      <c r="K423" s="215"/>
    </row>
    <row r="424" spans="11:11" x14ac:dyDescent="0.15">
      <c r="K424" s="215"/>
    </row>
    <row r="425" spans="11:11" x14ac:dyDescent="0.15">
      <c r="K425" s="215"/>
    </row>
    <row r="426" spans="11:11" x14ac:dyDescent="0.15">
      <c r="K426" s="215"/>
    </row>
    <row r="427" spans="11:11" x14ac:dyDescent="0.15">
      <c r="K427" s="215"/>
    </row>
    <row r="428" spans="11:11" x14ac:dyDescent="0.15">
      <c r="K428" s="215"/>
    </row>
    <row r="429" spans="11:11" x14ac:dyDescent="0.15">
      <c r="K429" s="215"/>
    </row>
    <row r="430" spans="11:11" x14ac:dyDescent="0.15">
      <c r="K430" s="215"/>
    </row>
    <row r="431" spans="11:11" x14ac:dyDescent="0.15">
      <c r="K431" s="215"/>
    </row>
    <row r="432" spans="11:11" x14ac:dyDescent="0.15">
      <c r="K432" s="215"/>
    </row>
    <row r="433" spans="11:11" x14ac:dyDescent="0.15">
      <c r="K433" s="215"/>
    </row>
    <row r="434" spans="11:11" x14ac:dyDescent="0.15">
      <c r="K434" s="215"/>
    </row>
    <row r="435" spans="11:11" x14ac:dyDescent="0.15">
      <c r="K435" s="215"/>
    </row>
    <row r="436" spans="11:11" x14ac:dyDescent="0.15">
      <c r="K436" s="215"/>
    </row>
    <row r="437" spans="11:11" x14ac:dyDescent="0.15">
      <c r="K437" s="215"/>
    </row>
    <row r="438" spans="11:11" x14ac:dyDescent="0.15">
      <c r="K438" s="215"/>
    </row>
    <row r="439" spans="11:11" x14ac:dyDescent="0.15">
      <c r="K439" s="215"/>
    </row>
    <row r="440" spans="11:11" x14ac:dyDescent="0.15">
      <c r="K440" s="215"/>
    </row>
    <row r="441" spans="11:11" x14ac:dyDescent="0.15">
      <c r="K441" s="215"/>
    </row>
    <row r="442" spans="11:11" x14ac:dyDescent="0.15">
      <c r="K442" s="215"/>
    </row>
    <row r="443" spans="11:11" x14ac:dyDescent="0.15">
      <c r="K443" s="215"/>
    </row>
    <row r="444" spans="11:11" x14ac:dyDescent="0.15">
      <c r="K444" s="215"/>
    </row>
    <row r="445" spans="11:11" x14ac:dyDescent="0.15">
      <c r="K445" s="215"/>
    </row>
    <row r="446" spans="11:11" x14ac:dyDescent="0.15">
      <c r="K446" s="215"/>
    </row>
    <row r="447" spans="11:11" x14ac:dyDescent="0.15">
      <c r="K447" s="215"/>
    </row>
    <row r="448" spans="11:11" x14ac:dyDescent="0.15">
      <c r="K448" s="215"/>
    </row>
    <row r="449" spans="11:11" x14ac:dyDescent="0.15">
      <c r="K449" s="215"/>
    </row>
    <row r="450" spans="11:11" x14ac:dyDescent="0.15">
      <c r="K450" s="215"/>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topLeftCell="A4" zoomScale="85" zoomScaleNormal="85" workbookViewId="0">
      <selection activeCell="S68" sqref="S68"/>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173</v>
      </c>
      <c r="C1" s="90" t="s">
        <v>174</v>
      </c>
      <c r="D1" s="91" t="s">
        <v>3</v>
      </c>
      <c r="E1" s="92" t="s">
        <v>4</v>
      </c>
      <c r="F1" s="92" t="s">
        <v>5</v>
      </c>
      <c r="G1" s="92" t="s">
        <v>6</v>
      </c>
      <c r="H1" s="92" t="s">
        <v>7</v>
      </c>
      <c r="I1" s="92" t="s">
        <v>8</v>
      </c>
      <c r="J1" s="92" t="s">
        <v>9</v>
      </c>
      <c r="K1" s="92" t="s">
        <v>10</v>
      </c>
      <c r="L1" s="91" t="s">
        <v>175</v>
      </c>
      <c r="M1" s="91" t="s">
        <v>176</v>
      </c>
      <c r="N1" s="91" t="s">
        <v>13</v>
      </c>
      <c r="O1" s="91" t="s">
        <v>177</v>
      </c>
      <c r="P1" s="91" t="s">
        <v>178</v>
      </c>
      <c r="Q1" s="93" t="s">
        <v>179</v>
      </c>
      <c r="R1" s="91" t="s">
        <v>180</v>
      </c>
      <c r="S1" s="91" t="s">
        <v>181</v>
      </c>
      <c r="T1" s="93" t="s">
        <v>19</v>
      </c>
      <c r="U1" s="94" t="s">
        <v>108</v>
      </c>
      <c r="V1" s="95" t="s">
        <v>20</v>
      </c>
      <c r="W1" s="91" t="s">
        <v>182</v>
      </c>
      <c r="X1" s="92" t="s">
        <v>22</v>
      </c>
      <c r="Y1" s="92" t="s">
        <v>23</v>
      </c>
      <c r="Z1" s="92" t="s">
        <v>24</v>
      </c>
      <c r="AA1" s="96" t="s">
        <v>25</v>
      </c>
      <c r="AB1" s="97" t="s">
        <v>183</v>
      </c>
      <c r="AE1" s="99" t="s">
        <v>0</v>
      </c>
      <c r="AF1" s="100"/>
      <c r="AG1" s="99" t="s">
        <v>4</v>
      </c>
      <c r="AH1" s="99" t="s">
        <v>5</v>
      </c>
      <c r="AI1" s="100"/>
      <c r="AJ1" s="99" t="s">
        <v>6</v>
      </c>
      <c r="AK1" s="100"/>
      <c r="AL1" s="101" t="s">
        <v>7</v>
      </c>
      <c r="AM1" s="100"/>
      <c r="AN1" s="101" t="s">
        <v>8</v>
      </c>
      <c r="AO1" s="100"/>
      <c r="AP1" s="101" t="s">
        <v>27</v>
      </c>
      <c r="AQ1" s="100"/>
      <c r="AR1" s="101" t="s">
        <v>10</v>
      </c>
      <c r="AS1" s="100"/>
      <c r="AT1" s="102" t="s">
        <v>184</v>
      </c>
      <c r="AU1" s="100"/>
      <c r="AV1" s="101" t="s">
        <v>29</v>
      </c>
      <c r="AX1" s="103" t="s">
        <v>185</v>
      </c>
      <c r="AY1" s="104" t="s">
        <v>186</v>
      </c>
      <c r="AZ1" s="104" t="s">
        <v>187</v>
      </c>
      <c r="BA1" s="105" t="s">
        <v>188</v>
      </c>
    </row>
    <row r="2" spans="1:53" s="245" customFormat="1" x14ac:dyDescent="0.15">
      <c r="A2" s="245" t="s">
        <v>51</v>
      </c>
      <c r="B2" s="245" t="s">
        <v>334</v>
      </c>
      <c r="C2" s="245">
        <v>2018</v>
      </c>
      <c r="D2" s="106" t="s">
        <v>429</v>
      </c>
      <c r="E2" s="245" t="s">
        <v>189</v>
      </c>
      <c r="F2" s="245" t="s">
        <v>190</v>
      </c>
      <c r="G2" s="245" t="s">
        <v>42</v>
      </c>
      <c r="H2" s="245" t="s">
        <v>155</v>
      </c>
      <c r="I2" s="245" t="s">
        <v>153</v>
      </c>
      <c r="J2" s="245" t="s">
        <v>38</v>
      </c>
      <c r="K2" s="245" t="s">
        <v>154</v>
      </c>
      <c r="L2" s="245">
        <v>1</v>
      </c>
      <c r="N2" s="245">
        <v>1</v>
      </c>
      <c r="O2" s="245">
        <v>0.95</v>
      </c>
      <c r="P2" s="245">
        <v>1</v>
      </c>
      <c r="Q2" s="107">
        <f t="shared" ref="Q2:Q65" si="0">IF(OR(O2="",P2=""),"",AVERAGE(O2,P2))</f>
        <v>0.97499999999999998</v>
      </c>
      <c r="R2" s="245">
        <v>14.7</v>
      </c>
      <c r="S2" s="245">
        <v>132</v>
      </c>
      <c r="T2" s="108">
        <f t="shared" ref="T2:T65" si="1">IF(H2="","",IF(OR(H2="GREEN",H2="GK"),IF(S2&gt;=$AX$2,VLOOKUP(S2,$AX$2:$AY$12,2,1),""),IF(S2&gt;=$AZ$2,VLOOKUP(S2,$AZ$2:$BA$12,2,1),"")))</f>
        <v>25</v>
      </c>
      <c r="U2" s="245">
        <v>100</v>
      </c>
      <c r="V2" s="109">
        <f t="shared" ref="V2:V65" si="2">IF(OR(N2="",U2="",T2=""),"",U2/N2*T2)</f>
        <v>2500</v>
      </c>
      <c r="W2" s="245">
        <v>3</v>
      </c>
      <c r="X2" s="245" t="s">
        <v>39</v>
      </c>
      <c r="Y2" s="245" t="s">
        <v>69</v>
      </c>
      <c r="Z2" s="245" t="s">
        <v>84</v>
      </c>
      <c r="AA2" s="245" t="s">
        <v>90</v>
      </c>
      <c r="AB2" s="245" t="s">
        <v>336</v>
      </c>
      <c r="AE2" s="110" t="s">
        <v>35</v>
      </c>
      <c r="AG2" s="111" t="s">
        <v>167</v>
      </c>
      <c r="AH2" s="111" t="s">
        <v>191</v>
      </c>
      <c r="AJ2" s="111" t="s">
        <v>36</v>
      </c>
      <c r="AL2" s="111" t="s">
        <v>192</v>
      </c>
      <c r="AN2" s="111" t="s">
        <v>37</v>
      </c>
      <c r="AP2" s="111" t="s">
        <v>38</v>
      </c>
      <c r="AR2" s="111" t="s">
        <v>154</v>
      </c>
      <c r="AT2" s="111" t="s">
        <v>39</v>
      </c>
      <c r="AV2" s="111" t="s">
        <v>40</v>
      </c>
      <c r="AX2" s="112">
        <v>1</v>
      </c>
      <c r="AY2" s="113">
        <v>50</v>
      </c>
      <c r="AZ2" s="113">
        <v>1</v>
      </c>
      <c r="BA2" s="114">
        <v>50</v>
      </c>
    </row>
    <row r="3" spans="1:53" s="115" customFormat="1" x14ac:dyDescent="0.15">
      <c r="A3" s="245" t="s">
        <v>51</v>
      </c>
      <c r="B3" s="245" t="s">
        <v>334</v>
      </c>
      <c r="C3" s="245">
        <v>2018</v>
      </c>
      <c r="D3" s="106" t="s">
        <v>429</v>
      </c>
      <c r="E3" s="245" t="s">
        <v>189</v>
      </c>
      <c r="F3" s="245" t="s">
        <v>190</v>
      </c>
      <c r="G3" s="245" t="s">
        <v>42</v>
      </c>
      <c r="H3" s="245" t="s">
        <v>155</v>
      </c>
      <c r="I3" s="245" t="s">
        <v>153</v>
      </c>
      <c r="J3" s="245" t="s">
        <v>38</v>
      </c>
      <c r="K3" s="245" t="s">
        <v>154</v>
      </c>
      <c r="L3" s="245">
        <v>2</v>
      </c>
      <c r="M3" s="245"/>
      <c r="N3" s="245">
        <v>1</v>
      </c>
      <c r="O3" s="245">
        <v>0.85</v>
      </c>
      <c r="P3" s="245">
        <v>1</v>
      </c>
      <c r="Q3" s="107">
        <f t="shared" si="0"/>
        <v>0.92500000000000004</v>
      </c>
      <c r="R3" s="245">
        <v>14.9</v>
      </c>
      <c r="S3" s="245">
        <v>134</v>
      </c>
      <c r="T3" s="108">
        <f t="shared" si="1"/>
        <v>25</v>
      </c>
      <c r="U3" s="245">
        <v>100</v>
      </c>
      <c r="V3" s="109">
        <f t="shared" si="2"/>
        <v>2500</v>
      </c>
      <c r="W3" s="245">
        <v>3</v>
      </c>
      <c r="X3" s="245" t="s">
        <v>39</v>
      </c>
      <c r="Y3" s="245" t="s">
        <v>69</v>
      </c>
      <c r="Z3" s="245" t="s">
        <v>84</v>
      </c>
      <c r="AA3" s="245" t="s">
        <v>90</v>
      </c>
      <c r="AB3" s="245" t="s">
        <v>336</v>
      </c>
      <c r="AE3" s="116" t="s">
        <v>41</v>
      </c>
      <c r="AG3" s="111" t="s">
        <v>193</v>
      </c>
      <c r="AH3" s="111" t="s">
        <v>194</v>
      </c>
      <c r="AJ3" s="117" t="s">
        <v>42</v>
      </c>
      <c r="AL3" s="117" t="s">
        <v>195</v>
      </c>
      <c r="AN3" s="117" t="s">
        <v>43</v>
      </c>
      <c r="AP3" s="117" t="s">
        <v>44</v>
      </c>
      <c r="AR3" s="118" t="s">
        <v>45</v>
      </c>
      <c r="AT3" s="117" t="s">
        <v>46</v>
      </c>
      <c r="AV3" s="117" t="s">
        <v>47</v>
      </c>
      <c r="AX3" s="119">
        <v>72</v>
      </c>
      <c r="AY3" s="120">
        <v>46</v>
      </c>
      <c r="AZ3" s="120">
        <v>71</v>
      </c>
      <c r="BA3" s="121">
        <v>42</v>
      </c>
    </row>
    <row r="4" spans="1:53" s="115" customFormat="1" x14ac:dyDescent="0.15">
      <c r="A4" s="245" t="s">
        <v>51</v>
      </c>
      <c r="B4" s="245" t="s">
        <v>334</v>
      </c>
      <c r="C4" s="245">
        <v>2018</v>
      </c>
      <c r="D4" s="106" t="s">
        <v>429</v>
      </c>
      <c r="E4" s="245" t="s">
        <v>189</v>
      </c>
      <c r="F4" s="245" t="s">
        <v>190</v>
      </c>
      <c r="G4" s="245" t="s">
        <v>42</v>
      </c>
      <c r="H4" s="245" t="s">
        <v>155</v>
      </c>
      <c r="I4" s="245" t="s">
        <v>153</v>
      </c>
      <c r="J4" s="245" t="s">
        <v>38</v>
      </c>
      <c r="K4" s="245" t="s">
        <v>154</v>
      </c>
      <c r="L4" s="245">
        <v>3</v>
      </c>
      <c r="M4" s="245"/>
      <c r="N4" s="245">
        <v>1</v>
      </c>
      <c r="O4" s="245">
        <v>0.95</v>
      </c>
      <c r="P4" s="245">
        <v>0.8</v>
      </c>
      <c r="Q4" s="107">
        <f t="shared" si="0"/>
        <v>0.875</v>
      </c>
      <c r="R4" s="245">
        <v>15</v>
      </c>
      <c r="S4" s="245">
        <v>134</v>
      </c>
      <c r="T4" s="108">
        <f t="shared" si="1"/>
        <v>25</v>
      </c>
      <c r="U4" s="245">
        <v>100</v>
      </c>
      <c r="V4" s="109">
        <f t="shared" si="2"/>
        <v>2500</v>
      </c>
      <c r="W4" s="245">
        <v>3</v>
      </c>
      <c r="X4" s="245" t="s">
        <v>39</v>
      </c>
      <c r="Y4" s="245" t="s">
        <v>69</v>
      </c>
      <c r="Z4" s="245" t="s">
        <v>84</v>
      </c>
      <c r="AA4" s="245" t="s">
        <v>90</v>
      </c>
      <c r="AB4" s="245" t="s">
        <v>336</v>
      </c>
      <c r="AE4" s="116" t="s">
        <v>34</v>
      </c>
      <c r="AG4" s="111" t="s">
        <v>196</v>
      </c>
      <c r="AH4" s="111" t="s">
        <v>197</v>
      </c>
      <c r="AJ4" s="122" t="s">
        <v>48</v>
      </c>
      <c r="AL4" s="122" t="s">
        <v>198</v>
      </c>
      <c r="AN4" s="123" t="s">
        <v>199</v>
      </c>
      <c r="AP4" s="117" t="s">
        <v>200</v>
      </c>
      <c r="AR4" s="118" t="s">
        <v>201</v>
      </c>
      <c r="AT4" s="123"/>
      <c r="AV4" s="117" t="s">
        <v>50</v>
      </c>
      <c r="AX4" s="119">
        <v>75</v>
      </c>
      <c r="AY4" s="120">
        <v>42</v>
      </c>
      <c r="AZ4" s="120">
        <v>76</v>
      </c>
      <c r="BA4" s="121">
        <v>39</v>
      </c>
    </row>
    <row r="5" spans="1:53" s="115" customFormat="1" x14ac:dyDescent="0.15">
      <c r="A5" s="245" t="s">
        <v>51</v>
      </c>
      <c r="B5" s="245" t="s">
        <v>334</v>
      </c>
      <c r="C5" s="245">
        <v>2018</v>
      </c>
      <c r="D5" s="106" t="s">
        <v>429</v>
      </c>
      <c r="E5" s="245" t="s">
        <v>189</v>
      </c>
      <c r="F5" s="245" t="s">
        <v>190</v>
      </c>
      <c r="G5" s="245" t="s">
        <v>42</v>
      </c>
      <c r="H5" s="245" t="s">
        <v>162</v>
      </c>
      <c r="I5" s="245" t="s">
        <v>153</v>
      </c>
      <c r="J5" s="245" t="s">
        <v>38</v>
      </c>
      <c r="K5" s="245" t="s">
        <v>154</v>
      </c>
      <c r="L5" s="245">
        <v>1</v>
      </c>
      <c r="M5" s="245"/>
      <c r="N5" s="245">
        <v>1</v>
      </c>
      <c r="O5" s="245">
        <v>0.7</v>
      </c>
      <c r="P5" s="245">
        <v>0.8</v>
      </c>
      <c r="Q5" s="107">
        <f t="shared" si="0"/>
        <v>0.75</v>
      </c>
      <c r="R5" s="245">
        <v>16.2</v>
      </c>
      <c r="S5" s="245">
        <v>132</v>
      </c>
      <c r="T5" s="108">
        <f t="shared" si="1"/>
        <v>25</v>
      </c>
      <c r="U5" s="245">
        <v>98</v>
      </c>
      <c r="V5" s="109">
        <f t="shared" si="2"/>
        <v>2450</v>
      </c>
      <c r="W5" s="245">
        <v>3</v>
      </c>
      <c r="X5" s="245" t="s">
        <v>39</v>
      </c>
      <c r="Y5" s="245" t="s">
        <v>69</v>
      </c>
      <c r="Z5" s="245" t="s">
        <v>84</v>
      </c>
      <c r="AA5" s="245" t="s">
        <v>90</v>
      </c>
      <c r="AB5" s="245" t="s">
        <v>336</v>
      </c>
      <c r="AE5" s="116" t="s">
        <v>51</v>
      </c>
      <c r="AG5" s="111" t="s">
        <v>202</v>
      </c>
      <c r="AH5" s="111" t="s">
        <v>190</v>
      </c>
      <c r="AJ5" s="123"/>
      <c r="AL5" s="124" t="s">
        <v>155</v>
      </c>
      <c r="AN5" s="124" t="s">
        <v>153</v>
      </c>
      <c r="AP5" s="117" t="s">
        <v>203</v>
      </c>
      <c r="AR5" s="118" t="s">
        <v>54</v>
      </c>
      <c r="AV5" s="117" t="s">
        <v>55</v>
      </c>
      <c r="AX5" s="119">
        <v>84</v>
      </c>
      <c r="AY5" s="120">
        <v>39</v>
      </c>
      <c r="AZ5" s="120">
        <v>84</v>
      </c>
      <c r="BA5" s="121">
        <v>36</v>
      </c>
    </row>
    <row r="6" spans="1:53" s="115" customFormat="1" x14ac:dyDescent="0.15">
      <c r="A6" s="245" t="s">
        <v>51</v>
      </c>
      <c r="B6" s="245" t="s">
        <v>334</v>
      </c>
      <c r="C6" s="245">
        <v>2018</v>
      </c>
      <c r="D6" s="106" t="s">
        <v>429</v>
      </c>
      <c r="E6" s="245" t="s">
        <v>189</v>
      </c>
      <c r="F6" s="245" t="s">
        <v>190</v>
      </c>
      <c r="G6" s="245" t="s">
        <v>42</v>
      </c>
      <c r="H6" s="245" t="s">
        <v>162</v>
      </c>
      <c r="I6" s="245" t="s">
        <v>153</v>
      </c>
      <c r="J6" s="245" t="s">
        <v>38</v>
      </c>
      <c r="K6" s="245" t="s">
        <v>154</v>
      </c>
      <c r="L6" s="245">
        <v>2</v>
      </c>
      <c r="M6" s="245"/>
      <c r="N6" s="245">
        <v>1</v>
      </c>
      <c r="O6" s="245">
        <v>0.6</v>
      </c>
      <c r="P6" s="245">
        <v>0.75</v>
      </c>
      <c r="Q6" s="107">
        <f t="shared" si="0"/>
        <v>0.67500000000000004</v>
      </c>
      <c r="R6" s="245">
        <v>15.7</v>
      </c>
      <c r="S6" s="245">
        <v>128</v>
      </c>
      <c r="T6" s="108">
        <f t="shared" si="1"/>
        <v>27</v>
      </c>
      <c r="U6" s="245">
        <v>98</v>
      </c>
      <c r="V6" s="109">
        <f t="shared" si="2"/>
        <v>2646</v>
      </c>
      <c r="W6" s="245">
        <v>3</v>
      </c>
      <c r="X6" s="245" t="s">
        <v>39</v>
      </c>
      <c r="Y6" s="245" t="s">
        <v>69</v>
      </c>
      <c r="Z6" s="245" t="s">
        <v>84</v>
      </c>
      <c r="AA6" s="245" t="s">
        <v>90</v>
      </c>
      <c r="AB6" s="245" t="s">
        <v>336</v>
      </c>
      <c r="AE6" s="116" t="s">
        <v>56</v>
      </c>
      <c r="AG6" s="111" t="s">
        <v>204</v>
      </c>
      <c r="AH6" s="111" t="s">
        <v>205</v>
      </c>
      <c r="AL6" s="124" t="s">
        <v>206</v>
      </c>
      <c r="AN6" s="124" t="s">
        <v>156</v>
      </c>
      <c r="AP6" s="117" t="s">
        <v>53</v>
      </c>
      <c r="AR6" s="118" t="s">
        <v>59</v>
      </c>
      <c r="AV6" s="117" t="s">
        <v>60</v>
      </c>
      <c r="AX6" s="119">
        <v>97</v>
      </c>
      <c r="AY6" s="120">
        <v>36</v>
      </c>
      <c r="AZ6" s="120">
        <v>99</v>
      </c>
      <c r="BA6" s="121">
        <v>33</v>
      </c>
    </row>
    <row r="7" spans="1:53" s="115" customFormat="1" x14ac:dyDescent="0.15">
      <c r="A7" s="245" t="s">
        <v>51</v>
      </c>
      <c r="B7" s="245" t="s">
        <v>334</v>
      </c>
      <c r="C7" s="245">
        <v>2018</v>
      </c>
      <c r="D7" s="106" t="s">
        <v>429</v>
      </c>
      <c r="E7" s="245" t="s">
        <v>189</v>
      </c>
      <c r="F7" s="245" t="s">
        <v>190</v>
      </c>
      <c r="G7" s="245" t="s">
        <v>42</v>
      </c>
      <c r="H7" s="245" t="s">
        <v>162</v>
      </c>
      <c r="I7" s="245" t="s">
        <v>153</v>
      </c>
      <c r="J7" s="245" t="s">
        <v>38</v>
      </c>
      <c r="K7" s="245" t="s">
        <v>154</v>
      </c>
      <c r="L7" s="245">
        <v>3</v>
      </c>
      <c r="M7" s="245"/>
      <c r="N7" s="245">
        <v>1</v>
      </c>
      <c r="O7" s="245">
        <v>0.75</v>
      </c>
      <c r="P7" s="245">
        <v>0.65</v>
      </c>
      <c r="Q7" s="107">
        <f t="shared" si="0"/>
        <v>0.7</v>
      </c>
      <c r="R7" s="245">
        <v>15.5</v>
      </c>
      <c r="S7" s="245">
        <v>128</v>
      </c>
      <c r="T7" s="108">
        <f t="shared" si="1"/>
        <v>27</v>
      </c>
      <c r="U7" s="245">
        <v>98</v>
      </c>
      <c r="V7" s="109">
        <f t="shared" si="2"/>
        <v>2646</v>
      </c>
      <c r="W7" s="245">
        <v>3</v>
      </c>
      <c r="X7" s="245" t="s">
        <v>39</v>
      </c>
      <c r="Y7" s="245" t="s">
        <v>69</v>
      </c>
      <c r="Z7" s="245" t="s">
        <v>84</v>
      </c>
      <c r="AA7" s="245" t="s">
        <v>90</v>
      </c>
      <c r="AB7" s="245" t="s">
        <v>336</v>
      </c>
      <c r="AE7" s="116" t="s">
        <v>61</v>
      </c>
      <c r="AG7" s="111" t="s">
        <v>207</v>
      </c>
      <c r="AH7" s="111" t="s">
        <v>191</v>
      </c>
      <c r="AL7" s="115" t="s">
        <v>208</v>
      </c>
      <c r="AP7" s="117" t="s">
        <v>58</v>
      </c>
      <c r="AR7" s="118" t="s">
        <v>209</v>
      </c>
      <c r="AV7" s="117" t="s">
        <v>64</v>
      </c>
      <c r="AX7" s="119">
        <v>109</v>
      </c>
      <c r="AY7" s="120">
        <v>33</v>
      </c>
      <c r="AZ7" s="120">
        <v>113</v>
      </c>
      <c r="BA7" s="121">
        <v>30</v>
      </c>
    </row>
    <row r="8" spans="1:53" s="115" customFormat="1" x14ac:dyDescent="0.15">
      <c r="A8" s="245" t="s">
        <v>51</v>
      </c>
      <c r="B8" s="245" t="s">
        <v>334</v>
      </c>
      <c r="C8" s="245">
        <v>2018</v>
      </c>
      <c r="D8" s="106" t="s">
        <v>429</v>
      </c>
      <c r="E8" s="245" t="s">
        <v>193</v>
      </c>
      <c r="F8" s="245" t="s">
        <v>194</v>
      </c>
      <c r="G8" s="245" t="s">
        <v>36</v>
      </c>
      <c r="H8" s="245" t="s">
        <v>155</v>
      </c>
      <c r="I8" s="245" t="s">
        <v>153</v>
      </c>
      <c r="J8" s="245" t="s">
        <v>38</v>
      </c>
      <c r="K8" s="245" t="s">
        <v>154</v>
      </c>
      <c r="L8" s="245">
        <v>1</v>
      </c>
      <c r="M8" s="245"/>
      <c r="N8" s="245">
        <v>3</v>
      </c>
      <c r="O8" s="245">
        <v>0.9</v>
      </c>
      <c r="P8" s="245">
        <v>1</v>
      </c>
      <c r="Q8" s="107">
        <f t="shared" si="0"/>
        <v>0.95</v>
      </c>
      <c r="R8" s="245">
        <v>16.600000000000001</v>
      </c>
      <c r="S8" s="245">
        <v>164</v>
      </c>
      <c r="T8" s="108">
        <f t="shared" si="1"/>
        <v>18</v>
      </c>
      <c r="U8" s="245">
        <v>398</v>
      </c>
      <c r="V8" s="109">
        <f t="shared" si="2"/>
        <v>2388</v>
      </c>
      <c r="W8" s="245">
        <v>8</v>
      </c>
      <c r="X8" s="245" t="s">
        <v>46</v>
      </c>
      <c r="Y8" s="245" t="s">
        <v>69</v>
      </c>
      <c r="Z8" s="245" t="s">
        <v>84</v>
      </c>
      <c r="AA8" s="245" t="s">
        <v>90</v>
      </c>
      <c r="AB8" s="245" t="s">
        <v>336</v>
      </c>
      <c r="AE8" s="116" t="s">
        <v>59</v>
      </c>
      <c r="AG8" s="111" t="s">
        <v>210</v>
      </c>
      <c r="AH8" s="111" t="s">
        <v>211</v>
      </c>
      <c r="AL8" s="115" t="s">
        <v>162</v>
      </c>
      <c r="AP8" s="117" t="s">
        <v>62</v>
      </c>
      <c r="AR8" s="118" t="s">
        <v>81</v>
      </c>
      <c r="AV8" s="117" t="s">
        <v>97</v>
      </c>
      <c r="AX8" s="119">
        <v>119</v>
      </c>
      <c r="AY8" s="120">
        <v>30</v>
      </c>
      <c r="AZ8" s="120">
        <v>121</v>
      </c>
      <c r="BA8" s="121">
        <v>27</v>
      </c>
    </row>
    <row r="9" spans="1:53" s="115" customFormat="1" x14ac:dyDescent="0.15">
      <c r="A9" s="245" t="s">
        <v>51</v>
      </c>
      <c r="B9" s="245" t="s">
        <v>334</v>
      </c>
      <c r="C9" s="245">
        <v>2018</v>
      </c>
      <c r="D9" s="106" t="s">
        <v>429</v>
      </c>
      <c r="E9" s="245" t="s">
        <v>193</v>
      </c>
      <c r="F9" s="245" t="s">
        <v>194</v>
      </c>
      <c r="G9" s="245" t="s">
        <v>36</v>
      </c>
      <c r="H9" s="245" t="s">
        <v>155</v>
      </c>
      <c r="I9" s="245" t="s">
        <v>153</v>
      </c>
      <c r="J9" s="245" t="s">
        <v>38</v>
      </c>
      <c r="K9" s="245" t="s">
        <v>154</v>
      </c>
      <c r="L9" s="245">
        <v>2</v>
      </c>
      <c r="M9" s="245"/>
      <c r="N9" s="245">
        <v>3</v>
      </c>
      <c r="O9" s="245">
        <v>0.95</v>
      </c>
      <c r="P9" s="245">
        <v>0.95</v>
      </c>
      <c r="Q9" s="107">
        <f t="shared" si="0"/>
        <v>0.95</v>
      </c>
      <c r="R9" s="245">
        <v>16.7</v>
      </c>
      <c r="S9" s="245">
        <v>156</v>
      </c>
      <c r="T9" s="108">
        <f t="shared" si="1"/>
        <v>18</v>
      </c>
      <c r="U9" s="245">
        <v>398</v>
      </c>
      <c r="V9" s="109">
        <f t="shared" si="2"/>
        <v>2388</v>
      </c>
      <c r="W9" s="245">
        <v>8</v>
      </c>
      <c r="X9" s="245" t="s">
        <v>46</v>
      </c>
      <c r="Y9" s="245" t="s">
        <v>69</v>
      </c>
      <c r="Z9" s="245" t="s">
        <v>84</v>
      </c>
      <c r="AA9" s="245" t="s">
        <v>90</v>
      </c>
      <c r="AB9" s="245" t="s">
        <v>336</v>
      </c>
      <c r="AE9" s="116" t="s">
        <v>212</v>
      </c>
      <c r="AG9" s="111" t="s">
        <v>213</v>
      </c>
      <c r="AH9" s="111" t="s">
        <v>190</v>
      </c>
      <c r="AL9" s="124"/>
      <c r="AP9" s="117" t="s">
        <v>95</v>
      </c>
      <c r="AR9" s="118" t="s">
        <v>214</v>
      </c>
      <c r="AV9" s="117" t="s">
        <v>102</v>
      </c>
      <c r="AX9" s="119">
        <v>128</v>
      </c>
      <c r="AY9" s="120">
        <v>27</v>
      </c>
      <c r="AZ9" s="120">
        <v>129</v>
      </c>
      <c r="BA9" s="121">
        <v>25</v>
      </c>
    </row>
    <row r="10" spans="1:53" s="115" customFormat="1" x14ac:dyDescent="0.15">
      <c r="A10" s="245" t="s">
        <v>51</v>
      </c>
      <c r="B10" s="245" t="s">
        <v>334</v>
      </c>
      <c r="C10" s="245">
        <v>2018</v>
      </c>
      <c r="D10" s="106" t="s">
        <v>429</v>
      </c>
      <c r="E10" s="245" t="s">
        <v>193</v>
      </c>
      <c r="F10" s="245" t="s">
        <v>194</v>
      </c>
      <c r="G10" s="245" t="s">
        <v>36</v>
      </c>
      <c r="H10" s="245" t="s">
        <v>155</v>
      </c>
      <c r="I10" s="245" t="s">
        <v>153</v>
      </c>
      <c r="J10" s="245" t="s">
        <v>38</v>
      </c>
      <c r="K10" s="245" t="s">
        <v>154</v>
      </c>
      <c r="L10" s="245">
        <v>3</v>
      </c>
      <c r="M10" s="245"/>
      <c r="N10" s="245">
        <v>3</v>
      </c>
      <c r="O10" s="245">
        <v>0.95</v>
      </c>
      <c r="P10" s="245">
        <v>0.8</v>
      </c>
      <c r="Q10" s="107">
        <f t="shared" si="0"/>
        <v>0.875</v>
      </c>
      <c r="R10" s="245">
        <v>16.899999999999999</v>
      </c>
      <c r="S10" s="245">
        <v>170</v>
      </c>
      <c r="T10" s="108">
        <f t="shared" si="1"/>
        <v>18</v>
      </c>
      <c r="U10" s="245">
        <v>398</v>
      </c>
      <c r="V10" s="109">
        <f t="shared" si="2"/>
        <v>2388</v>
      </c>
      <c r="W10" s="245">
        <v>8</v>
      </c>
      <c r="X10" s="245" t="s">
        <v>46</v>
      </c>
      <c r="Y10" s="245" t="s">
        <v>69</v>
      </c>
      <c r="Z10" s="245" t="s">
        <v>84</v>
      </c>
      <c r="AA10" s="245" t="s">
        <v>90</v>
      </c>
      <c r="AB10" s="245" t="s">
        <v>336</v>
      </c>
      <c r="AE10" s="116" t="s">
        <v>215</v>
      </c>
      <c r="AG10" s="111" t="s">
        <v>189</v>
      </c>
      <c r="AH10" s="117" t="s">
        <v>190</v>
      </c>
      <c r="AP10" s="117" t="s">
        <v>100</v>
      </c>
      <c r="AR10" s="118" t="s">
        <v>216</v>
      </c>
      <c r="AV10" s="117" t="s">
        <v>106</v>
      </c>
      <c r="AX10" s="119">
        <v>138</v>
      </c>
      <c r="AY10" s="120">
        <v>25</v>
      </c>
      <c r="AZ10" s="120">
        <v>138</v>
      </c>
      <c r="BA10" s="121">
        <v>22</v>
      </c>
    </row>
    <row r="11" spans="1:53" s="115" customFormat="1" x14ac:dyDescent="0.15">
      <c r="A11" s="245" t="s">
        <v>51</v>
      </c>
      <c r="B11" s="245" t="s">
        <v>334</v>
      </c>
      <c r="C11" s="245">
        <v>2018</v>
      </c>
      <c r="D11" s="106" t="s">
        <v>429</v>
      </c>
      <c r="E11" s="245" t="s">
        <v>193</v>
      </c>
      <c r="F11" s="245" t="s">
        <v>194</v>
      </c>
      <c r="G11" s="245" t="s">
        <v>36</v>
      </c>
      <c r="H11" s="245" t="s">
        <v>162</v>
      </c>
      <c r="I11" s="245" t="s">
        <v>153</v>
      </c>
      <c r="J11" s="245" t="s">
        <v>38</v>
      </c>
      <c r="K11" s="245" t="s">
        <v>154</v>
      </c>
      <c r="L11" s="245">
        <v>1</v>
      </c>
      <c r="M11" s="245"/>
      <c r="N11" s="245">
        <v>3</v>
      </c>
      <c r="O11" s="245">
        <v>0.7</v>
      </c>
      <c r="P11" s="245">
        <v>0.65</v>
      </c>
      <c r="Q11" s="107">
        <f t="shared" si="0"/>
        <v>0.67500000000000004</v>
      </c>
      <c r="R11" s="245">
        <v>16.8</v>
      </c>
      <c r="S11" s="245">
        <v>176</v>
      </c>
      <c r="T11" s="108">
        <f t="shared" si="1"/>
        <v>18</v>
      </c>
      <c r="U11" s="245">
        <v>398</v>
      </c>
      <c r="V11" s="109">
        <f t="shared" si="2"/>
        <v>2388</v>
      </c>
      <c r="W11" s="245">
        <v>8</v>
      </c>
      <c r="X11" s="245" t="s">
        <v>46</v>
      </c>
      <c r="Y11" s="245" t="s">
        <v>69</v>
      </c>
      <c r="Z11" s="245" t="s">
        <v>84</v>
      </c>
      <c r="AA11" s="245" t="s">
        <v>90</v>
      </c>
      <c r="AB11" s="245" t="s">
        <v>336</v>
      </c>
      <c r="AE11" s="116" t="s">
        <v>68</v>
      </c>
      <c r="AG11" s="111" t="s">
        <v>139</v>
      </c>
      <c r="AH11" s="117" t="s">
        <v>430</v>
      </c>
      <c r="AP11" s="117" t="s">
        <v>104</v>
      </c>
      <c r="AR11" s="118" t="s">
        <v>217</v>
      </c>
      <c r="AV11" s="117" t="s">
        <v>69</v>
      </c>
      <c r="AX11" s="119">
        <v>151</v>
      </c>
      <c r="AY11" s="120">
        <v>22</v>
      </c>
      <c r="AZ11" s="120">
        <v>152</v>
      </c>
      <c r="BA11" s="121">
        <v>18</v>
      </c>
    </row>
    <row r="12" spans="1:53" s="115" customFormat="1" x14ac:dyDescent="0.15">
      <c r="A12" s="245" t="s">
        <v>51</v>
      </c>
      <c r="B12" s="245" t="s">
        <v>334</v>
      </c>
      <c r="C12" s="245">
        <v>2018</v>
      </c>
      <c r="D12" s="106" t="s">
        <v>429</v>
      </c>
      <c r="E12" s="245" t="s">
        <v>193</v>
      </c>
      <c r="F12" s="245" t="s">
        <v>194</v>
      </c>
      <c r="G12" s="245" t="s">
        <v>36</v>
      </c>
      <c r="H12" s="245" t="s">
        <v>162</v>
      </c>
      <c r="I12" s="245" t="s">
        <v>153</v>
      </c>
      <c r="J12" s="245" t="s">
        <v>38</v>
      </c>
      <c r="K12" s="245" t="s">
        <v>154</v>
      </c>
      <c r="L12" s="245">
        <v>2</v>
      </c>
      <c r="M12" s="245"/>
      <c r="N12" s="245">
        <v>3</v>
      </c>
      <c r="O12" s="245">
        <v>0.55000000000000004</v>
      </c>
      <c r="P12" s="245">
        <v>0.55000000000000004</v>
      </c>
      <c r="Q12" s="107">
        <f t="shared" si="0"/>
        <v>0.55000000000000004</v>
      </c>
      <c r="R12" s="245">
        <v>17</v>
      </c>
      <c r="S12" s="245">
        <v>154</v>
      </c>
      <c r="T12" s="108">
        <f t="shared" si="1"/>
        <v>18</v>
      </c>
      <c r="U12" s="245">
        <v>398</v>
      </c>
      <c r="V12" s="109">
        <f t="shared" si="2"/>
        <v>2388</v>
      </c>
      <c r="W12" s="245">
        <v>8</v>
      </c>
      <c r="X12" s="245" t="s">
        <v>46</v>
      </c>
      <c r="Y12" s="245" t="s">
        <v>69</v>
      </c>
      <c r="Z12" s="245" t="s">
        <v>84</v>
      </c>
      <c r="AA12" s="245" t="s">
        <v>90</v>
      </c>
      <c r="AB12" s="245" t="s">
        <v>336</v>
      </c>
      <c r="AE12" s="116" t="s">
        <v>218</v>
      </c>
      <c r="AG12" s="117"/>
      <c r="AH12" s="117"/>
      <c r="AP12" s="117" t="s">
        <v>67</v>
      </c>
      <c r="AR12" s="118" t="s">
        <v>219</v>
      </c>
      <c r="AV12" s="117" t="s">
        <v>72</v>
      </c>
      <c r="AX12" s="125">
        <v>180</v>
      </c>
      <c r="AY12" s="126">
        <v>18</v>
      </c>
      <c r="AZ12" s="126">
        <v>181</v>
      </c>
      <c r="BA12" s="127">
        <v>16</v>
      </c>
    </row>
    <row r="13" spans="1:53" s="115" customFormat="1" x14ac:dyDescent="0.15">
      <c r="A13" s="245" t="s">
        <v>51</v>
      </c>
      <c r="B13" s="245" t="s">
        <v>334</v>
      </c>
      <c r="C13" s="245">
        <v>2018</v>
      </c>
      <c r="D13" s="106" t="s">
        <v>429</v>
      </c>
      <c r="E13" s="245" t="s">
        <v>193</v>
      </c>
      <c r="F13" s="245" t="s">
        <v>194</v>
      </c>
      <c r="G13" s="245" t="s">
        <v>36</v>
      </c>
      <c r="H13" s="245" t="s">
        <v>162</v>
      </c>
      <c r="I13" s="245" t="s">
        <v>153</v>
      </c>
      <c r="J13" s="245" t="s">
        <v>38</v>
      </c>
      <c r="K13" s="245" t="s">
        <v>154</v>
      </c>
      <c r="L13" s="245">
        <v>3</v>
      </c>
      <c r="M13" s="245"/>
      <c r="N13" s="245">
        <v>3</v>
      </c>
      <c r="O13" s="245">
        <v>0.55000000000000004</v>
      </c>
      <c r="P13" s="245">
        <v>0.65</v>
      </c>
      <c r="Q13" s="107">
        <f t="shared" si="0"/>
        <v>0.60000000000000009</v>
      </c>
      <c r="R13" s="245">
        <v>17.600000000000001</v>
      </c>
      <c r="S13" s="245">
        <v>174</v>
      </c>
      <c r="T13" s="108">
        <f t="shared" si="1"/>
        <v>18</v>
      </c>
      <c r="U13" s="245">
        <v>398</v>
      </c>
      <c r="V13" s="109">
        <f t="shared" si="2"/>
        <v>2388</v>
      </c>
      <c r="W13" s="245">
        <v>8</v>
      </c>
      <c r="X13" s="245" t="s">
        <v>46</v>
      </c>
      <c r="Y13" s="245" t="s">
        <v>69</v>
      </c>
      <c r="Z13" s="245" t="s">
        <v>84</v>
      </c>
      <c r="AA13" s="245" t="s">
        <v>90</v>
      </c>
      <c r="AB13" s="245" t="s">
        <v>336</v>
      </c>
      <c r="AE13" s="116" t="s">
        <v>220</v>
      </c>
      <c r="AG13" s="117"/>
      <c r="AH13" s="117"/>
      <c r="AP13" s="117" t="s">
        <v>71</v>
      </c>
      <c r="AR13" s="118" t="s">
        <v>215</v>
      </c>
      <c r="AV13" s="117" t="s">
        <v>75</v>
      </c>
    </row>
    <row r="14" spans="1:53" s="115" customFormat="1" x14ac:dyDescent="0.15">
      <c r="A14" s="245" t="s">
        <v>51</v>
      </c>
      <c r="B14" s="245" t="s">
        <v>334</v>
      </c>
      <c r="C14" s="245">
        <v>2018</v>
      </c>
      <c r="D14" s="106" t="s">
        <v>429</v>
      </c>
      <c r="E14" s="245" t="s">
        <v>139</v>
      </c>
      <c r="F14" s="245" t="s">
        <v>430</v>
      </c>
      <c r="G14" s="245" t="s">
        <v>42</v>
      </c>
      <c r="H14" s="245" t="s">
        <v>155</v>
      </c>
      <c r="I14" s="245" t="s">
        <v>153</v>
      </c>
      <c r="J14" s="245" t="s">
        <v>38</v>
      </c>
      <c r="K14" s="245" t="s">
        <v>154</v>
      </c>
      <c r="L14" s="245">
        <v>1</v>
      </c>
      <c r="M14" s="245"/>
      <c r="N14" s="245">
        <v>1</v>
      </c>
      <c r="O14" s="245">
        <v>0.7</v>
      </c>
      <c r="P14" s="245">
        <v>0.65</v>
      </c>
      <c r="Q14" s="107">
        <f t="shared" si="0"/>
        <v>0.67500000000000004</v>
      </c>
      <c r="R14" s="245">
        <v>16.100000000000001</v>
      </c>
      <c r="S14" s="245">
        <v>142</v>
      </c>
      <c r="T14" s="108">
        <f t="shared" si="1"/>
        <v>22</v>
      </c>
      <c r="U14" s="245">
        <v>98</v>
      </c>
      <c r="V14" s="109">
        <f t="shared" si="2"/>
        <v>2156</v>
      </c>
      <c r="W14" s="245">
        <v>11</v>
      </c>
      <c r="X14" s="245" t="s">
        <v>46</v>
      </c>
      <c r="Y14" s="245" t="s">
        <v>84</v>
      </c>
      <c r="Z14" s="245" t="s">
        <v>50</v>
      </c>
      <c r="AA14" s="245" t="s">
        <v>69</v>
      </c>
      <c r="AB14" s="245" t="s">
        <v>336</v>
      </c>
      <c r="AE14" s="116" t="s">
        <v>96</v>
      </c>
      <c r="AG14" s="117"/>
      <c r="AH14" s="117"/>
      <c r="AP14" s="117" t="s">
        <v>74</v>
      </c>
      <c r="AR14" s="118" t="s">
        <v>221</v>
      </c>
      <c r="AV14" s="117" t="s">
        <v>78</v>
      </c>
    </row>
    <row r="15" spans="1:53" s="115" customFormat="1" x14ac:dyDescent="0.15">
      <c r="A15" s="245" t="s">
        <v>51</v>
      </c>
      <c r="B15" s="245" t="s">
        <v>334</v>
      </c>
      <c r="C15" s="245">
        <v>2018</v>
      </c>
      <c r="D15" s="106" t="s">
        <v>429</v>
      </c>
      <c r="E15" s="245" t="s">
        <v>139</v>
      </c>
      <c r="F15" s="245" t="s">
        <v>430</v>
      </c>
      <c r="G15" s="245" t="s">
        <v>42</v>
      </c>
      <c r="H15" s="245" t="s">
        <v>155</v>
      </c>
      <c r="I15" s="245" t="s">
        <v>153</v>
      </c>
      <c r="J15" s="245" t="s">
        <v>38</v>
      </c>
      <c r="K15" s="245" t="s">
        <v>154</v>
      </c>
      <c r="L15" s="245">
        <v>2</v>
      </c>
      <c r="M15" s="245"/>
      <c r="N15" s="245">
        <v>1</v>
      </c>
      <c r="O15" s="245">
        <v>0.65</v>
      </c>
      <c r="P15" s="245">
        <v>0.75</v>
      </c>
      <c r="Q15" s="107">
        <f t="shared" si="0"/>
        <v>0.7</v>
      </c>
      <c r="R15" s="245">
        <v>15.8</v>
      </c>
      <c r="S15" s="245">
        <v>138</v>
      </c>
      <c r="T15" s="108">
        <f t="shared" si="1"/>
        <v>22</v>
      </c>
      <c r="U15" s="245">
        <v>98</v>
      </c>
      <c r="V15" s="109">
        <f t="shared" si="2"/>
        <v>2156</v>
      </c>
      <c r="W15" s="245">
        <v>11</v>
      </c>
      <c r="X15" s="245" t="s">
        <v>46</v>
      </c>
      <c r="Y15" s="245" t="s">
        <v>84</v>
      </c>
      <c r="Z15" s="245" t="s">
        <v>50</v>
      </c>
      <c r="AA15" s="245" t="s">
        <v>69</v>
      </c>
      <c r="AB15" s="245" t="s">
        <v>336</v>
      </c>
      <c r="AE15" s="116" t="s">
        <v>222</v>
      </c>
      <c r="AG15" s="117"/>
      <c r="AH15" s="117"/>
      <c r="AP15" s="117" t="s">
        <v>77</v>
      </c>
      <c r="AR15" s="118" t="s">
        <v>80</v>
      </c>
      <c r="AV15" s="117" t="s">
        <v>107</v>
      </c>
    </row>
    <row r="16" spans="1:53" s="115" customFormat="1" x14ac:dyDescent="0.15">
      <c r="A16" s="245" t="s">
        <v>51</v>
      </c>
      <c r="B16" s="245" t="s">
        <v>334</v>
      </c>
      <c r="C16" s="245">
        <v>2018</v>
      </c>
      <c r="D16" s="106" t="s">
        <v>429</v>
      </c>
      <c r="E16" s="245" t="s">
        <v>139</v>
      </c>
      <c r="F16" s="245" t="s">
        <v>430</v>
      </c>
      <c r="G16" s="245" t="s">
        <v>42</v>
      </c>
      <c r="H16" s="245" t="s">
        <v>155</v>
      </c>
      <c r="I16" s="245" t="s">
        <v>153</v>
      </c>
      <c r="J16" s="245" t="s">
        <v>38</v>
      </c>
      <c r="K16" s="245" t="s">
        <v>154</v>
      </c>
      <c r="L16" s="245">
        <v>3</v>
      </c>
      <c r="M16" s="245"/>
      <c r="N16" s="245">
        <v>1</v>
      </c>
      <c r="O16" s="245">
        <v>0.7</v>
      </c>
      <c r="P16" s="245">
        <v>0.7</v>
      </c>
      <c r="Q16" s="107">
        <f t="shared" si="0"/>
        <v>0.7</v>
      </c>
      <c r="R16" s="245">
        <v>15.5</v>
      </c>
      <c r="S16" s="245">
        <v>138</v>
      </c>
      <c r="T16" s="108">
        <f t="shared" si="1"/>
        <v>22</v>
      </c>
      <c r="U16" s="245">
        <v>98</v>
      </c>
      <c r="V16" s="109">
        <f t="shared" si="2"/>
        <v>2156</v>
      </c>
      <c r="W16" s="245">
        <v>11</v>
      </c>
      <c r="X16" s="245" t="s">
        <v>46</v>
      </c>
      <c r="Y16" s="245" t="s">
        <v>84</v>
      </c>
      <c r="Z16" s="245" t="s">
        <v>50</v>
      </c>
      <c r="AA16" s="245" t="s">
        <v>69</v>
      </c>
      <c r="AB16" s="245" t="s">
        <v>336</v>
      </c>
      <c r="AE16" s="116" t="s">
        <v>223</v>
      </c>
      <c r="AG16" s="123"/>
      <c r="AH16" s="123"/>
      <c r="AP16" s="117" t="s">
        <v>80</v>
      </c>
      <c r="AR16" s="118" t="s">
        <v>63</v>
      </c>
      <c r="AV16" s="117" t="s">
        <v>84</v>
      </c>
    </row>
    <row r="17" spans="1:48" s="115" customFormat="1" x14ac:dyDescent="0.15">
      <c r="A17" s="245" t="s">
        <v>51</v>
      </c>
      <c r="B17" s="245" t="s">
        <v>334</v>
      </c>
      <c r="C17" s="245">
        <v>2018</v>
      </c>
      <c r="D17" s="106" t="s">
        <v>429</v>
      </c>
      <c r="E17" s="245" t="s">
        <v>139</v>
      </c>
      <c r="F17" s="245" t="s">
        <v>430</v>
      </c>
      <c r="G17" s="245" t="s">
        <v>42</v>
      </c>
      <c r="H17" s="245" t="s">
        <v>162</v>
      </c>
      <c r="I17" s="245" t="s">
        <v>153</v>
      </c>
      <c r="J17" s="245" t="s">
        <v>38</v>
      </c>
      <c r="K17" s="245" t="s">
        <v>154</v>
      </c>
      <c r="L17" s="245">
        <v>1</v>
      </c>
      <c r="M17" s="245"/>
      <c r="N17" s="245">
        <v>1</v>
      </c>
      <c r="O17" s="245">
        <v>0.75</v>
      </c>
      <c r="P17" s="245">
        <v>0.7</v>
      </c>
      <c r="Q17" s="107">
        <f t="shared" si="0"/>
        <v>0.72499999999999998</v>
      </c>
      <c r="R17" s="245">
        <v>16.600000000000001</v>
      </c>
      <c r="S17" s="245">
        <v>144</v>
      </c>
      <c r="T17" s="108">
        <f t="shared" si="1"/>
        <v>22</v>
      </c>
      <c r="U17" s="245">
        <v>128</v>
      </c>
      <c r="V17" s="109">
        <f t="shared" si="2"/>
        <v>2816</v>
      </c>
      <c r="W17" s="245">
        <v>11</v>
      </c>
      <c r="X17" s="245" t="s">
        <v>46</v>
      </c>
      <c r="Y17" s="245" t="s">
        <v>84</v>
      </c>
      <c r="Z17" s="245" t="s">
        <v>50</v>
      </c>
      <c r="AA17" s="245" t="s">
        <v>69</v>
      </c>
      <c r="AB17" s="245" t="s">
        <v>336</v>
      </c>
      <c r="AE17" s="116" t="s">
        <v>224</v>
      </c>
      <c r="AP17" s="128" t="s">
        <v>225</v>
      </c>
      <c r="AR17" s="118" t="s">
        <v>96</v>
      </c>
      <c r="AV17" s="117" t="s">
        <v>86</v>
      </c>
    </row>
    <row r="18" spans="1:48" s="115" customFormat="1" x14ac:dyDescent="0.15">
      <c r="A18" s="245" t="s">
        <v>51</v>
      </c>
      <c r="B18" s="245" t="s">
        <v>334</v>
      </c>
      <c r="C18" s="245">
        <v>2018</v>
      </c>
      <c r="D18" s="106" t="s">
        <v>429</v>
      </c>
      <c r="E18" s="245" t="s">
        <v>139</v>
      </c>
      <c r="F18" s="245" t="s">
        <v>430</v>
      </c>
      <c r="G18" s="245" t="s">
        <v>42</v>
      </c>
      <c r="H18" s="245" t="s">
        <v>162</v>
      </c>
      <c r="I18" s="245" t="s">
        <v>153</v>
      </c>
      <c r="J18" s="245" t="s">
        <v>38</v>
      </c>
      <c r="K18" s="245" t="s">
        <v>154</v>
      </c>
      <c r="L18" s="245">
        <v>2</v>
      </c>
      <c r="M18" s="245"/>
      <c r="N18" s="245">
        <v>1</v>
      </c>
      <c r="O18" s="245">
        <v>0.7</v>
      </c>
      <c r="P18" s="245">
        <v>0.8</v>
      </c>
      <c r="Q18" s="107">
        <f t="shared" si="0"/>
        <v>0.75</v>
      </c>
      <c r="R18" s="245">
        <v>17.2</v>
      </c>
      <c r="S18" s="245">
        <v>152</v>
      </c>
      <c r="T18" s="108">
        <f t="shared" si="1"/>
        <v>18</v>
      </c>
      <c r="U18" s="245">
        <v>128</v>
      </c>
      <c r="V18" s="109">
        <f t="shared" si="2"/>
        <v>2304</v>
      </c>
      <c r="W18" s="245">
        <v>11</v>
      </c>
      <c r="X18" s="245" t="s">
        <v>46</v>
      </c>
      <c r="Y18" s="245" t="s">
        <v>84</v>
      </c>
      <c r="Z18" s="245" t="s">
        <v>50</v>
      </c>
      <c r="AA18" s="245" t="s">
        <v>69</v>
      </c>
      <c r="AB18" s="245" t="s">
        <v>336</v>
      </c>
      <c r="AE18" s="116" t="s">
        <v>217</v>
      </c>
      <c r="AP18" s="128" t="s">
        <v>226</v>
      </c>
      <c r="AR18" s="118" t="s">
        <v>101</v>
      </c>
      <c r="AV18" s="117" t="s">
        <v>88</v>
      </c>
    </row>
    <row r="19" spans="1:48" s="115" customFormat="1" x14ac:dyDescent="0.15">
      <c r="A19" s="245" t="s">
        <v>51</v>
      </c>
      <c r="B19" s="245" t="s">
        <v>334</v>
      </c>
      <c r="C19" s="245">
        <v>2018</v>
      </c>
      <c r="D19" s="106" t="s">
        <v>429</v>
      </c>
      <c r="E19" s="245" t="s">
        <v>139</v>
      </c>
      <c r="F19" s="245" t="s">
        <v>430</v>
      </c>
      <c r="G19" s="245" t="s">
        <v>42</v>
      </c>
      <c r="H19" s="245" t="s">
        <v>162</v>
      </c>
      <c r="I19" s="245" t="s">
        <v>153</v>
      </c>
      <c r="J19" s="245" t="s">
        <v>38</v>
      </c>
      <c r="K19" s="245" t="s">
        <v>154</v>
      </c>
      <c r="L19" s="245">
        <v>3</v>
      </c>
      <c r="M19" s="245"/>
      <c r="N19" s="245">
        <v>1</v>
      </c>
      <c r="O19" s="245">
        <v>0.8</v>
      </c>
      <c r="P19" s="245">
        <v>0.75</v>
      </c>
      <c r="Q19" s="107">
        <f t="shared" si="0"/>
        <v>0.77500000000000002</v>
      </c>
      <c r="R19" s="245">
        <v>16.8</v>
      </c>
      <c r="S19" s="245">
        <v>144</v>
      </c>
      <c r="T19" s="108">
        <f t="shared" si="1"/>
        <v>22</v>
      </c>
      <c r="U19" s="245">
        <v>128</v>
      </c>
      <c r="V19" s="109">
        <f t="shared" si="2"/>
        <v>2816</v>
      </c>
      <c r="W19" s="245">
        <v>11</v>
      </c>
      <c r="X19" s="245" t="s">
        <v>46</v>
      </c>
      <c r="Y19" s="245" t="s">
        <v>84</v>
      </c>
      <c r="Z19" s="245" t="s">
        <v>50</v>
      </c>
      <c r="AA19" s="245" t="s">
        <v>69</v>
      </c>
      <c r="AB19" s="245" t="s">
        <v>336</v>
      </c>
      <c r="AE19" s="129" t="s">
        <v>214</v>
      </c>
      <c r="AP19" s="128" t="s">
        <v>227</v>
      </c>
      <c r="AR19" s="118" t="s">
        <v>228</v>
      </c>
      <c r="AV19" s="117" t="s">
        <v>90</v>
      </c>
    </row>
    <row r="20" spans="1:48" s="115" customFormat="1" x14ac:dyDescent="0.15">
      <c r="A20" s="245" t="s">
        <v>51</v>
      </c>
      <c r="B20" s="245" t="s">
        <v>334</v>
      </c>
      <c r="C20" s="245">
        <v>2018</v>
      </c>
      <c r="D20" s="106" t="s">
        <v>429</v>
      </c>
      <c r="E20" s="245" t="s">
        <v>204</v>
      </c>
      <c r="F20" s="245" t="s">
        <v>205</v>
      </c>
      <c r="G20" s="245" t="s">
        <v>36</v>
      </c>
      <c r="H20" s="245" t="s">
        <v>155</v>
      </c>
      <c r="I20" s="245" t="s">
        <v>153</v>
      </c>
      <c r="J20" s="245" t="s">
        <v>38</v>
      </c>
      <c r="K20" s="245" t="s">
        <v>154</v>
      </c>
      <c r="L20" s="245">
        <v>1</v>
      </c>
      <c r="M20" s="245"/>
      <c r="N20" s="245">
        <v>1</v>
      </c>
      <c r="O20" s="245">
        <v>0.8</v>
      </c>
      <c r="P20" s="245">
        <v>0.85</v>
      </c>
      <c r="Q20" s="107">
        <f t="shared" si="0"/>
        <v>0.82499999999999996</v>
      </c>
      <c r="R20" s="245">
        <v>15.6</v>
      </c>
      <c r="S20" s="245">
        <v>148</v>
      </c>
      <c r="T20" s="108">
        <f t="shared" si="1"/>
        <v>22</v>
      </c>
      <c r="U20" s="245">
        <v>128</v>
      </c>
      <c r="V20" s="109">
        <f t="shared" si="2"/>
        <v>2816</v>
      </c>
      <c r="W20" s="245">
        <v>8</v>
      </c>
      <c r="X20" s="245" t="s">
        <v>39</v>
      </c>
      <c r="Y20" s="245" t="s">
        <v>84</v>
      </c>
      <c r="Z20" s="245" t="s">
        <v>69</v>
      </c>
      <c r="AA20" s="245" t="s">
        <v>78</v>
      </c>
      <c r="AB20" s="245" t="s">
        <v>336</v>
      </c>
      <c r="AE20" s="129"/>
      <c r="AP20" s="128" t="s">
        <v>229</v>
      </c>
      <c r="AR20" s="118" t="s">
        <v>105</v>
      </c>
      <c r="AV20" s="122" t="s">
        <v>230</v>
      </c>
    </row>
    <row r="21" spans="1:48" s="115" customFormat="1" x14ac:dyDescent="0.15">
      <c r="A21" s="245" t="s">
        <v>51</v>
      </c>
      <c r="B21" s="245" t="s">
        <v>334</v>
      </c>
      <c r="C21" s="245">
        <v>2018</v>
      </c>
      <c r="D21" s="106" t="s">
        <v>429</v>
      </c>
      <c r="E21" s="245" t="s">
        <v>204</v>
      </c>
      <c r="F21" s="245" t="s">
        <v>205</v>
      </c>
      <c r="G21" s="245" t="s">
        <v>36</v>
      </c>
      <c r="H21" s="245" t="s">
        <v>155</v>
      </c>
      <c r="I21" s="245" t="s">
        <v>153</v>
      </c>
      <c r="J21" s="245" t="s">
        <v>38</v>
      </c>
      <c r="K21" s="245" t="s">
        <v>154</v>
      </c>
      <c r="L21" s="245">
        <v>2</v>
      </c>
      <c r="M21" s="245"/>
      <c r="N21" s="245">
        <v>1</v>
      </c>
      <c r="O21" s="245">
        <v>0.95</v>
      </c>
      <c r="P21" s="245">
        <v>0.75</v>
      </c>
      <c r="Q21" s="107">
        <f t="shared" si="0"/>
        <v>0.85</v>
      </c>
      <c r="R21" s="245">
        <v>14.9</v>
      </c>
      <c r="S21" s="245">
        <v>144</v>
      </c>
      <c r="T21" s="108">
        <f t="shared" si="1"/>
        <v>22</v>
      </c>
      <c r="U21" s="245">
        <v>128</v>
      </c>
      <c r="V21" s="109">
        <f t="shared" si="2"/>
        <v>2816</v>
      </c>
      <c r="W21" s="245">
        <v>8</v>
      </c>
      <c r="X21" s="245" t="s">
        <v>39</v>
      </c>
      <c r="Y21" s="245" t="s">
        <v>84</v>
      </c>
      <c r="Z21" s="245" t="s">
        <v>69</v>
      </c>
      <c r="AA21" s="245" t="s">
        <v>78</v>
      </c>
      <c r="AB21" s="245" t="s">
        <v>336</v>
      </c>
      <c r="AE21" s="123"/>
      <c r="AP21" s="128" t="s">
        <v>231</v>
      </c>
      <c r="AR21" s="118" t="s">
        <v>68</v>
      </c>
      <c r="AV21" s="122" t="s">
        <v>166</v>
      </c>
    </row>
    <row r="22" spans="1:48" s="115" customFormat="1" x14ac:dyDescent="0.15">
      <c r="A22" s="245" t="s">
        <v>51</v>
      </c>
      <c r="B22" s="245" t="s">
        <v>334</v>
      </c>
      <c r="C22" s="245">
        <v>2018</v>
      </c>
      <c r="D22" s="106" t="s">
        <v>429</v>
      </c>
      <c r="E22" s="245" t="s">
        <v>204</v>
      </c>
      <c r="F22" s="245" t="s">
        <v>205</v>
      </c>
      <c r="G22" s="245" t="s">
        <v>36</v>
      </c>
      <c r="H22" s="245" t="s">
        <v>155</v>
      </c>
      <c r="I22" s="245" t="s">
        <v>153</v>
      </c>
      <c r="J22" s="245" t="s">
        <v>38</v>
      </c>
      <c r="K22" s="245" t="s">
        <v>154</v>
      </c>
      <c r="L22" s="245">
        <v>3</v>
      </c>
      <c r="M22" s="245"/>
      <c r="N22" s="245">
        <v>1</v>
      </c>
      <c r="O22" s="245">
        <v>0.8</v>
      </c>
      <c r="P22" s="245">
        <v>0.8</v>
      </c>
      <c r="Q22" s="107">
        <f t="shared" si="0"/>
        <v>0.8</v>
      </c>
      <c r="R22" s="245">
        <v>15.3</v>
      </c>
      <c r="S22" s="245">
        <v>146</v>
      </c>
      <c r="T22" s="108">
        <f t="shared" si="1"/>
        <v>22</v>
      </c>
      <c r="U22" s="245">
        <v>128</v>
      </c>
      <c r="V22" s="109">
        <f t="shared" si="2"/>
        <v>2816</v>
      </c>
      <c r="W22" s="245">
        <v>8</v>
      </c>
      <c r="X22" s="245" t="s">
        <v>39</v>
      </c>
      <c r="Y22" s="245" t="s">
        <v>84</v>
      </c>
      <c r="Z22" s="245" t="s">
        <v>69</v>
      </c>
      <c r="AA22" s="245" t="s">
        <v>78</v>
      </c>
      <c r="AB22" s="245" t="s">
        <v>336</v>
      </c>
      <c r="AP22" s="128" t="s">
        <v>232</v>
      </c>
      <c r="AR22" s="118" t="s">
        <v>83</v>
      </c>
      <c r="AV22" s="122"/>
    </row>
    <row r="23" spans="1:48" s="115" customFormat="1" x14ac:dyDescent="0.15">
      <c r="A23" s="245" t="s">
        <v>51</v>
      </c>
      <c r="B23" s="245" t="s">
        <v>334</v>
      </c>
      <c r="C23" s="245">
        <v>2018</v>
      </c>
      <c r="D23" s="106" t="s">
        <v>429</v>
      </c>
      <c r="E23" s="245" t="s">
        <v>204</v>
      </c>
      <c r="F23" s="245" t="s">
        <v>205</v>
      </c>
      <c r="G23" s="245" t="s">
        <v>36</v>
      </c>
      <c r="H23" s="245" t="s">
        <v>162</v>
      </c>
      <c r="I23" s="245" t="s">
        <v>153</v>
      </c>
      <c r="J23" s="245" t="s">
        <v>38</v>
      </c>
      <c r="K23" s="245" t="s">
        <v>154</v>
      </c>
      <c r="L23" s="245">
        <v>1</v>
      </c>
      <c r="M23" s="245"/>
      <c r="N23" s="245">
        <v>3</v>
      </c>
      <c r="O23" s="245">
        <v>0.55000000000000004</v>
      </c>
      <c r="P23" s="245">
        <v>0.55000000000000004</v>
      </c>
      <c r="Q23" s="107">
        <f t="shared" si="0"/>
        <v>0.55000000000000004</v>
      </c>
      <c r="R23" s="245">
        <v>16</v>
      </c>
      <c r="S23" s="245">
        <v>138</v>
      </c>
      <c r="T23" s="108">
        <f t="shared" si="1"/>
        <v>22</v>
      </c>
      <c r="U23" s="245">
        <v>398</v>
      </c>
      <c r="V23" s="109">
        <f t="shared" si="2"/>
        <v>2918.6666666666665</v>
      </c>
      <c r="W23" s="245">
        <v>8</v>
      </c>
      <c r="X23" s="245" t="s">
        <v>39</v>
      </c>
      <c r="Y23" s="245" t="s">
        <v>84</v>
      </c>
      <c r="Z23" s="245" t="s">
        <v>69</v>
      </c>
      <c r="AA23" s="245" t="s">
        <v>78</v>
      </c>
      <c r="AB23" s="245" t="s">
        <v>336</v>
      </c>
      <c r="AP23" s="128" t="s">
        <v>233</v>
      </c>
      <c r="AR23" s="118" t="s">
        <v>61</v>
      </c>
    </row>
    <row r="24" spans="1:48" s="115" customFormat="1" x14ac:dyDescent="0.15">
      <c r="A24" s="245" t="s">
        <v>51</v>
      </c>
      <c r="B24" s="245" t="s">
        <v>334</v>
      </c>
      <c r="C24" s="245">
        <v>2018</v>
      </c>
      <c r="D24" s="106" t="s">
        <v>429</v>
      </c>
      <c r="E24" s="245" t="s">
        <v>204</v>
      </c>
      <c r="F24" s="245" t="s">
        <v>205</v>
      </c>
      <c r="G24" s="245" t="s">
        <v>36</v>
      </c>
      <c r="H24" s="245" t="s">
        <v>162</v>
      </c>
      <c r="I24" s="245" t="s">
        <v>153</v>
      </c>
      <c r="J24" s="245" t="s">
        <v>38</v>
      </c>
      <c r="K24" s="245" t="s">
        <v>154</v>
      </c>
      <c r="L24" s="245">
        <v>2</v>
      </c>
      <c r="M24" s="245"/>
      <c r="N24" s="245">
        <v>3</v>
      </c>
      <c r="O24" s="245">
        <v>0.65</v>
      </c>
      <c r="P24" s="245">
        <v>0.6</v>
      </c>
      <c r="Q24" s="107">
        <f t="shared" si="0"/>
        <v>0.625</v>
      </c>
      <c r="R24" s="245">
        <v>16.600000000000001</v>
      </c>
      <c r="S24" s="245">
        <v>144</v>
      </c>
      <c r="T24" s="108">
        <f t="shared" si="1"/>
        <v>22</v>
      </c>
      <c r="U24" s="245">
        <v>398</v>
      </c>
      <c r="V24" s="109">
        <f t="shared" si="2"/>
        <v>2918.6666666666665</v>
      </c>
      <c r="W24" s="245">
        <v>8</v>
      </c>
      <c r="X24" s="245" t="s">
        <v>39</v>
      </c>
      <c r="Y24" s="245" t="s">
        <v>84</v>
      </c>
      <c r="Z24" s="245" t="s">
        <v>69</v>
      </c>
      <c r="AA24" s="245" t="s">
        <v>78</v>
      </c>
      <c r="AB24" s="245" t="s">
        <v>336</v>
      </c>
      <c r="AP24" s="128" t="s">
        <v>234</v>
      </c>
      <c r="AR24" s="118" t="s">
        <v>91</v>
      </c>
    </row>
    <row r="25" spans="1:48" s="115" customFormat="1" x14ac:dyDescent="0.15">
      <c r="A25" s="245" t="s">
        <v>51</v>
      </c>
      <c r="B25" s="245" t="s">
        <v>334</v>
      </c>
      <c r="C25" s="245">
        <v>2018</v>
      </c>
      <c r="D25" s="106" t="s">
        <v>429</v>
      </c>
      <c r="E25" s="245" t="s">
        <v>204</v>
      </c>
      <c r="F25" s="245" t="s">
        <v>205</v>
      </c>
      <c r="G25" s="245" t="s">
        <v>36</v>
      </c>
      <c r="H25" s="245" t="s">
        <v>162</v>
      </c>
      <c r="I25" s="245" t="s">
        <v>153</v>
      </c>
      <c r="J25" s="245" t="s">
        <v>38</v>
      </c>
      <c r="K25" s="245" t="s">
        <v>154</v>
      </c>
      <c r="L25" s="245">
        <v>3</v>
      </c>
      <c r="M25" s="245"/>
      <c r="N25" s="245">
        <v>3</v>
      </c>
      <c r="O25" s="245">
        <v>0.5</v>
      </c>
      <c r="P25" s="245">
        <v>0.6</v>
      </c>
      <c r="Q25" s="107">
        <f t="shared" si="0"/>
        <v>0.55000000000000004</v>
      </c>
      <c r="R25" s="245">
        <v>16.100000000000001</v>
      </c>
      <c r="S25" s="245">
        <v>138</v>
      </c>
      <c r="T25" s="108">
        <f t="shared" si="1"/>
        <v>22</v>
      </c>
      <c r="U25" s="245">
        <v>398</v>
      </c>
      <c r="V25" s="109">
        <f t="shared" si="2"/>
        <v>2918.6666666666665</v>
      </c>
      <c r="W25" s="245">
        <v>8</v>
      </c>
      <c r="X25" s="245" t="s">
        <v>39</v>
      </c>
      <c r="Y25" s="245" t="s">
        <v>84</v>
      </c>
      <c r="Z25" s="245" t="s">
        <v>69</v>
      </c>
      <c r="AA25" s="245" t="s">
        <v>78</v>
      </c>
      <c r="AB25" s="245" t="s">
        <v>336</v>
      </c>
      <c r="AP25" s="128" t="s">
        <v>235</v>
      </c>
      <c r="AR25" s="128" t="s">
        <v>51</v>
      </c>
    </row>
    <row r="26" spans="1:48" s="115" customFormat="1" x14ac:dyDescent="0.15">
      <c r="A26" s="245" t="s">
        <v>51</v>
      </c>
      <c r="B26" s="245" t="s">
        <v>334</v>
      </c>
      <c r="C26" s="245">
        <v>2018</v>
      </c>
      <c r="D26" s="106" t="s">
        <v>429</v>
      </c>
      <c r="E26" s="245" t="s">
        <v>167</v>
      </c>
      <c r="F26" s="245" t="s">
        <v>191</v>
      </c>
      <c r="G26" s="245" t="s">
        <v>42</v>
      </c>
      <c r="H26" s="245" t="s">
        <v>155</v>
      </c>
      <c r="I26" s="245" t="s">
        <v>153</v>
      </c>
      <c r="J26" s="245" t="s">
        <v>38</v>
      </c>
      <c r="K26" s="245" t="s">
        <v>154</v>
      </c>
      <c r="L26" s="245">
        <v>1</v>
      </c>
      <c r="M26" s="245"/>
      <c r="N26" s="245">
        <v>1</v>
      </c>
      <c r="O26" s="245">
        <v>0.8</v>
      </c>
      <c r="P26" s="245">
        <v>0.65</v>
      </c>
      <c r="Q26" s="107">
        <f t="shared" si="0"/>
        <v>0.72500000000000009</v>
      </c>
      <c r="R26" s="245">
        <v>15.7</v>
      </c>
      <c r="S26" s="245">
        <v>142</v>
      </c>
      <c r="T26" s="108">
        <f t="shared" si="1"/>
        <v>22</v>
      </c>
      <c r="U26" s="245">
        <v>127</v>
      </c>
      <c r="V26" s="109">
        <f t="shared" si="2"/>
        <v>2794</v>
      </c>
      <c r="W26" s="245">
        <v>13</v>
      </c>
      <c r="X26" s="245" t="s">
        <v>46</v>
      </c>
      <c r="Y26" s="245" t="s">
        <v>84</v>
      </c>
      <c r="Z26" s="245" t="s">
        <v>102</v>
      </c>
      <c r="AA26" s="245" t="s">
        <v>69</v>
      </c>
      <c r="AB26" s="245" t="s">
        <v>336</v>
      </c>
      <c r="AP26" s="128" t="s">
        <v>236</v>
      </c>
      <c r="AR26" s="115" t="s">
        <v>431</v>
      </c>
    </row>
    <row r="27" spans="1:48" s="115" customFormat="1" x14ac:dyDescent="0.15">
      <c r="A27" s="245" t="s">
        <v>51</v>
      </c>
      <c r="B27" s="245" t="s">
        <v>334</v>
      </c>
      <c r="C27" s="245">
        <v>2018</v>
      </c>
      <c r="D27" s="106" t="s">
        <v>429</v>
      </c>
      <c r="E27" s="245" t="s">
        <v>167</v>
      </c>
      <c r="F27" s="245" t="s">
        <v>191</v>
      </c>
      <c r="G27" s="245" t="s">
        <v>42</v>
      </c>
      <c r="H27" s="245" t="s">
        <v>155</v>
      </c>
      <c r="I27" s="245" t="s">
        <v>153</v>
      </c>
      <c r="J27" s="245" t="s">
        <v>38</v>
      </c>
      <c r="K27" s="245" t="s">
        <v>154</v>
      </c>
      <c r="L27" s="245">
        <v>2</v>
      </c>
      <c r="M27" s="245"/>
      <c r="N27" s="245">
        <v>1</v>
      </c>
      <c r="O27" s="245">
        <v>0.7</v>
      </c>
      <c r="P27" s="245">
        <v>0.7</v>
      </c>
      <c r="Q27" s="107">
        <f t="shared" si="0"/>
        <v>0.7</v>
      </c>
      <c r="R27" s="245">
        <v>16.2</v>
      </c>
      <c r="S27" s="245">
        <v>148</v>
      </c>
      <c r="T27" s="108">
        <f t="shared" si="1"/>
        <v>22</v>
      </c>
      <c r="U27" s="245">
        <v>127</v>
      </c>
      <c r="V27" s="109">
        <f t="shared" si="2"/>
        <v>2794</v>
      </c>
      <c r="W27" s="245">
        <v>13</v>
      </c>
      <c r="X27" s="245" t="s">
        <v>46</v>
      </c>
      <c r="Y27" s="245" t="s">
        <v>84</v>
      </c>
      <c r="Z27" s="245" t="s">
        <v>102</v>
      </c>
      <c r="AA27" s="245" t="s">
        <v>69</v>
      </c>
      <c r="AB27" s="245" t="s">
        <v>336</v>
      </c>
      <c r="AP27" s="128" t="s">
        <v>237</v>
      </c>
    </row>
    <row r="28" spans="1:48" s="115" customFormat="1" x14ac:dyDescent="0.15">
      <c r="A28" s="245" t="s">
        <v>51</v>
      </c>
      <c r="B28" s="245" t="s">
        <v>334</v>
      </c>
      <c r="C28" s="245">
        <v>2018</v>
      </c>
      <c r="D28" s="106" t="s">
        <v>429</v>
      </c>
      <c r="E28" s="245" t="s">
        <v>167</v>
      </c>
      <c r="F28" s="245" t="s">
        <v>191</v>
      </c>
      <c r="G28" s="245" t="s">
        <v>42</v>
      </c>
      <c r="H28" s="245" t="s">
        <v>155</v>
      </c>
      <c r="I28" s="245" t="s">
        <v>153</v>
      </c>
      <c r="J28" s="245" t="s">
        <v>38</v>
      </c>
      <c r="K28" s="245" t="s">
        <v>154</v>
      </c>
      <c r="L28" s="245">
        <v>3</v>
      </c>
      <c r="M28" s="245"/>
      <c r="N28" s="245">
        <v>1</v>
      </c>
      <c r="O28" s="245">
        <v>0.75</v>
      </c>
      <c r="P28" s="245">
        <v>0.75</v>
      </c>
      <c r="Q28" s="107">
        <f t="shared" si="0"/>
        <v>0.75</v>
      </c>
      <c r="R28" s="245">
        <v>15.4</v>
      </c>
      <c r="S28" s="245">
        <v>140</v>
      </c>
      <c r="T28" s="108">
        <f t="shared" si="1"/>
        <v>22</v>
      </c>
      <c r="U28" s="245">
        <v>127</v>
      </c>
      <c r="V28" s="109">
        <f t="shared" si="2"/>
        <v>2794</v>
      </c>
      <c r="W28" s="245">
        <v>13</v>
      </c>
      <c r="X28" s="245" t="s">
        <v>46</v>
      </c>
      <c r="Y28" s="245" t="s">
        <v>84</v>
      </c>
      <c r="Z28" s="245" t="s">
        <v>102</v>
      </c>
      <c r="AA28" s="245" t="s">
        <v>69</v>
      </c>
      <c r="AB28" s="245" t="s">
        <v>336</v>
      </c>
    </row>
    <row r="29" spans="1:48" s="115" customFormat="1" x14ac:dyDescent="0.15">
      <c r="A29" s="245" t="s">
        <v>51</v>
      </c>
      <c r="B29" s="245" t="s">
        <v>334</v>
      </c>
      <c r="C29" s="245">
        <v>2018</v>
      </c>
      <c r="D29" s="106" t="s">
        <v>429</v>
      </c>
      <c r="E29" s="245" t="s">
        <v>167</v>
      </c>
      <c r="F29" s="245" t="s">
        <v>191</v>
      </c>
      <c r="G29" s="245" t="s">
        <v>42</v>
      </c>
      <c r="H29" s="245" t="s">
        <v>162</v>
      </c>
      <c r="I29" s="245" t="s">
        <v>153</v>
      </c>
      <c r="J29" s="245" t="s">
        <v>38</v>
      </c>
      <c r="K29" s="245" t="s">
        <v>154</v>
      </c>
      <c r="L29" s="245">
        <v>1</v>
      </c>
      <c r="M29" s="245"/>
      <c r="N29" s="245">
        <v>1</v>
      </c>
      <c r="O29" s="245">
        <v>0.75</v>
      </c>
      <c r="P29" s="245">
        <v>0.7</v>
      </c>
      <c r="Q29" s="107">
        <f t="shared" si="0"/>
        <v>0.72499999999999998</v>
      </c>
      <c r="R29" s="245">
        <v>16.7</v>
      </c>
      <c r="S29" s="245">
        <v>166</v>
      </c>
      <c r="T29" s="108">
        <f t="shared" si="1"/>
        <v>18</v>
      </c>
      <c r="U29" s="245">
        <v>127</v>
      </c>
      <c r="V29" s="109">
        <f t="shared" si="2"/>
        <v>2286</v>
      </c>
      <c r="W29" s="245">
        <v>13</v>
      </c>
      <c r="X29" s="245" t="s">
        <v>46</v>
      </c>
      <c r="Y29" s="245" t="s">
        <v>84</v>
      </c>
      <c r="Z29" s="245" t="s">
        <v>102</v>
      </c>
      <c r="AA29" s="245" t="s">
        <v>69</v>
      </c>
      <c r="AB29" s="245" t="s">
        <v>336</v>
      </c>
    </row>
    <row r="30" spans="1:48" s="115" customFormat="1" x14ac:dyDescent="0.15">
      <c r="A30" s="245" t="s">
        <v>51</v>
      </c>
      <c r="B30" s="245" t="s">
        <v>334</v>
      </c>
      <c r="C30" s="245">
        <v>2018</v>
      </c>
      <c r="D30" s="106" t="s">
        <v>429</v>
      </c>
      <c r="E30" s="245" t="s">
        <v>167</v>
      </c>
      <c r="F30" s="245" t="s">
        <v>191</v>
      </c>
      <c r="G30" s="245" t="s">
        <v>42</v>
      </c>
      <c r="H30" s="245" t="s">
        <v>162</v>
      </c>
      <c r="I30" s="245" t="s">
        <v>153</v>
      </c>
      <c r="J30" s="245" t="s">
        <v>38</v>
      </c>
      <c r="K30" s="245" t="s">
        <v>154</v>
      </c>
      <c r="L30" s="245">
        <v>2</v>
      </c>
      <c r="M30" s="245"/>
      <c r="N30" s="245">
        <v>1</v>
      </c>
      <c r="O30" s="245">
        <v>0.65</v>
      </c>
      <c r="P30" s="245">
        <v>0.7</v>
      </c>
      <c r="Q30" s="107">
        <f t="shared" si="0"/>
        <v>0.67500000000000004</v>
      </c>
      <c r="R30" s="245">
        <v>16.399999999999999</v>
      </c>
      <c r="S30" s="245">
        <v>156</v>
      </c>
      <c r="T30" s="108">
        <f t="shared" si="1"/>
        <v>18</v>
      </c>
      <c r="U30" s="245">
        <v>127</v>
      </c>
      <c r="V30" s="109">
        <f t="shared" si="2"/>
        <v>2286</v>
      </c>
      <c r="W30" s="245">
        <v>13</v>
      </c>
      <c r="X30" s="245" t="s">
        <v>46</v>
      </c>
      <c r="Y30" s="245" t="s">
        <v>84</v>
      </c>
      <c r="Z30" s="245" t="s">
        <v>102</v>
      </c>
      <c r="AA30" s="245" t="s">
        <v>69</v>
      </c>
      <c r="AB30" s="245" t="s">
        <v>336</v>
      </c>
    </row>
    <row r="31" spans="1:48" s="115" customFormat="1" x14ac:dyDescent="0.15">
      <c r="A31" s="245" t="s">
        <v>51</v>
      </c>
      <c r="B31" s="245" t="s">
        <v>334</v>
      </c>
      <c r="C31" s="245">
        <v>2018</v>
      </c>
      <c r="D31" s="106" t="s">
        <v>429</v>
      </c>
      <c r="E31" s="245" t="s">
        <v>167</v>
      </c>
      <c r="F31" s="245" t="s">
        <v>191</v>
      </c>
      <c r="G31" s="245" t="s">
        <v>42</v>
      </c>
      <c r="H31" s="245" t="s">
        <v>162</v>
      </c>
      <c r="I31" s="245" t="s">
        <v>153</v>
      </c>
      <c r="J31" s="245" t="s">
        <v>38</v>
      </c>
      <c r="K31" s="245" t="s">
        <v>154</v>
      </c>
      <c r="L31" s="245">
        <v>3</v>
      </c>
      <c r="M31" s="245"/>
      <c r="N31" s="245">
        <v>1</v>
      </c>
      <c r="O31" s="245">
        <v>0.75</v>
      </c>
      <c r="P31" s="245">
        <v>0.75</v>
      </c>
      <c r="Q31" s="107">
        <f t="shared" si="0"/>
        <v>0.75</v>
      </c>
      <c r="R31" s="245">
        <v>17.8</v>
      </c>
      <c r="S31" s="245">
        <v>176</v>
      </c>
      <c r="T31" s="108">
        <f t="shared" si="1"/>
        <v>18</v>
      </c>
      <c r="U31" s="245">
        <v>127</v>
      </c>
      <c r="V31" s="109">
        <f t="shared" si="2"/>
        <v>2286</v>
      </c>
      <c r="W31" s="245">
        <v>13</v>
      </c>
      <c r="X31" s="245" t="s">
        <v>46</v>
      </c>
      <c r="Y31" s="245" t="s">
        <v>84</v>
      </c>
      <c r="Z31" s="245" t="s">
        <v>102</v>
      </c>
      <c r="AA31" s="245" t="s">
        <v>69</v>
      </c>
      <c r="AB31" s="245" t="s">
        <v>336</v>
      </c>
    </row>
    <row r="32" spans="1:48" s="115" customFormat="1" x14ac:dyDescent="0.15">
      <c r="A32" s="245" t="s">
        <v>51</v>
      </c>
      <c r="B32" s="245" t="s">
        <v>334</v>
      </c>
      <c r="C32" s="245">
        <v>2018</v>
      </c>
      <c r="D32" s="106" t="s">
        <v>429</v>
      </c>
      <c r="E32" s="245" t="s">
        <v>207</v>
      </c>
      <c r="F32" s="245" t="s">
        <v>191</v>
      </c>
      <c r="G32" s="245" t="s">
        <v>42</v>
      </c>
      <c r="H32" s="245" t="s">
        <v>155</v>
      </c>
      <c r="I32" s="245" t="s">
        <v>153</v>
      </c>
      <c r="J32" s="245" t="s">
        <v>38</v>
      </c>
      <c r="K32" s="245" t="s">
        <v>154</v>
      </c>
      <c r="L32" s="245">
        <v>1</v>
      </c>
      <c r="M32" s="245"/>
      <c r="N32" s="245">
        <v>1</v>
      </c>
      <c r="O32" s="245">
        <v>0.95</v>
      </c>
      <c r="P32" s="245">
        <v>0.9</v>
      </c>
      <c r="Q32" s="107">
        <f t="shared" si="0"/>
        <v>0.92500000000000004</v>
      </c>
      <c r="R32" s="245">
        <v>15.4</v>
      </c>
      <c r="S32" s="245">
        <v>144</v>
      </c>
      <c r="T32" s="108">
        <f t="shared" si="1"/>
        <v>22</v>
      </c>
      <c r="U32" s="245">
        <v>78</v>
      </c>
      <c r="V32" s="109">
        <f t="shared" si="2"/>
        <v>1716</v>
      </c>
      <c r="W32" s="245">
        <v>21</v>
      </c>
      <c r="X32" s="245" t="s">
        <v>46</v>
      </c>
      <c r="Y32" s="245" t="s">
        <v>90</v>
      </c>
      <c r="Z32" s="245" t="s">
        <v>84</v>
      </c>
      <c r="AA32" s="245" t="s">
        <v>69</v>
      </c>
      <c r="AB32" s="245" t="s">
        <v>336</v>
      </c>
    </row>
    <row r="33" spans="1:28" s="115" customFormat="1" x14ac:dyDescent="0.15">
      <c r="A33" s="245" t="s">
        <v>51</v>
      </c>
      <c r="B33" s="245" t="s">
        <v>334</v>
      </c>
      <c r="C33" s="245">
        <v>2018</v>
      </c>
      <c r="D33" s="106" t="s">
        <v>429</v>
      </c>
      <c r="E33" s="245" t="s">
        <v>207</v>
      </c>
      <c r="F33" s="245" t="s">
        <v>191</v>
      </c>
      <c r="G33" s="245" t="s">
        <v>42</v>
      </c>
      <c r="H33" s="245" t="s">
        <v>155</v>
      </c>
      <c r="I33" s="245" t="s">
        <v>153</v>
      </c>
      <c r="J33" s="245" t="s">
        <v>38</v>
      </c>
      <c r="K33" s="245" t="s">
        <v>154</v>
      </c>
      <c r="L33" s="245">
        <v>2</v>
      </c>
      <c r="M33" s="245"/>
      <c r="N33" s="245">
        <v>1</v>
      </c>
      <c r="O33" s="245">
        <v>0.85</v>
      </c>
      <c r="P33" s="245">
        <v>0.95</v>
      </c>
      <c r="Q33" s="107">
        <f t="shared" si="0"/>
        <v>0.89999999999999991</v>
      </c>
      <c r="R33" s="245">
        <v>15.8</v>
      </c>
      <c r="S33" s="245">
        <v>148</v>
      </c>
      <c r="T33" s="108">
        <f t="shared" si="1"/>
        <v>22</v>
      </c>
      <c r="U33" s="245">
        <v>78</v>
      </c>
      <c r="V33" s="109">
        <f t="shared" si="2"/>
        <v>1716</v>
      </c>
      <c r="W33" s="245">
        <v>21</v>
      </c>
      <c r="X33" s="245" t="s">
        <v>46</v>
      </c>
      <c r="Y33" s="245" t="s">
        <v>90</v>
      </c>
      <c r="Z33" s="245" t="s">
        <v>84</v>
      </c>
      <c r="AA33" s="245" t="s">
        <v>69</v>
      </c>
      <c r="AB33" s="245" t="s">
        <v>336</v>
      </c>
    </row>
    <row r="34" spans="1:28" s="115" customFormat="1" x14ac:dyDescent="0.15">
      <c r="A34" s="245" t="s">
        <v>51</v>
      </c>
      <c r="B34" s="245" t="s">
        <v>334</v>
      </c>
      <c r="C34" s="245">
        <v>2018</v>
      </c>
      <c r="D34" s="106" t="s">
        <v>429</v>
      </c>
      <c r="E34" s="245" t="s">
        <v>207</v>
      </c>
      <c r="F34" s="245" t="s">
        <v>191</v>
      </c>
      <c r="G34" s="245" t="s">
        <v>42</v>
      </c>
      <c r="H34" s="245" t="s">
        <v>155</v>
      </c>
      <c r="I34" s="245" t="s">
        <v>153</v>
      </c>
      <c r="J34" s="245" t="s">
        <v>38</v>
      </c>
      <c r="K34" s="245" t="s">
        <v>154</v>
      </c>
      <c r="L34" s="245">
        <v>3</v>
      </c>
      <c r="M34" s="245"/>
      <c r="N34" s="245">
        <v>1</v>
      </c>
      <c r="O34" s="245">
        <v>0.9</v>
      </c>
      <c r="P34" s="245">
        <v>1</v>
      </c>
      <c r="Q34" s="107">
        <f t="shared" si="0"/>
        <v>0.95</v>
      </c>
      <c r="R34" s="245">
        <v>15</v>
      </c>
      <c r="S34" s="245">
        <v>138</v>
      </c>
      <c r="T34" s="108">
        <f t="shared" si="1"/>
        <v>22</v>
      </c>
      <c r="U34" s="245">
        <v>78</v>
      </c>
      <c r="V34" s="109">
        <f t="shared" si="2"/>
        <v>1716</v>
      </c>
      <c r="W34" s="245">
        <v>21</v>
      </c>
      <c r="X34" s="245" t="s">
        <v>46</v>
      </c>
      <c r="Y34" s="245" t="s">
        <v>90</v>
      </c>
      <c r="Z34" s="245" t="s">
        <v>84</v>
      </c>
      <c r="AA34" s="245" t="s">
        <v>69</v>
      </c>
      <c r="AB34" s="245" t="s">
        <v>336</v>
      </c>
    </row>
    <row r="35" spans="1:28" s="115" customFormat="1" x14ac:dyDescent="0.15">
      <c r="A35" s="245" t="s">
        <v>51</v>
      </c>
      <c r="B35" s="245" t="s">
        <v>334</v>
      </c>
      <c r="C35" s="245">
        <v>2018</v>
      </c>
      <c r="D35" s="106" t="s">
        <v>429</v>
      </c>
      <c r="E35" s="245" t="s">
        <v>207</v>
      </c>
      <c r="F35" s="245" t="s">
        <v>191</v>
      </c>
      <c r="G35" s="245" t="s">
        <v>42</v>
      </c>
      <c r="H35" s="245" t="s">
        <v>162</v>
      </c>
      <c r="I35" s="245" t="s">
        <v>153</v>
      </c>
      <c r="J35" s="245" t="s">
        <v>38</v>
      </c>
      <c r="K35" s="245" t="s">
        <v>154</v>
      </c>
      <c r="L35" s="245">
        <v>1</v>
      </c>
      <c r="M35" s="245"/>
      <c r="N35" s="245">
        <v>4</v>
      </c>
      <c r="O35" s="245">
        <v>0.7</v>
      </c>
      <c r="P35" s="245">
        <v>0.55000000000000004</v>
      </c>
      <c r="Q35" s="107">
        <f t="shared" si="0"/>
        <v>0.625</v>
      </c>
      <c r="R35" s="245">
        <v>18.3</v>
      </c>
      <c r="S35" s="245">
        <v>174</v>
      </c>
      <c r="T35" s="108">
        <f t="shared" si="1"/>
        <v>18</v>
      </c>
      <c r="U35" s="245">
        <v>498</v>
      </c>
      <c r="V35" s="109">
        <f t="shared" si="2"/>
        <v>2241</v>
      </c>
      <c r="W35" s="245">
        <v>21</v>
      </c>
      <c r="X35" s="245" t="s">
        <v>46</v>
      </c>
      <c r="Y35" s="245" t="s">
        <v>90</v>
      </c>
      <c r="Z35" s="245" t="s">
        <v>84</v>
      </c>
      <c r="AA35" s="245" t="s">
        <v>69</v>
      </c>
      <c r="AB35" s="245" t="s">
        <v>336</v>
      </c>
    </row>
    <row r="36" spans="1:28" s="115" customFormat="1" x14ac:dyDescent="0.15">
      <c r="A36" s="245" t="s">
        <v>51</v>
      </c>
      <c r="B36" s="245" t="s">
        <v>334</v>
      </c>
      <c r="C36" s="245">
        <v>2018</v>
      </c>
      <c r="D36" s="106" t="s">
        <v>429</v>
      </c>
      <c r="E36" s="245" t="s">
        <v>207</v>
      </c>
      <c r="F36" s="245" t="s">
        <v>191</v>
      </c>
      <c r="G36" s="245" t="s">
        <v>42</v>
      </c>
      <c r="H36" s="245" t="s">
        <v>162</v>
      </c>
      <c r="I36" s="245" t="s">
        <v>153</v>
      </c>
      <c r="J36" s="245" t="s">
        <v>38</v>
      </c>
      <c r="K36" s="245" t="s">
        <v>154</v>
      </c>
      <c r="L36" s="245">
        <v>2</v>
      </c>
      <c r="M36" s="245"/>
      <c r="N36" s="245">
        <v>4</v>
      </c>
      <c r="O36" s="245">
        <v>0.65</v>
      </c>
      <c r="P36" s="245">
        <v>0.65</v>
      </c>
      <c r="Q36" s="107">
        <f t="shared" si="0"/>
        <v>0.65</v>
      </c>
      <c r="R36" s="245">
        <v>17.600000000000001</v>
      </c>
      <c r="S36" s="245">
        <v>164</v>
      </c>
      <c r="T36" s="108">
        <f t="shared" si="1"/>
        <v>18</v>
      </c>
      <c r="U36" s="245">
        <v>498</v>
      </c>
      <c r="V36" s="109">
        <f t="shared" si="2"/>
        <v>2241</v>
      </c>
      <c r="W36" s="245">
        <v>21</v>
      </c>
      <c r="X36" s="245" t="s">
        <v>46</v>
      </c>
      <c r="Y36" s="245" t="s">
        <v>90</v>
      </c>
      <c r="Z36" s="245" t="s">
        <v>84</v>
      </c>
      <c r="AA36" s="245" t="s">
        <v>69</v>
      </c>
      <c r="AB36" s="245" t="s">
        <v>336</v>
      </c>
    </row>
    <row r="37" spans="1:28" s="115" customFormat="1" x14ac:dyDescent="0.15">
      <c r="A37" s="245" t="s">
        <v>51</v>
      </c>
      <c r="B37" s="245" t="s">
        <v>334</v>
      </c>
      <c r="C37" s="245">
        <v>2018</v>
      </c>
      <c r="D37" s="106" t="s">
        <v>429</v>
      </c>
      <c r="E37" s="245" t="s">
        <v>207</v>
      </c>
      <c r="F37" s="245" t="s">
        <v>191</v>
      </c>
      <c r="G37" s="245" t="s">
        <v>42</v>
      </c>
      <c r="H37" s="245" t="s">
        <v>162</v>
      </c>
      <c r="I37" s="245" t="s">
        <v>153</v>
      </c>
      <c r="J37" s="245" t="s">
        <v>38</v>
      </c>
      <c r="K37" s="245" t="s">
        <v>154</v>
      </c>
      <c r="L37" s="245">
        <v>3</v>
      </c>
      <c r="M37" s="245"/>
      <c r="N37" s="245">
        <v>4</v>
      </c>
      <c r="O37" s="245">
        <v>0.55000000000000004</v>
      </c>
      <c r="P37" s="245">
        <v>0.6</v>
      </c>
      <c r="Q37" s="107">
        <f t="shared" si="0"/>
        <v>0.57499999999999996</v>
      </c>
      <c r="R37" s="245">
        <v>17.2</v>
      </c>
      <c r="S37" s="245">
        <v>152</v>
      </c>
      <c r="T37" s="108">
        <f t="shared" si="1"/>
        <v>18</v>
      </c>
      <c r="U37" s="245">
        <v>498</v>
      </c>
      <c r="V37" s="109">
        <f t="shared" si="2"/>
        <v>2241</v>
      </c>
      <c r="W37" s="245">
        <v>21</v>
      </c>
      <c r="X37" s="245" t="s">
        <v>46</v>
      </c>
      <c r="Y37" s="245" t="s">
        <v>90</v>
      </c>
      <c r="Z37" s="245" t="s">
        <v>84</v>
      </c>
      <c r="AA37" s="245" t="s">
        <v>69</v>
      </c>
      <c r="AB37" s="245" t="s">
        <v>336</v>
      </c>
    </row>
    <row r="38" spans="1:28" s="115" customFormat="1" x14ac:dyDescent="0.15">
      <c r="A38" s="245" t="s">
        <v>51</v>
      </c>
      <c r="B38" s="245" t="s">
        <v>334</v>
      </c>
      <c r="C38" s="245">
        <v>2018</v>
      </c>
      <c r="D38" s="106" t="s">
        <v>429</v>
      </c>
      <c r="E38" s="245" t="s">
        <v>196</v>
      </c>
      <c r="F38" s="245" t="s">
        <v>197</v>
      </c>
      <c r="G38" s="245" t="s">
        <v>42</v>
      </c>
      <c r="H38" s="245" t="s">
        <v>155</v>
      </c>
      <c r="I38" s="245" t="s">
        <v>153</v>
      </c>
      <c r="J38" s="245" t="s">
        <v>38</v>
      </c>
      <c r="K38" s="245" t="s">
        <v>154</v>
      </c>
      <c r="L38" s="245">
        <v>1</v>
      </c>
      <c r="M38" s="245"/>
      <c r="N38" s="245">
        <v>1</v>
      </c>
      <c r="O38" s="245">
        <v>1.2</v>
      </c>
      <c r="P38" s="245">
        <v>1.3</v>
      </c>
      <c r="Q38" s="107">
        <f t="shared" si="0"/>
        <v>1.25</v>
      </c>
      <c r="R38" s="245">
        <v>13.6</v>
      </c>
      <c r="S38" s="245">
        <v>140</v>
      </c>
      <c r="T38" s="108">
        <f t="shared" si="1"/>
        <v>22</v>
      </c>
      <c r="U38" s="245">
        <v>138</v>
      </c>
      <c r="V38" s="109">
        <f t="shared" si="2"/>
        <v>3036</v>
      </c>
      <c r="W38" s="245">
        <v>3</v>
      </c>
      <c r="X38" s="245" t="s">
        <v>39</v>
      </c>
      <c r="Y38" s="245" t="s">
        <v>90</v>
      </c>
      <c r="Z38" s="245" t="s">
        <v>69</v>
      </c>
      <c r="AA38" s="245" t="s">
        <v>78</v>
      </c>
      <c r="AB38" s="245" t="s">
        <v>336</v>
      </c>
    </row>
    <row r="39" spans="1:28" s="115" customFormat="1" x14ac:dyDescent="0.15">
      <c r="A39" s="245" t="s">
        <v>51</v>
      </c>
      <c r="B39" s="245" t="s">
        <v>334</v>
      </c>
      <c r="C39" s="245">
        <v>2018</v>
      </c>
      <c r="D39" s="106" t="s">
        <v>429</v>
      </c>
      <c r="E39" s="245" t="s">
        <v>196</v>
      </c>
      <c r="F39" s="245" t="s">
        <v>197</v>
      </c>
      <c r="G39" s="245" t="s">
        <v>42</v>
      </c>
      <c r="H39" s="245" t="s">
        <v>155</v>
      </c>
      <c r="I39" s="245" t="s">
        <v>153</v>
      </c>
      <c r="J39" s="245" t="s">
        <v>38</v>
      </c>
      <c r="K39" s="245" t="s">
        <v>154</v>
      </c>
      <c r="L39" s="245">
        <v>2</v>
      </c>
      <c r="M39" s="245"/>
      <c r="N39" s="245">
        <v>1</v>
      </c>
      <c r="O39" s="245">
        <v>1.1000000000000001</v>
      </c>
      <c r="P39" s="245">
        <v>1.25</v>
      </c>
      <c r="Q39" s="107">
        <f t="shared" si="0"/>
        <v>1.175</v>
      </c>
      <c r="R39" s="245">
        <v>13.2</v>
      </c>
      <c r="S39" s="245">
        <v>142</v>
      </c>
      <c r="T39" s="108">
        <f t="shared" si="1"/>
        <v>22</v>
      </c>
      <c r="U39" s="245">
        <v>138</v>
      </c>
      <c r="V39" s="109">
        <f t="shared" si="2"/>
        <v>3036</v>
      </c>
      <c r="W39" s="245">
        <v>3</v>
      </c>
      <c r="X39" s="245" t="s">
        <v>39</v>
      </c>
      <c r="Y39" s="245" t="s">
        <v>90</v>
      </c>
      <c r="Z39" s="245" t="s">
        <v>69</v>
      </c>
      <c r="AA39" s="245" t="s">
        <v>78</v>
      </c>
      <c r="AB39" s="245" t="s">
        <v>336</v>
      </c>
    </row>
    <row r="40" spans="1:28" s="115" customFormat="1" x14ac:dyDescent="0.15">
      <c r="A40" s="245" t="s">
        <v>51</v>
      </c>
      <c r="B40" s="245" t="s">
        <v>334</v>
      </c>
      <c r="C40" s="245">
        <v>2018</v>
      </c>
      <c r="D40" s="106" t="s">
        <v>429</v>
      </c>
      <c r="E40" s="245" t="s">
        <v>196</v>
      </c>
      <c r="F40" s="245" t="s">
        <v>197</v>
      </c>
      <c r="G40" s="245" t="s">
        <v>42</v>
      </c>
      <c r="H40" s="245" t="s">
        <v>155</v>
      </c>
      <c r="I40" s="245" t="s">
        <v>153</v>
      </c>
      <c r="J40" s="245" t="s">
        <v>38</v>
      </c>
      <c r="K40" s="245" t="s">
        <v>154</v>
      </c>
      <c r="L40" s="245">
        <v>3</v>
      </c>
      <c r="M40" s="245"/>
      <c r="N40" s="245">
        <v>1</v>
      </c>
      <c r="O40" s="245">
        <v>1.05</v>
      </c>
      <c r="P40" s="245">
        <v>1.1499999999999999</v>
      </c>
      <c r="Q40" s="107">
        <f t="shared" si="0"/>
        <v>1.1000000000000001</v>
      </c>
      <c r="R40" s="245">
        <v>13.5</v>
      </c>
      <c r="S40" s="245">
        <v>142</v>
      </c>
      <c r="T40" s="108">
        <f t="shared" si="1"/>
        <v>22</v>
      </c>
      <c r="U40" s="245">
        <v>138</v>
      </c>
      <c r="V40" s="109">
        <f t="shared" si="2"/>
        <v>3036</v>
      </c>
      <c r="W40" s="245">
        <v>3</v>
      </c>
      <c r="X40" s="245" t="s">
        <v>39</v>
      </c>
      <c r="Y40" s="245" t="s">
        <v>90</v>
      </c>
      <c r="Z40" s="245" t="s">
        <v>69</v>
      </c>
      <c r="AA40" s="245" t="s">
        <v>78</v>
      </c>
      <c r="AB40" s="245" t="s">
        <v>336</v>
      </c>
    </row>
    <row r="41" spans="1:28" s="115" customFormat="1" x14ac:dyDescent="0.15">
      <c r="A41" s="245" t="s">
        <v>51</v>
      </c>
      <c r="B41" s="245" t="s">
        <v>334</v>
      </c>
      <c r="C41" s="245">
        <v>2018</v>
      </c>
      <c r="D41" s="106" t="s">
        <v>429</v>
      </c>
      <c r="E41" s="245" t="s">
        <v>202</v>
      </c>
      <c r="F41" s="245" t="s">
        <v>190</v>
      </c>
      <c r="G41" s="245" t="s">
        <v>36</v>
      </c>
      <c r="H41" s="245" t="s">
        <v>155</v>
      </c>
      <c r="I41" s="245" t="s">
        <v>153</v>
      </c>
      <c r="J41" s="245" t="s">
        <v>38</v>
      </c>
      <c r="K41" s="245" t="s">
        <v>154</v>
      </c>
      <c r="L41" s="245">
        <v>1</v>
      </c>
      <c r="M41" s="245"/>
      <c r="N41" s="245">
        <v>3</v>
      </c>
      <c r="O41" s="245">
        <v>0.75</v>
      </c>
      <c r="P41" s="245">
        <v>0.7</v>
      </c>
      <c r="Q41" s="107">
        <v>0.7</v>
      </c>
      <c r="R41" s="245">
        <v>15.7</v>
      </c>
      <c r="S41" s="245">
        <v>146</v>
      </c>
      <c r="T41" s="108">
        <f t="shared" si="1"/>
        <v>22</v>
      </c>
      <c r="U41" s="245">
        <v>398</v>
      </c>
      <c r="V41" s="109">
        <f t="shared" si="2"/>
        <v>2918.6666666666665</v>
      </c>
      <c r="W41" s="245">
        <v>9</v>
      </c>
      <c r="X41" s="245" t="s">
        <v>46</v>
      </c>
      <c r="Y41" s="245" t="s">
        <v>90</v>
      </c>
      <c r="Z41" s="245" t="s">
        <v>69</v>
      </c>
      <c r="AA41" s="245" t="s">
        <v>50</v>
      </c>
      <c r="AB41" s="245" t="s">
        <v>336</v>
      </c>
    </row>
    <row r="42" spans="1:28" s="115" customFormat="1" x14ac:dyDescent="0.15">
      <c r="A42" s="245" t="s">
        <v>51</v>
      </c>
      <c r="B42" s="245" t="s">
        <v>334</v>
      </c>
      <c r="C42" s="245">
        <v>2018</v>
      </c>
      <c r="D42" s="106" t="s">
        <v>429</v>
      </c>
      <c r="E42" s="245" t="s">
        <v>202</v>
      </c>
      <c r="F42" s="245" t="s">
        <v>190</v>
      </c>
      <c r="G42" s="245" t="s">
        <v>36</v>
      </c>
      <c r="H42" s="245" t="s">
        <v>155</v>
      </c>
      <c r="I42" s="245" t="s">
        <v>153</v>
      </c>
      <c r="J42" s="245" t="s">
        <v>38</v>
      </c>
      <c r="K42" s="245" t="s">
        <v>154</v>
      </c>
      <c r="L42" s="245">
        <v>2</v>
      </c>
      <c r="M42" s="245"/>
      <c r="N42" s="245">
        <v>3</v>
      </c>
      <c r="O42" s="245">
        <v>0.65</v>
      </c>
      <c r="P42" s="245">
        <v>0.65</v>
      </c>
      <c r="Q42" s="107">
        <f t="shared" si="0"/>
        <v>0.65</v>
      </c>
      <c r="R42" s="245">
        <v>15.4</v>
      </c>
      <c r="S42" s="245">
        <v>142</v>
      </c>
      <c r="T42" s="108">
        <f t="shared" si="1"/>
        <v>22</v>
      </c>
      <c r="U42" s="245">
        <v>398</v>
      </c>
      <c r="V42" s="109">
        <f t="shared" si="2"/>
        <v>2918.6666666666665</v>
      </c>
      <c r="W42" s="245">
        <v>9</v>
      </c>
      <c r="X42" s="245" t="s">
        <v>46</v>
      </c>
      <c r="Y42" s="245" t="s">
        <v>90</v>
      </c>
      <c r="Z42" s="245" t="s">
        <v>69</v>
      </c>
      <c r="AA42" s="245" t="s">
        <v>50</v>
      </c>
      <c r="AB42" s="245" t="s">
        <v>336</v>
      </c>
    </row>
    <row r="43" spans="1:28" s="115" customFormat="1" x14ac:dyDescent="0.15">
      <c r="A43" s="245" t="s">
        <v>51</v>
      </c>
      <c r="B43" s="245" t="s">
        <v>334</v>
      </c>
      <c r="C43" s="245">
        <v>2018</v>
      </c>
      <c r="D43" s="106" t="s">
        <v>429</v>
      </c>
      <c r="E43" s="245" t="s">
        <v>202</v>
      </c>
      <c r="F43" s="245" t="s">
        <v>190</v>
      </c>
      <c r="G43" s="245" t="s">
        <v>36</v>
      </c>
      <c r="H43" s="245" t="s">
        <v>155</v>
      </c>
      <c r="I43" s="245" t="s">
        <v>153</v>
      </c>
      <c r="J43" s="245" t="s">
        <v>38</v>
      </c>
      <c r="K43" s="245" t="s">
        <v>154</v>
      </c>
      <c r="L43" s="245">
        <v>3</v>
      </c>
      <c r="M43" s="245"/>
      <c r="N43" s="245">
        <v>3</v>
      </c>
      <c r="O43" s="245">
        <v>0.7</v>
      </c>
      <c r="P43" s="245">
        <v>0.7</v>
      </c>
      <c r="Q43" s="107">
        <f t="shared" si="0"/>
        <v>0.7</v>
      </c>
      <c r="R43" s="245">
        <v>16</v>
      </c>
      <c r="S43" s="245">
        <v>148</v>
      </c>
      <c r="T43" s="108">
        <f t="shared" si="1"/>
        <v>22</v>
      </c>
      <c r="U43" s="245">
        <v>398</v>
      </c>
      <c r="V43" s="109">
        <f t="shared" si="2"/>
        <v>2918.6666666666665</v>
      </c>
      <c r="W43" s="245">
        <v>9</v>
      </c>
      <c r="X43" s="245" t="s">
        <v>46</v>
      </c>
      <c r="Y43" s="245" t="s">
        <v>90</v>
      </c>
      <c r="Z43" s="245" t="s">
        <v>69</v>
      </c>
      <c r="AA43" s="245" t="s">
        <v>50</v>
      </c>
      <c r="AB43" s="245" t="s">
        <v>336</v>
      </c>
    </row>
    <row r="44" spans="1:28" s="115" customFormat="1" x14ac:dyDescent="0.15">
      <c r="A44" s="245" t="s">
        <v>51</v>
      </c>
      <c r="B44" s="245" t="s">
        <v>334</v>
      </c>
      <c r="C44" s="245">
        <v>2018</v>
      </c>
      <c r="D44" s="106" t="s">
        <v>429</v>
      </c>
      <c r="E44" s="245" t="s">
        <v>202</v>
      </c>
      <c r="F44" s="245" t="s">
        <v>190</v>
      </c>
      <c r="G44" s="245" t="s">
        <v>36</v>
      </c>
      <c r="H44" s="245" t="s">
        <v>162</v>
      </c>
      <c r="I44" s="245" t="s">
        <v>153</v>
      </c>
      <c r="J44" s="245" t="s">
        <v>38</v>
      </c>
      <c r="K44" s="245" t="s">
        <v>154</v>
      </c>
      <c r="L44" s="245">
        <v>1</v>
      </c>
      <c r="M44" s="245"/>
      <c r="N44" s="245">
        <v>3</v>
      </c>
      <c r="O44" s="245">
        <v>0.7</v>
      </c>
      <c r="P44" s="245">
        <v>0.55000000000000004</v>
      </c>
      <c r="Q44" s="107">
        <f t="shared" si="0"/>
        <v>0.625</v>
      </c>
      <c r="R44" s="245">
        <v>17.3</v>
      </c>
      <c r="S44" s="245">
        <v>142</v>
      </c>
      <c r="T44" s="108">
        <f t="shared" si="1"/>
        <v>22</v>
      </c>
      <c r="U44" s="245">
        <v>398</v>
      </c>
      <c r="V44" s="109">
        <f t="shared" si="2"/>
        <v>2918.6666666666665</v>
      </c>
      <c r="W44" s="245">
        <v>9</v>
      </c>
      <c r="X44" s="245" t="s">
        <v>46</v>
      </c>
      <c r="Y44" s="245" t="s">
        <v>90</v>
      </c>
      <c r="Z44" s="245" t="s">
        <v>69</v>
      </c>
      <c r="AA44" s="245" t="s">
        <v>50</v>
      </c>
      <c r="AB44" s="245" t="s">
        <v>336</v>
      </c>
    </row>
    <row r="45" spans="1:28" s="115" customFormat="1" x14ac:dyDescent="0.15">
      <c r="A45" s="245" t="s">
        <v>51</v>
      </c>
      <c r="B45" s="245" t="s">
        <v>334</v>
      </c>
      <c r="C45" s="245">
        <v>2018</v>
      </c>
      <c r="D45" s="106" t="s">
        <v>429</v>
      </c>
      <c r="E45" s="245" t="s">
        <v>202</v>
      </c>
      <c r="F45" s="245" t="s">
        <v>190</v>
      </c>
      <c r="G45" s="245" t="s">
        <v>36</v>
      </c>
      <c r="H45" s="245" t="s">
        <v>162</v>
      </c>
      <c r="I45" s="245" t="s">
        <v>153</v>
      </c>
      <c r="J45" s="245" t="s">
        <v>38</v>
      </c>
      <c r="K45" s="245" t="s">
        <v>154</v>
      </c>
      <c r="L45" s="245">
        <v>2</v>
      </c>
      <c r="M45" s="245"/>
      <c r="N45" s="245">
        <v>3</v>
      </c>
      <c r="O45" s="245">
        <v>0.6</v>
      </c>
      <c r="P45" s="245">
        <v>0.7</v>
      </c>
      <c r="Q45" s="107">
        <f t="shared" si="0"/>
        <v>0.64999999999999991</v>
      </c>
      <c r="R45" s="245">
        <v>16.899999999999999</v>
      </c>
      <c r="S45" s="245">
        <v>144</v>
      </c>
      <c r="T45" s="108">
        <f t="shared" si="1"/>
        <v>22</v>
      </c>
      <c r="U45" s="245">
        <v>398</v>
      </c>
      <c r="V45" s="109">
        <f t="shared" si="2"/>
        <v>2918.6666666666665</v>
      </c>
      <c r="W45" s="245">
        <v>9</v>
      </c>
      <c r="X45" s="245" t="s">
        <v>46</v>
      </c>
      <c r="Y45" s="245" t="s">
        <v>90</v>
      </c>
      <c r="Z45" s="245" t="s">
        <v>69</v>
      </c>
      <c r="AA45" s="245" t="s">
        <v>50</v>
      </c>
      <c r="AB45" s="245" t="s">
        <v>336</v>
      </c>
    </row>
    <row r="46" spans="1:28" s="115" customFormat="1" x14ac:dyDescent="0.15">
      <c r="A46" s="245" t="s">
        <v>51</v>
      </c>
      <c r="B46" s="245" t="s">
        <v>334</v>
      </c>
      <c r="C46" s="245">
        <v>2018</v>
      </c>
      <c r="D46" s="106" t="s">
        <v>429</v>
      </c>
      <c r="E46" s="245" t="s">
        <v>202</v>
      </c>
      <c r="F46" s="245" t="s">
        <v>190</v>
      </c>
      <c r="G46" s="245" t="s">
        <v>36</v>
      </c>
      <c r="H46" s="245" t="s">
        <v>162</v>
      </c>
      <c r="I46" s="245" t="s">
        <v>153</v>
      </c>
      <c r="J46" s="245" t="s">
        <v>38</v>
      </c>
      <c r="K46" s="245" t="s">
        <v>154</v>
      </c>
      <c r="L46" s="245">
        <v>3</v>
      </c>
      <c r="M46" s="245"/>
      <c r="N46" s="245">
        <v>3</v>
      </c>
      <c r="O46" s="245">
        <v>0.65</v>
      </c>
      <c r="P46" s="245">
        <v>0.65</v>
      </c>
      <c r="Q46" s="107">
        <f t="shared" si="0"/>
        <v>0.65</v>
      </c>
      <c r="R46" s="245">
        <v>17.100000000000001</v>
      </c>
      <c r="S46" s="245">
        <v>138</v>
      </c>
      <c r="T46" s="108">
        <f t="shared" si="1"/>
        <v>22</v>
      </c>
      <c r="U46" s="245">
        <v>398</v>
      </c>
      <c r="V46" s="109">
        <f t="shared" si="2"/>
        <v>2918.6666666666665</v>
      </c>
      <c r="W46" s="245">
        <v>9</v>
      </c>
      <c r="X46" s="245" t="s">
        <v>46</v>
      </c>
      <c r="Y46" s="245" t="s">
        <v>90</v>
      </c>
      <c r="Z46" s="245" t="s">
        <v>69</v>
      </c>
      <c r="AA46" s="245" t="s">
        <v>50</v>
      </c>
      <c r="AB46" s="245" t="s">
        <v>336</v>
      </c>
    </row>
    <row r="47" spans="1:28" s="115" customFormat="1" x14ac:dyDescent="0.15">
      <c r="A47" s="245" t="s">
        <v>51</v>
      </c>
      <c r="B47" s="245" t="s">
        <v>334</v>
      </c>
      <c r="C47" s="245">
        <v>2018</v>
      </c>
      <c r="D47" s="106" t="s">
        <v>429</v>
      </c>
      <c r="E47" s="245" t="s">
        <v>202</v>
      </c>
      <c r="F47" s="245" t="s">
        <v>190</v>
      </c>
      <c r="G47" s="245" t="s">
        <v>36</v>
      </c>
      <c r="H47" s="245" t="s">
        <v>198</v>
      </c>
      <c r="I47" s="245" t="s">
        <v>153</v>
      </c>
      <c r="J47" s="245" t="s">
        <v>58</v>
      </c>
      <c r="K47" s="245" t="s">
        <v>59</v>
      </c>
      <c r="L47" s="245">
        <v>1</v>
      </c>
      <c r="M47" s="245"/>
      <c r="N47" s="245">
        <v>5</v>
      </c>
      <c r="O47" s="245">
        <v>1.5</v>
      </c>
      <c r="P47" s="245">
        <v>1.4</v>
      </c>
      <c r="Q47" s="107">
        <f t="shared" si="0"/>
        <v>1.45</v>
      </c>
      <c r="R47" s="245">
        <v>13.6</v>
      </c>
      <c r="S47" s="245">
        <v>76</v>
      </c>
      <c r="T47" s="108">
        <f t="shared" si="1"/>
        <v>39</v>
      </c>
      <c r="U47" s="245">
        <v>498</v>
      </c>
      <c r="V47" s="109">
        <f t="shared" si="2"/>
        <v>3884.3999999999996</v>
      </c>
      <c r="W47" s="245">
        <v>9</v>
      </c>
      <c r="X47" s="245" t="s">
        <v>46</v>
      </c>
      <c r="Y47" s="245" t="s">
        <v>90</v>
      </c>
      <c r="Z47" s="245" t="s">
        <v>69</v>
      </c>
      <c r="AA47" s="245" t="s">
        <v>50</v>
      </c>
      <c r="AB47" s="245" t="s">
        <v>336</v>
      </c>
    </row>
    <row r="48" spans="1:28" s="115" customFormat="1" x14ac:dyDescent="0.15">
      <c r="A48" s="245" t="s">
        <v>51</v>
      </c>
      <c r="B48" s="245" t="s">
        <v>334</v>
      </c>
      <c r="C48" s="245">
        <v>2018</v>
      </c>
      <c r="D48" s="106" t="s">
        <v>429</v>
      </c>
      <c r="E48" s="245" t="s">
        <v>202</v>
      </c>
      <c r="F48" s="245" t="s">
        <v>190</v>
      </c>
      <c r="G48" s="245" t="s">
        <v>36</v>
      </c>
      <c r="H48" s="245" t="s">
        <v>198</v>
      </c>
      <c r="I48" s="245" t="s">
        <v>153</v>
      </c>
      <c r="J48" s="245" t="s">
        <v>58</v>
      </c>
      <c r="K48" s="245" t="s">
        <v>59</v>
      </c>
      <c r="L48" s="245">
        <v>2</v>
      </c>
      <c r="M48" s="245"/>
      <c r="N48" s="245">
        <v>5</v>
      </c>
      <c r="O48" s="245">
        <v>1.45</v>
      </c>
      <c r="P48" s="245">
        <v>1.55</v>
      </c>
      <c r="Q48" s="107">
        <f t="shared" si="0"/>
        <v>1.5</v>
      </c>
      <c r="R48" s="245">
        <v>14.5</v>
      </c>
      <c r="S48" s="245">
        <v>89</v>
      </c>
      <c r="T48" s="108">
        <f t="shared" si="1"/>
        <v>36</v>
      </c>
      <c r="U48" s="245">
        <v>498</v>
      </c>
      <c r="V48" s="109">
        <f t="shared" si="2"/>
        <v>3585.6</v>
      </c>
      <c r="W48" s="245">
        <v>9</v>
      </c>
      <c r="X48" s="245" t="s">
        <v>46</v>
      </c>
      <c r="Y48" s="245" t="s">
        <v>90</v>
      </c>
      <c r="Z48" s="245" t="s">
        <v>69</v>
      </c>
      <c r="AA48" s="245" t="s">
        <v>50</v>
      </c>
      <c r="AB48" s="245" t="s">
        <v>336</v>
      </c>
    </row>
    <row r="49" spans="1:28" s="115" customFormat="1" x14ac:dyDescent="0.15">
      <c r="A49" s="245" t="s">
        <v>51</v>
      </c>
      <c r="B49" s="245" t="s">
        <v>334</v>
      </c>
      <c r="C49" s="245">
        <v>2018</v>
      </c>
      <c r="D49" s="106" t="s">
        <v>429</v>
      </c>
      <c r="E49" s="245" t="s">
        <v>202</v>
      </c>
      <c r="F49" s="245" t="s">
        <v>190</v>
      </c>
      <c r="G49" s="245" t="s">
        <v>36</v>
      </c>
      <c r="H49" s="245" t="s">
        <v>198</v>
      </c>
      <c r="I49" s="245" t="s">
        <v>153</v>
      </c>
      <c r="J49" s="245" t="s">
        <v>58</v>
      </c>
      <c r="K49" s="245" t="s">
        <v>59</v>
      </c>
      <c r="L49" s="245">
        <v>3</v>
      </c>
      <c r="M49" s="245"/>
      <c r="N49" s="245">
        <v>5</v>
      </c>
      <c r="O49" s="245">
        <v>1.6</v>
      </c>
      <c r="P49" s="245">
        <v>2</v>
      </c>
      <c r="Q49" s="107">
        <f t="shared" si="0"/>
        <v>1.8</v>
      </c>
      <c r="R49" s="245">
        <v>13.6</v>
      </c>
      <c r="S49" s="245">
        <v>74</v>
      </c>
      <c r="T49" s="108">
        <f t="shared" si="1"/>
        <v>42</v>
      </c>
      <c r="U49" s="245">
        <v>498</v>
      </c>
      <c r="V49" s="109">
        <f t="shared" si="2"/>
        <v>4183.2</v>
      </c>
      <c r="W49" s="245">
        <v>9</v>
      </c>
      <c r="X49" s="245" t="s">
        <v>46</v>
      </c>
      <c r="Y49" s="245" t="s">
        <v>90</v>
      </c>
      <c r="Z49" s="245" t="s">
        <v>69</v>
      </c>
      <c r="AA49" s="245" t="s">
        <v>50</v>
      </c>
      <c r="AB49" s="245" t="s">
        <v>336</v>
      </c>
    </row>
    <row r="50" spans="1:28" s="115" customFormat="1" x14ac:dyDescent="0.15">
      <c r="A50" s="245" t="s">
        <v>51</v>
      </c>
      <c r="B50" s="245" t="s">
        <v>334</v>
      </c>
      <c r="C50" s="245">
        <v>2018</v>
      </c>
      <c r="D50" s="106" t="s">
        <v>429</v>
      </c>
      <c r="E50" s="245" t="s">
        <v>213</v>
      </c>
      <c r="F50" s="245" t="s">
        <v>190</v>
      </c>
      <c r="G50" s="245" t="s">
        <v>42</v>
      </c>
      <c r="H50" s="245" t="s">
        <v>155</v>
      </c>
      <c r="I50" s="245" t="s">
        <v>153</v>
      </c>
      <c r="J50" s="245" t="s">
        <v>38</v>
      </c>
      <c r="K50" s="245" t="s">
        <v>154</v>
      </c>
      <c r="L50" s="245">
        <v>1</v>
      </c>
      <c r="M50" s="245"/>
      <c r="N50" s="245">
        <v>1</v>
      </c>
      <c r="O50" s="245">
        <v>0.6</v>
      </c>
      <c r="P50" s="245">
        <v>0.6</v>
      </c>
      <c r="Q50" s="107">
        <f t="shared" si="0"/>
        <v>0.6</v>
      </c>
      <c r="R50" s="245">
        <v>14.8</v>
      </c>
      <c r="S50" s="245">
        <v>134</v>
      </c>
      <c r="T50" s="108">
        <f t="shared" si="1"/>
        <v>25</v>
      </c>
      <c r="U50" s="245">
        <v>98</v>
      </c>
      <c r="V50" s="109">
        <f t="shared" si="2"/>
        <v>2450</v>
      </c>
      <c r="W50" s="245">
        <v>6</v>
      </c>
      <c r="X50" s="245" t="s">
        <v>46</v>
      </c>
      <c r="Y50" s="245" t="s">
        <v>90</v>
      </c>
      <c r="Z50" s="245" t="s">
        <v>84</v>
      </c>
      <c r="AA50" s="245" t="s">
        <v>69</v>
      </c>
      <c r="AB50" s="245" t="s">
        <v>336</v>
      </c>
    </row>
    <row r="51" spans="1:28" s="115" customFormat="1" x14ac:dyDescent="0.15">
      <c r="A51" s="245" t="s">
        <v>51</v>
      </c>
      <c r="B51" s="245" t="s">
        <v>334</v>
      </c>
      <c r="C51" s="245">
        <v>2018</v>
      </c>
      <c r="D51" s="106" t="s">
        <v>429</v>
      </c>
      <c r="E51" s="245" t="s">
        <v>213</v>
      </c>
      <c r="F51" s="245" t="s">
        <v>190</v>
      </c>
      <c r="G51" s="245" t="s">
        <v>42</v>
      </c>
      <c r="H51" s="245" t="s">
        <v>155</v>
      </c>
      <c r="I51" s="245" t="s">
        <v>153</v>
      </c>
      <c r="J51" s="245" t="s">
        <v>38</v>
      </c>
      <c r="K51" s="245" t="s">
        <v>154</v>
      </c>
      <c r="L51" s="245">
        <v>2</v>
      </c>
      <c r="M51" s="245"/>
      <c r="N51" s="245">
        <v>1</v>
      </c>
      <c r="O51" s="245">
        <v>0.65</v>
      </c>
      <c r="P51" s="245">
        <v>0.7</v>
      </c>
      <c r="Q51" s="107">
        <f t="shared" si="0"/>
        <v>0.67500000000000004</v>
      </c>
      <c r="R51" s="245">
        <v>14.3</v>
      </c>
      <c r="S51" s="245">
        <v>134</v>
      </c>
      <c r="T51" s="108">
        <f t="shared" si="1"/>
        <v>25</v>
      </c>
      <c r="U51" s="245">
        <v>98</v>
      </c>
      <c r="V51" s="109">
        <f t="shared" si="2"/>
        <v>2450</v>
      </c>
      <c r="W51" s="245">
        <v>6</v>
      </c>
      <c r="X51" s="245" t="s">
        <v>46</v>
      </c>
      <c r="Y51" s="245" t="s">
        <v>90</v>
      </c>
      <c r="Z51" s="245" t="s">
        <v>84</v>
      </c>
      <c r="AA51" s="245" t="s">
        <v>69</v>
      </c>
      <c r="AB51" s="245" t="s">
        <v>336</v>
      </c>
    </row>
    <row r="52" spans="1:28" s="115" customFormat="1" x14ac:dyDescent="0.15">
      <c r="A52" s="245" t="s">
        <v>51</v>
      </c>
      <c r="B52" s="245" t="s">
        <v>334</v>
      </c>
      <c r="C52" s="245">
        <v>2018</v>
      </c>
      <c r="D52" s="106" t="s">
        <v>429</v>
      </c>
      <c r="E52" s="245" t="s">
        <v>213</v>
      </c>
      <c r="F52" s="245" t="s">
        <v>190</v>
      </c>
      <c r="G52" s="245" t="s">
        <v>42</v>
      </c>
      <c r="H52" s="245" t="s">
        <v>155</v>
      </c>
      <c r="I52" s="245" t="s">
        <v>153</v>
      </c>
      <c r="J52" s="245" t="s">
        <v>38</v>
      </c>
      <c r="K52" s="245" t="s">
        <v>154</v>
      </c>
      <c r="L52" s="245">
        <v>3</v>
      </c>
      <c r="M52" s="245"/>
      <c r="N52" s="245">
        <v>1</v>
      </c>
      <c r="O52" s="245">
        <v>0.7</v>
      </c>
      <c r="P52" s="245">
        <v>0.55000000000000004</v>
      </c>
      <c r="Q52" s="107">
        <f t="shared" si="0"/>
        <v>0.625</v>
      </c>
      <c r="R52" s="245">
        <v>15.1</v>
      </c>
      <c r="S52" s="245">
        <v>140</v>
      </c>
      <c r="T52" s="108">
        <f t="shared" si="1"/>
        <v>22</v>
      </c>
      <c r="U52" s="245">
        <v>98</v>
      </c>
      <c r="V52" s="109">
        <f t="shared" si="2"/>
        <v>2156</v>
      </c>
      <c r="W52" s="245">
        <v>6</v>
      </c>
      <c r="X52" s="245" t="s">
        <v>46</v>
      </c>
      <c r="Y52" s="245" t="s">
        <v>90</v>
      </c>
      <c r="Z52" s="245" t="s">
        <v>84</v>
      </c>
      <c r="AA52" s="245" t="s">
        <v>69</v>
      </c>
      <c r="AB52" s="245" t="s">
        <v>336</v>
      </c>
    </row>
    <row r="53" spans="1:28" s="115" customFormat="1" x14ac:dyDescent="0.15">
      <c r="A53" s="245" t="s">
        <v>51</v>
      </c>
      <c r="B53" s="245" t="s">
        <v>334</v>
      </c>
      <c r="C53" s="245">
        <v>2018</v>
      </c>
      <c r="D53" s="106" t="s">
        <v>429</v>
      </c>
      <c r="E53" s="245" t="s">
        <v>213</v>
      </c>
      <c r="F53" s="245" t="s">
        <v>190</v>
      </c>
      <c r="G53" s="245" t="s">
        <v>42</v>
      </c>
      <c r="H53" s="245" t="s">
        <v>162</v>
      </c>
      <c r="I53" s="245" t="s">
        <v>153</v>
      </c>
      <c r="J53" s="245" t="s">
        <v>38</v>
      </c>
      <c r="K53" s="245" t="s">
        <v>154</v>
      </c>
      <c r="L53" s="245">
        <v>1</v>
      </c>
      <c r="M53" s="245"/>
      <c r="N53" s="245">
        <v>1</v>
      </c>
      <c r="O53" s="245">
        <v>0.6</v>
      </c>
      <c r="P53" s="245">
        <v>0.5</v>
      </c>
      <c r="Q53" s="107">
        <f t="shared" si="0"/>
        <v>0.55000000000000004</v>
      </c>
      <c r="R53" s="245">
        <v>15.9</v>
      </c>
      <c r="S53" s="245">
        <v>132</v>
      </c>
      <c r="T53" s="108">
        <f t="shared" si="1"/>
        <v>25</v>
      </c>
      <c r="U53" s="245">
        <v>128</v>
      </c>
      <c r="V53" s="109">
        <f t="shared" si="2"/>
        <v>3200</v>
      </c>
      <c r="W53" s="245">
        <v>6</v>
      </c>
      <c r="X53" s="245" t="s">
        <v>46</v>
      </c>
      <c r="Y53" s="245" t="s">
        <v>90</v>
      </c>
      <c r="Z53" s="245" t="s">
        <v>84</v>
      </c>
      <c r="AA53" s="245" t="s">
        <v>69</v>
      </c>
      <c r="AB53" s="245" t="s">
        <v>336</v>
      </c>
    </row>
    <row r="54" spans="1:28" s="115" customFormat="1" x14ac:dyDescent="0.15">
      <c r="A54" s="245" t="s">
        <v>51</v>
      </c>
      <c r="B54" s="245" t="s">
        <v>334</v>
      </c>
      <c r="C54" s="245">
        <v>2018</v>
      </c>
      <c r="D54" s="106" t="s">
        <v>429</v>
      </c>
      <c r="E54" s="245" t="s">
        <v>213</v>
      </c>
      <c r="F54" s="245" t="s">
        <v>190</v>
      </c>
      <c r="G54" s="245" t="s">
        <v>42</v>
      </c>
      <c r="H54" s="245" t="s">
        <v>162</v>
      </c>
      <c r="I54" s="245" t="s">
        <v>153</v>
      </c>
      <c r="J54" s="245" t="s">
        <v>38</v>
      </c>
      <c r="K54" s="245" t="s">
        <v>154</v>
      </c>
      <c r="L54" s="245">
        <v>2</v>
      </c>
      <c r="M54" s="245"/>
      <c r="N54" s="245">
        <v>1</v>
      </c>
      <c r="O54" s="245">
        <v>0.55000000000000004</v>
      </c>
      <c r="P54" s="245">
        <v>0.65</v>
      </c>
      <c r="Q54" s="107">
        <f t="shared" si="0"/>
        <v>0.60000000000000009</v>
      </c>
      <c r="R54" s="245">
        <v>15.4</v>
      </c>
      <c r="S54" s="245">
        <v>124</v>
      </c>
      <c r="T54" s="108">
        <f t="shared" si="1"/>
        <v>27</v>
      </c>
      <c r="U54" s="245">
        <v>128</v>
      </c>
      <c r="V54" s="109">
        <f t="shared" si="2"/>
        <v>3456</v>
      </c>
      <c r="W54" s="245">
        <v>6</v>
      </c>
      <c r="X54" s="245" t="s">
        <v>46</v>
      </c>
      <c r="Y54" s="245" t="s">
        <v>90</v>
      </c>
      <c r="Z54" s="245" t="s">
        <v>84</v>
      </c>
      <c r="AA54" s="245" t="s">
        <v>69</v>
      </c>
      <c r="AB54" s="245" t="s">
        <v>336</v>
      </c>
    </row>
    <row r="55" spans="1:28" s="115" customFormat="1" x14ac:dyDescent="0.15">
      <c r="A55" s="245" t="s">
        <v>51</v>
      </c>
      <c r="B55" s="245" t="s">
        <v>334</v>
      </c>
      <c r="C55" s="245">
        <v>2018</v>
      </c>
      <c r="D55" s="106" t="s">
        <v>429</v>
      </c>
      <c r="E55" s="245" t="s">
        <v>213</v>
      </c>
      <c r="F55" s="245" t="s">
        <v>190</v>
      </c>
      <c r="G55" s="245" t="s">
        <v>42</v>
      </c>
      <c r="H55" s="245" t="s">
        <v>162</v>
      </c>
      <c r="I55" s="245" t="s">
        <v>153</v>
      </c>
      <c r="J55" s="245" t="s">
        <v>38</v>
      </c>
      <c r="K55" s="245" t="s">
        <v>154</v>
      </c>
      <c r="L55" s="245">
        <v>3</v>
      </c>
      <c r="M55" s="245"/>
      <c r="N55" s="245">
        <v>1</v>
      </c>
      <c r="O55" s="245">
        <v>0.65</v>
      </c>
      <c r="P55" s="245">
        <v>0.7</v>
      </c>
      <c r="Q55" s="107">
        <f t="shared" si="0"/>
        <v>0.67500000000000004</v>
      </c>
      <c r="R55" s="245">
        <v>16.3</v>
      </c>
      <c r="S55" s="245">
        <v>138</v>
      </c>
      <c r="T55" s="108">
        <f t="shared" si="1"/>
        <v>22</v>
      </c>
      <c r="U55" s="245">
        <v>128</v>
      </c>
      <c r="V55" s="109">
        <f t="shared" si="2"/>
        <v>2816</v>
      </c>
      <c r="W55" s="245">
        <v>6</v>
      </c>
      <c r="X55" s="245" t="s">
        <v>46</v>
      </c>
      <c r="Y55" s="245" t="s">
        <v>90</v>
      </c>
      <c r="Z55" s="245" t="s">
        <v>84</v>
      </c>
      <c r="AA55" s="245" t="s">
        <v>69</v>
      </c>
      <c r="AB55" s="245" t="s">
        <v>336</v>
      </c>
    </row>
    <row r="56" spans="1:28" s="115" customFormat="1" x14ac:dyDescent="0.15">
      <c r="A56" s="245" t="s">
        <v>51</v>
      </c>
      <c r="B56" s="245" t="s">
        <v>334</v>
      </c>
      <c r="C56" s="245">
        <v>2018</v>
      </c>
      <c r="D56" s="106" t="s">
        <v>429</v>
      </c>
      <c r="E56" s="245" t="s">
        <v>210</v>
      </c>
      <c r="F56" s="245" t="s">
        <v>211</v>
      </c>
      <c r="G56" s="245" t="s">
        <v>36</v>
      </c>
      <c r="H56" s="245" t="s">
        <v>155</v>
      </c>
      <c r="I56" s="245" t="s">
        <v>153</v>
      </c>
      <c r="J56" s="245" t="s">
        <v>38</v>
      </c>
      <c r="K56" s="245" t="s">
        <v>154</v>
      </c>
      <c r="L56" s="245">
        <v>1</v>
      </c>
      <c r="M56" s="245"/>
      <c r="N56" s="245">
        <v>3</v>
      </c>
      <c r="O56" s="245">
        <v>1.05</v>
      </c>
      <c r="P56" s="245">
        <v>1</v>
      </c>
      <c r="Q56" s="107">
        <f t="shared" si="0"/>
        <v>1.0249999999999999</v>
      </c>
      <c r="R56" s="245">
        <v>16.399999999999999</v>
      </c>
      <c r="S56" s="245">
        <v>168</v>
      </c>
      <c r="T56" s="108">
        <f t="shared" si="1"/>
        <v>18</v>
      </c>
      <c r="U56" s="245">
        <v>398</v>
      </c>
      <c r="V56" s="109">
        <f t="shared" si="2"/>
        <v>2388</v>
      </c>
      <c r="W56" s="245">
        <v>2</v>
      </c>
      <c r="X56" s="245" t="s">
        <v>39</v>
      </c>
      <c r="Y56" s="245" t="s">
        <v>84</v>
      </c>
      <c r="Z56" s="245" t="s">
        <v>90</v>
      </c>
      <c r="AA56" s="245" t="s">
        <v>69</v>
      </c>
      <c r="AB56" s="245" t="s">
        <v>336</v>
      </c>
    </row>
    <row r="57" spans="1:28" s="115" customFormat="1" x14ac:dyDescent="0.15">
      <c r="A57" s="245" t="s">
        <v>51</v>
      </c>
      <c r="B57" s="245" t="s">
        <v>334</v>
      </c>
      <c r="C57" s="245">
        <v>2018</v>
      </c>
      <c r="D57" s="106" t="s">
        <v>429</v>
      </c>
      <c r="E57" s="245" t="s">
        <v>210</v>
      </c>
      <c r="F57" s="245" t="s">
        <v>211</v>
      </c>
      <c r="G57" s="245" t="s">
        <v>36</v>
      </c>
      <c r="H57" s="245" t="s">
        <v>155</v>
      </c>
      <c r="I57" s="245" t="s">
        <v>153</v>
      </c>
      <c r="J57" s="245" t="s">
        <v>38</v>
      </c>
      <c r="K57" s="245" t="s">
        <v>154</v>
      </c>
      <c r="L57" s="245">
        <v>2</v>
      </c>
      <c r="M57" s="245"/>
      <c r="N57" s="245">
        <v>3</v>
      </c>
      <c r="O57" s="245">
        <v>1.1499999999999999</v>
      </c>
      <c r="P57" s="245">
        <v>1.1499999999999999</v>
      </c>
      <c r="Q57" s="107">
        <f t="shared" si="0"/>
        <v>1.1499999999999999</v>
      </c>
      <c r="R57" s="245">
        <v>15</v>
      </c>
      <c r="S57" s="245">
        <v>156</v>
      </c>
      <c r="T57" s="108">
        <f t="shared" si="1"/>
        <v>18</v>
      </c>
      <c r="U57" s="245">
        <v>398</v>
      </c>
      <c r="V57" s="109">
        <f t="shared" si="2"/>
        <v>2388</v>
      </c>
      <c r="W57" s="245">
        <v>2</v>
      </c>
      <c r="X57" s="245" t="s">
        <v>39</v>
      </c>
      <c r="Y57" s="245" t="s">
        <v>84</v>
      </c>
      <c r="Z57" s="245" t="s">
        <v>90</v>
      </c>
      <c r="AA57" s="245" t="s">
        <v>69</v>
      </c>
      <c r="AB57" s="245" t="s">
        <v>336</v>
      </c>
    </row>
    <row r="58" spans="1:28" s="115" customFormat="1" x14ac:dyDescent="0.15">
      <c r="A58" s="245" t="s">
        <v>51</v>
      </c>
      <c r="B58" s="245" t="s">
        <v>334</v>
      </c>
      <c r="C58" s="245">
        <v>2018</v>
      </c>
      <c r="D58" s="106" t="s">
        <v>429</v>
      </c>
      <c r="E58" s="245" t="s">
        <v>210</v>
      </c>
      <c r="F58" s="245" t="s">
        <v>211</v>
      </c>
      <c r="G58" s="245" t="s">
        <v>36</v>
      </c>
      <c r="H58" s="245" t="s">
        <v>155</v>
      </c>
      <c r="I58" s="245" t="s">
        <v>153</v>
      </c>
      <c r="J58" s="245" t="s">
        <v>38</v>
      </c>
      <c r="K58" s="245" t="s">
        <v>154</v>
      </c>
      <c r="L58" s="245">
        <v>3</v>
      </c>
      <c r="M58" s="245"/>
      <c r="N58" s="245">
        <v>3</v>
      </c>
      <c r="O58" s="245">
        <v>1.2</v>
      </c>
      <c r="P58" s="245">
        <v>1.1000000000000001</v>
      </c>
      <c r="Q58" s="107">
        <f t="shared" si="0"/>
        <v>1.1499999999999999</v>
      </c>
      <c r="R58" s="245">
        <v>16.8</v>
      </c>
      <c r="S58" s="245">
        <v>174</v>
      </c>
      <c r="T58" s="108">
        <f t="shared" si="1"/>
        <v>18</v>
      </c>
      <c r="U58" s="245">
        <v>398</v>
      </c>
      <c r="V58" s="109">
        <f t="shared" si="2"/>
        <v>2388</v>
      </c>
      <c r="W58" s="245">
        <v>2</v>
      </c>
      <c r="X58" s="245" t="s">
        <v>39</v>
      </c>
      <c r="Y58" s="245" t="s">
        <v>84</v>
      </c>
      <c r="Z58" s="245" t="s">
        <v>90</v>
      </c>
      <c r="AA58" s="245" t="s">
        <v>69</v>
      </c>
      <c r="AB58" s="245" t="s">
        <v>336</v>
      </c>
    </row>
    <row r="59" spans="1:28" s="115" customFormat="1" x14ac:dyDescent="0.15">
      <c r="A59" s="245" t="s">
        <v>51</v>
      </c>
      <c r="B59" s="245" t="s">
        <v>334</v>
      </c>
      <c r="C59" s="245">
        <v>2018</v>
      </c>
      <c r="D59" s="106" t="s">
        <v>429</v>
      </c>
      <c r="E59" s="245" t="s">
        <v>210</v>
      </c>
      <c r="F59" s="245" t="s">
        <v>211</v>
      </c>
      <c r="G59" s="245" t="s">
        <v>36</v>
      </c>
      <c r="H59" s="245" t="s">
        <v>162</v>
      </c>
      <c r="I59" s="245" t="s">
        <v>153</v>
      </c>
      <c r="J59" s="245" t="s">
        <v>38</v>
      </c>
      <c r="K59" s="245" t="s">
        <v>154</v>
      </c>
      <c r="L59" s="115">
        <v>1</v>
      </c>
      <c r="N59" s="245">
        <v>3</v>
      </c>
      <c r="O59" s="115">
        <v>0.75</v>
      </c>
      <c r="P59" s="115">
        <v>0.8</v>
      </c>
      <c r="Q59" s="107">
        <f t="shared" si="0"/>
        <v>0.77500000000000002</v>
      </c>
      <c r="R59" s="115">
        <v>18.2</v>
      </c>
      <c r="S59" s="115">
        <v>172</v>
      </c>
      <c r="T59" s="108">
        <f t="shared" si="1"/>
        <v>18</v>
      </c>
      <c r="U59" s="245">
        <v>398</v>
      </c>
      <c r="V59" s="109">
        <f t="shared" si="2"/>
        <v>2388</v>
      </c>
      <c r="W59" s="245">
        <v>2</v>
      </c>
      <c r="X59" s="245" t="s">
        <v>39</v>
      </c>
      <c r="Y59" s="245" t="s">
        <v>84</v>
      </c>
      <c r="Z59" s="245" t="s">
        <v>90</v>
      </c>
      <c r="AA59" s="245" t="s">
        <v>69</v>
      </c>
      <c r="AB59" s="245" t="s">
        <v>336</v>
      </c>
    </row>
    <row r="60" spans="1:28" s="115" customFormat="1" x14ac:dyDescent="0.15">
      <c r="A60" s="245" t="s">
        <v>51</v>
      </c>
      <c r="B60" s="245" t="s">
        <v>334</v>
      </c>
      <c r="C60" s="245">
        <v>2018</v>
      </c>
      <c r="D60" s="106" t="s">
        <v>429</v>
      </c>
      <c r="E60" s="245" t="s">
        <v>210</v>
      </c>
      <c r="F60" s="245" t="s">
        <v>211</v>
      </c>
      <c r="G60" s="245" t="s">
        <v>36</v>
      </c>
      <c r="H60" s="245" t="s">
        <v>162</v>
      </c>
      <c r="I60" s="245" t="s">
        <v>153</v>
      </c>
      <c r="J60" s="245" t="s">
        <v>38</v>
      </c>
      <c r="K60" s="245" t="s">
        <v>154</v>
      </c>
      <c r="L60" s="115">
        <v>2</v>
      </c>
      <c r="N60" s="245">
        <v>3</v>
      </c>
      <c r="O60" s="115">
        <v>0.7</v>
      </c>
      <c r="P60" s="115">
        <v>0.7</v>
      </c>
      <c r="Q60" s="107">
        <f t="shared" si="0"/>
        <v>0.7</v>
      </c>
      <c r="R60" s="115">
        <v>17.600000000000001</v>
      </c>
      <c r="S60" s="115">
        <v>170</v>
      </c>
      <c r="T60" s="108">
        <f t="shared" si="1"/>
        <v>18</v>
      </c>
      <c r="U60" s="245">
        <v>398</v>
      </c>
      <c r="V60" s="109">
        <f t="shared" si="2"/>
        <v>2388</v>
      </c>
      <c r="W60" s="245">
        <v>2</v>
      </c>
      <c r="X60" s="245" t="s">
        <v>39</v>
      </c>
      <c r="Y60" s="245" t="s">
        <v>84</v>
      </c>
      <c r="Z60" s="245" t="s">
        <v>90</v>
      </c>
      <c r="AA60" s="245" t="s">
        <v>69</v>
      </c>
      <c r="AB60" s="245" t="s">
        <v>336</v>
      </c>
    </row>
    <row r="61" spans="1:28" s="115" customFormat="1" x14ac:dyDescent="0.15">
      <c r="A61" s="245" t="s">
        <v>51</v>
      </c>
      <c r="B61" s="245" t="s">
        <v>334</v>
      </c>
      <c r="C61" s="245">
        <v>2018</v>
      </c>
      <c r="D61" s="106" t="s">
        <v>429</v>
      </c>
      <c r="E61" s="245" t="s">
        <v>210</v>
      </c>
      <c r="F61" s="245" t="s">
        <v>211</v>
      </c>
      <c r="G61" s="245" t="s">
        <v>36</v>
      </c>
      <c r="H61" s="245" t="s">
        <v>162</v>
      </c>
      <c r="I61" s="245" t="s">
        <v>153</v>
      </c>
      <c r="J61" s="245" t="s">
        <v>38</v>
      </c>
      <c r="K61" s="245" t="s">
        <v>154</v>
      </c>
      <c r="L61" s="115">
        <v>3</v>
      </c>
      <c r="N61" s="245">
        <v>3</v>
      </c>
      <c r="O61" s="115">
        <v>0.65</v>
      </c>
      <c r="P61" s="115">
        <v>0.75</v>
      </c>
      <c r="Q61" s="107">
        <f t="shared" si="0"/>
        <v>0.7</v>
      </c>
      <c r="R61" s="115">
        <v>18.399999999999999</v>
      </c>
      <c r="S61" s="115">
        <v>156</v>
      </c>
      <c r="T61" s="108">
        <f t="shared" si="1"/>
        <v>18</v>
      </c>
      <c r="U61" s="245">
        <v>398</v>
      </c>
      <c r="V61" s="109">
        <f t="shared" si="2"/>
        <v>2388</v>
      </c>
      <c r="W61" s="245">
        <v>2</v>
      </c>
      <c r="X61" s="245" t="s">
        <v>39</v>
      </c>
      <c r="Y61" s="245" t="s">
        <v>84</v>
      </c>
      <c r="Z61" s="245" t="s">
        <v>90</v>
      </c>
      <c r="AA61" s="245" t="s">
        <v>69</v>
      </c>
      <c r="AB61" s="245" t="s">
        <v>336</v>
      </c>
    </row>
    <row r="62" spans="1:28" s="115" customFormat="1" x14ac:dyDescent="0.15">
      <c r="A62" s="245"/>
      <c r="B62" s="245"/>
      <c r="C62" s="245"/>
      <c r="D62" s="106"/>
      <c r="E62" s="245"/>
      <c r="F62" s="245"/>
      <c r="G62" s="245"/>
      <c r="H62" s="245"/>
      <c r="I62" s="245"/>
      <c r="J62" s="245"/>
      <c r="K62" s="245"/>
      <c r="N62" s="245"/>
      <c r="Q62" s="107" t="str">
        <f t="shared" si="0"/>
        <v/>
      </c>
      <c r="T62" s="108" t="str">
        <f t="shared" si="1"/>
        <v/>
      </c>
      <c r="U62" s="245"/>
      <c r="V62" s="109" t="str">
        <f t="shared" si="2"/>
        <v/>
      </c>
      <c r="W62" s="245"/>
      <c r="X62" s="245"/>
      <c r="Y62" s="245"/>
      <c r="Z62" s="245"/>
      <c r="AA62" s="245"/>
      <c r="AB62" s="245"/>
    </row>
    <row r="63" spans="1:28" s="115" customFormat="1" x14ac:dyDescent="0.15">
      <c r="A63" s="245"/>
      <c r="B63" s="245"/>
      <c r="C63" s="245"/>
      <c r="D63" s="106"/>
      <c r="E63" s="245"/>
      <c r="F63" s="245"/>
      <c r="G63" s="245"/>
      <c r="H63" s="245"/>
      <c r="I63" s="245"/>
      <c r="J63" s="245"/>
      <c r="K63" s="245"/>
      <c r="N63" s="245"/>
      <c r="Q63" s="107" t="str">
        <f t="shared" si="0"/>
        <v/>
      </c>
      <c r="T63" s="108" t="str">
        <f t="shared" si="1"/>
        <v/>
      </c>
      <c r="U63" s="245"/>
      <c r="V63" s="109" t="str">
        <f t="shared" si="2"/>
        <v/>
      </c>
      <c r="W63" s="245"/>
      <c r="X63" s="245"/>
      <c r="Y63" s="245"/>
      <c r="Z63" s="245"/>
      <c r="AA63" s="245"/>
      <c r="AB63" s="245"/>
    </row>
    <row r="64" spans="1:28" s="115" customFormat="1" x14ac:dyDescent="0.15">
      <c r="A64" s="245"/>
      <c r="B64" s="245"/>
      <c r="C64" s="245"/>
      <c r="D64" s="106"/>
      <c r="E64" s="245"/>
      <c r="F64" s="245"/>
      <c r="G64" s="245"/>
      <c r="H64" s="245"/>
      <c r="I64" s="245"/>
      <c r="J64" s="245"/>
      <c r="K64" s="245"/>
      <c r="N64" s="245"/>
      <c r="Q64" s="107" t="str">
        <f t="shared" si="0"/>
        <v/>
      </c>
      <c r="T64" s="108" t="str">
        <f t="shared" si="1"/>
        <v/>
      </c>
      <c r="U64" s="245"/>
      <c r="V64" s="109" t="str">
        <f t="shared" si="2"/>
        <v/>
      </c>
      <c r="W64" s="245"/>
      <c r="X64" s="245"/>
      <c r="Y64" s="245"/>
      <c r="Z64" s="245"/>
      <c r="AA64" s="245"/>
      <c r="AB64" s="245"/>
    </row>
    <row r="65" spans="1:28" s="115" customFormat="1" x14ac:dyDescent="0.15">
      <c r="A65" s="245"/>
      <c r="B65" s="245"/>
      <c r="C65" s="245"/>
      <c r="D65" s="106"/>
      <c r="E65" s="245"/>
      <c r="F65" s="245"/>
      <c r="G65" s="245"/>
      <c r="H65" s="245"/>
      <c r="I65" s="245"/>
      <c r="J65" s="245"/>
      <c r="K65" s="245"/>
      <c r="N65" s="245"/>
      <c r="Q65" s="108" t="str">
        <f t="shared" si="0"/>
        <v/>
      </c>
      <c r="T65" s="108" t="str">
        <f t="shared" si="1"/>
        <v/>
      </c>
      <c r="U65" s="245"/>
      <c r="V65" s="108" t="str">
        <f t="shared" si="2"/>
        <v/>
      </c>
      <c r="W65" s="245"/>
      <c r="X65" s="245"/>
      <c r="Y65" s="245"/>
      <c r="Z65" s="245"/>
      <c r="AA65" s="245"/>
      <c r="AB65" s="245"/>
    </row>
    <row r="66" spans="1:28" x14ac:dyDescent="0.15">
      <c r="A66" s="245"/>
      <c r="B66" s="245"/>
      <c r="C66" s="130"/>
      <c r="D66" s="131"/>
      <c r="E66" s="245"/>
      <c r="F66" s="245"/>
      <c r="G66" s="130"/>
      <c r="H66" s="130"/>
      <c r="I66" s="130"/>
      <c r="J66" s="130"/>
      <c r="K66" s="245"/>
      <c r="N66" s="130"/>
      <c r="Q66" s="132" t="str">
        <f t="shared" ref="Q66:Q85" si="3">IF(OR(O66="",P66=""),"",AVERAGE(O66,P66))</f>
        <v/>
      </c>
      <c r="T66" s="132" t="str">
        <f t="shared" ref="T66:T85" si="4">IF(H66="","",IF(OR(H66="GREEN",H66="GK"),IF(S66&gt;=$AX$2,VLOOKUP(S66,$AX$2:$AY$12,2,1),""),IF(S66&gt;=$AZ$2,VLOOKUP(S66,$AZ$2:$BA$12,2,1),"")))</f>
        <v/>
      </c>
      <c r="U66" s="130"/>
      <c r="V66" s="132" t="str">
        <f t="shared" ref="V66:V85" si="5">IF(OR(N66="",U66="",T66=""),"",U66/N66*T66)</f>
        <v/>
      </c>
      <c r="W66" s="130"/>
      <c r="X66" s="130"/>
      <c r="Y66" s="130"/>
      <c r="Z66" s="130"/>
      <c r="AA66" s="130"/>
      <c r="AB66" s="245"/>
    </row>
    <row r="67" spans="1:28" x14ac:dyDescent="0.15">
      <c r="A67" s="245"/>
      <c r="B67" s="245"/>
      <c r="C67" s="130"/>
      <c r="D67" s="131"/>
      <c r="E67" s="245"/>
      <c r="F67" s="245"/>
      <c r="G67" s="130"/>
      <c r="H67" s="130"/>
      <c r="I67" s="130"/>
      <c r="J67" s="130"/>
      <c r="K67" s="245"/>
      <c r="N67" s="130"/>
      <c r="O67" s="115"/>
      <c r="Q67" s="132" t="str">
        <f t="shared" si="3"/>
        <v/>
      </c>
      <c r="T67" s="132" t="str">
        <f t="shared" si="4"/>
        <v/>
      </c>
      <c r="U67" s="130"/>
      <c r="V67" s="132" t="str">
        <f t="shared" si="5"/>
        <v/>
      </c>
      <c r="W67" s="130"/>
      <c r="X67" s="130"/>
      <c r="Y67" s="130"/>
      <c r="Z67" s="130"/>
      <c r="AA67" s="130"/>
      <c r="AB67" s="245"/>
    </row>
    <row r="68" spans="1:28" x14ac:dyDescent="0.15">
      <c r="A68" s="245"/>
      <c r="B68" s="245"/>
      <c r="C68" s="130"/>
      <c r="D68" s="131"/>
      <c r="E68" s="245"/>
      <c r="F68" s="245"/>
      <c r="G68" s="130"/>
      <c r="H68" s="130"/>
      <c r="I68" s="130"/>
      <c r="J68" s="130"/>
      <c r="K68" s="245"/>
      <c r="N68" s="130"/>
      <c r="Q68" s="132" t="str">
        <f t="shared" si="3"/>
        <v/>
      </c>
      <c r="T68" s="132" t="str">
        <f t="shared" si="4"/>
        <v/>
      </c>
      <c r="V68" s="132" t="str">
        <f t="shared" si="5"/>
        <v/>
      </c>
      <c r="W68" s="130"/>
      <c r="X68" s="130"/>
      <c r="Y68" s="130"/>
      <c r="Z68" s="130"/>
      <c r="AA68" s="130"/>
      <c r="AB68" s="245"/>
    </row>
    <row r="69" spans="1:28" x14ac:dyDescent="0.15">
      <c r="A69" s="245"/>
      <c r="B69" s="245"/>
      <c r="C69" s="130"/>
      <c r="D69" s="131"/>
      <c r="E69" s="245"/>
      <c r="F69" s="245"/>
      <c r="G69" s="130"/>
      <c r="H69" s="130"/>
      <c r="I69" s="130"/>
      <c r="J69" s="130"/>
      <c r="K69" s="245"/>
      <c r="N69" s="130"/>
      <c r="O69" s="115"/>
      <c r="Q69" s="132" t="str">
        <f t="shared" si="3"/>
        <v/>
      </c>
      <c r="T69" s="132" t="str">
        <f t="shared" si="4"/>
        <v/>
      </c>
      <c r="V69" s="132" t="str">
        <f t="shared" si="5"/>
        <v/>
      </c>
      <c r="W69" s="130"/>
      <c r="X69" s="130"/>
      <c r="Y69" s="130"/>
      <c r="Z69" s="130"/>
      <c r="AA69" s="130"/>
      <c r="AB69" s="245"/>
    </row>
    <row r="70" spans="1:28" x14ac:dyDescent="0.15">
      <c r="A70" s="245"/>
      <c r="B70" s="245"/>
      <c r="C70" s="130"/>
      <c r="D70" s="131"/>
      <c r="E70" s="245"/>
      <c r="F70" s="245"/>
      <c r="G70" s="130"/>
      <c r="H70" s="130"/>
      <c r="I70" s="130"/>
      <c r="J70" s="130"/>
      <c r="K70" s="245"/>
      <c r="N70" s="130"/>
      <c r="Q70" s="132" t="str">
        <f t="shared" si="3"/>
        <v/>
      </c>
      <c r="T70" s="132" t="str">
        <f t="shared" si="4"/>
        <v/>
      </c>
      <c r="V70" s="132" t="str">
        <f t="shared" si="5"/>
        <v/>
      </c>
      <c r="W70" s="130"/>
      <c r="X70" s="130"/>
      <c r="Y70" s="130"/>
      <c r="Z70" s="130"/>
      <c r="AA70" s="130"/>
      <c r="AB70" s="245"/>
    </row>
    <row r="71" spans="1:28" x14ac:dyDescent="0.15">
      <c r="A71" s="245"/>
      <c r="B71" s="245"/>
      <c r="C71" s="130"/>
      <c r="D71" s="131"/>
      <c r="E71" s="245"/>
      <c r="F71" s="245"/>
      <c r="G71" s="130"/>
      <c r="H71" s="130"/>
      <c r="I71" s="130"/>
      <c r="J71" s="130"/>
      <c r="K71" s="245"/>
      <c r="N71" s="130"/>
      <c r="Q71" s="132" t="str">
        <f t="shared" si="3"/>
        <v/>
      </c>
      <c r="T71" s="132" t="str">
        <f t="shared" si="4"/>
        <v/>
      </c>
      <c r="V71" s="132" t="str">
        <f t="shared" si="5"/>
        <v/>
      </c>
      <c r="W71" s="130"/>
      <c r="X71" s="130"/>
      <c r="Y71" s="130"/>
      <c r="Z71" s="130"/>
      <c r="AA71" s="130"/>
      <c r="AB71" s="245"/>
    </row>
    <row r="72" spans="1:28" x14ac:dyDescent="0.15">
      <c r="A72" s="245"/>
      <c r="B72" s="245"/>
      <c r="C72" s="130"/>
      <c r="D72" s="131"/>
      <c r="E72" s="245"/>
      <c r="F72" s="245"/>
      <c r="G72" s="130"/>
      <c r="H72" s="130"/>
      <c r="I72" s="130"/>
      <c r="J72" s="130"/>
      <c r="K72" s="245"/>
      <c r="N72" s="130"/>
      <c r="Q72" s="132" t="str">
        <f t="shared" si="3"/>
        <v/>
      </c>
      <c r="T72" s="132" t="str">
        <f t="shared" si="4"/>
        <v/>
      </c>
      <c r="V72" s="132" t="str">
        <f t="shared" si="5"/>
        <v/>
      </c>
      <c r="W72" s="130"/>
      <c r="X72" s="130"/>
      <c r="Y72" s="130"/>
      <c r="Z72" s="130"/>
      <c r="AA72" s="130"/>
      <c r="AB72" s="245"/>
    </row>
    <row r="73" spans="1:28" x14ac:dyDescent="0.15">
      <c r="A73" s="245"/>
      <c r="B73" s="245"/>
      <c r="C73" s="130"/>
      <c r="D73" s="131"/>
      <c r="E73" s="245"/>
      <c r="F73" s="245"/>
      <c r="G73" s="130"/>
      <c r="H73" s="130"/>
      <c r="I73" s="130"/>
      <c r="J73" s="130"/>
      <c r="K73" s="245"/>
      <c r="N73" s="130"/>
      <c r="P73" s="115"/>
      <c r="Q73" s="132" t="str">
        <f t="shared" si="3"/>
        <v/>
      </c>
      <c r="T73" s="132" t="str">
        <f t="shared" si="4"/>
        <v/>
      </c>
      <c r="V73" s="132" t="str">
        <f t="shared" si="5"/>
        <v/>
      </c>
      <c r="W73" s="130"/>
      <c r="X73" s="130"/>
      <c r="Y73" s="130"/>
      <c r="Z73" s="130"/>
      <c r="AA73" s="130"/>
      <c r="AB73" s="245"/>
    </row>
    <row r="74" spans="1:28" x14ac:dyDescent="0.15">
      <c r="A74" s="245"/>
      <c r="B74" s="245"/>
      <c r="C74" s="130"/>
      <c r="D74" s="131"/>
      <c r="E74" s="245"/>
      <c r="F74" s="245"/>
      <c r="G74" s="130"/>
      <c r="H74" s="130"/>
      <c r="I74" s="130"/>
      <c r="J74" s="130"/>
      <c r="K74" s="245"/>
      <c r="N74" s="130"/>
      <c r="Q74" s="132" t="str">
        <f t="shared" si="3"/>
        <v/>
      </c>
      <c r="T74" s="132" t="str">
        <f t="shared" si="4"/>
        <v/>
      </c>
      <c r="V74" s="132" t="str">
        <f t="shared" si="5"/>
        <v/>
      </c>
      <c r="W74" s="130"/>
      <c r="X74" s="130"/>
      <c r="Y74" s="130"/>
      <c r="Z74" s="130"/>
      <c r="AA74" s="130"/>
      <c r="AB74" s="245"/>
    </row>
    <row r="75" spans="1:28" x14ac:dyDescent="0.15">
      <c r="A75" s="245"/>
      <c r="B75" s="245"/>
      <c r="C75" s="130"/>
      <c r="D75" s="131"/>
      <c r="E75" s="245"/>
      <c r="F75" s="245"/>
      <c r="G75" s="130"/>
      <c r="H75" s="130"/>
      <c r="I75" s="130"/>
      <c r="J75" s="130"/>
      <c r="K75" s="245"/>
      <c r="N75" s="130"/>
      <c r="Q75" s="132" t="str">
        <f t="shared" si="3"/>
        <v/>
      </c>
      <c r="T75" s="132" t="str">
        <f t="shared" si="4"/>
        <v/>
      </c>
      <c r="V75" s="132" t="str">
        <f t="shared" si="5"/>
        <v/>
      </c>
      <c r="W75" s="130"/>
      <c r="X75" s="130"/>
      <c r="Y75" s="130"/>
      <c r="Z75" s="130"/>
      <c r="AA75" s="130"/>
      <c r="AB75" s="245"/>
    </row>
    <row r="76" spans="1:28" x14ac:dyDescent="0.15">
      <c r="A76" s="245"/>
      <c r="B76" s="245"/>
      <c r="C76" s="130"/>
      <c r="D76" s="131"/>
      <c r="E76" s="245"/>
      <c r="F76" s="245"/>
      <c r="G76" s="130"/>
      <c r="H76" s="130"/>
      <c r="I76" s="130"/>
      <c r="J76" s="130"/>
      <c r="K76" s="245"/>
      <c r="N76" s="130"/>
      <c r="Q76" s="132" t="str">
        <f t="shared" si="3"/>
        <v/>
      </c>
      <c r="T76" s="132" t="str">
        <f t="shared" si="4"/>
        <v/>
      </c>
      <c r="V76" s="132" t="str">
        <f t="shared" si="5"/>
        <v/>
      </c>
      <c r="W76" s="130"/>
      <c r="X76" s="130"/>
      <c r="Y76" s="130"/>
      <c r="Z76" s="130"/>
      <c r="AA76" s="130"/>
      <c r="AB76" s="245"/>
    </row>
    <row r="77" spans="1:28" x14ac:dyDescent="0.15">
      <c r="A77" s="245"/>
      <c r="B77" s="245"/>
      <c r="C77" s="130"/>
      <c r="D77" s="131"/>
      <c r="E77" s="245"/>
      <c r="F77" s="245"/>
      <c r="G77" s="130"/>
      <c r="H77" s="130"/>
      <c r="I77" s="130"/>
      <c r="J77" s="130"/>
      <c r="K77" s="245"/>
      <c r="N77" s="130"/>
      <c r="Q77" s="132" t="str">
        <f t="shared" si="3"/>
        <v/>
      </c>
      <c r="T77" s="132" t="str">
        <f t="shared" si="4"/>
        <v/>
      </c>
      <c r="V77" s="132" t="str">
        <f t="shared" si="5"/>
        <v/>
      </c>
      <c r="W77" s="130"/>
      <c r="X77" s="130"/>
      <c r="Y77" s="130"/>
      <c r="Z77" s="130"/>
      <c r="AA77" s="130"/>
      <c r="AB77" s="245"/>
    </row>
    <row r="78" spans="1:28" x14ac:dyDescent="0.15">
      <c r="A78" s="245"/>
      <c r="B78" s="245"/>
      <c r="C78" s="130"/>
      <c r="D78" s="131"/>
      <c r="E78" s="245"/>
      <c r="F78" s="245"/>
      <c r="G78" s="130"/>
      <c r="H78" s="130"/>
      <c r="I78" s="130"/>
      <c r="J78" s="130"/>
      <c r="K78" s="245"/>
      <c r="N78" s="130"/>
      <c r="Q78" s="132" t="str">
        <f t="shared" si="3"/>
        <v/>
      </c>
      <c r="T78" s="132" t="str">
        <f t="shared" si="4"/>
        <v/>
      </c>
      <c r="V78" s="132" t="str">
        <f t="shared" si="5"/>
        <v/>
      </c>
      <c r="W78" s="130"/>
      <c r="X78" s="130"/>
      <c r="Y78" s="130"/>
      <c r="Z78" s="130"/>
      <c r="AA78" s="130"/>
      <c r="AB78" s="245"/>
    </row>
    <row r="79" spans="1:28" x14ac:dyDescent="0.15">
      <c r="A79" s="245"/>
      <c r="B79" s="245"/>
      <c r="C79" s="130"/>
      <c r="D79" s="131"/>
      <c r="E79" s="245"/>
      <c r="F79" s="245"/>
      <c r="G79" s="130"/>
      <c r="H79" s="130"/>
      <c r="I79" s="130"/>
      <c r="J79" s="130"/>
      <c r="K79" s="245"/>
      <c r="N79" s="130"/>
      <c r="Q79" s="132" t="str">
        <f t="shared" si="3"/>
        <v/>
      </c>
      <c r="R79" s="115"/>
      <c r="T79" s="132" t="str">
        <f t="shared" si="4"/>
        <v/>
      </c>
      <c r="V79" s="132" t="str">
        <f t="shared" si="5"/>
        <v/>
      </c>
      <c r="W79" s="130"/>
      <c r="X79" s="130"/>
      <c r="Y79" s="130"/>
      <c r="Z79" s="130"/>
      <c r="AA79" s="130"/>
      <c r="AB79" s="245"/>
    </row>
    <row r="80" spans="1:28" x14ac:dyDescent="0.15">
      <c r="A80" s="245"/>
      <c r="B80" s="245"/>
      <c r="C80" s="130"/>
      <c r="D80" s="131"/>
      <c r="E80" s="245"/>
      <c r="F80" s="245"/>
      <c r="G80" s="130"/>
      <c r="H80" s="130"/>
      <c r="I80" s="130"/>
      <c r="J80" s="130"/>
      <c r="K80" s="245"/>
      <c r="N80" s="130"/>
      <c r="Q80" s="132" t="str">
        <f t="shared" si="3"/>
        <v/>
      </c>
      <c r="T80" s="132" t="str">
        <f t="shared" si="4"/>
        <v/>
      </c>
      <c r="V80" s="132" t="str">
        <f t="shared" si="5"/>
        <v/>
      </c>
      <c r="W80" s="130"/>
      <c r="X80" s="130"/>
      <c r="Y80" s="130"/>
      <c r="Z80" s="130"/>
      <c r="AA80" s="130"/>
      <c r="AB80" s="245"/>
    </row>
    <row r="81" spans="1:28" x14ac:dyDescent="0.15">
      <c r="A81" s="245"/>
      <c r="B81" s="245"/>
      <c r="C81" s="130"/>
      <c r="D81" s="131"/>
      <c r="E81" s="245"/>
      <c r="F81" s="245"/>
      <c r="G81" s="130"/>
      <c r="H81" s="130"/>
      <c r="I81" s="130"/>
      <c r="J81" s="130"/>
      <c r="K81" s="245"/>
      <c r="N81" s="130"/>
      <c r="Q81" s="132" t="str">
        <f t="shared" si="3"/>
        <v/>
      </c>
      <c r="T81" s="132" t="str">
        <f t="shared" si="4"/>
        <v/>
      </c>
      <c r="V81" s="132" t="str">
        <f t="shared" si="5"/>
        <v/>
      </c>
      <c r="W81" s="130"/>
      <c r="X81" s="130"/>
      <c r="Y81" s="130"/>
      <c r="Z81" s="130"/>
      <c r="AA81" s="130"/>
      <c r="AB81" s="245"/>
    </row>
    <row r="82" spans="1:28" x14ac:dyDescent="0.15">
      <c r="A82" s="245"/>
      <c r="B82" s="245"/>
      <c r="C82" s="130"/>
      <c r="D82" s="131"/>
      <c r="E82" s="245"/>
      <c r="F82" s="245"/>
      <c r="G82" s="130"/>
      <c r="H82" s="130"/>
      <c r="I82" s="130"/>
      <c r="J82" s="130"/>
      <c r="K82" s="245"/>
      <c r="N82" s="130"/>
      <c r="Q82" s="132" t="str">
        <f t="shared" si="3"/>
        <v/>
      </c>
      <c r="T82" s="132" t="str">
        <f t="shared" si="4"/>
        <v/>
      </c>
      <c r="V82" s="132" t="str">
        <f t="shared" si="5"/>
        <v/>
      </c>
      <c r="W82" s="130"/>
      <c r="X82" s="130"/>
      <c r="Y82" s="130"/>
      <c r="Z82" s="130"/>
      <c r="AA82" s="130"/>
      <c r="AB82" s="245"/>
    </row>
    <row r="83" spans="1:28" x14ac:dyDescent="0.15">
      <c r="A83" s="245"/>
      <c r="B83" s="245"/>
      <c r="C83" s="130"/>
      <c r="D83" s="131"/>
      <c r="E83" s="245"/>
      <c r="F83" s="245"/>
      <c r="G83" s="130"/>
      <c r="H83" s="130"/>
      <c r="I83" s="130"/>
      <c r="J83" s="130"/>
      <c r="K83" s="245"/>
      <c r="N83" s="130"/>
      <c r="Q83" s="132" t="str">
        <f t="shared" si="3"/>
        <v/>
      </c>
      <c r="T83" s="132" t="str">
        <f t="shared" si="4"/>
        <v/>
      </c>
      <c r="V83" s="132" t="str">
        <f t="shared" si="5"/>
        <v/>
      </c>
      <c r="W83" s="130"/>
      <c r="X83" s="130"/>
      <c r="Y83" s="130"/>
      <c r="Z83" s="130"/>
      <c r="AA83" s="130"/>
      <c r="AB83" s="245"/>
    </row>
    <row r="84" spans="1:28" x14ac:dyDescent="0.15">
      <c r="A84" s="245"/>
      <c r="B84" s="245"/>
      <c r="C84" s="130"/>
      <c r="D84" s="131"/>
      <c r="E84" s="245"/>
      <c r="F84" s="245"/>
      <c r="G84" s="130"/>
      <c r="H84" s="130"/>
      <c r="I84" s="130"/>
      <c r="J84" s="130"/>
      <c r="K84" s="245"/>
      <c r="N84" s="130"/>
      <c r="Q84" s="132" t="str">
        <f t="shared" si="3"/>
        <v/>
      </c>
      <c r="T84" s="132" t="str">
        <f t="shared" si="4"/>
        <v/>
      </c>
      <c r="V84" s="132" t="str">
        <f t="shared" si="5"/>
        <v/>
      </c>
      <c r="W84" s="130"/>
      <c r="X84" s="130"/>
      <c r="Y84" s="130"/>
      <c r="Z84" s="130"/>
      <c r="AA84" s="130"/>
      <c r="AB84" s="245"/>
    </row>
    <row r="85" spans="1:28" x14ac:dyDescent="0.15">
      <c r="A85" s="245"/>
      <c r="B85" s="245"/>
      <c r="C85" s="130"/>
      <c r="D85" s="131"/>
      <c r="E85" s="245"/>
      <c r="F85" s="245"/>
      <c r="G85" s="130"/>
      <c r="H85" s="130"/>
      <c r="I85" s="130"/>
      <c r="J85" s="130"/>
      <c r="K85" s="245"/>
      <c r="N85" s="130"/>
      <c r="Q85" s="132" t="str">
        <f t="shared" si="3"/>
        <v/>
      </c>
      <c r="T85" s="132" t="str">
        <f t="shared" si="4"/>
        <v/>
      </c>
      <c r="V85" s="132" t="str">
        <f t="shared" si="5"/>
        <v/>
      </c>
      <c r="W85" s="130"/>
      <c r="X85" s="130"/>
      <c r="Y85" s="130"/>
      <c r="Z85" s="130"/>
      <c r="AA85" s="130"/>
      <c r="AB85" s="245"/>
    </row>
    <row r="86" spans="1:28" x14ac:dyDescent="0.15">
      <c r="A86" s="245"/>
      <c r="B86" s="245"/>
      <c r="C86" s="130"/>
      <c r="D86" s="131"/>
      <c r="E86" s="245"/>
      <c r="F86" s="245"/>
      <c r="G86" s="130"/>
      <c r="H86" s="130"/>
      <c r="I86" s="130"/>
      <c r="J86" s="130"/>
      <c r="K86" s="245"/>
      <c r="N86" s="130"/>
      <c r="W86" s="130"/>
      <c r="X86" s="130"/>
      <c r="Y86" s="130"/>
      <c r="Z86" s="130"/>
      <c r="AA86" s="130"/>
      <c r="AB86" s="245"/>
    </row>
    <row r="87" spans="1:28" x14ac:dyDescent="0.15">
      <c r="A87" s="245"/>
      <c r="B87" s="245"/>
      <c r="C87" s="130"/>
      <c r="D87" s="131"/>
      <c r="E87" s="245"/>
      <c r="F87" s="245"/>
      <c r="G87" s="130"/>
      <c r="H87" s="130"/>
      <c r="I87" s="130"/>
      <c r="J87" s="130"/>
      <c r="K87" s="245"/>
      <c r="N87" s="130"/>
      <c r="W87" s="130"/>
      <c r="X87" s="130"/>
      <c r="Y87" s="130"/>
      <c r="Z87" s="130"/>
      <c r="AA87" s="130"/>
      <c r="AB87" s="245"/>
    </row>
    <row r="88" spans="1:28" x14ac:dyDescent="0.15">
      <c r="A88" s="245"/>
      <c r="B88" s="245"/>
      <c r="C88" s="130"/>
      <c r="D88" s="131"/>
      <c r="E88" s="245"/>
      <c r="F88" s="245"/>
      <c r="G88" s="130"/>
      <c r="H88" s="130"/>
      <c r="I88" s="130"/>
      <c r="J88" s="130"/>
      <c r="K88" s="245"/>
      <c r="N88" s="130"/>
      <c r="W88" s="130"/>
      <c r="X88" s="130"/>
      <c r="Y88" s="130"/>
      <c r="Z88" s="130"/>
      <c r="AA88" s="130"/>
      <c r="AB88" s="245"/>
    </row>
    <row r="89" spans="1:28" x14ac:dyDescent="0.15">
      <c r="A89" s="245"/>
      <c r="B89" s="245"/>
      <c r="C89" s="130"/>
      <c r="D89" s="131"/>
      <c r="E89" s="245"/>
      <c r="F89" s="245"/>
      <c r="G89" s="130"/>
      <c r="H89" s="130"/>
      <c r="I89" s="130"/>
      <c r="J89" s="130"/>
      <c r="K89" s="245"/>
      <c r="N89" s="130"/>
      <c r="W89" s="130"/>
      <c r="X89" s="130"/>
      <c r="Y89" s="130"/>
      <c r="Z89" s="130"/>
      <c r="AA89" s="130"/>
      <c r="AB89" s="245"/>
    </row>
    <row r="90" spans="1:28" x14ac:dyDescent="0.15">
      <c r="A90" s="245"/>
      <c r="B90" s="245"/>
      <c r="C90" s="130"/>
      <c r="D90" s="131"/>
      <c r="E90" s="245"/>
      <c r="F90" s="245"/>
      <c r="G90" s="130"/>
      <c r="H90" s="130"/>
      <c r="I90" s="130"/>
      <c r="J90" s="130"/>
      <c r="K90" s="130"/>
      <c r="N90" s="130"/>
      <c r="W90" s="130"/>
      <c r="X90" s="130"/>
      <c r="Y90" s="130"/>
      <c r="Z90" s="130"/>
      <c r="AA90" s="130"/>
      <c r="AB90" s="245"/>
    </row>
    <row r="91" spans="1:28" x14ac:dyDescent="0.15">
      <c r="A91" s="245"/>
      <c r="B91" s="245"/>
      <c r="C91" s="130"/>
      <c r="D91" s="131"/>
      <c r="E91" s="245"/>
      <c r="F91" s="245"/>
      <c r="G91" s="130"/>
      <c r="H91" s="130"/>
      <c r="I91" s="130"/>
      <c r="J91" s="130"/>
      <c r="K91" s="130"/>
      <c r="N91" s="130"/>
      <c r="W91" s="130"/>
      <c r="X91" s="130"/>
      <c r="Y91" s="130"/>
      <c r="Z91" s="130"/>
      <c r="AA91" s="130"/>
      <c r="AB91" s="245"/>
    </row>
    <row r="92" spans="1:28" x14ac:dyDescent="0.15">
      <c r="E92" s="245"/>
      <c r="F92" s="245"/>
    </row>
    <row r="93" spans="1:28" x14ac:dyDescent="0.15">
      <c r="E93" s="245"/>
      <c r="F93" s="245"/>
    </row>
    <row r="94" spans="1:28" x14ac:dyDescent="0.15">
      <c r="E94" s="245"/>
      <c r="F94" s="245"/>
    </row>
    <row r="95" spans="1:28" x14ac:dyDescent="0.15">
      <c r="E95" s="245"/>
      <c r="F95" s="245"/>
    </row>
    <row r="96" spans="1:28" x14ac:dyDescent="0.15">
      <c r="E96" s="245"/>
      <c r="F96" s="245"/>
    </row>
    <row r="97" spans="5:6" x14ac:dyDescent="0.15">
      <c r="E97" s="245"/>
      <c r="F97" s="245"/>
    </row>
    <row r="98" spans="5:6" x14ac:dyDescent="0.15">
      <c r="E98" s="245"/>
      <c r="F98" s="245"/>
    </row>
    <row r="99" spans="5:6" x14ac:dyDescent="0.15">
      <c r="E99" s="245"/>
      <c r="F99" s="245"/>
    </row>
    <row r="100" spans="5:6" x14ac:dyDescent="0.15">
      <c r="E100" s="245"/>
      <c r="F100" s="245"/>
    </row>
    <row r="101" spans="5:6" x14ac:dyDescent="0.15">
      <c r="E101" s="245"/>
      <c r="F101" s="245"/>
    </row>
    <row r="102" spans="5:6" x14ac:dyDescent="0.15">
      <c r="E102" s="245"/>
      <c r="F102" s="245"/>
    </row>
    <row r="103" spans="5:6" x14ac:dyDescent="0.15">
      <c r="E103" s="245"/>
      <c r="F103" s="245"/>
    </row>
    <row r="104" spans="5:6" x14ac:dyDescent="0.15">
      <c r="E104" s="245"/>
      <c r="F104" s="245"/>
    </row>
    <row r="105" spans="5:6" x14ac:dyDescent="0.15">
      <c r="E105" s="245"/>
      <c r="F105" s="245"/>
    </row>
    <row r="106" spans="5:6" x14ac:dyDescent="0.15">
      <c r="E106" s="245"/>
      <c r="F106" s="245"/>
    </row>
    <row r="107" spans="5:6" x14ac:dyDescent="0.15">
      <c r="E107" s="245"/>
      <c r="F107" s="245"/>
    </row>
    <row r="108" spans="5:6" x14ac:dyDescent="0.15">
      <c r="E108" s="245"/>
      <c r="F108" s="245"/>
    </row>
    <row r="109" spans="5:6" x14ac:dyDescent="0.15">
      <c r="E109" s="245"/>
      <c r="F109" s="245"/>
    </row>
    <row r="110" spans="5:6" x14ac:dyDescent="0.15">
      <c r="E110" s="245"/>
      <c r="F110" s="245"/>
    </row>
    <row r="111" spans="5:6" x14ac:dyDescent="0.15">
      <c r="E111" s="245"/>
      <c r="F111" s="245"/>
    </row>
    <row r="112" spans="5:6" x14ac:dyDescent="0.15">
      <c r="E112" s="245"/>
      <c r="F112" s="245"/>
    </row>
    <row r="113" spans="5:6" x14ac:dyDescent="0.15">
      <c r="E113" s="245"/>
      <c r="F113" s="245"/>
    </row>
    <row r="114" spans="5:6" x14ac:dyDescent="0.15">
      <c r="E114" s="245"/>
      <c r="F114" s="245"/>
    </row>
    <row r="115" spans="5:6" x14ac:dyDescent="0.15">
      <c r="E115" s="245"/>
      <c r="F115" s="245"/>
    </row>
    <row r="116" spans="5:6" x14ac:dyDescent="0.15">
      <c r="E116" s="245"/>
      <c r="F116" s="245"/>
    </row>
    <row r="117" spans="5:6" x14ac:dyDescent="0.15">
      <c r="E117" s="245"/>
      <c r="F117" s="245"/>
    </row>
    <row r="118" spans="5:6" x14ac:dyDescent="0.15">
      <c r="E118" s="245"/>
      <c r="F118" s="245"/>
    </row>
    <row r="119" spans="5:6" x14ac:dyDescent="0.15">
      <c r="E119" s="245"/>
      <c r="F119" s="245"/>
    </row>
    <row r="120" spans="5:6" x14ac:dyDescent="0.15">
      <c r="E120" s="245"/>
      <c r="F120" s="245"/>
    </row>
    <row r="121" spans="5:6" x14ac:dyDescent="0.15">
      <c r="E121" s="245"/>
      <c r="F121" s="245"/>
    </row>
    <row r="122" spans="5:6" x14ac:dyDescent="0.15">
      <c r="E122" s="245"/>
      <c r="F122" s="245"/>
    </row>
    <row r="123" spans="5:6" x14ac:dyDescent="0.15">
      <c r="E123" s="245"/>
      <c r="F123" s="245"/>
    </row>
    <row r="124" spans="5:6" x14ac:dyDescent="0.15">
      <c r="E124" s="245"/>
      <c r="F124" s="245"/>
    </row>
    <row r="125" spans="5:6" x14ac:dyDescent="0.15">
      <c r="E125" s="245"/>
      <c r="F125" s="245"/>
    </row>
    <row r="126" spans="5:6" x14ac:dyDescent="0.15">
      <c r="E126" s="245"/>
      <c r="F126" s="245"/>
    </row>
    <row r="127" spans="5:6" x14ac:dyDescent="0.15">
      <c r="E127" s="245"/>
      <c r="F127" s="245"/>
    </row>
    <row r="128" spans="5:6" x14ac:dyDescent="0.15">
      <c r="E128" s="245"/>
      <c r="F128" s="245"/>
    </row>
    <row r="129" spans="5:6" x14ac:dyDescent="0.15">
      <c r="E129" s="245"/>
      <c r="F129" s="245"/>
    </row>
    <row r="130" spans="5:6" x14ac:dyDescent="0.15">
      <c r="E130" s="245"/>
      <c r="F130" s="245"/>
    </row>
    <row r="131" spans="5:6" x14ac:dyDescent="0.15">
      <c r="E131" s="245"/>
      <c r="F131" s="245"/>
    </row>
    <row r="132" spans="5:6" x14ac:dyDescent="0.15">
      <c r="E132" s="245"/>
      <c r="F132" s="245"/>
    </row>
    <row r="133" spans="5:6" x14ac:dyDescent="0.15">
      <c r="E133" s="245"/>
      <c r="F133" s="245"/>
    </row>
    <row r="134" spans="5:6" x14ac:dyDescent="0.15">
      <c r="E134" s="245"/>
      <c r="F134" s="245"/>
    </row>
    <row r="135" spans="5:6" x14ac:dyDescent="0.15">
      <c r="E135" s="245"/>
      <c r="F135" s="245"/>
    </row>
    <row r="136" spans="5:6" x14ac:dyDescent="0.15">
      <c r="E136" s="245"/>
      <c r="F136" s="245"/>
    </row>
    <row r="137" spans="5:6" x14ac:dyDescent="0.15">
      <c r="E137" s="245"/>
      <c r="F137" s="245"/>
    </row>
    <row r="138" spans="5:6" x14ac:dyDescent="0.15">
      <c r="E138" s="245"/>
      <c r="F138" s="245"/>
    </row>
    <row r="139" spans="5:6" x14ac:dyDescent="0.15">
      <c r="E139" s="245"/>
      <c r="F139" s="245"/>
    </row>
    <row r="140" spans="5:6" x14ac:dyDescent="0.15">
      <c r="E140" s="245"/>
      <c r="F140" s="245"/>
    </row>
    <row r="141" spans="5:6" x14ac:dyDescent="0.15">
      <c r="E141" s="245"/>
      <c r="F141" s="245"/>
    </row>
    <row r="142" spans="5:6" x14ac:dyDescent="0.15">
      <c r="E142" s="245"/>
      <c r="F142" s="245"/>
    </row>
    <row r="143" spans="5:6" x14ac:dyDescent="0.15">
      <c r="E143" s="245"/>
      <c r="F143" s="245"/>
    </row>
    <row r="144" spans="5:6" x14ac:dyDescent="0.15">
      <c r="E144" s="245"/>
      <c r="F144" s="245"/>
    </row>
    <row r="145" spans="5:6" x14ac:dyDescent="0.15">
      <c r="E145" s="245"/>
      <c r="F145" s="245"/>
    </row>
    <row r="146" spans="5:6" x14ac:dyDescent="0.15">
      <c r="E146" s="245"/>
      <c r="F146" s="245"/>
    </row>
    <row r="147" spans="5:6" x14ac:dyDescent="0.15">
      <c r="E147" s="245"/>
      <c r="F147" s="245"/>
    </row>
    <row r="148" spans="5:6" x14ac:dyDescent="0.15">
      <c r="E148" s="245"/>
      <c r="F148" s="245"/>
    </row>
    <row r="149" spans="5:6" x14ac:dyDescent="0.15">
      <c r="E149" s="245"/>
      <c r="F149" s="245"/>
    </row>
    <row r="150" spans="5:6" x14ac:dyDescent="0.15">
      <c r="E150" s="245"/>
      <c r="F150" s="245"/>
    </row>
    <row r="151" spans="5:6" x14ac:dyDescent="0.15">
      <c r="E151" s="245"/>
      <c r="F151" s="245"/>
    </row>
    <row r="152" spans="5:6" x14ac:dyDescent="0.15">
      <c r="E152" s="245"/>
      <c r="F152" s="245"/>
    </row>
    <row r="153" spans="5:6" x14ac:dyDescent="0.15">
      <c r="E153" s="245"/>
      <c r="F153" s="245"/>
    </row>
    <row r="154" spans="5:6" x14ac:dyDescent="0.15">
      <c r="E154" s="245"/>
      <c r="F154" s="245"/>
    </row>
    <row r="155" spans="5:6" x14ac:dyDescent="0.15">
      <c r="E155" s="245"/>
      <c r="F155" s="245"/>
    </row>
    <row r="156" spans="5:6" x14ac:dyDescent="0.15">
      <c r="E156" s="245"/>
      <c r="F156" s="245"/>
    </row>
    <row r="157" spans="5:6" x14ac:dyDescent="0.15">
      <c r="E157" s="245"/>
      <c r="F157" s="245"/>
    </row>
    <row r="158" spans="5:6" x14ac:dyDescent="0.15">
      <c r="E158" s="245"/>
      <c r="F158" s="245"/>
    </row>
    <row r="159" spans="5:6" x14ac:dyDescent="0.15">
      <c r="E159" s="245"/>
      <c r="F159" s="245"/>
    </row>
    <row r="160" spans="5:6" x14ac:dyDescent="0.15">
      <c r="E160" s="245"/>
      <c r="F160" s="245"/>
    </row>
    <row r="161" spans="5:6" x14ac:dyDescent="0.15">
      <c r="E161" s="245"/>
      <c r="F161" s="245"/>
    </row>
    <row r="162" spans="5:6" x14ac:dyDescent="0.15">
      <c r="E162" s="245"/>
      <c r="F162" s="245"/>
    </row>
    <row r="163" spans="5:6" x14ac:dyDescent="0.15">
      <c r="E163" s="245"/>
      <c r="F163" s="245"/>
    </row>
    <row r="164" spans="5:6" x14ac:dyDescent="0.15">
      <c r="E164" s="245"/>
      <c r="F164" s="245"/>
    </row>
    <row r="165" spans="5:6" x14ac:dyDescent="0.15">
      <c r="E165" s="245"/>
      <c r="F165" s="245"/>
    </row>
    <row r="166" spans="5:6" x14ac:dyDescent="0.15">
      <c r="E166" s="245"/>
      <c r="F166" s="245"/>
    </row>
    <row r="167" spans="5:6" x14ac:dyDescent="0.15">
      <c r="E167" s="245"/>
      <c r="F167" s="245"/>
    </row>
    <row r="168" spans="5:6" x14ac:dyDescent="0.15">
      <c r="E168" s="245"/>
      <c r="F168" s="245"/>
    </row>
    <row r="169" spans="5:6" x14ac:dyDescent="0.15">
      <c r="E169" s="245"/>
      <c r="F169" s="245"/>
    </row>
    <row r="170" spans="5:6" x14ac:dyDescent="0.15">
      <c r="E170" s="245"/>
      <c r="F170" s="245"/>
    </row>
    <row r="171" spans="5:6" x14ac:dyDescent="0.15">
      <c r="E171" s="245"/>
      <c r="F171" s="245"/>
    </row>
    <row r="172" spans="5:6" x14ac:dyDescent="0.15">
      <c r="E172" s="245"/>
      <c r="F172" s="245"/>
    </row>
    <row r="173" spans="5:6" x14ac:dyDescent="0.15">
      <c r="E173" s="245"/>
      <c r="F173" s="245"/>
    </row>
    <row r="174" spans="5:6" x14ac:dyDescent="0.15">
      <c r="E174" s="245"/>
      <c r="F174" s="245"/>
    </row>
    <row r="175" spans="5:6" x14ac:dyDescent="0.15">
      <c r="E175" s="245"/>
      <c r="F175" s="245"/>
    </row>
    <row r="176" spans="5:6" x14ac:dyDescent="0.15">
      <c r="E176" s="245"/>
      <c r="F176" s="245"/>
    </row>
    <row r="177" spans="5:6" x14ac:dyDescent="0.15">
      <c r="E177" s="245"/>
      <c r="F177" s="245"/>
    </row>
    <row r="178" spans="5:6" x14ac:dyDescent="0.15">
      <c r="E178" s="245"/>
      <c r="F178" s="245"/>
    </row>
    <row r="179" spans="5:6" x14ac:dyDescent="0.15">
      <c r="E179" s="245"/>
      <c r="F179" s="245"/>
    </row>
    <row r="180" spans="5:6" x14ac:dyDescent="0.15">
      <c r="E180" s="245"/>
      <c r="F180" s="245"/>
    </row>
    <row r="181" spans="5:6" x14ac:dyDescent="0.15">
      <c r="E181" s="245"/>
      <c r="F181" s="245"/>
    </row>
    <row r="182" spans="5:6" x14ac:dyDescent="0.15">
      <c r="E182" s="245"/>
      <c r="F182" s="245"/>
    </row>
    <row r="183" spans="5:6" x14ac:dyDescent="0.15">
      <c r="E183" s="245"/>
      <c r="F183" s="245"/>
    </row>
    <row r="184" spans="5:6" x14ac:dyDescent="0.15">
      <c r="E184" s="245"/>
      <c r="F184" s="245"/>
    </row>
    <row r="185" spans="5:6" x14ac:dyDescent="0.15">
      <c r="E185" s="245"/>
      <c r="F185" s="245"/>
    </row>
    <row r="186" spans="5:6" x14ac:dyDescent="0.15">
      <c r="E186" s="245"/>
      <c r="F186" s="245"/>
    </row>
    <row r="187" spans="5:6" x14ac:dyDescent="0.15">
      <c r="E187" s="245"/>
      <c r="F187" s="245"/>
    </row>
    <row r="188" spans="5:6" x14ac:dyDescent="0.15">
      <c r="E188" s="245"/>
      <c r="F188" s="245"/>
    </row>
    <row r="189" spans="5:6" x14ac:dyDescent="0.15">
      <c r="E189" s="245"/>
      <c r="F189" s="245"/>
    </row>
    <row r="190" spans="5:6" x14ac:dyDescent="0.15">
      <c r="E190" s="245"/>
      <c r="F190" s="245"/>
    </row>
    <row r="191" spans="5:6" x14ac:dyDescent="0.15">
      <c r="E191" s="245"/>
      <c r="F191" s="245"/>
    </row>
    <row r="192" spans="5:6" x14ac:dyDescent="0.15">
      <c r="E192" s="245"/>
      <c r="F192" s="245"/>
    </row>
    <row r="193" spans="5:6" x14ac:dyDescent="0.15">
      <c r="E193" s="245"/>
      <c r="F193" s="245"/>
    </row>
    <row r="194" spans="5:6" x14ac:dyDescent="0.15">
      <c r="E194" s="245"/>
      <c r="F194" s="245"/>
    </row>
    <row r="195" spans="5:6" x14ac:dyDescent="0.15">
      <c r="E195" s="245"/>
      <c r="F195" s="245"/>
    </row>
    <row r="196" spans="5:6" x14ac:dyDescent="0.15">
      <c r="E196" s="245"/>
      <c r="F196" s="245"/>
    </row>
    <row r="197" spans="5:6" x14ac:dyDescent="0.15">
      <c r="E197" s="245"/>
      <c r="F197" s="245"/>
    </row>
    <row r="198" spans="5:6" x14ac:dyDescent="0.15">
      <c r="E198" s="245"/>
      <c r="F198" s="245"/>
    </row>
    <row r="199" spans="5:6" x14ac:dyDescent="0.15">
      <c r="E199" s="245"/>
      <c r="F199" s="245"/>
    </row>
    <row r="200" spans="5:6" x14ac:dyDescent="0.15">
      <c r="E200" s="245"/>
      <c r="F200" s="245"/>
    </row>
    <row r="201" spans="5:6" x14ac:dyDescent="0.15">
      <c r="E201" s="245"/>
      <c r="F201" s="245"/>
    </row>
    <row r="202" spans="5:6" x14ac:dyDescent="0.15">
      <c r="E202" s="245"/>
      <c r="F202" s="245"/>
    </row>
    <row r="203" spans="5:6" x14ac:dyDescent="0.15">
      <c r="E203" s="245"/>
      <c r="F203" s="245"/>
    </row>
    <row r="204" spans="5:6" x14ac:dyDescent="0.15">
      <c r="E204" s="245"/>
      <c r="F204" s="245"/>
    </row>
    <row r="205" spans="5:6" x14ac:dyDescent="0.15">
      <c r="E205" s="245"/>
      <c r="F205" s="245"/>
    </row>
    <row r="206" spans="5:6" x14ac:dyDescent="0.15">
      <c r="E206" s="245"/>
      <c r="F206" s="245"/>
    </row>
    <row r="207" spans="5:6" x14ac:dyDescent="0.15">
      <c r="E207" s="245"/>
      <c r="F207" s="245"/>
    </row>
    <row r="208" spans="5:6" x14ac:dyDescent="0.15">
      <c r="E208" s="245"/>
      <c r="F208" s="245"/>
    </row>
    <row r="209" spans="5:6" x14ac:dyDescent="0.15">
      <c r="E209" s="245"/>
      <c r="F209" s="245"/>
    </row>
    <row r="210" spans="5:6" x14ac:dyDescent="0.15">
      <c r="E210" s="245"/>
      <c r="F210" s="245"/>
    </row>
    <row r="211" spans="5:6" x14ac:dyDescent="0.15">
      <c r="E211" s="245"/>
      <c r="F211" s="245"/>
    </row>
    <row r="212" spans="5:6" x14ac:dyDescent="0.15">
      <c r="E212" s="245"/>
      <c r="F212" s="245"/>
    </row>
    <row r="213" spans="5:6" x14ac:dyDescent="0.15">
      <c r="E213" s="245"/>
      <c r="F213" s="245"/>
    </row>
    <row r="214" spans="5:6" x14ac:dyDescent="0.15">
      <c r="E214" s="245"/>
      <c r="F214" s="245"/>
    </row>
    <row r="215" spans="5:6" x14ac:dyDescent="0.15">
      <c r="E215" s="245"/>
      <c r="F215" s="245"/>
    </row>
    <row r="216" spans="5:6" x14ac:dyDescent="0.15">
      <c r="E216" s="245"/>
      <c r="F216" s="245"/>
    </row>
    <row r="217" spans="5:6" x14ac:dyDescent="0.15">
      <c r="E217" s="245"/>
      <c r="F217" s="245"/>
    </row>
    <row r="218" spans="5:6" x14ac:dyDescent="0.15">
      <c r="E218" s="245"/>
      <c r="F218" s="245"/>
    </row>
    <row r="219" spans="5:6" x14ac:dyDescent="0.15">
      <c r="E219" s="245"/>
      <c r="F219" s="245"/>
    </row>
    <row r="220" spans="5:6" x14ac:dyDescent="0.15">
      <c r="E220" s="245"/>
      <c r="F220" s="245"/>
    </row>
    <row r="221" spans="5:6" x14ac:dyDescent="0.15">
      <c r="E221" s="245"/>
      <c r="F221" s="245"/>
    </row>
    <row r="222" spans="5:6" x14ac:dyDescent="0.15">
      <c r="E222" s="245"/>
      <c r="F222" s="245"/>
    </row>
    <row r="223" spans="5:6" x14ac:dyDescent="0.15">
      <c r="E223" s="245"/>
      <c r="F223" s="245"/>
    </row>
    <row r="224" spans="5:6" x14ac:dyDescent="0.15">
      <c r="E224" s="245"/>
      <c r="F224" s="245"/>
    </row>
    <row r="225" spans="5:6" x14ac:dyDescent="0.15">
      <c r="E225" s="245"/>
      <c r="F225" s="245"/>
    </row>
    <row r="226" spans="5:6" x14ac:dyDescent="0.15">
      <c r="E226" s="245"/>
      <c r="F226" s="245"/>
    </row>
    <row r="227" spans="5:6" x14ac:dyDescent="0.15">
      <c r="E227" s="245"/>
      <c r="F227" s="245"/>
    </row>
    <row r="228" spans="5:6" x14ac:dyDescent="0.15">
      <c r="E228" s="245"/>
      <c r="F228" s="245"/>
    </row>
    <row r="229" spans="5:6" x14ac:dyDescent="0.15">
      <c r="E229" s="245"/>
      <c r="F229" s="245"/>
    </row>
    <row r="230" spans="5:6" x14ac:dyDescent="0.15">
      <c r="E230" s="245"/>
      <c r="F230" s="245"/>
    </row>
    <row r="231" spans="5:6" x14ac:dyDescent="0.15">
      <c r="E231" s="245"/>
      <c r="F231" s="245"/>
    </row>
    <row r="232" spans="5:6" x14ac:dyDescent="0.15">
      <c r="E232" s="245"/>
      <c r="F232" s="245"/>
    </row>
    <row r="233" spans="5:6" x14ac:dyDescent="0.15">
      <c r="E233" s="245"/>
      <c r="F233" s="245"/>
    </row>
    <row r="234" spans="5:6" x14ac:dyDescent="0.15">
      <c r="E234" s="245"/>
      <c r="F234" s="245"/>
    </row>
    <row r="235" spans="5:6" x14ac:dyDescent="0.15">
      <c r="E235" s="245"/>
      <c r="F235" s="245"/>
    </row>
    <row r="236" spans="5:6" x14ac:dyDescent="0.15">
      <c r="E236" s="245"/>
      <c r="F236" s="245"/>
    </row>
    <row r="237" spans="5:6" x14ac:dyDescent="0.15">
      <c r="E237" s="245"/>
      <c r="F237" s="245"/>
    </row>
    <row r="238" spans="5:6" x14ac:dyDescent="0.15">
      <c r="E238" s="245"/>
      <c r="F238" s="245"/>
    </row>
    <row r="239" spans="5:6" x14ac:dyDescent="0.15">
      <c r="E239" s="245"/>
      <c r="F239" s="245"/>
    </row>
    <row r="240" spans="5:6" x14ac:dyDescent="0.15">
      <c r="E240" s="245"/>
      <c r="F240" s="245"/>
    </row>
    <row r="241" spans="5:6" x14ac:dyDescent="0.15">
      <c r="E241" s="245"/>
      <c r="F241" s="245"/>
    </row>
    <row r="242" spans="5:6" x14ac:dyDescent="0.15">
      <c r="E242" s="245"/>
      <c r="F242" s="245"/>
    </row>
    <row r="243" spans="5:6" x14ac:dyDescent="0.15">
      <c r="E243" s="245"/>
      <c r="F243" s="245"/>
    </row>
    <row r="244" spans="5:6" x14ac:dyDescent="0.15">
      <c r="E244" s="245"/>
      <c r="F244" s="245"/>
    </row>
    <row r="245" spans="5:6" x14ac:dyDescent="0.15">
      <c r="E245" s="245"/>
      <c r="F245" s="245"/>
    </row>
    <row r="246" spans="5:6" x14ac:dyDescent="0.15">
      <c r="E246" s="245"/>
      <c r="F246" s="245"/>
    </row>
    <row r="247" spans="5:6" x14ac:dyDescent="0.15">
      <c r="E247" s="245"/>
      <c r="F247" s="245"/>
    </row>
    <row r="248" spans="5:6" x14ac:dyDescent="0.15">
      <c r="E248" s="245"/>
      <c r="F248" s="245"/>
    </row>
    <row r="249" spans="5:6" x14ac:dyDescent="0.15">
      <c r="E249" s="245"/>
      <c r="F249" s="245"/>
    </row>
    <row r="250" spans="5:6" x14ac:dyDescent="0.15">
      <c r="E250" s="245"/>
      <c r="F250" s="245"/>
    </row>
    <row r="251" spans="5:6" x14ac:dyDescent="0.15">
      <c r="E251" s="245"/>
      <c r="F251" s="245"/>
    </row>
    <row r="252" spans="5:6" x14ac:dyDescent="0.15">
      <c r="E252" s="245"/>
      <c r="F252" s="245"/>
    </row>
    <row r="253" spans="5:6" x14ac:dyDescent="0.15">
      <c r="E253" s="245"/>
      <c r="F253" s="245"/>
    </row>
    <row r="254" spans="5:6" x14ac:dyDescent="0.15">
      <c r="E254" s="245"/>
      <c r="F254" s="245"/>
    </row>
    <row r="255" spans="5:6" x14ac:dyDescent="0.15">
      <c r="E255" s="245"/>
      <c r="F255" s="245"/>
    </row>
    <row r="256" spans="5:6" x14ac:dyDescent="0.15">
      <c r="E256" s="245"/>
      <c r="F256" s="245"/>
    </row>
    <row r="257" spans="5:6" x14ac:dyDescent="0.15">
      <c r="E257" s="245"/>
      <c r="F257" s="245"/>
    </row>
    <row r="258" spans="5:6" x14ac:dyDescent="0.15">
      <c r="E258" s="245"/>
      <c r="F258" s="245"/>
    </row>
    <row r="259" spans="5:6" x14ac:dyDescent="0.15">
      <c r="E259" s="245"/>
      <c r="F259" s="245"/>
    </row>
    <row r="260" spans="5:6" x14ac:dyDescent="0.15">
      <c r="E260" s="245"/>
      <c r="F260" s="245"/>
    </row>
    <row r="261" spans="5:6" x14ac:dyDescent="0.15">
      <c r="E261" s="245"/>
      <c r="F261" s="245"/>
    </row>
    <row r="262" spans="5:6" x14ac:dyDescent="0.15">
      <c r="E262" s="245"/>
      <c r="F262" s="245"/>
    </row>
    <row r="263" spans="5:6" x14ac:dyDescent="0.15">
      <c r="E263" s="245"/>
      <c r="F263" s="245"/>
    </row>
    <row r="264" spans="5:6" x14ac:dyDescent="0.15">
      <c r="E264" s="245"/>
      <c r="F264" s="245"/>
    </row>
    <row r="265" spans="5:6" x14ac:dyDescent="0.15">
      <c r="E265" s="245"/>
      <c r="F265" s="245"/>
    </row>
    <row r="266" spans="5:6" x14ac:dyDescent="0.15">
      <c r="E266" s="245"/>
      <c r="F266" s="245"/>
    </row>
    <row r="267" spans="5:6" x14ac:dyDescent="0.15">
      <c r="E267" s="245"/>
      <c r="F267" s="245"/>
    </row>
    <row r="268" spans="5:6" x14ac:dyDescent="0.15">
      <c r="E268" s="245"/>
      <c r="F268" s="245"/>
    </row>
    <row r="269" spans="5:6" x14ac:dyDescent="0.15">
      <c r="E269" s="245"/>
      <c r="F269" s="245"/>
    </row>
    <row r="270" spans="5:6" x14ac:dyDescent="0.15">
      <c r="E270" s="245"/>
      <c r="F270" s="245"/>
    </row>
    <row r="271" spans="5:6" x14ac:dyDescent="0.15">
      <c r="E271" s="245"/>
      <c r="F271" s="245"/>
    </row>
    <row r="272" spans="5:6" x14ac:dyDescent="0.15">
      <c r="E272" s="245"/>
      <c r="F272" s="245"/>
    </row>
    <row r="273" spans="5:6" x14ac:dyDescent="0.15">
      <c r="E273" s="245"/>
      <c r="F273" s="245"/>
    </row>
    <row r="274" spans="5:6" x14ac:dyDescent="0.15">
      <c r="E274" s="245"/>
      <c r="F274" s="245"/>
    </row>
    <row r="275" spans="5:6" x14ac:dyDescent="0.15">
      <c r="E275" s="245"/>
      <c r="F275" s="245"/>
    </row>
    <row r="276" spans="5:6" x14ac:dyDescent="0.15">
      <c r="E276" s="245"/>
      <c r="F276" s="245"/>
    </row>
    <row r="277" spans="5:6" x14ac:dyDescent="0.15">
      <c r="E277" s="245"/>
      <c r="F277" s="245"/>
    </row>
    <row r="278" spans="5:6" x14ac:dyDescent="0.15">
      <c r="E278" s="245"/>
      <c r="F278" s="245"/>
    </row>
    <row r="279" spans="5:6" x14ac:dyDescent="0.15">
      <c r="E279" s="245"/>
      <c r="F279" s="245"/>
    </row>
    <row r="280" spans="5:6" x14ac:dyDescent="0.15">
      <c r="E280" s="245"/>
      <c r="F280" s="245"/>
    </row>
    <row r="281" spans="5:6" x14ac:dyDescent="0.15">
      <c r="E281" s="245"/>
      <c r="F281" s="245"/>
    </row>
    <row r="282" spans="5:6" x14ac:dyDescent="0.15">
      <c r="E282" s="245"/>
      <c r="F282" s="245"/>
    </row>
    <row r="283" spans="5:6" x14ac:dyDescent="0.15">
      <c r="E283" s="245"/>
      <c r="F283" s="245"/>
    </row>
    <row r="284" spans="5:6" x14ac:dyDescent="0.15">
      <c r="E284" s="245"/>
      <c r="F284" s="245"/>
    </row>
    <row r="285" spans="5:6" x14ac:dyDescent="0.15">
      <c r="E285" s="245"/>
      <c r="F285" s="245"/>
    </row>
    <row r="286" spans="5:6" x14ac:dyDescent="0.15">
      <c r="E286" s="245"/>
      <c r="F286" s="245"/>
    </row>
    <row r="287" spans="5:6" x14ac:dyDescent="0.15">
      <c r="E287" s="245"/>
      <c r="F287" s="245"/>
    </row>
    <row r="288" spans="5:6" x14ac:dyDescent="0.15">
      <c r="E288" s="245"/>
      <c r="F288" s="245"/>
    </row>
    <row r="289" spans="5:6" x14ac:dyDescent="0.15">
      <c r="E289" s="245"/>
      <c r="F289" s="245"/>
    </row>
    <row r="290" spans="5:6" x14ac:dyDescent="0.15">
      <c r="E290" s="245"/>
      <c r="F290" s="245"/>
    </row>
    <row r="291" spans="5:6" x14ac:dyDescent="0.15">
      <c r="E291" s="245"/>
      <c r="F291" s="245"/>
    </row>
    <row r="292" spans="5:6" x14ac:dyDescent="0.15">
      <c r="E292" s="245"/>
      <c r="F292" s="245"/>
    </row>
    <row r="293" spans="5:6" x14ac:dyDescent="0.15">
      <c r="E293" s="245"/>
      <c r="F293" s="245"/>
    </row>
    <row r="294" spans="5:6" x14ac:dyDescent="0.15">
      <c r="E294" s="245"/>
      <c r="F294" s="245"/>
    </row>
    <row r="295" spans="5:6" x14ac:dyDescent="0.15">
      <c r="E295" s="245"/>
      <c r="F295" s="245"/>
    </row>
    <row r="296" spans="5:6" x14ac:dyDescent="0.15">
      <c r="E296" s="245"/>
      <c r="F296" s="245"/>
    </row>
    <row r="297" spans="5:6" x14ac:dyDescent="0.15">
      <c r="E297" s="245"/>
      <c r="F297" s="245"/>
    </row>
    <row r="298" spans="5:6" x14ac:dyDescent="0.15">
      <c r="E298" s="245"/>
      <c r="F298" s="245"/>
    </row>
    <row r="299" spans="5:6" x14ac:dyDescent="0.15">
      <c r="E299" s="245"/>
      <c r="F299" s="245"/>
    </row>
    <row r="300" spans="5:6" x14ac:dyDescent="0.15">
      <c r="E300" s="245"/>
      <c r="F300" s="245"/>
    </row>
    <row r="301" spans="5:6" x14ac:dyDescent="0.15">
      <c r="E301" s="245"/>
      <c r="F301" s="245"/>
    </row>
    <row r="302" spans="5:6" x14ac:dyDescent="0.15">
      <c r="E302" s="245"/>
      <c r="F302" s="245"/>
    </row>
    <row r="303" spans="5:6" x14ac:dyDescent="0.15">
      <c r="E303" s="245"/>
      <c r="F303" s="245"/>
    </row>
    <row r="304" spans="5:6" x14ac:dyDescent="0.15">
      <c r="E304" s="245"/>
      <c r="F304" s="245"/>
    </row>
    <row r="305" spans="5:6" x14ac:dyDescent="0.15">
      <c r="E305" s="245"/>
      <c r="F305" s="245"/>
    </row>
    <row r="306" spans="5:6" x14ac:dyDescent="0.15">
      <c r="E306" s="245"/>
      <c r="F306" s="245"/>
    </row>
    <row r="307" spans="5:6" x14ac:dyDescent="0.15">
      <c r="E307" s="245"/>
      <c r="F307" s="245"/>
    </row>
    <row r="308" spans="5:6" x14ac:dyDescent="0.15">
      <c r="E308" s="245"/>
      <c r="F308" s="245"/>
    </row>
    <row r="309" spans="5:6" x14ac:dyDescent="0.15">
      <c r="E309" s="245"/>
      <c r="F309" s="245"/>
    </row>
    <row r="310" spans="5:6" x14ac:dyDescent="0.15">
      <c r="E310" s="245"/>
      <c r="F310" s="245"/>
    </row>
    <row r="311" spans="5:6" x14ac:dyDescent="0.15">
      <c r="E311" s="245"/>
      <c r="F311" s="245"/>
    </row>
    <row r="312" spans="5:6" x14ac:dyDescent="0.15">
      <c r="E312" s="245"/>
      <c r="F312" s="245"/>
    </row>
    <row r="313" spans="5:6" x14ac:dyDescent="0.15">
      <c r="E313" s="245"/>
      <c r="F313" s="245"/>
    </row>
    <row r="314" spans="5:6" x14ac:dyDescent="0.15">
      <c r="E314" s="245"/>
      <c r="F314" s="245"/>
    </row>
    <row r="315" spans="5:6" x14ac:dyDescent="0.15">
      <c r="E315" s="245"/>
      <c r="F315" s="245"/>
    </row>
    <row r="316" spans="5:6" x14ac:dyDescent="0.15">
      <c r="E316" s="245"/>
      <c r="F316" s="245"/>
    </row>
    <row r="317" spans="5:6" x14ac:dyDescent="0.15">
      <c r="E317" s="245"/>
      <c r="F317" s="245"/>
    </row>
    <row r="318" spans="5:6" x14ac:dyDescent="0.15">
      <c r="E318" s="245"/>
      <c r="F318" s="245"/>
    </row>
    <row r="319" spans="5:6" x14ac:dyDescent="0.15">
      <c r="E319" s="245"/>
      <c r="F319" s="245"/>
    </row>
    <row r="320" spans="5:6" x14ac:dyDescent="0.15">
      <c r="E320" s="245"/>
      <c r="F320" s="245"/>
    </row>
    <row r="321" spans="5:6" x14ac:dyDescent="0.15">
      <c r="E321" s="245"/>
      <c r="F321" s="245"/>
    </row>
    <row r="322" spans="5:6" x14ac:dyDescent="0.15">
      <c r="E322" s="245"/>
      <c r="F322" s="245"/>
    </row>
    <row r="323" spans="5:6" x14ac:dyDescent="0.15">
      <c r="E323" s="245"/>
      <c r="F323" s="245"/>
    </row>
    <row r="324" spans="5:6" x14ac:dyDescent="0.15">
      <c r="E324" s="245"/>
      <c r="F324" s="245"/>
    </row>
    <row r="325" spans="5:6" x14ac:dyDescent="0.15">
      <c r="E325" s="245"/>
      <c r="F325" s="245"/>
    </row>
    <row r="326" spans="5:6" x14ac:dyDescent="0.15">
      <c r="E326" s="245"/>
      <c r="F326" s="245"/>
    </row>
    <row r="327" spans="5:6" x14ac:dyDescent="0.15">
      <c r="E327" s="245"/>
      <c r="F327" s="245"/>
    </row>
    <row r="328" spans="5:6" x14ac:dyDescent="0.15">
      <c r="E328" s="245"/>
      <c r="F328" s="245"/>
    </row>
    <row r="329" spans="5:6" x14ac:dyDescent="0.15">
      <c r="E329" s="245"/>
      <c r="F329" s="245"/>
    </row>
    <row r="330" spans="5:6" x14ac:dyDescent="0.15">
      <c r="E330" s="245"/>
      <c r="F330" s="245"/>
    </row>
    <row r="331" spans="5:6" x14ac:dyDescent="0.15">
      <c r="E331" s="245"/>
      <c r="F331" s="245"/>
    </row>
    <row r="332" spans="5:6" x14ac:dyDescent="0.15">
      <c r="E332" s="245"/>
      <c r="F332" s="245"/>
    </row>
    <row r="333" spans="5:6" x14ac:dyDescent="0.15">
      <c r="E333" s="245"/>
      <c r="F333" s="245"/>
    </row>
    <row r="334" spans="5:6" x14ac:dyDescent="0.15">
      <c r="E334" s="245"/>
      <c r="F334" s="245"/>
    </row>
    <row r="335" spans="5:6" x14ac:dyDescent="0.15">
      <c r="E335" s="245"/>
      <c r="F335" s="245"/>
    </row>
    <row r="336" spans="5:6" x14ac:dyDescent="0.15">
      <c r="E336" s="245"/>
      <c r="F336" s="245"/>
    </row>
    <row r="337" spans="5:6" x14ac:dyDescent="0.15">
      <c r="E337" s="245"/>
      <c r="F337" s="245"/>
    </row>
    <row r="338" spans="5:6" x14ac:dyDescent="0.15">
      <c r="E338" s="245"/>
      <c r="F338" s="245"/>
    </row>
    <row r="339" spans="5:6" x14ac:dyDescent="0.15">
      <c r="E339" s="245"/>
      <c r="F339" s="245"/>
    </row>
    <row r="340" spans="5:6" x14ac:dyDescent="0.15">
      <c r="E340" s="245"/>
      <c r="F340" s="245"/>
    </row>
    <row r="341" spans="5:6" x14ac:dyDescent="0.15">
      <c r="E341" s="245"/>
      <c r="F341" s="245"/>
    </row>
    <row r="342" spans="5:6" x14ac:dyDescent="0.15">
      <c r="E342" s="245"/>
      <c r="F342" s="245"/>
    </row>
    <row r="343" spans="5:6" x14ac:dyDescent="0.15">
      <c r="E343" s="245"/>
      <c r="F343" s="245"/>
    </row>
    <row r="344" spans="5:6" x14ac:dyDescent="0.15">
      <c r="E344" s="245"/>
      <c r="F344" s="245"/>
    </row>
    <row r="345" spans="5:6" x14ac:dyDescent="0.15">
      <c r="E345" s="245"/>
      <c r="F345" s="245"/>
    </row>
    <row r="346" spans="5:6" x14ac:dyDescent="0.15">
      <c r="E346" s="245"/>
      <c r="F346" s="245"/>
    </row>
    <row r="347" spans="5:6" x14ac:dyDescent="0.15">
      <c r="E347" s="245"/>
      <c r="F347" s="245"/>
    </row>
    <row r="348" spans="5:6" x14ac:dyDescent="0.15">
      <c r="E348" s="245"/>
      <c r="F348" s="245"/>
    </row>
    <row r="349" spans="5:6" x14ac:dyDescent="0.15">
      <c r="E349" s="245"/>
      <c r="F349" s="245"/>
    </row>
    <row r="350" spans="5:6" x14ac:dyDescent="0.15">
      <c r="E350" s="245"/>
      <c r="F350" s="245"/>
    </row>
    <row r="351" spans="5:6" x14ac:dyDescent="0.15">
      <c r="E351" s="245"/>
      <c r="F351" s="245"/>
    </row>
    <row r="352" spans="5:6" x14ac:dyDescent="0.15">
      <c r="E352" s="245"/>
      <c r="F352" s="245"/>
    </row>
    <row r="353" spans="5:6" x14ac:dyDescent="0.15">
      <c r="E353" s="245"/>
      <c r="F353" s="245"/>
    </row>
    <row r="354" spans="5:6" x14ac:dyDescent="0.15">
      <c r="E354" s="245"/>
      <c r="F354" s="245"/>
    </row>
    <row r="355" spans="5:6" x14ac:dyDescent="0.15">
      <c r="E355" s="245"/>
      <c r="F355" s="245"/>
    </row>
    <row r="356" spans="5:6" x14ac:dyDescent="0.15">
      <c r="E356" s="245"/>
      <c r="F356" s="245"/>
    </row>
    <row r="357" spans="5:6" x14ac:dyDescent="0.15">
      <c r="E357" s="245"/>
      <c r="F357" s="245"/>
    </row>
    <row r="358" spans="5:6" x14ac:dyDescent="0.15">
      <c r="E358" s="245"/>
      <c r="F358" s="245"/>
    </row>
    <row r="359" spans="5:6" x14ac:dyDescent="0.15">
      <c r="E359" s="245"/>
      <c r="F359" s="245"/>
    </row>
    <row r="360" spans="5:6" x14ac:dyDescent="0.15">
      <c r="E360" s="245"/>
      <c r="F360" s="245"/>
    </row>
    <row r="361" spans="5:6" x14ac:dyDescent="0.15">
      <c r="E361" s="245"/>
      <c r="F361" s="245"/>
    </row>
    <row r="362" spans="5:6" x14ac:dyDescent="0.15">
      <c r="E362" s="245"/>
      <c r="F362" s="245"/>
    </row>
    <row r="363" spans="5:6" x14ac:dyDescent="0.15">
      <c r="E363" s="245"/>
      <c r="F363" s="245"/>
    </row>
    <row r="364" spans="5:6" x14ac:dyDescent="0.15">
      <c r="E364" s="245"/>
      <c r="F364" s="245"/>
    </row>
    <row r="365" spans="5:6" x14ac:dyDescent="0.15">
      <c r="E365" s="245"/>
      <c r="F365" s="245"/>
    </row>
    <row r="366" spans="5:6" x14ac:dyDescent="0.15">
      <c r="E366" s="245"/>
      <c r="F366" s="245"/>
    </row>
    <row r="367" spans="5:6" x14ac:dyDescent="0.15">
      <c r="E367" s="245"/>
      <c r="F367" s="245"/>
    </row>
    <row r="368" spans="5:6" x14ac:dyDescent="0.15">
      <c r="E368" s="245"/>
      <c r="F368" s="245"/>
    </row>
    <row r="369" spans="5:6" x14ac:dyDescent="0.15">
      <c r="E369" s="245"/>
      <c r="F369" s="245"/>
    </row>
    <row r="370" spans="5:6" x14ac:dyDescent="0.15">
      <c r="E370" s="245"/>
      <c r="F370" s="245"/>
    </row>
    <row r="371" spans="5:6" x14ac:dyDescent="0.15">
      <c r="E371" s="245"/>
      <c r="F371" s="245"/>
    </row>
    <row r="372" spans="5:6" x14ac:dyDescent="0.15">
      <c r="E372" s="245"/>
      <c r="F372" s="245"/>
    </row>
    <row r="373" spans="5:6" x14ac:dyDescent="0.15">
      <c r="E373" s="245"/>
      <c r="F373" s="245"/>
    </row>
    <row r="374" spans="5:6" x14ac:dyDescent="0.15">
      <c r="E374" s="245"/>
      <c r="F374" s="245"/>
    </row>
    <row r="375" spans="5:6" x14ac:dyDescent="0.15">
      <c r="E375" s="245"/>
      <c r="F375" s="245"/>
    </row>
    <row r="376" spans="5:6" x14ac:dyDescent="0.15">
      <c r="E376" s="245"/>
      <c r="F376" s="245"/>
    </row>
    <row r="377" spans="5:6" x14ac:dyDescent="0.15">
      <c r="E377" s="245"/>
      <c r="F377" s="245"/>
    </row>
    <row r="378" spans="5:6" x14ac:dyDescent="0.15">
      <c r="E378" s="245"/>
      <c r="F378" s="245"/>
    </row>
    <row r="379" spans="5:6" x14ac:dyDescent="0.15">
      <c r="E379" s="245"/>
      <c r="F379" s="245"/>
    </row>
    <row r="380" spans="5:6" x14ac:dyDescent="0.15">
      <c r="E380" s="245"/>
      <c r="F380" s="245"/>
    </row>
    <row r="381" spans="5:6" x14ac:dyDescent="0.15">
      <c r="E381" s="245"/>
      <c r="F381" s="245"/>
    </row>
    <row r="382" spans="5:6" x14ac:dyDescent="0.15">
      <c r="E382" s="245"/>
      <c r="F382" s="245"/>
    </row>
    <row r="383" spans="5:6" x14ac:dyDescent="0.15">
      <c r="E383" s="245"/>
      <c r="F383" s="245"/>
    </row>
    <row r="384" spans="5:6" x14ac:dyDescent="0.15">
      <c r="E384" s="245"/>
      <c r="F384" s="245"/>
    </row>
    <row r="385" spans="5:6" x14ac:dyDescent="0.15">
      <c r="E385" s="245"/>
      <c r="F385" s="245"/>
    </row>
    <row r="386" spans="5:6" x14ac:dyDescent="0.15">
      <c r="E386" s="245"/>
      <c r="F386" s="245"/>
    </row>
    <row r="387" spans="5:6" x14ac:dyDescent="0.15">
      <c r="E387" s="245"/>
      <c r="F387" s="245"/>
    </row>
    <row r="388" spans="5:6" x14ac:dyDescent="0.15">
      <c r="E388" s="245"/>
      <c r="F388" s="245"/>
    </row>
    <row r="389" spans="5:6" x14ac:dyDescent="0.15">
      <c r="E389" s="245"/>
      <c r="F389" s="245"/>
    </row>
    <row r="390" spans="5:6" x14ac:dyDescent="0.15">
      <c r="E390" s="245"/>
      <c r="F390" s="245"/>
    </row>
    <row r="391" spans="5:6" x14ac:dyDescent="0.15">
      <c r="E391" s="245"/>
      <c r="F391" s="245"/>
    </row>
    <row r="392" spans="5:6" x14ac:dyDescent="0.15">
      <c r="E392" s="245"/>
      <c r="F392" s="245"/>
    </row>
    <row r="393" spans="5:6" x14ac:dyDescent="0.15">
      <c r="E393" s="245"/>
      <c r="F393" s="245"/>
    </row>
    <row r="394" spans="5:6" x14ac:dyDescent="0.15">
      <c r="E394" s="245"/>
      <c r="F394" s="245"/>
    </row>
    <row r="395" spans="5:6" x14ac:dyDescent="0.15">
      <c r="E395" s="245"/>
      <c r="F395" s="245"/>
    </row>
    <row r="396" spans="5:6" x14ac:dyDescent="0.15">
      <c r="E396" s="245"/>
      <c r="F396" s="245"/>
    </row>
    <row r="397" spans="5:6" x14ac:dyDescent="0.15">
      <c r="E397" s="245"/>
      <c r="F397" s="245"/>
    </row>
    <row r="398" spans="5:6" x14ac:dyDescent="0.15">
      <c r="E398" s="245"/>
      <c r="F398" s="245"/>
    </row>
    <row r="399" spans="5:6" x14ac:dyDescent="0.15">
      <c r="E399" s="245"/>
      <c r="F399" s="245"/>
    </row>
    <row r="400" spans="5:6" x14ac:dyDescent="0.15">
      <c r="E400" s="245"/>
      <c r="F400" s="245"/>
    </row>
    <row r="401" spans="5:6" x14ac:dyDescent="0.15">
      <c r="E401" s="245"/>
      <c r="F401" s="245"/>
    </row>
    <row r="402" spans="5:6" x14ac:dyDescent="0.15">
      <c r="E402" s="245"/>
      <c r="F402" s="245"/>
    </row>
    <row r="403" spans="5:6" x14ac:dyDescent="0.15">
      <c r="E403" s="245"/>
      <c r="F403" s="245"/>
    </row>
    <row r="404" spans="5:6" x14ac:dyDescent="0.15">
      <c r="E404" s="245"/>
      <c r="F404" s="245"/>
    </row>
    <row r="405" spans="5:6" x14ac:dyDescent="0.15">
      <c r="E405" s="245"/>
      <c r="F405" s="245"/>
    </row>
    <row r="406" spans="5:6" x14ac:dyDescent="0.15">
      <c r="E406" s="245"/>
      <c r="F406" s="245"/>
    </row>
    <row r="407" spans="5:6" x14ac:dyDescent="0.15">
      <c r="E407" s="245"/>
      <c r="F407" s="245"/>
    </row>
    <row r="408" spans="5:6" x14ac:dyDescent="0.15">
      <c r="E408" s="245"/>
      <c r="F408" s="245"/>
    </row>
    <row r="409" spans="5:6" x14ac:dyDescent="0.15">
      <c r="E409" s="245"/>
      <c r="F409" s="245"/>
    </row>
    <row r="410" spans="5:6" x14ac:dyDescent="0.15">
      <c r="E410" s="245"/>
      <c r="F410" s="245"/>
    </row>
    <row r="411" spans="5:6" x14ac:dyDescent="0.15">
      <c r="E411" s="245"/>
      <c r="F411" s="245"/>
    </row>
    <row r="412" spans="5:6" x14ac:dyDescent="0.15">
      <c r="E412" s="245"/>
      <c r="F412" s="245"/>
    </row>
    <row r="413" spans="5:6" x14ac:dyDescent="0.15">
      <c r="E413" s="245"/>
      <c r="F413" s="245"/>
    </row>
    <row r="414" spans="5:6" x14ac:dyDescent="0.15">
      <c r="E414" s="245"/>
      <c r="F414" s="245"/>
    </row>
    <row r="415" spans="5:6" x14ac:dyDescent="0.15">
      <c r="E415" s="245"/>
      <c r="F415" s="245"/>
    </row>
    <row r="416" spans="5:6" x14ac:dyDescent="0.15">
      <c r="E416" s="245"/>
      <c r="F416" s="245"/>
    </row>
    <row r="417" spans="5:6" x14ac:dyDescent="0.15">
      <c r="E417" s="245"/>
      <c r="F417" s="245"/>
    </row>
    <row r="418" spans="5:6" x14ac:dyDescent="0.15">
      <c r="E418" s="245"/>
      <c r="F418" s="245"/>
    </row>
    <row r="419" spans="5:6" x14ac:dyDescent="0.15">
      <c r="E419" s="245"/>
      <c r="F419" s="245"/>
    </row>
    <row r="420" spans="5:6" x14ac:dyDescent="0.15">
      <c r="E420" s="245"/>
      <c r="F420" s="245"/>
    </row>
    <row r="421" spans="5:6" x14ac:dyDescent="0.15">
      <c r="E421" s="245"/>
      <c r="F421" s="245"/>
    </row>
    <row r="422" spans="5:6" x14ac:dyDescent="0.15">
      <c r="E422" s="245"/>
      <c r="F422" s="245"/>
    </row>
    <row r="423" spans="5:6" x14ac:dyDescent="0.15">
      <c r="E423" s="245"/>
      <c r="F423" s="245"/>
    </row>
    <row r="424" spans="5:6" x14ac:dyDescent="0.15">
      <c r="E424" s="245"/>
      <c r="F424" s="245"/>
    </row>
    <row r="425" spans="5:6" x14ac:dyDescent="0.15">
      <c r="E425" s="245"/>
      <c r="F425" s="245"/>
    </row>
    <row r="426" spans="5:6" x14ac:dyDescent="0.15">
      <c r="E426" s="245"/>
      <c r="F426" s="245"/>
    </row>
    <row r="427" spans="5:6" x14ac:dyDescent="0.15">
      <c r="E427" s="245"/>
      <c r="F427" s="245"/>
    </row>
    <row r="428" spans="5:6" x14ac:dyDescent="0.15">
      <c r="E428" s="245"/>
      <c r="F428" s="245"/>
    </row>
    <row r="429" spans="5:6" x14ac:dyDescent="0.15">
      <c r="E429" s="245"/>
      <c r="F429" s="245"/>
    </row>
    <row r="430" spans="5:6" x14ac:dyDescent="0.15">
      <c r="E430" s="245"/>
      <c r="F430" s="245"/>
    </row>
    <row r="431" spans="5:6" x14ac:dyDescent="0.15">
      <c r="E431" s="245"/>
      <c r="F431" s="245"/>
    </row>
    <row r="432" spans="5:6" x14ac:dyDescent="0.15">
      <c r="E432" s="245"/>
      <c r="F432" s="245"/>
    </row>
    <row r="433" spans="5:6" x14ac:dyDescent="0.15">
      <c r="E433" s="245"/>
      <c r="F433" s="245"/>
    </row>
    <row r="434" spans="5:6" x14ac:dyDescent="0.15">
      <c r="E434" s="245"/>
      <c r="F434" s="245"/>
    </row>
    <row r="435" spans="5:6" x14ac:dyDescent="0.15">
      <c r="E435" s="245"/>
      <c r="F435" s="245"/>
    </row>
    <row r="436" spans="5:6" x14ac:dyDescent="0.15">
      <c r="E436" s="245"/>
      <c r="F436" s="245"/>
    </row>
    <row r="437" spans="5:6" x14ac:dyDescent="0.15">
      <c r="E437" s="245"/>
      <c r="F437" s="245"/>
    </row>
    <row r="438" spans="5:6" x14ac:dyDescent="0.15">
      <c r="E438" s="245"/>
      <c r="F438" s="245"/>
    </row>
    <row r="439" spans="5:6" x14ac:dyDescent="0.15">
      <c r="E439" s="245"/>
      <c r="F439" s="245"/>
    </row>
    <row r="440" spans="5:6" x14ac:dyDescent="0.15">
      <c r="E440" s="245"/>
      <c r="F440" s="245"/>
    </row>
    <row r="441" spans="5:6" x14ac:dyDescent="0.15">
      <c r="E441" s="245"/>
      <c r="F441" s="245"/>
    </row>
    <row r="442" spans="5:6" x14ac:dyDescent="0.15">
      <c r="E442" s="245"/>
      <c r="F442" s="245"/>
    </row>
    <row r="443" spans="5:6" x14ac:dyDescent="0.15">
      <c r="E443" s="245"/>
      <c r="F443" s="245"/>
    </row>
    <row r="444" spans="5:6" x14ac:dyDescent="0.15">
      <c r="E444" s="245"/>
      <c r="F444" s="245"/>
    </row>
    <row r="445" spans="5:6" x14ac:dyDescent="0.15">
      <c r="E445" s="245"/>
      <c r="F445" s="245"/>
    </row>
    <row r="446" spans="5:6" x14ac:dyDescent="0.15">
      <c r="E446" s="245"/>
      <c r="F446" s="245"/>
    </row>
    <row r="447" spans="5:6" x14ac:dyDescent="0.15">
      <c r="E447" s="245"/>
      <c r="F447" s="245"/>
    </row>
    <row r="448" spans="5:6" x14ac:dyDescent="0.15">
      <c r="E448" s="245"/>
      <c r="F448" s="245"/>
    </row>
    <row r="449" spans="5:6" x14ac:dyDescent="0.15">
      <c r="E449" s="245"/>
      <c r="F449" s="245"/>
    </row>
    <row r="450" spans="5:6" x14ac:dyDescent="0.15">
      <c r="E450" s="245"/>
      <c r="F450" s="245"/>
    </row>
    <row r="451" spans="5:6" x14ac:dyDescent="0.15">
      <c r="E451" s="245"/>
      <c r="F451" s="245"/>
    </row>
    <row r="452" spans="5:6" x14ac:dyDescent="0.15">
      <c r="E452" s="245"/>
      <c r="F452" s="245"/>
    </row>
    <row r="453" spans="5:6" x14ac:dyDescent="0.15">
      <c r="E453" s="245"/>
      <c r="F453" s="245"/>
    </row>
    <row r="454" spans="5:6" x14ac:dyDescent="0.15">
      <c r="E454" s="245"/>
      <c r="F454" s="245"/>
    </row>
    <row r="455" spans="5:6" x14ac:dyDescent="0.15">
      <c r="E455" s="245"/>
      <c r="F455" s="245"/>
    </row>
    <row r="456" spans="5:6" x14ac:dyDescent="0.15">
      <c r="E456" s="245"/>
      <c r="F456" s="245"/>
    </row>
    <row r="457" spans="5:6" x14ac:dyDescent="0.15">
      <c r="E457" s="245"/>
      <c r="F457" s="245"/>
    </row>
    <row r="458" spans="5:6" x14ac:dyDescent="0.15">
      <c r="E458" s="245"/>
      <c r="F458" s="245"/>
    </row>
    <row r="459" spans="5:6" x14ac:dyDescent="0.15">
      <c r="E459" s="245"/>
      <c r="F459" s="245"/>
    </row>
    <row r="460" spans="5:6" x14ac:dyDescent="0.15">
      <c r="E460" s="245"/>
      <c r="F460" s="245"/>
    </row>
    <row r="461" spans="5:6" x14ac:dyDescent="0.15">
      <c r="E461" s="245"/>
      <c r="F461" s="245"/>
    </row>
    <row r="462" spans="5:6" x14ac:dyDescent="0.15">
      <c r="E462" s="245"/>
      <c r="F462" s="245"/>
    </row>
    <row r="463" spans="5:6" x14ac:dyDescent="0.15">
      <c r="E463" s="245"/>
      <c r="F463" s="245"/>
    </row>
    <row r="464" spans="5:6" x14ac:dyDescent="0.15">
      <c r="E464" s="245"/>
      <c r="F464" s="245"/>
    </row>
    <row r="465" spans="5:6" x14ac:dyDescent="0.15">
      <c r="E465" s="245"/>
      <c r="F465" s="245"/>
    </row>
    <row r="466" spans="5:6" x14ac:dyDescent="0.15">
      <c r="E466" s="245"/>
      <c r="F466" s="245"/>
    </row>
    <row r="467" spans="5:6" x14ac:dyDescent="0.15">
      <c r="E467" s="245"/>
      <c r="F467" s="245"/>
    </row>
    <row r="468" spans="5:6" x14ac:dyDescent="0.15">
      <c r="E468" s="245"/>
      <c r="F468" s="245"/>
    </row>
    <row r="469" spans="5:6" x14ac:dyDescent="0.15">
      <c r="E469" s="245"/>
      <c r="F469" s="245"/>
    </row>
    <row r="470" spans="5:6" x14ac:dyDescent="0.15">
      <c r="E470" s="245"/>
      <c r="F470" s="245"/>
    </row>
    <row r="471" spans="5:6" x14ac:dyDescent="0.15">
      <c r="E471" s="245"/>
      <c r="F471" s="245"/>
    </row>
    <row r="472" spans="5:6" x14ac:dyDescent="0.15">
      <c r="E472" s="245"/>
      <c r="F472" s="245"/>
    </row>
    <row r="473" spans="5:6" x14ac:dyDescent="0.15">
      <c r="E473" s="245"/>
      <c r="F473" s="245"/>
    </row>
    <row r="474" spans="5:6" x14ac:dyDescent="0.15">
      <c r="E474" s="245"/>
      <c r="F474" s="245"/>
    </row>
    <row r="475" spans="5:6" x14ac:dyDescent="0.15">
      <c r="E475" s="245"/>
      <c r="F475" s="245"/>
    </row>
    <row r="476" spans="5:6" x14ac:dyDescent="0.15">
      <c r="E476" s="245"/>
      <c r="F476" s="245"/>
    </row>
    <row r="477" spans="5:6" x14ac:dyDescent="0.15">
      <c r="E477" s="245"/>
      <c r="F477" s="245"/>
    </row>
    <row r="478" spans="5:6" x14ac:dyDescent="0.15">
      <c r="E478" s="245"/>
      <c r="F478" s="245"/>
    </row>
    <row r="479" spans="5:6" x14ac:dyDescent="0.15">
      <c r="E479" s="245"/>
      <c r="F479" s="245"/>
    </row>
    <row r="480" spans="5:6" x14ac:dyDescent="0.15">
      <c r="E480" s="245"/>
      <c r="F480" s="245"/>
    </row>
    <row r="481" spans="5:6" x14ac:dyDescent="0.15">
      <c r="E481" s="245"/>
      <c r="F481" s="245"/>
    </row>
    <row r="482" spans="5:6" x14ac:dyDescent="0.15">
      <c r="E482" s="245"/>
      <c r="F482" s="245"/>
    </row>
    <row r="483" spans="5:6" x14ac:dyDescent="0.15">
      <c r="E483" s="245"/>
      <c r="F483" s="245"/>
    </row>
    <row r="484" spans="5:6" x14ac:dyDescent="0.15">
      <c r="E484" s="245"/>
      <c r="F484" s="245"/>
    </row>
    <row r="485" spans="5:6" x14ac:dyDescent="0.15">
      <c r="E485" s="245"/>
      <c r="F485" s="245"/>
    </row>
    <row r="486" spans="5:6" x14ac:dyDescent="0.15">
      <c r="E486" s="245"/>
      <c r="F486" s="245"/>
    </row>
    <row r="487" spans="5:6" x14ac:dyDescent="0.15">
      <c r="E487" s="245"/>
      <c r="F487" s="245"/>
    </row>
    <row r="488" spans="5:6" x14ac:dyDescent="0.15">
      <c r="E488" s="245"/>
      <c r="F488" s="245"/>
    </row>
    <row r="489" spans="5:6" x14ac:dyDescent="0.15">
      <c r="E489" s="245"/>
      <c r="F489" s="245"/>
    </row>
    <row r="490" spans="5:6" x14ac:dyDescent="0.15">
      <c r="E490" s="245"/>
      <c r="F490" s="245"/>
    </row>
    <row r="491" spans="5:6" x14ac:dyDescent="0.15">
      <c r="E491" s="245"/>
      <c r="F491" s="245"/>
    </row>
    <row r="492" spans="5:6" x14ac:dyDescent="0.15">
      <c r="E492" s="245"/>
      <c r="F492" s="245"/>
    </row>
    <row r="493" spans="5:6" x14ac:dyDescent="0.15">
      <c r="E493" s="245"/>
      <c r="F493" s="245"/>
    </row>
    <row r="494" spans="5:6" x14ac:dyDescent="0.15">
      <c r="E494" s="245"/>
      <c r="F494" s="245"/>
    </row>
    <row r="495" spans="5:6" x14ac:dyDescent="0.15">
      <c r="E495" s="245"/>
      <c r="F495" s="245"/>
    </row>
    <row r="496" spans="5:6" x14ac:dyDescent="0.15">
      <c r="E496" s="245"/>
      <c r="F496" s="245"/>
    </row>
    <row r="497" spans="5:6" x14ac:dyDescent="0.15">
      <c r="E497" s="245"/>
      <c r="F497" s="245"/>
    </row>
    <row r="498" spans="5:6" x14ac:dyDescent="0.15">
      <c r="E498" s="245"/>
      <c r="F498" s="245"/>
    </row>
    <row r="499" spans="5:6" x14ac:dyDescent="0.15">
      <c r="E499" s="245"/>
      <c r="F499" s="245"/>
    </row>
    <row r="500" spans="5:6" x14ac:dyDescent="0.15">
      <c r="E500" s="245"/>
      <c r="F500" s="245"/>
    </row>
    <row r="501" spans="5:6" x14ac:dyDescent="0.15">
      <c r="E501" s="245"/>
      <c r="F501" s="245"/>
    </row>
    <row r="502" spans="5:6" x14ac:dyDescent="0.15">
      <c r="E502" s="245"/>
      <c r="F502" s="245"/>
    </row>
    <row r="503" spans="5:6" x14ac:dyDescent="0.15">
      <c r="E503" s="245"/>
      <c r="F503" s="245"/>
    </row>
    <row r="504" spans="5:6" x14ac:dyDescent="0.15">
      <c r="E504" s="245"/>
      <c r="F504" s="245"/>
    </row>
    <row r="505" spans="5:6" x14ac:dyDescent="0.15">
      <c r="E505" s="245"/>
      <c r="F505" s="245"/>
    </row>
    <row r="506" spans="5:6" x14ac:dyDescent="0.15">
      <c r="E506" s="245"/>
      <c r="F506" s="245"/>
    </row>
    <row r="507" spans="5:6" x14ac:dyDescent="0.15">
      <c r="E507" s="245"/>
      <c r="F507" s="245"/>
    </row>
    <row r="508" spans="5:6" x14ac:dyDescent="0.15">
      <c r="E508" s="245"/>
      <c r="F508" s="245"/>
    </row>
    <row r="509" spans="5:6" x14ac:dyDescent="0.15">
      <c r="E509" s="245"/>
      <c r="F509" s="245"/>
    </row>
    <row r="510" spans="5:6" x14ac:dyDescent="0.15">
      <c r="E510" s="245"/>
      <c r="F510" s="245"/>
    </row>
    <row r="511" spans="5:6" x14ac:dyDescent="0.15">
      <c r="E511" s="245"/>
      <c r="F511" s="245"/>
    </row>
    <row r="512" spans="5:6" x14ac:dyDescent="0.15">
      <c r="E512" s="245"/>
      <c r="F512" s="245"/>
    </row>
    <row r="513" spans="5:6" x14ac:dyDescent="0.15">
      <c r="E513" s="245"/>
      <c r="F513" s="245"/>
    </row>
    <row r="514" spans="5:6" x14ac:dyDescent="0.15">
      <c r="E514" s="245"/>
      <c r="F514" s="245"/>
    </row>
    <row r="515" spans="5:6" x14ac:dyDescent="0.15">
      <c r="E515" s="245"/>
      <c r="F515" s="245"/>
    </row>
    <row r="516" spans="5:6" x14ac:dyDescent="0.15">
      <c r="E516" s="245"/>
      <c r="F516" s="245"/>
    </row>
    <row r="517" spans="5:6" x14ac:dyDescent="0.15">
      <c r="E517" s="245"/>
      <c r="F517" s="245"/>
    </row>
    <row r="518" spans="5:6" x14ac:dyDescent="0.15">
      <c r="E518" s="245"/>
      <c r="F518" s="245"/>
    </row>
    <row r="519" spans="5:6" x14ac:dyDescent="0.15">
      <c r="E519" s="245"/>
      <c r="F519" s="245"/>
    </row>
    <row r="520" spans="5:6" x14ac:dyDescent="0.15">
      <c r="E520" s="245"/>
      <c r="F520" s="245"/>
    </row>
    <row r="521" spans="5:6" x14ac:dyDescent="0.15">
      <c r="E521" s="245"/>
      <c r="F521" s="245"/>
    </row>
    <row r="522" spans="5:6" x14ac:dyDescent="0.15">
      <c r="E522" s="245"/>
      <c r="F522" s="245"/>
    </row>
    <row r="523" spans="5:6" x14ac:dyDescent="0.15">
      <c r="E523" s="245"/>
      <c r="F523" s="245"/>
    </row>
    <row r="524" spans="5:6" x14ac:dyDescent="0.15">
      <c r="E524" s="245"/>
      <c r="F524" s="245"/>
    </row>
    <row r="525" spans="5:6" x14ac:dyDescent="0.15">
      <c r="E525" s="245"/>
      <c r="F525" s="245"/>
    </row>
    <row r="526" spans="5:6" x14ac:dyDescent="0.15">
      <c r="E526" s="245"/>
      <c r="F526" s="245"/>
    </row>
    <row r="527" spans="5:6" x14ac:dyDescent="0.15">
      <c r="E527" s="245"/>
      <c r="F527" s="245"/>
    </row>
    <row r="528" spans="5:6" x14ac:dyDescent="0.15">
      <c r="E528" s="245"/>
      <c r="F528" s="245"/>
    </row>
    <row r="529" spans="5:6" x14ac:dyDescent="0.15">
      <c r="E529" s="245"/>
      <c r="F529" s="245"/>
    </row>
    <row r="530" spans="5:6" x14ac:dyDescent="0.15">
      <c r="E530" s="245"/>
      <c r="F530" s="245"/>
    </row>
    <row r="531" spans="5:6" x14ac:dyDescent="0.15">
      <c r="E531" s="245"/>
      <c r="F531" s="245"/>
    </row>
    <row r="532" spans="5:6" x14ac:dyDescent="0.15">
      <c r="E532" s="245"/>
      <c r="F532" s="245"/>
    </row>
    <row r="533" spans="5:6" x14ac:dyDescent="0.15">
      <c r="E533" s="245"/>
      <c r="F533" s="245"/>
    </row>
    <row r="534" spans="5:6" x14ac:dyDescent="0.15">
      <c r="E534" s="245"/>
      <c r="F534" s="245"/>
    </row>
    <row r="535" spans="5:6" x14ac:dyDescent="0.15">
      <c r="E535" s="245"/>
      <c r="F535" s="245"/>
    </row>
    <row r="536" spans="5:6" x14ac:dyDescent="0.15">
      <c r="E536" s="245"/>
      <c r="F536" s="245"/>
    </row>
    <row r="537" spans="5:6" x14ac:dyDescent="0.15">
      <c r="E537" s="245"/>
      <c r="F537" s="245"/>
    </row>
    <row r="538" spans="5:6" x14ac:dyDescent="0.15">
      <c r="E538" s="245"/>
      <c r="F538" s="245"/>
    </row>
    <row r="539" spans="5:6" x14ac:dyDescent="0.15">
      <c r="E539" s="245"/>
      <c r="F539" s="245"/>
    </row>
    <row r="540" spans="5:6" x14ac:dyDescent="0.15">
      <c r="E540" s="245"/>
      <c r="F540" s="245"/>
    </row>
    <row r="541" spans="5:6" x14ac:dyDescent="0.15">
      <c r="E541" s="245"/>
      <c r="F541" s="245"/>
    </row>
    <row r="542" spans="5:6" x14ac:dyDescent="0.15">
      <c r="E542" s="245"/>
      <c r="F542" s="245"/>
    </row>
    <row r="543" spans="5:6" x14ac:dyDescent="0.15">
      <c r="E543" s="245"/>
      <c r="F543" s="245"/>
    </row>
    <row r="544" spans="5:6" x14ac:dyDescent="0.15">
      <c r="E544" s="245"/>
      <c r="F544" s="245"/>
    </row>
    <row r="545" spans="5:6" x14ac:dyDescent="0.15">
      <c r="E545" s="245"/>
      <c r="F545" s="245"/>
    </row>
    <row r="546" spans="5:6" x14ac:dyDescent="0.15">
      <c r="E546" s="245"/>
      <c r="F546" s="245"/>
    </row>
    <row r="547" spans="5:6" x14ac:dyDescent="0.15">
      <c r="E547" s="245"/>
      <c r="F547" s="245"/>
    </row>
    <row r="548" spans="5:6" x14ac:dyDescent="0.15">
      <c r="E548" s="245"/>
      <c r="F548" s="245"/>
    </row>
    <row r="549" spans="5:6" x14ac:dyDescent="0.15">
      <c r="E549" s="245"/>
      <c r="F549" s="245"/>
    </row>
    <row r="550" spans="5:6" x14ac:dyDescent="0.15">
      <c r="E550" s="245"/>
      <c r="F550" s="245"/>
    </row>
    <row r="551" spans="5:6" x14ac:dyDescent="0.15">
      <c r="E551" s="245"/>
      <c r="F551" s="245"/>
    </row>
    <row r="552" spans="5:6" x14ac:dyDescent="0.15">
      <c r="E552" s="245"/>
      <c r="F552" s="245"/>
    </row>
    <row r="553" spans="5:6" x14ac:dyDescent="0.15">
      <c r="E553" s="245"/>
      <c r="F553" s="245"/>
    </row>
    <row r="554" spans="5:6" x14ac:dyDescent="0.15">
      <c r="E554" s="245"/>
      <c r="F554" s="245"/>
    </row>
    <row r="555" spans="5:6" x14ac:dyDescent="0.15">
      <c r="E555" s="245"/>
      <c r="F555" s="245"/>
    </row>
    <row r="556" spans="5:6" x14ac:dyDescent="0.15">
      <c r="E556" s="245"/>
      <c r="F556" s="245"/>
    </row>
    <row r="557" spans="5:6" x14ac:dyDescent="0.15">
      <c r="E557" s="245"/>
      <c r="F557" s="245"/>
    </row>
    <row r="558" spans="5:6" x14ac:dyDescent="0.15">
      <c r="E558" s="245"/>
      <c r="F558" s="245"/>
    </row>
    <row r="559" spans="5:6" x14ac:dyDescent="0.15">
      <c r="E559" s="245"/>
      <c r="F559" s="245"/>
    </row>
    <row r="560" spans="5:6" x14ac:dyDescent="0.15">
      <c r="E560" s="245"/>
      <c r="F560" s="245"/>
    </row>
    <row r="561" spans="5:6" x14ac:dyDescent="0.15">
      <c r="E561" s="245"/>
      <c r="F561" s="245"/>
    </row>
    <row r="562" spans="5:6" x14ac:dyDescent="0.15">
      <c r="E562" s="245"/>
      <c r="F562" s="245"/>
    </row>
    <row r="563" spans="5:6" x14ac:dyDescent="0.15">
      <c r="E563" s="245"/>
      <c r="F563" s="245"/>
    </row>
    <row r="564" spans="5:6" x14ac:dyDescent="0.15">
      <c r="E564" s="245"/>
      <c r="F564" s="245"/>
    </row>
    <row r="565" spans="5:6" x14ac:dyDescent="0.15">
      <c r="E565" s="245"/>
      <c r="F565" s="245"/>
    </row>
    <row r="566" spans="5:6" x14ac:dyDescent="0.15">
      <c r="E566" s="245"/>
      <c r="F566" s="245"/>
    </row>
    <row r="567" spans="5:6" x14ac:dyDescent="0.15">
      <c r="E567" s="245"/>
      <c r="F567" s="245"/>
    </row>
    <row r="568" spans="5:6" x14ac:dyDescent="0.15">
      <c r="E568" s="245"/>
      <c r="F568" s="245"/>
    </row>
    <row r="569" spans="5:6" x14ac:dyDescent="0.15">
      <c r="E569" s="245"/>
      <c r="F569" s="245"/>
    </row>
    <row r="570" spans="5:6" x14ac:dyDescent="0.15">
      <c r="E570" s="245"/>
      <c r="F570" s="245"/>
    </row>
    <row r="571" spans="5:6" x14ac:dyDescent="0.15">
      <c r="E571" s="245"/>
      <c r="F571" s="245"/>
    </row>
    <row r="572" spans="5:6" x14ac:dyDescent="0.15">
      <c r="E572" s="245"/>
      <c r="F572" s="245"/>
    </row>
    <row r="573" spans="5:6" x14ac:dyDescent="0.15">
      <c r="E573" s="245"/>
      <c r="F573" s="245"/>
    </row>
    <row r="574" spans="5:6" x14ac:dyDescent="0.15">
      <c r="E574" s="245"/>
      <c r="F574" s="245"/>
    </row>
    <row r="575" spans="5:6" x14ac:dyDescent="0.15">
      <c r="E575" s="245"/>
      <c r="F575" s="245"/>
    </row>
    <row r="576" spans="5:6" x14ac:dyDescent="0.15">
      <c r="E576" s="245"/>
      <c r="F576" s="245"/>
    </row>
    <row r="577" spans="5:6" x14ac:dyDescent="0.15">
      <c r="E577" s="245"/>
      <c r="F577" s="245"/>
    </row>
    <row r="578" spans="5:6" x14ac:dyDescent="0.15">
      <c r="E578" s="245"/>
      <c r="F578" s="245"/>
    </row>
    <row r="579" spans="5:6" x14ac:dyDescent="0.15">
      <c r="E579" s="245"/>
      <c r="F579" s="245"/>
    </row>
    <row r="580" spans="5:6" x14ac:dyDescent="0.15">
      <c r="E580" s="245"/>
      <c r="F580" s="245"/>
    </row>
    <row r="581" spans="5:6" x14ac:dyDescent="0.15">
      <c r="E581" s="245"/>
      <c r="F581" s="245"/>
    </row>
    <row r="582" spans="5:6" x14ac:dyDescent="0.15">
      <c r="E582" s="245"/>
      <c r="F582" s="245"/>
    </row>
    <row r="583" spans="5:6" x14ac:dyDescent="0.15">
      <c r="E583" s="245"/>
      <c r="F583" s="245"/>
    </row>
    <row r="584" spans="5:6" x14ac:dyDescent="0.15">
      <c r="E584" s="245"/>
      <c r="F584" s="245"/>
    </row>
    <row r="585" spans="5:6" x14ac:dyDescent="0.15">
      <c r="E585" s="245"/>
      <c r="F585" s="245"/>
    </row>
    <row r="586" spans="5:6" x14ac:dyDescent="0.15">
      <c r="E586" s="245"/>
      <c r="F586" s="245"/>
    </row>
    <row r="587" spans="5:6" x14ac:dyDescent="0.15">
      <c r="E587" s="245"/>
      <c r="F587" s="245"/>
    </row>
    <row r="588" spans="5:6" x14ac:dyDescent="0.15">
      <c r="E588" s="245"/>
      <c r="F588" s="245"/>
    </row>
    <row r="589" spans="5:6" x14ac:dyDescent="0.15">
      <c r="E589" s="245"/>
      <c r="F589" s="245"/>
    </row>
    <row r="590" spans="5:6" x14ac:dyDescent="0.15">
      <c r="E590" s="245"/>
      <c r="F590" s="245"/>
    </row>
    <row r="591" spans="5:6" x14ac:dyDescent="0.15">
      <c r="E591" s="245"/>
      <c r="F591" s="245"/>
    </row>
    <row r="592" spans="5:6" x14ac:dyDescent="0.15">
      <c r="E592" s="245"/>
      <c r="F592" s="245"/>
    </row>
    <row r="593" spans="5:6" x14ac:dyDescent="0.15">
      <c r="E593" s="245"/>
      <c r="F593" s="245"/>
    </row>
    <row r="594" spans="5:6" x14ac:dyDescent="0.15">
      <c r="E594" s="245"/>
      <c r="F594" s="245"/>
    </row>
    <row r="595" spans="5:6" x14ac:dyDescent="0.15">
      <c r="E595" s="245"/>
      <c r="F595" s="245"/>
    </row>
    <row r="596" spans="5:6" x14ac:dyDescent="0.15">
      <c r="E596" s="245"/>
      <c r="F596" s="245"/>
    </row>
    <row r="597" spans="5:6" x14ac:dyDescent="0.15">
      <c r="E597" s="245"/>
      <c r="F597" s="245"/>
    </row>
    <row r="598" spans="5:6" x14ac:dyDescent="0.15">
      <c r="E598" s="245"/>
      <c r="F598" s="245"/>
    </row>
    <row r="599" spans="5:6" x14ac:dyDescent="0.15">
      <c r="E599" s="245"/>
      <c r="F599" s="245"/>
    </row>
    <row r="600" spans="5:6" x14ac:dyDescent="0.15">
      <c r="E600" s="245"/>
      <c r="F600" s="245"/>
    </row>
    <row r="601" spans="5:6" x14ac:dyDescent="0.15">
      <c r="E601" s="245"/>
      <c r="F601" s="245"/>
    </row>
    <row r="602" spans="5:6" x14ac:dyDescent="0.15">
      <c r="E602" s="245"/>
      <c r="F602" s="245"/>
    </row>
    <row r="603" spans="5:6" x14ac:dyDescent="0.15">
      <c r="E603" s="245"/>
      <c r="F603" s="245"/>
    </row>
    <row r="604" spans="5:6" x14ac:dyDescent="0.15">
      <c r="E604" s="245"/>
      <c r="F604" s="245"/>
    </row>
    <row r="605" spans="5:6" x14ac:dyDescent="0.15">
      <c r="E605" s="245"/>
      <c r="F605" s="245"/>
    </row>
    <row r="606" spans="5:6" x14ac:dyDescent="0.15">
      <c r="E606" s="245"/>
      <c r="F606" s="245"/>
    </row>
    <row r="607" spans="5:6" x14ac:dyDescent="0.15">
      <c r="E607" s="245"/>
      <c r="F607" s="245"/>
    </row>
    <row r="608" spans="5:6" x14ac:dyDescent="0.15">
      <c r="E608" s="245"/>
      <c r="F608" s="245"/>
    </row>
    <row r="609" spans="5:6" x14ac:dyDescent="0.15">
      <c r="E609" s="245"/>
      <c r="F609" s="245"/>
    </row>
    <row r="610" spans="5:6" x14ac:dyDescent="0.15">
      <c r="E610" s="245"/>
      <c r="F610" s="245"/>
    </row>
    <row r="611" spans="5:6" x14ac:dyDescent="0.15">
      <c r="E611" s="245"/>
      <c r="F611" s="245"/>
    </row>
    <row r="612" spans="5:6" x14ac:dyDescent="0.15">
      <c r="E612" s="245"/>
      <c r="F612" s="245"/>
    </row>
    <row r="613" spans="5:6" x14ac:dyDescent="0.15">
      <c r="E613" s="245"/>
      <c r="F613" s="245"/>
    </row>
    <row r="614" spans="5:6" x14ac:dyDescent="0.15">
      <c r="E614" s="245"/>
      <c r="F614" s="245"/>
    </row>
    <row r="615" spans="5:6" x14ac:dyDescent="0.15">
      <c r="E615" s="245"/>
      <c r="F615" s="245"/>
    </row>
    <row r="616" spans="5:6" x14ac:dyDescent="0.15">
      <c r="E616" s="245"/>
      <c r="F616" s="245"/>
    </row>
    <row r="617" spans="5:6" x14ac:dyDescent="0.15">
      <c r="E617" s="245"/>
      <c r="F617" s="245"/>
    </row>
    <row r="618" spans="5:6" x14ac:dyDescent="0.15">
      <c r="E618" s="245"/>
      <c r="F618" s="245"/>
    </row>
    <row r="619" spans="5:6" x14ac:dyDescent="0.15">
      <c r="E619" s="245"/>
      <c r="F619" s="245"/>
    </row>
    <row r="620" spans="5:6" x14ac:dyDescent="0.15">
      <c r="E620" s="245"/>
      <c r="F620" s="245"/>
    </row>
    <row r="621" spans="5:6" x14ac:dyDescent="0.15">
      <c r="E621" s="245"/>
      <c r="F621" s="245"/>
    </row>
    <row r="622" spans="5:6" x14ac:dyDescent="0.15">
      <c r="E622" s="245"/>
      <c r="F622" s="245"/>
    </row>
    <row r="623" spans="5:6" x14ac:dyDescent="0.15">
      <c r="E623" s="245"/>
      <c r="F623" s="245"/>
    </row>
    <row r="624" spans="5:6" x14ac:dyDescent="0.15">
      <c r="E624" s="245"/>
      <c r="F624" s="245"/>
    </row>
    <row r="625" spans="5:6" x14ac:dyDescent="0.15">
      <c r="E625" s="245"/>
      <c r="F625" s="245"/>
    </row>
    <row r="626" spans="5:6" x14ac:dyDescent="0.15">
      <c r="E626" s="245"/>
      <c r="F626" s="245"/>
    </row>
    <row r="627" spans="5:6" x14ac:dyDescent="0.15">
      <c r="E627" s="245"/>
      <c r="F627" s="245"/>
    </row>
    <row r="628" spans="5:6" x14ac:dyDescent="0.15">
      <c r="E628" s="245"/>
      <c r="F628" s="245"/>
    </row>
    <row r="629" spans="5:6" x14ac:dyDescent="0.15">
      <c r="E629" s="245"/>
      <c r="F629" s="245"/>
    </row>
    <row r="630" spans="5:6" x14ac:dyDescent="0.15">
      <c r="E630" s="245"/>
      <c r="F630" s="245"/>
    </row>
    <row r="631" spans="5:6" x14ac:dyDescent="0.15">
      <c r="E631" s="245"/>
      <c r="F631" s="245"/>
    </row>
    <row r="632" spans="5:6" x14ac:dyDescent="0.15">
      <c r="E632" s="245"/>
      <c r="F632" s="245"/>
    </row>
    <row r="633" spans="5:6" x14ac:dyDescent="0.15">
      <c r="E633" s="245"/>
      <c r="F633" s="245"/>
    </row>
    <row r="634" spans="5:6" x14ac:dyDescent="0.15">
      <c r="E634" s="245"/>
      <c r="F634" s="245"/>
    </row>
    <row r="635" spans="5:6" x14ac:dyDescent="0.15">
      <c r="E635" s="245"/>
      <c r="F635" s="245"/>
    </row>
    <row r="636" spans="5:6" x14ac:dyDescent="0.15">
      <c r="E636" s="245"/>
      <c r="F636" s="245"/>
    </row>
    <row r="637" spans="5:6" x14ac:dyDescent="0.15">
      <c r="E637" s="245"/>
      <c r="F637" s="245"/>
    </row>
    <row r="638" spans="5:6" x14ac:dyDescent="0.15">
      <c r="E638" s="245"/>
      <c r="F638" s="245"/>
    </row>
    <row r="639" spans="5:6" x14ac:dyDescent="0.15">
      <c r="E639" s="245"/>
      <c r="F639" s="245"/>
    </row>
    <row r="640" spans="5:6" x14ac:dyDescent="0.15">
      <c r="E640" s="245"/>
      <c r="F640" s="245"/>
    </row>
    <row r="641" spans="5:6" x14ac:dyDescent="0.15">
      <c r="E641" s="245"/>
      <c r="F641" s="245"/>
    </row>
    <row r="642" spans="5:6" x14ac:dyDescent="0.15">
      <c r="E642" s="245"/>
      <c r="F642" s="245"/>
    </row>
    <row r="643" spans="5:6" x14ac:dyDescent="0.15">
      <c r="E643" s="245"/>
      <c r="F643" s="245"/>
    </row>
    <row r="644" spans="5:6" x14ac:dyDescent="0.15">
      <c r="E644" s="245"/>
      <c r="F644" s="245"/>
    </row>
    <row r="645" spans="5:6" x14ac:dyDescent="0.15">
      <c r="E645" s="245"/>
      <c r="F645" s="245"/>
    </row>
    <row r="646" spans="5:6" x14ac:dyDescent="0.15">
      <c r="E646" s="245"/>
      <c r="F646" s="245"/>
    </row>
    <row r="647" spans="5:6" x14ac:dyDescent="0.15">
      <c r="E647" s="245"/>
      <c r="F647" s="245"/>
    </row>
    <row r="648" spans="5:6" x14ac:dyDescent="0.15">
      <c r="E648" s="245"/>
      <c r="F648" s="245"/>
    </row>
    <row r="649" spans="5:6" x14ac:dyDescent="0.15">
      <c r="E649" s="245"/>
      <c r="F649" s="245"/>
    </row>
    <row r="650" spans="5:6" x14ac:dyDescent="0.15">
      <c r="E650" s="245"/>
      <c r="F650" s="245"/>
    </row>
    <row r="651" spans="5:6" x14ac:dyDescent="0.15">
      <c r="E651" s="245"/>
      <c r="F651" s="245"/>
    </row>
    <row r="652" spans="5:6" x14ac:dyDescent="0.15">
      <c r="E652" s="245"/>
      <c r="F652" s="245"/>
    </row>
    <row r="653" spans="5:6" x14ac:dyDescent="0.15">
      <c r="E653" s="245"/>
      <c r="F653" s="245"/>
    </row>
    <row r="654" spans="5:6" x14ac:dyDescent="0.15">
      <c r="E654" s="245"/>
      <c r="F654" s="245"/>
    </row>
    <row r="655" spans="5:6" x14ac:dyDescent="0.15">
      <c r="E655" s="245"/>
      <c r="F655" s="245"/>
    </row>
    <row r="656" spans="5:6" x14ac:dyDescent="0.15">
      <c r="E656" s="245"/>
      <c r="F656" s="245"/>
    </row>
    <row r="657" spans="5:6" x14ac:dyDescent="0.15">
      <c r="E657" s="245"/>
      <c r="F657" s="245"/>
    </row>
    <row r="658" spans="5:6" x14ac:dyDescent="0.15">
      <c r="E658" s="245"/>
      <c r="F658" s="245"/>
    </row>
    <row r="659" spans="5:6" x14ac:dyDescent="0.15">
      <c r="E659" s="245"/>
      <c r="F659" s="245"/>
    </row>
    <row r="660" spans="5:6" x14ac:dyDescent="0.15">
      <c r="E660" s="245"/>
      <c r="F660" s="245"/>
    </row>
    <row r="661" spans="5:6" x14ac:dyDescent="0.15">
      <c r="E661" s="245"/>
      <c r="F661" s="245"/>
    </row>
    <row r="662" spans="5:6" x14ac:dyDescent="0.15">
      <c r="E662" s="245"/>
      <c r="F662" s="245"/>
    </row>
    <row r="663" spans="5:6" x14ac:dyDescent="0.15">
      <c r="E663" s="245"/>
      <c r="F663" s="245"/>
    </row>
    <row r="664" spans="5:6" x14ac:dyDescent="0.15">
      <c r="E664" s="245"/>
      <c r="F664" s="245"/>
    </row>
    <row r="665" spans="5:6" x14ac:dyDescent="0.15">
      <c r="E665" s="245"/>
      <c r="F665" s="245"/>
    </row>
    <row r="666" spans="5:6" x14ac:dyDescent="0.15">
      <c r="E666" s="245"/>
      <c r="F666" s="245"/>
    </row>
    <row r="667" spans="5:6" x14ac:dyDescent="0.15">
      <c r="E667" s="245"/>
      <c r="F667" s="245"/>
    </row>
    <row r="668" spans="5:6" x14ac:dyDescent="0.15">
      <c r="E668" s="245"/>
      <c r="F668" s="245"/>
    </row>
    <row r="669" spans="5:6" x14ac:dyDescent="0.15">
      <c r="E669" s="245"/>
      <c r="F669" s="245"/>
    </row>
    <row r="670" spans="5:6" x14ac:dyDescent="0.15">
      <c r="E670" s="245"/>
      <c r="F670" s="245"/>
    </row>
    <row r="671" spans="5:6" x14ac:dyDescent="0.15">
      <c r="E671" s="245"/>
      <c r="F671" s="245"/>
    </row>
    <row r="672" spans="5:6" x14ac:dyDescent="0.15">
      <c r="E672" s="245"/>
      <c r="F672" s="245"/>
    </row>
    <row r="673" spans="5:6" x14ac:dyDescent="0.15">
      <c r="E673" s="245"/>
      <c r="F673" s="245"/>
    </row>
    <row r="674" spans="5:6" x14ac:dyDescent="0.15">
      <c r="E674" s="245"/>
      <c r="F674" s="245"/>
    </row>
    <row r="675" spans="5:6" x14ac:dyDescent="0.15">
      <c r="E675" s="245"/>
      <c r="F675" s="245"/>
    </row>
    <row r="676" spans="5:6" x14ac:dyDescent="0.15">
      <c r="E676" s="245"/>
      <c r="F676" s="245"/>
    </row>
    <row r="677" spans="5:6" x14ac:dyDescent="0.15">
      <c r="E677" s="245"/>
      <c r="F677" s="245"/>
    </row>
    <row r="678" spans="5:6" x14ac:dyDescent="0.15">
      <c r="E678" s="245"/>
      <c r="F678" s="245"/>
    </row>
    <row r="679" spans="5:6" x14ac:dyDescent="0.15">
      <c r="E679" s="245"/>
      <c r="F679" s="245"/>
    </row>
    <row r="680" spans="5:6" x14ac:dyDescent="0.15">
      <c r="E680" s="245"/>
      <c r="F680" s="245"/>
    </row>
    <row r="681" spans="5:6" x14ac:dyDescent="0.15">
      <c r="E681" s="245"/>
      <c r="F681" s="245"/>
    </row>
    <row r="682" spans="5:6" x14ac:dyDescent="0.15">
      <c r="E682" s="245"/>
      <c r="F682" s="245"/>
    </row>
    <row r="683" spans="5:6" x14ac:dyDescent="0.15">
      <c r="E683" s="245"/>
      <c r="F683" s="245"/>
    </row>
    <row r="684" spans="5:6" x14ac:dyDescent="0.15">
      <c r="E684" s="245"/>
      <c r="F684" s="245"/>
    </row>
    <row r="685" spans="5:6" x14ac:dyDescent="0.15">
      <c r="E685" s="245"/>
      <c r="F685" s="245"/>
    </row>
    <row r="686" spans="5:6" x14ac:dyDescent="0.15">
      <c r="E686" s="245"/>
      <c r="F686" s="245"/>
    </row>
    <row r="687" spans="5:6" x14ac:dyDescent="0.15">
      <c r="E687" s="245"/>
      <c r="F687" s="245"/>
    </row>
    <row r="688" spans="5:6" x14ac:dyDescent="0.15">
      <c r="E688" s="245"/>
      <c r="F688" s="245"/>
    </row>
    <row r="689" spans="5:6" x14ac:dyDescent="0.15">
      <c r="E689" s="245"/>
      <c r="F689" s="245"/>
    </row>
    <row r="690" spans="5:6" x14ac:dyDescent="0.15">
      <c r="E690" s="245"/>
      <c r="F690" s="245"/>
    </row>
    <row r="691" spans="5:6" x14ac:dyDescent="0.15">
      <c r="E691" s="245"/>
      <c r="F691" s="245"/>
    </row>
    <row r="692" spans="5:6" x14ac:dyDescent="0.15">
      <c r="E692" s="245"/>
      <c r="F692" s="245"/>
    </row>
    <row r="693" spans="5:6" x14ac:dyDescent="0.15">
      <c r="E693" s="245"/>
      <c r="F693" s="245"/>
    </row>
    <row r="694" spans="5:6" x14ac:dyDescent="0.15">
      <c r="E694" s="245"/>
      <c r="F694" s="245"/>
    </row>
    <row r="695" spans="5:6" x14ac:dyDescent="0.15">
      <c r="E695" s="245"/>
      <c r="F695" s="245"/>
    </row>
    <row r="696" spans="5:6" x14ac:dyDescent="0.15">
      <c r="E696" s="245"/>
      <c r="F696" s="245"/>
    </row>
    <row r="697" spans="5:6" x14ac:dyDescent="0.15">
      <c r="E697" s="245"/>
      <c r="F697" s="245"/>
    </row>
    <row r="698" spans="5:6" x14ac:dyDescent="0.15">
      <c r="E698" s="245"/>
      <c r="F698" s="245"/>
    </row>
    <row r="699" spans="5:6" x14ac:dyDescent="0.15">
      <c r="E699" s="245"/>
      <c r="F699" s="245"/>
    </row>
    <row r="700" spans="5:6" x14ac:dyDescent="0.15">
      <c r="E700" s="245"/>
      <c r="F700" s="245"/>
    </row>
    <row r="701" spans="5:6" x14ac:dyDescent="0.15">
      <c r="E701" s="245"/>
      <c r="F701" s="245"/>
    </row>
    <row r="702" spans="5:6" x14ac:dyDescent="0.15">
      <c r="E702" s="245"/>
      <c r="F702" s="245"/>
    </row>
    <row r="703" spans="5:6" x14ac:dyDescent="0.15">
      <c r="E703" s="245"/>
      <c r="F703" s="245"/>
    </row>
    <row r="704" spans="5:6" x14ac:dyDescent="0.15">
      <c r="E704" s="245"/>
      <c r="F704" s="245"/>
    </row>
    <row r="705" spans="5:6" x14ac:dyDescent="0.15">
      <c r="E705" s="245"/>
      <c r="F705" s="245"/>
    </row>
    <row r="706" spans="5:6" x14ac:dyDescent="0.15">
      <c r="E706" s="245"/>
      <c r="F706" s="245"/>
    </row>
    <row r="707" spans="5:6" x14ac:dyDescent="0.15">
      <c r="E707" s="245"/>
      <c r="F707" s="245"/>
    </row>
    <row r="708" spans="5:6" x14ac:dyDescent="0.15">
      <c r="E708" s="245"/>
      <c r="F708" s="245"/>
    </row>
    <row r="709" spans="5:6" x14ac:dyDescent="0.15">
      <c r="E709" s="245"/>
      <c r="F709" s="245"/>
    </row>
    <row r="710" spans="5:6" x14ac:dyDescent="0.15">
      <c r="E710" s="245"/>
      <c r="F710" s="245"/>
    </row>
    <row r="711" spans="5:6" x14ac:dyDescent="0.15">
      <c r="E711" s="245"/>
      <c r="F711" s="245"/>
    </row>
    <row r="712" spans="5:6" x14ac:dyDescent="0.15">
      <c r="E712" s="245"/>
      <c r="F712" s="245"/>
    </row>
    <row r="713" spans="5:6" x14ac:dyDescent="0.15">
      <c r="E713" s="245"/>
      <c r="F713" s="245"/>
    </row>
    <row r="714" spans="5:6" x14ac:dyDescent="0.15">
      <c r="E714" s="245"/>
      <c r="F714" s="245"/>
    </row>
    <row r="715" spans="5:6" x14ac:dyDescent="0.15">
      <c r="E715" s="245"/>
      <c r="F715" s="245"/>
    </row>
    <row r="716" spans="5:6" x14ac:dyDescent="0.15">
      <c r="E716" s="245"/>
      <c r="F716" s="245"/>
    </row>
    <row r="717" spans="5:6" x14ac:dyDescent="0.15">
      <c r="E717" s="245"/>
      <c r="F717" s="245"/>
    </row>
    <row r="718" spans="5:6" x14ac:dyDescent="0.15">
      <c r="E718" s="245"/>
      <c r="F718" s="245"/>
    </row>
    <row r="719" spans="5:6" x14ac:dyDescent="0.15">
      <c r="E719" s="245"/>
      <c r="F719" s="245"/>
    </row>
    <row r="720" spans="5:6" x14ac:dyDescent="0.15">
      <c r="E720" s="245"/>
      <c r="F720" s="245"/>
    </row>
    <row r="721" spans="5:6" x14ac:dyDescent="0.15">
      <c r="E721" s="245"/>
      <c r="F721" s="245"/>
    </row>
    <row r="722" spans="5:6" x14ac:dyDescent="0.15">
      <c r="E722" s="245"/>
      <c r="F722" s="245"/>
    </row>
    <row r="723" spans="5:6" x14ac:dyDescent="0.15">
      <c r="E723" s="245"/>
      <c r="F723" s="245"/>
    </row>
    <row r="724" spans="5:6" x14ac:dyDescent="0.15">
      <c r="E724" s="245"/>
      <c r="F724" s="245"/>
    </row>
    <row r="725" spans="5:6" x14ac:dyDescent="0.15">
      <c r="E725" s="245"/>
      <c r="F725" s="245"/>
    </row>
    <row r="726" spans="5:6" x14ac:dyDescent="0.15">
      <c r="E726" s="245"/>
      <c r="F726" s="245"/>
    </row>
    <row r="727" spans="5:6" x14ac:dyDescent="0.15">
      <c r="E727" s="245"/>
      <c r="F727" s="245"/>
    </row>
    <row r="728" spans="5:6" x14ac:dyDescent="0.15">
      <c r="E728" s="245"/>
      <c r="F728" s="245"/>
    </row>
    <row r="729" spans="5:6" x14ac:dyDescent="0.15">
      <c r="E729" s="245"/>
      <c r="F729" s="245"/>
    </row>
    <row r="730" spans="5:6" x14ac:dyDescent="0.15">
      <c r="E730" s="245"/>
      <c r="F730" s="245"/>
    </row>
    <row r="731" spans="5:6" x14ac:dyDescent="0.15">
      <c r="E731" s="245"/>
      <c r="F731" s="245"/>
    </row>
    <row r="732" spans="5:6" x14ac:dyDescent="0.15">
      <c r="E732" s="245"/>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Y2:AA500">
      <formula1>$AV$2:$AV$21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28" zoomScale="80" zoomScaleNormal="80" workbookViewId="0">
      <selection activeCell="J36" sqref="J36"/>
    </sheetView>
  </sheetViews>
  <sheetFormatPr defaultRowHeight="13.5" x14ac:dyDescent="0.15"/>
  <cols>
    <col min="1" max="3" width="9" style="207" customWidth="1"/>
    <col min="4" max="4" width="10.5" style="207" customWidth="1"/>
    <col min="5" max="5" width="11.25" style="207" bestFit="1" customWidth="1"/>
    <col min="6" max="7" width="9" style="207"/>
    <col min="8" max="10" width="9" style="207" customWidth="1"/>
    <col min="11" max="11" width="11.375" style="207" customWidth="1"/>
    <col min="12" max="16" width="9" style="207" customWidth="1"/>
    <col min="17" max="17" width="9" style="216" customWidth="1"/>
    <col min="18" max="18" width="9" style="207"/>
    <col min="19" max="19" width="9.5" style="207" bestFit="1" customWidth="1"/>
    <col min="20" max="20" width="9" style="216" customWidth="1"/>
    <col min="21" max="21" width="9" style="207"/>
    <col min="22" max="22" width="9" style="216" customWidth="1"/>
    <col min="23" max="28" width="9" style="207"/>
    <col min="29" max="29" width="26.5" style="207" customWidth="1"/>
    <col min="30" max="32" width="9" style="207"/>
    <col min="33" max="33" width="15.75" style="207" bestFit="1" customWidth="1"/>
    <col min="34" max="34" width="15" style="207" bestFit="1" customWidth="1"/>
    <col min="35" max="256" width="9" style="207"/>
    <col min="257" max="259" width="9" style="207" customWidth="1"/>
    <col min="260" max="260" width="10.5" style="207" customWidth="1"/>
    <col min="261" max="261" width="11.25" style="207" bestFit="1" customWidth="1"/>
    <col min="262" max="263" width="9" style="207"/>
    <col min="264" max="273" width="9" style="207" customWidth="1"/>
    <col min="274" max="274" width="9" style="207"/>
    <col min="275" max="275" width="9.5" style="207" bestFit="1" customWidth="1"/>
    <col min="276" max="276" width="9" style="207" customWidth="1"/>
    <col min="277" max="277" width="9" style="207"/>
    <col min="278" max="278" width="9" style="207" customWidth="1"/>
    <col min="279" max="284" width="9" style="207"/>
    <col min="285" max="285" width="26.5" style="207" customWidth="1"/>
    <col min="286" max="288" width="9" style="207"/>
    <col min="289" max="289" width="14.75" style="207" bestFit="1" customWidth="1"/>
    <col min="290" max="512" width="9" style="207"/>
    <col min="513" max="515" width="9" style="207" customWidth="1"/>
    <col min="516" max="516" width="10.5" style="207" customWidth="1"/>
    <col min="517" max="517" width="11.25" style="207" bestFit="1" customWidth="1"/>
    <col min="518" max="519" width="9" style="207"/>
    <col min="520" max="529" width="9" style="207" customWidth="1"/>
    <col min="530" max="530" width="9" style="207"/>
    <col min="531" max="531" width="9.5" style="207" bestFit="1" customWidth="1"/>
    <col min="532" max="532" width="9" style="207" customWidth="1"/>
    <col min="533" max="533" width="9" style="207"/>
    <col min="534" max="534" width="9" style="207" customWidth="1"/>
    <col min="535" max="540" width="9" style="207"/>
    <col min="541" max="541" width="26.5" style="207" customWidth="1"/>
    <col min="542" max="544" width="9" style="207"/>
    <col min="545" max="545" width="14.75" style="207" bestFit="1" customWidth="1"/>
    <col min="546" max="768" width="9" style="207"/>
    <col min="769" max="771" width="9" style="207" customWidth="1"/>
    <col min="772" max="772" width="10.5" style="207" customWidth="1"/>
    <col min="773" max="773" width="11.25" style="207" bestFit="1" customWidth="1"/>
    <col min="774" max="775" width="9" style="207"/>
    <col min="776" max="785" width="9" style="207" customWidth="1"/>
    <col min="786" max="786" width="9" style="207"/>
    <col min="787" max="787" width="9.5" style="207" bestFit="1" customWidth="1"/>
    <col min="788" max="788" width="9" style="207" customWidth="1"/>
    <col min="789" max="789" width="9" style="207"/>
    <col min="790" max="790" width="9" style="207" customWidth="1"/>
    <col min="791" max="796" width="9" style="207"/>
    <col min="797" max="797" width="26.5" style="207" customWidth="1"/>
    <col min="798" max="800" width="9" style="207"/>
    <col min="801" max="801" width="14.75" style="207" bestFit="1" customWidth="1"/>
    <col min="802" max="1024" width="9" style="207"/>
    <col min="1025" max="1027" width="9" style="207" customWidth="1"/>
    <col min="1028" max="1028" width="10.5" style="207" customWidth="1"/>
    <col min="1029" max="1029" width="11.25" style="207" bestFit="1" customWidth="1"/>
    <col min="1030" max="1031" width="9" style="207"/>
    <col min="1032" max="1041" width="9" style="207" customWidth="1"/>
    <col min="1042" max="1042" width="9" style="207"/>
    <col min="1043" max="1043" width="9.5" style="207" bestFit="1" customWidth="1"/>
    <col min="1044" max="1044" width="9" style="207" customWidth="1"/>
    <col min="1045" max="1045" width="9" style="207"/>
    <col min="1046" max="1046" width="9" style="207" customWidth="1"/>
    <col min="1047" max="1052" width="9" style="207"/>
    <col min="1053" max="1053" width="26.5" style="207" customWidth="1"/>
    <col min="1054" max="1056" width="9" style="207"/>
    <col min="1057" max="1057" width="14.75" style="207" bestFit="1" customWidth="1"/>
    <col min="1058" max="1280" width="9" style="207"/>
    <col min="1281" max="1283" width="9" style="207" customWidth="1"/>
    <col min="1284" max="1284" width="10.5" style="207" customWidth="1"/>
    <col min="1285" max="1285" width="11.25" style="207" bestFit="1" customWidth="1"/>
    <col min="1286" max="1287" width="9" style="207"/>
    <col min="1288" max="1297" width="9" style="207" customWidth="1"/>
    <col min="1298" max="1298" width="9" style="207"/>
    <col min="1299" max="1299" width="9.5" style="207" bestFit="1" customWidth="1"/>
    <col min="1300" max="1300" width="9" style="207" customWidth="1"/>
    <col min="1301" max="1301" width="9" style="207"/>
    <col min="1302" max="1302" width="9" style="207" customWidth="1"/>
    <col min="1303" max="1308" width="9" style="207"/>
    <col min="1309" max="1309" width="26.5" style="207" customWidth="1"/>
    <col min="1310" max="1312" width="9" style="207"/>
    <col min="1313" max="1313" width="14.75" style="207" bestFit="1" customWidth="1"/>
    <col min="1314" max="1536" width="9" style="207"/>
    <col min="1537" max="1539" width="9" style="207" customWidth="1"/>
    <col min="1540" max="1540" width="10.5" style="207" customWidth="1"/>
    <col min="1541" max="1541" width="11.25" style="207" bestFit="1" customWidth="1"/>
    <col min="1542" max="1543" width="9" style="207"/>
    <col min="1544" max="1553" width="9" style="207" customWidth="1"/>
    <col min="1554" max="1554" width="9" style="207"/>
    <col min="1555" max="1555" width="9.5" style="207" bestFit="1" customWidth="1"/>
    <col min="1556" max="1556" width="9" style="207" customWidth="1"/>
    <col min="1557" max="1557" width="9" style="207"/>
    <col min="1558" max="1558" width="9" style="207" customWidth="1"/>
    <col min="1559" max="1564" width="9" style="207"/>
    <col min="1565" max="1565" width="26.5" style="207" customWidth="1"/>
    <col min="1566" max="1568" width="9" style="207"/>
    <col min="1569" max="1569" width="14.75" style="207" bestFit="1" customWidth="1"/>
    <col min="1570" max="1792" width="9" style="207"/>
    <col min="1793" max="1795" width="9" style="207" customWidth="1"/>
    <col min="1796" max="1796" width="10.5" style="207" customWidth="1"/>
    <col min="1797" max="1797" width="11.25" style="207" bestFit="1" customWidth="1"/>
    <col min="1798" max="1799" width="9" style="207"/>
    <col min="1800" max="1809" width="9" style="207" customWidth="1"/>
    <col min="1810" max="1810" width="9" style="207"/>
    <col min="1811" max="1811" width="9.5" style="207" bestFit="1" customWidth="1"/>
    <col min="1812" max="1812" width="9" style="207" customWidth="1"/>
    <col min="1813" max="1813" width="9" style="207"/>
    <col min="1814" max="1814" width="9" style="207" customWidth="1"/>
    <col min="1815" max="1820" width="9" style="207"/>
    <col min="1821" max="1821" width="26.5" style="207" customWidth="1"/>
    <col min="1822" max="1824" width="9" style="207"/>
    <col min="1825" max="1825" width="14.75" style="207" bestFit="1" customWidth="1"/>
    <col min="1826" max="2048" width="9" style="207"/>
    <col min="2049" max="2051" width="9" style="207" customWidth="1"/>
    <col min="2052" max="2052" width="10.5" style="207" customWidth="1"/>
    <col min="2053" max="2053" width="11.25" style="207" bestFit="1" customWidth="1"/>
    <col min="2054" max="2055" width="9" style="207"/>
    <col min="2056" max="2065" width="9" style="207" customWidth="1"/>
    <col min="2066" max="2066" width="9" style="207"/>
    <col min="2067" max="2067" width="9.5" style="207" bestFit="1" customWidth="1"/>
    <col min="2068" max="2068" width="9" style="207" customWidth="1"/>
    <col min="2069" max="2069" width="9" style="207"/>
    <col min="2070" max="2070" width="9" style="207" customWidth="1"/>
    <col min="2071" max="2076" width="9" style="207"/>
    <col min="2077" max="2077" width="26.5" style="207" customWidth="1"/>
    <col min="2078" max="2080" width="9" style="207"/>
    <col min="2081" max="2081" width="14.75" style="207" bestFit="1" customWidth="1"/>
    <col min="2082" max="2304" width="9" style="207"/>
    <col min="2305" max="2307" width="9" style="207" customWidth="1"/>
    <col min="2308" max="2308" width="10.5" style="207" customWidth="1"/>
    <col min="2309" max="2309" width="11.25" style="207" bestFit="1" customWidth="1"/>
    <col min="2310" max="2311" width="9" style="207"/>
    <col min="2312" max="2321" width="9" style="207" customWidth="1"/>
    <col min="2322" max="2322" width="9" style="207"/>
    <col min="2323" max="2323" width="9.5" style="207" bestFit="1" customWidth="1"/>
    <col min="2324" max="2324" width="9" style="207" customWidth="1"/>
    <col min="2325" max="2325" width="9" style="207"/>
    <col min="2326" max="2326" width="9" style="207" customWidth="1"/>
    <col min="2327" max="2332" width="9" style="207"/>
    <col min="2333" max="2333" width="26.5" style="207" customWidth="1"/>
    <col min="2334" max="2336" width="9" style="207"/>
    <col min="2337" max="2337" width="14.75" style="207" bestFit="1" customWidth="1"/>
    <col min="2338" max="2560" width="9" style="207"/>
    <col min="2561" max="2563" width="9" style="207" customWidth="1"/>
    <col min="2564" max="2564" width="10.5" style="207" customWidth="1"/>
    <col min="2565" max="2565" width="11.25" style="207" bestFit="1" customWidth="1"/>
    <col min="2566" max="2567" width="9" style="207"/>
    <col min="2568" max="2577" width="9" style="207" customWidth="1"/>
    <col min="2578" max="2578" width="9" style="207"/>
    <col min="2579" max="2579" width="9.5" style="207" bestFit="1" customWidth="1"/>
    <col min="2580" max="2580" width="9" style="207" customWidth="1"/>
    <col min="2581" max="2581" width="9" style="207"/>
    <col min="2582" max="2582" width="9" style="207" customWidth="1"/>
    <col min="2583" max="2588" width="9" style="207"/>
    <col min="2589" max="2589" width="26.5" style="207" customWidth="1"/>
    <col min="2590" max="2592" width="9" style="207"/>
    <col min="2593" max="2593" width="14.75" style="207" bestFit="1" customWidth="1"/>
    <col min="2594" max="2816" width="9" style="207"/>
    <col min="2817" max="2819" width="9" style="207" customWidth="1"/>
    <col min="2820" max="2820" width="10.5" style="207" customWidth="1"/>
    <col min="2821" max="2821" width="11.25" style="207" bestFit="1" customWidth="1"/>
    <col min="2822" max="2823" width="9" style="207"/>
    <col min="2824" max="2833" width="9" style="207" customWidth="1"/>
    <col min="2834" max="2834" width="9" style="207"/>
    <col min="2835" max="2835" width="9.5" style="207" bestFit="1" customWidth="1"/>
    <col min="2836" max="2836" width="9" style="207" customWidth="1"/>
    <col min="2837" max="2837" width="9" style="207"/>
    <col min="2838" max="2838" width="9" style="207" customWidth="1"/>
    <col min="2839" max="2844" width="9" style="207"/>
    <col min="2845" max="2845" width="26.5" style="207" customWidth="1"/>
    <col min="2846" max="2848" width="9" style="207"/>
    <col min="2849" max="2849" width="14.75" style="207" bestFit="1" customWidth="1"/>
    <col min="2850" max="3072" width="9" style="207"/>
    <col min="3073" max="3075" width="9" style="207" customWidth="1"/>
    <col min="3076" max="3076" width="10.5" style="207" customWidth="1"/>
    <col min="3077" max="3077" width="11.25" style="207" bestFit="1" customWidth="1"/>
    <col min="3078" max="3079" width="9" style="207"/>
    <col min="3080" max="3089" width="9" style="207" customWidth="1"/>
    <col min="3090" max="3090" width="9" style="207"/>
    <col min="3091" max="3091" width="9.5" style="207" bestFit="1" customWidth="1"/>
    <col min="3092" max="3092" width="9" style="207" customWidth="1"/>
    <col min="3093" max="3093" width="9" style="207"/>
    <col min="3094" max="3094" width="9" style="207" customWidth="1"/>
    <col min="3095" max="3100" width="9" style="207"/>
    <col min="3101" max="3101" width="26.5" style="207" customWidth="1"/>
    <col min="3102" max="3104" width="9" style="207"/>
    <col min="3105" max="3105" width="14.75" style="207" bestFit="1" customWidth="1"/>
    <col min="3106" max="3328" width="9" style="207"/>
    <col min="3329" max="3331" width="9" style="207" customWidth="1"/>
    <col min="3332" max="3332" width="10.5" style="207" customWidth="1"/>
    <col min="3333" max="3333" width="11.25" style="207" bestFit="1" customWidth="1"/>
    <col min="3334" max="3335" width="9" style="207"/>
    <col min="3336" max="3345" width="9" style="207" customWidth="1"/>
    <col min="3346" max="3346" width="9" style="207"/>
    <col min="3347" max="3347" width="9.5" style="207" bestFit="1" customWidth="1"/>
    <col min="3348" max="3348" width="9" style="207" customWidth="1"/>
    <col min="3349" max="3349" width="9" style="207"/>
    <col min="3350" max="3350" width="9" style="207" customWidth="1"/>
    <col min="3351" max="3356" width="9" style="207"/>
    <col min="3357" max="3357" width="26.5" style="207" customWidth="1"/>
    <col min="3358" max="3360" width="9" style="207"/>
    <col min="3361" max="3361" width="14.75" style="207" bestFit="1" customWidth="1"/>
    <col min="3362" max="3584" width="9" style="207"/>
    <col min="3585" max="3587" width="9" style="207" customWidth="1"/>
    <col min="3588" max="3588" width="10.5" style="207" customWidth="1"/>
    <col min="3589" max="3589" width="11.25" style="207" bestFit="1" customWidth="1"/>
    <col min="3590" max="3591" width="9" style="207"/>
    <col min="3592" max="3601" width="9" style="207" customWidth="1"/>
    <col min="3602" max="3602" width="9" style="207"/>
    <col min="3603" max="3603" width="9.5" style="207" bestFit="1" customWidth="1"/>
    <col min="3604" max="3604" width="9" style="207" customWidth="1"/>
    <col min="3605" max="3605" width="9" style="207"/>
    <col min="3606" max="3606" width="9" style="207" customWidth="1"/>
    <col min="3607" max="3612" width="9" style="207"/>
    <col min="3613" max="3613" width="26.5" style="207" customWidth="1"/>
    <col min="3614" max="3616" width="9" style="207"/>
    <col min="3617" max="3617" width="14.75" style="207" bestFit="1" customWidth="1"/>
    <col min="3618" max="3840" width="9" style="207"/>
    <col min="3841" max="3843" width="9" style="207" customWidth="1"/>
    <col min="3844" max="3844" width="10.5" style="207" customWidth="1"/>
    <col min="3845" max="3845" width="11.25" style="207" bestFit="1" customWidth="1"/>
    <col min="3846" max="3847" width="9" style="207"/>
    <col min="3848" max="3857" width="9" style="207" customWidth="1"/>
    <col min="3858" max="3858" width="9" style="207"/>
    <col min="3859" max="3859" width="9.5" style="207" bestFit="1" customWidth="1"/>
    <col min="3860" max="3860" width="9" style="207" customWidth="1"/>
    <col min="3861" max="3861" width="9" style="207"/>
    <col min="3862" max="3862" width="9" style="207" customWidth="1"/>
    <col min="3863" max="3868" width="9" style="207"/>
    <col min="3869" max="3869" width="26.5" style="207" customWidth="1"/>
    <col min="3870" max="3872" width="9" style="207"/>
    <col min="3873" max="3873" width="14.75" style="207" bestFit="1" customWidth="1"/>
    <col min="3874" max="4096" width="9" style="207"/>
    <col min="4097" max="4099" width="9" style="207" customWidth="1"/>
    <col min="4100" max="4100" width="10.5" style="207" customWidth="1"/>
    <col min="4101" max="4101" width="11.25" style="207" bestFit="1" customWidth="1"/>
    <col min="4102" max="4103" width="9" style="207"/>
    <col min="4104" max="4113" width="9" style="207" customWidth="1"/>
    <col min="4114" max="4114" width="9" style="207"/>
    <col min="4115" max="4115" width="9.5" style="207" bestFit="1" customWidth="1"/>
    <col min="4116" max="4116" width="9" style="207" customWidth="1"/>
    <col min="4117" max="4117" width="9" style="207"/>
    <col min="4118" max="4118" width="9" style="207" customWidth="1"/>
    <col min="4119" max="4124" width="9" style="207"/>
    <col min="4125" max="4125" width="26.5" style="207" customWidth="1"/>
    <col min="4126" max="4128" width="9" style="207"/>
    <col min="4129" max="4129" width="14.75" style="207" bestFit="1" customWidth="1"/>
    <col min="4130" max="4352" width="9" style="207"/>
    <col min="4353" max="4355" width="9" style="207" customWidth="1"/>
    <col min="4356" max="4356" width="10.5" style="207" customWidth="1"/>
    <col min="4357" max="4357" width="11.25" style="207" bestFit="1" customWidth="1"/>
    <col min="4358" max="4359" width="9" style="207"/>
    <col min="4360" max="4369" width="9" style="207" customWidth="1"/>
    <col min="4370" max="4370" width="9" style="207"/>
    <col min="4371" max="4371" width="9.5" style="207" bestFit="1" customWidth="1"/>
    <col min="4372" max="4372" width="9" style="207" customWidth="1"/>
    <col min="4373" max="4373" width="9" style="207"/>
    <col min="4374" max="4374" width="9" style="207" customWidth="1"/>
    <col min="4375" max="4380" width="9" style="207"/>
    <col min="4381" max="4381" width="26.5" style="207" customWidth="1"/>
    <col min="4382" max="4384" width="9" style="207"/>
    <col min="4385" max="4385" width="14.75" style="207" bestFit="1" customWidth="1"/>
    <col min="4386" max="4608" width="9" style="207"/>
    <col min="4609" max="4611" width="9" style="207" customWidth="1"/>
    <col min="4612" max="4612" width="10.5" style="207" customWidth="1"/>
    <col min="4613" max="4613" width="11.25" style="207" bestFit="1" customWidth="1"/>
    <col min="4614" max="4615" width="9" style="207"/>
    <col min="4616" max="4625" width="9" style="207" customWidth="1"/>
    <col min="4626" max="4626" width="9" style="207"/>
    <col min="4627" max="4627" width="9.5" style="207" bestFit="1" customWidth="1"/>
    <col min="4628" max="4628" width="9" style="207" customWidth="1"/>
    <col min="4629" max="4629" width="9" style="207"/>
    <col min="4630" max="4630" width="9" style="207" customWidth="1"/>
    <col min="4631" max="4636" width="9" style="207"/>
    <col min="4637" max="4637" width="26.5" style="207" customWidth="1"/>
    <col min="4638" max="4640" width="9" style="207"/>
    <col min="4641" max="4641" width="14.75" style="207" bestFit="1" customWidth="1"/>
    <col min="4642" max="4864" width="9" style="207"/>
    <col min="4865" max="4867" width="9" style="207" customWidth="1"/>
    <col min="4868" max="4868" width="10.5" style="207" customWidth="1"/>
    <col min="4869" max="4869" width="11.25" style="207" bestFit="1" customWidth="1"/>
    <col min="4870" max="4871" width="9" style="207"/>
    <col min="4872" max="4881" width="9" style="207" customWidth="1"/>
    <col min="4882" max="4882" width="9" style="207"/>
    <col min="4883" max="4883" width="9.5" style="207" bestFit="1" customWidth="1"/>
    <col min="4884" max="4884" width="9" style="207" customWidth="1"/>
    <col min="4885" max="4885" width="9" style="207"/>
    <col min="4886" max="4886" width="9" style="207" customWidth="1"/>
    <col min="4887" max="4892" width="9" style="207"/>
    <col min="4893" max="4893" width="26.5" style="207" customWidth="1"/>
    <col min="4894" max="4896" width="9" style="207"/>
    <col min="4897" max="4897" width="14.75" style="207" bestFit="1" customWidth="1"/>
    <col min="4898" max="5120" width="9" style="207"/>
    <col min="5121" max="5123" width="9" style="207" customWidth="1"/>
    <col min="5124" max="5124" width="10.5" style="207" customWidth="1"/>
    <col min="5125" max="5125" width="11.25" style="207" bestFit="1" customWidth="1"/>
    <col min="5126" max="5127" width="9" style="207"/>
    <col min="5128" max="5137" width="9" style="207" customWidth="1"/>
    <col min="5138" max="5138" width="9" style="207"/>
    <col min="5139" max="5139" width="9.5" style="207" bestFit="1" customWidth="1"/>
    <col min="5140" max="5140" width="9" style="207" customWidth="1"/>
    <col min="5141" max="5141" width="9" style="207"/>
    <col min="5142" max="5142" width="9" style="207" customWidth="1"/>
    <col min="5143" max="5148" width="9" style="207"/>
    <col min="5149" max="5149" width="26.5" style="207" customWidth="1"/>
    <col min="5150" max="5152" width="9" style="207"/>
    <col min="5153" max="5153" width="14.75" style="207" bestFit="1" customWidth="1"/>
    <col min="5154" max="5376" width="9" style="207"/>
    <col min="5377" max="5379" width="9" style="207" customWidth="1"/>
    <col min="5380" max="5380" width="10.5" style="207" customWidth="1"/>
    <col min="5381" max="5381" width="11.25" style="207" bestFit="1" customWidth="1"/>
    <col min="5382" max="5383" width="9" style="207"/>
    <col min="5384" max="5393" width="9" style="207" customWidth="1"/>
    <col min="5394" max="5394" width="9" style="207"/>
    <col min="5395" max="5395" width="9.5" style="207" bestFit="1" customWidth="1"/>
    <col min="5396" max="5396" width="9" style="207" customWidth="1"/>
    <col min="5397" max="5397" width="9" style="207"/>
    <col min="5398" max="5398" width="9" style="207" customWidth="1"/>
    <col min="5399" max="5404" width="9" style="207"/>
    <col min="5405" max="5405" width="26.5" style="207" customWidth="1"/>
    <col min="5406" max="5408" width="9" style="207"/>
    <col min="5409" max="5409" width="14.75" style="207" bestFit="1" customWidth="1"/>
    <col min="5410" max="5632" width="9" style="207"/>
    <col min="5633" max="5635" width="9" style="207" customWidth="1"/>
    <col min="5636" max="5636" width="10.5" style="207" customWidth="1"/>
    <col min="5637" max="5637" width="11.25" style="207" bestFit="1" customWidth="1"/>
    <col min="5638" max="5639" width="9" style="207"/>
    <col min="5640" max="5649" width="9" style="207" customWidth="1"/>
    <col min="5650" max="5650" width="9" style="207"/>
    <col min="5651" max="5651" width="9.5" style="207" bestFit="1" customWidth="1"/>
    <col min="5652" max="5652" width="9" style="207" customWidth="1"/>
    <col min="5653" max="5653" width="9" style="207"/>
    <col min="5654" max="5654" width="9" style="207" customWidth="1"/>
    <col min="5655" max="5660" width="9" style="207"/>
    <col min="5661" max="5661" width="26.5" style="207" customWidth="1"/>
    <col min="5662" max="5664" width="9" style="207"/>
    <col min="5665" max="5665" width="14.75" style="207" bestFit="1" customWidth="1"/>
    <col min="5666" max="5888" width="9" style="207"/>
    <col min="5889" max="5891" width="9" style="207" customWidth="1"/>
    <col min="5892" max="5892" width="10.5" style="207" customWidth="1"/>
    <col min="5893" max="5893" width="11.25" style="207" bestFit="1" customWidth="1"/>
    <col min="5894" max="5895" width="9" style="207"/>
    <col min="5896" max="5905" width="9" style="207" customWidth="1"/>
    <col min="5906" max="5906" width="9" style="207"/>
    <col min="5907" max="5907" width="9.5" style="207" bestFit="1" customWidth="1"/>
    <col min="5908" max="5908" width="9" style="207" customWidth="1"/>
    <col min="5909" max="5909" width="9" style="207"/>
    <col min="5910" max="5910" width="9" style="207" customWidth="1"/>
    <col min="5911" max="5916" width="9" style="207"/>
    <col min="5917" max="5917" width="26.5" style="207" customWidth="1"/>
    <col min="5918" max="5920" width="9" style="207"/>
    <col min="5921" max="5921" width="14.75" style="207" bestFit="1" customWidth="1"/>
    <col min="5922" max="6144" width="9" style="207"/>
    <col min="6145" max="6147" width="9" style="207" customWidth="1"/>
    <col min="6148" max="6148" width="10.5" style="207" customWidth="1"/>
    <col min="6149" max="6149" width="11.25" style="207" bestFit="1" customWidth="1"/>
    <col min="6150" max="6151" width="9" style="207"/>
    <col min="6152" max="6161" width="9" style="207" customWidth="1"/>
    <col min="6162" max="6162" width="9" style="207"/>
    <col min="6163" max="6163" width="9.5" style="207" bestFit="1" customWidth="1"/>
    <col min="6164" max="6164" width="9" style="207" customWidth="1"/>
    <col min="6165" max="6165" width="9" style="207"/>
    <col min="6166" max="6166" width="9" style="207" customWidth="1"/>
    <col min="6167" max="6172" width="9" style="207"/>
    <col min="6173" max="6173" width="26.5" style="207" customWidth="1"/>
    <col min="6174" max="6176" width="9" style="207"/>
    <col min="6177" max="6177" width="14.75" style="207" bestFit="1" customWidth="1"/>
    <col min="6178" max="6400" width="9" style="207"/>
    <col min="6401" max="6403" width="9" style="207" customWidth="1"/>
    <col min="6404" max="6404" width="10.5" style="207" customWidth="1"/>
    <col min="6405" max="6405" width="11.25" style="207" bestFit="1" customWidth="1"/>
    <col min="6406" max="6407" width="9" style="207"/>
    <col min="6408" max="6417" width="9" style="207" customWidth="1"/>
    <col min="6418" max="6418" width="9" style="207"/>
    <col min="6419" max="6419" width="9.5" style="207" bestFit="1" customWidth="1"/>
    <col min="6420" max="6420" width="9" style="207" customWidth="1"/>
    <col min="6421" max="6421" width="9" style="207"/>
    <col min="6422" max="6422" width="9" style="207" customWidth="1"/>
    <col min="6423" max="6428" width="9" style="207"/>
    <col min="6429" max="6429" width="26.5" style="207" customWidth="1"/>
    <col min="6430" max="6432" width="9" style="207"/>
    <col min="6433" max="6433" width="14.75" style="207" bestFit="1" customWidth="1"/>
    <col min="6434" max="6656" width="9" style="207"/>
    <col min="6657" max="6659" width="9" style="207" customWidth="1"/>
    <col min="6660" max="6660" width="10.5" style="207" customWidth="1"/>
    <col min="6661" max="6661" width="11.25" style="207" bestFit="1" customWidth="1"/>
    <col min="6662" max="6663" width="9" style="207"/>
    <col min="6664" max="6673" width="9" style="207" customWidth="1"/>
    <col min="6674" max="6674" width="9" style="207"/>
    <col min="6675" max="6675" width="9.5" style="207" bestFit="1" customWidth="1"/>
    <col min="6676" max="6676" width="9" style="207" customWidth="1"/>
    <col min="6677" max="6677" width="9" style="207"/>
    <col min="6678" max="6678" width="9" style="207" customWidth="1"/>
    <col min="6679" max="6684" width="9" style="207"/>
    <col min="6685" max="6685" width="26.5" style="207" customWidth="1"/>
    <col min="6686" max="6688" width="9" style="207"/>
    <col min="6689" max="6689" width="14.75" style="207" bestFit="1" customWidth="1"/>
    <col min="6690" max="6912" width="9" style="207"/>
    <col min="6913" max="6915" width="9" style="207" customWidth="1"/>
    <col min="6916" max="6916" width="10.5" style="207" customWidth="1"/>
    <col min="6917" max="6917" width="11.25" style="207" bestFit="1" customWidth="1"/>
    <col min="6918" max="6919" width="9" style="207"/>
    <col min="6920" max="6929" width="9" style="207" customWidth="1"/>
    <col min="6930" max="6930" width="9" style="207"/>
    <col min="6931" max="6931" width="9.5" style="207" bestFit="1" customWidth="1"/>
    <col min="6932" max="6932" width="9" style="207" customWidth="1"/>
    <col min="6933" max="6933" width="9" style="207"/>
    <col min="6934" max="6934" width="9" style="207" customWidth="1"/>
    <col min="6935" max="6940" width="9" style="207"/>
    <col min="6941" max="6941" width="26.5" style="207" customWidth="1"/>
    <col min="6942" max="6944" width="9" style="207"/>
    <col min="6945" max="6945" width="14.75" style="207" bestFit="1" customWidth="1"/>
    <col min="6946" max="7168" width="9" style="207"/>
    <col min="7169" max="7171" width="9" style="207" customWidth="1"/>
    <col min="7172" max="7172" width="10.5" style="207" customWidth="1"/>
    <col min="7173" max="7173" width="11.25" style="207" bestFit="1" customWidth="1"/>
    <col min="7174" max="7175" width="9" style="207"/>
    <col min="7176" max="7185" width="9" style="207" customWidth="1"/>
    <col min="7186" max="7186" width="9" style="207"/>
    <col min="7187" max="7187" width="9.5" style="207" bestFit="1" customWidth="1"/>
    <col min="7188" max="7188" width="9" style="207" customWidth="1"/>
    <col min="7189" max="7189" width="9" style="207"/>
    <col min="7190" max="7190" width="9" style="207" customWidth="1"/>
    <col min="7191" max="7196" width="9" style="207"/>
    <col min="7197" max="7197" width="26.5" style="207" customWidth="1"/>
    <col min="7198" max="7200" width="9" style="207"/>
    <col min="7201" max="7201" width="14.75" style="207" bestFit="1" customWidth="1"/>
    <col min="7202" max="7424" width="9" style="207"/>
    <col min="7425" max="7427" width="9" style="207" customWidth="1"/>
    <col min="7428" max="7428" width="10.5" style="207" customWidth="1"/>
    <col min="7429" max="7429" width="11.25" style="207" bestFit="1" customWidth="1"/>
    <col min="7430" max="7431" width="9" style="207"/>
    <col min="7432" max="7441" width="9" style="207" customWidth="1"/>
    <col min="7442" max="7442" width="9" style="207"/>
    <col min="7443" max="7443" width="9.5" style="207" bestFit="1" customWidth="1"/>
    <col min="7444" max="7444" width="9" style="207" customWidth="1"/>
    <col min="7445" max="7445" width="9" style="207"/>
    <col min="7446" max="7446" width="9" style="207" customWidth="1"/>
    <col min="7447" max="7452" width="9" style="207"/>
    <col min="7453" max="7453" width="26.5" style="207" customWidth="1"/>
    <col min="7454" max="7456" width="9" style="207"/>
    <col min="7457" max="7457" width="14.75" style="207" bestFit="1" customWidth="1"/>
    <col min="7458" max="7680" width="9" style="207"/>
    <col min="7681" max="7683" width="9" style="207" customWidth="1"/>
    <col min="7684" max="7684" width="10.5" style="207" customWidth="1"/>
    <col min="7685" max="7685" width="11.25" style="207" bestFit="1" customWidth="1"/>
    <col min="7686" max="7687" width="9" style="207"/>
    <col min="7688" max="7697" width="9" style="207" customWidth="1"/>
    <col min="7698" max="7698" width="9" style="207"/>
    <col min="7699" max="7699" width="9.5" style="207" bestFit="1" customWidth="1"/>
    <col min="7700" max="7700" width="9" style="207" customWidth="1"/>
    <col min="7701" max="7701" width="9" style="207"/>
    <col min="7702" max="7702" width="9" style="207" customWidth="1"/>
    <col min="7703" max="7708" width="9" style="207"/>
    <col min="7709" max="7709" width="26.5" style="207" customWidth="1"/>
    <col min="7710" max="7712" width="9" style="207"/>
    <col min="7713" max="7713" width="14.75" style="207" bestFit="1" customWidth="1"/>
    <col min="7714" max="7936" width="9" style="207"/>
    <col min="7937" max="7939" width="9" style="207" customWidth="1"/>
    <col min="7940" max="7940" width="10.5" style="207" customWidth="1"/>
    <col min="7941" max="7941" width="11.25" style="207" bestFit="1" customWidth="1"/>
    <col min="7942" max="7943" width="9" style="207"/>
    <col min="7944" max="7953" width="9" style="207" customWidth="1"/>
    <col min="7954" max="7954" width="9" style="207"/>
    <col min="7955" max="7955" width="9.5" style="207" bestFit="1" customWidth="1"/>
    <col min="7956" max="7956" width="9" style="207" customWidth="1"/>
    <col min="7957" max="7957" width="9" style="207"/>
    <col min="7958" max="7958" width="9" style="207" customWidth="1"/>
    <col min="7959" max="7964" width="9" style="207"/>
    <col min="7965" max="7965" width="26.5" style="207" customWidth="1"/>
    <col min="7966" max="7968" width="9" style="207"/>
    <col min="7969" max="7969" width="14.75" style="207" bestFit="1" customWidth="1"/>
    <col min="7970" max="8192" width="9" style="207"/>
    <col min="8193" max="8195" width="9" style="207" customWidth="1"/>
    <col min="8196" max="8196" width="10.5" style="207" customWidth="1"/>
    <col min="8197" max="8197" width="11.25" style="207" bestFit="1" customWidth="1"/>
    <col min="8198" max="8199" width="9" style="207"/>
    <col min="8200" max="8209" width="9" style="207" customWidth="1"/>
    <col min="8210" max="8210" width="9" style="207"/>
    <col min="8211" max="8211" width="9.5" style="207" bestFit="1" customWidth="1"/>
    <col min="8212" max="8212" width="9" style="207" customWidth="1"/>
    <col min="8213" max="8213" width="9" style="207"/>
    <col min="8214" max="8214" width="9" style="207" customWidth="1"/>
    <col min="8215" max="8220" width="9" style="207"/>
    <col min="8221" max="8221" width="26.5" style="207" customWidth="1"/>
    <col min="8222" max="8224" width="9" style="207"/>
    <col min="8225" max="8225" width="14.75" style="207" bestFit="1" customWidth="1"/>
    <col min="8226" max="8448" width="9" style="207"/>
    <col min="8449" max="8451" width="9" style="207" customWidth="1"/>
    <col min="8452" max="8452" width="10.5" style="207" customWidth="1"/>
    <col min="8453" max="8453" width="11.25" style="207" bestFit="1" customWidth="1"/>
    <col min="8454" max="8455" width="9" style="207"/>
    <col min="8456" max="8465" width="9" style="207" customWidth="1"/>
    <col min="8466" max="8466" width="9" style="207"/>
    <col min="8467" max="8467" width="9.5" style="207" bestFit="1" customWidth="1"/>
    <col min="8468" max="8468" width="9" style="207" customWidth="1"/>
    <col min="8469" max="8469" width="9" style="207"/>
    <col min="8470" max="8470" width="9" style="207" customWidth="1"/>
    <col min="8471" max="8476" width="9" style="207"/>
    <col min="8477" max="8477" width="26.5" style="207" customWidth="1"/>
    <col min="8478" max="8480" width="9" style="207"/>
    <col min="8481" max="8481" width="14.75" style="207" bestFit="1" customWidth="1"/>
    <col min="8482" max="8704" width="9" style="207"/>
    <col min="8705" max="8707" width="9" style="207" customWidth="1"/>
    <col min="8708" max="8708" width="10.5" style="207" customWidth="1"/>
    <col min="8709" max="8709" width="11.25" style="207" bestFit="1" customWidth="1"/>
    <col min="8710" max="8711" width="9" style="207"/>
    <col min="8712" max="8721" width="9" style="207" customWidth="1"/>
    <col min="8722" max="8722" width="9" style="207"/>
    <col min="8723" max="8723" width="9.5" style="207" bestFit="1" customWidth="1"/>
    <col min="8724" max="8724" width="9" style="207" customWidth="1"/>
    <col min="8725" max="8725" width="9" style="207"/>
    <col min="8726" max="8726" width="9" style="207" customWidth="1"/>
    <col min="8727" max="8732" width="9" style="207"/>
    <col min="8733" max="8733" width="26.5" style="207" customWidth="1"/>
    <col min="8734" max="8736" width="9" style="207"/>
    <col min="8737" max="8737" width="14.75" style="207" bestFit="1" customWidth="1"/>
    <col min="8738" max="8960" width="9" style="207"/>
    <col min="8961" max="8963" width="9" style="207" customWidth="1"/>
    <col min="8964" max="8964" width="10.5" style="207" customWidth="1"/>
    <col min="8965" max="8965" width="11.25" style="207" bestFit="1" customWidth="1"/>
    <col min="8966" max="8967" width="9" style="207"/>
    <col min="8968" max="8977" width="9" style="207" customWidth="1"/>
    <col min="8978" max="8978" width="9" style="207"/>
    <col min="8979" max="8979" width="9.5" style="207" bestFit="1" customWidth="1"/>
    <col min="8980" max="8980" width="9" style="207" customWidth="1"/>
    <col min="8981" max="8981" width="9" style="207"/>
    <col min="8982" max="8982" width="9" style="207" customWidth="1"/>
    <col min="8983" max="8988" width="9" style="207"/>
    <col min="8989" max="8989" width="26.5" style="207" customWidth="1"/>
    <col min="8990" max="8992" width="9" style="207"/>
    <col min="8993" max="8993" width="14.75" style="207" bestFit="1" customWidth="1"/>
    <col min="8994" max="9216" width="9" style="207"/>
    <col min="9217" max="9219" width="9" style="207" customWidth="1"/>
    <col min="9220" max="9220" width="10.5" style="207" customWidth="1"/>
    <col min="9221" max="9221" width="11.25" style="207" bestFit="1" customWidth="1"/>
    <col min="9222" max="9223" width="9" style="207"/>
    <col min="9224" max="9233" width="9" style="207" customWidth="1"/>
    <col min="9234" max="9234" width="9" style="207"/>
    <col min="9235" max="9235" width="9.5" style="207" bestFit="1" customWidth="1"/>
    <col min="9236" max="9236" width="9" style="207" customWidth="1"/>
    <col min="9237" max="9237" width="9" style="207"/>
    <col min="9238" max="9238" width="9" style="207" customWidth="1"/>
    <col min="9239" max="9244" width="9" style="207"/>
    <col min="9245" max="9245" width="26.5" style="207" customWidth="1"/>
    <col min="9246" max="9248" width="9" style="207"/>
    <col min="9249" max="9249" width="14.75" style="207" bestFit="1" customWidth="1"/>
    <col min="9250" max="9472" width="9" style="207"/>
    <col min="9473" max="9475" width="9" style="207" customWidth="1"/>
    <col min="9476" max="9476" width="10.5" style="207" customWidth="1"/>
    <col min="9477" max="9477" width="11.25" style="207" bestFit="1" customWidth="1"/>
    <col min="9478" max="9479" width="9" style="207"/>
    <col min="9480" max="9489" width="9" style="207" customWidth="1"/>
    <col min="9490" max="9490" width="9" style="207"/>
    <col min="9491" max="9491" width="9.5" style="207" bestFit="1" customWidth="1"/>
    <col min="9492" max="9492" width="9" style="207" customWidth="1"/>
    <col min="9493" max="9493" width="9" style="207"/>
    <col min="9494" max="9494" width="9" style="207" customWidth="1"/>
    <col min="9495" max="9500" width="9" style="207"/>
    <col min="9501" max="9501" width="26.5" style="207" customWidth="1"/>
    <col min="9502" max="9504" width="9" style="207"/>
    <col min="9505" max="9505" width="14.75" style="207" bestFit="1" customWidth="1"/>
    <col min="9506" max="9728" width="9" style="207"/>
    <col min="9729" max="9731" width="9" style="207" customWidth="1"/>
    <col min="9732" max="9732" width="10.5" style="207" customWidth="1"/>
    <col min="9733" max="9733" width="11.25" style="207" bestFit="1" customWidth="1"/>
    <col min="9734" max="9735" width="9" style="207"/>
    <col min="9736" max="9745" width="9" style="207" customWidth="1"/>
    <col min="9746" max="9746" width="9" style="207"/>
    <col min="9747" max="9747" width="9.5" style="207" bestFit="1" customWidth="1"/>
    <col min="9748" max="9748" width="9" style="207" customWidth="1"/>
    <col min="9749" max="9749" width="9" style="207"/>
    <col min="9750" max="9750" width="9" style="207" customWidth="1"/>
    <col min="9751" max="9756" width="9" style="207"/>
    <col min="9757" max="9757" width="26.5" style="207" customWidth="1"/>
    <col min="9758" max="9760" width="9" style="207"/>
    <col min="9761" max="9761" width="14.75" style="207" bestFit="1" customWidth="1"/>
    <col min="9762" max="9984" width="9" style="207"/>
    <col min="9985" max="9987" width="9" style="207" customWidth="1"/>
    <col min="9988" max="9988" width="10.5" style="207" customWidth="1"/>
    <col min="9989" max="9989" width="11.25" style="207" bestFit="1" customWidth="1"/>
    <col min="9990" max="9991" width="9" style="207"/>
    <col min="9992" max="10001" width="9" style="207" customWidth="1"/>
    <col min="10002" max="10002" width="9" style="207"/>
    <col min="10003" max="10003" width="9.5" style="207" bestFit="1" customWidth="1"/>
    <col min="10004" max="10004" width="9" style="207" customWidth="1"/>
    <col min="10005" max="10005" width="9" style="207"/>
    <col min="10006" max="10006" width="9" style="207" customWidth="1"/>
    <col min="10007" max="10012" width="9" style="207"/>
    <col min="10013" max="10013" width="26.5" style="207" customWidth="1"/>
    <col min="10014" max="10016" width="9" style="207"/>
    <col min="10017" max="10017" width="14.75" style="207" bestFit="1" customWidth="1"/>
    <col min="10018" max="10240" width="9" style="207"/>
    <col min="10241" max="10243" width="9" style="207" customWidth="1"/>
    <col min="10244" max="10244" width="10.5" style="207" customWidth="1"/>
    <col min="10245" max="10245" width="11.25" style="207" bestFit="1" customWidth="1"/>
    <col min="10246" max="10247" width="9" style="207"/>
    <col min="10248" max="10257" width="9" style="207" customWidth="1"/>
    <col min="10258" max="10258" width="9" style="207"/>
    <col min="10259" max="10259" width="9.5" style="207" bestFit="1" customWidth="1"/>
    <col min="10260" max="10260" width="9" style="207" customWidth="1"/>
    <col min="10261" max="10261" width="9" style="207"/>
    <col min="10262" max="10262" width="9" style="207" customWidth="1"/>
    <col min="10263" max="10268" width="9" style="207"/>
    <col min="10269" max="10269" width="26.5" style="207" customWidth="1"/>
    <col min="10270" max="10272" width="9" style="207"/>
    <col min="10273" max="10273" width="14.75" style="207" bestFit="1" customWidth="1"/>
    <col min="10274" max="10496" width="9" style="207"/>
    <col min="10497" max="10499" width="9" style="207" customWidth="1"/>
    <col min="10500" max="10500" width="10.5" style="207" customWidth="1"/>
    <col min="10501" max="10501" width="11.25" style="207" bestFit="1" customWidth="1"/>
    <col min="10502" max="10503" width="9" style="207"/>
    <col min="10504" max="10513" width="9" style="207" customWidth="1"/>
    <col min="10514" max="10514" width="9" style="207"/>
    <col min="10515" max="10515" width="9.5" style="207" bestFit="1" customWidth="1"/>
    <col min="10516" max="10516" width="9" style="207" customWidth="1"/>
    <col min="10517" max="10517" width="9" style="207"/>
    <col min="10518" max="10518" width="9" style="207" customWidth="1"/>
    <col min="10519" max="10524" width="9" style="207"/>
    <col min="10525" max="10525" width="26.5" style="207" customWidth="1"/>
    <col min="10526" max="10528" width="9" style="207"/>
    <col min="10529" max="10529" width="14.75" style="207" bestFit="1" customWidth="1"/>
    <col min="10530" max="10752" width="9" style="207"/>
    <col min="10753" max="10755" width="9" style="207" customWidth="1"/>
    <col min="10756" max="10756" width="10.5" style="207" customWidth="1"/>
    <col min="10757" max="10757" width="11.25" style="207" bestFit="1" customWidth="1"/>
    <col min="10758" max="10759" width="9" style="207"/>
    <col min="10760" max="10769" width="9" style="207" customWidth="1"/>
    <col min="10770" max="10770" width="9" style="207"/>
    <col min="10771" max="10771" width="9.5" style="207" bestFit="1" customWidth="1"/>
    <col min="10772" max="10772" width="9" style="207" customWidth="1"/>
    <col min="10773" max="10773" width="9" style="207"/>
    <col min="10774" max="10774" width="9" style="207" customWidth="1"/>
    <col min="10775" max="10780" width="9" style="207"/>
    <col min="10781" max="10781" width="26.5" style="207" customWidth="1"/>
    <col min="10782" max="10784" width="9" style="207"/>
    <col min="10785" max="10785" width="14.75" style="207" bestFit="1" customWidth="1"/>
    <col min="10786" max="11008" width="9" style="207"/>
    <col min="11009" max="11011" width="9" style="207" customWidth="1"/>
    <col min="11012" max="11012" width="10.5" style="207" customWidth="1"/>
    <col min="11013" max="11013" width="11.25" style="207" bestFit="1" customWidth="1"/>
    <col min="11014" max="11015" width="9" style="207"/>
    <col min="11016" max="11025" width="9" style="207" customWidth="1"/>
    <col min="11026" max="11026" width="9" style="207"/>
    <col min="11027" max="11027" width="9.5" style="207" bestFit="1" customWidth="1"/>
    <col min="11028" max="11028" width="9" style="207" customWidth="1"/>
    <col min="11029" max="11029" width="9" style="207"/>
    <col min="11030" max="11030" width="9" style="207" customWidth="1"/>
    <col min="11031" max="11036" width="9" style="207"/>
    <col min="11037" max="11037" width="26.5" style="207" customWidth="1"/>
    <col min="11038" max="11040" width="9" style="207"/>
    <col min="11041" max="11041" width="14.75" style="207" bestFit="1" customWidth="1"/>
    <col min="11042" max="11264" width="9" style="207"/>
    <col min="11265" max="11267" width="9" style="207" customWidth="1"/>
    <col min="11268" max="11268" width="10.5" style="207" customWidth="1"/>
    <col min="11269" max="11269" width="11.25" style="207" bestFit="1" customWidth="1"/>
    <col min="11270" max="11271" width="9" style="207"/>
    <col min="11272" max="11281" width="9" style="207" customWidth="1"/>
    <col min="11282" max="11282" width="9" style="207"/>
    <col min="11283" max="11283" width="9.5" style="207" bestFit="1" customWidth="1"/>
    <col min="11284" max="11284" width="9" style="207" customWidth="1"/>
    <col min="11285" max="11285" width="9" style="207"/>
    <col min="11286" max="11286" width="9" style="207" customWidth="1"/>
    <col min="11287" max="11292" width="9" style="207"/>
    <col min="11293" max="11293" width="26.5" style="207" customWidth="1"/>
    <col min="11294" max="11296" width="9" style="207"/>
    <col min="11297" max="11297" width="14.75" style="207" bestFit="1" customWidth="1"/>
    <col min="11298" max="11520" width="9" style="207"/>
    <col min="11521" max="11523" width="9" style="207" customWidth="1"/>
    <col min="11524" max="11524" width="10.5" style="207" customWidth="1"/>
    <col min="11525" max="11525" width="11.25" style="207" bestFit="1" customWidth="1"/>
    <col min="11526" max="11527" width="9" style="207"/>
    <col min="11528" max="11537" width="9" style="207" customWidth="1"/>
    <col min="11538" max="11538" width="9" style="207"/>
    <col min="11539" max="11539" width="9.5" style="207" bestFit="1" customWidth="1"/>
    <col min="11540" max="11540" width="9" style="207" customWidth="1"/>
    <col min="11541" max="11541" width="9" style="207"/>
    <col min="11542" max="11542" width="9" style="207" customWidth="1"/>
    <col min="11543" max="11548" width="9" style="207"/>
    <col min="11549" max="11549" width="26.5" style="207" customWidth="1"/>
    <col min="11550" max="11552" width="9" style="207"/>
    <col min="11553" max="11553" width="14.75" style="207" bestFit="1" customWidth="1"/>
    <col min="11554" max="11776" width="9" style="207"/>
    <col min="11777" max="11779" width="9" style="207" customWidth="1"/>
    <col min="11780" max="11780" width="10.5" style="207" customWidth="1"/>
    <col min="11781" max="11781" width="11.25" style="207" bestFit="1" customWidth="1"/>
    <col min="11782" max="11783" width="9" style="207"/>
    <col min="11784" max="11793" width="9" style="207" customWidth="1"/>
    <col min="11794" max="11794" width="9" style="207"/>
    <col min="11795" max="11795" width="9.5" style="207" bestFit="1" customWidth="1"/>
    <col min="11796" max="11796" width="9" style="207" customWidth="1"/>
    <col min="11797" max="11797" width="9" style="207"/>
    <col min="11798" max="11798" width="9" style="207" customWidth="1"/>
    <col min="11799" max="11804" width="9" style="207"/>
    <col min="11805" max="11805" width="26.5" style="207" customWidth="1"/>
    <col min="11806" max="11808" width="9" style="207"/>
    <col min="11809" max="11809" width="14.75" style="207" bestFit="1" customWidth="1"/>
    <col min="11810" max="12032" width="9" style="207"/>
    <col min="12033" max="12035" width="9" style="207" customWidth="1"/>
    <col min="12036" max="12036" width="10.5" style="207" customWidth="1"/>
    <col min="12037" max="12037" width="11.25" style="207" bestFit="1" customWidth="1"/>
    <col min="12038" max="12039" width="9" style="207"/>
    <col min="12040" max="12049" width="9" style="207" customWidth="1"/>
    <col min="12050" max="12050" width="9" style="207"/>
    <col min="12051" max="12051" width="9.5" style="207" bestFit="1" customWidth="1"/>
    <col min="12052" max="12052" width="9" style="207" customWidth="1"/>
    <col min="12053" max="12053" width="9" style="207"/>
    <col min="12054" max="12054" width="9" style="207" customWidth="1"/>
    <col min="12055" max="12060" width="9" style="207"/>
    <col min="12061" max="12061" width="26.5" style="207" customWidth="1"/>
    <col min="12062" max="12064" width="9" style="207"/>
    <col min="12065" max="12065" width="14.75" style="207" bestFit="1" customWidth="1"/>
    <col min="12066" max="12288" width="9" style="207"/>
    <col min="12289" max="12291" width="9" style="207" customWidth="1"/>
    <col min="12292" max="12292" width="10.5" style="207" customWidth="1"/>
    <col min="12293" max="12293" width="11.25" style="207" bestFit="1" customWidth="1"/>
    <col min="12294" max="12295" width="9" style="207"/>
    <col min="12296" max="12305" width="9" style="207" customWidth="1"/>
    <col min="12306" max="12306" width="9" style="207"/>
    <col min="12307" max="12307" width="9.5" style="207" bestFit="1" customWidth="1"/>
    <col min="12308" max="12308" width="9" style="207" customWidth="1"/>
    <col min="12309" max="12309" width="9" style="207"/>
    <col min="12310" max="12310" width="9" style="207" customWidth="1"/>
    <col min="12311" max="12316" width="9" style="207"/>
    <col min="12317" max="12317" width="26.5" style="207" customWidth="1"/>
    <col min="12318" max="12320" width="9" style="207"/>
    <col min="12321" max="12321" width="14.75" style="207" bestFit="1" customWidth="1"/>
    <col min="12322" max="12544" width="9" style="207"/>
    <col min="12545" max="12547" width="9" style="207" customWidth="1"/>
    <col min="12548" max="12548" width="10.5" style="207" customWidth="1"/>
    <col min="12549" max="12549" width="11.25" style="207" bestFit="1" customWidth="1"/>
    <col min="12550" max="12551" width="9" style="207"/>
    <col min="12552" max="12561" width="9" style="207" customWidth="1"/>
    <col min="12562" max="12562" width="9" style="207"/>
    <col min="12563" max="12563" width="9.5" style="207" bestFit="1" customWidth="1"/>
    <col min="12564" max="12564" width="9" style="207" customWidth="1"/>
    <col min="12565" max="12565" width="9" style="207"/>
    <col min="12566" max="12566" width="9" style="207" customWidth="1"/>
    <col min="12567" max="12572" width="9" style="207"/>
    <col min="12573" max="12573" width="26.5" style="207" customWidth="1"/>
    <col min="12574" max="12576" width="9" style="207"/>
    <col min="12577" max="12577" width="14.75" style="207" bestFit="1" customWidth="1"/>
    <col min="12578" max="12800" width="9" style="207"/>
    <col min="12801" max="12803" width="9" style="207" customWidth="1"/>
    <col min="12804" max="12804" width="10.5" style="207" customWidth="1"/>
    <col min="12805" max="12805" width="11.25" style="207" bestFit="1" customWidth="1"/>
    <col min="12806" max="12807" width="9" style="207"/>
    <col min="12808" max="12817" width="9" style="207" customWidth="1"/>
    <col min="12818" max="12818" width="9" style="207"/>
    <col min="12819" max="12819" width="9.5" style="207" bestFit="1" customWidth="1"/>
    <col min="12820" max="12820" width="9" style="207" customWidth="1"/>
    <col min="12821" max="12821" width="9" style="207"/>
    <col min="12822" max="12822" width="9" style="207" customWidth="1"/>
    <col min="12823" max="12828" width="9" style="207"/>
    <col min="12829" max="12829" width="26.5" style="207" customWidth="1"/>
    <col min="12830" max="12832" width="9" style="207"/>
    <col min="12833" max="12833" width="14.75" style="207" bestFit="1" customWidth="1"/>
    <col min="12834" max="13056" width="9" style="207"/>
    <col min="13057" max="13059" width="9" style="207" customWidth="1"/>
    <col min="13060" max="13060" width="10.5" style="207" customWidth="1"/>
    <col min="13061" max="13061" width="11.25" style="207" bestFit="1" customWidth="1"/>
    <col min="13062" max="13063" width="9" style="207"/>
    <col min="13064" max="13073" width="9" style="207" customWidth="1"/>
    <col min="13074" max="13074" width="9" style="207"/>
    <col min="13075" max="13075" width="9.5" style="207" bestFit="1" customWidth="1"/>
    <col min="13076" max="13076" width="9" style="207" customWidth="1"/>
    <col min="13077" max="13077" width="9" style="207"/>
    <col min="13078" max="13078" width="9" style="207" customWidth="1"/>
    <col min="13079" max="13084" width="9" style="207"/>
    <col min="13085" max="13085" width="26.5" style="207" customWidth="1"/>
    <col min="13086" max="13088" width="9" style="207"/>
    <col min="13089" max="13089" width="14.75" style="207" bestFit="1" customWidth="1"/>
    <col min="13090" max="13312" width="9" style="207"/>
    <col min="13313" max="13315" width="9" style="207" customWidth="1"/>
    <col min="13316" max="13316" width="10.5" style="207" customWidth="1"/>
    <col min="13317" max="13317" width="11.25" style="207" bestFit="1" customWidth="1"/>
    <col min="13318" max="13319" width="9" style="207"/>
    <col min="13320" max="13329" width="9" style="207" customWidth="1"/>
    <col min="13330" max="13330" width="9" style="207"/>
    <col min="13331" max="13331" width="9.5" style="207" bestFit="1" customWidth="1"/>
    <col min="13332" max="13332" width="9" style="207" customWidth="1"/>
    <col min="13333" max="13333" width="9" style="207"/>
    <col min="13334" max="13334" width="9" style="207" customWidth="1"/>
    <col min="13335" max="13340" width="9" style="207"/>
    <col min="13341" max="13341" width="26.5" style="207" customWidth="1"/>
    <col min="13342" max="13344" width="9" style="207"/>
    <col min="13345" max="13345" width="14.75" style="207" bestFit="1" customWidth="1"/>
    <col min="13346" max="13568" width="9" style="207"/>
    <col min="13569" max="13571" width="9" style="207" customWidth="1"/>
    <col min="13572" max="13572" width="10.5" style="207" customWidth="1"/>
    <col min="13573" max="13573" width="11.25" style="207" bestFit="1" customWidth="1"/>
    <col min="13574" max="13575" width="9" style="207"/>
    <col min="13576" max="13585" width="9" style="207" customWidth="1"/>
    <col min="13586" max="13586" width="9" style="207"/>
    <col min="13587" max="13587" width="9.5" style="207" bestFit="1" customWidth="1"/>
    <col min="13588" max="13588" width="9" style="207" customWidth="1"/>
    <col min="13589" max="13589" width="9" style="207"/>
    <col min="13590" max="13590" width="9" style="207" customWidth="1"/>
    <col min="13591" max="13596" width="9" style="207"/>
    <col min="13597" max="13597" width="26.5" style="207" customWidth="1"/>
    <col min="13598" max="13600" width="9" style="207"/>
    <col min="13601" max="13601" width="14.75" style="207" bestFit="1" customWidth="1"/>
    <col min="13602" max="13824" width="9" style="207"/>
    <col min="13825" max="13827" width="9" style="207" customWidth="1"/>
    <col min="13828" max="13828" width="10.5" style="207" customWidth="1"/>
    <col min="13829" max="13829" width="11.25" style="207" bestFit="1" customWidth="1"/>
    <col min="13830" max="13831" width="9" style="207"/>
    <col min="13832" max="13841" width="9" style="207" customWidth="1"/>
    <col min="13842" max="13842" width="9" style="207"/>
    <col min="13843" max="13843" width="9.5" style="207" bestFit="1" customWidth="1"/>
    <col min="13844" max="13844" width="9" style="207" customWidth="1"/>
    <col min="13845" max="13845" width="9" style="207"/>
    <col min="13846" max="13846" width="9" style="207" customWidth="1"/>
    <col min="13847" max="13852" width="9" style="207"/>
    <col min="13853" max="13853" width="26.5" style="207" customWidth="1"/>
    <col min="13854" max="13856" width="9" style="207"/>
    <col min="13857" max="13857" width="14.75" style="207" bestFit="1" customWidth="1"/>
    <col min="13858" max="14080" width="9" style="207"/>
    <col min="14081" max="14083" width="9" style="207" customWidth="1"/>
    <col min="14084" max="14084" width="10.5" style="207" customWidth="1"/>
    <col min="14085" max="14085" width="11.25" style="207" bestFit="1" customWidth="1"/>
    <col min="14086" max="14087" width="9" style="207"/>
    <col min="14088" max="14097" width="9" style="207" customWidth="1"/>
    <col min="14098" max="14098" width="9" style="207"/>
    <col min="14099" max="14099" width="9.5" style="207" bestFit="1" customWidth="1"/>
    <col min="14100" max="14100" width="9" style="207" customWidth="1"/>
    <col min="14101" max="14101" width="9" style="207"/>
    <col min="14102" max="14102" width="9" style="207" customWidth="1"/>
    <col min="14103" max="14108" width="9" style="207"/>
    <col min="14109" max="14109" width="26.5" style="207" customWidth="1"/>
    <col min="14110" max="14112" width="9" style="207"/>
    <col min="14113" max="14113" width="14.75" style="207" bestFit="1" customWidth="1"/>
    <col min="14114" max="14336" width="9" style="207"/>
    <col min="14337" max="14339" width="9" style="207" customWidth="1"/>
    <col min="14340" max="14340" width="10.5" style="207" customWidth="1"/>
    <col min="14341" max="14341" width="11.25" style="207" bestFit="1" customWidth="1"/>
    <col min="14342" max="14343" width="9" style="207"/>
    <col min="14344" max="14353" width="9" style="207" customWidth="1"/>
    <col min="14354" max="14354" width="9" style="207"/>
    <col min="14355" max="14355" width="9.5" style="207" bestFit="1" customWidth="1"/>
    <col min="14356" max="14356" width="9" style="207" customWidth="1"/>
    <col min="14357" max="14357" width="9" style="207"/>
    <col min="14358" max="14358" width="9" style="207" customWidth="1"/>
    <col min="14359" max="14364" width="9" style="207"/>
    <col min="14365" max="14365" width="26.5" style="207" customWidth="1"/>
    <col min="14366" max="14368" width="9" style="207"/>
    <col min="14369" max="14369" width="14.75" style="207" bestFit="1" customWidth="1"/>
    <col min="14370" max="14592" width="9" style="207"/>
    <col min="14593" max="14595" width="9" style="207" customWidth="1"/>
    <col min="14596" max="14596" width="10.5" style="207" customWidth="1"/>
    <col min="14597" max="14597" width="11.25" style="207" bestFit="1" customWidth="1"/>
    <col min="14598" max="14599" width="9" style="207"/>
    <col min="14600" max="14609" width="9" style="207" customWidth="1"/>
    <col min="14610" max="14610" width="9" style="207"/>
    <col min="14611" max="14611" width="9.5" style="207" bestFit="1" customWidth="1"/>
    <col min="14612" max="14612" width="9" style="207" customWidth="1"/>
    <col min="14613" max="14613" width="9" style="207"/>
    <col min="14614" max="14614" width="9" style="207" customWidth="1"/>
    <col min="14615" max="14620" width="9" style="207"/>
    <col min="14621" max="14621" width="26.5" style="207" customWidth="1"/>
    <col min="14622" max="14624" width="9" style="207"/>
    <col min="14625" max="14625" width="14.75" style="207" bestFit="1" customWidth="1"/>
    <col min="14626" max="14848" width="9" style="207"/>
    <col min="14849" max="14851" width="9" style="207" customWidth="1"/>
    <col min="14852" max="14852" width="10.5" style="207" customWidth="1"/>
    <col min="14853" max="14853" width="11.25" style="207" bestFit="1" customWidth="1"/>
    <col min="14854" max="14855" width="9" style="207"/>
    <col min="14856" max="14865" width="9" style="207" customWidth="1"/>
    <col min="14866" max="14866" width="9" style="207"/>
    <col min="14867" max="14867" width="9.5" style="207" bestFit="1" customWidth="1"/>
    <col min="14868" max="14868" width="9" style="207" customWidth="1"/>
    <col min="14869" max="14869" width="9" style="207"/>
    <col min="14870" max="14870" width="9" style="207" customWidth="1"/>
    <col min="14871" max="14876" width="9" style="207"/>
    <col min="14877" max="14877" width="26.5" style="207" customWidth="1"/>
    <col min="14878" max="14880" width="9" style="207"/>
    <col min="14881" max="14881" width="14.75" style="207" bestFit="1" customWidth="1"/>
    <col min="14882" max="15104" width="9" style="207"/>
    <col min="15105" max="15107" width="9" style="207" customWidth="1"/>
    <col min="15108" max="15108" width="10.5" style="207" customWidth="1"/>
    <col min="15109" max="15109" width="11.25" style="207" bestFit="1" customWidth="1"/>
    <col min="15110" max="15111" width="9" style="207"/>
    <col min="15112" max="15121" width="9" style="207" customWidth="1"/>
    <col min="15122" max="15122" width="9" style="207"/>
    <col min="15123" max="15123" width="9.5" style="207" bestFit="1" customWidth="1"/>
    <col min="15124" max="15124" width="9" style="207" customWidth="1"/>
    <col min="15125" max="15125" width="9" style="207"/>
    <col min="15126" max="15126" width="9" style="207" customWidth="1"/>
    <col min="15127" max="15132" width="9" style="207"/>
    <col min="15133" max="15133" width="26.5" style="207" customWidth="1"/>
    <col min="15134" max="15136" width="9" style="207"/>
    <col min="15137" max="15137" width="14.75" style="207" bestFit="1" customWidth="1"/>
    <col min="15138" max="15360" width="9" style="207"/>
    <col min="15361" max="15363" width="9" style="207" customWidth="1"/>
    <col min="15364" max="15364" width="10.5" style="207" customWidth="1"/>
    <col min="15365" max="15365" width="11.25" style="207" bestFit="1" customWidth="1"/>
    <col min="15366" max="15367" width="9" style="207"/>
    <col min="15368" max="15377" width="9" style="207" customWidth="1"/>
    <col min="15378" max="15378" width="9" style="207"/>
    <col min="15379" max="15379" width="9.5" style="207" bestFit="1" customWidth="1"/>
    <col min="15380" max="15380" width="9" style="207" customWidth="1"/>
    <col min="15381" max="15381" width="9" style="207"/>
    <col min="15382" max="15382" width="9" style="207" customWidth="1"/>
    <col min="15383" max="15388" width="9" style="207"/>
    <col min="15389" max="15389" width="26.5" style="207" customWidth="1"/>
    <col min="15390" max="15392" width="9" style="207"/>
    <col min="15393" max="15393" width="14.75" style="207" bestFit="1" customWidth="1"/>
    <col min="15394" max="15616" width="9" style="207"/>
    <col min="15617" max="15619" width="9" style="207" customWidth="1"/>
    <col min="15620" max="15620" width="10.5" style="207" customWidth="1"/>
    <col min="15621" max="15621" width="11.25" style="207" bestFit="1" customWidth="1"/>
    <col min="15622" max="15623" width="9" style="207"/>
    <col min="15624" max="15633" width="9" style="207" customWidth="1"/>
    <col min="15634" max="15634" width="9" style="207"/>
    <col min="15635" max="15635" width="9.5" style="207" bestFit="1" customWidth="1"/>
    <col min="15636" max="15636" width="9" style="207" customWidth="1"/>
    <col min="15637" max="15637" width="9" style="207"/>
    <col min="15638" max="15638" width="9" style="207" customWidth="1"/>
    <col min="15639" max="15644" width="9" style="207"/>
    <col min="15645" max="15645" width="26.5" style="207" customWidth="1"/>
    <col min="15646" max="15648" width="9" style="207"/>
    <col min="15649" max="15649" width="14.75" style="207" bestFit="1" customWidth="1"/>
    <col min="15650" max="15872" width="9" style="207"/>
    <col min="15873" max="15875" width="9" style="207" customWidth="1"/>
    <col min="15876" max="15876" width="10.5" style="207" customWidth="1"/>
    <col min="15877" max="15877" width="11.25" style="207" bestFit="1" customWidth="1"/>
    <col min="15878" max="15879" width="9" style="207"/>
    <col min="15880" max="15889" width="9" style="207" customWidth="1"/>
    <col min="15890" max="15890" width="9" style="207"/>
    <col min="15891" max="15891" width="9.5" style="207" bestFit="1" customWidth="1"/>
    <col min="15892" max="15892" width="9" style="207" customWidth="1"/>
    <col min="15893" max="15893" width="9" style="207"/>
    <col min="15894" max="15894" width="9" style="207" customWidth="1"/>
    <col min="15895" max="15900" width="9" style="207"/>
    <col min="15901" max="15901" width="26.5" style="207" customWidth="1"/>
    <col min="15902" max="15904" width="9" style="207"/>
    <col min="15905" max="15905" width="14.75" style="207" bestFit="1" customWidth="1"/>
    <col min="15906" max="16128" width="9" style="207"/>
    <col min="16129" max="16131" width="9" style="207" customWidth="1"/>
    <col min="16132" max="16132" width="10.5" style="207" customWidth="1"/>
    <col min="16133" max="16133" width="11.25" style="207" bestFit="1" customWidth="1"/>
    <col min="16134" max="16135" width="9" style="207"/>
    <col min="16136" max="16145" width="9" style="207" customWidth="1"/>
    <col min="16146" max="16146" width="9" style="207"/>
    <col min="16147" max="16147" width="9.5" style="207" bestFit="1" customWidth="1"/>
    <col min="16148" max="16148" width="9" style="207" customWidth="1"/>
    <col min="16149" max="16149" width="9" style="207"/>
    <col min="16150" max="16150" width="9" style="207" customWidth="1"/>
    <col min="16151" max="16156" width="9" style="207"/>
    <col min="16157" max="16157" width="26.5" style="207" customWidth="1"/>
    <col min="16158" max="16160" width="9" style="207"/>
    <col min="16161" max="16161" width="14.75" style="207" bestFit="1" customWidth="1"/>
    <col min="16162" max="16384" width="9" style="207"/>
  </cols>
  <sheetData>
    <row r="1" spans="1:53" ht="44.25" customHeight="1" x14ac:dyDescent="0.15">
      <c r="A1" s="133" t="s">
        <v>238</v>
      </c>
      <c r="B1" s="201" t="s">
        <v>1</v>
      </c>
      <c r="C1" s="201" t="s">
        <v>157</v>
      </c>
      <c r="D1" s="202" t="s">
        <v>3</v>
      </c>
      <c r="E1" s="202" t="s">
        <v>239</v>
      </c>
      <c r="F1" s="202" t="s">
        <v>5</v>
      </c>
      <c r="G1" s="202" t="s">
        <v>6</v>
      </c>
      <c r="H1" s="202" t="s">
        <v>240</v>
      </c>
      <c r="I1" s="202" t="s">
        <v>8</v>
      </c>
      <c r="J1" s="202" t="s">
        <v>9</v>
      </c>
      <c r="K1" s="202" t="s">
        <v>10</v>
      </c>
      <c r="L1" s="202" t="s">
        <v>158</v>
      </c>
      <c r="M1" s="202" t="s">
        <v>12</v>
      </c>
      <c r="N1" s="202" t="s">
        <v>13</v>
      </c>
      <c r="O1" s="202" t="s">
        <v>159</v>
      </c>
      <c r="P1" s="202" t="s">
        <v>15</v>
      </c>
      <c r="Q1" s="203" t="s">
        <v>16</v>
      </c>
      <c r="R1" s="202" t="s">
        <v>17</v>
      </c>
      <c r="S1" s="202" t="s">
        <v>18</v>
      </c>
      <c r="T1" s="203" t="s">
        <v>19</v>
      </c>
      <c r="U1" s="204" t="s">
        <v>108</v>
      </c>
      <c r="V1" s="205" t="s">
        <v>20</v>
      </c>
      <c r="W1" s="202" t="s">
        <v>21</v>
      </c>
      <c r="X1" s="202" t="s">
        <v>22</v>
      </c>
      <c r="Y1" s="202" t="s">
        <v>23</v>
      </c>
      <c r="Z1" s="202" t="s">
        <v>24</v>
      </c>
      <c r="AA1" s="134" t="s">
        <v>25</v>
      </c>
      <c r="AB1" s="135" t="s">
        <v>26</v>
      </c>
      <c r="AC1" s="136"/>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30</v>
      </c>
      <c r="AY1" s="213" t="s">
        <v>160</v>
      </c>
      <c r="AZ1" s="213" t="s">
        <v>161</v>
      </c>
      <c r="BA1" s="214" t="s">
        <v>33</v>
      </c>
    </row>
    <row r="2" spans="1:53" s="143" customFormat="1" x14ac:dyDescent="0.15">
      <c r="A2" s="137" t="s">
        <v>61</v>
      </c>
      <c r="B2" s="137" t="s">
        <v>335</v>
      </c>
      <c r="C2" s="137">
        <v>2018</v>
      </c>
      <c r="D2" s="138" t="s">
        <v>432</v>
      </c>
      <c r="E2" s="137" t="s">
        <v>242</v>
      </c>
      <c r="F2" s="137" t="s">
        <v>241</v>
      </c>
      <c r="G2" s="137" t="s">
        <v>42</v>
      </c>
      <c r="H2" s="246" t="s">
        <v>155</v>
      </c>
      <c r="I2" s="246" t="s">
        <v>153</v>
      </c>
      <c r="J2" s="137" t="s">
        <v>38</v>
      </c>
      <c r="K2" s="246" t="s">
        <v>154</v>
      </c>
      <c r="L2" s="246">
        <v>1</v>
      </c>
      <c r="M2" s="246"/>
      <c r="N2" s="246">
        <v>1</v>
      </c>
      <c r="O2" s="246">
        <v>0.6</v>
      </c>
      <c r="P2" s="246">
        <v>0.65</v>
      </c>
      <c r="Q2" s="139">
        <f t="shared" ref="Q2:Q65" si="0">IF(OR(O2="",P2=""),"",AVERAGE(O2,P2))</f>
        <v>0.625</v>
      </c>
      <c r="R2" s="246">
        <v>15.9</v>
      </c>
      <c r="S2" s="246">
        <v>97</v>
      </c>
      <c r="T2" s="140">
        <f t="shared" ref="T2:T65" si="1">IF(H2="","",IF(OR(H2="GREEN",H2="GK"),IF(S2&gt;=$AX$2,VLOOKUP(S2,$AX$2:$AY$15,2,1),""),IF(S2&gt;=$AZ$2,VLOOKUP(S2,$AZ$2:$BA$15,2,1),"")))</f>
        <v>36</v>
      </c>
      <c r="U2" s="246">
        <v>81</v>
      </c>
      <c r="V2" s="141">
        <f t="shared" ref="V2:V65" si="2">IF(OR(N2="",U2="",T2=""),"",U2/N2*T2)</f>
        <v>2916</v>
      </c>
      <c r="W2" s="246">
        <v>4</v>
      </c>
      <c r="X2" s="137" t="s">
        <v>39</v>
      </c>
      <c r="Y2" s="246" t="s">
        <v>102</v>
      </c>
      <c r="Z2" s="246" t="s">
        <v>90</v>
      </c>
      <c r="AA2" s="246" t="s">
        <v>50</v>
      </c>
      <c r="AB2" s="137" t="s">
        <v>337</v>
      </c>
      <c r="AC2" s="142"/>
      <c r="AE2" s="217" t="s">
        <v>35</v>
      </c>
      <c r="AG2" s="49" t="s">
        <v>242</v>
      </c>
      <c r="AH2" s="49" t="s">
        <v>241</v>
      </c>
      <c r="AJ2" s="144" t="s">
        <v>36</v>
      </c>
      <c r="AL2" s="218" t="s">
        <v>127</v>
      </c>
      <c r="AN2" s="144" t="s">
        <v>37</v>
      </c>
      <c r="AP2" s="218" t="s">
        <v>38</v>
      </c>
      <c r="AR2" s="218" t="s">
        <v>120</v>
      </c>
      <c r="AT2" s="144" t="s">
        <v>39</v>
      </c>
      <c r="AV2" s="218" t="s">
        <v>40</v>
      </c>
      <c r="AX2" s="145">
        <v>1</v>
      </c>
      <c r="AY2" s="146">
        <v>50</v>
      </c>
      <c r="AZ2" s="146">
        <v>1</v>
      </c>
      <c r="BA2" s="147">
        <v>50</v>
      </c>
    </row>
    <row r="3" spans="1:53" x14ac:dyDescent="0.15">
      <c r="A3" s="137" t="s">
        <v>61</v>
      </c>
      <c r="B3" s="137" t="s">
        <v>335</v>
      </c>
      <c r="C3" s="137">
        <v>2018</v>
      </c>
      <c r="D3" s="138" t="s">
        <v>432</v>
      </c>
      <c r="E3" s="137" t="s">
        <v>242</v>
      </c>
      <c r="F3" s="137" t="s">
        <v>241</v>
      </c>
      <c r="G3" s="137" t="s">
        <v>42</v>
      </c>
      <c r="H3" s="246" t="s">
        <v>155</v>
      </c>
      <c r="I3" s="246" t="s">
        <v>153</v>
      </c>
      <c r="J3" s="137" t="s">
        <v>38</v>
      </c>
      <c r="K3" s="246" t="s">
        <v>154</v>
      </c>
      <c r="L3" s="246">
        <v>2</v>
      </c>
      <c r="M3" s="246"/>
      <c r="N3" s="246">
        <v>1</v>
      </c>
      <c r="O3" s="246">
        <v>0.65</v>
      </c>
      <c r="P3" s="246">
        <v>0.6</v>
      </c>
      <c r="Q3" s="139">
        <f t="shared" si="0"/>
        <v>0.625</v>
      </c>
      <c r="R3" s="246">
        <v>16.3</v>
      </c>
      <c r="S3" s="246">
        <v>102</v>
      </c>
      <c r="T3" s="140">
        <f t="shared" si="1"/>
        <v>33</v>
      </c>
      <c r="U3" s="246">
        <v>81</v>
      </c>
      <c r="V3" s="141">
        <f t="shared" si="2"/>
        <v>2673</v>
      </c>
      <c r="W3" s="246">
        <v>4</v>
      </c>
      <c r="X3" s="137" t="s">
        <v>39</v>
      </c>
      <c r="Y3" s="246" t="s">
        <v>102</v>
      </c>
      <c r="Z3" s="246" t="s">
        <v>90</v>
      </c>
      <c r="AA3" s="246" t="s">
        <v>50</v>
      </c>
      <c r="AB3" s="137" t="s">
        <v>337</v>
      </c>
      <c r="AC3" s="142"/>
      <c r="AE3" s="222" t="s">
        <v>41</v>
      </c>
      <c r="AG3" s="49" t="s">
        <v>243</v>
      </c>
      <c r="AH3" s="49" t="s">
        <v>244</v>
      </c>
      <c r="AJ3" s="223" t="s">
        <v>42</v>
      </c>
      <c r="AL3" s="223" t="s">
        <v>128</v>
      </c>
      <c r="AN3" s="223" t="s">
        <v>43</v>
      </c>
      <c r="AP3" s="223" t="s">
        <v>44</v>
      </c>
      <c r="AR3" s="237" t="s">
        <v>45</v>
      </c>
      <c r="AT3" s="223" t="s">
        <v>46</v>
      </c>
      <c r="AV3" s="237" t="s">
        <v>47</v>
      </c>
      <c r="AX3" s="224">
        <v>72</v>
      </c>
      <c r="AY3" s="225">
        <v>46</v>
      </c>
      <c r="AZ3" s="225">
        <v>71</v>
      </c>
      <c r="BA3" s="226">
        <v>42</v>
      </c>
    </row>
    <row r="4" spans="1:53" x14ac:dyDescent="0.15">
      <c r="A4" s="137" t="s">
        <v>61</v>
      </c>
      <c r="B4" s="137" t="s">
        <v>335</v>
      </c>
      <c r="C4" s="137">
        <v>2018</v>
      </c>
      <c r="D4" s="138" t="s">
        <v>432</v>
      </c>
      <c r="E4" s="137" t="s">
        <v>242</v>
      </c>
      <c r="F4" s="137" t="s">
        <v>241</v>
      </c>
      <c r="G4" s="137" t="s">
        <v>42</v>
      </c>
      <c r="H4" s="246" t="s">
        <v>155</v>
      </c>
      <c r="I4" s="246" t="s">
        <v>153</v>
      </c>
      <c r="J4" s="137" t="s">
        <v>38</v>
      </c>
      <c r="K4" s="246" t="s">
        <v>154</v>
      </c>
      <c r="L4" s="246">
        <v>3</v>
      </c>
      <c r="M4" s="246"/>
      <c r="N4" s="246">
        <v>1</v>
      </c>
      <c r="O4" s="246">
        <v>0.5</v>
      </c>
      <c r="P4" s="246">
        <v>0.5</v>
      </c>
      <c r="Q4" s="139">
        <f t="shared" si="0"/>
        <v>0.5</v>
      </c>
      <c r="R4" s="246">
        <v>16.399999999999999</v>
      </c>
      <c r="S4" s="246">
        <v>101</v>
      </c>
      <c r="T4" s="140">
        <f t="shared" si="1"/>
        <v>33</v>
      </c>
      <c r="U4" s="246">
        <v>81</v>
      </c>
      <c r="V4" s="141">
        <f t="shared" si="2"/>
        <v>2673</v>
      </c>
      <c r="W4" s="246">
        <v>4</v>
      </c>
      <c r="X4" s="137" t="s">
        <v>39</v>
      </c>
      <c r="Y4" s="246" t="s">
        <v>102</v>
      </c>
      <c r="Z4" s="246" t="s">
        <v>90</v>
      </c>
      <c r="AA4" s="246" t="s">
        <v>50</v>
      </c>
      <c r="AB4" s="137" t="s">
        <v>337</v>
      </c>
      <c r="AC4" s="142"/>
      <c r="AE4" s="222" t="s">
        <v>34</v>
      </c>
      <c r="AG4" s="49" t="s">
        <v>245</v>
      </c>
      <c r="AH4" s="49" t="s">
        <v>246</v>
      </c>
      <c r="AJ4" s="227" t="s">
        <v>48</v>
      </c>
      <c r="AL4" s="227" t="s">
        <v>129</v>
      </c>
      <c r="AN4" s="228" t="s">
        <v>49</v>
      </c>
      <c r="AP4" s="223" t="s">
        <v>93</v>
      </c>
      <c r="AR4" s="237" t="s">
        <v>121</v>
      </c>
      <c r="AT4" s="228"/>
      <c r="AV4" s="237" t="s">
        <v>50</v>
      </c>
      <c r="AX4" s="224">
        <v>75</v>
      </c>
      <c r="AY4" s="225">
        <v>42</v>
      </c>
      <c r="AZ4" s="225">
        <v>76</v>
      </c>
      <c r="BA4" s="226">
        <v>39</v>
      </c>
    </row>
    <row r="5" spans="1:53" x14ac:dyDescent="0.15">
      <c r="A5" s="137" t="s">
        <v>61</v>
      </c>
      <c r="B5" s="137" t="s">
        <v>335</v>
      </c>
      <c r="C5" s="137">
        <v>2018</v>
      </c>
      <c r="D5" s="138" t="s">
        <v>432</v>
      </c>
      <c r="E5" s="137" t="s">
        <v>242</v>
      </c>
      <c r="F5" s="137" t="s">
        <v>241</v>
      </c>
      <c r="G5" s="137" t="s">
        <v>42</v>
      </c>
      <c r="H5" s="246" t="s">
        <v>162</v>
      </c>
      <c r="I5" s="246" t="s">
        <v>153</v>
      </c>
      <c r="J5" s="137" t="s">
        <v>38</v>
      </c>
      <c r="K5" s="246" t="s">
        <v>154</v>
      </c>
      <c r="L5" s="246">
        <v>1</v>
      </c>
      <c r="M5" s="246"/>
      <c r="N5" s="246">
        <v>1</v>
      </c>
      <c r="O5" s="246">
        <v>0.5</v>
      </c>
      <c r="P5" s="246">
        <v>0.5</v>
      </c>
      <c r="Q5" s="139">
        <f t="shared" si="0"/>
        <v>0.5</v>
      </c>
      <c r="R5" s="246">
        <v>17.399999999999999</v>
      </c>
      <c r="S5" s="246">
        <v>130</v>
      </c>
      <c r="T5" s="140">
        <f t="shared" si="1"/>
        <v>25</v>
      </c>
      <c r="U5" s="246">
        <v>166</v>
      </c>
      <c r="V5" s="141">
        <f t="shared" si="2"/>
        <v>4150</v>
      </c>
      <c r="W5" s="246">
        <v>4</v>
      </c>
      <c r="X5" s="137" t="s">
        <v>39</v>
      </c>
      <c r="Y5" s="246" t="s">
        <v>102</v>
      </c>
      <c r="Z5" s="246" t="s">
        <v>90</v>
      </c>
      <c r="AA5" s="246" t="s">
        <v>50</v>
      </c>
      <c r="AB5" s="137" t="s">
        <v>337</v>
      </c>
      <c r="AC5" s="142"/>
      <c r="AE5" s="222" t="s">
        <v>51</v>
      </c>
      <c r="AG5" s="49" t="s">
        <v>247</v>
      </c>
      <c r="AH5" s="49" t="s">
        <v>248</v>
      </c>
      <c r="AJ5" s="227"/>
      <c r="AL5" s="229" t="s">
        <v>163</v>
      </c>
      <c r="AN5" s="229" t="s">
        <v>164</v>
      </c>
      <c r="AP5" s="223" t="s">
        <v>119</v>
      </c>
      <c r="AR5" s="237" t="s">
        <v>54</v>
      </c>
      <c r="AT5" s="246"/>
      <c r="AV5" s="237" t="s">
        <v>55</v>
      </c>
      <c r="AX5" s="224">
        <v>84</v>
      </c>
      <c r="AY5" s="225">
        <v>39</v>
      </c>
      <c r="AZ5" s="225">
        <v>84</v>
      </c>
      <c r="BA5" s="226">
        <v>36</v>
      </c>
    </row>
    <row r="6" spans="1:53" x14ac:dyDescent="0.15">
      <c r="A6" s="137" t="s">
        <v>61</v>
      </c>
      <c r="B6" s="137" t="s">
        <v>335</v>
      </c>
      <c r="C6" s="137">
        <v>2018</v>
      </c>
      <c r="D6" s="138" t="s">
        <v>432</v>
      </c>
      <c r="E6" s="137" t="s">
        <v>242</v>
      </c>
      <c r="F6" s="137" t="s">
        <v>241</v>
      </c>
      <c r="G6" s="137" t="s">
        <v>42</v>
      </c>
      <c r="H6" s="246" t="s">
        <v>162</v>
      </c>
      <c r="I6" s="246" t="s">
        <v>153</v>
      </c>
      <c r="J6" s="137" t="s">
        <v>38</v>
      </c>
      <c r="K6" s="246" t="s">
        <v>154</v>
      </c>
      <c r="L6" s="246">
        <v>2</v>
      </c>
      <c r="M6" s="246"/>
      <c r="N6" s="246">
        <v>1</v>
      </c>
      <c r="O6" s="246">
        <v>0.5</v>
      </c>
      <c r="P6" s="246">
        <v>0.5</v>
      </c>
      <c r="Q6" s="139">
        <f t="shared" si="0"/>
        <v>0.5</v>
      </c>
      <c r="R6" s="246">
        <v>17.100000000000001</v>
      </c>
      <c r="S6" s="246">
        <v>128</v>
      </c>
      <c r="T6" s="140">
        <f t="shared" si="1"/>
        <v>27</v>
      </c>
      <c r="U6" s="246">
        <v>166</v>
      </c>
      <c r="V6" s="141">
        <f t="shared" si="2"/>
        <v>4482</v>
      </c>
      <c r="W6" s="246">
        <v>4</v>
      </c>
      <c r="X6" s="137" t="s">
        <v>39</v>
      </c>
      <c r="Y6" s="246" t="s">
        <v>102</v>
      </c>
      <c r="Z6" s="246" t="s">
        <v>90</v>
      </c>
      <c r="AA6" s="246" t="s">
        <v>50</v>
      </c>
      <c r="AB6" s="137" t="s">
        <v>337</v>
      </c>
      <c r="AC6" s="142"/>
      <c r="AE6" s="222" t="s">
        <v>56</v>
      </c>
      <c r="AG6" s="49" t="s">
        <v>249</v>
      </c>
      <c r="AH6" s="49" t="s">
        <v>250</v>
      </c>
      <c r="AJ6" s="227"/>
      <c r="AL6" s="229" t="s">
        <v>99</v>
      </c>
      <c r="AN6" s="229" t="s">
        <v>57</v>
      </c>
      <c r="AP6" s="223" t="s">
        <v>53</v>
      </c>
      <c r="AR6" s="237" t="s">
        <v>59</v>
      </c>
      <c r="AT6" s="246"/>
      <c r="AV6" s="237" t="s">
        <v>60</v>
      </c>
      <c r="AX6" s="224">
        <v>97</v>
      </c>
      <c r="AY6" s="225">
        <v>36</v>
      </c>
      <c r="AZ6" s="225">
        <v>99</v>
      </c>
      <c r="BA6" s="226">
        <v>33</v>
      </c>
    </row>
    <row r="7" spans="1:53" x14ac:dyDescent="0.15">
      <c r="A7" s="137" t="s">
        <v>61</v>
      </c>
      <c r="B7" s="137" t="s">
        <v>335</v>
      </c>
      <c r="C7" s="137">
        <v>2018</v>
      </c>
      <c r="D7" s="138" t="s">
        <v>432</v>
      </c>
      <c r="E7" s="137" t="s">
        <v>242</v>
      </c>
      <c r="F7" s="137" t="s">
        <v>241</v>
      </c>
      <c r="G7" s="137" t="s">
        <v>42</v>
      </c>
      <c r="H7" s="246" t="s">
        <v>162</v>
      </c>
      <c r="I7" s="246" t="s">
        <v>153</v>
      </c>
      <c r="J7" s="137" t="s">
        <v>38</v>
      </c>
      <c r="K7" s="246" t="s">
        <v>154</v>
      </c>
      <c r="L7" s="246">
        <v>3</v>
      </c>
      <c r="M7" s="246"/>
      <c r="N7" s="246">
        <v>1</v>
      </c>
      <c r="O7" s="246">
        <v>0.5</v>
      </c>
      <c r="P7" s="246">
        <v>0.5</v>
      </c>
      <c r="Q7" s="139">
        <f t="shared" si="0"/>
        <v>0.5</v>
      </c>
      <c r="R7" s="246">
        <v>17.600000000000001</v>
      </c>
      <c r="S7" s="246">
        <v>126</v>
      </c>
      <c r="T7" s="140">
        <f t="shared" si="1"/>
        <v>27</v>
      </c>
      <c r="U7" s="246">
        <v>166</v>
      </c>
      <c r="V7" s="141">
        <f t="shared" si="2"/>
        <v>4482</v>
      </c>
      <c r="W7" s="246">
        <v>4</v>
      </c>
      <c r="X7" s="137" t="s">
        <v>39</v>
      </c>
      <c r="Y7" s="246" t="s">
        <v>102</v>
      </c>
      <c r="Z7" s="246" t="s">
        <v>90</v>
      </c>
      <c r="AA7" s="246" t="s">
        <v>50</v>
      </c>
      <c r="AB7" s="137" t="s">
        <v>337</v>
      </c>
      <c r="AC7" s="142"/>
      <c r="AE7" s="222" t="s">
        <v>61</v>
      </c>
      <c r="AG7" s="49" t="s">
        <v>251</v>
      </c>
      <c r="AH7" s="49" t="s">
        <v>252</v>
      </c>
      <c r="AJ7" s="227"/>
      <c r="AL7" s="234" t="s">
        <v>109</v>
      </c>
      <c r="AN7" s="148"/>
      <c r="AP7" s="223" t="s">
        <v>58</v>
      </c>
      <c r="AR7" s="230" t="s">
        <v>122</v>
      </c>
      <c r="AT7" s="246"/>
      <c r="AV7" s="237" t="s">
        <v>64</v>
      </c>
      <c r="AX7" s="224">
        <v>109</v>
      </c>
      <c r="AY7" s="225">
        <v>33</v>
      </c>
      <c r="AZ7" s="225">
        <v>113</v>
      </c>
      <c r="BA7" s="226">
        <v>30</v>
      </c>
    </row>
    <row r="8" spans="1:53" x14ac:dyDescent="0.15">
      <c r="A8" s="137" t="s">
        <v>61</v>
      </c>
      <c r="B8" s="137" t="s">
        <v>402</v>
      </c>
      <c r="C8" s="137">
        <v>2018</v>
      </c>
      <c r="D8" s="138" t="s">
        <v>433</v>
      </c>
      <c r="E8" s="137" t="s">
        <v>243</v>
      </c>
      <c r="F8" s="137" t="s">
        <v>244</v>
      </c>
      <c r="G8" s="137" t="s">
        <v>42</v>
      </c>
      <c r="H8" s="246" t="s">
        <v>155</v>
      </c>
      <c r="I8" s="246" t="s">
        <v>153</v>
      </c>
      <c r="J8" s="137" t="s">
        <v>38</v>
      </c>
      <c r="K8" s="246" t="s">
        <v>154</v>
      </c>
      <c r="L8" s="246">
        <v>1</v>
      </c>
      <c r="M8" s="246"/>
      <c r="N8" s="246">
        <v>1</v>
      </c>
      <c r="O8" s="246">
        <v>0.9</v>
      </c>
      <c r="P8" s="246">
        <v>0.9</v>
      </c>
      <c r="Q8" s="139">
        <f t="shared" si="0"/>
        <v>0.9</v>
      </c>
      <c r="R8" s="246">
        <v>15.7</v>
      </c>
      <c r="S8" s="246">
        <v>142</v>
      </c>
      <c r="T8" s="140">
        <f t="shared" si="1"/>
        <v>22</v>
      </c>
      <c r="U8" s="246">
        <v>138</v>
      </c>
      <c r="V8" s="141">
        <f t="shared" si="2"/>
        <v>3036</v>
      </c>
      <c r="W8" s="246">
        <v>6</v>
      </c>
      <c r="X8" s="137" t="s">
        <v>46</v>
      </c>
      <c r="Y8" s="246" t="s">
        <v>84</v>
      </c>
      <c r="Z8" s="246" t="s">
        <v>90</v>
      </c>
      <c r="AA8" s="246" t="s">
        <v>69</v>
      </c>
      <c r="AB8" s="137" t="s">
        <v>434</v>
      </c>
      <c r="AC8" s="142"/>
      <c r="AE8" s="222" t="s">
        <v>59</v>
      </c>
      <c r="AG8" s="49" t="s">
        <v>253</v>
      </c>
      <c r="AH8" s="49" t="s">
        <v>254</v>
      </c>
      <c r="AJ8" s="228"/>
      <c r="AL8" s="142" t="s">
        <v>365</v>
      </c>
      <c r="AN8" s="229"/>
      <c r="AP8" s="223" t="s">
        <v>62</v>
      </c>
      <c r="AR8" s="237" t="s">
        <v>81</v>
      </c>
      <c r="AT8" s="246"/>
      <c r="AV8" s="237" t="s">
        <v>97</v>
      </c>
      <c r="AX8" s="224">
        <v>119</v>
      </c>
      <c r="AY8" s="225">
        <v>30</v>
      </c>
      <c r="AZ8" s="225">
        <v>121</v>
      </c>
      <c r="BA8" s="226">
        <v>27</v>
      </c>
    </row>
    <row r="9" spans="1:53" x14ac:dyDescent="0.15">
      <c r="A9" s="137" t="s">
        <v>61</v>
      </c>
      <c r="B9" s="137" t="s">
        <v>402</v>
      </c>
      <c r="C9" s="137">
        <v>2018</v>
      </c>
      <c r="D9" s="138" t="s">
        <v>433</v>
      </c>
      <c r="E9" s="137" t="s">
        <v>243</v>
      </c>
      <c r="F9" s="137" t="s">
        <v>244</v>
      </c>
      <c r="G9" s="137" t="s">
        <v>42</v>
      </c>
      <c r="H9" s="246" t="s">
        <v>155</v>
      </c>
      <c r="I9" s="246" t="s">
        <v>153</v>
      </c>
      <c r="J9" s="137" t="s">
        <v>38</v>
      </c>
      <c r="K9" s="246" t="s">
        <v>154</v>
      </c>
      <c r="L9" s="246">
        <v>2</v>
      </c>
      <c r="M9" s="246"/>
      <c r="N9" s="246">
        <v>1</v>
      </c>
      <c r="O9" s="246">
        <v>0.85</v>
      </c>
      <c r="P9" s="246">
        <v>0.8</v>
      </c>
      <c r="Q9" s="139">
        <f t="shared" si="0"/>
        <v>0.82499999999999996</v>
      </c>
      <c r="R9" s="246">
        <v>16.3</v>
      </c>
      <c r="S9" s="246">
        <v>137</v>
      </c>
      <c r="T9" s="140">
        <f t="shared" si="1"/>
        <v>25</v>
      </c>
      <c r="U9" s="246">
        <v>138</v>
      </c>
      <c r="V9" s="141">
        <f t="shared" si="2"/>
        <v>3450</v>
      </c>
      <c r="W9" s="246">
        <v>6</v>
      </c>
      <c r="X9" s="137" t="s">
        <v>46</v>
      </c>
      <c r="Y9" s="246" t="s">
        <v>84</v>
      </c>
      <c r="Z9" s="246" t="s">
        <v>90</v>
      </c>
      <c r="AA9" s="246" t="s">
        <v>69</v>
      </c>
      <c r="AB9" s="137" t="s">
        <v>434</v>
      </c>
      <c r="AC9" s="142"/>
      <c r="AE9" s="222" t="s">
        <v>98</v>
      </c>
      <c r="AG9" s="49" t="s">
        <v>133</v>
      </c>
      <c r="AH9" s="49" t="s">
        <v>255</v>
      </c>
      <c r="AJ9" s="246"/>
      <c r="AL9" s="229"/>
      <c r="AN9" s="229"/>
      <c r="AP9" s="223" t="s">
        <v>95</v>
      </c>
      <c r="AR9" s="230" t="s">
        <v>89</v>
      </c>
      <c r="AT9" s="246"/>
      <c r="AV9" s="237" t="s">
        <v>102</v>
      </c>
      <c r="AX9" s="224">
        <v>128</v>
      </c>
      <c r="AY9" s="225">
        <v>27</v>
      </c>
      <c r="AZ9" s="225">
        <v>129</v>
      </c>
      <c r="BA9" s="226">
        <v>25</v>
      </c>
    </row>
    <row r="10" spans="1:53" x14ac:dyDescent="0.15">
      <c r="A10" s="137" t="s">
        <v>61</v>
      </c>
      <c r="B10" s="137" t="s">
        <v>405</v>
      </c>
      <c r="C10" s="137">
        <v>2018</v>
      </c>
      <c r="D10" s="138" t="s">
        <v>435</v>
      </c>
      <c r="E10" s="137" t="s">
        <v>243</v>
      </c>
      <c r="F10" s="137" t="s">
        <v>244</v>
      </c>
      <c r="G10" s="137" t="s">
        <v>42</v>
      </c>
      <c r="H10" s="246" t="s">
        <v>155</v>
      </c>
      <c r="I10" s="246" t="s">
        <v>153</v>
      </c>
      <c r="J10" s="137" t="s">
        <v>38</v>
      </c>
      <c r="K10" s="246" t="s">
        <v>154</v>
      </c>
      <c r="L10" s="246">
        <v>3</v>
      </c>
      <c r="M10" s="246"/>
      <c r="N10" s="246">
        <v>1</v>
      </c>
      <c r="O10" s="246">
        <v>0.7</v>
      </c>
      <c r="P10" s="246">
        <v>0.7</v>
      </c>
      <c r="Q10" s="139">
        <f t="shared" si="0"/>
        <v>0.7</v>
      </c>
      <c r="R10" s="246">
        <v>16.399999999999999</v>
      </c>
      <c r="S10" s="246">
        <v>131</v>
      </c>
      <c r="T10" s="140">
        <f t="shared" si="1"/>
        <v>25</v>
      </c>
      <c r="U10" s="246">
        <v>138</v>
      </c>
      <c r="V10" s="141">
        <f t="shared" si="2"/>
        <v>3450</v>
      </c>
      <c r="W10" s="246">
        <v>6</v>
      </c>
      <c r="X10" s="137" t="s">
        <v>46</v>
      </c>
      <c r="Y10" s="246" t="s">
        <v>84</v>
      </c>
      <c r="Z10" s="246" t="s">
        <v>90</v>
      </c>
      <c r="AA10" s="246" t="s">
        <v>69</v>
      </c>
      <c r="AB10" s="137" t="s">
        <v>436</v>
      </c>
      <c r="AC10" s="142"/>
      <c r="AE10" s="222" t="s">
        <v>103</v>
      </c>
      <c r="AG10" s="49" t="s">
        <v>256</v>
      </c>
      <c r="AH10" s="49" t="s">
        <v>257</v>
      </c>
      <c r="AJ10" s="246"/>
      <c r="AL10" s="227"/>
      <c r="AN10" s="246"/>
      <c r="AP10" s="223" t="s">
        <v>100</v>
      </c>
      <c r="AR10" s="230" t="s">
        <v>123</v>
      </c>
      <c r="AT10" s="246"/>
      <c r="AV10" s="237" t="s">
        <v>106</v>
      </c>
      <c r="AX10" s="224">
        <v>138</v>
      </c>
      <c r="AY10" s="225">
        <v>25</v>
      </c>
      <c r="AZ10" s="225">
        <v>138</v>
      </c>
      <c r="BA10" s="226">
        <v>22</v>
      </c>
    </row>
    <row r="11" spans="1:53" x14ac:dyDescent="0.15">
      <c r="A11" s="137" t="s">
        <v>61</v>
      </c>
      <c r="B11" s="137" t="s">
        <v>405</v>
      </c>
      <c r="C11" s="137">
        <v>2018</v>
      </c>
      <c r="D11" s="138" t="s">
        <v>435</v>
      </c>
      <c r="E11" s="137" t="s">
        <v>243</v>
      </c>
      <c r="F11" s="137" t="s">
        <v>244</v>
      </c>
      <c r="G11" s="137" t="s">
        <v>42</v>
      </c>
      <c r="H11" s="246" t="s">
        <v>162</v>
      </c>
      <c r="I11" s="246" t="s">
        <v>153</v>
      </c>
      <c r="J11" s="137" t="s">
        <v>38</v>
      </c>
      <c r="K11" s="246" t="s">
        <v>154</v>
      </c>
      <c r="L11" s="246">
        <v>1</v>
      </c>
      <c r="M11" s="246"/>
      <c r="N11" s="246">
        <v>4</v>
      </c>
      <c r="O11" s="246">
        <v>0.5</v>
      </c>
      <c r="P11" s="246">
        <v>0.5</v>
      </c>
      <c r="Q11" s="139">
        <f t="shared" si="0"/>
        <v>0.5</v>
      </c>
      <c r="R11" s="246">
        <v>17.3</v>
      </c>
      <c r="S11" s="246">
        <v>90</v>
      </c>
      <c r="T11" s="140">
        <f t="shared" si="1"/>
        <v>36</v>
      </c>
      <c r="U11" s="246">
        <v>498</v>
      </c>
      <c r="V11" s="141">
        <f t="shared" si="2"/>
        <v>4482</v>
      </c>
      <c r="W11" s="246">
        <v>6</v>
      </c>
      <c r="X11" s="137" t="s">
        <v>46</v>
      </c>
      <c r="Y11" s="246" t="s">
        <v>84</v>
      </c>
      <c r="Z11" s="246" t="s">
        <v>90</v>
      </c>
      <c r="AA11" s="246" t="s">
        <v>69</v>
      </c>
      <c r="AB11" s="137" t="s">
        <v>436</v>
      </c>
      <c r="AC11" s="142"/>
      <c r="AE11" s="222" t="s">
        <v>65</v>
      </c>
      <c r="AG11" s="49" t="s">
        <v>258</v>
      </c>
      <c r="AH11" s="49" t="s">
        <v>257</v>
      </c>
      <c r="AJ11" s="246"/>
      <c r="AL11" s="149"/>
      <c r="AN11" s="246"/>
      <c r="AP11" s="223" t="s">
        <v>104</v>
      </c>
      <c r="AR11" s="230" t="s">
        <v>87</v>
      </c>
      <c r="AV11" s="150" t="s">
        <v>437</v>
      </c>
      <c r="AX11" s="224">
        <v>151</v>
      </c>
      <c r="AY11" s="225">
        <v>22</v>
      </c>
      <c r="AZ11" s="225">
        <v>152</v>
      </c>
      <c r="BA11" s="226">
        <v>18</v>
      </c>
    </row>
    <row r="12" spans="1:53" x14ac:dyDescent="0.15">
      <c r="A12" s="137" t="s">
        <v>61</v>
      </c>
      <c r="B12" s="137" t="s">
        <v>410</v>
      </c>
      <c r="C12" s="137">
        <v>2018</v>
      </c>
      <c r="D12" s="138" t="s">
        <v>438</v>
      </c>
      <c r="E12" s="137" t="s">
        <v>243</v>
      </c>
      <c r="F12" s="137" t="s">
        <v>244</v>
      </c>
      <c r="G12" s="137" t="s">
        <v>42</v>
      </c>
      <c r="H12" s="246" t="s">
        <v>162</v>
      </c>
      <c r="I12" s="246" t="s">
        <v>153</v>
      </c>
      <c r="J12" s="137" t="s">
        <v>38</v>
      </c>
      <c r="K12" s="246" t="s">
        <v>154</v>
      </c>
      <c r="L12" s="246">
        <v>2</v>
      </c>
      <c r="M12" s="246"/>
      <c r="N12" s="246">
        <v>4</v>
      </c>
      <c r="O12" s="246">
        <v>0.6</v>
      </c>
      <c r="P12" s="246">
        <v>0.7</v>
      </c>
      <c r="Q12" s="139">
        <f t="shared" si="0"/>
        <v>0.64999999999999991</v>
      </c>
      <c r="R12" s="246">
        <v>16.899999999999999</v>
      </c>
      <c r="S12" s="246">
        <v>96</v>
      </c>
      <c r="T12" s="140">
        <f t="shared" si="1"/>
        <v>36</v>
      </c>
      <c r="U12" s="246">
        <v>498</v>
      </c>
      <c r="V12" s="141">
        <f t="shared" si="2"/>
        <v>4482</v>
      </c>
      <c r="W12" s="246">
        <v>6</v>
      </c>
      <c r="X12" s="137" t="s">
        <v>46</v>
      </c>
      <c r="Y12" s="246" t="s">
        <v>84</v>
      </c>
      <c r="Z12" s="246" t="s">
        <v>90</v>
      </c>
      <c r="AA12" s="246" t="s">
        <v>69</v>
      </c>
      <c r="AB12" s="137" t="s">
        <v>439</v>
      </c>
      <c r="AC12" s="142"/>
      <c r="AE12" s="222" t="s">
        <v>70</v>
      </c>
      <c r="AG12" s="223"/>
      <c r="AH12" s="222"/>
      <c r="AJ12" s="246"/>
      <c r="AL12" s="149"/>
      <c r="AN12" s="246"/>
      <c r="AP12" s="223" t="s">
        <v>67</v>
      </c>
      <c r="AR12" s="230" t="s">
        <v>124</v>
      </c>
      <c r="AV12" s="150" t="s">
        <v>440</v>
      </c>
      <c r="AX12" s="224">
        <v>180</v>
      </c>
      <c r="AY12" s="225">
        <v>18</v>
      </c>
      <c r="AZ12" s="225">
        <v>181</v>
      </c>
      <c r="BA12" s="226">
        <v>16</v>
      </c>
    </row>
    <row r="13" spans="1:53" x14ac:dyDescent="0.15">
      <c r="A13" s="137" t="s">
        <v>61</v>
      </c>
      <c r="B13" s="137" t="s">
        <v>414</v>
      </c>
      <c r="C13" s="137">
        <v>2018</v>
      </c>
      <c r="D13" s="138" t="s">
        <v>441</v>
      </c>
      <c r="E13" s="137" t="s">
        <v>243</v>
      </c>
      <c r="F13" s="137" t="s">
        <v>244</v>
      </c>
      <c r="G13" s="137" t="s">
        <v>42</v>
      </c>
      <c r="H13" s="246" t="s">
        <v>162</v>
      </c>
      <c r="I13" s="246" t="s">
        <v>153</v>
      </c>
      <c r="J13" s="137" t="s">
        <v>38</v>
      </c>
      <c r="K13" s="246" t="s">
        <v>154</v>
      </c>
      <c r="L13" s="246">
        <v>3</v>
      </c>
      <c r="M13" s="246"/>
      <c r="N13" s="246">
        <v>4</v>
      </c>
      <c r="O13" s="246">
        <v>0.5</v>
      </c>
      <c r="P13" s="246">
        <v>0.5</v>
      </c>
      <c r="Q13" s="139">
        <f t="shared" si="0"/>
        <v>0.5</v>
      </c>
      <c r="R13" s="246">
        <v>17.8</v>
      </c>
      <c r="S13" s="246">
        <v>91</v>
      </c>
      <c r="T13" s="140">
        <f t="shared" si="1"/>
        <v>36</v>
      </c>
      <c r="U13" s="246">
        <v>498</v>
      </c>
      <c r="V13" s="141">
        <f t="shared" si="2"/>
        <v>4482</v>
      </c>
      <c r="W13" s="246">
        <v>6</v>
      </c>
      <c r="X13" s="137" t="s">
        <v>46</v>
      </c>
      <c r="Y13" s="246" t="s">
        <v>84</v>
      </c>
      <c r="Z13" s="246" t="s">
        <v>90</v>
      </c>
      <c r="AA13" s="246" t="s">
        <v>69</v>
      </c>
      <c r="AB13" s="137" t="s">
        <v>442</v>
      </c>
      <c r="AC13" s="142"/>
      <c r="AE13" s="222" t="s">
        <v>73</v>
      </c>
      <c r="AG13" s="223"/>
      <c r="AH13" s="222"/>
      <c r="AJ13" s="246"/>
      <c r="AL13" s="151"/>
      <c r="AN13" s="246"/>
      <c r="AP13" s="223" t="s">
        <v>71</v>
      </c>
      <c r="AR13" s="230" t="s">
        <v>103</v>
      </c>
      <c r="AV13" s="150" t="s">
        <v>443</v>
      </c>
      <c r="AX13" s="224"/>
      <c r="AY13" s="225"/>
      <c r="AZ13" s="225"/>
      <c r="BA13" s="226"/>
    </row>
    <row r="14" spans="1:53" x14ac:dyDescent="0.15">
      <c r="A14" s="137" t="s">
        <v>61</v>
      </c>
      <c r="B14" s="137" t="s">
        <v>416</v>
      </c>
      <c r="C14" s="137">
        <v>2018</v>
      </c>
      <c r="D14" s="138" t="s">
        <v>444</v>
      </c>
      <c r="E14" s="137" t="s">
        <v>243</v>
      </c>
      <c r="F14" s="137" t="s">
        <v>244</v>
      </c>
      <c r="G14" s="137" t="s">
        <v>42</v>
      </c>
      <c r="H14" s="246" t="s">
        <v>129</v>
      </c>
      <c r="I14" s="246" t="s">
        <v>153</v>
      </c>
      <c r="J14" s="137" t="s">
        <v>233</v>
      </c>
      <c r="K14" s="246" t="s">
        <v>59</v>
      </c>
      <c r="L14" s="246">
        <v>1</v>
      </c>
      <c r="M14" s="246"/>
      <c r="N14" s="246">
        <v>5</v>
      </c>
      <c r="O14" s="246">
        <v>0.5</v>
      </c>
      <c r="P14" s="246">
        <v>0.5</v>
      </c>
      <c r="Q14" s="139">
        <f t="shared" si="0"/>
        <v>0.5</v>
      </c>
      <c r="R14" s="246">
        <v>17.5</v>
      </c>
      <c r="S14" s="246">
        <v>64</v>
      </c>
      <c r="T14" s="140">
        <f t="shared" si="1"/>
        <v>50</v>
      </c>
      <c r="U14" s="246">
        <v>398</v>
      </c>
      <c r="V14" s="141">
        <f t="shared" si="2"/>
        <v>3979.9999999999995</v>
      </c>
      <c r="W14" s="246">
        <v>6</v>
      </c>
      <c r="X14" s="137" t="s">
        <v>46</v>
      </c>
      <c r="Y14" s="246" t="s">
        <v>84</v>
      </c>
      <c r="Z14" s="246" t="s">
        <v>90</v>
      </c>
      <c r="AA14" s="246" t="s">
        <v>69</v>
      </c>
      <c r="AB14" s="137" t="s">
        <v>445</v>
      </c>
      <c r="AC14" s="142"/>
      <c r="AE14" s="222" t="s">
        <v>76</v>
      </c>
      <c r="AG14" s="223"/>
      <c r="AH14" s="222"/>
      <c r="AL14" s="234"/>
      <c r="AP14" s="223" t="s">
        <v>74</v>
      </c>
      <c r="AR14" s="230" t="s">
        <v>125</v>
      </c>
      <c r="AV14" s="150" t="s">
        <v>446</v>
      </c>
      <c r="AX14" s="224"/>
      <c r="AY14" s="225"/>
      <c r="AZ14" s="225"/>
      <c r="BA14" s="226"/>
    </row>
    <row r="15" spans="1:53" x14ac:dyDescent="0.15">
      <c r="A15" s="137" t="s">
        <v>61</v>
      </c>
      <c r="B15" s="137" t="s">
        <v>416</v>
      </c>
      <c r="C15" s="137">
        <v>2018</v>
      </c>
      <c r="D15" s="138" t="s">
        <v>444</v>
      </c>
      <c r="E15" s="137" t="s">
        <v>243</v>
      </c>
      <c r="F15" s="137" t="s">
        <v>244</v>
      </c>
      <c r="G15" s="137" t="s">
        <v>42</v>
      </c>
      <c r="H15" s="246" t="s">
        <v>129</v>
      </c>
      <c r="I15" s="246" t="s">
        <v>153</v>
      </c>
      <c r="J15" s="137" t="s">
        <v>233</v>
      </c>
      <c r="K15" s="246" t="s">
        <v>59</v>
      </c>
      <c r="L15" s="246">
        <v>2</v>
      </c>
      <c r="M15" s="246"/>
      <c r="N15" s="246">
        <v>5</v>
      </c>
      <c r="O15" s="246">
        <v>0.5</v>
      </c>
      <c r="P15" s="246">
        <v>0.5</v>
      </c>
      <c r="Q15" s="139">
        <f t="shared" si="0"/>
        <v>0.5</v>
      </c>
      <c r="R15" s="142">
        <v>17.5</v>
      </c>
      <c r="S15" s="246">
        <v>45</v>
      </c>
      <c r="T15" s="140">
        <f t="shared" si="1"/>
        <v>50</v>
      </c>
      <c r="U15" s="246">
        <v>398</v>
      </c>
      <c r="V15" s="141">
        <f t="shared" si="2"/>
        <v>3979.9999999999995</v>
      </c>
      <c r="W15" s="246">
        <v>6</v>
      </c>
      <c r="X15" s="137" t="s">
        <v>46</v>
      </c>
      <c r="Y15" s="246" t="s">
        <v>84</v>
      </c>
      <c r="Z15" s="246" t="s">
        <v>90</v>
      </c>
      <c r="AA15" s="246" t="s">
        <v>69</v>
      </c>
      <c r="AB15" s="137" t="s">
        <v>445</v>
      </c>
      <c r="AC15" s="142"/>
      <c r="AE15" s="222" t="s">
        <v>79</v>
      </c>
      <c r="AG15" s="223"/>
      <c r="AH15" s="223"/>
      <c r="AL15" s="234"/>
      <c r="AP15" s="223" t="s">
        <v>77</v>
      </c>
      <c r="AR15" s="230" t="s">
        <v>94</v>
      </c>
      <c r="AV15" s="150" t="s">
        <v>447</v>
      </c>
      <c r="AX15" s="231"/>
      <c r="AY15" s="232"/>
      <c r="AZ15" s="232"/>
      <c r="BA15" s="233"/>
    </row>
    <row r="16" spans="1:53" x14ac:dyDescent="0.15">
      <c r="A16" s="137" t="s">
        <v>61</v>
      </c>
      <c r="B16" s="137" t="s">
        <v>420</v>
      </c>
      <c r="C16" s="137">
        <v>2018</v>
      </c>
      <c r="D16" s="138" t="s">
        <v>448</v>
      </c>
      <c r="E16" s="137" t="s">
        <v>243</v>
      </c>
      <c r="F16" s="137" t="s">
        <v>244</v>
      </c>
      <c r="G16" s="137" t="s">
        <v>42</v>
      </c>
      <c r="H16" s="246" t="s">
        <v>129</v>
      </c>
      <c r="I16" s="246" t="s">
        <v>153</v>
      </c>
      <c r="J16" s="137" t="s">
        <v>233</v>
      </c>
      <c r="K16" s="246" t="s">
        <v>59</v>
      </c>
      <c r="L16" s="246">
        <v>3</v>
      </c>
      <c r="M16" s="246"/>
      <c r="N16" s="246">
        <v>5</v>
      </c>
      <c r="O16" s="246">
        <v>0.5</v>
      </c>
      <c r="P16" s="246">
        <v>0.5</v>
      </c>
      <c r="Q16" s="139">
        <f t="shared" si="0"/>
        <v>0.5</v>
      </c>
      <c r="R16" s="246">
        <v>17.100000000000001</v>
      </c>
      <c r="S16" s="246">
        <v>64</v>
      </c>
      <c r="T16" s="140">
        <f t="shared" si="1"/>
        <v>50</v>
      </c>
      <c r="U16" s="246">
        <v>398</v>
      </c>
      <c r="V16" s="141">
        <f t="shared" si="2"/>
        <v>3979.9999999999995</v>
      </c>
      <c r="W16" s="246">
        <v>6</v>
      </c>
      <c r="X16" s="137" t="s">
        <v>46</v>
      </c>
      <c r="Y16" s="246" t="s">
        <v>84</v>
      </c>
      <c r="Z16" s="246" t="s">
        <v>90</v>
      </c>
      <c r="AA16" s="246" t="s">
        <v>69</v>
      </c>
      <c r="AB16" s="137" t="s">
        <v>449</v>
      </c>
      <c r="AC16" s="142"/>
      <c r="AE16" s="222" t="s">
        <v>82</v>
      </c>
      <c r="AG16" s="223"/>
      <c r="AH16" s="223"/>
      <c r="AP16" s="223" t="s">
        <v>80</v>
      </c>
      <c r="AR16" s="237" t="s">
        <v>63</v>
      </c>
      <c r="AV16" s="150" t="s">
        <v>450</v>
      </c>
    </row>
    <row r="17" spans="1:48" x14ac:dyDescent="0.15">
      <c r="A17" s="137" t="s">
        <v>61</v>
      </c>
      <c r="B17" s="137" t="s">
        <v>420</v>
      </c>
      <c r="C17" s="137">
        <v>2018</v>
      </c>
      <c r="D17" s="138" t="s">
        <v>448</v>
      </c>
      <c r="E17" s="137" t="s">
        <v>245</v>
      </c>
      <c r="F17" s="137" t="s">
        <v>246</v>
      </c>
      <c r="G17" s="137" t="s">
        <v>42</v>
      </c>
      <c r="H17" s="246" t="s">
        <v>155</v>
      </c>
      <c r="I17" s="246" t="s">
        <v>153</v>
      </c>
      <c r="J17" s="137" t="s">
        <v>38</v>
      </c>
      <c r="K17" s="246" t="s">
        <v>154</v>
      </c>
      <c r="L17" s="246">
        <v>1</v>
      </c>
      <c r="M17" s="246"/>
      <c r="N17" s="246">
        <v>1</v>
      </c>
      <c r="O17" s="246">
        <v>0.9</v>
      </c>
      <c r="P17" s="246">
        <v>0.95</v>
      </c>
      <c r="Q17" s="139">
        <f t="shared" si="0"/>
        <v>0.92500000000000004</v>
      </c>
      <c r="R17" s="246">
        <v>17.5</v>
      </c>
      <c r="S17" s="246">
        <v>154</v>
      </c>
      <c r="T17" s="140">
        <f t="shared" si="1"/>
        <v>18</v>
      </c>
      <c r="U17" s="246">
        <v>138</v>
      </c>
      <c r="V17" s="141">
        <f t="shared" si="2"/>
        <v>2484</v>
      </c>
      <c r="W17" s="246">
        <v>13</v>
      </c>
      <c r="X17" s="137" t="s">
        <v>46</v>
      </c>
      <c r="Y17" s="246" t="s">
        <v>90</v>
      </c>
      <c r="Z17" s="246" t="s">
        <v>84</v>
      </c>
      <c r="AA17" s="246" t="s">
        <v>50</v>
      </c>
      <c r="AB17" s="137" t="s">
        <v>449</v>
      </c>
      <c r="AC17" s="142"/>
      <c r="AE17" s="222" t="s">
        <v>85</v>
      </c>
      <c r="AP17" s="238" t="s">
        <v>110</v>
      </c>
      <c r="AR17" s="237" t="s">
        <v>96</v>
      </c>
      <c r="AV17" s="150" t="s">
        <v>451</v>
      </c>
    </row>
    <row r="18" spans="1:48" x14ac:dyDescent="0.15">
      <c r="A18" s="137" t="s">
        <v>61</v>
      </c>
      <c r="B18" s="137" t="s">
        <v>420</v>
      </c>
      <c r="C18" s="137">
        <v>2018</v>
      </c>
      <c r="D18" s="138" t="s">
        <v>448</v>
      </c>
      <c r="E18" s="137" t="s">
        <v>245</v>
      </c>
      <c r="F18" s="137" t="s">
        <v>246</v>
      </c>
      <c r="G18" s="137" t="s">
        <v>42</v>
      </c>
      <c r="H18" s="246" t="s">
        <v>155</v>
      </c>
      <c r="I18" s="246" t="s">
        <v>153</v>
      </c>
      <c r="J18" s="137" t="s">
        <v>38</v>
      </c>
      <c r="K18" s="246" t="s">
        <v>154</v>
      </c>
      <c r="L18" s="246">
        <v>2</v>
      </c>
      <c r="M18" s="246"/>
      <c r="N18" s="246">
        <v>1</v>
      </c>
      <c r="O18" s="246">
        <v>0.8</v>
      </c>
      <c r="P18" s="246">
        <v>0.8</v>
      </c>
      <c r="Q18" s="139">
        <f t="shared" si="0"/>
        <v>0.8</v>
      </c>
      <c r="R18" s="246">
        <v>17.5</v>
      </c>
      <c r="S18" s="246">
        <v>148</v>
      </c>
      <c r="T18" s="140">
        <f t="shared" si="1"/>
        <v>22</v>
      </c>
      <c r="U18" s="246">
        <v>138</v>
      </c>
      <c r="V18" s="141">
        <f t="shared" si="2"/>
        <v>3036</v>
      </c>
      <c r="W18" s="246">
        <v>13</v>
      </c>
      <c r="X18" s="137" t="s">
        <v>46</v>
      </c>
      <c r="Y18" s="246" t="s">
        <v>90</v>
      </c>
      <c r="Z18" s="246" t="s">
        <v>84</v>
      </c>
      <c r="AA18" s="246" t="s">
        <v>50</v>
      </c>
      <c r="AB18" s="137" t="s">
        <v>449</v>
      </c>
      <c r="AC18" s="142"/>
      <c r="AE18" s="222" t="s">
        <v>87</v>
      </c>
      <c r="AP18" s="238" t="s">
        <v>111</v>
      </c>
      <c r="AR18" s="237" t="s">
        <v>101</v>
      </c>
      <c r="AV18" s="150" t="s">
        <v>366</v>
      </c>
    </row>
    <row r="19" spans="1:48" x14ac:dyDescent="0.15">
      <c r="A19" s="137" t="s">
        <v>61</v>
      </c>
      <c r="B19" s="137" t="s">
        <v>410</v>
      </c>
      <c r="C19" s="137">
        <v>2018</v>
      </c>
      <c r="D19" s="138" t="s">
        <v>438</v>
      </c>
      <c r="E19" s="137" t="s">
        <v>245</v>
      </c>
      <c r="F19" s="137" t="s">
        <v>246</v>
      </c>
      <c r="G19" s="137" t="s">
        <v>42</v>
      </c>
      <c r="H19" s="246" t="s">
        <v>155</v>
      </c>
      <c r="I19" s="246" t="s">
        <v>153</v>
      </c>
      <c r="J19" s="137" t="s">
        <v>38</v>
      </c>
      <c r="K19" s="246" t="s">
        <v>154</v>
      </c>
      <c r="L19" s="246">
        <v>3</v>
      </c>
      <c r="M19" s="246"/>
      <c r="N19" s="246">
        <v>1</v>
      </c>
      <c r="O19" s="246">
        <v>0.7</v>
      </c>
      <c r="P19" s="246">
        <v>0.75</v>
      </c>
      <c r="Q19" s="139">
        <f t="shared" si="0"/>
        <v>0.72499999999999998</v>
      </c>
      <c r="R19" s="246">
        <v>17</v>
      </c>
      <c r="S19" s="246">
        <v>146</v>
      </c>
      <c r="T19" s="140">
        <f t="shared" si="1"/>
        <v>22</v>
      </c>
      <c r="U19" s="246">
        <v>138</v>
      </c>
      <c r="V19" s="141">
        <f t="shared" si="2"/>
        <v>3036</v>
      </c>
      <c r="W19" s="246">
        <v>13</v>
      </c>
      <c r="X19" s="137" t="s">
        <v>46</v>
      </c>
      <c r="Y19" s="246" t="s">
        <v>90</v>
      </c>
      <c r="Z19" s="246" t="s">
        <v>84</v>
      </c>
      <c r="AA19" s="246" t="s">
        <v>50</v>
      </c>
      <c r="AB19" s="137" t="s">
        <v>439</v>
      </c>
      <c r="AC19" s="142"/>
      <c r="AE19" s="235" t="s">
        <v>89</v>
      </c>
      <c r="AP19" s="238" t="s">
        <v>112</v>
      </c>
      <c r="AR19" s="230" t="s">
        <v>126</v>
      </c>
      <c r="AV19" s="150" t="s">
        <v>452</v>
      </c>
    </row>
    <row r="20" spans="1:48" x14ac:dyDescent="0.15">
      <c r="A20" s="137" t="s">
        <v>61</v>
      </c>
      <c r="B20" s="137" t="s">
        <v>410</v>
      </c>
      <c r="C20" s="137">
        <v>2018</v>
      </c>
      <c r="D20" s="138" t="s">
        <v>438</v>
      </c>
      <c r="E20" s="137" t="s">
        <v>245</v>
      </c>
      <c r="F20" s="137" t="s">
        <v>246</v>
      </c>
      <c r="G20" s="137" t="s">
        <v>42</v>
      </c>
      <c r="H20" s="246" t="s">
        <v>162</v>
      </c>
      <c r="I20" s="246" t="s">
        <v>153</v>
      </c>
      <c r="J20" s="137" t="s">
        <v>38</v>
      </c>
      <c r="K20" s="246" t="s">
        <v>154</v>
      </c>
      <c r="L20" s="246">
        <v>1</v>
      </c>
      <c r="M20" s="246"/>
      <c r="N20" s="246">
        <v>1</v>
      </c>
      <c r="O20" s="246">
        <v>0.5</v>
      </c>
      <c r="P20" s="246">
        <v>0.5</v>
      </c>
      <c r="Q20" s="139">
        <f t="shared" si="0"/>
        <v>0.5</v>
      </c>
      <c r="R20" s="246">
        <v>17.8</v>
      </c>
      <c r="S20" s="246">
        <v>156</v>
      </c>
      <c r="T20" s="140">
        <f t="shared" si="1"/>
        <v>18</v>
      </c>
      <c r="U20" s="246">
        <v>158</v>
      </c>
      <c r="V20" s="141">
        <f t="shared" si="2"/>
        <v>2844</v>
      </c>
      <c r="W20" s="246">
        <v>13</v>
      </c>
      <c r="X20" s="137" t="s">
        <v>46</v>
      </c>
      <c r="Y20" s="246" t="s">
        <v>90</v>
      </c>
      <c r="Z20" s="246" t="s">
        <v>84</v>
      </c>
      <c r="AA20" s="246" t="s">
        <v>50</v>
      </c>
      <c r="AB20" s="137" t="s">
        <v>439</v>
      </c>
      <c r="AC20" s="142"/>
      <c r="AE20" s="222"/>
      <c r="AG20" s="246"/>
      <c r="AH20" s="246"/>
      <c r="AJ20" s="246"/>
      <c r="AN20" s="246"/>
      <c r="AP20" s="238" t="s">
        <v>113</v>
      </c>
      <c r="AR20" s="237" t="s">
        <v>105</v>
      </c>
      <c r="AV20" s="150" t="s">
        <v>453</v>
      </c>
    </row>
    <row r="21" spans="1:48" x14ac:dyDescent="0.15">
      <c r="A21" s="137" t="s">
        <v>61</v>
      </c>
      <c r="B21" s="137" t="s">
        <v>410</v>
      </c>
      <c r="C21" s="137">
        <v>2018</v>
      </c>
      <c r="D21" s="138" t="s">
        <v>438</v>
      </c>
      <c r="E21" s="137" t="s">
        <v>245</v>
      </c>
      <c r="F21" s="137" t="s">
        <v>246</v>
      </c>
      <c r="G21" s="137" t="s">
        <v>42</v>
      </c>
      <c r="H21" s="246" t="s">
        <v>162</v>
      </c>
      <c r="I21" s="246" t="s">
        <v>153</v>
      </c>
      <c r="J21" s="137" t="s">
        <v>38</v>
      </c>
      <c r="K21" s="246" t="s">
        <v>154</v>
      </c>
      <c r="L21" s="246">
        <v>2</v>
      </c>
      <c r="M21" s="246"/>
      <c r="N21" s="246">
        <v>1</v>
      </c>
      <c r="O21" s="246">
        <v>0.6</v>
      </c>
      <c r="P21" s="246">
        <v>0.6</v>
      </c>
      <c r="Q21" s="139">
        <f t="shared" si="0"/>
        <v>0.6</v>
      </c>
      <c r="R21" s="246">
        <v>17.8</v>
      </c>
      <c r="S21" s="246">
        <v>152</v>
      </c>
      <c r="T21" s="140">
        <f t="shared" si="1"/>
        <v>18</v>
      </c>
      <c r="U21" s="246">
        <v>158</v>
      </c>
      <c r="V21" s="141">
        <f t="shared" si="2"/>
        <v>2844</v>
      </c>
      <c r="W21" s="246">
        <v>13</v>
      </c>
      <c r="X21" s="137" t="s">
        <v>46</v>
      </c>
      <c r="Y21" s="246" t="s">
        <v>90</v>
      </c>
      <c r="Z21" s="246" t="s">
        <v>84</v>
      </c>
      <c r="AA21" s="246" t="s">
        <v>50</v>
      </c>
      <c r="AB21" s="137" t="s">
        <v>439</v>
      </c>
      <c r="AC21" s="142"/>
      <c r="AE21" s="222"/>
      <c r="AG21" s="246"/>
      <c r="AH21" s="246"/>
      <c r="AL21" s="246"/>
      <c r="AN21" s="246"/>
      <c r="AP21" s="238" t="s">
        <v>114</v>
      </c>
      <c r="AR21" s="237" t="s">
        <v>68</v>
      </c>
      <c r="AV21" s="150" t="s">
        <v>454</v>
      </c>
    </row>
    <row r="22" spans="1:48" x14ac:dyDescent="0.15">
      <c r="A22" s="137" t="s">
        <v>61</v>
      </c>
      <c r="B22" s="137" t="s">
        <v>410</v>
      </c>
      <c r="C22" s="137">
        <v>2018</v>
      </c>
      <c r="D22" s="138" t="s">
        <v>438</v>
      </c>
      <c r="E22" s="137" t="s">
        <v>245</v>
      </c>
      <c r="F22" s="137" t="s">
        <v>246</v>
      </c>
      <c r="G22" s="137" t="s">
        <v>42</v>
      </c>
      <c r="H22" s="246" t="s">
        <v>162</v>
      </c>
      <c r="I22" s="246" t="s">
        <v>153</v>
      </c>
      <c r="J22" s="137" t="s">
        <v>38</v>
      </c>
      <c r="K22" s="246" t="s">
        <v>154</v>
      </c>
      <c r="L22" s="246">
        <v>3</v>
      </c>
      <c r="M22" s="246"/>
      <c r="N22" s="142">
        <v>1</v>
      </c>
      <c r="O22" s="142">
        <v>0.55000000000000004</v>
      </c>
      <c r="P22" s="246">
        <v>0.5</v>
      </c>
      <c r="Q22" s="139">
        <f t="shared" si="0"/>
        <v>0.52500000000000002</v>
      </c>
      <c r="R22" s="246">
        <v>17.600000000000001</v>
      </c>
      <c r="S22" s="246">
        <v>158</v>
      </c>
      <c r="T22" s="140">
        <f t="shared" si="1"/>
        <v>18</v>
      </c>
      <c r="U22" s="246">
        <v>158</v>
      </c>
      <c r="V22" s="141">
        <f t="shared" si="2"/>
        <v>2844</v>
      </c>
      <c r="W22" s="246">
        <v>13</v>
      </c>
      <c r="X22" s="137" t="s">
        <v>46</v>
      </c>
      <c r="Y22" s="246" t="s">
        <v>90</v>
      </c>
      <c r="Z22" s="246" t="s">
        <v>84</v>
      </c>
      <c r="AA22" s="246" t="s">
        <v>50</v>
      </c>
      <c r="AB22" s="137" t="s">
        <v>439</v>
      </c>
      <c r="AC22" s="142"/>
      <c r="AE22" s="235"/>
      <c r="AG22" s="246"/>
      <c r="AH22" s="246"/>
      <c r="AL22" s="246"/>
      <c r="AP22" s="238" t="s">
        <v>115</v>
      </c>
      <c r="AR22" s="237" t="s">
        <v>83</v>
      </c>
      <c r="AV22" s="223"/>
    </row>
    <row r="23" spans="1:48" x14ac:dyDescent="0.15">
      <c r="A23" s="137" t="s">
        <v>61</v>
      </c>
      <c r="B23" s="137" t="s">
        <v>410</v>
      </c>
      <c r="C23" s="137">
        <v>2018</v>
      </c>
      <c r="D23" s="138" t="s">
        <v>438</v>
      </c>
      <c r="E23" s="137" t="s">
        <v>247</v>
      </c>
      <c r="F23" s="137" t="s">
        <v>248</v>
      </c>
      <c r="G23" s="137" t="s">
        <v>42</v>
      </c>
      <c r="H23" s="246" t="s">
        <v>155</v>
      </c>
      <c r="I23" s="246" t="s">
        <v>153</v>
      </c>
      <c r="J23" s="137" t="s">
        <v>38</v>
      </c>
      <c r="K23" s="246" t="s">
        <v>154</v>
      </c>
      <c r="L23" s="246">
        <v>1</v>
      </c>
      <c r="M23" s="246"/>
      <c r="N23" s="246">
        <v>5</v>
      </c>
      <c r="O23" s="246">
        <v>0.8</v>
      </c>
      <c r="P23" s="142">
        <v>0.9</v>
      </c>
      <c r="Q23" s="139">
        <f t="shared" si="0"/>
        <v>0.85000000000000009</v>
      </c>
      <c r="R23" s="246">
        <v>16.8</v>
      </c>
      <c r="S23" s="246">
        <v>97</v>
      </c>
      <c r="T23" s="140">
        <f t="shared" si="1"/>
        <v>36</v>
      </c>
      <c r="U23" s="246">
        <v>321</v>
      </c>
      <c r="V23" s="141">
        <f t="shared" si="2"/>
        <v>2311.2000000000003</v>
      </c>
      <c r="W23" s="246">
        <v>18</v>
      </c>
      <c r="X23" s="137" t="s">
        <v>46</v>
      </c>
      <c r="Y23" s="246" t="s">
        <v>90</v>
      </c>
      <c r="Z23" s="246" t="s">
        <v>84</v>
      </c>
      <c r="AA23" s="246" t="s">
        <v>55</v>
      </c>
      <c r="AB23" s="137" t="s">
        <v>439</v>
      </c>
      <c r="AC23" s="142"/>
      <c r="AE23" s="222"/>
      <c r="AG23" s="246"/>
      <c r="AH23" s="246"/>
      <c r="AL23" s="246"/>
      <c r="AP23" s="238" t="s">
        <v>425</v>
      </c>
      <c r="AR23" s="237" t="s">
        <v>61</v>
      </c>
      <c r="AV23" s="246"/>
    </row>
    <row r="24" spans="1:48" x14ac:dyDescent="0.15">
      <c r="A24" s="137" t="s">
        <v>61</v>
      </c>
      <c r="B24" s="137" t="s">
        <v>410</v>
      </c>
      <c r="C24" s="137">
        <v>2018</v>
      </c>
      <c r="D24" s="138" t="s">
        <v>438</v>
      </c>
      <c r="E24" s="137" t="s">
        <v>247</v>
      </c>
      <c r="F24" s="137" t="s">
        <v>248</v>
      </c>
      <c r="G24" s="137" t="s">
        <v>42</v>
      </c>
      <c r="H24" s="246" t="s">
        <v>155</v>
      </c>
      <c r="I24" s="246" t="s">
        <v>153</v>
      </c>
      <c r="J24" s="137" t="s">
        <v>38</v>
      </c>
      <c r="K24" s="246" t="s">
        <v>154</v>
      </c>
      <c r="L24" s="246">
        <v>2</v>
      </c>
      <c r="M24" s="246"/>
      <c r="N24" s="246">
        <v>5</v>
      </c>
      <c r="O24" s="246">
        <v>0.6</v>
      </c>
      <c r="P24" s="142">
        <v>0.6</v>
      </c>
      <c r="Q24" s="139">
        <f t="shared" si="0"/>
        <v>0.6</v>
      </c>
      <c r="R24" s="246">
        <v>17.100000000000001</v>
      </c>
      <c r="S24" s="246">
        <v>99</v>
      </c>
      <c r="T24" s="140">
        <f t="shared" si="1"/>
        <v>33</v>
      </c>
      <c r="U24" s="246">
        <v>321</v>
      </c>
      <c r="V24" s="141">
        <f t="shared" si="2"/>
        <v>2118.6</v>
      </c>
      <c r="W24" s="246">
        <v>18</v>
      </c>
      <c r="X24" s="137" t="s">
        <v>46</v>
      </c>
      <c r="Y24" s="246" t="s">
        <v>90</v>
      </c>
      <c r="Z24" s="246" t="s">
        <v>84</v>
      </c>
      <c r="AA24" s="246" t="s">
        <v>55</v>
      </c>
      <c r="AB24" s="137" t="s">
        <v>439</v>
      </c>
      <c r="AC24" s="142"/>
      <c r="AE24" s="222"/>
      <c r="AG24" s="246"/>
      <c r="AH24" s="246"/>
      <c r="AL24" s="246"/>
      <c r="AP24" s="238" t="s">
        <v>426</v>
      </c>
      <c r="AR24" s="237" t="s">
        <v>91</v>
      </c>
      <c r="AV24" s="246"/>
    </row>
    <row r="25" spans="1:48" x14ac:dyDescent="0.15">
      <c r="A25" s="137" t="s">
        <v>61</v>
      </c>
      <c r="B25" s="137" t="s">
        <v>410</v>
      </c>
      <c r="C25" s="137">
        <v>2018</v>
      </c>
      <c r="D25" s="138" t="s">
        <v>438</v>
      </c>
      <c r="E25" s="137" t="s">
        <v>247</v>
      </c>
      <c r="F25" s="137" t="s">
        <v>248</v>
      </c>
      <c r="G25" s="137" t="s">
        <v>42</v>
      </c>
      <c r="H25" s="246" t="s">
        <v>155</v>
      </c>
      <c r="I25" s="246" t="s">
        <v>153</v>
      </c>
      <c r="J25" s="137" t="s">
        <v>38</v>
      </c>
      <c r="K25" s="246" t="s">
        <v>154</v>
      </c>
      <c r="L25" s="246">
        <v>3</v>
      </c>
      <c r="M25" s="246"/>
      <c r="N25" s="246">
        <v>5</v>
      </c>
      <c r="O25" s="246">
        <v>0.7</v>
      </c>
      <c r="P25" s="142">
        <v>0.75</v>
      </c>
      <c r="Q25" s="139">
        <f t="shared" si="0"/>
        <v>0.72499999999999998</v>
      </c>
      <c r="R25" s="246">
        <v>17</v>
      </c>
      <c r="S25" s="246">
        <v>106</v>
      </c>
      <c r="T25" s="140">
        <f t="shared" si="1"/>
        <v>33</v>
      </c>
      <c r="U25" s="246">
        <v>321</v>
      </c>
      <c r="V25" s="141">
        <f t="shared" si="2"/>
        <v>2118.6</v>
      </c>
      <c r="W25" s="246">
        <v>18</v>
      </c>
      <c r="X25" s="137" t="s">
        <v>46</v>
      </c>
      <c r="Y25" s="246" t="s">
        <v>90</v>
      </c>
      <c r="Z25" s="246" t="s">
        <v>84</v>
      </c>
      <c r="AA25" s="246" t="s">
        <v>55</v>
      </c>
      <c r="AB25" s="137" t="s">
        <v>439</v>
      </c>
      <c r="AC25" s="142"/>
      <c r="AE25" s="235"/>
      <c r="AG25" s="246"/>
      <c r="AH25" s="246"/>
      <c r="AL25" s="246"/>
      <c r="AP25" s="238" t="s">
        <v>116</v>
      </c>
      <c r="AR25" s="42" t="s">
        <v>92</v>
      </c>
      <c r="AV25" s="246"/>
    </row>
    <row r="26" spans="1:48" x14ac:dyDescent="0.15">
      <c r="A26" s="137" t="s">
        <v>61</v>
      </c>
      <c r="B26" s="137" t="s">
        <v>410</v>
      </c>
      <c r="C26" s="137">
        <v>2018</v>
      </c>
      <c r="D26" s="138" t="s">
        <v>438</v>
      </c>
      <c r="E26" s="137" t="s">
        <v>247</v>
      </c>
      <c r="F26" s="137" t="s">
        <v>248</v>
      </c>
      <c r="G26" s="137" t="s">
        <v>42</v>
      </c>
      <c r="H26" s="246" t="s">
        <v>162</v>
      </c>
      <c r="I26" s="246" t="s">
        <v>153</v>
      </c>
      <c r="J26" s="137" t="s">
        <v>38</v>
      </c>
      <c r="K26" s="246" t="s">
        <v>154</v>
      </c>
      <c r="L26" s="246">
        <v>1</v>
      </c>
      <c r="M26" s="246"/>
      <c r="N26" s="246">
        <v>4</v>
      </c>
      <c r="O26" s="246">
        <v>0.6</v>
      </c>
      <c r="P26" s="142">
        <v>0.6</v>
      </c>
      <c r="Q26" s="139">
        <f t="shared" si="0"/>
        <v>0.6</v>
      </c>
      <c r="R26" s="246">
        <v>18</v>
      </c>
      <c r="S26" s="246">
        <v>119</v>
      </c>
      <c r="T26" s="140">
        <f t="shared" si="1"/>
        <v>30</v>
      </c>
      <c r="U26" s="246">
        <v>429</v>
      </c>
      <c r="V26" s="141">
        <f t="shared" si="2"/>
        <v>3217.5</v>
      </c>
      <c r="W26" s="246">
        <v>18</v>
      </c>
      <c r="X26" s="137" t="s">
        <v>46</v>
      </c>
      <c r="Y26" s="246" t="s">
        <v>90</v>
      </c>
      <c r="Z26" s="246" t="s">
        <v>84</v>
      </c>
      <c r="AA26" s="246" t="s">
        <v>55</v>
      </c>
      <c r="AB26" s="137" t="s">
        <v>439</v>
      </c>
      <c r="AC26" s="142"/>
      <c r="AD26" s="234"/>
      <c r="AE26" s="235"/>
      <c r="AG26" s="246"/>
      <c r="AH26" s="246"/>
      <c r="AP26" s="238" t="s">
        <v>117</v>
      </c>
      <c r="AR26" s="223" t="s">
        <v>287</v>
      </c>
      <c r="AV26" s="246"/>
    </row>
    <row r="27" spans="1:48" x14ac:dyDescent="0.15">
      <c r="A27" s="137" t="s">
        <v>61</v>
      </c>
      <c r="B27" s="137" t="s">
        <v>410</v>
      </c>
      <c r="C27" s="137">
        <v>2018</v>
      </c>
      <c r="D27" s="138" t="s">
        <v>438</v>
      </c>
      <c r="E27" s="137" t="s">
        <v>247</v>
      </c>
      <c r="F27" s="137" t="s">
        <v>248</v>
      </c>
      <c r="G27" s="137" t="s">
        <v>42</v>
      </c>
      <c r="H27" s="246" t="s">
        <v>162</v>
      </c>
      <c r="I27" s="246" t="s">
        <v>153</v>
      </c>
      <c r="J27" s="137" t="s">
        <v>38</v>
      </c>
      <c r="K27" s="246" t="s">
        <v>154</v>
      </c>
      <c r="L27" s="246">
        <v>2</v>
      </c>
      <c r="M27" s="246"/>
      <c r="N27" s="246">
        <v>4</v>
      </c>
      <c r="O27" s="246">
        <v>0.6</v>
      </c>
      <c r="P27" s="142">
        <v>0.65</v>
      </c>
      <c r="Q27" s="139">
        <f t="shared" si="0"/>
        <v>0.625</v>
      </c>
      <c r="R27" s="246">
        <v>17.8</v>
      </c>
      <c r="S27" s="246">
        <v>116</v>
      </c>
      <c r="T27" s="140">
        <f t="shared" si="1"/>
        <v>30</v>
      </c>
      <c r="U27" s="246">
        <v>429</v>
      </c>
      <c r="V27" s="141">
        <f t="shared" si="2"/>
        <v>3217.5</v>
      </c>
      <c r="W27" s="246">
        <v>18</v>
      </c>
      <c r="X27" s="137" t="s">
        <v>46</v>
      </c>
      <c r="Y27" s="246" t="s">
        <v>90</v>
      </c>
      <c r="Z27" s="246" t="s">
        <v>84</v>
      </c>
      <c r="AA27" s="246" t="s">
        <v>55</v>
      </c>
      <c r="AB27" s="137" t="s">
        <v>439</v>
      </c>
      <c r="AC27" s="142"/>
      <c r="AD27" s="234"/>
      <c r="AE27" s="228"/>
      <c r="AG27" s="246"/>
      <c r="AH27" s="246"/>
      <c r="AP27" s="238" t="s">
        <v>118</v>
      </c>
      <c r="AR27" s="223"/>
      <c r="AV27" s="246"/>
    </row>
    <row r="28" spans="1:48" x14ac:dyDescent="0.15">
      <c r="A28" s="137" t="s">
        <v>61</v>
      </c>
      <c r="B28" s="137" t="s">
        <v>410</v>
      </c>
      <c r="C28" s="137">
        <v>2018</v>
      </c>
      <c r="D28" s="138" t="s">
        <v>438</v>
      </c>
      <c r="E28" s="137" t="s">
        <v>247</v>
      </c>
      <c r="F28" s="137" t="s">
        <v>248</v>
      </c>
      <c r="G28" s="137" t="s">
        <v>42</v>
      </c>
      <c r="H28" s="246" t="s">
        <v>162</v>
      </c>
      <c r="I28" s="246" t="s">
        <v>153</v>
      </c>
      <c r="J28" s="137" t="s">
        <v>38</v>
      </c>
      <c r="K28" s="246" t="s">
        <v>154</v>
      </c>
      <c r="L28" s="246">
        <v>3</v>
      </c>
      <c r="M28" s="246"/>
      <c r="N28" s="246">
        <v>4</v>
      </c>
      <c r="O28" s="246">
        <v>0.5</v>
      </c>
      <c r="P28" s="142">
        <v>0.6</v>
      </c>
      <c r="Q28" s="139">
        <f t="shared" si="0"/>
        <v>0.55000000000000004</v>
      </c>
      <c r="R28" s="246">
        <v>17.8</v>
      </c>
      <c r="S28" s="246">
        <v>119</v>
      </c>
      <c r="T28" s="140">
        <f t="shared" si="1"/>
        <v>30</v>
      </c>
      <c r="U28" s="246">
        <v>429</v>
      </c>
      <c r="V28" s="141">
        <f t="shared" si="2"/>
        <v>3217.5</v>
      </c>
      <c r="W28" s="246">
        <v>18</v>
      </c>
      <c r="X28" s="137" t="s">
        <v>46</v>
      </c>
      <c r="Y28" s="246" t="s">
        <v>90</v>
      </c>
      <c r="Z28" s="246" t="s">
        <v>84</v>
      </c>
      <c r="AA28" s="246" t="s">
        <v>55</v>
      </c>
      <c r="AB28" s="137" t="s">
        <v>439</v>
      </c>
      <c r="AC28" s="142"/>
      <c r="AD28" s="234"/>
      <c r="AE28" s="246"/>
      <c r="AG28" s="246"/>
      <c r="AH28" s="246"/>
      <c r="AP28" s="227"/>
      <c r="AR28" s="223"/>
      <c r="AV28" s="246"/>
    </row>
    <row r="29" spans="1:48" x14ac:dyDescent="0.15">
      <c r="A29" s="137" t="s">
        <v>61</v>
      </c>
      <c r="B29" s="137" t="s">
        <v>410</v>
      </c>
      <c r="C29" s="137">
        <v>2018</v>
      </c>
      <c r="D29" s="138" t="s">
        <v>438</v>
      </c>
      <c r="E29" s="137" t="s">
        <v>247</v>
      </c>
      <c r="F29" s="137" t="s">
        <v>248</v>
      </c>
      <c r="G29" s="137" t="s">
        <v>42</v>
      </c>
      <c r="H29" s="246" t="s">
        <v>155</v>
      </c>
      <c r="I29" s="246" t="s">
        <v>156</v>
      </c>
      <c r="J29" s="137" t="s">
        <v>38</v>
      </c>
      <c r="K29" s="246" t="s">
        <v>154</v>
      </c>
      <c r="L29" s="246">
        <v>1</v>
      </c>
      <c r="M29" s="246"/>
      <c r="N29" s="246">
        <v>4</v>
      </c>
      <c r="O29" s="246">
        <v>0.75</v>
      </c>
      <c r="P29" s="246">
        <v>0.75</v>
      </c>
      <c r="Q29" s="139">
        <f t="shared" si="0"/>
        <v>0.75</v>
      </c>
      <c r="R29" s="246">
        <v>17.100000000000001</v>
      </c>
      <c r="S29" s="246">
        <v>100</v>
      </c>
      <c r="T29" s="140">
        <f t="shared" si="1"/>
        <v>33</v>
      </c>
      <c r="U29" s="246">
        <v>429</v>
      </c>
      <c r="V29" s="141">
        <f t="shared" si="2"/>
        <v>3539.25</v>
      </c>
      <c r="W29" s="246">
        <v>18</v>
      </c>
      <c r="X29" s="137" t="s">
        <v>46</v>
      </c>
      <c r="Y29" s="246" t="s">
        <v>90</v>
      </c>
      <c r="Z29" s="246" t="s">
        <v>84</v>
      </c>
      <c r="AA29" s="246" t="s">
        <v>55</v>
      </c>
      <c r="AB29" s="137" t="s">
        <v>439</v>
      </c>
      <c r="AC29" s="142"/>
    </row>
    <row r="30" spans="1:48" x14ac:dyDescent="0.15">
      <c r="A30" s="137" t="s">
        <v>61</v>
      </c>
      <c r="B30" s="137" t="s">
        <v>410</v>
      </c>
      <c r="C30" s="137">
        <v>2018</v>
      </c>
      <c r="D30" s="138" t="s">
        <v>438</v>
      </c>
      <c r="E30" s="137" t="s">
        <v>247</v>
      </c>
      <c r="F30" s="137" t="s">
        <v>248</v>
      </c>
      <c r="G30" s="137" t="s">
        <v>42</v>
      </c>
      <c r="H30" s="246" t="s">
        <v>155</v>
      </c>
      <c r="I30" s="246" t="s">
        <v>156</v>
      </c>
      <c r="J30" s="137" t="s">
        <v>38</v>
      </c>
      <c r="K30" s="246" t="s">
        <v>154</v>
      </c>
      <c r="L30" s="246">
        <v>2</v>
      </c>
      <c r="M30" s="246"/>
      <c r="N30" s="246">
        <v>4</v>
      </c>
      <c r="O30" s="246">
        <v>0.7</v>
      </c>
      <c r="P30" s="246">
        <v>0.65</v>
      </c>
      <c r="Q30" s="139">
        <f t="shared" si="0"/>
        <v>0.67500000000000004</v>
      </c>
      <c r="R30" s="246">
        <v>17.399999999999999</v>
      </c>
      <c r="S30" s="246">
        <v>99</v>
      </c>
      <c r="T30" s="140">
        <f t="shared" si="1"/>
        <v>33</v>
      </c>
      <c r="U30" s="246">
        <v>429</v>
      </c>
      <c r="V30" s="141">
        <f t="shared" si="2"/>
        <v>3539.25</v>
      </c>
      <c r="W30" s="246">
        <v>18</v>
      </c>
      <c r="X30" s="137" t="s">
        <v>46</v>
      </c>
      <c r="Y30" s="246" t="s">
        <v>90</v>
      </c>
      <c r="Z30" s="246" t="s">
        <v>84</v>
      </c>
      <c r="AA30" s="246" t="s">
        <v>55</v>
      </c>
      <c r="AB30" s="137" t="s">
        <v>439</v>
      </c>
      <c r="AC30" s="142"/>
    </row>
    <row r="31" spans="1:48" x14ac:dyDescent="0.15">
      <c r="A31" s="137" t="s">
        <v>61</v>
      </c>
      <c r="B31" s="137" t="s">
        <v>410</v>
      </c>
      <c r="C31" s="137">
        <v>2018</v>
      </c>
      <c r="D31" s="138" t="s">
        <v>438</v>
      </c>
      <c r="E31" s="137" t="s">
        <v>247</v>
      </c>
      <c r="F31" s="137" t="s">
        <v>248</v>
      </c>
      <c r="G31" s="137" t="s">
        <v>42</v>
      </c>
      <c r="H31" s="246" t="s">
        <v>155</v>
      </c>
      <c r="I31" s="246" t="s">
        <v>156</v>
      </c>
      <c r="J31" s="137" t="s">
        <v>38</v>
      </c>
      <c r="K31" s="246" t="s">
        <v>154</v>
      </c>
      <c r="L31" s="246">
        <v>3</v>
      </c>
      <c r="M31" s="246"/>
      <c r="N31" s="246">
        <v>4</v>
      </c>
      <c r="O31" s="246">
        <v>0.7</v>
      </c>
      <c r="P31" s="246">
        <v>0.65</v>
      </c>
      <c r="Q31" s="139">
        <f t="shared" si="0"/>
        <v>0.67500000000000004</v>
      </c>
      <c r="R31" s="246">
        <v>17.399999999999999</v>
      </c>
      <c r="S31" s="246">
        <v>96</v>
      </c>
      <c r="T31" s="140">
        <f t="shared" si="1"/>
        <v>36</v>
      </c>
      <c r="U31" s="246">
        <v>429</v>
      </c>
      <c r="V31" s="141">
        <f t="shared" si="2"/>
        <v>3861</v>
      </c>
      <c r="W31" s="246">
        <v>18</v>
      </c>
      <c r="X31" s="137" t="s">
        <v>46</v>
      </c>
      <c r="Y31" s="246" t="s">
        <v>90</v>
      </c>
      <c r="Z31" s="246" t="s">
        <v>84</v>
      </c>
      <c r="AA31" s="246" t="s">
        <v>55</v>
      </c>
      <c r="AB31" s="137" t="s">
        <v>439</v>
      </c>
      <c r="AC31" s="142"/>
    </row>
    <row r="32" spans="1:48" x14ac:dyDescent="0.15">
      <c r="A32" s="137" t="s">
        <v>61</v>
      </c>
      <c r="B32" s="137" t="s">
        <v>410</v>
      </c>
      <c r="C32" s="137">
        <v>2018</v>
      </c>
      <c r="D32" s="138" t="s">
        <v>438</v>
      </c>
      <c r="E32" s="137" t="s">
        <v>249</v>
      </c>
      <c r="F32" s="137" t="s">
        <v>250</v>
      </c>
      <c r="G32" s="137" t="s">
        <v>42</v>
      </c>
      <c r="H32" s="246" t="s">
        <v>155</v>
      </c>
      <c r="I32" s="246" t="s">
        <v>153</v>
      </c>
      <c r="J32" s="137" t="s">
        <v>38</v>
      </c>
      <c r="K32" s="246" t="s">
        <v>154</v>
      </c>
      <c r="L32" s="246">
        <v>1</v>
      </c>
      <c r="M32" s="246"/>
      <c r="N32" s="246">
        <v>5</v>
      </c>
      <c r="O32" s="246">
        <v>0.7</v>
      </c>
      <c r="P32" s="246">
        <v>0.75</v>
      </c>
      <c r="Q32" s="139">
        <f t="shared" si="0"/>
        <v>0.72499999999999998</v>
      </c>
      <c r="R32" s="246">
        <v>16.8</v>
      </c>
      <c r="S32" s="246">
        <v>99</v>
      </c>
      <c r="T32" s="140">
        <f t="shared" si="1"/>
        <v>33</v>
      </c>
      <c r="U32" s="246">
        <v>429</v>
      </c>
      <c r="V32" s="141">
        <f t="shared" si="2"/>
        <v>2831.4</v>
      </c>
      <c r="W32" s="246">
        <v>10</v>
      </c>
      <c r="X32" s="137" t="s">
        <v>39</v>
      </c>
      <c r="Y32" s="246" t="s">
        <v>69</v>
      </c>
      <c r="Z32" s="246" t="s">
        <v>84</v>
      </c>
      <c r="AA32" s="246" t="s">
        <v>90</v>
      </c>
      <c r="AB32" s="137" t="s">
        <v>439</v>
      </c>
      <c r="AC32" s="142"/>
    </row>
    <row r="33" spans="1:29" x14ac:dyDescent="0.15">
      <c r="A33" s="137" t="s">
        <v>61</v>
      </c>
      <c r="B33" s="137" t="s">
        <v>410</v>
      </c>
      <c r="C33" s="137">
        <v>2018</v>
      </c>
      <c r="D33" s="138" t="s">
        <v>438</v>
      </c>
      <c r="E33" s="137" t="s">
        <v>249</v>
      </c>
      <c r="F33" s="137" t="s">
        <v>250</v>
      </c>
      <c r="G33" s="137" t="s">
        <v>42</v>
      </c>
      <c r="H33" s="246" t="s">
        <v>155</v>
      </c>
      <c r="I33" s="246" t="s">
        <v>153</v>
      </c>
      <c r="J33" s="137" t="s">
        <v>38</v>
      </c>
      <c r="K33" s="246" t="s">
        <v>154</v>
      </c>
      <c r="L33" s="246">
        <v>2</v>
      </c>
      <c r="M33" s="246"/>
      <c r="N33" s="246">
        <v>5</v>
      </c>
      <c r="O33" s="246">
        <v>0.75</v>
      </c>
      <c r="P33" s="246">
        <v>0.75</v>
      </c>
      <c r="Q33" s="139">
        <f t="shared" si="0"/>
        <v>0.75</v>
      </c>
      <c r="R33" s="246">
        <v>16.8</v>
      </c>
      <c r="S33" s="246">
        <v>82</v>
      </c>
      <c r="T33" s="140">
        <f t="shared" si="1"/>
        <v>39</v>
      </c>
      <c r="U33" s="246">
        <v>429</v>
      </c>
      <c r="V33" s="141">
        <f t="shared" si="2"/>
        <v>3346.2</v>
      </c>
      <c r="W33" s="246">
        <v>10</v>
      </c>
      <c r="X33" s="137" t="s">
        <v>39</v>
      </c>
      <c r="Y33" s="246" t="s">
        <v>69</v>
      </c>
      <c r="Z33" s="246" t="s">
        <v>84</v>
      </c>
      <c r="AA33" s="246" t="s">
        <v>90</v>
      </c>
      <c r="AB33" s="137" t="s">
        <v>439</v>
      </c>
      <c r="AC33" s="142"/>
    </row>
    <row r="34" spans="1:29" x14ac:dyDescent="0.15">
      <c r="A34" s="137" t="s">
        <v>61</v>
      </c>
      <c r="B34" s="137" t="s">
        <v>410</v>
      </c>
      <c r="C34" s="137">
        <v>2018</v>
      </c>
      <c r="D34" s="138" t="s">
        <v>438</v>
      </c>
      <c r="E34" s="137" t="s">
        <v>249</v>
      </c>
      <c r="F34" s="137" t="s">
        <v>250</v>
      </c>
      <c r="G34" s="137" t="s">
        <v>42</v>
      </c>
      <c r="H34" s="246" t="s">
        <v>155</v>
      </c>
      <c r="I34" s="246" t="s">
        <v>153</v>
      </c>
      <c r="J34" s="137" t="s">
        <v>38</v>
      </c>
      <c r="K34" s="246" t="s">
        <v>154</v>
      </c>
      <c r="L34" s="246">
        <v>3</v>
      </c>
      <c r="M34" s="246"/>
      <c r="N34" s="246">
        <v>5</v>
      </c>
      <c r="O34" s="246">
        <v>0.7</v>
      </c>
      <c r="P34" s="246">
        <v>0.8</v>
      </c>
      <c r="Q34" s="139">
        <f t="shared" si="0"/>
        <v>0.75</v>
      </c>
      <c r="R34" s="246">
        <v>16.100000000000001</v>
      </c>
      <c r="S34" s="246">
        <v>81</v>
      </c>
      <c r="T34" s="140">
        <f t="shared" si="1"/>
        <v>39</v>
      </c>
      <c r="U34" s="246">
        <v>429</v>
      </c>
      <c r="V34" s="141">
        <f t="shared" si="2"/>
        <v>3346.2</v>
      </c>
      <c r="W34" s="246">
        <v>10</v>
      </c>
      <c r="X34" s="137" t="s">
        <v>39</v>
      </c>
      <c r="Y34" s="246" t="s">
        <v>69</v>
      </c>
      <c r="Z34" s="246" t="s">
        <v>84</v>
      </c>
      <c r="AA34" s="246" t="s">
        <v>90</v>
      </c>
      <c r="AB34" s="137" t="s">
        <v>439</v>
      </c>
      <c r="AC34" s="142"/>
    </row>
    <row r="35" spans="1:29" x14ac:dyDescent="0.15">
      <c r="A35" s="137" t="s">
        <v>61</v>
      </c>
      <c r="B35" s="137" t="s">
        <v>410</v>
      </c>
      <c r="C35" s="137">
        <v>2018</v>
      </c>
      <c r="D35" s="138" t="s">
        <v>438</v>
      </c>
      <c r="E35" s="137" t="s">
        <v>249</v>
      </c>
      <c r="F35" s="137" t="s">
        <v>250</v>
      </c>
      <c r="G35" s="137" t="s">
        <v>42</v>
      </c>
      <c r="H35" s="246" t="s">
        <v>162</v>
      </c>
      <c r="I35" s="246" t="s">
        <v>153</v>
      </c>
      <c r="J35" s="137" t="s">
        <v>38</v>
      </c>
      <c r="K35" s="246" t="s">
        <v>154</v>
      </c>
      <c r="L35" s="246">
        <v>1</v>
      </c>
      <c r="M35" s="246"/>
      <c r="N35" s="246">
        <v>1</v>
      </c>
      <c r="O35" s="246">
        <v>0.6</v>
      </c>
      <c r="P35" s="246">
        <v>0.65</v>
      </c>
      <c r="Q35" s="139">
        <f t="shared" si="0"/>
        <v>0.625</v>
      </c>
      <c r="R35" s="246">
        <v>17.399999999999999</v>
      </c>
      <c r="S35" s="246">
        <v>141</v>
      </c>
      <c r="T35" s="140">
        <f t="shared" si="1"/>
        <v>22</v>
      </c>
      <c r="U35" s="246">
        <v>138</v>
      </c>
      <c r="V35" s="141">
        <f t="shared" si="2"/>
        <v>3036</v>
      </c>
      <c r="W35" s="246">
        <v>10</v>
      </c>
      <c r="X35" s="137" t="s">
        <v>39</v>
      </c>
      <c r="Y35" s="246" t="s">
        <v>69</v>
      </c>
      <c r="Z35" s="246" t="s">
        <v>84</v>
      </c>
      <c r="AA35" s="246" t="s">
        <v>90</v>
      </c>
      <c r="AB35" s="137" t="s">
        <v>439</v>
      </c>
      <c r="AC35" s="142"/>
    </row>
    <row r="36" spans="1:29" x14ac:dyDescent="0.15">
      <c r="A36" s="137" t="s">
        <v>61</v>
      </c>
      <c r="B36" s="137" t="s">
        <v>410</v>
      </c>
      <c r="C36" s="137">
        <v>2018</v>
      </c>
      <c r="D36" s="138" t="s">
        <v>438</v>
      </c>
      <c r="E36" s="137" t="s">
        <v>249</v>
      </c>
      <c r="F36" s="137" t="s">
        <v>250</v>
      </c>
      <c r="G36" s="137" t="s">
        <v>42</v>
      </c>
      <c r="H36" s="246" t="s">
        <v>162</v>
      </c>
      <c r="I36" s="246" t="s">
        <v>153</v>
      </c>
      <c r="J36" s="137" t="s">
        <v>38</v>
      </c>
      <c r="K36" s="246" t="s">
        <v>154</v>
      </c>
      <c r="L36" s="246">
        <v>2</v>
      </c>
      <c r="M36" s="246"/>
      <c r="N36" s="246">
        <v>1</v>
      </c>
      <c r="O36" s="246">
        <v>0.6</v>
      </c>
      <c r="P36" s="246">
        <v>0.5</v>
      </c>
      <c r="Q36" s="139">
        <f t="shared" si="0"/>
        <v>0.55000000000000004</v>
      </c>
      <c r="R36" s="246">
        <v>17.100000000000001</v>
      </c>
      <c r="S36" s="246">
        <v>143</v>
      </c>
      <c r="T36" s="140">
        <f t="shared" si="1"/>
        <v>22</v>
      </c>
      <c r="U36" s="246">
        <v>138</v>
      </c>
      <c r="V36" s="141">
        <f t="shared" si="2"/>
        <v>3036</v>
      </c>
      <c r="W36" s="246">
        <v>10</v>
      </c>
      <c r="X36" s="137" t="s">
        <v>39</v>
      </c>
      <c r="Y36" s="246" t="s">
        <v>69</v>
      </c>
      <c r="Z36" s="246" t="s">
        <v>84</v>
      </c>
      <c r="AA36" s="246" t="s">
        <v>90</v>
      </c>
      <c r="AB36" s="137" t="s">
        <v>439</v>
      </c>
      <c r="AC36" s="142"/>
    </row>
    <row r="37" spans="1:29" x14ac:dyDescent="0.15">
      <c r="A37" s="137" t="s">
        <v>61</v>
      </c>
      <c r="B37" s="137" t="s">
        <v>410</v>
      </c>
      <c r="C37" s="137">
        <v>2018</v>
      </c>
      <c r="D37" s="138" t="s">
        <v>438</v>
      </c>
      <c r="E37" s="137" t="s">
        <v>249</v>
      </c>
      <c r="F37" s="137" t="s">
        <v>250</v>
      </c>
      <c r="G37" s="137" t="s">
        <v>42</v>
      </c>
      <c r="H37" s="246" t="s">
        <v>162</v>
      </c>
      <c r="I37" s="246" t="s">
        <v>153</v>
      </c>
      <c r="J37" s="137" t="s">
        <v>38</v>
      </c>
      <c r="K37" s="246" t="s">
        <v>154</v>
      </c>
      <c r="L37" s="246">
        <v>3</v>
      </c>
      <c r="M37" s="246"/>
      <c r="N37" s="246">
        <v>1</v>
      </c>
      <c r="O37" s="246">
        <v>0.5</v>
      </c>
      <c r="P37" s="246">
        <v>0.5</v>
      </c>
      <c r="Q37" s="139">
        <f t="shared" si="0"/>
        <v>0.5</v>
      </c>
      <c r="R37" s="246">
        <v>17.600000000000001</v>
      </c>
      <c r="S37" s="246">
        <v>142</v>
      </c>
      <c r="T37" s="140">
        <f t="shared" si="1"/>
        <v>22</v>
      </c>
      <c r="U37" s="246">
        <v>138</v>
      </c>
      <c r="V37" s="141">
        <f t="shared" si="2"/>
        <v>3036</v>
      </c>
      <c r="W37" s="246">
        <v>10</v>
      </c>
      <c r="X37" s="137" t="s">
        <v>39</v>
      </c>
      <c r="Y37" s="246" t="s">
        <v>69</v>
      </c>
      <c r="Z37" s="246" t="s">
        <v>84</v>
      </c>
      <c r="AA37" s="246" t="s">
        <v>90</v>
      </c>
      <c r="AB37" s="137" t="s">
        <v>439</v>
      </c>
      <c r="AC37" s="142"/>
    </row>
    <row r="38" spans="1:29" x14ac:dyDescent="0.15">
      <c r="A38" s="137" t="s">
        <v>61</v>
      </c>
      <c r="B38" s="137" t="s">
        <v>410</v>
      </c>
      <c r="C38" s="137">
        <v>2018</v>
      </c>
      <c r="D38" s="138" t="s">
        <v>438</v>
      </c>
      <c r="E38" s="137" t="s">
        <v>249</v>
      </c>
      <c r="F38" s="137" t="s">
        <v>250</v>
      </c>
      <c r="G38" s="137" t="s">
        <v>42</v>
      </c>
      <c r="H38" s="246" t="s">
        <v>155</v>
      </c>
      <c r="I38" s="246" t="s">
        <v>156</v>
      </c>
      <c r="J38" s="137" t="s">
        <v>38</v>
      </c>
      <c r="K38" s="246" t="s">
        <v>154</v>
      </c>
      <c r="L38" s="246">
        <v>1</v>
      </c>
      <c r="M38" s="246"/>
      <c r="N38" s="246">
        <v>1</v>
      </c>
      <c r="O38" s="246">
        <v>0.7</v>
      </c>
      <c r="P38" s="246">
        <v>0.7</v>
      </c>
      <c r="Q38" s="139">
        <f t="shared" si="0"/>
        <v>0.7</v>
      </c>
      <c r="R38" s="246">
        <v>17.100000000000001</v>
      </c>
      <c r="S38" s="246">
        <v>133</v>
      </c>
      <c r="T38" s="140">
        <f t="shared" si="1"/>
        <v>25</v>
      </c>
      <c r="U38" s="246">
        <v>105</v>
      </c>
      <c r="V38" s="141">
        <f t="shared" si="2"/>
        <v>2625</v>
      </c>
      <c r="W38" s="246">
        <v>10</v>
      </c>
      <c r="X38" s="137" t="s">
        <v>39</v>
      </c>
      <c r="Y38" s="246" t="s">
        <v>69</v>
      </c>
      <c r="Z38" s="246" t="s">
        <v>84</v>
      </c>
      <c r="AA38" s="246" t="s">
        <v>90</v>
      </c>
      <c r="AB38" s="137" t="s">
        <v>439</v>
      </c>
      <c r="AC38" s="142"/>
    </row>
    <row r="39" spans="1:29" x14ac:dyDescent="0.15">
      <c r="A39" s="137" t="s">
        <v>61</v>
      </c>
      <c r="B39" s="137" t="s">
        <v>410</v>
      </c>
      <c r="C39" s="137">
        <v>2018</v>
      </c>
      <c r="D39" s="138" t="s">
        <v>438</v>
      </c>
      <c r="E39" s="137" t="s">
        <v>249</v>
      </c>
      <c r="F39" s="137" t="s">
        <v>250</v>
      </c>
      <c r="G39" s="137" t="s">
        <v>42</v>
      </c>
      <c r="H39" s="246" t="s">
        <v>155</v>
      </c>
      <c r="I39" s="246" t="s">
        <v>156</v>
      </c>
      <c r="J39" s="137" t="s">
        <v>38</v>
      </c>
      <c r="K39" s="246" t="s">
        <v>154</v>
      </c>
      <c r="L39" s="246">
        <v>2</v>
      </c>
      <c r="M39" s="246"/>
      <c r="N39" s="246">
        <v>1</v>
      </c>
      <c r="O39" s="246">
        <v>0.7</v>
      </c>
      <c r="P39" s="246">
        <v>0.6</v>
      </c>
      <c r="Q39" s="139">
        <f t="shared" si="0"/>
        <v>0.64999999999999991</v>
      </c>
      <c r="R39" s="246">
        <v>17</v>
      </c>
      <c r="S39" s="246">
        <v>128</v>
      </c>
      <c r="T39" s="140">
        <f t="shared" si="1"/>
        <v>27</v>
      </c>
      <c r="U39" s="246">
        <v>105</v>
      </c>
      <c r="V39" s="141">
        <f t="shared" si="2"/>
        <v>2835</v>
      </c>
      <c r="W39" s="246">
        <v>10</v>
      </c>
      <c r="X39" s="137" t="s">
        <v>39</v>
      </c>
      <c r="Y39" s="246" t="s">
        <v>69</v>
      </c>
      <c r="Z39" s="246" t="s">
        <v>84</v>
      </c>
      <c r="AA39" s="246" t="s">
        <v>90</v>
      </c>
      <c r="AB39" s="137" t="s">
        <v>439</v>
      </c>
      <c r="AC39" s="142"/>
    </row>
    <row r="40" spans="1:29" x14ac:dyDescent="0.15">
      <c r="A40" s="137" t="s">
        <v>61</v>
      </c>
      <c r="B40" s="137" t="s">
        <v>410</v>
      </c>
      <c r="C40" s="137">
        <v>2018</v>
      </c>
      <c r="D40" s="138" t="s">
        <v>438</v>
      </c>
      <c r="E40" s="137" t="s">
        <v>249</v>
      </c>
      <c r="F40" s="137" t="s">
        <v>250</v>
      </c>
      <c r="G40" s="137" t="s">
        <v>42</v>
      </c>
      <c r="H40" s="246" t="s">
        <v>155</v>
      </c>
      <c r="I40" s="246" t="s">
        <v>156</v>
      </c>
      <c r="J40" s="137" t="s">
        <v>38</v>
      </c>
      <c r="K40" s="246" t="s">
        <v>154</v>
      </c>
      <c r="L40" s="246">
        <v>3</v>
      </c>
      <c r="M40" s="246"/>
      <c r="N40" s="246">
        <v>1</v>
      </c>
      <c r="O40" s="246">
        <v>0.55000000000000004</v>
      </c>
      <c r="P40" s="246">
        <v>0.5</v>
      </c>
      <c r="Q40" s="139">
        <f t="shared" si="0"/>
        <v>0.52500000000000002</v>
      </c>
      <c r="R40" s="246">
        <v>17.3</v>
      </c>
      <c r="S40" s="246">
        <v>122</v>
      </c>
      <c r="T40" s="140">
        <f t="shared" si="1"/>
        <v>27</v>
      </c>
      <c r="U40" s="246">
        <v>105</v>
      </c>
      <c r="V40" s="141">
        <f t="shared" si="2"/>
        <v>2835</v>
      </c>
      <c r="W40" s="246">
        <v>10</v>
      </c>
      <c r="X40" s="137" t="s">
        <v>39</v>
      </c>
      <c r="Y40" s="246" t="s">
        <v>69</v>
      </c>
      <c r="Z40" s="246" t="s">
        <v>84</v>
      </c>
      <c r="AA40" s="246" t="s">
        <v>90</v>
      </c>
      <c r="AB40" s="137" t="s">
        <v>439</v>
      </c>
      <c r="AC40" s="142"/>
    </row>
    <row r="41" spans="1:29" x14ac:dyDescent="0.15">
      <c r="A41" s="137" t="s">
        <v>61</v>
      </c>
      <c r="B41" s="137" t="s">
        <v>410</v>
      </c>
      <c r="C41" s="137">
        <v>2018</v>
      </c>
      <c r="D41" s="138" t="s">
        <v>438</v>
      </c>
      <c r="E41" s="137" t="s">
        <v>249</v>
      </c>
      <c r="F41" s="137" t="s">
        <v>250</v>
      </c>
      <c r="G41" s="137" t="s">
        <v>42</v>
      </c>
      <c r="H41" s="246" t="s">
        <v>129</v>
      </c>
      <c r="I41" s="246" t="s">
        <v>153</v>
      </c>
      <c r="J41" s="137" t="s">
        <v>233</v>
      </c>
      <c r="K41" s="246" t="s">
        <v>59</v>
      </c>
      <c r="L41" s="246">
        <v>1</v>
      </c>
      <c r="M41" s="246"/>
      <c r="N41" s="246">
        <v>4</v>
      </c>
      <c r="O41" s="246">
        <v>0.6</v>
      </c>
      <c r="P41" s="246">
        <v>0.6</v>
      </c>
      <c r="Q41" s="139">
        <f t="shared" si="0"/>
        <v>0.6</v>
      </c>
      <c r="R41" s="246">
        <v>16.600000000000001</v>
      </c>
      <c r="S41" s="246">
        <v>83</v>
      </c>
      <c r="T41" s="140">
        <f t="shared" si="1"/>
        <v>39</v>
      </c>
      <c r="U41" s="246">
        <v>321</v>
      </c>
      <c r="V41" s="141">
        <f t="shared" si="2"/>
        <v>3129.75</v>
      </c>
      <c r="W41" s="246">
        <v>10</v>
      </c>
      <c r="X41" s="137" t="s">
        <v>39</v>
      </c>
      <c r="Y41" s="246" t="s">
        <v>69</v>
      </c>
      <c r="Z41" s="246" t="s">
        <v>84</v>
      </c>
      <c r="AA41" s="246" t="s">
        <v>90</v>
      </c>
      <c r="AB41" s="137" t="s">
        <v>439</v>
      </c>
      <c r="AC41" s="142"/>
    </row>
    <row r="42" spans="1:29" x14ac:dyDescent="0.15">
      <c r="A42" s="137" t="s">
        <v>61</v>
      </c>
      <c r="B42" s="137" t="s">
        <v>410</v>
      </c>
      <c r="C42" s="137">
        <v>2018</v>
      </c>
      <c r="D42" s="138" t="s">
        <v>438</v>
      </c>
      <c r="E42" s="137" t="s">
        <v>249</v>
      </c>
      <c r="F42" s="137" t="s">
        <v>250</v>
      </c>
      <c r="G42" s="137" t="s">
        <v>42</v>
      </c>
      <c r="H42" s="246" t="s">
        <v>129</v>
      </c>
      <c r="I42" s="246" t="s">
        <v>153</v>
      </c>
      <c r="J42" s="137" t="s">
        <v>233</v>
      </c>
      <c r="K42" s="246" t="s">
        <v>59</v>
      </c>
      <c r="L42" s="246">
        <v>2</v>
      </c>
      <c r="M42" s="246"/>
      <c r="N42" s="246">
        <v>4</v>
      </c>
      <c r="O42" s="246">
        <v>0.5</v>
      </c>
      <c r="P42" s="246">
        <v>0.5</v>
      </c>
      <c r="Q42" s="139">
        <f t="shared" si="0"/>
        <v>0.5</v>
      </c>
      <c r="R42" s="246">
        <v>16.600000000000001</v>
      </c>
      <c r="S42" s="246">
        <v>89</v>
      </c>
      <c r="T42" s="140">
        <f t="shared" si="1"/>
        <v>36</v>
      </c>
      <c r="U42" s="246">
        <v>321</v>
      </c>
      <c r="V42" s="141">
        <f t="shared" si="2"/>
        <v>2889</v>
      </c>
      <c r="W42" s="246">
        <v>10</v>
      </c>
      <c r="X42" s="137" t="s">
        <v>39</v>
      </c>
      <c r="Y42" s="246" t="s">
        <v>69</v>
      </c>
      <c r="Z42" s="246" t="s">
        <v>84</v>
      </c>
      <c r="AA42" s="246" t="s">
        <v>90</v>
      </c>
      <c r="AB42" s="137" t="s">
        <v>439</v>
      </c>
      <c r="AC42" s="142"/>
    </row>
    <row r="43" spans="1:29" x14ac:dyDescent="0.15">
      <c r="A43" s="137" t="s">
        <v>61</v>
      </c>
      <c r="B43" s="137" t="s">
        <v>410</v>
      </c>
      <c r="C43" s="137">
        <v>2018</v>
      </c>
      <c r="D43" s="138" t="s">
        <v>438</v>
      </c>
      <c r="E43" s="137" t="s">
        <v>249</v>
      </c>
      <c r="F43" s="137" t="s">
        <v>250</v>
      </c>
      <c r="G43" s="137" t="s">
        <v>42</v>
      </c>
      <c r="H43" s="246" t="s">
        <v>129</v>
      </c>
      <c r="I43" s="246" t="s">
        <v>153</v>
      </c>
      <c r="J43" s="137" t="s">
        <v>233</v>
      </c>
      <c r="K43" s="246" t="s">
        <v>59</v>
      </c>
      <c r="L43" s="246">
        <v>3</v>
      </c>
      <c r="M43" s="246"/>
      <c r="N43" s="246">
        <v>4</v>
      </c>
      <c r="O43" s="246">
        <v>0.65</v>
      </c>
      <c r="P43" s="246">
        <v>0.6</v>
      </c>
      <c r="Q43" s="139">
        <f t="shared" si="0"/>
        <v>0.625</v>
      </c>
      <c r="R43" s="246">
        <v>17.100000000000001</v>
      </c>
      <c r="S43" s="246">
        <v>92</v>
      </c>
      <c r="T43" s="140">
        <f t="shared" si="1"/>
        <v>36</v>
      </c>
      <c r="U43" s="246">
        <v>321</v>
      </c>
      <c r="V43" s="141">
        <f t="shared" si="2"/>
        <v>2889</v>
      </c>
      <c r="W43" s="246">
        <v>10</v>
      </c>
      <c r="X43" s="137" t="s">
        <v>39</v>
      </c>
      <c r="Y43" s="246" t="s">
        <v>69</v>
      </c>
      <c r="Z43" s="246" t="s">
        <v>84</v>
      </c>
      <c r="AA43" s="246" t="s">
        <v>90</v>
      </c>
      <c r="AB43" s="137" t="s">
        <v>439</v>
      </c>
      <c r="AC43" s="142"/>
    </row>
    <row r="44" spans="1:29" x14ac:dyDescent="0.15">
      <c r="A44" s="137" t="s">
        <v>61</v>
      </c>
      <c r="B44" s="137" t="s">
        <v>410</v>
      </c>
      <c r="C44" s="137">
        <v>2018</v>
      </c>
      <c r="D44" s="138" t="s">
        <v>438</v>
      </c>
      <c r="E44" s="137" t="s">
        <v>251</v>
      </c>
      <c r="F44" s="137" t="s">
        <v>252</v>
      </c>
      <c r="G44" s="137" t="s">
        <v>42</v>
      </c>
      <c r="H44" s="246" t="s">
        <v>155</v>
      </c>
      <c r="I44" s="246" t="s">
        <v>153</v>
      </c>
      <c r="J44" s="137" t="s">
        <v>38</v>
      </c>
      <c r="K44" s="246" t="s">
        <v>154</v>
      </c>
      <c r="L44" s="246">
        <v>1</v>
      </c>
      <c r="M44" s="246"/>
      <c r="N44" s="246">
        <v>1</v>
      </c>
      <c r="O44" s="246">
        <v>0.6</v>
      </c>
      <c r="P44" s="246">
        <v>0.65</v>
      </c>
      <c r="Q44" s="139">
        <f t="shared" si="0"/>
        <v>0.625</v>
      </c>
      <c r="R44" s="246">
        <v>15.8</v>
      </c>
      <c r="S44" s="246">
        <v>140</v>
      </c>
      <c r="T44" s="140">
        <f t="shared" si="1"/>
        <v>22</v>
      </c>
      <c r="U44" s="246">
        <v>98</v>
      </c>
      <c r="V44" s="141">
        <f t="shared" si="2"/>
        <v>2156</v>
      </c>
      <c r="W44" s="246">
        <v>2</v>
      </c>
      <c r="X44" s="137" t="s">
        <v>39</v>
      </c>
      <c r="Y44" s="246" t="s">
        <v>84</v>
      </c>
      <c r="Z44" s="246" t="s">
        <v>69</v>
      </c>
      <c r="AA44" s="246" t="s">
        <v>90</v>
      </c>
      <c r="AB44" s="137" t="s">
        <v>439</v>
      </c>
      <c r="AC44" s="142"/>
    </row>
    <row r="45" spans="1:29" x14ac:dyDescent="0.15">
      <c r="A45" s="137" t="s">
        <v>61</v>
      </c>
      <c r="B45" s="137" t="s">
        <v>410</v>
      </c>
      <c r="C45" s="137">
        <v>2018</v>
      </c>
      <c r="D45" s="138" t="s">
        <v>438</v>
      </c>
      <c r="E45" s="137" t="s">
        <v>251</v>
      </c>
      <c r="F45" s="137" t="s">
        <v>252</v>
      </c>
      <c r="G45" s="137" t="s">
        <v>42</v>
      </c>
      <c r="H45" s="246" t="s">
        <v>155</v>
      </c>
      <c r="I45" s="246" t="s">
        <v>153</v>
      </c>
      <c r="J45" s="137" t="s">
        <v>38</v>
      </c>
      <c r="K45" s="246" t="s">
        <v>154</v>
      </c>
      <c r="L45" s="246">
        <v>2</v>
      </c>
      <c r="M45" s="246"/>
      <c r="N45" s="246">
        <v>1</v>
      </c>
      <c r="O45" s="246">
        <v>0.6</v>
      </c>
      <c r="P45" s="246">
        <v>0.6</v>
      </c>
      <c r="Q45" s="139">
        <f t="shared" si="0"/>
        <v>0.6</v>
      </c>
      <c r="R45" s="246">
        <v>16.100000000000001</v>
      </c>
      <c r="S45" s="246">
        <v>144</v>
      </c>
      <c r="T45" s="140">
        <f t="shared" si="1"/>
        <v>22</v>
      </c>
      <c r="U45" s="246">
        <v>98</v>
      </c>
      <c r="V45" s="141">
        <f t="shared" si="2"/>
        <v>2156</v>
      </c>
      <c r="W45" s="246">
        <v>2</v>
      </c>
      <c r="X45" s="137" t="s">
        <v>39</v>
      </c>
      <c r="Y45" s="246" t="s">
        <v>84</v>
      </c>
      <c r="Z45" s="246" t="s">
        <v>69</v>
      </c>
      <c r="AA45" s="246" t="s">
        <v>90</v>
      </c>
      <c r="AB45" s="137" t="s">
        <v>439</v>
      </c>
      <c r="AC45" s="142"/>
    </row>
    <row r="46" spans="1:29" x14ac:dyDescent="0.15">
      <c r="A46" s="137" t="s">
        <v>61</v>
      </c>
      <c r="B46" s="137" t="s">
        <v>410</v>
      </c>
      <c r="C46" s="137">
        <v>2018</v>
      </c>
      <c r="D46" s="138" t="s">
        <v>438</v>
      </c>
      <c r="E46" s="137" t="s">
        <v>251</v>
      </c>
      <c r="F46" s="137" t="s">
        <v>252</v>
      </c>
      <c r="G46" s="137" t="s">
        <v>42</v>
      </c>
      <c r="H46" s="246" t="s">
        <v>155</v>
      </c>
      <c r="I46" s="246" t="s">
        <v>153</v>
      </c>
      <c r="J46" s="137" t="s">
        <v>38</v>
      </c>
      <c r="K46" s="246" t="s">
        <v>154</v>
      </c>
      <c r="L46" s="246">
        <v>3</v>
      </c>
      <c r="M46" s="246"/>
      <c r="N46" s="246">
        <v>1</v>
      </c>
      <c r="O46" s="246">
        <v>0.65</v>
      </c>
      <c r="P46" s="246">
        <v>0.7</v>
      </c>
      <c r="Q46" s="139">
        <f t="shared" si="0"/>
        <v>0.67500000000000004</v>
      </c>
      <c r="R46" s="246">
        <v>16</v>
      </c>
      <c r="S46" s="246">
        <v>138</v>
      </c>
      <c r="T46" s="140">
        <f t="shared" si="1"/>
        <v>22</v>
      </c>
      <c r="U46" s="246">
        <v>98</v>
      </c>
      <c r="V46" s="141">
        <f t="shared" si="2"/>
        <v>2156</v>
      </c>
      <c r="W46" s="246">
        <v>2</v>
      </c>
      <c r="X46" s="137" t="s">
        <v>39</v>
      </c>
      <c r="Y46" s="246" t="s">
        <v>84</v>
      </c>
      <c r="Z46" s="246" t="s">
        <v>69</v>
      </c>
      <c r="AA46" s="246" t="s">
        <v>90</v>
      </c>
      <c r="AB46" s="137" t="s">
        <v>439</v>
      </c>
      <c r="AC46" s="142"/>
    </row>
    <row r="47" spans="1:29" x14ac:dyDescent="0.15">
      <c r="A47" s="137" t="s">
        <v>61</v>
      </c>
      <c r="B47" s="137" t="s">
        <v>410</v>
      </c>
      <c r="C47" s="137">
        <v>2018</v>
      </c>
      <c r="D47" s="138" t="s">
        <v>438</v>
      </c>
      <c r="E47" s="137" t="s">
        <v>251</v>
      </c>
      <c r="F47" s="137" t="s">
        <v>252</v>
      </c>
      <c r="G47" s="137" t="s">
        <v>42</v>
      </c>
      <c r="H47" s="246" t="s">
        <v>162</v>
      </c>
      <c r="I47" s="246" t="s">
        <v>153</v>
      </c>
      <c r="J47" s="137" t="s">
        <v>38</v>
      </c>
      <c r="K47" s="246" t="s">
        <v>154</v>
      </c>
      <c r="L47" s="246">
        <v>1</v>
      </c>
      <c r="M47" s="246"/>
      <c r="N47" s="246">
        <v>1</v>
      </c>
      <c r="O47" s="246">
        <v>0.5</v>
      </c>
      <c r="P47" s="246">
        <v>0.55000000000000004</v>
      </c>
      <c r="Q47" s="139">
        <f t="shared" si="0"/>
        <v>0.52500000000000002</v>
      </c>
      <c r="R47" s="246">
        <v>17.399999999999999</v>
      </c>
      <c r="S47" s="246">
        <v>141</v>
      </c>
      <c r="T47" s="140">
        <f t="shared" si="1"/>
        <v>22</v>
      </c>
      <c r="U47" s="246">
        <v>138</v>
      </c>
      <c r="V47" s="141">
        <f t="shared" si="2"/>
        <v>3036</v>
      </c>
      <c r="W47" s="246">
        <v>2</v>
      </c>
      <c r="X47" s="137" t="s">
        <v>39</v>
      </c>
      <c r="Y47" s="246" t="s">
        <v>84</v>
      </c>
      <c r="Z47" s="246" t="s">
        <v>69</v>
      </c>
      <c r="AA47" s="246" t="s">
        <v>90</v>
      </c>
      <c r="AB47" s="137" t="s">
        <v>439</v>
      </c>
      <c r="AC47" s="142"/>
    </row>
    <row r="48" spans="1:29" x14ac:dyDescent="0.15">
      <c r="A48" s="137" t="s">
        <v>61</v>
      </c>
      <c r="B48" s="137" t="s">
        <v>410</v>
      </c>
      <c r="C48" s="137">
        <v>2018</v>
      </c>
      <c r="D48" s="138" t="s">
        <v>438</v>
      </c>
      <c r="E48" s="137" t="s">
        <v>251</v>
      </c>
      <c r="F48" s="137" t="s">
        <v>252</v>
      </c>
      <c r="G48" s="137" t="s">
        <v>42</v>
      </c>
      <c r="H48" s="246" t="s">
        <v>162</v>
      </c>
      <c r="I48" s="246" t="s">
        <v>153</v>
      </c>
      <c r="J48" s="137" t="s">
        <v>38</v>
      </c>
      <c r="K48" s="246" t="s">
        <v>154</v>
      </c>
      <c r="L48" s="246">
        <v>2</v>
      </c>
      <c r="M48" s="246"/>
      <c r="N48" s="246">
        <v>1</v>
      </c>
      <c r="O48" s="246">
        <v>0.5</v>
      </c>
      <c r="P48" s="246">
        <v>0.5</v>
      </c>
      <c r="Q48" s="139">
        <f t="shared" si="0"/>
        <v>0.5</v>
      </c>
      <c r="R48" s="246">
        <v>17.399999999999999</v>
      </c>
      <c r="S48" s="246">
        <v>141</v>
      </c>
      <c r="T48" s="140">
        <f t="shared" si="1"/>
        <v>22</v>
      </c>
      <c r="U48" s="246">
        <v>138</v>
      </c>
      <c r="V48" s="141">
        <f t="shared" si="2"/>
        <v>3036</v>
      </c>
      <c r="W48" s="246">
        <v>2</v>
      </c>
      <c r="X48" s="137" t="s">
        <v>39</v>
      </c>
      <c r="Y48" s="246" t="s">
        <v>84</v>
      </c>
      <c r="Z48" s="246" t="s">
        <v>69</v>
      </c>
      <c r="AA48" s="246" t="s">
        <v>90</v>
      </c>
      <c r="AB48" s="137" t="s">
        <v>439</v>
      </c>
      <c r="AC48" s="142"/>
    </row>
    <row r="49" spans="1:29" x14ac:dyDescent="0.15">
      <c r="A49" s="137" t="s">
        <v>61</v>
      </c>
      <c r="B49" s="137" t="s">
        <v>410</v>
      </c>
      <c r="C49" s="137">
        <v>2018</v>
      </c>
      <c r="D49" s="138" t="s">
        <v>438</v>
      </c>
      <c r="E49" s="137" t="s">
        <v>251</v>
      </c>
      <c r="F49" s="137" t="s">
        <v>252</v>
      </c>
      <c r="G49" s="137" t="s">
        <v>42</v>
      </c>
      <c r="H49" s="246" t="s">
        <v>162</v>
      </c>
      <c r="I49" s="246" t="s">
        <v>153</v>
      </c>
      <c r="J49" s="137" t="s">
        <v>38</v>
      </c>
      <c r="K49" s="246" t="s">
        <v>154</v>
      </c>
      <c r="L49" s="246">
        <v>3</v>
      </c>
      <c r="M49" s="246"/>
      <c r="N49" s="246">
        <v>1</v>
      </c>
      <c r="O49" s="246">
        <v>0.6</v>
      </c>
      <c r="P49" s="246">
        <v>0.55000000000000004</v>
      </c>
      <c r="Q49" s="139">
        <f t="shared" si="0"/>
        <v>0.57499999999999996</v>
      </c>
      <c r="R49" s="246">
        <v>17.600000000000001</v>
      </c>
      <c r="S49" s="246">
        <v>140</v>
      </c>
      <c r="T49" s="140">
        <f t="shared" si="1"/>
        <v>22</v>
      </c>
      <c r="U49" s="246">
        <v>138</v>
      </c>
      <c r="V49" s="141">
        <f t="shared" si="2"/>
        <v>3036</v>
      </c>
      <c r="W49" s="246">
        <v>2</v>
      </c>
      <c r="X49" s="137" t="s">
        <v>39</v>
      </c>
      <c r="Y49" s="246" t="s">
        <v>84</v>
      </c>
      <c r="Z49" s="246" t="s">
        <v>69</v>
      </c>
      <c r="AA49" s="246" t="s">
        <v>90</v>
      </c>
      <c r="AB49" s="137" t="s">
        <v>439</v>
      </c>
      <c r="AC49" s="142"/>
    </row>
    <row r="50" spans="1:29" x14ac:dyDescent="0.15">
      <c r="A50" s="137" t="s">
        <v>61</v>
      </c>
      <c r="B50" s="137" t="s">
        <v>410</v>
      </c>
      <c r="C50" s="137">
        <v>2018</v>
      </c>
      <c r="D50" s="138" t="s">
        <v>438</v>
      </c>
      <c r="E50" s="137" t="s">
        <v>253</v>
      </c>
      <c r="F50" s="137" t="s">
        <v>254</v>
      </c>
      <c r="G50" s="137" t="s">
        <v>42</v>
      </c>
      <c r="H50" s="246" t="s">
        <v>155</v>
      </c>
      <c r="I50" s="246" t="s">
        <v>153</v>
      </c>
      <c r="J50" s="137" t="s">
        <v>38</v>
      </c>
      <c r="K50" s="246" t="s">
        <v>154</v>
      </c>
      <c r="L50" s="246">
        <v>1</v>
      </c>
      <c r="M50" s="246"/>
      <c r="N50" s="246">
        <v>4</v>
      </c>
      <c r="O50" s="246">
        <v>0.9</v>
      </c>
      <c r="P50" s="246">
        <v>0.9</v>
      </c>
      <c r="Q50" s="139">
        <f t="shared" si="0"/>
        <v>0.9</v>
      </c>
      <c r="R50" s="246">
        <v>15.8</v>
      </c>
      <c r="S50" s="246">
        <v>98</v>
      </c>
      <c r="T50" s="140">
        <f t="shared" si="1"/>
        <v>36</v>
      </c>
      <c r="U50" s="246">
        <v>321</v>
      </c>
      <c r="V50" s="141">
        <f t="shared" si="2"/>
        <v>2889</v>
      </c>
      <c r="W50" s="246">
        <v>8</v>
      </c>
      <c r="X50" s="137" t="s">
        <v>39</v>
      </c>
      <c r="Y50" s="246" t="s">
        <v>84</v>
      </c>
      <c r="Z50" s="246" t="s">
        <v>102</v>
      </c>
      <c r="AA50" s="246" t="s">
        <v>69</v>
      </c>
      <c r="AB50" s="137" t="s">
        <v>439</v>
      </c>
      <c r="AC50" s="142"/>
    </row>
    <row r="51" spans="1:29" x14ac:dyDescent="0.15">
      <c r="A51" s="137" t="s">
        <v>61</v>
      </c>
      <c r="B51" s="137" t="s">
        <v>410</v>
      </c>
      <c r="C51" s="137">
        <v>2018</v>
      </c>
      <c r="D51" s="138" t="s">
        <v>438</v>
      </c>
      <c r="E51" s="137" t="s">
        <v>253</v>
      </c>
      <c r="F51" s="137" t="s">
        <v>254</v>
      </c>
      <c r="G51" s="137" t="s">
        <v>42</v>
      </c>
      <c r="H51" s="246" t="s">
        <v>155</v>
      </c>
      <c r="I51" s="246" t="s">
        <v>153</v>
      </c>
      <c r="J51" s="137" t="s">
        <v>38</v>
      </c>
      <c r="K51" s="246" t="s">
        <v>154</v>
      </c>
      <c r="L51" s="246">
        <v>2</v>
      </c>
      <c r="M51" s="246"/>
      <c r="N51" s="246">
        <v>4</v>
      </c>
      <c r="O51" s="246">
        <v>0.7</v>
      </c>
      <c r="P51" s="246">
        <v>0.7</v>
      </c>
      <c r="Q51" s="139">
        <f t="shared" si="0"/>
        <v>0.7</v>
      </c>
      <c r="R51" s="246">
        <v>16.100000000000001</v>
      </c>
      <c r="S51" s="246">
        <v>104</v>
      </c>
      <c r="T51" s="140">
        <f t="shared" si="1"/>
        <v>33</v>
      </c>
      <c r="U51" s="246">
        <v>321</v>
      </c>
      <c r="V51" s="141">
        <f t="shared" si="2"/>
        <v>2648.25</v>
      </c>
      <c r="W51" s="246">
        <v>8</v>
      </c>
      <c r="X51" s="137" t="s">
        <v>39</v>
      </c>
      <c r="Y51" s="246" t="s">
        <v>84</v>
      </c>
      <c r="Z51" s="246" t="s">
        <v>102</v>
      </c>
      <c r="AA51" s="246" t="s">
        <v>69</v>
      </c>
      <c r="AB51" s="137" t="s">
        <v>439</v>
      </c>
      <c r="AC51" s="142"/>
    </row>
    <row r="52" spans="1:29" x14ac:dyDescent="0.15">
      <c r="A52" s="137" t="s">
        <v>61</v>
      </c>
      <c r="B52" s="137" t="s">
        <v>410</v>
      </c>
      <c r="C52" s="137">
        <v>2018</v>
      </c>
      <c r="D52" s="138" t="s">
        <v>438</v>
      </c>
      <c r="E52" s="137" t="s">
        <v>253</v>
      </c>
      <c r="F52" s="137" t="s">
        <v>254</v>
      </c>
      <c r="G52" s="137" t="s">
        <v>42</v>
      </c>
      <c r="H52" s="246" t="s">
        <v>155</v>
      </c>
      <c r="I52" s="246" t="s">
        <v>153</v>
      </c>
      <c r="J52" s="137" t="s">
        <v>38</v>
      </c>
      <c r="K52" s="246" t="s">
        <v>154</v>
      </c>
      <c r="L52" s="246">
        <v>3</v>
      </c>
      <c r="M52" s="246"/>
      <c r="N52" s="246">
        <v>4</v>
      </c>
      <c r="O52" s="246">
        <v>0.75</v>
      </c>
      <c r="P52" s="246">
        <v>0.7</v>
      </c>
      <c r="Q52" s="139">
        <f t="shared" si="0"/>
        <v>0.72499999999999998</v>
      </c>
      <c r="R52" s="246">
        <v>16.3</v>
      </c>
      <c r="S52" s="246">
        <v>93</v>
      </c>
      <c r="T52" s="140">
        <f t="shared" si="1"/>
        <v>36</v>
      </c>
      <c r="U52" s="246">
        <v>321</v>
      </c>
      <c r="V52" s="141">
        <f t="shared" si="2"/>
        <v>2889</v>
      </c>
      <c r="W52" s="246">
        <v>8</v>
      </c>
      <c r="X52" s="137" t="s">
        <v>39</v>
      </c>
      <c r="Y52" s="246" t="s">
        <v>84</v>
      </c>
      <c r="Z52" s="246" t="s">
        <v>102</v>
      </c>
      <c r="AA52" s="246" t="s">
        <v>69</v>
      </c>
      <c r="AB52" s="137" t="s">
        <v>439</v>
      </c>
      <c r="AC52" s="142"/>
    </row>
    <row r="53" spans="1:29" x14ac:dyDescent="0.15">
      <c r="A53" s="137" t="s">
        <v>61</v>
      </c>
      <c r="B53" s="137" t="s">
        <v>410</v>
      </c>
      <c r="C53" s="137">
        <v>2018</v>
      </c>
      <c r="D53" s="138" t="s">
        <v>438</v>
      </c>
      <c r="E53" s="137" t="s">
        <v>253</v>
      </c>
      <c r="F53" s="137" t="s">
        <v>254</v>
      </c>
      <c r="G53" s="137" t="s">
        <v>42</v>
      </c>
      <c r="H53" s="246" t="s">
        <v>162</v>
      </c>
      <c r="I53" s="246" t="s">
        <v>153</v>
      </c>
      <c r="J53" s="137" t="s">
        <v>38</v>
      </c>
      <c r="K53" s="246" t="s">
        <v>154</v>
      </c>
      <c r="L53" s="246">
        <v>1</v>
      </c>
      <c r="M53" s="246"/>
      <c r="N53" s="246">
        <v>3</v>
      </c>
      <c r="O53" s="246">
        <v>0.6</v>
      </c>
      <c r="P53" s="246">
        <v>0.6</v>
      </c>
      <c r="Q53" s="139">
        <f t="shared" si="0"/>
        <v>0.6</v>
      </c>
      <c r="R53" s="246">
        <v>17.7</v>
      </c>
      <c r="S53" s="246">
        <v>128</v>
      </c>
      <c r="T53" s="140">
        <f t="shared" si="1"/>
        <v>27</v>
      </c>
      <c r="U53" s="246">
        <v>429</v>
      </c>
      <c r="V53" s="141">
        <f t="shared" si="2"/>
        <v>3861</v>
      </c>
      <c r="W53" s="246">
        <v>8</v>
      </c>
      <c r="X53" s="137" t="s">
        <v>39</v>
      </c>
      <c r="Y53" s="246" t="s">
        <v>84</v>
      </c>
      <c r="Z53" s="246" t="s">
        <v>102</v>
      </c>
      <c r="AA53" s="246" t="s">
        <v>69</v>
      </c>
      <c r="AB53" s="137" t="s">
        <v>439</v>
      </c>
      <c r="AC53" s="246"/>
    </row>
    <row r="54" spans="1:29" x14ac:dyDescent="0.15">
      <c r="A54" s="137" t="s">
        <v>61</v>
      </c>
      <c r="B54" s="137" t="s">
        <v>410</v>
      </c>
      <c r="C54" s="137">
        <v>2018</v>
      </c>
      <c r="D54" s="138" t="s">
        <v>438</v>
      </c>
      <c r="E54" s="137" t="s">
        <v>253</v>
      </c>
      <c r="F54" s="137" t="s">
        <v>254</v>
      </c>
      <c r="G54" s="137" t="s">
        <v>42</v>
      </c>
      <c r="H54" s="246" t="s">
        <v>162</v>
      </c>
      <c r="I54" s="246" t="s">
        <v>153</v>
      </c>
      <c r="J54" s="137" t="s">
        <v>38</v>
      </c>
      <c r="K54" s="246" t="s">
        <v>154</v>
      </c>
      <c r="L54" s="246">
        <v>2</v>
      </c>
      <c r="M54" s="246"/>
      <c r="N54" s="246">
        <v>3</v>
      </c>
      <c r="O54" s="246">
        <v>0.6</v>
      </c>
      <c r="P54" s="246">
        <v>0.65</v>
      </c>
      <c r="Q54" s="139">
        <f t="shared" si="0"/>
        <v>0.625</v>
      </c>
      <c r="R54" s="246">
        <v>17.399999999999999</v>
      </c>
      <c r="S54" s="246">
        <v>129</v>
      </c>
      <c r="T54" s="140">
        <f t="shared" si="1"/>
        <v>25</v>
      </c>
      <c r="U54" s="246">
        <v>429</v>
      </c>
      <c r="V54" s="141">
        <f t="shared" si="2"/>
        <v>3575</v>
      </c>
      <c r="W54" s="246">
        <v>8</v>
      </c>
      <c r="X54" s="137" t="s">
        <v>39</v>
      </c>
      <c r="Y54" s="246" t="s">
        <v>84</v>
      </c>
      <c r="Z54" s="246" t="s">
        <v>102</v>
      </c>
      <c r="AA54" s="246" t="s">
        <v>69</v>
      </c>
      <c r="AB54" s="137" t="s">
        <v>439</v>
      </c>
      <c r="AC54" s="246"/>
    </row>
    <row r="55" spans="1:29" x14ac:dyDescent="0.15">
      <c r="A55" s="137" t="s">
        <v>61</v>
      </c>
      <c r="B55" s="137" t="s">
        <v>410</v>
      </c>
      <c r="C55" s="137">
        <v>2018</v>
      </c>
      <c r="D55" s="138" t="s">
        <v>438</v>
      </c>
      <c r="E55" s="137" t="s">
        <v>253</v>
      </c>
      <c r="F55" s="137" t="s">
        <v>254</v>
      </c>
      <c r="G55" s="137" t="s">
        <v>42</v>
      </c>
      <c r="H55" s="246" t="s">
        <v>162</v>
      </c>
      <c r="I55" s="246" t="s">
        <v>153</v>
      </c>
      <c r="J55" s="137" t="s">
        <v>38</v>
      </c>
      <c r="K55" s="246" t="s">
        <v>154</v>
      </c>
      <c r="L55" s="246">
        <v>3</v>
      </c>
      <c r="M55" s="246"/>
      <c r="N55" s="246">
        <v>3</v>
      </c>
      <c r="O55" s="246">
        <v>0.5</v>
      </c>
      <c r="P55" s="246">
        <v>0.55000000000000004</v>
      </c>
      <c r="Q55" s="139">
        <f t="shared" si="0"/>
        <v>0.52500000000000002</v>
      </c>
      <c r="R55" s="246">
        <v>17.5</v>
      </c>
      <c r="S55" s="246">
        <v>135</v>
      </c>
      <c r="T55" s="140">
        <f t="shared" si="1"/>
        <v>25</v>
      </c>
      <c r="U55" s="246">
        <v>429</v>
      </c>
      <c r="V55" s="141">
        <f t="shared" si="2"/>
        <v>3575</v>
      </c>
      <c r="W55" s="246">
        <v>8</v>
      </c>
      <c r="X55" s="137" t="s">
        <v>39</v>
      </c>
      <c r="Y55" s="246" t="s">
        <v>84</v>
      </c>
      <c r="Z55" s="246" t="s">
        <v>102</v>
      </c>
      <c r="AA55" s="246" t="s">
        <v>69</v>
      </c>
      <c r="AB55" s="137" t="s">
        <v>439</v>
      </c>
      <c r="AC55" s="246"/>
    </row>
    <row r="56" spans="1:29" x14ac:dyDescent="0.15">
      <c r="A56" s="137" t="s">
        <v>61</v>
      </c>
      <c r="B56" s="137" t="s">
        <v>410</v>
      </c>
      <c r="C56" s="137">
        <v>2018</v>
      </c>
      <c r="D56" s="138" t="s">
        <v>438</v>
      </c>
      <c r="E56" s="137" t="s">
        <v>133</v>
      </c>
      <c r="F56" s="137" t="s">
        <v>255</v>
      </c>
      <c r="G56" s="137" t="s">
        <v>42</v>
      </c>
      <c r="H56" s="246" t="s">
        <v>155</v>
      </c>
      <c r="I56" s="246" t="s">
        <v>153</v>
      </c>
      <c r="J56" s="137" t="s">
        <v>38</v>
      </c>
      <c r="K56" s="246" t="s">
        <v>154</v>
      </c>
      <c r="L56" s="246">
        <v>1</v>
      </c>
      <c r="M56" s="246"/>
      <c r="N56" s="246">
        <v>1</v>
      </c>
      <c r="O56" s="246">
        <v>0.8</v>
      </c>
      <c r="P56" s="246">
        <v>0.8</v>
      </c>
      <c r="Q56" s="139">
        <f t="shared" si="0"/>
        <v>0.8</v>
      </c>
      <c r="R56" s="246">
        <v>17.8</v>
      </c>
      <c r="S56" s="246">
        <v>148</v>
      </c>
      <c r="T56" s="140">
        <f t="shared" si="1"/>
        <v>22</v>
      </c>
      <c r="U56" s="246">
        <v>85</v>
      </c>
      <c r="V56" s="141">
        <f t="shared" si="2"/>
        <v>1870</v>
      </c>
      <c r="W56" s="246">
        <v>15</v>
      </c>
      <c r="X56" s="137" t="s">
        <v>46</v>
      </c>
      <c r="Y56" s="246" t="s">
        <v>78</v>
      </c>
      <c r="Z56" s="246" t="s">
        <v>50</v>
      </c>
      <c r="AA56" s="246" t="s">
        <v>90</v>
      </c>
      <c r="AB56" s="137" t="s">
        <v>439</v>
      </c>
      <c r="AC56" s="246"/>
    </row>
    <row r="57" spans="1:29" x14ac:dyDescent="0.15">
      <c r="A57" s="137" t="s">
        <v>61</v>
      </c>
      <c r="B57" s="137" t="s">
        <v>410</v>
      </c>
      <c r="C57" s="137">
        <v>2018</v>
      </c>
      <c r="D57" s="138" t="s">
        <v>438</v>
      </c>
      <c r="E57" s="137" t="s">
        <v>133</v>
      </c>
      <c r="F57" s="137" t="s">
        <v>255</v>
      </c>
      <c r="G57" s="137" t="s">
        <v>42</v>
      </c>
      <c r="H57" s="246" t="s">
        <v>155</v>
      </c>
      <c r="I57" s="246" t="s">
        <v>153</v>
      </c>
      <c r="J57" s="137" t="s">
        <v>38</v>
      </c>
      <c r="K57" s="246" t="s">
        <v>154</v>
      </c>
      <c r="L57" s="246">
        <v>2</v>
      </c>
      <c r="M57" s="246"/>
      <c r="N57" s="246">
        <v>1</v>
      </c>
      <c r="O57" s="246">
        <v>0.8</v>
      </c>
      <c r="P57" s="246">
        <v>0.7</v>
      </c>
      <c r="Q57" s="139">
        <f t="shared" si="0"/>
        <v>0.75</v>
      </c>
      <c r="R57" s="246">
        <v>17.5</v>
      </c>
      <c r="S57" s="246">
        <v>164</v>
      </c>
      <c r="T57" s="140">
        <f t="shared" si="1"/>
        <v>18</v>
      </c>
      <c r="U57" s="246">
        <v>85</v>
      </c>
      <c r="V57" s="141">
        <f t="shared" si="2"/>
        <v>1530</v>
      </c>
      <c r="W57" s="246">
        <v>15</v>
      </c>
      <c r="X57" s="137" t="s">
        <v>46</v>
      </c>
      <c r="Y57" s="246" t="s">
        <v>78</v>
      </c>
      <c r="Z57" s="246" t="s">
        <v>50</v>
      </c>
      <c r="AA57" s="246" t="s">
        <v>90</v>
      </c>
      <c r="AB57" s="137" t="s">
        <v>439</v>
      </c>
      <c r="AC57" s="246"/>
    </row>
    <row r="58" spans="1:29" x14ac:dyDescent="0.15">
      <c r="A58" s="137" t="s">
        <v>61</v>
      </c>
      <c r="B58" s="137" t="s">
        <v>410</v>
      </c>
      <c r="C58" s="137">
        <v>2018</v>
      </c>
      <c r="D58" s="138" t="s">
        <v>438</v>
      </c>
      <c r="E58" s="137" t="s">
        <v>133</v>
      </c>
      <c r="F58" s="137" t="s">
        <v>255</v>
      </c>
      <c r="G58" s="137" t="s">
        <v>42</v>
      </c>
      <c r="H58" s="246" t="s">
        <v>155</v>
      </c>
      <c r="I58" s="246" t="s">
        <v>153</v>
      </c>
      <c r="J58" s="137" t="s">
        <v>38</v>
      </c>
      <c r="K58" s="246" t="s">
        <v>154</v>
      </c>
      <c r="L58" s="246">
        <v>3</v>
      </c>
      <c r="M58" s="246"/>
      <c r="N58" s="246">
        <v>1</v>
      </c>
      <c r="O58" s="246">
        <v>0.75</v>
      </c>
      <c r="P58" s="246">
        <v>0.75</v>
      </c>
      <c r="Q58" s="139">
        <f t="shared" si="0"/>
        <v>0.75</v>
      </c>
      <c r="R58" s="246">
        <v>17</v>
      </c>
      <c r="S58" s="246">
        <v>151</v>
      </c>
      <c r="T58" s="140">
        <f t="shared" si="1"/>
        <v>22</v>
      </c>
      <c r="U58" s="246">
        <v>85</v>
      </c>
      <c r="V58" s="141">
        <f t="shared" si="2"/>
        <v>1870</v>
      </c>
      <c r="W58" s="246">
        <v>15</v>
      </c>
      <c r="X58" s="137" t="s">
        <v>46</v>
      </c>
      <c r="Y58" s="246" t="s">
        <v>78</v>
      </c>
      <c r="Z58" s="246" t="s">
        <v>50</v>
      </c>
      <c r="AA58" s="246" t="s">
        <v>90</v>
      </c>
      <c r="AB58" s="137" t="s">
        <v>439</v>
      </c>
      <c r="AC58" s="246"/>
    </row>
    <row r="59" spans="1:29" x14ac:dyDescent="0.15">
      <c r="A59" s="137" t="s">
        <v>61</v>
      </c>
      <c r="B59" s="137" t="s">
        <v>410</v>
      </c>
      <c r="C59" s="137">
        <v>2018</v>
      </c>
      <c r="D59" s="138" t="s">
        <v>438</v>
      </c>
      <c r="E59" s="137" t="s">
        <v>133</v>
      </c>
      <c r="F59" s="137" t="s">
        <v>255</v>
      </c>
      <c r="G59" s="137" t="s">
        <v>42</v>
      </c>
      <c r="H59" s="246" t="s">
        <v>162</v>
      </c>
      <c r="I59" s="246" t="s">
        <v>153</v>
      </c>
      <c r="J59" s="137" t="s">
        <v>38</v>
      </c>
      <c r="K59" s="246" t="s">
        <v>154</v>
      </c>
      <c r="L59" s="246">
        <v>1</v>
      </c>
      <c r="M59" s="246"/>
      <c r="N59" s="246">
        <v>1</v>
      </c>
      <c r="O59" s="246">
        <v>0.5</v>
      </c>
      <c r="P59" s="246">
        <v>0.55000000000000004</v>
      </c>
      <c r="Q59" s="139">
        <f t="shared" si="0"/>
        <v>0.52500000000000002</v>
      </c>
      <c r="R59" s="246">
        <v>16.8</v>
      </c>
      <c r="S59" s="246">
        <v>148</v>
      </c>
      <c r="T59" s="140">
        <f t="shared" si="1"/>
        <v>22</v>
      </c>
      <c r="U59" s="246">
        <v>159</v>
      </c>
      <c r="V59" s="141">
        <f t="shared" si="2"/>
        <v>3498</v>
      </c>
      <c r="W59" s="246">
        <v>15</v>
      </c>
      <c r="X59" s="137" t="s">
        <v>46</v>
      </c>
      <c r="Y59" s="246" t="s">
        <v>78</v>
      </c>
      <c r="Z59" s="246" t="s">
        <v>50</v>
      </c>
      <c r="AA59" s="246" t="s">
        <v>90</v>
      </c>
      <c r="AB59" s="137" t="s">
        <v>439</v>
      </c>
      <c r="AC59" s="142"/>
    </row>
    <row r="60" spans="1:29" x14ac:dyDescent="0.15">
      <c r="A60" s="137" t="s">
        <v>61</v>
      </c>
      <c r="B60" s="137" t="s">
        <v>410</v>
      </c>
      <c r="C60" s="137">
        <v>2018</v>
      </c>
      <c r="D60" s="138" t="s">
        <v>438</v>
      </c>
      <c r="E60" s="137" t="s">
        <v>133</v>
      </c>
      <c r="F60" s="137" t="s">
        <v>255</v>
      </c>
      <c r="G60" s="137" t="s">
        <v>42</v>
      </c>
      <c r="H60" s="246" t="s">
        <v>162</v>
      </c>
      <c r="I60" s="246" t="s">
        <v>153</v>
      </c>
      <c r="J60" s="137" t="s">
        <v>38</v>
      </c>
      <c r="K60" s="246" t="s">
        <v>154</v>
      </c>
      <c r="L60" s="246">
        <v>2</v>
      </c>
      <c r="M60" s="246"/>
      <c r="N60" s="246">
        <v>1</v>
      </c>
      <c r="O60" s="246">
        <v>0.5</v>
      </c>
      <c r="P60" s="246">
        <v>0.6</v>
      </c>
      <c r="Q60" s="139">
        <f t="shared" si="0"/>
        <v>0.55000000000000004</v>
      </c>
      <c r="R60" s="246">
        <v>17.399999999999999</v>
      </c>
      <c r="S60" s="246">
        <v>156</v>
      </c>
      <c r="T60" s="140">
        <f t="shared" si="1"/>
        <v>18</v>
      </c>
      <c r="U60" s="246">
        <v>159</v>
      </c>
      <c r="V60" s="141">
        <f t="shared" si="2"/>
        <v>2862</v>
      </c>
      <c r="W60" s="246">
        <v>15</v>
      </c>
      <c r="X60" s="137" t="s">
        <v>46</v>
      </c>
      <c r="Y60" s="246" t="s">
        <v>78</v>
      </c>
      <c r="Z60" s="246" t="s">
        <v>50</v>
      </c>
      <c r="AA60" s="246" t="s">
        <v>90</v>
      </c>
      <c r="AB60" s="137" t="s">
        <v>439</v>
      </c>
      <c r="AC60" s="142"/>
    </row>
    <row r="61" spans="1:29" x14ac:dyDescent="0.15">
      <c r="A61" s="137" t="s">
        <v>61</v>
      </c>
      <c r="B61" s="137" t="s">
        <v>410</v>
      </c>
      <c r="C61" s="137">
        <v>2018</v>
      </c>
      <c r="D61" s="138" t="s">
        <v>438</v>
      </c>
      <c r="E61" s="137" t="s">
        <v>133</v>
      </c>
      <c r="F61" s="137" t="s">
        <v>255</v>
      </c>
      <c r="G61" s="137" t="s">
        <v>42</v>
      </c>
      <c r="H61" s="246" t="s">
        <v>162</v>
      </c>
      <c r="I61" s="246" t="s">
        <v>153</v>
      </c>
      <c r="J61" s="137" t="s">
        <v>38</v>
      </c>
      <c r="K61" s="246" t="s">
        <v>154</v>
      </c>
      <c r="L61" s="246">
        <v>3</v>
      </c>
      <c r="M61" s="246"/>
      <c r="N61" s="246">
        <v>1</v>
      </c>
      <c r="O61" s="246">
        <v>0.5</v>
      </c>
      <c r="P61" s="246">
        <v>0.55000000000000004</v>
      </c>
      <c r="Q61" s="139">
        <f t="shared" si="0"/>
        <v>0.52500000000000002</v>
      </c>
      <c r="R61" s="246">
        <v>17</v>
      </c>
      <c r="S61" s="246">
        <v>150</v>
      </c>
      <c r="T61" s="140">
        <f t="shared" si="1"/>
        <v>22</v>
      </c>
      <c r="U61" s="246">
        <v>159</v>
      </c>
      <c r="V61" s="141">
        <f t="shared" si="2"/>
        <v>3498</v>
      </c>
      <c r="W61" s="246">
        <v>15</v>
      </c>
      <c r="X61" s="137" t="s">
        <v>46</v>
      </c>
      <c r="Y61" s="246" t="s">
        <v>78</v>
      </c>
      <c r="Z61" s="246" t="s">
        <v>50</v>
      </c>
      <c r="AA61" s="246" t="s">
        <v>90</v>
      </c>
      <c r="AB61" s="137" t="s">
        <v>439</v>
      </c>
      <c r="AC61" s="142"/>
    </row>
    <row r="62" spans="1:29" x14ac:dyDescent="0.15">
      <c r="A62" s="137" t="s">
        <v>61</v>
      </c>
      <c r="B62" s="137" t="s">
        <v>410</v>
      </c>
      <c r="C62" s="137">
        <v>2018</v>
      </c>
      <c r="D62" s="138" t="s">
        <v>438</v>
      </c>
      <c r="E62" s="137" t="s">
        <v>256</v>
      </c>
      <c r="F62" s="137" t="s">
        <v>257</v>
      </c>
      <c r="G62" s="137" t="s">
        <v>42</v>
      </c>
      <c r="H62" s="246" t="s">
        <v>155</v>
      </c>
      <c r="I62" s="246" t="s">
        <v>153</v>
      </c>
      <c r="J62" s="137" t="s">
        <v>38</v>
      </c>
      <c r="K62" s="246" t="s">
        <v>154</v>
      </c>
      <c r="L62" s="246">
        <v>1</v>
      </c>
      <c r="M62" s="246"/>
      <c r="N62" s="246">
        <v>4</v>
      </c>
      <c r="O62" s="246">
        <v>0.6</v>
      </c>
      <c r="P62" s="246">
        <v>0.65</v>
      </c>
      <c r="Q62" s="139">
        <f t="shared" si="0"/>
        <v>0.625</v>
      </c>
      <c r="R62" s="246">
        <v>16.600000000000001</v>
      </c>
      <c r="S62" s="246">
        <v>92</v>
      </c>
      <c r="T62" s="140">
        <f t="shared" si="1"/>
        <v>36</v>
      </c>
      <c r="U62" s="246">
        <v>298</v>
      </c>
      <c r="V62" s="141">
        <f t="shared" si="2"/>
        <v>2682</v>
      </c>
      <c r="W62" s="246">
        <v>28</v>
      </c>
      <c r="X62" s="137" t="s">
        <v>46</v>
      </c>
      <c r="Y62" s="246" t="s">
        <v>50</v>
      </c>
      <c r="Z62" s="246" t="s">
        <v>90</v>
      </c>
      <c r="AA62" s="246" t="s">
        <v>102</v>
      </c>
      <c r="AB62" s="137" t="s">
        <v>439</v>
      </c>
      <c r="AC62" s="142"/>
    </row>
    <row r="63" spans="1:29" x14ac:dyDescent="0.15">
      <c r="A63" s="137" t="s">
        <v>61</v>
      </c>
      <c r="B63" s="137" t="s">
        <v>410</v>
      </c>
      <c r="C63" s="137">
        <v>2018</v>
      </c>
      <c r="D63" s="138" t="s">
        <v>438</v>
      </c>
      <c r="E63" s="137" t="s">
        <v>256</v>
      </c>
      <c r="F63" s="137" t="s">
        <v>257</v>
      </c>
      <c r="G63" s="137" t="s">
        <v>42</v>
      </c>
      <c r="H63" s="246" t="s">
        <v>155</v>
      </c>
      <c r="I63" s="246" t="s">
        <v>153</v>
      </c>
      <c r="J63" s="137" t="s">
        <v>38</v>
      </c>
      <c r="K63" s="246" t="s">
        <v>154</v>
      </c>
      <c r="L63" s="246">
        <v>2</v>
      </c>
      <c r="M63" s="246"/>
      <c r="N63" s="246">
        <v>4</v>
      </c>
      <c r="O63" s="246">
        <v>0.6</v>
      </c>
      <c r="P63" s="246">
        <v>0.6</v>
      </c>
      <c r="Q63" s="139">
        <f t="shared" si="0"/>
        <v>0.6</v>
      </c>
      <c r="R63" s="246">
        <v>16.399999999999999</v>
      </c>
      <c r="S63" s="246">
        <v>94</v>
      </c>
      <c r="T63" s="140">
        <f t="shared" si="1"/>
        <v>36</v>
      </c>
      <c r="U63" s="246">
        <v>298</v>
      </c>
      <c r="V63" s="141">
        <f t="shared" si="2"/>
        <v>2682</v>
      </c>
      <c r="W63" s="246">
        <v>28</v>
      </c>
      <c r="X63" s="137" t="s">
        <v>46</v>
      </c>
      <c r="Y63" s="246" t="s">
        <v>50</v>
      </c>
      <c r="Z63" s="246" t="s">
        <v>90</v>
      </c>
      <c r="AA63" s="246" t="s">
        <v>102</v>
      </c>
      <c r="AB63" s="137" t="s">
        <v>439</v>
      </c>
      <c r="AC63" s="142"/>
    </row>
    <row r="64" spans="1:29" x14ac:dyDescent="0.15">
      <c r="A64" s="137" t="s">
        <v>61</v>
      </c>
      <c r="B64" s="137" t="s">
        <v>410</v>
      </c>
      <c r="C64" s="137">
        <v>2018</v>
      </c>
      <c r="D64" s="138" t="s">
        <v>438</v>
      </c>
      <c r="E64" s="137" t="s">
        <v>256</v>
      </c>
      <c r="F64" s="137" t="s">
        <v>257</v>
      </c>
      <c r="G64" s="137" t="s">
        <v>42</v>
      </c>
      <c r="H64" s="246" t="s">
        <v>155</v>
      </c>
      <c r="I64" s="246" t="s">
        <v>153</v>
      </c>
      <c r="J64" s="137" t="s">
        <v>38</v>
      </c>
      <c r="K64" s="246" t="s">
        <v>154</v>
      </c>
      <c r="L64" s="246">
        <v>3</v>
      </c>
      <c r="M64" s="246"/>
      <c r="N64" s="246">
        <v>4</v>
      </c>
      <c r="O64" s="246">
        <v>0.8</v>
      </c>
      <c r="P64" s="246">
        <v>0.7</v>
      </c>
      <c r="Q64" s="139">
        <f t="shared" si="0"/>
        <v>0.75</v>
      </c>
      <c r="R64" s="246">
        <v>5.5</v>
      </c>
      <c r="S64" s="246">
        <v>94</v>
      </c>
      <c r="T64" s="140">
        <f t="shared" si="1"/>
        <v>36</v>
      </c>
      <c r="U64" s="246">
        <v>298</v>
      </c>
      <c r="V64" s="141">
        <f t="shared" si="2"/>
        <v>2682</v>
      </c>
      <c r="W64" s="246">
        <v>28</v>
      </c>
      <c r="X64" s="137" t="s">
        <v>46</v>
      </c>
      <c r="Y64" s="246" t="s">
        <v>50</v>
      </c>
      <c r="Z64" s="246" t="s">
        <v>90</v>
      </c>
      <c r="AA64" s="246" t="s">
        <v>102</v>
      </c>
      <c r="AB64" s="137" t="s">
        <v>439</v>
      </c>
      <c r="AC64" s="142"/>
    </row>
    <row r="65" spans="1:29" x14ac:dyDescent="0.15">
      <c r="A65" s="137" t="s">
        <v>61</v>
      </c>
      <c r="B65" s="137" t="s">
        <v>410</v>
      </c>
      <c r="C65" s="137">
        <v>2018</v>
      </c>
      <c r="D65" s="138" t="s">
        <v>438</v>
      </c>
      <c r="E65" s="137" t="s">
        <v>256</v>
      </c>
      <c r="F65" s="137" t="s">
        <v>257</v>
      </c>
      <c r="G65" s="137" t="s">
        <v>42</v>
      </c>
      <c r="H65" s="246" t="s">
        <v>162</v>
      </c>
      <c r="I65" s="246" t="s">
        <v>153</v>
      </c>
      <c r="J65" s="137" t="s">
        <v>38</v>
      </c>
      <c r="K65" s="246" t="s">
        <v>154</v>
      </c>
      <c r="L65" s="246">
        <v>1</v>
      </c>
      <c r="M65" s="246"/>
      <c r="N65" s="246">
        <v>1</v>
      </c>
      <c r="O65" s="246">
        <v>0.5</v>
      </c>
      <c r="P65" s="246">
        <v>0.5</v>
      </c>
      <c r="Q65" s="139">
        <f t="shared" si="0"/>
        <v>0.5</v>
      </c>
      <c r="R65" s="246">
        <v>17.399999999999999</v>
      </c>
      <c r="S65" s="246">
        <v>143</v>
      </c>
      <c r="T65" s="140">
        <f t="shared" si="1"/>
        <v>22</v>
      </c>
      <c r="U65" s="246">
        <v>158</v>
      </c>
      <c r="V65" s="141">
        <f t="shared" si="2"/>
        <v>3476</v>
      </c>
      <c r="W65" s="246">
        <v>28</v>
      </c>
      <c r="X65" s="137" t="s">
        <v>46</v>
      </c>
      <c r="Y65" s="246" t="s">
        <v>50</v>
      </c>
      <c r="Z65" s="246" t="s">
        <v>90</v>
      </c>
      <c r="AA65" s="246" t="s">
        <v>102</v>
      </c>
      <c r="AB65" s="137" t="s">
        <v>439</v>
      </c>
      <c r="AC65" s="142"/>
    </row>
    <row r="66" spans="1:29" x14ac:dyDescent="0.15">
      <c r="A66" s="137" t="s">
        <v>61</v>
      </c>
      <c r="B66" s="137" t="s">
        <v>410</v>
      </c>
      <c r="C66" s="137">
        <v>2018</v>
      </c>
      <c r="D66" s="138" t="s">
        <v>438</v>
      </c>
      <c r="E66" s="137" t="s">
        <v>256</v>
      </c>
      <c r="F66" s="137" t="s">
        <v>257</v>
      </c>
      <c r="G66" s="137" t="s">
        <v>42</v>
      </c>
      <c r="H66" s="246" t="s">
        <v>162</v>
      </c>
      <c r="I66" s="246" t="s">
        <v>153</v>
      </c>
      <c r="J66" s="137" t="s">
        <v>38</v>
      </c>
      <c r="K66" s="246" t="s">
        <v>154</v>
      </c>
      <c r="L66" s="246">
        <v>2</v>
      </c>
      <c r="M66" s="246"/>
      <c r="N66" s="246">
        <v>1</v>
      </c>
      <c r="O66" s="246">
        <v>0.5</v>
      </c>
      <c r="P66" s="246">
        <v>0.5</v>
      </c>
      <c r="Q66" s="139">
        <f t="shared" ref="Q66:Q108" si="3">IF(OR(O66="",P66=""),"",AVERAGE(O66,P66))</f>
        <v>0.5</v>
      </c>
      <c r="R66" s="246">
        <v>17.5</v>
      </c>
      <c r="S66" s="246">
        <v>140</v>
      </c>
      <c r="T66" s="140">
        <f t="shared" ref="T66:T108" si="4">IF(H66="","",IF(OR(H66="GREEN",H66="GK"),IF(S66&gt;=$AX$2,VLOOKUP(S66,$AX$2:$AY$15,2,1),""),IF(S66&gt;=$AZ$2,VLOOKUP(S66,$AZ$2:$BA$15,2,1),"")))</f>
        <v>22</v>
      </c>
      <c r="U66" s="246">
        <v>158</v>
      </c>
      <c r="V66" s="141">
        <f t="shared" ref="V66:V108" si="5">IF(OR(N66="",U66="",T66=""),"",U66/N66*T66)</f>
        <v>3476</v>
      </c>
      <c r="W66" s="246">
        <v>28</v>
      </c>
      <c r="X66" s="137" t="s">
        <v>46</v>
      </c>
      <c r="Y66" s="246" t="s">
        <v>50</v>
      </c>
      <c r="Z66" s="246" t="s">
        <v>90</v>
      </c>
      <c r="AA66" s="246" t="s">
        <v>102</v>
      </c>
      <c r="AB66" s="137" t="s">
        <v>439</v>
      </c>
      <c r="AC66" s="142"/>
    </row>
    <row r="67" spans="1:29" x14ac:dyDescent="0.15">
      <c r="A67" s="137" t="s">
        <v>61</v>
      </c>
      <c r="B67" s="137" t="s">
        <v>410</v>
      </c>
      <c r="C67" s="137">
        <v>2018</v>
      </c>
      <c r="D67" s="138" t="s">
        <v>438</v>
      </c>
      <c r="E67" s="137" t="s">
        <v>256</v>
      </c>
      <c r="F67" s="137" t="s">
        <v>257</v>
      </c>
      <c r="G67" s="137" t="s">
        <v>42</v>
      </c>
      <c r="H67" s="246" t="s">
        <v>162</v>
      </c>
      <c r="I67" s="246" t="s">
        <v>153</v>
      </c>
      <c r="J67" s="137" t="s">
        <v>38</v>
      </c>
      <c r="K67" s="246" t="s">
        <v>154</v>
      </c>
      <c r="L67" s="246">
        <v>3</v>
      </c>
      <c r="M67" s="246"/>
      <c r="N67" s="246">
        <v>1</v>
      </c>
      <c r="O67" s="246">
        <v>0.6</v>
      </c>
      <c r="P67" s="246">
        <v>0.65</v>
      </c>
      <c r="Q67" s="139">
        <f t="shared" si="3"/>
        <v>0.625</v>
      </c>
      <c r="R67" s="246">
        <v>17.5</v>
      </c>
      <c r="S67" s="246">
        <v>144</v>
      </c>
      <c r="T67" s="140">
        <f t="shared" si="4"/>
        <v>22</v>
      </c>
      <c r="U67" s="246">
        <v>158</v>
      </c>
      <c r="V67" s="141">
        <f t="shared" si="5"/>
        <v>3476</v>
      </c>
      <c r="W67" s="246">
        <v>28</v>
      </c>
      <c r="X67" s="137" t="s">
        <v>46</v>
      </c>
      <c r="Y67" s="246" t="s">
        <v>50</v>
      </c>
      <c r="Z67" s="246" t="s">
        <v>90</v>
      </c>
      <c r="AA67" s="246" t="s">
        <v>102</v>
      </c>
      <c r="AB67" s="137" t="s">
        <v>439</v>
      </c>
      <c r="AC67" s="142"/>
    </row>
    <row r="68" spans="1:29" x14ac:dyDescent="0.15">
      <c r="A68" s="137" t="s">
        <v>61</v>
      </c>
      <c r="B68" s="137" t="s">
        <v>410</v>
      </c>
      <c r="C68" s="137">
        <v>2018</v>
      </c>
      <c r="D68" s="138" t="s">
        <v>438</v>
      </c>
      <c r="E68" s="137" t="s">
        <v>258</v>
      </c>
      <c r="F68" s="137" t="s">
        <v>257</v>
      </c>
      <c r="G68" s="137" t="s">
        <v>42</v>
      </c>
      <c r="H68" s="246" t="s">
        <v>155</v>
      </c>
      <c r="I68" s="246" t="s">
        <v>153</v>
      </c>
      <c r="J68" s="137" t="s">
        <v>38</v>
      </c>
      <c r="K68" s="246" t="s">
        <v>154</v>
      </c>
      <c r="L68" s="246">
        <v>1</v>
      </c>
      <c r="M68" s="246"/>
      <c r="N68" s="246">
        <v>1</v>
      </c>
      <c r="O68" s="246">
        <v>0.6</v>
      </c>
      <c r="P68" s="246">
        <v>0.7</v>
      </c>
      <c r="Q68" s="139">
        <f t="shared" si="3"/>
        <v>0.64999999999999991</v>
      </c>
      <c r="R68" s="246">
        <v>17.5</v>
      </c>
      <c r="S68" s="246">
        <v>134</v>
      </c>
      <c r="T68" s="140">
        <f t="shared" si="4"/>
        <v>25</v>
      </c>
      <c r="U68" s="246">
        <v>149</v>
      </c>
      <c r="V68" s="141">
        <f t="shared" si="5"/>
        <v>3725</v>
      </c>
      <c r="W68" s="246">
        <v>16</v>
      </c>
      <c r="X68" s="137" t="s">
        <v>46</v>
      </c>
      <c r="Y68" s="246" t="s">
        <v>90</v>
      </c>
      <c r="Z68" s="246" t="s">
        <v>50</v>
      </c>
      <c r="AA68" s="246" t="s">
        <v>78</v>
      </c>
      <c r="AB68" s="137" t="s">
        <v>439</v>
      </c>
      <c r="AC68" s="246"/>
    </row>
    <row r="69" spans="1:29" x14ac:dyDescent="0.15">
      <c r="A69" s="137" t="s">
        <v>61</v>
      </c>
      <c r="B69" s="137" t="s">
        <v>410</v>
      </c>
      <c r="C69" s="137">
        <v>2018</v>
      </c>
      <c r="D69" s="138" t="s">
        <v>438</v>
      </c>
      <c r="E69" s="137" t="s">
        <v>258</v>
      </c>
      <c r="F69" s="137" t="s">
        <v>257</v>
      </c>
      <c r="G69" s="137" t="s">
        <v>42</v>
      </c>
      <c r="H69" s="246" t="s">
        <v>155</v>
      </c>
      <c r="I69" s="246" t="s">
        <v>153</v>
      </c>
      <c r="J69" s="137" t="s">
        <v>38</v>
      </c>
      <c r="K69" s="246" t="s">
        <v>154</v>
      </c>
      <c r="L69" s="246">
        <v>2</v>
      </c>
      <c r="M69" s="246"/>
      <c r="N69" s="246">
        <v>1</v>
      </c>
      <c r="O69" s="246">
        <v>0.65</v>
      </c>
      <c r="P69" s="246">
        <v>0.6</v>
      </c>
      <c r="Q69" s="139">
        <f t="shared" si="3"/>
        <v>0.625</v>
      </c>
      <c r="R69" s="246">
        <v>17</v>
      </c>
      <c r="S69" s="246">
        <v>166</v>
      </c>
      <c r="T69" s="140">
        <f t="shared" si="4"/>
        <v>18</v>
      </c>
      <c r="U69" s="246">
        <v>149</v>
      </c>
      <c r="V69" s="141">
        <f t="shared" si="5"/>
        <v>2682</v>
      </c>
      <c r="W69" s="246">
        <v>16</v>
      </c>
      <c r="X69" s="137" t="s">
        <v>46</v>
      </c>
      <c r="Y69" s="246" t="s">
        <v>90</v>
      </c>
      <c r="Z69" s="246" t="s">
        <v>50</v>
      </c>
      <c r="AA69" s="246" t="s">
        <v>78</v>
      </c>
      <c r="AB69" s="137" t="s">
        <v>439</v>
      </c>
      <c r="AC69" s="246"/>
    </row>
    <row r="70" spans="1:29" x14ac:dyDescent="0.15">
      <c r="A70" s="137" t="s">
        <v>61</v>
      </c>
      <c r="B70" s="137" t="s">
        <v>410</v>
      </c>
      <c r="C70" s="137">
        <v>2018</v>
      </c>
      <c r="D70" s="138" t="s">
        <v>438</v>
      </c>
      <c r="E70" s="137" t="s">
        <v>258</v>
      </c>
      <c r="F70" s="137" t="s">
        <v>257</v>
      </c>
      <c r="G70" s="137" t="s">
        <v>42</v>
      </c>
      <c r="H70" s="246" t="s">
        <v>155</v>
      </c>
      <c r="I70" s="246" t="s">
        <v>153</v>
      </c>
      <c r="J70" s="137" t="s">
        <v>38</v>
      </c>
      <c r="K70" s="246" t="s">
        <v>154</v>
      </c>
      <c r="L70" s="246">
        <v>3</v>
      </c>
      <c r="M70" s="246"/>
      <c r="N70" s="246">
        <v>1</v>
      </c>
      <c r="O70" s="246">
        <v>0.65</v>
      </c>
      <c r="P70" s="246">
        <v>0.6</v>
      </c>
      <c r="Q70" s="139">
        <f t="shared" si="3"/>
        <v>0.625</v>
      </c>
      <c r="R70" s="246">
        <v>16.8</v>
      </c>
      <c r="S70" s="246">
        <v>154</v>
      </c>
      <c r="T70" s="140">
        <f t="shared" si="4"/>
        <v>18</v>
      </c>
      <c r="U70" s="246">
        <v>149</v>
      </c>
      <c r="V70" s="141">
        <f t="shared" si="5"/>
        <v>2682</v>
      </c>
      <c r="W70" s="246">
        <v>16</v>
      </c>
      <c r="X70" s="137" t="s">
        <v>46</v>
      </c>
      <c r="Y70" s="246" t="s">
        <v>90</v>
      </c>
      <c r="Z70" s="246" t="s">
        <v>50</v>
      </c>
      <c r="AA70" s="246" t="s">
        <v>78</v>
      </c>
      <c r="AB70" s="137" t="s">
        <v>439</v>
      </c>
      <c r="AC70" s="246"/>
    </row>
    <row r="71" spans="1:29" x14ac:dyDescent="0.15">
      <c r="A71" s="137" t="s">
        <v>61</v>
      </c>
      <c r="B71" s="137" t="s">
        <v>410</v>
      </c>
      <c r="C71" s="137">
        <v>2018</v>
      </c>
      <c r="D71" s="138" t="s">
        <v>438</v>
      </c>
      <c r="E71" s="137" t="s">
        <v>258</v>
      </c>
      <c r="F71" s="137" t="s">
        <v>257</v>
      </c>
      <c r="G71" s="137" t="s">
        <v>42</v>
      </c>
      <c r="H71" s="246" t="s">
        <v>162</v>
      </c>
      <c r="I71" s="246" t="s">
        <v>153</v>
      </c>
      <c r="J71" s="137" t="s">
        <v>38</v>
      </c>
      <c r="K71" s="246" t="s">
        <v>154</v>
      </c>
      <c r="L71" s="246">
        <v>1</v>
      </c>
      <c r="M71" s="246"/>
      <c r="N71" s="246">
        <v>3</v>
      </c>
      <c r="O71" s="246">
        <v>0.5</v>
      </c>
      <c r="P71" s="246">
        <v>0.5</v>
      </c>
      <c r="Q71" s="139">
        <f t="shared" si="3"/>
        <v>0.5</v>
      </c>
      <c r="R71" s="246">
        <v>17.600000000000001</v>
      </c>
      <c r="S71" s="246">
        <v>129</v>
      </c>
      <c r="T71" s="140">
        <f t="shared" si="4"/>
        <v>25</v>
      </c>
      <c r="U71" s="246">
        <v>494</v>
      </c>
      <c r="V71" s="141">
        <f t="shared" si="5"/>
        <v>4116.6666666666661</v>
      </c>
      <c r="W71" s="246">
        <v>16</v>
      </c>
      <c r="X71" s="137" t="s">
        <v>46</v>
      </c>
      <c r="Y71" s="246" t="s">
        <v>90</v>
      </c>
      <c r="Z71" s="246" t="s">
        <v>50</v>
      </c>
      <c r="AA71" s="246" t="s">
        <v>78</v>
      </c>
      <c r="AB71" s="137" t="s">
        <v>439</v>
      </c>
      <c r="AC71" s="246"/>
    </row>
    <row r="72" spans="1:29" x14ac:dyDescent="0.15">
      <c r="A72" s="137" t="s">
        <v>61</v>
      </c>
      <c r="B72" s="137" t="s">
        <v>410</v>
      </c>
      <c r="C72" s="137">
        <v>2018</v>
      </c>
      <c r="D72" s="138" t="s">
        <v>438</v>
      </c>
      <c r="E72" s="137" t="s">
        <v>258</v>
      </c>
      <c r="F72" s="137" t="s">
        <v>257</v>
      </c>
      <c r="G72" s="137" t="s">
        <v>42</v>
      </c>
      <c r="H72" s="246" t="s">
        <v>162</v>
      </c>
      <c r="I72" s="246" t="s">
        <v>153</v>
      </c>
      <c r="J72" s="137" t="s">
        <v>38</v>
      </c>
      <c r="K72" s="246" t="s">
        <v>154</v>
      </c>
      <c r="L72" s="246">
        <v>2</v>
      </c>
      <c r="M72" s="246"/>
      <c r="N72" s="246">
        <v>3</v>
      </c>
      <c r="O72" s="246">
        <v>0.5</v>
      </c>
      <c r="P72" s="246">
        <v>0.6</v>
      </c>
      <c r="Q72" s="139">
        <f t="shared" si="3"/>
        <v>0.55000000000000004</v>
      </c>
      <c r="R72" s="246">
        <v>17.3</v>
      </c>
      <c r="S72" s="246">
        <v>125</v>
      </c>
      <c r="T72" s="140">
        <f t="shared" si="4"/>
        <v>27</v>
      </c>
      <c r="U72" s="246">
        <v>494</v>
      </c>
      <c r="V72" s="141">
        <f t="shared" si="5"/>
        <v>4446</v>
      </c>
      <c r="W72" s="246">
        <v>16</v>
      </c>
      <c r="X72" s="137" t="s">
        <v>46</v>
      </c>
      <c r="Y72" s="246" t="s">
        <v>90</v>
      </c>
      <c r="Z72" s="246" t="s">
        <v>50</v>
      </c>
      <c r="AA72" s="246" t="s">
        <v>78</v>
      </c>
      <c r="AB72" s="137" t="s">
        <v>439</v>
      </c>
      <c r="AC72" s="246"/>
    </row>
    <row r="73" spans="1:29" x14ac:dyDescent="0.15">
      <c r="A73" s="137" t="s">
        <v>61</v>
      </c>
      <c r="B73" s="137" t="s">
        <v>410</v>
      </c>
      <c r="C73" s="137">
        <v>2018</v>
      </c>
      <c r="D73" s="138" t="s">
        <v>438</v>
      </c>
      <c r="E73" s="137" t="s">
        <v>258</v>
      </c>
      <c r="F73" s="137" t="s">
        <v>257</v>
      </c>
      <c r="G73" s="137" t="s">
        <v>42</v>
      </c>
      <c r="H73" s="246" t="s">
        <v>162</v>
      </c>
      <c r="I73" s="246" t="s">
        <v>153</v>
      </c>
      <c r="J73" s="137" t="s">
        <v>38</v>
      </c>
      <c r="K73" s="246" t="s">
        <v>154</v>
      </c>
      <c r="L73" s="246">
        <v>3</v>
      </c>
      <c r="M73" s="246"/>
      <c r="N73" s="246">
        <v>3</v>
      </c>
      <c r="O73" s="246">
        <v>0.55000000000000004</v>
      </c>
      <c r="P73" s="246">
        <v>0.6</v>
      </c>
      <c r="Q73" s="139">
        <f t="shared" si="3"/>
        <v>0.57499999999999996</v>
      </c>
      <c r="R73" s="246">
        <v>16.8</v>
      </c>
      <c r="S73" s="246">
        <v>125</v>
      </c>
      <c r="T73" s="140">
        <f t="shared" si="4"/>
        <v>27</v>
      </c>
      <c r="U73" s="246">
        <v>494</v>
      </c>
      <c r="V73" s="141">
        <f t="shared" si="5"/>
        <v>4446</v>
      </c>
      <c r="W73" s="246">
        <v>16</v>
      </c>
      <c r="X73" s="137" t="s">
        <v>46</v>
      </c>
      <c r="Y73" s="246" t="s">
        <v>90</v>
      </c>
      <c r="Z73" s="246" t="s">
        <v>50</v>
      </c>
      <c r="AA73" s="246" t="s">
        <v>78</v>
      </c>
      <c r="AB73" s="137" t="s">
        <v>439</v>
      </c>
      <c r="AC73" s="246"/>
    </row>
    <row r="74" spans="1:29" x14ac:dyDescent="0.15">
      <c r="A74" s="137" t="s">
        <v>61</v>
      </c>
      <c r="B74" s="137" t="s">
        <v>410</v>
      </c>
      <c r="C74" s="137">
        <v>2018</v>
      </c>
      <c r="D74" s="138" t="s">
        <v>438</v>
      </c>
      <c r="E74" s="137" t="s">
        <v>258</v>
      </c>
      <c r="F74" s="137" t="s">
        <v>257</v>
      </c>
      <c r="G74" s="137" t="s">
        <v>42</v>
      </c>
      <c r="H74" s="246" t="s">
        <v>129</v>
      </c>
      <c r="I74" s="246" t="s">
        <v>153</v>
      </c>
      <c r="J74" s="137" t="s">
        <v>233</v>
      </c>
      <c r="K74" s="246" t="s">
        <v>59</v>
      </c>
      <c r="L74" s="246">
        <v>1</v>
      </c>
      <c r="M74" s="246"/>
      <c r="N74" s="246">
        <v>4</v>
      </c>
      <c r="O74" s="246">
        <v>0.5</v>
      </c>
      <c r="P74" s="246">
        <v>0.5</v>
      </c>
      <c r="Q74" s="139">
        <f t="shared" si="3"/>
        <v>0.5</v>
      </c>
      <c r="R74" s="246">
        <v>17.3</v>
      </c>
      <c r="S74" s="246">
        <v>68</v>
      </c>
      <c r="T74" s="140">
        <f t="shared" si="4"/>
        <v>50</v>
      </c>
      <c r="U74" s="246">
        <v>429</v>
      </c>
      <c r="V74" s="141">
        <f t="shared" si="5"/>
        <v>5362.5</v>
      </c>
      <c r="W74" s="246">
        <v>16</v>
      </c>
      <c r="X74" s="137" t="s">
        <v>46</v>
      </c>
      <c r="Y74" s="246" t="s">
        <v>90</v>
      </c>
      <c r="Z74" s="246" t="s">
        <v>50</v>
      </c>
      <c r="AA74" s="246" t="s">
        <v>78</v>
      </c>
      <c r="AB74" s="137" t="s">
        <v>439</v>
      </c>
      <c r="AC74" s="246"/>
    </row>
    <row r="75" spans="1:29" x14ac:dyDescent="0.15">
      <c r="A75" s="137" t="s">
        <v>61</v>
      </c>
      <c r="B75" s="137" t="s">
        <v>410</v>
      </c>
      <c r="C75" s="137">
        <v>2018</v>
      </c>
      <c r="D75" s="138" t="s">
        <v>438</v>
      </c>
      <c r="E75" s="137" t="s">
        <v>258</v>
      </c>
      <c r="F75" s="137" t="s">
        <v>257</v>
      </c>
      <c r="G75" s="137" t="s">
        <v>42</v>
      </c>
      <c r="H75" s="246" t="s">
        <v>129</v>
      </c>
      <c r="I75" s="246" t="s">
        <v>153</v>
      </c>
      <c r="J75" s="137" t="s">
        <v>233</v>
      </c>
      <c r="K75" s="246" t="s">
        <v>59</v>
      </c>
      <c r="L75" s="246">
        <v>2</v>
      </c>
      <c r="M75" s="246"/>
      <c r="N75" s="246">
        <v>4</v>
      </c>
      <c r="O75" s="246">
        <v>0.5</v>
      </c>
      <c r="P75" s="246">
        <v>0.5</v>
      </c>
      <c r="Q75" s="139">
        <f t="shared" si="3"/>
        <v>0.5</v>
      </c>
      <c r="R75" s="246">
        <v>17.3</v>
      </c>
      <c r="S75" s="246">
        <v>51</v>
      </c>
      <c r="T75" s="140">
        <f t="shared" si="4"/>
        <v>50</v>
      </c>
      <c r="U75" s="246">
        <v>429</v>
      </c>
      <c r="V75" s="141">
        <f t="shared" si="5"/>
        <v>5362.5</v>
      </c>
      <c r="W75" s="246">
        <v>16</v>
      </c>
      <c r="X75" s="137" t="s">
        <v>46</v>
      </c>
      <c r="Y75" s="246" t="s">
        <v>90</v>
      </c>
      <c r="Z75" s="246" t="s">
        <v>50</v>
      </c>
      <c r="AA75" s="246" t="s">
        <v>78</v>
      </c>
      <c r="AB75" s="137" t="s">
        <v>439</v>
      </c>
      <c r="AC75" s="246"/>
    </row>
    <row r="76" spans="1:29" x14ac:dyDescent="0.15">
      <c r="A76" s="137" t="s">
        <v>61</v>
      </c>
      <c r="B76" s="137" t="s">
        <v>410</v>
      </c>
      <c r="C76" s="137">
        <v>2018</v>
      </c>
      <c r="D76" s="138" t="s">
        <v>438</v>
      </c>
      <c r="E76" s="137" t="s">
        <v>258</v>
      </c>
      <c r="F76" s="137" t="s">
        <v>257</v>
      </c>
      <c r="G76" s="137" t="s">
        <v>42</v>
      </c>
      <c r="H76" s="246" t="s">
        <v>129</v>
      </c>
      <c r="I76" s="246" t="s">
        <v>153</v>
      </c>
      <c r="J76" s="137" t="s">
        <v>233</v>
      </c>
      <c r="K76" s="246" t="s">
        <v>59</v>
      </c>
      <c r="L76" s="246">
        <v>3</v>
      </c>
      <c r="M76" s="246"/>
      <c r="N76" s="246">
        <v>4</v>
      </c>
      <c r="O76" s="246">
        <v>0.55000000000000004</v>
      </c>
      <c r="P76" s="246">
        <v>0.5</v>
      </c>
      <c r="Q76" s="139">
        <f t="shared" si="3"/>
        <v>0.52500000000000002</v>
      </c>
      <c r="R76" s="246">
        <v>17</v>
      </c>
      <c r="S76" s="246">
        <v>65</v>
      </c>
      <c r="T76" s="140">
        <f t="shared" si="4"/>
        <v>50</v>
      </c>
      <c r="U76" s="246">
        <v>429</v>
      </c>
      <c r="V76" s="141">
        <f t="shared" si="5"/>
        <v>5362.5</v>
      </c>
      <c r="W76" s="246">
        <v>16</v>
      </c>
      <c r="X76" s="137" t="s">
        <v>46</v>
      </c>
      <c r="Y76" s="246" t="s">
        <v>90</v>
      </c>
      <c r="Z76" s="246" t="s">
        <v>50</v>
      </c>
      <c r="AA76" s="246" t="s">
        <v>78</v>
      </c>
      <c r="AB76" s="137" t="s">
        <v>439</v>
      </c>
      <c r="AC76" s="246"/>
    </row>
    <row r="77" spans="1:29" x14ac:dyDescent="0.15">
      <c r="A77" s="137"/>
      <c r="B77" s="137"/>
      <c r="C77" s="137"/>
      <c r="D77" s="138"/>
      <c r="E77" s="137"/>
      <c r="F77" s="137"/>
      <c r="G77" s="137"/>
      <c r="H77" s="246"/>
      <c r="I77" s="246"/>
      <c r="J77" s="137"/>
      <c r="K77" s="246"/>
      <c r="L77" s="246"/>
      <c r="M77" s="246"/>
      <c r="N77" s="246"/>
      <c r="O77" s="246"/>
      <c r="P77" s="246"/>
      <c r="Q77" s="139" t="str">
        <f t="shared" si="3"/>
        <v/>
      </c>
      <c r="R77" s="246"/>
      <c r="S77" s="246"/>
      <c r="T77" s="140" t="str">
        <f t="shared" si="4"/>
        <v/>
      </c>
      <c r="U77" s="246"/>
      <c r="V77" s="141" t="str">
        <f t="shared" si="5"/>
        <v/>
      </c>
      <c r="W77" s="246"/>
      <c r="X77" s="137"/>
      <c r="Y77" s="246"/>
      <c r="Z77" s="246"/>
      <c r="AA77" s="246"/>
      <c r="AB77" s="137"/>
      <c r="AC77" s="246"/>
    </row>
    <row r="78" spans="1:29" x14ac:dyDescent="0.15">
      <c r="A78" s="137"/>
      <c r="B78" s="137"/>
      <c r="C78" s="137"/>
      <c r="D78" s="138"/>
      <c r="E78" s="137"/>
      <c r="F78" s="137"/>
      <c r="G78" s="137"/>
      <c r="H78" s="246"/>
      <c r="I78" s="246"/>
      <c r="J78" s="137"/>
      <c r="K78" s="246"/>
      <c r="L78" s="246"/>
      <c r="M78" s="246"/>
      <c r="N78" s="246"/>
      <c r="O78" s="246"/>
      <c r="P78" s="246"/>
      <c r="Q78" s="139" t="str">
        <f t="shared" si="3"/>
        <v/>
      </c>
      <c r="R78" s="246"/>
      <c r="S78" s="246"/>
      <c r="T78" s="140" t="str">
        <f t="shared" si="4"/>
        <v/>
      </c>
      <c r="U78" s="246"/>
      <c r="V78" s="141" t="str">
        <f t="shared" si="5"/>
        <v/>
      </c>
      <c r="W78" s="246"/>
      <c r="X78" s="137"/>
      <c r="Y78" s="246"/>
      <c r="Z78" s="246"/>
      <c r="AA78" s="246"/>
      <c r="AB78" s="137"/>
      <c r="AC78" s="246"/>
    </row>
    <row r="79" spans="1:29" x14ac:dyDescent="0.15">
      <c r="A79" s="137"/>
      <c r="B79" s="137"/>
      <c r="C79" s="137"/>
      <c r="D79" s="138"/>
      <c r="E79" s="137"/>
      <c r="F79" s="137"/>
      <c r="G79" s="137"/>
      <c r="H79" s="246"/>
      <c r="I79" s="246"/>
      <c r="J79" s="137"/>
      <c r="K79" s="246"/>
      <c r="L79" s="246"/>
      <c r="M79" s="246"/>
      <c r="N79" s="246"/>
      <c r="O79" s="246"/>
      <c r="P79" s="246"/>
      <c r="Q79" s="139" t="str">
        <f t="shared" si="3"/>
        <v/>
      </c>
      <c r="R79" s="246"/>
      <c r="S79" s="246"/>
      <c r="T79" s="140" t="str">
        <f t="shared" si="4"/>
        <v/>
      </c>
      <c r="U79" s="246"/>
      <c r="V79" s="141" t="str">
        <f t="shared" si="5"/>
        <v/>
      </c>
      <c r="W79" s="246"/>
      <c r="X79" s="137"/>
      <c r="Y79" s="246"/>
      <c r="Z79" s="246"/>
      <c r="AA79" s="246"/>
      <c r="AB79" s="137"/>
      <c r="AC79" s="246"/>
    </row>
    <row r="80" spans="1:29" x14ac:dyDescent="0.15">
      <c r="A80" s="137"/>
      <c r="B80" s="137"/>
      <c r="C80" s="137"/>
      <c r="D80" s="138"/>
      <c r="E80" s="246"/>
      <c r="F80" s="246"/>
      <c r="G80" s="137"/>
      <c r="H80" s="246"/>
      <c r="I80" s="246"/>
      <c r="J80" s="137"/>
      <c r="K80" s="246"/>
      <c r="L80" s="246"/>
      <c r="M80" s="246"/>
      <c r="N80" s="246"/>
      <c r="O80" s="246"/>
      <c r="P80" s="246"/>
      <c r="Q80" s="139"/>
      <c r="R80" s="246"/>
      <c r="S80" s="246"/>
      <c r="T80" s="140"/>
      <c r="U80" s="246"/>
      <c r="V80" s="141"/>
      <c r="W80" s="246"/>
      <c r="X80" s="137"/>
      <c r="Y80" s="246"/>
      <c r="Z80" s="246"/>
      <c r="AA80" s="246"/>
      <c r="AB80" s="137"/>
      <c r="AC80" s="246"/>
    </row>
    <row r="81" spans="1:29" x14ac:dyDescent="0.15">
      <c r="A81" s="137"/>
      <c r="B81" s="137"/>
      <c r="C81" s="137"/>
      <c r="D81" s="138"/>
      <c r="E81" s="246"/>
      <c r="F81" s="246"/>
      <c r="G81" s="137"/>
      <c r="H81" s="246"/>
      <c r="I81" s="246"/>
      <c r="J81" s="137"/>
      <c r="K81" s="246"/>
      <c r="L81" s="246"/>
      <c r="M81" s="246"/>
      <c r="N81" s="246"/>
      <c r="O81" s="246"/>
      <c r="P81" s="246"/>
      <c r="Q81" s="139"/>
      <c r="R81" s="246"/>
      <c r="S81" s="246"/>
      <c r="T81" s="140"/>
      <c r="U81" s="246"/>
      <c r="V81" s="141"/>
      <c r="W81" s="246"/>
      <c r="X81" s="137"/>
      <c r="Y81" s="246"/>
      <c r="Z81" s="246"/>
      <c r="AA81" s="246"/>
      <c r="AB81" s="137"/>
      <c r="AC81" s="246"/>
    </row>
    <row r="82" spans="1:29" x14ac:dyDescent="0.15">
      <c r="A82" s="137"/>
      <c r="B82" s="137"/>
      <c r="C82" s="137"/>
      <c r="D82" s="138"/>
      <c r="E82" s="246"/>
      <c r="F82" s="246"/>
      <c r="G82" s="137"/>
      <c r="H82" s="246"/>
      <c r="I82" s="246"/>
      <c r="J82" s="137"/>
      <c r="K82" s="246"/>
      <c r="L82" s="246"/>
      <c r="M82" s="246"/>
      <c r="N82" s="246"/>
      <c r="O82" s="246"/>
      <c r="P82" s="246"/>
      <c r="Q82" s="139"/>
      <c r="R82" s="246"/>
      <c r="S82" s="246"/>
      <c r="T82" s="140"/>
      <c r="U82" s="246"/>
      <c r="V82" s="141"/>
      <c r="W82" s="246"/>
      <c r="X82" s="137"/>
      <c r="Y82" s="246"/>
      <c r="Z82" s="246"/>
      <c r="AA82" s="246"/>
      <c r="AB82" s="137"/>
      <c r="AC82" s="246"/>
    </row>
    <row r="83" spans="1:29" x14ac:dyDescent="0.15">
      <c r="A83" s="137"/>
      <c r="B83" s="137"/>
      <c r="C83" s="137"/>
      <c r="D83" s="138"/>
      <c r="E83" s="246"/>
      <c r="F83" s="246"/>
      <c r="G83" s="137"/>
      <c r="H83" s="246"/>
      <c r="I83" s="246"/>
      <c r="J83" s="137"/>
      <c r="K83" s="246"/>
      <c r="L83" s="246"/>
      <c r="M83" s="246"/>
      <c r="N83" s="246"/>
      <c r="O83" s="246"/>
      <c r="P83" s="246"/>
      <c r="Q83" s="139"/>
      <c r="R83" s="246"/>
      <c r="S83" s="246"/>
      <c r="T83" s="140"/>
      <c r="U83" s="246"/>
      <c r="V83" s="141"/>
      <c r="W83" s="246"/>
      <c r="X83" s="137"/>
      <c r="Y83" s="246"/>
      <c r="Z83" s="246"/>
      <c r="AA83" s="246"/>
      <c r="AB83" s="137"/>
      <c r="AC83" s="246"/>
    </row>
    <row r="84" spans="1:29" x14ac:dyDescent="0.15">
      <c r="A84" s="137"/>
      <c r="B84" s="137"/>
      <c r="C84" s="137"/>
      <c r="D84" s="138"/>
      <c r="E84" s="246"/>
      <c r="F84" s="246"/>
      <c r="G84" s="137"/>
      <c r="H84" s="246"/>
      <c r="I84" s="246"/>
      <c r="J84" s="137"/>
      <c r="K84" s="246"/>
      <c r="L84" s="246"/>
      <c r="M84" s="246"/>
      <c r="N84" s="246"/>
      <c r="O84" s="246"/>
      <c r="P84" s="246"/>
      <c r="Q84" s="139"/>
      <c r="R84" s="246"/>
      <c r="S84" s="246"/>
      <c r="T84" s="140"/>
      <c r="U84" s="246"/>
      <c r="V84" s="141"/>
      <c r="W84" s="246"/>
      <c r="X84" s="137"/>
      <c r="Y84" s="246"/>
      <c r="Z84" s="246"/>
      <c r="AA84" s="246"/>
      <c r="AB84" s="137"/>
      <c r="AC84" s="246"/>
    </row>
    <row r="85" spans="1:29" x14ac:dyDescent="0.15">
      <c r="A85" s="137"/>
      <c r="B85" s="137"/>
      <c r="C85" s="137"/>
      <c r="D85" s="138"/>
      <c r="E85" s="246"/>
      <c r="F85" s="246"/>
      <c r="G85" s="137"/>
      <c r="H85" s="246"/>
      <c r="I85" s="246"/>
      <c r="J85" s="137"/>
      <c r="K85" s="246"/>
      <c r="L85" s="246"/>
      <c r="M85" s="246"/>
      <c r="N85" s="246"/>
      <c r="O85" s="246"/>
      <c r="P85" s="246"/>
      <c r="Q85" s="139"/>
      <c r="R85" s="246"/>
      <c r="S85" s="246"/>
      <c r="T85" s="140"/>
      <c r="U85" s="246"/>
      <c r="V85" s="141"/>
      <c r="W85" s="246"/>
      <c r="X85" s="137"/>
      <c r="Y85" s="246"/>
      <c r="Z85" s="246"/>
      <c r="AA85" s="246"/>
      <c r="AB85" s="137"/>
      <c r="AC85" s="246"/>
    </row>
    <row r="86" spans="1:29" x14ac:dyDescent="0.15">
      <c r="A86" s="137"/>
      <c r="B86" s="137"/>
      <c r="C86" s="137"/>
      <c r="D86" s="138"/>
      <c r="E86" s="246"/>
      <c r="F86" s="246"/>
      <c r="G86" s="137"/>
      <c r="H86" s="246"/>
      <c r="I86" s="246"/>
      <c r="J86" s="137"/>
      <c r="K86" s="246"/>
      <c r="L86" s="246"/>
      <c r="M86" s="246"/>
      <c r="N86" s="246"/>
      <c r="O86" s="246"/>
      <c r="P86" s="246"/>
      <c r="Q86" s="139"/>
      <c r="R86" s="246"/>
      <c r="S86" s="246"/>
      <c r="T86" s="140"/>
      <c r="U86" s="246"/>
      <c r="V86" s="141"/>
      <c r="W86" s="246"/>
      <c r="X86" s="137"/>
      <c r="Y86" s="246"/>
      <c r="Z86" s="246"/>
      <c r="AA86" s="246"/>
      <c r="AB86" s="137"/>
      <c r="AC86" s="246"/>
    </row>
    <row r="87" spans="1:29" x14ac:dyDescent="0.15">
      <c r="A87" s="137"/>
      <c r="B87" s="137"/>
      <c r="C87" s="137"/>
      <c r="D87" s="138"/>
      <c r="E87" s="246"/>
      <c r="F87" s="246"/>
      <c r="G87" s="137"/>
      <c r="H87" s="246"/>
      <c r="I87" s="246"/>
      <c r="J87" s="137"/>
      <c r="K87" s="246"/>
      <c r="L87" s="246"/>
      <c r="M87" s="246"/>
      <c r="N87" s="246"/>
      <c r="O87" s="246"/>
      <c r="P87" s="246"/>
      <c r="Q87" s="139"/>
      <c r="R87" s="246"/>
      <c r="S87" s="246"/>
      <c r="T87" s="140"/>
      <c r="U87" s="246"/>
      <c r="V87" s="141"/>
      <c r="W87" s="246"/>
      <c r="X87" s="137"/>
      <c r="Y87" s="246"/>
      <c r="Z87" s="246"/>
      <c r="AA87" s="246"/>
      <c r="AB87" s="137"/>
      <c r="AC87" s="246"/>
    </row>
    <row r="88" spans="1:29" x14ac:dyDescent="0.15">
      <c r="A88" s="137"/>
      <c r="B88" s="137"/>
      <c r="C88" s="137"/>
      <c r="D88" s="138"/>
      <c r="E88" s="246"/>
      <c r="F88" s="246"/>
      <c r="G88" s="137"/>
      <c r="H88" s="246"/>
      <c r="I88" s="246"/>
      <c r="J88" s="137"/>
      <c r="K88" s="246"/>
      <c r="L88" s="246"/>
      <c r="M88" s="246"/>
      <c r="N88" s="246"/>
      <c r="O88" s="246"/>
      <c r="P88" s="246"/>
      <c r="Q88" s="139"/>
      <c r="R88" s="246"/>
      <c r="S88" s="246"/>
      <c r="T88" s="140"/>
      <c r="U88" s="246"/>
      <c r="V88" s="141"/>
      <c r="W88" s="246"/>
      <c r="X88" s="137"/>
      <c r="Y88" s="246"/>
      <c r="Z88" s="246"/>
      <c r="AA88" s="246"/>
      <c r="AB88" s="137"/>
      <c r="AC88" s="246"/>
    </row>
    <row r="89" spans="1:29" x14ac:dyDescent="0.15">
      <c r="K89" s="246"/>
      <c r="AC89" s="246"/>
    </row>
    <row r="90" spans="1:29" x14ac:dyDescent="0.15">
      <c r="A90" s="137"/>
      <c r="B90" s="137"/>
      <c r="C90" s="137"/>
      <c r="D90" s="138"/>
      <c r="E90" s="246"/>
      <c r="F90" s="246"/>
      <c r="G90" s="137"/>
      <c r="H90" s="246"/>
      <c r="I90" s="246"/>
      <c r="J90" s="137"/>
      <c r="K90" s="246"/>
      <c r="L90" s="246"/>
      <c r="M90" s="246"/>
      <c r="N90" s="246"/>
      <c r="O90" s="246"/>
      <c r="P90" s="246"/>
      <c r="Q90" s="139"/>
      <c r="R90" s="246"/>
      <c r="S90" s="246"/>
      <c r="T90" s="140"/>
      <c r="U90" s="246"/>
      <c r="V90" s="141"/>
      <c r="W90" s="246"/>
      <c r="X90" s="137"/>
      <c r="Y90" s="246"/>
      <c r="Z90" s="246"/>
      <c r="AA90" s="246"/>
      <c r="AB90" s="137"/>
      <c r="AC90" s="246"/>
    </row>
    <row r="91" spans="1:29" x14ac:dyDescent="0.15">
      <c r="A91" s="137"/>
      <c r="B91" s="137"/>
      <c r="C91" s="137"/>
      <c r="D91" s="138"/>
      <c r="E91" s="246"/>
      <c r="F91" s="246"/>
      <c r="G91" s="137"/>
      <c r="H91" s="246"/>
      <c r="I91" s="246"/>
      <c r="J91" s="137"/>
      <c r="K91" s="246"/>
      <c r="L91" s="246"/>
      <c r="M91" s="246"/>
      <c r="N91" s="246"/>
      <c r="O91" s="246"/>
      <c r="P91" s="246"/>
      <c r="Q91" s="139"/>
      <c r="R91" s="246"/>
      <c r="S91" s="246"/>
      <c r="T91" s="140"/>
      <c r="U91" s="246"/>
      <c r="V91" s="141"/>
      <c r="W91" s="246"/>
      <c r="X91" s="137"/>
      <c r="Y91" s="246"/>
      <c r="Z91" s="246"/>
      <c r="AA91" s="246"/>
      <c r="AB91" s="137"/>
      <c r="AC91" s="246"/>
    </row>
    <row r="92" spans="1:29" x14ac:dyDescent="0.15">
      <c r="A92" s="137"/>
      <c r="B92" s="137"/>
      <c r="C92" s="137"/>
      <c r="D92" s="138"/>
      <c r="E92" s="246"/>
      <c r="F92" s="246"/>
      <c r="G92" s="137"/>
      <c r="H92" s="246"/>
      <c r="I92" s="246"/>
      <c r="J92" s="137"/>
      <c r="K92" s="246"/>
      <c r="L92" s="246"/>
      <c r="M92" s="246"/>
      <c r="N92" s="246"/>
      <c r="O92" s="246"/>
      <c r="P92" s="246"/>
      <c r="Q92" s="139"/>
      <c r="R92" s="246"/>
      <c r="S92" s="246"/>
      <c r="T92" s="140"/>
      <c r="U92" s="246"/>
      <c r="V92" s="141"/>
      <c r="W92" s="246"/>
      <c r="X92" s="137"/>
      <c r="Y92" s="246"/>
      <c r="Z92" s="246"/>
      <c r="AA92" s="246"/>
      <c r="AB92" s="137"/>
      <c r="AC92" s="246"/>
    </row>
    <row r="93" spans="1:29" x14ac:dyDescent="0.15">
      <c r="A93" s="137"/>
      <c r="B93" s="137"/>
      <c r="C93" s="137"/>
      <c r="D93" s="138"/>
      <c r="E93" s="246"/>
      <c r="F93" s="246"/>
      <c r="G93" s="137"/>
      <c r="H93" s="246"/>
      <c r="I93" s="246"/>
      <c r="J93" s="137"/>
      <c r="K93" s="246"/>
      <c r="L93" s="246"/>
      <c r="M93" s="246"/>
      <c r="N93" s="246"/>
      <c r="O93" s="246"/>
      <c r="P93" s="246"/>
      <c r="Q93" s="139"/>
      <c r="R93" s="246"/>
      <c r="S93" s="246"/>
      <c r="T93" s="140"/>
      <c r="U93" s="246"/>
      <c r="V93" s="141"/>
      <c r="W93" s="246"/>
      <c r="X93" s="137"/>
      <c r="Y93" s="246"/>
      <c r="Z93" s="246"/>
      <c r="AA93" s="246"/>
      <c r="AB93" s="137"/>
      <c r="AC93" s="246"/>
    </row>
    <row r="94" spans="1:29" x14ac:dyDescent="0.15">
      <c r="A94" s="137"/>
      <c r="B94" s="137"/>
      <c r="C94" s="137"/>
      <c r="D94" s="138"/>
      <c r="E94" s="246"/>
      <c r="F94" s="246"/>
      <c r="G94" s="137"/>
      <c r="H94" s="246"/>
      <c r="I94" s="246"/>
      <c r="J94" s="137"/>
      <c r="K94" s="246"/>
      <c r="L94" s="246"/>
      <c r="M94" s="246"/>
      <c r="N94" s="246"/>
      <c r="O94" s="246"/>
      <c r="P94" s="246"/>
      <c r="Q94" s="139"/>
      <c r="R94" s="246"/>
      <c r="S94" s="246"/>
      <c r="T94" s="140"/>
      <c r="U94" s="246"/>
      <c r="V94" s="141"/>
      <c r="W94" s="246"/>
      <c r="X94" s="137"/>
      <c r="Y94" s="246"/>
      <c r="Z94" s="246"/>
      <c r="AA94" s="246"/>
      <c r="AB94" s="137"/>
      <c r="AC94" s="246"/>
    </row>
    <row r="95" spans="1:29" x14ac:dyDescent="0.15">
      <c r="A95" s="137"/>
      <c r="B95" s="137"/>
      <c r="C95" s="137"/>
      <c r="D95" s="138"/>
      <c r="E95" s="246"/>
      <c r="F95" s="246"/>
      <c r="G95" s="137"/>
      <c r="H95" s="246"/>
      <c r="I95" s="246"/>
      <c r="J95" s="137"/>
      <c r="K95" s="246"/>
      <c r="L95" s="246"/>
      <c r="M95" s="246"/>
      <c r="N95" s="246"/>
      <c r="O95" s="246"/>
      <c r="P95" s="246"/>
      <c r="Q95" s="139"/>
      <c r="R95" s="246"/>
      <c r="S95" s="246"/>
      <c r="T95" s="140"/>
      <c r="U95" s="246"/>
      <c r="V95" s="141"/>
      <c r="W95" s="246"/>
      <c r="X95" s="137"/>
      <c r="Y95" s="246"/>
      <c r="Z95" s="246"/>
      <c r="AA95" s="246"/>
      <c r="AB95" s="137"/>
      <c r="AC95" s="246"/>
    </row>
    <row r="96" spans="1:29" x14ac:dyDescent="0.15">
      <c r="A96" s="137"/>
      <c r="B96" s="137"/>
      <c r="C96" s="137"/>
      <c r="D96" s="138"/>
      <c r="E96" s="246"/>
      <c r="F96" s="246"/>
      <c r="G96" s="137"/>
      <c r="H96" s="246"/>
      <c r="I96" s="246"/>
      <c r="J96" s="137"/>
      <c r="K96" s="246"/>
      <c r="L96" s="246"/>
      <c r="M96" s="246"/>
      <c r="N96" s="246"/>
      <c r="O96" s="246"/>
      <c r="P96" s="246"/>
      <c r="Q96" s="139"/>
      <c r="R96" s="246"/>
      <c r="S96" s="246"/>
      <c r="T96" s="140"/>
      <c r="U96" s="246"/>
      <c r="V96" s="141"/>
      <c r="W96" s="246"/>
      <c r="X96" s="137"/>
      <c r="Y96" s="246"/>
      <c r="Z96" s="246"/>
      <c r="AA96" s="246"/>
      <c r="AB96" s="137"/>
      <c r="AC96" s="246"/>
    </row>
    <row r="97" spans="1:29" x14ac:dyDescent="0.15">
      <c r="A97" s="137"/>
      <c r="B97" s="137"/>
      <c r="C97" s="137"/>
      <c r="D97" s="138"/>
      <c r="E97" s="246"/>
      <c r="F97" s="246"/>
      <c r="G97" s="137"/>
      <c r="H97" s="246"/>
      <c r="I97" s="246"/>
      <c r="J97" s="137"/>
      <c r="K97" s="246"/>
      <c r="L97" s="246"/>
      <c r="M97" s="246"/>
      <c r="N97" s="246"/>
      <c r="O97" s="246"/>
      <c r="P97" s="246"/>
      <c r="Q97" s="139"/>
      <c r="R97" s="246"/>
      <c r="S97" s="246"/>
      <c r="T97" s="140"/>
      <c r="U97" s="246"/>
      <c r="V97" s="141"/>
      <c r="W97" s="246"/>
      <c r="X97" s="137"/>
      <c r="Y97" s="246"/>
      <c r="Z97" s="246"/>
      <c r="AA97" s="246"/>
      <c r="AB97" s="137"/>
      <c r="AC97" s="246"/>
    </row>
    <row r="98" spans="1:29" x14ac:dyDescent="0.15">
      <c r="A98" s="137"/>
      <c r="B98" s="137"/>
      <c r="C98" s="137"/>
      <c r="D98" s="138"/>
      <c r="E98" s="246"/>
      <c r="F98" s="246"/>
      <c r="G98" s="137"/>
      <c r="H98" s="246"/>
      <c r="I98" s="246"/>
      <c r="J98" s="137"/>
      <c r="K98" s="246"/>
      <c r="L98" s="246"/>
      <c r="M98" s="246"/>
      <c r="N98" s="246"/>
      <c r="O98" s="246"/>
      <c r="P98" s="246"/>
      <c r="Q98" s="139"/>
      <c r="R98" s="246"/>
      <c r="S98" s="246"/>
      <c r="T98" s="140"/>
      <c r="U98" s="246"/>
      <c r="V98" s="141"/>
      <c r="W98" s="246"/>
      <c r="X98" s="137"/>
      <c r="Y98" s="246"/>
      <c r="Z98" s="246"/>
      <c r="AA98" s="246"/>
      <c r="AB98" s="137"/>
      <c r="AC98" s="246"/>
    </row>
    <row r="99" spans="1:29" x14ac:dyDescent="0.15">
      <c r="A99" s="137"/>
      <c r="B99" s="137"/>
      <c r="C99" s="137"/>
      <c r="D99" s="138"/>
      <c r="E99" s="246"/>
      <c r="F99" s="246"/>
      <c r="G99" s="137"/>
      <c r="H99" s="246"/>
      <c r="I99" s="246"/>
      <c r="J99" s="137"/>
      <c r="K99" s="246"/>
      <c r="L99" s="246"/>
      <c r="M99" s="246"/>
      <c r="N99" s="246"/>
      <c r="O99" s="246"/>
      <c r="P99" s="246"/>
      <c r="Q99" s="139"/>
      <c r="R99" s="246"/>
      <c r="S99" s="246"/>
      <c r="T99" s="140"/>
      <c r="U99" s="246"/>
      <c r="V99" s="141"/>
      <c r="W99" s="246"/>
      <c r="X99" s="137"/>
      <c r="Y99" s="246"/>
      <c r="Z99" s="246"/>
      <c r="AA99" s="246"/>
      <c r="AB99" s="137"/>
      <c r="AC99" s="246"/>
    </row>
    <row r="100" spans="1:29" x14ac:dyDescent="0.15">
      <c r="A100" s="137"/>
      <c r="B100" s="137"/>
      <c r="C100" s="137"/>
      <c r="D100" s="138"/>
      <c r="E100" s="246"/>
      <c r="F100" s="246"/>
      <c r="G100" s="137"/>
      <c r="H100" s="246"/>
      <c r="I100" s="246"/>
      <c r="J100" s="137"/>
      <c r="K100" s="246"/>
      <c r="L100" s="246"/>
      <c r="M100" s="246"/>
      <c r="N100" s="246"/>
      <c r="O100" s="246"/>
      <c r="P100" s="246"/>
      <c r="Q100" s="139"/>
      <c r="R100" s="246"/>
      <c r="S100" s="246"/>
      <c r="T100" s="140"/>
      <c r="U100" s="246"/>
      <c r="V100" s="141"/>
      <c r="W100" s="246"/>
      <c r="X100" s="137"/>
      <c r="Y100" s="246"/>
      <c r="Z100" s="246"/>
      <c r="AA100" s="246"/>
      <c r="AB100" s="137"/>
      <c r="AC100" s="246"/>
    </row>
    <row r="101" spans="1:29" x14ac:dyDescent="0.15">
      <c r="A101" s="137"/>
      <c r="B101" s="137"/>
      <c r="C101" s="137"/>
      <c r="D101" s="138"/>
      <c r="E101" s="246"/>
      <c r="F101" s="246"/>
      <c r="G101" s="137"/>
      <c r="H101" s="246"/>
      <c r="I101" s="246"/>
      <c r="J101" s="137"/>
      <c r="K101" s="246"/>
      <c r="L101" s="246"/>
      <c r="M101" s="246"/>
      <c r="N101" s="246"/>
      <c r="O101" s="246"/>
      <c r="P101" s="246"/>
      <c r="Q101" s="139"/>
      <c r="R101" s="246"/>
      <c r="S101" s="246"/>
      <c r="T101" s="140"/>
      <c r="U101" s="246"/>
      <c r="V101" s="141"/>
      <c r="W101" s="246"/>
      <c r="X101" s="137"/>
      <c r="Y101" s="246"/>
      <c r="Z101" s="246"/>
      <c r="AA101" s="246"/>
      <c r="AB101" s="137"/>
      <c r="AC101" s="246"/>
    </row>
    <row r="102" spans="1:29" x14ac:dyDescent="0.15">
      <c r="A102" s="137"/>
      <c r="B102" s="137"/>
      <c r="C102" s="137"/>
      <c r="D102" s="138"/>
      <c r="E102" s="246"/>
      <c r="F102" s="246"/>
      <c r="G102" s="137"/>
      <c r="H102" s="246"/>
      <c r="I102" s="246"/>
      <c r="J102" s="137"/>
      <c r="K102" s="246"/>
      <c r="L102" s="246"/>
      <c r="M102" s="246"/>
      <c r="N102" s="246"/>
      <c r="O102" s="246"/>
      <c r="P102" s="246"/>
      <c r="Q102" s="139"/>
      <c r="R102" s="246"/>
      <c r="S102" s="246"/>
      <c r="T102" s="140"/>
      <c r="U102" s="246"/>
      <c r="V102" s="141"/>
      <c r="W102" s="246"/>
      <c r="X102" s="137"/>
      <c r="Y102" s="246"/>
      <c r="Z102" s="246"/>
      <c r="AA102" s="246"/>
      <c r="AB102" s="137"/>
      <c r="AC102" s="246"/>
    </row>
    <row r="103" spans="1:29" x14ac:dyDescent="0.15">
      <c r="A103" s="137"/>
      <c r="B103" s="137"/>
      <c r="C103" s="137"/>
      <c r="D103" s="138"/>
      <c r="E103" s="246"/>
      <c r="F103" s="246"/>
      <c r="G103" s="137"/>
      <c r="H103" s="246"/>
      <c r="I103" s="246"/>
      <c r="J103" s="137"/>
      <c r="K103" s="246"/>
      <c r="L103" s="246"/>
      <c r="M103" s="246"/>
      <c r="N103" s="246"/>
      <c r="O103" s="246"/>
      <c r="P103" s="246"/>
      <c r="Q103" s="139"/>
      <c r="R103" s="246"/>
      <c r="S103" s="246"/>
      <c r="T103" s="140"/>
      <c r="U103" s="246"/>
      <c r="V103" s="141"/>
      <c r="W103" s="246"/>
      <c r="X103" s="137"/>
      <c r="Y103" s="246"/>
      <c r="Z103" s="246"/>
      <c r="AA103" s="246"/>
      <c r="AB103" s="137"/>
      <c r="AC103" s="246"/>
    </row>
    <row r="104" spans="1:29" x14ac:dyDescent="0.15">
      <c r="A104" s="137"/>
      <c r="B104" s="137"/>
      <c r="C104" s="137"/>
      <c r="D104" s="138"/>
      <c r="E104" s="246"/>
      <c r="F104" s="246"/>
      <c r="G104" s="137"/>
      <c r="H104" s="246"/>
      <c r="I104" s="246"/>
      <c r="J104" s="137"/>
      <c r="K104" s="246"/>
      <c r="L104" s="246"/>
      <c r="M104" s="246"/>
      <c r="N104" s="246"/>
      <c r="O104" s="246"/>
      <c r="P104" s="246"/>
      <c r="Q104" s="139"/>
      <c r="R104" s="246"/>
      <c r="S104" s="246"/>
      <c r="T104" s="140"/>
      <c r="U104" s="246"/>
      <c r="V104" s="141"/>
      <c r="W104" s="246"/>
      <c r="X104" s="137"/>
      <c r="Y104" s="246"/>
      <c r="Z104" s="246"/>
      <c r="AA104" s="246"/>
      <c r="AB104" s="137"/>
      <c r="AC104" s="246"/>
    </row>
    <row r="105" spans="1:29" x14ac:dyDescent="0.15">
      <c r="A105" s="137"/>
      <c r="B105" s="137"/>
      <c r="C105" s="137"/>
      <c r="D105" s="138"/>
      <c r="E105" s="246"/>
      <c r="F105" s="246"/>
      <c r="G105" s="137"/>
      <c r="H105" s="246"/>
      <c r="I105" s="246"/>
      <c r="J105" s="137"/>
      <c r="K105" s="246"/>
      <c r="L105" s="246"/>
      <c r="M105" s="246"/>
      <c r="N105" s="246"/>
      <c r="O105" s="246"/>
      <c r="P105" s="246"/>
      <c r="Q105" s="139"/>
      <c r="R105" s="246"/>
      <c r="S105" s="246"/>
      <c r="T105" s="140"/>
      <c r="U105" s="246"/>
      <c r="V105" s="141"/>
      <c r="W105" s="246"/>
      <c r="X105" s="137"/>
      <c r="Y105" s="246"/>
      <c r="Z105" s="246"/>
      <c r="AA105" s="246"/>
      <c r="AB105" s="137"/>
      <c r="AC105" s="246"/>
    </row>
    <row r="106" spans="1:29" x14ac:dyDescent="0.15">
      <c r="A106" s="137"/>
      <c r="B106" s="137"/>
      <c r="C106" s="137"/>
      <c r="D106" s="138"/>
      <c r="E106" s="246"/>
      <c r="F106" s="246"/>
      <c r="G106" s="137"/>
      <c r="H106" s="246"/>
      <c r="I106" s="246"/>
      <c r="J106" s="137"/>
      <c r="K106" s="246"/>
      <c r="L106" s="246"/>
      <c r="M106" s="246"/>
      <c r="N106" s="246"/>
      <c r="O106" s="246"/>
      <c r="P106" s="246"/>
      <c r="Q106" s="139"/>
      <c r="R106" s="246"/>
      <c r="S106" s="246"/>
      <c r="T106" s="140"/>
      <c r="U106" s="246"/>
      <c r="V106" s="141"/>
      <c r="W106" s="246"/>
      <c r="X106" s="137"/>
      <c r="Y106" s="246"/>
      <c r="Z106" s="246"/>
      <c r="AA106" s="246"/>
      <c r="AB106" s="137"/>
      <c r="AC106" s="246"/>
    </row>
    <row r="107" spans="1:29" x14ac:dyDescent="0.15">
      <c r="A107" s="246"/>
      <c r="B107" s="246"/>
      <c r="C107" s="246"/>
      <c r="D107" s="246"/>
      <c r="E107" s="246"/>
      <c r="F107" s="246"/>
      <c r="G107" s="246"/>
      <c r="H107" s="246"/>
      <c r="I107" s="246"/>
      <c r="J107" s="246"/>
      <c r="K107" s="246"/>
      <c r="L107" s="246"/>
      <c r="M107" s="246"/>
      <c r="N107" s="246"/>
      <c r="O107" s="246"/>
      <c r="P107" s="246"/>
      <c r="Q107" s="140"/>
      <c r="R107" s="246"/>
      <c r="S107" s="246"/>
      <c r="T107" s="140"/>
      <c r="U107" s="246"/>
      <c r="V107" s="140"/>
      <c r="W107" s="246"/>
      <c r="X107" s="246"/>
      <c r="Y107" s="246"/>
      <c r="Z107" s="246"/>
      <c r="AA107" s="246"/>
      <c r="AB107" s="246"/>
      <c r="AC107" s="246"/>
    </row>
    <row r="108" spans="1:29" x14ac:dyDescent="0.15">
      <c r="A108" s="246"/>
      <c r="B108" s="246"/>
      <c r="C108" s="246"/>
      <c r="D108" s="246"/>
      <c r="E108" s="246"/>
      <c r="F108" s="246"/>
      <c r="G108" s="246"/>
      <c r="H108" s="246"/>
      <c r="I108" s="246"/>
      <c r="J108" s="246"/>
      <c r="K108" s="246"/>
      <c r="L108" s="246" t="s">
        <v>455</v>
      </c>
      <c r="M108" s="246"/>
      <c r="N108" s="246"/>
      <c r="O108" s="246"/>
      <c r="P108" s="246"/>
      <c r="Q108" s="140"/>
      <c r="R108" s="246"/>
      <c r="S108" s="246"/>
      <c r="T108" s="140"/>
      <c r="U108" s="246"/>
      <c r="V108" s="140"/>
      <c r="W108" s="246"/>
      <c r="X108" s="246"/>
      <c r="Y108" s="246"/>
      <c r="Z108" s="246"/>
      <c r="AA108" s="246"/>
      <c r="AB108" s="246"/>
      <c r="AC108" s="246"/>
    </row>
    <row r="109" spans="1:29" x14ac:dyDescent="0.15">
      <c r="K109" s="246"/>
    </row>
    <row r="110" spans="1:29" x14ac:dyDescent="0.15">
      <c r="K110" s="246"/>
    </row>
    <row r="111" spans="1:29" x14ac:dyDescent="0.15">
      <c r="K111" s="246"/>
    </row>
    <row r="112" spans="1:29" x14ac:dyDescent="0.15">
      <c r="K112" s="246"/>
    </row>
    <row r="113" spans="11:11" x14ac:dyDescent="0.15">
      <c r="K113" s="246"/>
    </row>
    <row r="114" spans="11:11" x14ac:dyDescent="0.15">
      <c r="K114" s="246"/>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O14:O22 N68:N72 N11:N13 N17:N22 P5:P37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8"/>
  <sheetViews>
    <sheetView zoomScale="85" zoomScaleNormal="85" workbookViewId="0">
      <selection activeCell="M23" sqref="M23"/>
    </sheetView>
  </sheetViews>
  <sheetFormatPr defaultColWidth="8.875" defaultRowHeight="13.5" x14ac:dyDescent="0.15"/>
  <cols>
    <col min="1" max="3" width="8.875" style="207"/>
    <col min="4" max="4" width="13.5" style="207" bestFit="1" customWidth="1"/>
    <col min="5" max="5" width="9.625" style="207" bestFit="1" customWidth="1"/>
    <col min="6" max="16" width="8.875" style="207"/>
    <col min="17" max="17" width="8.875" style="216"/>
    <col min="18" max="19" width="8.875" style="207"/>
    <col min="20" max="20" width="8.875" style="216"/>
    <col min="21" max="21" width="8.875" style="207"/>
    <col min="22" max="22" width="8.875" style="216"/>
    <col min="23" max="32" width="8.875" style="207"/>
    <col min="33" max="33" width="19.625" style="207" bestFit="1" customWidth="1"/>
    <col min="34" max="259" width="8.875" style="207"/>
    <col min="260" max="260" width="10.5" style="207" bestFit="1" customWidth="1"/>
    <col min="261" max="261" width="9.625" style="207" bestFit="1" customWidth="1"/>
    <col min="262" max="515" width="8.875" style="207"/>
    <col min="516" max="516" width="10.5" style="207" bestFit="1" customWidth="1"/>
    <col min="517" max="517" width="9.625" style="207" bestFit="1" customWidth="1"/>
    <col min="518" max="771" width="8.875" style="207"/>
    <col min="772" max="772" width="10.5" style="207" bestFit="1" customWidth="1"/>
    <col min="773" max="773" width="9.625" style="207" bestFit="1" customWidth="1"/>
    <col min="774" max="1027" width="8.875" style="207"/>
    <col min="1028" max="1028" width="10.5" style="207" bestFit="1" customWidth="1"/>
    <col min="1029" max="1029" width="9.625" style="207" bestFit="1" customWidth="1"/>
    <col min="1030" max="1283" width="8.875" style="207"/>
    <col min="1284" max="1284" width="10.5" style="207" bestFit="1" customWidth="1"/>
    <col min="1285" max="1285" width="9.625" style="207" bestFit="1" customWidth="1"/>
    <col min="1286" max="1539" width="8.875" style="207"/>
    <col min="1540" max="1540" width="10.5" style="207" bestFit="1" customWidth="1"/>
    <col min="1541" max="1541" width="9.625" style="207" bestFit="1" customWidth="1"/>
    <col min="1542" max="1795" width="8.875" style="207"/>
    <col min="1796" max="1796" width="10.5" style="207" bestFit="1" customWidth="1"/>
    <col min="1797" max="1797" width="9.625" style="207" bestFit="1" customWidth="1"/>
    <col min="1798" max="2051" width="8.875" style="207"/>
    <col min="2052" max="2052" width="10.5" style="207" bestFit="1" customWidth="1"/>
    <col min="2053" max="2053" width="9.625" style="207" bestFit="1" customWidth="1"/>
    <col min="2054" max="2307" width="8.875" style="207"/>
    <col min="2308" max="2308" width="10.5" style="207" bestFit="1" customWidth="1"/>
    <col min="2309" max="2309" width="9.625" style="207" bestFit="1" customWidth="1"/>
    <col min="2310" max="2563" width="8.875" style="207"/>
    <col min="2564" max="2564" width="10.5" style="207" bestFit="1" customWidth="1"/>
    <col min="2565" max="2565" width="9.625" style="207" bestFit="1" customWidth="1"/>
    <col min="2566" max="2819" width="8.875" style="207"/>
    <col min="2820" max="2820" width="10.5" style="207" bestFit="1" customWidth="1"/>
    <col min="2821" max="2821" width="9.625" style="207" bestFit="1" customWidth="1"/>
    <col min="2822" max="3075" width="8.875" style="207"/>
    <col min="3076" max="3076" width="10.5" style="207" bestFit="1" customWidth="1"/>
    <col min="3077" max="3077" width="9.625" style="207" bestFit="1" customWidth="1"/>
    <col min="3078" max="3331" width="8.875" style="207"/>
    <col min="3332" max="3332" width="10.5" style="207" bestFit="1" customWidth="1"/>
    <col min="3333" max="3333" width="9.625" style="207" bestFit="1" customWidth="1"/>
    <col min="3334" max="3587" width="8.875" style="207"/>
    <col min="3588" max="3588" width="10.5" style="207" bestFit="1" customWidth="1"/>
    <col min="3589" max="3589" width="9.625" style="207" bestFit="1" customWidth="1"/>
    <col min="3590" max="3843" width="8.875" style="207"/>
    <col min="3844" max="3844" width="10.5" style="207" bestFit="1" customWidth="1"/>
    <col min="3845" max="3845" width="9.625" style="207" bestFit="1" customWidth="1"/>
    <col min="3846" max="4099" width="8.875" style="207"/>
    <col min="4100" max="4100" width="10.5" style="207" bestFit="1" customWidth="1"/>
    <col min="4101" max="4101" width="9.625" style="207" bestFit="1" customWidth="1"/>
    <col min="4102" max="4355" width="8.875" style="207"/>
    <col min="4356" max="4356" width="10.5" style="207" bestFit="1" customWidth="1"/>
    <col min="4357" max="4357" width="9.625" style="207" bestFit="1" customWidth="1"/>
    <col min="4358" max="4611" width="8.875" style="207"/>
    <col min="4612" max="4612" width="10.5" style="207" bestFit="1" customWidth="1"/>
    <col min="4613" max="4613" width="9.625" style="207" bestFit="1" customWidth="1"/>
    <col min="4614" max="4867" width="8.875" style="207"/>
    <col min="4868" max="4868" width="10.5" style="207" bestFit="1" customWidth="1"/>
    <col min="4869" max="4869" width="9.625" style="207" bestFit="1" customWidth="1"/>
    <col min="4870" max="5123" width="8.875" style="207"/>
    <col min="5124" max="5124" width="10.5" style="207" bestFit="1" customWidth="1"/>
    <col min="5125" max="5125" width="9.625" style="207" bestFit="1" customWidth="1"/>
    <col min="5126" max="5379" width="8.875" style="207"/>
    <col min="5380" max="5380" width="10.5" style="207" bestFit="1" customWidth="1"/>
    <col min="5381" max="5381" width="9.625" style="207" bestFit="1" customWidth="1"/>
    <col min="5382" max="5635" width="8.875" style="207"/>
    <col min="5636" max="5636" width="10.5" style="207" bestFit="1" customWidth="1"/>
    <col min="5637" max="5637" width="9.625" style="207" bestFit="1" customWidth="1"/>
    <col min="5638" max="5891" width="8.875" style="207"/>
    <col min="5892" max="5892" width="10.5" style="207" bestFit="1" customWidth="1"/>
    <col min="5893" max="5893" width="9.625" style="207" bestFit="1" customWidth="1"/>
    <col min="5894" max="6147" width="8.875" style="207"/>
    <col min="6148" max="6148" width="10.5" style="207" bestFit="1" customWidth="1"/>
    <col min="6149" max="6149" width="9.625" style="207" bestFit="1" customWidth="1"/>
    <col min="6150" max="6403" width="8.875" style="207"/>
    <col min="6404" max="6404" width="10.5" style="207" bestFit="1" customWidth="1"/>
    <col min="6405" max="6405" width="9.625" style="207" bestFit="1" customWidth="1"/>
    <col min="6406" max="6659" width="8.875" style="207"/>
    <col min="6660" max="6660" width="10.5" style="207" bestFit="1" customWidth="1"/>
    <col min="6661" max="6661" width="9.625" style="207" bestFit="1" customWidth="1"/>
    <col min="6662" max="6915" width="8.875" style="207"/>
    <col min="6916" max="6916" width="10.5" style="207" bestFit="1" customWidth="1"/>
    <col min="6917" max="6917" width="9.625" style="207" bestFit="1" customWidth="1"/>
    <col min="6918" max="7171" width="8.875" style="207"/>
    <col min="7172" max="7172" width="10.5" style="207" bestFit="1" customWidth="1"/>
    <col min="7173" max="7173" width="9.625" style="207" bestFit="1" customWidth="1"/>
    <col min="7174" max="7427" width="8.875" style="207"/>
    <col min="7428" max="7428" width="10.5" style="207" bestFit="1" customWidth="1"/>
    <col min="7429" max="7429" width="9.625" style="207" bestFit="1" customWidth="1"/>
    <col min="7430" max="7683" width="8.875" style="207"/>
    <col min="7684" max="7684" width="10.5" style="207" bestFit="1" customWidth="1"/>
    <col min="7685" max="7685" width="9.625" style="207" bestFit="1" customWidth="1"/>
    <col min="7686" max="7939" width="8.875" style="207"/>
    <col min="7940" max="7940" width="10.5" style="207" bestFit="1" customWidth="1"/>
    <col min="7941" max="7941" width="9.625" style="207" bestFit="1" customWidth="1"/>
    <col min="7942" max="8195" width="8.875" style="207"/>
    <col min="8196" max="8196" width="10.5" style="207" bestFit="1" customWidth="1"/>
    <col min="8197" max="8197" width="9.625" style="207" bestFit="1" customWidth="1"/>
    <col min="8198" max="8451" width="8.875" style="207"/>
    <col min="8452" max="8452" width="10.5" style="207" bestFit="1" customWidth="1"/>
    <col min="8453" max="8453" width="9.625" style="207" bestFit="1" customWidth="1"/>
    <col min="8454" max="8707" width="8.875" style="207"/>
    <col min="8708" max="8708" width="10.5" style="207" bestFit="1" customWidth="1"/>
    <col min="8709" max="8709" width="9.625" style="207" bestFit="1" customWidth="1"/>
    <col min="8710" max="8963" width="8.875" style="207"/>
    <col min="8964" max="8964" width="10.5" style="207" bestFit="1" customWidth="1"/>
    <col min="8965" max="8965" width="9.625" style="207" bestFit="1" customWidth="1"/>
    <col min="8966" max="9219" width="8.875" style="207"/>
    <col min="9220" max="9220" width="10.5" style="207" bestFit="1" customWidth="1"/>
    <col min="9221" max="9221" width="9.625" style="207" bestFit="1" customWidth="1"/>
    <col min="9222" max="9475" width="8.875" style="207"/>
    <col min="9476" max="9476" width="10.5" style="207" bestFit="1" customWidth="1"/>
    <col min="9477" max="9477" width="9.625" style="207" bestFit="1" customWidth="1"/>
    <col min="9478" max="9731" width="8.875" style="207"/>
    <col min="9732" max="9732" width="10.5" style="207" bestFit="1" customWidth="1"/>
    <col min="9733" max="9733" width="9.625" style="207" bestFit="1" customWidth="1"/>
    <col min="9734" max="9987" width="8.875" style="207"/>
    <col min="9988" max="9988" width="10.5" style="207" bestFit="1" customWidth="1"/>
    <col min="9989" max="9989" width="9.625" style="207" bestFit="1" customWidth="1"/>
    <col min="9990" max="10243" width="8.875" style="207"/>
    <col min="10244" max="10244" width="10.5" style="207" bestFit="1" customWidth="1"/>
    <col min="10245" max="10245" width="9.625" style="207" bestFit="1" customWidth="1"/>
    <col min="10246" max="10499" width="8.875" style="207"/>
    <col min="10500" max="10500" width="10.5" style="207" bestFit="1" customWidth="1"/>
    <col min="10501" max="10501" width="9.625" style="207" bestFit="1" customWidth="1"/>
    <col min="10502" max="10755" width="8.875" style="207"/>
    <col min="10756" max="10756" width="10.5" style="207" bestFit="1" customWidth="1"/>
    <col min="10757" max="10757" width="9.625" style="207" bestFit="1" customWidth="1"/>
    <col min="10758" max="11011" width="8.875" style="207"/>
    <col min="11012" max="11012" width="10.5" style="207" bestFit="1" customWidth="1"/>
    <col min="11013" max="11013" width="9.625" style="207" bestFit="1" customWidth="1"/>
    <col min="11014" max="11267" width="8.875" style="207"/>
    <col min="11268" max="11268" width="10.5" style="207" bestFit="1" customWidth="1"/>
    <col min="11269" max="11269" width="9.625" style="207" bestFit="1" customWidth="1"/>
    <col min="11270" max="11523" width="8.875" style="207"/>
    <col min="11524" max="11524" width="10.5" style="207" bestFit="1" customWidth="1"/>
    <col min="11525" max="11525" width="9.625" style="207" bestFit="1" customWidth="1"/>
    <col min="11526" max="11779" width="8.875" style="207"/>
    <col min="11780" max="11780" width="10.5" style="207" bestFit="1" customWidth="1"/>
    <col min="11781" max="11781" width="9.625" style="207" bestFit="1" customWidth="1"/>
    <col min="11782" max="12035" width="8.875" style="207"/>
    <col min="12036" max="12036" width="10.5" style="207" bestFit="1" customWidth="1"/>
    <col min="12037" max="12037" width="9.625" style="207" bestFit="1" customWidth="1"/>
    <col min="12038" max="12291" width="8.875" style="207"/>
    <col min="12292" max="12292" width="10.5" style="207" bestFit="1" customWidth="1"/>
    <col min="12293" max="12293" width="9.625" style="207" bestFit="1" customWidth="1"/>
    <col min="12294" max="12547" width="8.875" style="207"/>
    <col min="12548" max="12548" width="10.5" style="207" bestFit="1" customWidth="1"/>
    <col min="12549" max="12549" width="9.625" style="207" bestFit="1" customWidth="1"/>
    <col min="12550" max="12803" width="8.875" style="207"/>
    <col min="12804" max="12804" width="10.5" style="207" bestFit="1" customWidth="1"/>
    <col min="12805" max="12805" width="9.625" style="207" bestFit="1" customWidth="1"/>
    <col min="12806" max="13059" width="8.875" style="207"/>
    <col min="13060" max="13060" width="10.5" style="207" bestFit="1" customWidth="1"/>
    <col min="13061" max="13061" width="9.625" style="207" bestFit="1" customWidth="1"/>
    <col min="13062" max="13315" width="8.875" style="207"/>
    <col min="13316" max="13316" width="10.5" style="207" bestFit="1" customWidth="1"/>
    <col min="13317" max="13317" width="9.625" style="207" bestFit="1" customWidth="1"/>
    <col min="13318" max="13571" width="8.875" style="207"/>
    <col min="13572" max="13572" width="10.5" style="207" bestFit="1" customWidth="1"/>
    <col min="13573" max="13573" width="9.625" style="207" bestFit="1" customWidth="1"/>
    <col min="13574" max="13827" width="8.875" style="207"/>
    <col min="13828" max="13828" width="10.5" style="207" bestFit="1" customWidth="1"/>
    <col min="13829" max="13829" width="9.625" style="207" bestFit="1" customWidth="1"/>
    <col min="13830" max="14083" width="8.875" style="207"/>
    <col min="14084" max="14084" width="10.5" style="207" bestFit="1" customWidth="1"/>
    <col min="14085" max="14085" width="9.625" style="207" bestFit="1" customWidth="1"/>
    <col min="14086" max="14339" width="8.875" style="207"/>
    <col min="14340" max="14340" width="10.5" style="207" bestFit="1" customWidth="1"/>
    <col min="14341" max="14341" width="9.625" style="207" bestFit="1" customWidth="1"/>
    <col min="14342" max="14595" width="8.875" style="207"/>
    <col min="14596" max="14596" width="10.5" style="207" bestFit="1" customWidth="1"/>
    <col min="14597" max="14597" width="9.625" style="207" bestFit="1" customWidth="1"/>
    <col min="14598" max="14851" width="8.875" style="207"/>
    <col min="14852" max="14852" width="10.5" style="207" bestFit="1" customWidth="1"/>
    <col min="14853" max="14853" width="9.625" style="207" bestFit="1" customWidth="1"/>
    <col min="14854" max="15107" width="8.875" style="207"/>
    <col min="15108" max="15108" width="10.5" style="207" bestFit="1" customWidth="1"/>
    <col min="15109" max="15109" width="9.625" style="207" bestFit="1" customWidth="1"/>
    <col min="15110" max="15363" width="8.875" style="207"/>
    <col min="15364" max="15364" width="10.5" style="207" bestFit="1" customWidth="1"/>
    <col min="15365" max="15365" width="9.625" style="207" bestFit="1" customWidth="1"/>
    <col min="15366" max="15619" width="8.875" style="207"/>
    <col min="15620" max="15620" width="10.5" style="207" bestFit="1" customWidth="1"/>
    <col min="15621" max="15621" width="9.625" style="207" bestFit="1" customWidth="1"/>
    <col min="15622" max="15875" width="8.875" style="207"/>
    <col min="15876" max="15876" width="10.5" style="207" bestFit="1" customWidth="1"/>
    <col min="15877" max="15877" width="9.625" style="207" bestFit="1" customWidth="1"/>
    <col min="15878" max="16131" width="8.875" style="207"/>
    <col min="16132" max="16132" width="10.5" style="207" bestFit="1" customWidth="1"/>
    <col min="16133" max="16133" width="9.625" style="207" bestFit="1" customWidth="1"/>
    <col min="16134" max="16384" width="8.875" style="207"/>
  </cols>
  <sheetData>
    <row r="1" spans="1:53" ht="45" x14ac:dyDescent="0.15">
      <c r="A1" s="239" t="s">
        <v>0</v>
      </c>
      <c r="B1" s="201" t="s">
        <v>1</v>
      </c>
      <c r="C1" s="201" t="s">
        <v>157</v>
      </c>
      <c r="D1" s="202" t="s">
        <v>3</v>
      </c>
      <c r="E1" s="240" t="s">
        <v>4</v>
      </c>
      <c r="F1" s="240" t="s">
        <v>5</v>
      </c>
      <c r="G1" s="240" t="s">
        <v>6</v>
      </c>
      <c r="H1" s="240" t="s">
        <v>7</v>
      </c>
      <c r="I1" s="240" t="s">
        <v>8</v>
      </c>
      <c r="J1" s="240" t="s">
        <v>9</v>
      </c>
      <c r="K1" s="240" t="s">
        <v>10</v>
      </c>
      <c r="L1" s="202" t="s">
        <v>158</v>
      </c>
      <c r="M1" s="202" t="s">
        <v>12</v>
      </c>
      <c r="N1" s="202" t="s">
        <v>259</v>
      </c>
      <c r="O1" s="202" t="s">
        <v>159</v>
      </c>
      <c r="P1" s="202" t="s">
        <v>15</v>
      </c>
      <c r="Q1" s="203" t="s">
        <v>16</v>
      </c>
      <c r="R1" s="202" t="s">
        <v>17</v>
      </c>
      <c r="S1" s="202" t="s">
        <v>18</v>
      </c>
      <c r="T1" s="203" t="s">
        <v>19</v>
      </c>
      <c r="U1" s="204" t="s">
        <v>260</v>
      </c>
      <c r="V1" s="205" t="s">
        <v>20</v>
      </c>
      <c r="W1" s="202" t="s">
        <v>21</v>
      </c>
      <c r="X1" s="240" t="s">
        <v>22</v>
      </c>
      <c r="Y1" s="240" t="s">
        <v>23</v>
      </c>
      <c r="Z1" s="240" t="s">
        <v>24</v>
      </c>
      <c r="AA1" s="241" t="s">
        <v>25</v>
      </c>
      <c r="AB1" s="206" t="s">
        <v>26</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30</v>
      </c>
      <c r="AY1" s="213" t="s">
        <v>160</v>
      </c>
      <c r="AZ1" s="213" t="s">
        <v>161</v>
      </c>
      <c r="BA1" s="214" t="s">
        <v>33</v>
      </c>
    </row>
    <row r="2" spans="1:53" x14ac:dyDescent="0.15">
      <c r="A2" s="207" t="s">
        <v>59</v>
      </c>
      <c r="B2" s="236" t="s">
        <v>335</v>
      </c>
      <c r="C2" s="152">
        <v>2018</v>
      </c>
      <c r="D2" s="153" t="s">
        <v>456</v>
      </c>
      <c r="E2" s="207" t="s">
        <v>457</v>
      </c>
      <c r="F2" s="207" t="s">
        <v>301</v>
      </c>
      <c r="G2" s="207" t="s">
        <v>36</v>
      </c>
      <c r="H2" s="207" t="s">
        <v>162</v>
      </c>
      <c r="I2" s="207" t="s">
        <v>153</v>
      </c>
      <c r="J2" s="207" t="s">
        <v>38</v>
      </c>
      <c r="K2" s="207" t="s">
        <v>154</v>
      </c>
      <c r="L2" s="207">
        <v>1</v>
      </c>
      <c r="N2" s="207">
        <v>4</v>
      </c>
      <c r="O2" s="207">
        <v>0.56000000000000005</v>
      </c>
      <c r="P2" s="207">
        <v>0.5</v>
      </c>
      <c r="Q2" s="244">
        <f>IF(OR(O2="",P2=""),"",AVERAGE(O2,P2))</f>
        <v>0.53</v>
      </c>
      <c r="R2" s="207">
        <v>15.1</v>
      </c>
      <c r="S2" s="207">
        <v>144</v>
      </c>
      <c r="T2" s="216">
        <f t="shared" ref="T2:T69" si="0">IF(H2="","",IF(OR(H2="GREEN",H2="GK"),IF(S2&gt;=$AX$2,VLOOKUP(S2,$AX$2:$AY$12,2,1),""),IF(S2&gt;=$AZ$2,VLOOKUP(S2,$AZ$2:$BA$12,2,1),"")))</f>
        <v>22</v>
      </c>
      <c r="U2" s="207">
        <v>480</v>
      </c>
      <c r="V2" s="216">
        <f t="shared" ref="V2:V65" si="1">IF(J2="","",IF(OR(J2="GREEN",J2="GK"),IF(U2&gt;=$AX$2,VLOOKUP(U2,$AX$2:$AY$12,2,1),""),IF(U2&gt;=$AZ$2,VLOOKUP(U2,$AZ$2:$BA$12,2,1),"")))</f>
        <v>16</v>
      </c>
      <c r="W2" s="207">
        <v>4</v>
      </c>
      <c r="X2" s="207" t="s">
        <v>39</v>
      </c>
      <c r="Y2" s="207" t="s">
        <v>90</v>
      </c>
      <c r="Z2" s="207" t="s">
        <v>84</v>
      </c>
      <c r="AA2" s="207" t="s">
        <v>271</v>
      </c>
      <c r="AB2" s="236" t="s">
        <v>458</v>
      </c>
      <c r="AE2" s="217" t="s">
        <v>35</v>
      </c>
      <c r="AG2" s="154" t="s">
        <v>308</v>
      </c>
      <c r="AH2" s="155" t="s">
        <v>300</v>
      </c>
      <c r="AJ2" s="247" t="s">
        <v>36</v>
      </c>
      <c r="AL2" s="218" t="s">
        <v>127</v>
      </c>
      <c r="AN2" s="156" t="s">
        <v>459</v>
      </c>
      <c r="AP2" s="218" t="s">
        <v>38</v>
      </c>
      <c r="AR2" s="218" t="s">
        <v>460</v>
      </c>
      <c r="AT2" s="247" t="s">
        <v>39</v>
      </c>
      <c r="AV2" s="223" t="s">
        <v>55</v>
      </c>
      <c r="AX2" s="157">
        <v>1</v>
      </c>
      <c r="AY2" s="158">
        <v>50</v>
      </c>
      <c r="AZ2" s="158">
        <v>1</v>
      </c>
      <c r="BA2" s="159">
        <v>50</v>
      </c>
    </row>
    <row r="3" spans="1:53" x14ac:dyDescent="0.15">
      <c r="A3" s="207" t="s">
        <v>59</v>
      </c>
      <c r="B3" s="236" t="s">
        <v>461</v>
      </c>
      <c r="C3" s="152">
        <v>2018</v>
      </c>
      <c r="D3" s="153" t="s">
        <v>462</v>
      </c>
      <c r="E3" s="207" t="s">
        <v>463</v>
      </c>
      <c r="F3" s="207" t="s">
        <v>301</v>
      </c>
      <c r="G3" s="207" t="s">
        <v>36</v>
      </c>
      <c r="H3" s="207" t="s">
        <v>162</v>
      </c>
      <c r="I3" s="207" t="s">
        <v>153</v>
      </c>
      <c r="J3" s="207" t="s">
        <v>38</v>
      </c>
      <c r="K3" s="207" t="s">
        <v>154</v>
      </c>
      <c r="L3" s="207">
        <v>2</v>
      </c>
      <c r="N3" s="207">
        <v>4</v>
      </c>
      <c r="O3" s="207">
        <v>0.53</v>
      </c>
      <c r="P3" s="207">
        <v>0.49</v>
      </c>
      <c r="Q3" s="244">
        <f t="shared" ref="Q3:Q69" si="2">IF(OR(O3="",P3=""),"",AVERAGE(O3,P3))</f>
        <v>0.51</v>
      </c>
      <c r="R3" s="207">
        <v>15.4</v>
      </c>
      <c r="S3" s="207">
        <v>138</v>
      </c>
      <c r="T3" s="216">
        <f t="shared" si="0"/>
        <v>22</v>
      </c>
      <c r="U3" s="207">
        <v>480</v>
      </c>
      <c r="V3" s="216">
        <f t="shared" si="1"/>
        <v>16</v>
      </c>
      <c r="W3" s="207">
        <v>4</v>
      </c>
      <c r="X3" s="207" t="s">
        <v>39</v>
      </c>
      <c r="Y3" s="207" t="s">
        <v>90</v>
      </c>
      <c r="Z3" s="207" t="s">
        <v>84</v>
      </c>
      <c r="AA3" s="207" t="s">
        <v>271</v>
      </c>
      <c r="AB3" s="236" t="s">
        <v>458</v>
      </c>
      <c r="AE3" s="222" t="s">
        <v>41</v>
      </c>
      <c r="AG3" s="154" t="s">
        <v>309</v>
      </c>
      <c r="AH3" s="155" t="s">
        <v>301</v>
      </c>
      <c r="AJ3" s="223" t="s">
        <v>42</v>
      </c>
      <c r="AL3" s="223" t="s">
        <v>128</v>
      </c>
      <c r="AN3" s="223" t="s">
        <v>43</v>
      </c>
      <c r="AP3" s="223" t="s">
        <v>44</v>
      </c>
      <c r="AR3" s="237" t="s">
        <v>45</v>
      </c>
      <c r="AT3" s="223" t="s">
        <v>46</v>
      </c>
      <c r="AV3" s="223" t="s">
        <v>464</v>
      </c>
      <c r="AX3" s="224">
        <v>72</v>
      </c>
      <c r="AY3" s="225">
        <v>46</v>
      </c>
      <c r="AZ3" s="225">
        <v>71</v>
      </c>
      <c r="BA3" s="226">
        <v>42</v>
      </c>
    </row>
    <row r="4" spans="1:53" x14ac:dyDescent="0.15">
      <c r="A4" s="207" t="s">
        <v>59</v>
      </c>
      <c r="B4" s="236" t="s">
        <v>465</v>
      </c>
      <c r="C4" s="152">
        <v>2018</v>
      </c>
      <c r="D4" s="153" t="s">
        <v>466</v>
      </c>
      <c r="E4" s="207" t="s">
        <v>467</v>
      </c>
      <c r="F4" s="207" t="s">
        <v>301</v>
      </c>
      <c r="G4" s="207" t="s">
        <v>36</v>
      </c>
      <c r="H4" s="207" t="s">
        <v>162</v>
      </c>
      <c r="I4" s="207" t="s">
        <v>468</v>
      </c>
      <c r="J4" s="207" t="s">
        <v>38</v>
      </c>
      <c r="K4" s="207" t="s">
        <v>154</v>
      </c>
      <c r="L4" s="207">
        <v>3</v>
      </c>
      <c r="N4" s="207">
        <v>4</v>
      </c>
      <c r="O4" s="207">
        <v>0.57999999999999996</v>
      </c>
      <c r="P4" s="207">
        <v>0.52</v>
      </c>
      <c r="Q4" s="244">
        <f t="shared" si="2"/>
        <v>0.55000000000000004</v>
      </c>
      <c r="R4" s="207">
        <v>15.2</v>
      </c>
      <c r="S4" s="207">
        <v>141</v>
      </c>
      <c r="T4" s="216">
        <f t="shared" si="0"/>
        <v>22</v>
      </c>
      <c r="U4" s="207">
        <v>480</v>
      </c>
      <c r="V4" s="216">
        <f t="shared" si="1"/>
        <v>16</v>
      </c>
      <c r="W4" s="207">
        <v>4</v>
      </c>
      <c r="X4" s="207" t="s">
        <v>39</v>
      </c>
      <c r="Y4" s="207" t="s">
        <v>90</v>
      </c>
      <c r="Z4" s="207" t="s">
        <v>84</v>
      </c>
      <c r="AA4" s="207" t="s">
        <v>271</v>
      </c>
      <c r="AB4" s="236" t="s">
        <v>458</v>
      </c>
      <c r="AE4" s="222" t="s">
        <v>34</v>
      </c>
      <c r="AG4" s="154" t="s">
        <v>310</v>
      </c>
      <c r="AH4" s="155" t="s">
        <v>302</v>
      </c>
      <c r="AJ4" s="227" t="s">
        <v>48</v>
      </c>
      <c r="AL4" s="227" t="s">
        <v>129</v>
      </c>
      <c r="AN4" s="228" t="s">
        <v>49</v>
      </c>
      <c r="AP4" s="223" t="s">
        <v>469</v>
      </c>
      <c r="AR4" s="237" t="s">
        <v>261</v>
      </c>
      <c r="AT4" s="228"/>
      <c r="AV4" s="223" t="s">
        <v>470</v>
      </c>
      <c r="AX4" s="224">
        <v>75</v>
      </c>
      <c r="AY4" s="225">
        <v>42</v>
      </c>
      <c r="AZ4" s="225">
        <v>76</v>
      </c>
      <c r="BA4" s="226">
        <v>39</v>
      </c>
    </row>
    <row r="5" spans="1:53" x14ac:dyDescent="0.15">
      <c r="A5" s="207" t="s">
        <v>59</v>
      </c>
      <c r="B5" s="236" t="s">
        <v>465</v>
      </c>
      <c r="C5" s="152">
        <v>2018</v>
      </c>
      <c r="D5" s="153" t="s">
        <v>466</v>
      </c>
      <c r="E5" s="207" t="s">
        <v>467</v>
      </c>
      <c r="F5" s="207" t="s">
        <v>301</v>
      </c>
      <c r="G5" s="207" t="s">
        <v>36</v>
      </c>
      <c r="H5" s="207" t="s">
        <v>155</v>
      </c>
      <c r="I5" s="207" t="s">
        <v>153</v>
      </c>
      <c r="J5" s="207" t="s">
        <v>38</v>
      </c>
      <c r="K5" s="207" t="s">
        <v>154</v>
      </c>
      <c r="L5" s="207">
        <v>1</v>
      </c>
      <c r="N5" s="207">
        <v>1</v>
      </c>
      <c r="O5" s="207">
        <v>0.8</v>
      </c>
      <c r="P5" s="207">
        <v>0.75</v>
      </c>
      <c r="Q5" s="244">
        <f t="shared" si="2"/>
        <v>0.77500000000000002</v>
      </c>
      <c r="R5" s="207">
        <v>14.4</v>
      </c>
      <c r="S5" s="207">
        <v>136</v>
      </c>
      <c r="T5" s="216">
        <f t="shared" si="0"/>
        <v>25</v>
      </c>
      <c r="U5" s="207">
        <v>128</v>
      </c>
      <c r="V5" s="216">
        <f t="shared" si="1"/>
        <v>27</v>
      </c>
      <c r="W5" s="207">
        <v>4</v>
      </c>
      <c r="X5" s="207" t="s">
        <v>39</v>
      </c>
      <c r="Y5" s="207" t="s">
        <v>90</v>
      </c>
      <c r="Z5" s="207" t="s">
        <v>84</v>
      </c>
      <c r="AA5" s="207" t="s">
        <v>271</v>
      </c>
      <c r="AB5" s="236" t="s">
        <v>458</v>
      </c>
      <c r="AE5" s="222" t="s">
        <v>51</v>
      </c>
      <c r="AG5" s="154" t="s">
        <v>262</v>
      </c>
      <c r="AH5" s="155" t="s">
        <v>303</v>
      </c>
      <c r="AJ5" s="228"/>
      <c r="AL5" s="229" t="s">
        <v>471</v>
      </c>
      <c r="AN5" s="72" t="s">
        <v>472</v>
      </c>
      <c r="AP5" s="223" t="s">
        <v>473</v>
      </c>
      <c r="AR5" s="237" t="s">
        <v>54</v>
      </c>
      <c r="AV5" s="223" t="s">
        <v>474</v>
      </c>
      <c r="AX5" s="224">
        <v>84</v>
      </c>
      <c r="AY5" s="225">
        <v>39</v>
      </c>
      <c r="AZ5" s="225">
        <v>84</v>
      </c>
      <c r="BA5" s="226">
        <v>36</v>
      </c>
    </row>
    <row r="6" spans="1:53" x14ac:dyDescent="0.15">
      <c r="A6" s="207" t="s">
        <v>59</v>
      </c>
      <c r="B6" s="236" t="s">
        <v>465</v>
      </c>
      <c r="C6" s="152">
        <v>2018</v>
      </c>
      <c r="D6" s="153" t="s">
        <v>466</v>
      </c>
      <c r="E6" s="207" t="s">
        <v>467</v>
      </c>
      <c r="F6" s="207" t="s">
        <v>301</v>
      </c>
      <c r="G6" s="207" t="s">
        <v>36</v>
      </c>
      <c r="H6" s="207" t="s">
        <v>155</v>
      </c>
      <c r="I6" s="207" t="s">
        <v>153</v>
      </c>
      <c r="J6" s="207" t="s">
        <v>38</v>
      </c>
      <c r="K6" s="207" t="s">
        <v>154</v>
      </c>
      <c r="L6" s="207">
        <v>2</v>
      </c>
      <c r="N6" s="207">
        <v>1</v>
      </c>
      <c r="O6" s="207">
        <v>0.56000000000000005</v>
      </c>
      <c r="P6" s="207">
        <v>0.46</v>
      </c>
      <c r="Q6" s="244">
        <f t="shared" si="2"/>
        <v>0.51</v>
      </c>
      <c r="R6" s="207">
        <v>14.6</v>
      </c>
      <c r="S6" s="207">
        <v>140</v>
      </c>
      <c r="T6" s="216">
        <f t="shared" si="0"/>
        <v>22</v>
      </c>
      <c r="U6" s="207">
        <v>128</v>
      </c>
      <c r="V6" s="216">
        <f t="shared" si="1"/>
        <v>27</v>
      </c>
      <c r="W6" s="207">
        <v>4</v>
      </c>
      <c r="X6" s="207" t="s">
        <v>39</v>
      </c>
      <c r="Y6" s="207" t="s">
        <v>90</v>
      </c>
      <c r="Z6" s="207" t="s">
        <v>84</v>
      </c>
      <c r="AA6" s="207" t="s">
        <v>271</v>
      </c>
      <c r="AB6" s="236" t="s">
        <v>458</v>
      </c>
      <c r="AE6" s="222" t="s">
        <v>56</v>
      </c>
      <c r="AG6" s="154" t="s">
        <v>311</v>
      </c>
      <c r="AH6" s="155" t="s">
        <v>304</v>
      </c>
      <c r="AL6" s="229" t="s">
        <v>475</v>
      </c>
      <c r="AN6" s="229" t="s">
        <v>476</v>
      </c>
      <c r="AP6" s="223" t="s">
        <v>53</v>
      </c>
      <c r="AR6" s="237" t="s">
        <v>165</v>
      </c>
      <c r="AV6" s="223" t="s">
        <v>60</v>
      </c>
      <c r="AX6" s="224">
        <v>97</v>
      </c>
      <c r="AY6" s="225">
        <v>36</v>
      </c>
      <c r="AZ6" s="225">
        <v>99</v>
      </c>
      <c r="BA6" s="226">
        <v>33</v>
      </c>
    </row>
    <row r="7" spans="1:53" x14ac:dyDescent="0.15">
      <c r="A7" s="207" t="s">
        <v>59</v>
      </c>
      <c r="B7" s="236" t="s">
        <v>410</v>
      </c>
      <c r="C7" s="152">
        <v>2018</v>
      </c>
      <c r="D7" s="153" t="s">
        <v>477</v>
      </c>
      <c r="E7" s="207" t="s">
        <v>478</v>
      </c>
      <c r="F7" s="207" t="s">
        <v>301</v>
      </c>
      <c r="G7" s="207" t="s">
        <v>36</v>
      </c>
      <c r="H7" s="207" t="s">
        <v>479</v>
      </c>
      <c r="I7" s="207" t="s">
        <v>153</v>
      </c>
      <c r="J7" s="207" t="s">
        <v>38</v>
      </c>
      <c r="K7" s="207" t="s">
        <v>154</v>
      </c>
      <c r="L7" s="207">
        <v>3</v>
      </c>
      <c r="N7" s="207">
        <v>1</v>
      </c>
      <c r="O7" s="207">
        <v>0.59</v>
      </c>
      <c r="P7" s="207">
        <v>0.53</v>
      </c>
      <c r="Q7" s="244">
        <f t="shared" si="2"/>
        <v>0.56000000000000005</v>
      </c>
      <c r="R7" s="207">
        <v>14.3</v>
      </c>
      <c r="S7" s="207">
        <v>135</v>
      </c>
      <c r="T7" s="216">
        <f t="shared" si="0"/>
        <v>25</v>
      </c>
      <c r="U7" s="207">
        <v>128</v>
      </c>
      <c r="V7" s="216">
        <f t="shared" si="1"/>
        <v>27</v>
      </c>
      <c r="W7" s="207">
        <v>4</v>
      </c>
      <c r="X7" s="207" t="s">
        <v>39</v>
      </c>
      <c r="Y7" s="207" t="s">
        <v>90</v>
      </c>
      <c r="Z7" s="207" t="s">
        <v>84</v>
      </c>
      <c r="AA7" s="207" t="s">
        <v>271</v>
      </c>
      <c r="AB7" s="236" t="s">
        <v>458</v>
      </c>
      <c r="AE7" s="222" t="s">
        <v>61</v>
      </c>
      <c r="AG7" s="154" t="s">
        <v>312</v>
      </c>
      <c r="AH7" s="155" t="s">
        <v>305</v>
      </c>
      <c r="AL7" s="234" t="s">
        <v>480</v>
      </c>
      <c r="AP7" s="223" t="s">
        <v>58</v>
      </c>
      <c r="AR7" s="230" t="s">
        <v>263</v>
      </c>
      <c r="AV7" s="223" t="s">
        <v>64</v>
      </c>
      <c r="AX7" s="224">
        <v>109</v>
      </c>
      <c r="AY7" s="225">
        <v>33</v>
      </c>
      <c r="AZ7" s="225">
        <v>113</v>
      </c>
      <c r="BA7" s="226">
        <v>30</v>
      </c>
    </row>
    <row r="8" spans="1:53" x14ac:dyDescent="0.15">
      <c r="A8" s="207" t="s">
        <v>59</v>
      </c>
      <c r="B8" s="236" t="s">
        <v>481</v>
      </c>
      <c r="C8" s="152">
        <v>2018</v>
      </c>
      <c r="D8" s="153" t="s">
        <v>482</v>
      </c>
      <c r="E8" s="207" t="s">
        <v>308</v>
      </c>
      <c r="F8" s="207" t="s">
        <v>300</v>
      </c>
      <c r="G8" s="207" t="s">
        <v>36</v>
      </c>
      <c r="H8" s="207" t="s">
        <v>162</v>
      </c>
      <c r="I8" s="207" t="s">
        <v>153</v>
      </c>
      <c r="J8" s="207" t="s">
        <v>38</v>
      </c>
      <c r="K8" s="207" t="s">
        <v>154</v>
      </c>
      <c r="L8" s="207">
        <v>1</v>
      </c>
      <c r="N8" s="207">
        <v>4</v>
      </c>
      <c r="O8" s="207">
        <v>0.27</v>
      </c>
      <c r="P8" s="207">
        <v>0.21</v>
      </c>
      <c r="Q8" s="244">
        <f t="shared" si="2"/>
        <v>0.24</v>
      </c>
      <c r="R8" s="207">
        <v>16.399999999999999</v>
      </c>
      <c r="S8" s="207">
        <v>100</v>
      </c>
      <c r="T8" s="216">
        <f t="shared" si="0"/>
        <v>33</v>
      </c>
      <c r="U8" s="207">
        <v>297</v>
      </c>
      <c r="V8" s="216">
        <f t="shared" si="1"/>
        <v>16</v>
      </c>
      <c r="W8" s="207">
        <v>8</v>
      </c>
      <c r="X8" s="207" t="s">
        <v>39</v>
      </c>
      <c r="Y8" s="207" t="s">
        <v>84</v>
      </c>
      <c r="Z8" s="207" t="s">
        <v>90</v>
      </c>
      <c r="AA8" s="207" t="s">
        <v>271</v>
      </c>
      <c r="AB8" s="236" t="s">
        <v>458</v>
      </c>
      <c r="AE8" s="222" t="s">
        <v>59</v>
      </c>
      <c r="AG8" s="160" t="s">
        <v>313</v>
      </c>
      <c r="AH8" s="155" t="s">
        <v>306</v>
      </c>
      <c r="AL8" s="234" t="s">
        <v>483</v>
      </c>
      <c r="AP8" s="223" t="s">
        <v>62</v>
      </c>
      <c r="AR8" s="237" t="s">
        <v>81</v>
      </c>
      <c r="AV8" s="223" t="s">
        <v>97</v>
      </c>
      <c r="AX8" s="224">
        <v>119</v>
      </c>
      <c r="AY8" s="225">
        <v>30</v>
      </c>
      <c r="AZ8" s="225">
        <v>121</v>
      </c>
      <c r="BA8" s="226">
        <v>27</v>
      </c>
    </row>
    <row r="9" spans="1:53" x14ac:dyDescent="0.15">
      <c r="A9" s="207" t="s">
        <v>59</v>
      </c>
      <c r="B9" s="236" t="s">
        <v>465</v>
      </c>
      <c r="C9" s="152">
        <v>2018</v>
      </c>
      <c r="D9" s="153" t="s">
        <v>466</v>
      </c>
      <c r="E9" s="207" t="s">
        <v>308</v>
      </c>
      <c r="F9" s="207" t="s">
        <v>300</v>
      </c>
      <c r="G9" s="207" t="s">
        <v>36</v>
      </c>
      <c r="H9" s="207" t="s">
        <v>162</v>
      </c>
      <c r="I9" s="207" t="s">
        <v>153</v>
      </c>
      <c r="J9" s="207" t="s">
        <v>38</v>
      </c>
      <c r="K9" s="207" t="s">
        <v>154</v>
      </c>
      <c r="L9" s="207">
        <v>2</v>
      </c>
      <c r="N9" s="207">
        <v>4</v>
      </c>
      <c r="O9" s="207">
        <v>0.26</v>
      </c>
      <c r="P9" s="207">
        <v>0.28000000000000003</v>
      </c>
      <c r="Q9" s="244">
        <f t="shared" si="2"/>
        <v>0.27</v>
      </c>
      <c r="R9" s="207">
        <v>15.8</v>
      </c>
      <c r="S9" s="207">
        <v>102</v>
      </c>
      <c r="T9" s="216">
        <f t="shared" si="0"/>
        <v>33</v>
      </c>
      <c r="U9" s="207">
        <v>297</v>
      </c>
      <c r="V9" s="216">
        <f t="shared" si="1"/>
        <v>16</v>
      </c>
      <c r="W9" s="207">
        <v>8</v>
      </c>
      <c r="X9" s="207" t="s">
        <v>39</v>
      </c>
      <c r="Y9" s="207" t="s">
        <v>84</v>
      </c>
      <c r="Z9" s="207" t="s">
        <v>90</v>
      </c>
      <c r="AA9" s="207" t="s">
        <v>271</v>
      </c>
      <c r="AB9" s="236" t="s">
        <v>458</v>
      </c>
      <c r="AE9" s="222" t="s">
        <v>98</v>
      </c>
      <c r="AG9" s="160" t="s">
        <v>314</v>
      </c>
      <c r="AH9" s="155" t="s">
        <v>306</v>
      </c>
      <c r="AL9" s="229"/>
      <c r="AP9" s="223" t="s">
        <v>265</v>
      </c>
      <c r="AR9" s="230" t="s">
        <v>89</v>
      </c>
      <c r="AV9" s="223" t="s">
        <v>102</v>
      </c>
      <c r="AX9" s="224">
        <v>128</v>
      </c>
      <c r="AY9" s="225">
        <v>27</v>
      </c>
      <c r="AZ9" s="225">
        <v>129</v>
      </c>
      <c r="BA9" s="226">
        <v>25</v>
      </c>
    </row>
    <row r="10" spans="1:53" x14ac:dyDescent="0.15">
      <c r="A10" s="207" t="s">
        <v>59</v>
      </c>
      <c r="B10" s="236" t="s">
        <v>405</v>
      </c>
      <c r="C10" s="152">
        <v>2018</v>
      </c>
      <c r="D10" s="153" t="s">
        <v>484</v>
      </c>
      <c r="E10" s="207" t="s">
        <v>308</v>
      </c>
      <c r="F10" s="207" t="s">
        <v>300</v>
      </c>
      <c r="G10" s="207" t="s">
        <v>36</v>
      </c>
      <c r="H10" s="207" t="s">
        <v>162</v>
      </c>
      <c r="I10" s="207" t="s">
        <v>153</v>
      </c>
      <c r="J10" s="207" t="s">
        <v>38</v>
      </c>
      <c r="K10" s="207" t="s">
        <v>154</v>
      </c>
      <c r="L10" s="207">
        <v>3</v>
      </c>
      <c r="N10" s="207">
        <v>4</v>
      </c>
      <c r="O10" s="207">
        <v>0.28999999999999998</v>
      </c>
      <c r="P10" s="207">
        <v>0.27</v>
      </c>
      <c r="Q10" s="244">
        <f t="shared" si="2"/>
        <v>0.28000000000000003</v>
      </c>
      <c r="R10" s="207">
        <v>16.3</v>
      </c>
      <c r="S10" s="207">
        <v>99</v>
      </c>
      <c r="T10" s="216">
        <f t="shared" si="0"/>
        <v>33</v>
      </c>
      <c r="U10" s="207">
        <v>297</v>
      </c>
      <c r="V10" s="216">
        <f t="shared" si="1"/>
        <v>16</v>
      </c>
      <c r="W10" s="207">
        <v>8</v>
      </c>
      <c r="X10" s="207" t="s">
        <v>39</v>
      </c>
      <c r="Y10" s="207" t="s">
        <v>84</v>
      </c>
      <c r="Z10" s="207" t="s">
        <v>90</v>
      </c>
      <c r="AA10" s="207" t="s">
        <v>271</v>
      </c>
      <c r="AB10" s="236" t="s">
        <v>458</v>
      </c>
      <c r="AE10" s="222" t="s">
        <v>103</v>
      </c>
      <c r="AG10" s="154" t="s">
        <v>315</v>
      </c>
      <c r="AH10" s="155" t="s">
        <v>303</v>
      </c>
      <c r="AL10" s="88"/>
      <c r="AP10" s="223" t="s">
        <v>100</v>
      </c>
      <c r="AR10" s="230" t="s">
        <v>123</v>
      </c>
      <c r="AV10" s="223" t="s">
        <v>106</v>
      </c>
      <c r="AX10" s="224">
        <v>138</v>
      </c>
      <c r="AY10" s="225">
        <v>25</v>
      </c>
      <c r="AZ10" s="225">
        <v>138</v>
      </c>
      <c r="BA10" s="226">
        <v>22</v>
      </c>
    </row>
    <row r="11" spans="1:53" x14ac:dyDescent="0.15">
      <c r="A11" s="207" t="s">
        <v>59</v>
      </c>
      <c r="B11" s="236" t="s">
        <v>465</v>
      </c>
      <c r="C11" s="152">
        <v>2018</v>
      </c>
      <c r="D11" s="153" t="s">
        <v>466</v>
      </c>
      <c r="E11" s="207" t="s">
        <v>308</v>
      </c>
      <c r="F11" s="207" t="s">
        <v>300</v>
      </c>
      <c r="G11" s="207" t="s">
        <v>36</v>
      </c>
      <c r="H11" s="207" t="s">
        <v>155</v>
      </c>
      <c r="I11" s="207" t="s">
        <v>153</v>
      </c>
      <c r="J11" s="207" t="s">
        <v>38</v>
      </c>
      <c r="K11" s="207" t="s">
        <v>154</v>
      </c>
      <c r="L11" s="207">
        <v>1</v>
      </c>
      <c r="N11" s="207">
        <v>4</v>
      </c>
      <c r="O11" s="207">
        <v>0.74</v>
      </c>
      <c r="P11" s="207">
        <v>0.84</v>
      </c>
      <c r="Q11" s="244">
        <f t="shared" si="2"/>
        <v>0.79</v>
      </c>
      <c r="R11" s="207">
        <v>14</v>
      </c>
      <c r="S11" s="207">
        <v>97</v>
      </c>
      <c r="T11" s="216">
        <f t="shared" si="0"/>
        <v>36</v>
      </c>
      <c r="U11" s="207">
        <v>297</v>
      </c>
      <c r="V11" s="216">
        <f t="shared" si="1"/>
        <v>16</v>
      </c>
      <c r="W11" s="207">
        <v>6</v>
      </c>
      <c r="X11" s="207" t="s">
        <v>39</v>
      </c>
      <c r="Y11" s="207" t="s">
        <v>84</v>
      </c>
      <c r="Z11" s="207" t="s">
        <v>90</v>
      </c>
      <c r="AA11" s="207" t="s">
        <v>271</v>
      </c>
      <c r="AB11" s="236" t="s">
        <v>458</v>
      </c>
      <c r="AE11" s="222" t="s">
        <v>65</v>
      </c>
      <c r="AG11" s="160" t="s">
        <v>316</v>
      </c>
      <c r="AH11" s="155" t="s">
        <v>307</v>
      </c>
      <c r="AL11" s="88"/>
      <c r="AP11" s="223" t="s">
        <v>264</v>
      </c>
      <c r="AR11" s="230" t="s">
        <v>266</v>
      </c>
      <c r="AV11" s="223" t="s">
        <v>485</v>
      </c>
      <c r="AX11" s="224">
        <v>151</v>
      </c>
      <c r="AY11" s="225">
        <v>22</v>
      </c>
      <c r="AZ11" s="225">
        <v>152</v>
      </c>
      <c r="BA11" s="226">
        <v>18</v>
      </c>
    </row>
    <row r="12" spans="1:53" x14ac:dyDescent="0.15">
      <c r="A12" s="207" t="s">
        <v>59</v>
      </c>
      <c r="B12" s="236" t="s">
        <v>486</v>
      </c>
      <c r="C12" s="152">
        <v>2018</v>
      </c>
      <c r="D12" s="153" t="s">
        <v>487</v>
      </c>
      <c r="E12" s="207" t="s">
        <v>308</v>
      </c>
      <c r="F12" s="207" t="s">
        <v>300</v>
      </c>
      <c r="G12" s="207" t="s">
        <v>36</v>
      </c>
      <c r="H12" s="207" t="s">
        <v>155</v>
      </c>
      <c r="I12" s="207" t="s">
        <v>153</v>
      </c>
      <c r="J12" s="207" t="s">
        <v>38</v>
      </c>
      <c r="K12" s="207" t="s">
        <v>154</v>
      </c>
      <c r="L12" s="207">
        <v>2</v>
      </c>
      <c r="N12" s="207">
        <v>4</v>
      </c>
      <c r="O12" s="207">
        <v>0.95</v>
      </c>
      <c r="P12" s="207">
        <v>1</v>
      </c>
      <c r="Q12" s="244">
        <f t="shared" si="2"/>
        <v>0.97499999999999998</v>
      </c>
      <c r="R12" s="207">
        <v>14.9</v>
      </c>
      <c r="S12" s="207">
        <v>94</v>
      </c>
      <c r="T12" s="216">
        <f t="shared" si="0"/>
        <v>36</v>
      </c>
      <c r="U12" s="207">
        <v>297</v>
      </c>
      <c r="V12" s="216">
        <f t="shared" si="1"/>
        <v>16</v>
      </c>
      <c r="W12" s="207">
        <v>6</v>
      </c>
      <c r="X12" s="207" t="s">
        <v>39</v>
      </c>
      <c r="Y12" s="207" t="s">
        <v>84</v>
      </c>
      <c r="Z12" s="207" t="s">
        <v>90</v>
      </c>
      <c r="AA12" s="207" t="s">
        <v>271</v>
      </c>
      <c r="AB12" s="236" t="s">
        <v>458</v>
      </c>
      <c r="AE12" s="222" t="s">
        <v>70</v>
      </c>
      <c r="AG12" s="230"/>
      <c r="AH12" s="161"/>
      <c r="AL12" s="88"/>
      <c r="AP12" s="223" t="s">
        <v>67</v>
      </c>
      <c r="AR12" s="230" t="s">
        <v>124</v>
      </c>
      <c r="AV12" s="223" t="s">
        <v>72</v>
      </c>
      <c r="AX12" s="231">
        <v>180</v>
      </c>
      <c r="AY12" s="232">
        <v>18</v>
      </c>
      <c r="AZ12" s="232">
        <v>181</v>
      </c>
      <c r="BA12" s="233">
        <v>16</v>
      </c>
    </row>
    <row r="13" spans="1:53" x14ac:dyDescent="0.15">
      <c r="A13" s="207" t="s">
        <v>59</v>
      </c>
      <c r="B13" s="236" t="s">
        <v>414</v>
      </c>
      <c r="C13" s="152">
        <v>2018</v>
      </c>
      <c r="D13" s="153" t="s">
        <v>488</v>
      </c>
      <c r="E13" s="207" t="s">
        <v>308</v>
      </c>
      <c r="F13" s="207" t="s">
        <v>300</v>
      </c>
      <c r="G13" s="207" t="s">
        <v>36</v>
      </c>
      <c r="H13" s="207" t="s">
        <v>489</v>
      </c>
      <c r="I13" s="207" t="s">
        <v>153</v>
      </c>
      <c r="J13" s="207" t="s">
        <v>38</v>
      </c>
      <c r="K13" s="207" t="s">
        <v>154</v>
      </c>
      <c r="L13" s="207">
        <v>3</v>
      </c>
      <c r="N13" s="207">
        <v>4</v>
      </c>
      <c r="O13" s="207">
        <v>0.82</v>
      </c>
      <c r="P13" s="207">
        <v>0.77</v>
      </c>
      <c r="Q13" s="244">
        <f t="shared" si="2"/>
        <v>0.79499999999999993</v>
      </c>
      <c r="R13" s="207">
        <v>14.5</v>
      </c>
      <c r="S13" s="207">
        <v>100</v>
      </c>
      <c r="T13" s="216">
        <f t="shared" si="0"/>
        <v>33</v>
      </c>
      <c r="U13" s="207">
        <v>297</v>
      </c>
      <c r="V13" s="216">
        <f t="shared" si="1"/>
        <v>16</v>
      </c>
      <c r="W13" s="207">
        <v>6</v>
      </c>
      <c r="X13" s="207" t="s">
        <v>39</v>
      </c>
      <c r="Y13" s="207" t="s">
        <v>84</v>
      </c>
      <c r="Z13" s="207" t="s">
        <v>90</v>
      </c>
      <c r="AA13" s="207" t="s">
        <v>271</v>
      </c>
      <c r="AB13" s="236" t="s">
        <v>458</v>
      </c>
      <c r="AE13" s="222" t="s">
        <v>73</v>
      </c>
      <c r="AG13" s="223"/>
      <c r="AH13" s="223"/>
      <c r="AP13" s="223" t="s">
        <v>71</v>
      </c>
      <c r="AR13" s="230" t="s">
        <v>103</v>
      </c>
      <c r="AV13" s="223" t="s">
        <v>75</v>
      </c>
    </row>
    <row r="14" spans="1:53" x14ac:dyDescent="0.15">
      <c r="A14" s="207" t="s">
        <v>59</v>
      </c>
      <c r="B14" s="236" t="s">
        <v>416</v>
      </c>
      <c r="C14" s="152">
        <v>2018</v>
      </c>
      <c r="D14" s="153" t="s">
        <v>490</v>
      </c>
      <c r="E14" s="207" t="s">
        <v>308</v>
      </c>
      <c r="F14" s="207" t="s">
        <v>300</v>
      </c>
      <c r="G14" s="207" t="s">
        <v>36</v>
      </c>
      <c r="H14" s="207" t="s">
        <v>129</v>
      </c>
      <c r="I14" s="207" t="s">
        <v>153</v>
      </c>
      <c r="J14" s="207" t="s">
        <v>269</v>
      </c>
      <c r="K14" s="207" t="s">
        <v>261</v>
      </c>
      <c r="L14" s="207">
        <v>1</v>
      </c>
      <c r="N14" s="207">
        <v>4</v>
      </c>
      <c r="O14" s="207">
        <v>0.4</v>
      </c>
      <c r="P14" s="207">
        <v>0.42</v>
      </c>
      <c r="Q14" s="244">
        <f t="shared" si="2"/>
        <v>0.41000000000000003</v>
      </c>
      <c r="R14" s="207">
        <v>16.600000000000001</v>
      </c>
      <c r="S14" s="207">
        <v>86</v>
      </c>
      <c r="T14" s="216">
        <f t="shared" si="0"/>
        <v>36</v>
      </c>
      <c r="U14" s="207">
        <v>357</v>
      </c>
      <c r="V14" s="216">
        <f t="shared" si="1"/>
        <v>16</v>
      </c>
      <c r="W14" s="207">
        <v>1</v>
      </c>
      <c r="X14" s="207" t="s">
        <v>39</v>
      </c>
      <c r="Y14" s="207" t="s">
        <v>84</v>
      </c>
      <c r="Z14" s="207" t="s">
        <v>90</v>
      </c>
      <c r="AA14" s="207" t="s">
        <v>271</v>
      </c>
      <c r="AB14" s="236" t="s">
        <v>458</v>
      </c>
      <c r="AE14" s="222" t="s">
        <v>76</v>
      </c>
      <c r="AG14" s="223"/>
      <c r="AH14" s="223"/>
      <c r="AP14" s="223" t="s">
        <v>267</v>
      </c>
      <c r="AR14" s="230" t="s">
        <v>125</v>
      </c>
      <c r="AV14" s="223" t="s">
        <v>78</v>
      </c>
    </row>
    <row r="15" spans="1:53" x14ac:dyDescent="0.15">
      <c r="A15" s="207" t="s">
        <v>59</v>
      </c>
      <c r="B15" s="236" t="s">
        <v>465</v>
      </c>
      <c r="C15" s="152">
        <v>2018</v>
      </c>
      <c r="D15" s="153" t="s">
        <v>466</v>
      </c>
      <c r="E15" s="207" t="s">
        <v>308</v>
      </c>
      <c r="F15" s="207" t="s">
        <v>300</v>
      </c>
      <c r="G15" s="207" t="s">
        <v>36</v>
      </c>
      <c r="H15" s="207" t="s">
        <v>129</v>
      </c>
      <c r="I15" s="207" t="s">
        <v>153</v>
      </c>
      <c r="J15" s="207" t="s">
        <v>269</v>
      </c>
      <c r="K15" s="207" t="s">
        <v>261</v>
      </c>
      <c r="L15" s="207">
        <v>2</v>
      </c>
      <c r="N15" s="207">
        <v>4</v>
      </c>
      <c r="O15" s="207">
        <v>0.41</v>
      </c>
      <c r="P15" s="207">
        <v>0.54</v>
      </c>
      <c r="Q15" s="244">
        <f t="shared" si="2"/>
        <v>0.47499999999999998</v>
      </c>
      <c r="R15" s="207">
        <v>14.6</v>
      </c>
      <c r="S15" s="207">
        <v>95</v>
      </c>
      <c r="T15" s="216">
        <f t="shared" si="0"/>
        <v>36</v>
      </c>
      <c r="U15" s="207">
        <v>357</v>
      </c>
      <c r="V15" s="216">
        <f t="shared" si="1"/>
        <v>16</v>
      </c>
      <c r="W15" s="207">
        <v>1</v>
      </c>
      <c r="X15" s="207" t="s">
        <v>39</v>
      </c>
      <c r="Y15" s="207" t="s">
        <v>84</v>
      </c>
      <c r="Z15" s="207" t="s">
        <v>90</v>
      </c>
      <c r="AA15" s="207" t="s">
        <v>271</v>
      </c>
      <c r="AB15" s="236" t="s">
        <v>458</v>
      </c>
      <c r="AE15" s="222" t="s">
        <v>79</v>
      </c>
      <c r="AG15" s="223"/>
      <c r="AH15" s="223"/>
      <c r="AP15" s="223" t="s">
        <v>268</v>
      </c>
      <c r="AR15" s="230" t="s">
        <v>94</v>
      </c>
      <c r="AV15" s="223" t="s">
        <v>107</v>
      </c>
    </row>
    <row r="16" spans="1:53" x14ac:dyDescent="0.15">
      <c r="A16" s="207" t="s">
        <v>59</v>
      </c>
      <c r="B16" s="236" t="s">
        <v>420</v>
      </c>
      <c r="C16" s="152">
        <v>2018</v>
      </c>
      <c r="D16" s="153" t="s">
        <v>491</v>
      </c>
      <c r="E16" s="207" t="s">
        <v>308</v>
      </c>
      <c r="F16" s="207" t="s">
        <v>300</v>
      </c>
      <c r="G16" s="207" t="s">
        <v>36</v>
      </c>
      <c r="H16" s="207" t="s">
        <v>129</v>
      </c>
      <c r="I16" s="207" t="s">
        <v>153</v>
      </c>
      <c r="J16" s="207" t="s">
        <v>269</v>
      </c>
      <c r="K16" s="207" t="s">
        <v>261</v>
      </c>
      <c r="L16" s="207">
        <v>3</v>
      </c>
      <c r="N16" s="207">
        <v>4</v>
      </c>
      <c r="O16" s="207">
        <v>0.62</v>
      </c>
      <c r="P16" s="207">
        <v>0.65</v>
      </c>
      <c r="Q16" s="244">
        <f t="shared" si="2"/>
        <v>0.63500000000000001</v>
      </c>
      <c r="R16" s="207">
        <v>17.5</v>
      </c>
      <c r="S16" s="207">
        <v>85</v>
      </c>
      <c r="T16" s="216">
        <f t="shared" si="0"/>
        <v>36</v>
      </c>
      <c r="U16" s="207">
        <v>357</v>
      </c>
      <c r="V16" s="216">
        <f t="shared" si="1"/>
        <v>16</v>
      </c>
      <c r="W16" s="207">
        <v>1</v>
      </c>
      <c r="X16" s="207" t="s">
        <v>39</v>
      </c>
      <c r="Y16" s="207" t="s">
        <v>84</v>
      </c>
      <c r="Z16" s="207" t="s">
        <v>90</v>
      </c>
      <c r="AA16" s="207" t="s">
        <v>271</v>
      </c>
      <c r="AB16" s="236" t="s">
        <v>458</v>
      </c>
      <c r="AE16" s="222" t="s">
        <v>82</v>
      </c>
      <c r="AG16" s="228"/>
      <c r="AH16" s="228"/>
      <c r="AP16" s="223" t="s">
        <v>80</v>
      </c>
      <c r="AR16" s="237" t="s">
        <v>63</v>
      </c>
      <c r="AV16" s="223" t="s">
        <v>84</v>
      </c>
    </row>
    <row r="17" spans="1:48" x14ac:dyDescent="0.15">
      <c r="A17" s="207" t="s">
        <v>59</v>
      </c>
      <c r="B17" s="236" t="s">
        <v>465</v>
      </c>
      <c r="C17" s="152">
        <v>2018</v>
      </c>
      <c r="D17" s="153" t="s">
        <v>466</v>
      </c>
      <c r="E17" s="207" t="s">
        <v>308</v>
      </c>
      <c r="F17" s="207" t="s">
        <v>300</v>
      </c>
      <c r="G17" s="207" t="s">
        <v>36</v>
      </c>
      <c r="H17" s="207" t="s">
        <v>128</v>
      </c>
      <c r="I17" s="207" t="s">
        <v>153</v>
      </c>
      <c r="J17" s="207" t="s">
        <v>270</v>
      </c>
      <c r="K17" s="207" t="s">
        <v>261</v>
      </c>
      <c r="L17" s="207">
        <v>1</v>
      </c>
      <c r="N17" s="207">
        <v>5</v>
      </c>
      <c r="O17" s="207">
        <v>0.21</v>
      </c>
      <c r="P17" s="207">
        <v>0.23</v>
      </c>
      <c r="Q17" s="244">
        <f t="shared" si="2"/>
        <v>0.22</v>
      </c>
      <c r="R17" s="207">
        <v>14</v>
      </c>
      <c r="S17" s="207">
        <v>81</v>
      </c>
      <c r="T17" s="216">
        <f t="shared" si="0"/>
        <v>39</v>
      </c>
      <c r="U17" s="207">
        <v>357</v>
      </c>
      <c r="V17" s="216">
        <f t="shared" si="1"/>
        <v>16</v>
      </c>
      <c r="W17" s="207">
        <v>1</v>
      </c>
      <c r="X17" s="207" t="s">
        <v>39</v>
      </c>
      <c r="Y17" s="207" t="s">
        <v>84</v>
      </c>
      <c r="Z17" s="207" t="s">
        <v>90</v>
      </c>
      <c r="AA17" s="207" t="s">
        <v>271</v>
      </c>
      <c r="AB17" s="236" t="s">
        <v>458</v>
      </c>
      <c r="AE17" s="222" t="s">
        <v>85</v>
      </c>
      <c r="AP17" s="238" t="s">
        <v>110</v>
      </c>
      <c r="AR17" s="237" t="s">
        <v>96</v>
      </c>
      <c r="AV17" s="223" t="s">
        <v>86</v>
      </c>
    </row>
    <row r="18" spans="1:48" x14ac:dyDescent="0.15">
      <c r="A18" s="207" t="s">
        <v>59</v>
      </c>
      <c r="B18" s="236" t="s">
        <v>465</v>
      </c>
      <c r="C18" s="152">
        <v>2018</v>
      </c>
      <c r="D18" s="153" t="s">
        <v>466</v>
      </c>
      <c r="E18" s="207" t="s">
        <v>308</v>
      </c>
      <c r="F18" s="207" t="s">
        <v>300</v>
      </c>
      <c r="G18" s="207" t="s">
        <v>36</v>
      </c>
      <c r="H18" s="207" t="s">
        <v>128</v>
      </c>
      <c r="I18" s="207" t="s">
        <v>153</v>
      </c>
      <c r="J18" s="207" t="s">
        <v>270</v>
      </c>
      <c r="K18" s="207" t="s">
        <v>261</v>
      </c>
      <c r="L18" s="207">
        <v>2</v>
      </c>
      <c r="N18" s="207">
        <v>5</v>
      </c>
      <c r="O18" s="207">
        <v>0.2</v>
      </c>
      <c r="P18" s="207">
        <v>0.2</v>
      </c>
      <c r="Q18" s="244">
        <f t="shared" si="2"/>
        <v>0.2</v>
      </c>
      <c r="R18" s="207">
        <v>13.7</v>
      </c>
      <c r="S18" s="207">
        <v>87</v>
      </c>
      <c r="T18" s="216">
        <f t="shared" si="0"/>
        <v>36</v>
      </c>
      <c r="U18" s="207">
        <v>357</v>
      </c>
      <c r="V18" s="216">
        <f t="shared" si="1"/>
        <v>16</v>
      </c>
      <c r="W18" s="207">
        <v>1</v>
      </c>
      <c r="X18" s="207" t="s">
        <v>39</v>
      </c>
      <c r="Y18" s="207" t="s">
        <v>84</v>
      </c>
      <c r="Z18" s="207" t="s">
        <v>90</v>
      </c>
      <c r="AA18" s="207" t="s">
        <v>271</v>
      </c>
      <c r="AB18" s="236" t="s">
        <v>458</v>
      </c>
      <c r="AE18" s="222" t="s">
        <v>87</v>
      </c>
      <c r="AP18" s="238" t="s">
        <v>270</v>
      </c>
      <c r="AR18" s="237" t="s">
        <v>101</v>
      </c>
      <c r="AV18" s="223" t="s">
        <v>88</v>
      </c>
    </row>
    <row r="19" spans="1:48" x14ac:dyDescent="0.15">
      <c r="A19" s="207" t="s">
        <v>59</v>
      </c>
      <c r="B19" s="236" t="s">
        <v>410</v>
      </c>
      <c r="C19" s="152">
        <v>2018</v>
      </c>
      <c r="D19" s="153" t="s">
        <v>477</v>
      </c>
      <c r="E19" s="207" t="s">
        <v>308</v>
      </c>
      <c r="F19" s="207" t="s">
        <v>300</v>
      </c>
      <c r="G19" s="207" t="s">
        <v>36</v>
      </c>
      <c r="H19" s="207" t="s">
        <v>128</v>
      </c>
      <c r="I19" s="207" t="s">
        <v>153</v>
      </c>
      <c r="J19" s="207" t="s">
        <v>270</v>
      </c>
      <c r="K19" s="207" t="s">
        <v>261</v>
      </c>
      <c r="L19" s="207">
        <v>3</v>
      </c>
      <c r="N19" s="207">
        <v>5</v>
      </c>
      <c r="O19" s="207">
        <v>0.23</v>
      </c>
      <c r="P19" s="207">
        <v>0.21</v>
      </c>
      <c r="Q19" s="244">
        <f t="shared" si="2"/>
        <v>0.22</v>
      </c>
      <c r="R19" s="207">
        <v>12.4</v>
      </c>
      <c r="S19" s="207">
        <v>75</v>
      </c>
      <c r="T19" s="216">
        <f t="shared" si="0"/>
        <v>42</v>
      </c>
      <c r="U19" s="207">
        <v>357</v>
      </c>
      <c r="V19" s="216">
        <f t="shared" si="1"/>
        <v>16</v>
      </c>
      <c r="W19" s="207">
        <v>1</v>
      </c>
      <c r="X19" s="207" t="s">
        <v>39</v>
      </c>
      <c r="Y19" s="207" t="s">
        <v>84</v>
      </c>
      <c r="Z19" s="207" t="s">
        <v>90</v>
      </c>
      <c r="AA19" s="207" t="s">
        <v>271</v>
      </c>
      <c r="AB19" s="236" t="s">
        <v>458</v>
      </c>
      <c r="AD19" s="236"/>
      <c r="AE19" s="235" t="s">
        <v>89</v>
      </c>
      <c r="AP19" s="238" t="s">
        <v>112</v>
      </c>
      <c r="AR19" s="230" t="s">
        <v>126</v>
      </c>
      <c r="AV19" s="223" t="s">
        <v>271</v>
      </c>
    </row>
    <row r="20" spans="1:48" x14ac:dyDescent="0.15">
      <c r="A20" s="207" t="s">
        <v>59</v>
      </c>
      <c r="B20" s="236" t="s">
        <v>465</v>
      </c>
      <c r="C20" s="152">
        <v>2018</v>
      </c>
      <c r="D20" s="153" t="s">
        <v>466</v>
      </c>
      <c r="E20" s="207" t="s">
        <v>262</v>
      </c>
      <c r="F20" s="207" t="s">
        <v>303</v>
      </c>
      <c r="G20" s="207" t="s">
        <v>36</v>
      </c>
      <c r="H20" s="207" t="s">
        <v>162</v>
      </c>
      <c r="I20" s="207" t="s">
        <v>153</v>
      </c>
      <c r="J20" s="207" t="s">
        <v>38</v>
      </c>
      <c r="K20" s="207" t="s">
        <v>154</v>
      </c>
      <c r="L20" s="207">
        <v>1</v>
      </c>
      <c r="N20" s="207">
        <v>3</v>
      </c>
      <c r="O20" s="207">
        <v>0.43</v>
      </c>
      <c r="P20" s="207">
        <v>0.52</v>
      </c>
      <c r="Q20" s="244">
        <f t="shared" si="2"/>
        <v>0.47499999999999998</v>
      </c>
      <c r="R20" s="207">
        <v>16.600000000000001</v>
      </c>
      <c r="S20" s="207">
        <v>130</v>
      </c>
      <c r="T20" s="216">
        <f t="shared" si="0"/>
        <v>25</v>
      </c>
      <c r="U20" s="207">
        <v>399</v>
      </c>
      <c r="V20" s="216">
        <f t="shared" si="1"/>
        <v>16</v>
      </c>
      <c r="W20" s="207">
        <v>4</v>
      </c>
      <c r="X20" s="207" t="s">
        <v>39</v>
      </c>
      <c r="Y20" s="207" t="s">
        <v>90</v>
      </c>
      <c r="Z20" s="207" t="s">
        <v>84</v>
      </c>
      <c r="AA20" s="207" t="s">
        <v>271</v>
      </c>
      <c r="AB20" s="236" t="s">
        <v>458</v>
      </c>
      <c r="AD20" s="236"/>
      <c r="AE20" s="235"/>
      <c r="AP20" s="238" t="s">
        <v>113</v>
      </c>
      <c r="AR20" s="237" t="s">
        <v>105</v>
      </c>
      <c r="AV20" s="227" t="s">
        <v>492</v>
      </c>
    </row>
    <row r="21" spans="1:48" x14ac:dyDescent="0.15">
      <c r="A21" s="207" t="s">
        <v>59</v>
      </c>
      <c r="B21" s="236" t="s">
        <v>465</v>
      </c>
      <c r="C21" s="152">
        <v>2018</v>
      </c>
      <c r="D21" s="153" t="s">
        <v>466</v>
      </c>
      <c r="E21" s="207" t="s">
        <v>262</v>
      </c>
      <c r="F21" s="207" t="s">
        <v>303</v>
      </c>
      <c r="G21" s="207" t="s">
        <v>36</v>
      </c>
      <c r="H21" s="207" t="s">
        <v>162</v>
      </c>
      <c r="I21" s="207" t="s">
        <v>153</v>
      </c>
      <c r="J21" s="207" t="s">
        <v>38</v>
      </c>
      <c r="K21" s="207" t="s">
        <v>154</v>
      </c>
      <c r="L21" s="207">
        <v>2</v>
      </c>
      <c r="N21" s="207">
        <v>3</v>
      </c>
      <c r="O21" s="207">
        <v>0.43</v>
      </c>
      <c r="P21" s="207">
        <v>0.42</v>
      </c>
      <c r="Q21" s="244">
        <f t="shared" si="2"/>
        <v>0.42499999999999999</v>
      </c>
      <c r="R21" s="207">
        <v>14.6</v>
      </c>
      <c r="S21" s="207">
        <v>120</v>
      </c>
      <c r="T21" s="216">
        <f t="shared" si="0"/>
        <v>30</v>
      </c>
      <c r="U21" s="207">
        <v>399</v>
      </c>
      <c r="V21" s="216">
        <f t="shared" si="1"/>
        <v>16</v>
      </c>
      <c r="W21" s="207">
        <v>4</v>
      </c>
      <c r="X21" s="207" t="s">
        <v>39</v>
      </c>
      <c r="Y21" s="207" t="s">
        <v>90</v>
      </c>
      <c r="Z21" s="207" t="s">
        <v>84</v>
      </c>
      <c r="AA21" s="207" t="s">
        <v>271</v>
      </c>
      <c r="AB21" s="236" t="s">
        <v>458</v>
      </c>
      <c r="AD21" s="236"/>
      <c r="AE21" s="228"/>
      <c r="AP21" s="238" t="s">
        <v>272</v>
      </c>
      <c r="AR21" s="237" t="s">
        <v>68</v>
      </c>
      <c r="AV21" s="227" t="s">
        <v>493</v>
      </c>
    </row>
    <row r="22" spans="1:48" x14ac:dyDescent="0.15">
      <c r="A22" s="207" t="s">
        <v>59</v>
      </c>
      <c r="B22" s="236" t="s">
        <v>465</v>
      </c>
      <c r="C22" s="152">
        <v>2018</v>
      </c>
      <c r="D22" s="153" t="s">
        <v>466</v>
      </c>
      <c r="E22" s="207" t="s">
        <v>262</v>
      </c>
      <c r="F22" s="207" t="s">
        <v>303</v>
      </c>
      <c r="G22" s="207" t="s">
        <v>36</v>
      </c>
      <c r="H22" s="207" t="s">
        <v>162</v>
      </c>
      <c r="I22" s="207" t="s">
        <v>153</v>
      </c>
      <c r="J22" s="207" t="s">
        <v>38</v>
      </c>
      <c r="K22" s="207" t="s">
        <v>154</v>
      </c>
      <c r="L22" s="207">
        <v>3</v>
      </c>
      <c r="N22" s="207">
        <v>3</v>
      </c>
      <c r="O22" s="207">
        <v>0.45</v>
      </c>
      <c r="P22" s="207">
        <v>0.51</v>
      </c>
      <c r="Q22" s="244">
        <f t="shared" si="2"/>
        <v>0.48</v>
      </c>
      <c r="R22" s="207">
        <v>15.1</v>
      </c>
      <c r="S22" s="207">
        <v>125</v>
      </c>
      <c r="T22" s="216">
        <f t="shared" si="0"/>
        <v>27</v>
      </c>
      <c r="U22" s="207">
        <v>399</v>
      </c>
      <c r="V22" s="216">
        <f t="shared" si="1"/>
        <v>16</v>
      </c>
      <c r="W22" s="207">
        <v>4</v>
      </c>
      <c r="X22" s="207" t="s">
        <v>39</v>
      </c>
      <c r="Y22" s="207" t="s">
        <v>90</v>
      </c>
      <c r="Z22" s="207" t="s">
        <v>84</v>
      </c>
      <c r="AA22" s="207" t="s">
        <v>271</v>
      </c>
      <c r="AB22" s="236" t="s">
        <v>458</v>
      </c>
      <c r="AD22" s="236"/>
      <c r="AP22" s="238" t="s">
        <v>269</v>
      </c>
      <c r="AR22" s="237" t="s">
        <v>83</v>
      </c>
      <c r="AV22" s="227" t="s">
        <v>273</v>
      </c>
    </row>
    <row r="23" spans="1:48" x14ac:dyDescent="0.15">
      <c r="A23" s="207" t="s">
        <v>59</v>
      </c>
      <c r="B23" s="236" t="s">
        <v>465</v>
      </c>
      <c r="C23" s="152">
        <v>2018</v>
      </c>
      <c r="D23" s="153" t="s">
        <v>466</v>
      </c>
      <c r="E23" s="207" t="s">
        <v>262</v>
      </c>
      <c r="F23" s="207" t="s">
        <v>303</v>
      </c>
      <c r="G23" s="207" t="s">
        <v>36</v>
      </c>
      <c r="H23" s="207" t="s">
        <v>155</v>
      </c>
      <c r="I23" s="207" t="s">
        <v>153</v>
      </c>
      <c r="J23" s="207" t="s">
        <v>38</v>
      </c>
      <c r="K23" s="207" t="s">
        <v>154</v>
      </c>
      <c r="L23" s="207">
        <v>1</v>
      </c>
      <c r="N23" s="207">
        <v>4</v>
      </c>
      <c r="O23" s="207">
        <v>0.65</v>
      </c>
      <c r="P23" s="207">
        <v>0.57999999999999996</v>
      </c>
      <c r="Q23" s="244">
        <f t="shared" si="2"/>
        <v>0.61499999999999999</v>
      </c>
      <c r="R23" s="207">
        <v>15.6</v>
      </c>
      <c r="S23" s="207">
        <v>100</v>
      </c>
      <c r="T23" s="216">
        <f t="shared" si="0"/>
        <v>33</v>
      </c>
      <c r="U23" s="207">
        <v>399</v>
      </c>
      <c r="V23" s="216">
        <f t="shared" si="1"/>
        <v>16</v>
      </c>
      <c r="W23" s="207">
        <v>4</v>
      </c>
      <c r="X23" s="207" t="s">
        <v>39</v>
      </c>
      <c r="Y23" s="207" t="s">
        <v>90</v>
      </c>
      <c r="Z23" s="207" t="s">
        <v>84</v>
      </c>
      <c r="AA23" s="207" t="s">
        <v>271</v>
      </c>
      <c r="AB23" s="236" t="s">
        <v>458</v>
      </c>
      <c r="AP23" s="238" t="s">
        <v>494</v>
      </c>
      <c r="AR23" s="237" t="s">
        <v>61</v>
      </c>
      <c r="AV23" s="227" t="s">
        <v>495</v>
      </c>
    </row>
    <row r="24" spans="1:48" x14ac:dyDescent="0.15">
      <c r="A24" s="207" t="s">
        <v>59</v>
      </c>
      <c r="B24" s="236" t="s">
        <v>465</v>
      </c>
      <c r="C24" s="152">
        <v>2018</v>
      </c>
      <c r="D24" s="153" t="s">
        <v>466</v>
      </c>
      <c r="E24" s="207" t="s">
        <v>262</v>
      </c>
      <c r="F24" s="207" t="s">
        <v>303</v>
      </c>
      <c r="G24" s="207" t="s">
        <v>36</v>
      </c>
      <c r="H24" s="207" t="s">
        <v>155</v>
      </c>
      <c r="I24" s="207" t="s">
        <v>153</v>
      </c>
      <c r="J24" s="207" t="s">
        <v>38</v>
      </c>
      <c r="K24" s="207" t="s">
        <v>154</v>
      </c>
      <c r="L24" s="207">
        <v>2</v>
      </c>
      <c r="N24" s="207">
        <v>4</v>
      </c>
      <c r="O24" s="207">
        <v>0.6</v>
      </c>
      <c r="P24" s="207">
        <v>0.67</v>
      </c>
      <c r="Q24" s="244">
        <f t="shared" si="2"/>
        <v>0.63500000000000001</v>
      </c>
      <c r="R24" s="207">
        <v>14.1</v>
      </c>
      <c r="S24" s="207">
        <v>95</v>
      </c>
      <c r="T24" s="216">
        <f t="shared" si="0"/>
        <v>36</v>
      </c>
      <c r="U24" s="207">
        <v>399</v>
      </c>
      <c r="V24" s="216">
        <f t="shared" si="1"/>
        <v>16</v>
      </c>
      <c r="W24" s="207">
        <v>4</v>
      </c>
      <c r="X24" s="207" t="s">
        <v>39</v>
      </c>
      <c r="Y24" s="207" t="s">
        <v>90</v>
      </c>
      <c r="Z24" s="207" t="s">
        <v>84</v>
      </c>
      <c r="AA24" s="207" t="s">
        <v>271</v>
      </c>
      <c r="AB24" s="236" t="s">
        <v>458</v>
      </c>
      <c r="AP24" s="238" t="s">
        <v>496</v>
      </c>
      <c r="AR24" s="237" t="s">
        <v>91</v>
      </c>
      <c r="AV24" s="227" t="s">
        <v>497</v>
      </c>
    </row>
    <row r="25" spans="1:48" x14ac:dyDescent="0.15">
      <c r="A25" s="207" t="s">
        <v>59</v>
      </c>
      <c r="B25" s="236" t="s">
        <v>465</v>
      </c>
      <c r="C25" s="152">
        <v>2018</v>
      </c>
      <c r="D25" s="153" t="s">
        <v>466</v>
      </c>
      <c r="E25" s="207" t="s">
        <v>262</v>
      </c>
      <c r="F25" s="207" t="s">
        <v>303</v>
      </c>
      <c r="G25" s="207" t="s">
        <v>36</v>
      </c>
      <c r="H25" s="207" t="s">
        <v>498</v>
      </c>
      <c r="I25" s="207" t="s">
        <v>153</v>
      </c>
      <c r="J25" s="207" t="s">
        <v>38</v>
      </c>
      <c r="K25" s="207" t="s">
        <v>154</v>
      </c>
      <c r="L25" s="207">
        <v>3</v>
      </c>
      <c r="N25" s="207">
        <v>4</v>
      </c>
      <c r="O25" s="207">
        <v>0.66</v>
      </c>
      <c r="P25" s="207">
        <v>0.62</v>
      </c>
      <c r="Q25" s="244">
        <f t="shared" si="2"/>
        <v>0.64</v>
      </c>
      <c r="R25" s="207">
        <v>15.4</v>
      </c>
      <c r="S25" s="207">
        <v>105</v>
      </c>
      <c r="T25" s="216">
        <f t="shared" si="0"/>
        <v>33</v>
      </c>
      <c r="U25" s="207">
        <v>399</v>
      </c>
      <c r="V25" s="216">
        <f t="shared" si="1"/>
        <v>16</v>
      </c>
      <c r="W25" s="207">
        <v>4</v>
      </c>
      <c r="X25" s="207" t="s">
        <v>39</v>
      </c>
      <c r="Y25" s="207" t="s">
        <v>90</v>
      </c>
      <c r="Z25" s="207" t="s">
        <v>84</v>
      </c>
      <c r="AA25" s="207" t="s">
        <v>271</v>
      </c>
      <c r="AB25" s="236" t="s">
        <v>458</v>
      </c>
      <c r="AD25" s="236"/>
      <c r="AP25" s="238" t="s">
        <v>116</v>
      </c>
      <c r="AR25" s="42" t="s">
        <v>92</v>
      </c>
      <c r="AV25" s="227" t="s">
        <v>499</v>
      </c>
    </row>
    <row r="26" spans="1:48" x14ac:dyDescent="0.15">
      <c r="A26" s="207" t="s">
        <v>59</v>
      </c>
      <c r="B26" s="236" t="s">
        <v>465</v>
      </c>
      <c r="C26" s="152">
        <v>2018</v>
      </c>
      <c r="D26" s="153" t="s">
        <v>466</v>
      </c>
      <c r="E26" s="207" t="s">
        <v>315</v>
      </c>
      <c r="F26" s="207" t="s">
        <v>303</v>
      </c>
      <c r="G26" s="207" t="s">
        <v>36</v>
      </c>
      <c r="H26" s="207" t="s">
        <v>162</v>
      </c>
      <c r="I26" s="207" t="s">
        <v>153</v>
      </c>
      <c r="J26" s="207" t="s">
        <v>38</v>
      </c>
      <c r="K26" s="207" t="s">
        <v>154</v>
      </c>
      <c r="L26" s="207">
        <v>1</v>
      </c>
      <c r="N26" s="207">
        <v>4</v>
      </c>
      <c r="O26" s="207">
        <v>0.36</v>
      </c>
      <c r="P26" s="207">
        <v>0.44</v>
      </c>
      <c r="Q26" s="244">
        <f t="shared" si="2"/>
        <v>0.4</v>
      </c>
      <c r="R26" s="207">
        <v>15.1</v>
      </c>
      <c r="S26" s="207">
        <v>135</v>
      </c>
      <c r="T26" s="216">
        <f t="shared" si="0"/>
        <v>25</v>
      </c>
      <c r="U26" s="207">
        <v>645</v>
      </c>
      <c r="V26" s="216">
        <f t="shared" si="1"/>
        <v>16</v>
      </c>
      <c r="W26" s="207">
        <v>2</v>
      </c>
      <c r="X26" s="207" t="s">
        <v>46</v>
      </c>
      <c r="Y26" s="207" t="s">
        <v>90</v>
      </c>
      <c r="Z26" s="207" t="s">
        <v>78</v>
      </c>
      <c r="AA26" s="207" t="s">
        <v>84</v>
      </c>
      <c r="AB26" s="236" t="s">
        <v>458</v>
      </c>
      <c r="AD26" s="236"/>
      <c r="AP26" s="238" t="s">
        <v>117</v>
      </c>
      <c r="AR26" s="227" t="s">
        <v>274</v>
      </c>
      <c r="AV26" s="227"/>
    </row>
    <row r="27" spans="1:48" x14ac:dyDescent="0.15">
      <c r="A27" s="207" t="s">
        <v>59</v>
      </c>
      <c r="B27" s="236" t="s">
        <v>465</v>
      </c>
      <c r="C27" s="152">
        <v>2018</v>
      </c>
      <c r="D27" s="153" t="s">
        <v>466</v>
      </c>
      <c r="E27" s="207" t="s">
        <v>315</v>
      </c>
      <c r="F27" s="207" t="s">
        <v>303</v>
      </c>
      <c r="G27" s="207" t="s">
        <v>36</v>
      </c>
      <c r="H27" s="207" t="s">
        <v>162</v>
      </c>
      <c r="I27" s="207" t="s">
        <v>153</v>
      </c>
      <c r="J27" s="207" t="s">
        <v>38</v>
      </c>
      <c r="K27" s="207" t="s">
        <v>154</v>
      </c>
      <c r="L27" s="207">
        <v>2</v>
      </c>
      <c r="N27" s="207">
        <v>4</v>
      </c>
      <c r="O27" s="207">
        <v>0.37</v>
      </c>
      <c r="P27" s="207">
        <v>0.42</v>
      </c>
      <c r="Q27" s="244">
        <f t="shared" si="2"/>
        <v>0.39500000000000002</v>
      </c>
      <c r="R27" s="207">
        <v>15.5</v>
      </c>
      <c r="S27" s="207">
        <v>134</v>
      </c>
      <c r="T27" s="216">
        <f t="shared" si="0"/>
        <v>25</v>
      </c>
      <c r="U27" s="207">
        <v>645</v>
      </c>
      <c r="V27" s="216">
        <f t="shared" si="1"/>
        <v>16</v>
      </c>
      <c r="W27" s="207">
        <v>2</v>
      </c>
      <c r="X27" s="207" t="s">
        <v>46</v>
      </c>
      <c r="Y27" s="207" t="s">
        <v>90</v>
      </c>
      <c r="Z27" s="207" t="s">
        <v>78</v>
      </c>
      <c r="AA27" s="207" t="s">
        <v>84</v>
      </c>
      <c r="AB27" s="236" t="s">
        <v>458</v>
      </c>
      <c r="AD27" s="236"/>
      <c r="AP27" s="238" t="s">
        <v>118</v>
      </c>
      <c r="AR27" s="228" t="s">
        <v>287</v>
      </c>
      <c r="AV27" s="227"/>
    </row>
    <row r="28" spans="1:48" x14ac:dyDescent="0.15">
      <c r="A28" s="207" t="s">
        <v>59</v>
      </c>
      <c r="B28" s="236" t="s">
        <v>465</v>
      </c>
      <c r="C28" s="152">
        <v>2018</v>
      </c>
      <c r="D28" s="153" t="s">
        <v>466</v>
      </c>
      <c r="E28" s="207" t="s">
        <v>315</v>
      </c>
      <c r="F28" s="207" t="s">
        <v>303</v>
      </c>
      <c r="G28" s="207" t="s">
        <v>36</v>
      </c>
      <c r="H28" s="207" t="s">
        <v>162</v>
      </c>
      <c r="I28" s="207" t="s">
        <v>153</v>
      </c>
      <c r="J28" s="207" t="s">
        <v>38</v>
      </c>
      <c r="K28" s="207" t="s">
        <v>154</v>
      </c>
      <c r="L28" s="207">
        <v>3</v>
      </c>
      <c r="N28" s="207">
        <v>4</v>
      </c>
      <c r="O28" s="207">
        <v>0.44</v>
      </c>
      <c r="P28" s="207">
        <v>0.32</v>
      </c>
      <c r="Q28" s="244">
        <f t="shared" si="2"/>
        <v>0.38</v>
      </c>
      <c r="R28" s="207">
        <v>15.6</v>
      </c>
      <c r="S28" s="207">
        <v>133</v>
      </c>
      <c r="T28" s="216">
        <f t="shared" si="0"/>
        <v>25</v>
      </c>
      <c r="U28" s="207">
        <v>645</v>
      </c>
      <c r="V28" s="216">
        <f t="shared" si="1"/>
        <v>16</v>
      </c>
      <c r="W28" s="207">
        <v>2</v>
      </c>
      <c r="X28" s="207" t="s">
        <v>46</v>
      </c>
      <c r="Y28" s="207" t="s">
        <v>90</v>
      </c>
      <c r="Z28" s="207" t="s">
        <v>78</v>
      </c>
      <c r="AA28" s="207" t="s">
        <v>84</v>
      </c>
      <c r="AB28" s="236" t="s">
        <v>458</v>
      </c>
      <c r="AD28" s="236"/>
      <c r="AV28" s="227"/>
    </row>
    <row r="29" spans="1:48" x14ac:dyDescent="0.15">
      <c r="A29" s="207" t="s">
        <v>59</v>
      </c>
      <c r="B29" s="236" t="s">
        <v>465</v>
      </c>
      <c r="C29" s="152">
        <v>2018</v>
      </c>
      <c r="D29" s="153" t="s">
        <v>466</v>
      </c>
      <c r="E29" s="207" t="s">
        <v>315</v>
      </c>
      <c r="F29" s="207" t="s">
        <v>303</v>
      </c>
      <c r="G29" s="207" t="s">
        <v>36</v>
      </c>
      <c r="H29" s="207" t="s">
        <v>155</v>
      </c>
      <c r="I29" s="207" t="s">
        <v>153</v>
      </c>
      <c r="J29" s="207" t="s">
        <v>38</v>
      </c>
      <c r="K29" s="207" t="s">
        <v>154</v>
      </c>
      <c r="L29" s="207">
        <v>1</v>
      </c>
      <c r="N29" s="207">
        <v>1</v>
      </c>
      <c r="O29" s="207">
        <v>0.95</v>
      </c>
      <c r="P29" s="207">
        <v>0.8</v>
      </c>
      <c r="Q29" s="244">
        <f t="shared" si="2"/>
        <v>0.875</v>
      </c>
      <c r="R29" s="207">
        <v>14.3</v>
      </c>
      <c r="S29" s="207">
        <v>132</v>
      </c>
      <c r="T29" s="216">
        <f t="shared" si="0"/>
        <v>25</v>
      </c>
      <c r="U29" s="207">
        <v>95</v>
      </c>
      <c r="V29" s="216">
        <f t="shared" si="1"/>
        <v>36</v>
      </c>
      <c r="W29" s="207">
        <v>2</v>
      </c>
      <c r="X29" s="207" t="s">
        <v>46</v>
      </c>
      <c r="Y29" s="207" t="s">
        <v>90</v>
      </c>
      <c r="Z29" s="207" t="s">
        <v>78</v>
      </c>
      <c r="AA29" s="207" t="s">
        <v>84</v>
      </c>
      <c r="AB29" s="236" t="s">
        <v>458</v>
      </c>
      <c r="AV29" s="227"/>
    </row>
    <row r="30" spans="1:48" x14ac:dyDescent="0.15">
      <c r="A30" s="207" t="s">
        <v>59</v>
      </c>
      <c r="B30" s="236" t="s">
        <v>465</v>
      </c>
      <c r="C30" s="152">
        <v>2018</v>
      </c>
      <c r="D30" s="153" t="s">
        <v>466</v>
      </c>
      <c r="E30" s="207" t="s">
        <v>315</v>
      </c>
      <c r="F30" s="207" t="s">
        <v>303</v>
      </c>
      <c r="G30" s="207" t="s">
        <v>36</v>
      </c>
      <c r="H30" s="207" t="s">
        <v>155</v>
      </c>
      <c r="I30" s="207" t="s">
        <v>153</v>
      </c>
      <c r="J30" s="207" t="s">
        <v>38</v>
      </c>
      <c r="K30" s="207" t="s">
        <v>154</v>
      </c>
      <c r="L30" s="207">
        <v>2</v>
      </c>
      <c r="N30" s="207">
        <v>1</v>
      </c>
      <c r="O30" s="207">
        <v>0.82</v>
      </c>
      <c r="P30" s="207">
        <v>0.84</v>
      </c>
      <c r="Q30" s="244">
        <f t="shared" si="2"/>
        <v>0.83</v>
      </c>
      <c r="R30" s="207">
        <v>13.7</v>
      </c>
      <c r="S30" s="207">
        <v>126</v>
      </c>
      <c r="T30" s="216">
        <f t="shared" si="0"/>
        <v>27</v>
      </c>
      <c r="U30" s="207">
        <v>95</v>
      </c>
      <c r="V30" s="216">
        <f t="shared" si="1"/>
        <v>36</v>
      </c>
      <c r="W30" s="207">
        <v>2</v>
      </c>
      <c r="X30" s="207" t="s">
        <v>46</v>
      </c>
      <c r="Y30" s="207" t="s">
        <v>90</v>
      </c>
      <c r="Z30" s="207" t="s">
        <v>78</v>
      </c>
      <c r="AA30" s="207" t="s">
        <v>84</v>
      </c>
      <c r="AB30" s="236" t="s">
        <v>458</v>
      </c>
      <c r="AV30" s="227"/>
    </row>
    <row r="31" spans="1:48" x14ac:dyDescent="0.15">
      <c r="A31" s="207" t="s">
        <v>59</v>
      </c>
      <c r="B31" s="236" t="s">
        <v>465</v>
      </c>
      <c r="C31" s="152">
        <v>2018</v>
      </c>
      <c r="D31" s="153" t="s">
        <v>466</v>
      </c>
      <c r="E31" s="207" t="s">
        <v>315</v>
      </c>
      <c r="F31" s="207" t="s">
        <v>303</v>
      </c>
      <c r="G31" s="207" t="s">
        <v>36</v>
      </c>
      <c r="H31" s="207" t="s">
        <v>498</v>
      </c>
      <c r="I31" s="207" t="s">
        <v>153</v>
      </c>
      <c r="J31" s="207" t="s">
        <v>38</v>
      </c>
      <c r="K31" s="207" t="s">
        <v>154</v>
      </c>
      <c r="L31" s="207">
        <v>3</v>
      </c>
      <c r="N31" s="207">
        <v>1</v>
      </c>
      <c r="O31" s="207">
        <v>0.78</v>
      </c>
      <c r="P31" s="207">
        <v>0.85</v>
      </c>
      <c r="Q31" s="244">
        <f t="shared" si="2"/>
        <v>0.81499999999999995</v>
      </c>
      <c r="R31" s="207">
        <v>14</v>
      </c>
      <c r="S31" s="207">
        <v>129</v>
      </c>
      <c r="T31" s="216">
        <f t="shared" si="0"/>
        <v>25</v>
      </c>
      <c r="U31" s="207">
        <v>95</v>
      </c>
      <c r="V31" s="216">
        <f t="shared" si="1"/>
        <v>36</v>
      </c>
      <c r="W31" s="207">
        <v>2</v>
      </c>
      <c r="X31" s="207" t="s">
        <v>46</v>
      </c>
      <c r="Y31" s="207" t="s">
        <v>90</v>
      </c>
      <c r="Z31" s="207" t="s">
        <v>78</v>
      </c>
      <c r="AA31" s="207" t="s">
        <v>84</v>
      </c>
      <c r="AB31" s="236" t="s">
        <v>458</v>
      </c>
      <c r="AV31" s="227"/>
    </row>
    <row r="32" spans="1:48" x14ac:dyDescent="0.15">
      <c r="A32" s="207" t="s">
        <v>59</v>
      </c>
      <c r="B32" s="236" t="s">
        <v>465</v>
      </c>
      <c r="C32" s="152">
        <v>2018</v>
      </c>
      <c r="D32" s="153" t="s">
        <v>466</v>
      </c>
      <c r="E32" s="207" t="s">
        <v>314</v>
      </c>
      <c r="F32" s="207" t="s">
        <v>306</v>
      </c>
      <c r="G32" s="207" t="s">
        <v>36</v>
      </c>
      <c r="H32" s="207" t="s">
        <v>162</v>
      </c>
      <c r="I32" s="207" t="s">
        <v>153</v>
      </c>
      <c r="J32" s="207" t="s">
        <v>38</v>
      </c>
      <c r="K32" s="207" t="s">
        <v>154</v>
      </c>
      <c r="L32" s="207">
        <v>1</v>
      </c>
      <c r="N32" s="207">
        <v>1</v>
      </c>
      <c r="O32" s="207">
        <v>0.28000000000000003</v>
      </c>
      <c r="P32" s="207">
        <v>0.33</v>
      </c>
      <c r="Q32" s="244">
        <f t="shared" si="2"/>
        <v>0.30500000000000005</v>
      </c>
      <c r="R32" s="207">
        <v>14.8</v>
      </c>
      <c r="S32" s="207">
        <v>126</v>
      </c>
      <c r="T32" s="216">
        <f t="shared" si="0"/>
        <v>27</v>
      </c>
      <c r="U32" s="207">
        <v>138</v>
      </c>
      <c r="V32" s="216">
        <f t="shared" si="1"/>
        <v>22</v>
      </c>
      <c r="W32" s="207">
        <v>2</v>
      </c>
      <c r="X32" s="207" t="s">
        <v>39</v>
      </c>
      <c r="Y32" s="207" t="s">
        <v>90</v>
      </c>
      <c r="Z32" s="207" t="s">
        <v>84</v>
      </c>
      <c r="AA32" s="207" t="s">
        <v>78</v>
      </c>
      <c r="AB32" s="236" t="s">
        <v>458</v>
      </c>
      <c r="AV32" s="227"/>
    </row>
    <row r="33" spans="1:48" x14ac:dyDescent="0.15">
      <c r="A33" s="207" t="s">
        <v>59</v>
      </c>
      <c r="B33" s="236" t="s">
        <v>465</v>
      </c>
      <c r="C33" s="152">
        <v>2018</v>
      </c>
      <c r="D33" s="153" t="s">
        <v>466</v>
      </c>
      <c r="E33" s="207" t="s">
        <v>314</v>
      </c>
      <c r="F33" s="207" t="s">
        <v>306</v>
      </c>
      <c r="G33" s="207" t="s">
        <v>36</v>
      </c>
      <c r="H33" s="207" t="s">
        <v>162</v>
      </c>
      <c r="I33" s="207" t="s">
        <v>153</v>
      </c>
      <c r="J33" s="207" t="s">
        <v>38</v>
      </c>
      <c r="K33" s="207" t="s">
        <v>154</v>
      </c>
      <c r="L33" s="207">
        <v>2</v>
      </c>
      <c r="N33" s="207">
        <v>1</v>
      </c>
      <c r="O33" s="207">
        <v>0.24</v>
      </c>
      <c r="P33" s="207">
        <v>0.35</v>
      </c>
      <c r="Q33" s="244">
        <f t="shared" si="2"/>
        <v>0.29499999999999998</v>
      </c>
      <c r="R33" s="207">
        <v>16.399999999999999</v>
      </c>
      <c r="S33" s="207">
        <v>130</v>
      </c>
      <c r="T33" s="216">
        <f t="shared" si="0"/>
        <v>25</v>
      </c>
      <c r="U33" s="207">
        <v>138</v>
      </c>
      <c r="V33" s="216">
        <f t="shared" si="1"/>
        <v>22</v>
      </c>
      <c r="W33" s="207">
        <v>2</v>
      </c>
      <c r="X33" s="207" t="s">
        <v>39</v>
      </c>
      <c r="Y33" s="207" t="s">
        <v>90</v>
      </c>
      <c r="Z33" s="207" t="s">
        <v>84</v>
      </c>
      <c r="AA33" s="207" t="s">
        <v>78</v>
      </c>
      <c r="AB33" s="236" t="s">
        <v>458</v>
      </c>
      <c r="AV33" s="227"/>
    </row>
    <row r="34" spans="1:48" x14ac:dyDescent="0.15">
      <c r="A34" s="207" t="s">
        <v>59</v>
      </c>
      <c r="B34" s="236" t="s">
        <v>465</v>
      </c>
      <c r="C34" s="152">
        <v>2018</v>
      </c>
      <c r="D34" s="153" t="s">
        <v>466</v>
      </c>
      <c r="E34" s="207" t="s">
        <v>314</v>
      </c>
      <c r="F34" s="207" t="s">
        <v>306</v>
      </c>
      <c r="G34" s="207" t="s">
        <v>36</v>
      </c>
      <c r="H34" s="207" t="s">
        <v>162</v>
      </c>
      <c r="I34" s="207" t="s">
        <v>153</v>
      </c>
      <c r="J34" s="207" t="s">
        <v>38</v>
      </c>
      <c r="K34" s="207" t="s">
        <v>154</v>
      </c>
      <c r="L34" s="207">
        <v>3</v>
      </c>
      <c r="N34" s="207">
        <v>1</v>
      </c>
      <c r="O34" s="207">
        <v>0.32</v>
      </c>
      <c r="P34" s="207">
        <v>0.34</v>
      </c>
      <c r="Q34" s="244">
        <f t="shared" si="2"/>
        <v>0.33</v>
      </c>
      <c r="R34" s="207">
        <v>14.6</v>
      </c>
      <c r="S34" s="207">
        <v>132</v>
      </c>
      <c r="T34" s="216">
        <f t="shared" si="0"/>
        <v>25</v>
      </c>
      <c r="U34" s="207">
        <v>138</v>
      </c>
      <c r="V34" s="216">
        <f t="shared" si="1"/>
        <v>22</v>
      </c>
      <c r="W34" s="207">
        <v>2</v>
      </c>
      <c r="X34" s="207" t="s">
        <v>39</v>
      </c>
      <c r="Y34" s="207" t="s">
        <v>90</v>
      </c>
      <c r="Z34" s="207" t="s">
        <v>84</v>
      </c>
      <c r="AA34" s="207" t="s">
        <v>78</v>
      </c>
      <c r="AB34" s="236" t="s">
        <v>458</v>
      </c>
      <c r="AV34" s="227"/>
    </row>
    <row r="35" spans="1:48" x14ac:dyDescent="0.15">
      <c r="A35" s="207" t="s">
        <v>59</v>
      </c>
      <c r="B35" s="236" t="s">
        <v>465</v>
      </c>
      <c r="C35" s="152">
        <v>2018</v>
      </c>
      <c r="D35" s="153" t="s">
        <v>466</v>
      </c>
      <c r="E35" s="207" t="s">
        <v>314</v>
      </c>
      <c r="F35" s="207" t="s">
        <v>306</v>
      </c>
      <c r="G35" s="207" t="s">
        <v>36</v>
      </c>
      <c r="H35" s="207" t="s">
        <v>155</v>
      </c>
      <c r="I35" s="207" t="s">
        <v>153</v>
      </c>
      <c r="J35" s="207" t="s">
        <v>38</v>
      </c>
      <c r="K35" s="207" t="s">
        <v>154</v>
      </c>
      <c r="L35" s="207">
        <v>1</v>
      </c>
      <c r="N35" s="207">
        <v>1</v>
      </c>
      <c r="O35" s="207">
        <v>0.64</v>
      </c>
      <c r="P35" s="207">
        <v>0.62</v>
      </c>
      <c r="Q35" s="244">
        <f t="shared" si="2"/>
        <v>0.63</v>
      </c>
      <c r="R35" s="207">
        <v>15.1</v>
      </c>
      <c r="S35" s="207">
        <v>159</v>
      </c>
      <c r="T35" s="216">
        <f t="shared" si="0"/>
        <v>18</v>
      </c>
      <c r="U35" s="207">
        <v>138</v>
      </c>
      <c r="V35" s="216">
        <f t="shared" si="1"/>
        <v>22</v>
      </c>
      <c r="W35" s="207">
        <v>2</v>
      </c>
      <c r="X35" s="207" t="s">
        <v>39</v>
      </c>
      <c r="Y35" s="207" t="s">
        <v>90</v>
      </c>
      <c r="Z35" s="207" t="s">
        <v>84</v>
      </c>
      <c r="AA35" s="207" t="s">
        <v>78</v>
      </c>
      <c r="AB35" s="236" t="s">
        <v>458</v>
      </c>
      <c r="AV35" s="227"/>
    </row>
    <row r="36" spans="1:48" x14ac:dyDescent="0.15">
      <c r="A36" s="207" t="s">
        <v>59</v>
      </c>
      <c r="B36" s="236" t="s">
        <v>465</v>
      </c>
      <c r="C36" s="152">
        <v>2018</v>
      </c>
      <c r="D36" s="153" t="s">
        <v>466</v>
      </c>
      <c r="E36" s="207" t="s">
        <v>314</v>
      </c>
      <c r="F36" s="207" t="s">
        <v>306</v>
      </c>
      <c r="G36" s="207" t="s">
        <v>36</v>
      </c>
      <c r="H36" s="207" t="s">
        <v>155</v>
      </c>
      <c r="I36" s="207" t="s">
        <v>153</v>
      </c>
      <c r="J36" s="207" t="s">
        <v>38</v>
      </c>
      <c r="K36" s="207" t="s">
        <v>154</v>
      </c>
      <c r="L36" s="207">
        <v>2</v>
      </c>
      <c r="N36" s="207">
        <v>1</v>
      </c>
      <c r="O36" s="207">
        <v>0.45</v>
      </c>
      <c r="P36" s="207">
        <v>0.57999999999999996</v>
      </c>
      <c r="Q36" s="244">
        <f t="shared" si="2"/>
        <v>0.51500000000000001</v>
      </c>
      <c r="R36" s="207">
        <v>15.5</v>
      </c>
      <c r="S36" s="207">
        <v>151</v>
      </c>
      <c r="T36" s="216">
        <f t="shared" si="0"/>
        <v>22</v>
      </c>
      <c r="U36" s="207">
        <v>138</v>
      </c>
      <c r="V36" s="216">
        <f t="shared" si="1"/>
        <v>22</v>
      </c>
      <c r="W36" s="207">
        <v>2</v>
      </c>
      <c r="X36" s="207" t="s">
        <v>39</v>
      </c>
      <c r="Y36" s="207" t="s">
        <v>90</v>
      </c>
      <c r="Z36" s="207" t="s">
        <v>84</v>
      </c>
      <c r="AA36" s="207" t="s">
        <v>78</v>
      </c>
      <c r="AB36" s="236" t="s">
        <v>458</v>
      </c>
      <c r="AV36" s="227"/>
    </row>
    <row r="37" spans="1:48" x14ac:dyDescent="0.15">
      <c r="A37" s="207" t="s">
        <v>59</v>
      </c>
      <c r="B37" s="236" t="s">
        <v>465</v>
      </c>
      <c r="C37" s="152">
        <v>2018</v>
      </c>
      <c r="D37" s="153" t="s">
        <v>466</v>
      </c>
      <c r="E37" s="207" t="s">
        <v>314</v>
      </c>
      <c r="F37" s="207" t="s">
        <v>306</v>
      </c>
      <c r="G37" s="207" t="s">
        <v>36</v>
      </c>
      <c r="H37" s="207" t="s">
        <v>498</v>
      </c>
      <c r="I37" s="207" t="s">
        <v>153</v>
      </c>
      <c r="J37" s="207" t="s">
        <v>38</v>
      </c>
      <c r="K37" s="207" t="s">
        <v>154</v>
      </c>
      <c r="L37" s="207">
        <v>3</v>
      </c>
      <c r="N37" s="207">
        <v>1</v>
      </c>
      <c r="O37" s="207">
        <v>0.49</v>
      </c>
      <c r="P37" s="207">
        <v>0.51</v>
      </c>
      <c r="Q37" s="244">
        <f t="shared" si="2"/>
        <v>0.5</v>
      </c>
      <c r="R37" s="207">
        <v>15.7</v>
      </c>
      <c r="S37" s="207">
        <v>150</v>
      </c>
      <c r="T37" s="216">
        <f t="shared" si="0"/>
        <v>22</v>
      </c>
      <c r="U37" s="207">
        <v>138</v>
      </c>
      <c r="V37" s="216">
        <f t="shared" si="1"/>
        <v>22</v>
      </c>
      <c r="W37" s="207">
        <v>2</v>
      </c>
      <c r="X37" s="207" t="s">
        <v>39</v>
      </c>
      <c r="Y37" s="207" t="s">
        <v>90</v>
      </c>
      <c r="Z37" s="207" t="s">
        <v>84</v>
      </c>
      <c r="AA37" s="207" t="s">
        <v>78</v>
      </c>
      <c r="AB37" s="236" t="s">
        <v>458</v>
      </c>
      <c r="AV37" s="227"/>
    </row>
    <row r="38" spans="1:48" x14ac:dyDescent="0.15">
      <c r="A38" s="207" t="s">
        <v>59</v>
      </c>
      <c r="B38" s="236" t="s">
        <v>465</v>
      </c>
      <c r="C38" s="152">
        <v>2018</v>
      </c>
      <c r="D38" s="153" t="s">
        <v>466</v>
      </c>
      <c r="E38" s="207" t="s">
        <v>313</v>
      </c>
      <c r="F38" s="207" t="s">
        <v>306</v>
      </c>
      <c r="G38" s="207" t="s">
        <v>36</v>
      </c>
      <c r="H38" s="207" t="s">
        <v>162</v>
      </c>
      <c r="I38" s="207" t="s">
        <v>153</v>
      </c>
      <c r="J38" s="207" t="s">
        <v>38</v>
      </c>
      <c r="K38" s="207" t="s">
        <v>154</v>
      </c>
      <c r="L38" s="207">
        <v>1</v>
      </c>
      <c r="N38" s="207">
        <v>1</v>
      </c>
      <c r="O38" s="207">
        <v>0.53</v>
      </c>
      <c r="P38" s="207">
        <v>0.45</v>
      </c>
      <c r="Q38" s="244">
        <f t="shared" si="2"/>
        <v>0.49</v>
      </c>
      <c r="R38" s="207">
        <v>14.7</v>
      </c>
      <c r="S38" s="207">
        <v>166</v>
      </c>
      <c r="T38" s="216">
        <f t="shared" si="0"/>
        <v>18</v>
      </c>
      <c r="U38" s="207">
        <v>170</v>
      </c>
      <c r="V38" s="216">
        <f t="shared" si="1"/>
        <v>18</v>
      </c>
      <c r="W38" s="207">
        <v>1</v>
      </c>
      <c r="X38" s="207" t="s">
        <v>39</v>
      </c>
      <c r="Y38" s="207" t="s">
        <v>84</v>
      </c>
      <c r="Z38" s="207" t="s">
        <v>90</v>
      </c>
      <c r="AA38" s="207" t="s">
        <v>69</v>
      </c>
      <c r="AB38" s="236" t="s">
        <v>458</v>
      </c>
      <c r="AV38" s="228"/>
    </row>
    <row r="39" spans="1:48" x14ac:dyDescent="0.15">
      <c r="A39" s="207" t="s">
        <v>59</v>
      </c>
      <c r="B39" s="236" t="s">
        <v>465</v>
      </c>
      <c r="C39" s="152">
        <v>2018</v>
      </c>
      <c r="D39" s="153" t="s">
        <v>466</v>
      </c>
      <c r="E39" s="207" t="s">
        <v>313</v>
      </c>
      <c r="F39" s="207" t="s">
        <v>306</v>
      </c>
      <c r="G39" s="207" t="s">
        <v>36</v>
      </c>
      <c r="H39" s="207" t="s">
        <v>162</v>
      </c>
      <c r="I39" s="207" t="s">
        <v>153</v>
      </c>
      <c r="J39" s="207" t="s">
        <v>38</v>
      </c>
      <c r="K39" s="207" t="s">
        <v>154</v>
      </c>
      <c r="L39" s="207">
        <v>2</v>
      </c>
      <c r="N39" s="207">
        <v>1</v>
      </c>
      <c r="O39" s="207">
        <v>0.5</v>
      </c>
      <c r="P39" s="207">
        <v>0.6</v>
      </c>
      <c r="Q39" s="244">
        <f t="shared" si="2"/>
        <v>0.55000000000000004</v>
      </c>
      <c r="R39" s="207">
        <v>15.3</v>
      </c>
      <c r="S39" s="207">
        <v>159</v>
      </c>
      <c r="T39" s="216">
        <f t="shared" si="0"/>
        <v>18</v>
      </c>
      <c r="U39" s="207">
        <v>170</v>
      </c>
      <c r="V39" s="216">
        <f t="shared" si="1"/>
        <v>18</v>
      </c>
      <c r="W39" s="207">
        <v>1</v>
      </c>
      <c r="X39" s="207" t="s">
        <v>39</v>
      </c>
      <c r="Y39" s="207" t="s">
        <v>84</v>
      </c>
      <c r="Z39" s="207" t="s">
        <v>90</v>
      </c>
      <c r="AA39" s="207" t="s">
        <v>69</v>
      </c>
      <c r="AB39" s="236" t="s">
        <v>458</v>
      </c>
    </row>
    <row r="40" spans="1:48" x14ac:dyDescent="0.15">
      <c r="A40" s="207" t="s">
        <v>59</v>
      </c>
      <c r="B40" s="236" t="s">
        <v>465</v>
      </c>
      <c r="C40" s="152">
        <v>2018</v>
      </c>
      <c r="D40" s="153" t="s">
        <v>466</v>
      </c>
      <c r="E40" s="207" t="s">
        <v>313</v>
      </c>
      <c r="F40" s="207" t="s">
        <v>306</v>
      </c>
      <c r="G40" s="207" t="s">
        <v>36</v>
      </c>
      <c r="H40" s="207" t="s">
        <v>162</v>
      </c>
      <c r="I40" s="207" t="s">
        <v>153</v>
      </c>
      <c r="J40" s="207" t="s">
        <v>38</v>
      </c>
      <c r="K40" s="207" t="s">
        <v>154</v>
      </c>
      <c r="L40" s="207">
        <v>3</v>
      </c>
      <c r="N40" s="207">
        <v>1</v>
      </c>
      <c r="O40" s="207">
        <v>0.65</v>
      </c>
      <c r="P40" s="207">
        <v>0.55000000000000004</v>
      </c>
      <c r="Q40" s="244">
        <f t="shared" si="2"/>
        <v>0.60000000000000009</v>
      </c>
      <c r="R40" s="207">
        <v>15.5</v>
      </c>
      <c r="S40" s="207">
        <v>167</v>
      </c>
      <c r="T40" s="216">
        <f t="shared" si="0"/>
        <v>18</v>
      </c>
      <c r="U40" s="207">
        <v>170</v>
      </c>
      <c r="V40" s="216">
        <f t="shared" si="1"/>
        <v>18</v>
      </c>
      <c r="W40" s="207">
        <v>1</v>
      </c>
      <c r="X40" s="207" t="s">
        <v>39</v>
      </c>
      <c r="Y40" s="207" t="s">
        <v>84</v>
      </c>
      <c r="Z40" s="207" t="s">
        <v>90</v>
      </c>
      <c r="AA40" s="207" t="s">
        <v>69</v>
      </c>
      <c r="AB40" s="236" t="s">
        <v>458</v>
      </c>
    </row>
    <row r="41" spans="1:48" x14ac:dyDescent="0.15">
      <c r="A41" s="207" t="s">
        <v>59</v>
      </c>
      <c r="B41" s="236" t="s">
        <v>465</v>
      </c>
      <c r="C41" s="152">
        <v>2018</v>
      </c>
      <c r="D41" s="153" t="s">
        <v>466</v>
      </c>
      <c r="E41" s="207" t="s">
        <v>313</v>
      </c>
      <c r="F41" s="207" t="s">
        <v>306</v>
      </c>
      <c r="G41" s="207" t="s">
        <v>36</v>
      </c>
      <c r="H41" s="207" t="s">
        <v>155</v>
      </c>
      <c r="I41" s="207" t="s">
        <v>153</v>
      </c>
      <c r="J41" s="207" t="s">
        <v>38</v>
      </c>
      <c r="K41" s="207" t="s">
        <v>154</v>
      </c>
      <c r="L41" s="207">
        <v>1</v>
      </c>
      <c r="N41" s="207">
        <v>3</v>
      </c>
      <c r="O41" s="207">
        <v>0.79</v>
      </c>
      <c r="P41" s="207">
        <v>0.8</v>
      </c>
      <c r="Q41" s="244">
        <f t="shared" si="2"/>
        <v>0.79500000000000004</v>
      </c>
      <c r="R41" s="207">
        <v>14.7</v>
      </c>
      <c r="S41" s="207">
        <v>97</v>
      </c>
      <c r="T41" s="216">
        <f t="shared" si="0"/>
        <v>36</v>
      </c>
      <c r="U41" s="207">
        <v>321</v>
      </c>
      <c r="V41" s="216">
        <f t="shared" si="1"/>
        <v>16</v>
      </c>
      <c r="W41" s="207">
        <v>3</v>
      </c>
      <c r="X41" s="207" t="s">
        <v>39</v>
      </c>
      <c r="Y41" s="207" t="s">
        <v>84</v>
      </c>
      <c r="Z41" s="207" t="s">
        <v>90</v>
      </c>
      <c r="AA41" s="207" t="s">
        <v>69</v>
      </c>
      <c r="AB41" s="236" t="s">
        <v>458</v>
      </c>
    </row>
    <row r="42" spans="1:48" x14ac:dyDescent="0.15">
      <c r="A42" s="207" t="s">
        <v>59</v>
      </c>
      <c r="B42" s="236" t="s">
        <v>465</v>
      </c>
      <c r="C42" s="152">
        <v>2018</v>
      </c>
      <c r="D42" s="153" t="s">
        <v>466</v>
      </c>
      <c r="E42" s="207" t="s">
        <v>313</v>
      </c>
      <c r="F42" s="207" t="s">
        <v>306</v>
      </c>
      <c r="G42" s="207" t="s">
        <v>36</v>
      </c>
      <c r="H42" s="207" t="s">
        <v>155</v>
      </c>
      <c r="I42" s="207" t="s">
        <v>153</v>
      </c>
      <c r="J42" s="207" t="s">
        <v>38</v>
      </c>
      <c r="K42" s="207" t="s">
        <v>154</v>
      </c>
      <c r="L42" s="207">
        <v>2</v>
      </c>
      <c r="N42" s="207">
        <v>3</v>
      </c>
      <c r="O42" s="207">
        <v>0.84</v>
      </c>
      <c r="P42" s="207">
        <v>0.96</v>
      </c>
      <c r="Q42" s="244">
        <f t="shared" si="2"/>
        <v>0.89999999999999991</v>
      </c>
      <c r="R42" s="207">
        <v>13.8</v>
      </c>
      <c r="S42" s="207">
        <v>104</v>
      </c>
      <c r="T42" s="216">
        <f t="shared" si="0"/>
        <v>33</v>
      </c>
      <c r="U42" s="207">
        <v>321</v>
      </c>
      <c r="V42" s="216">
        <f t="shared" si="1"/>
        <v>16</v>
      </c>
      <c r="W42" s="207">
        <v>3</v>
      </c>
      <c r="X42" s="207" t="s">
        <v>39</v>
      </c>
      <c r="Y42" s="207" t="s">
        <v>84</v>
      </c>
      <c r="Z42" s="207" t="s">
        <v>90</v>
      </c>
      <c r="AA42" s="207" t="s">
        <v>69</v>
      </c>
      <c r="AB42" s="236" t="s">
        <v>458</v>
      </c>
    </row>
    <row r="43" spans="1:48" x14ac:dyDescent="0.15">
      <c r="A43" s="207" t="s">
        <v>59</v>
      </c>
      <c r="B43" s="236" t="s">
        <v>465</v>
      </c>
      <c r="C43" s="152">
        <v>2018</v>
      </c>
      <c r="D43" s="153" t="s">
        <v>466</v>
      </c>
      <c r="E43" s="207" t="s">
        <v>313</v>
      </c>
      <c r="F43" s="207" t="s">
        <v>306</v>
      </c>
      <c r="G43" s="207" t="s">
        <v>36</v>
      </c>
      <c r="H43" s="207" t="s">
        <v>498</v>
      </c>
      <c r="I43" s="207" t="s">
        <v>153</v>
      </c>
      <c r="J43" s="207" t="s">
        <v>38</v>
      </c>
      <c r="K43" s="207" t="s">
        <v>154</v>
      </c>
      <c r="L43" s="207">
        <v>3</v>
      </c>
      <c r="N43" s="207">
        <v>3</v>
      </c>
      <c r="O43" s="207">
        <v>0.83</v>
      </c>
      <c r="P43" s="207">
        <v>0.78</v>
      </c>
      <c r="Q43" s="244">
        <f t="shared" si="2"/>
        <v>0.80499999999999994</v>
      </c>
      <c r="R43" s="207">
        <v>14.1</v>
      </c>
      <c r="S43" s="207">
        <v>105</v>
      </c>
      <c r="T43" s="216">
        <f t="shared" si="0"/>
        <v>33</v>
      </c>
      <c r="U43" s="207">
        <v>321</v>
      </c>
      <c r="V43" s="216">
        <f t="shared" si="1"/>
        <v>16</v>
      </c>
      <c r="W43" s="207">
        <v>3</v>
      </c>
      <c r="X43" s="207" t="s">
        <v>39</v>
      </c>
      <c r="Y43" s="207" t="s">
        <v>84</v>
      </c>
      <c r="Z43" s="207" t="s">
        <v>90</v>
      </c>
      <c r="AA43" s="207" t="s">
        <v>69</v>
      </c>
      <c r="AB43" s="236" t="s">
        <v>458</v>
      </c>
    </row>
    <row r="44" spans="1:48" x14ac:dyDescent="0.15">
      <c r="A44" s="207" t="s">
        <v>59</v>
      </c>
      <c r="B44" s="236" t="s">
        <v>465</v>
      </c>
      <c r="C44" s="152">
        <v>2018</v>
      </c>
      <c r="D44" s="153" t="s">
        <v>466</v>
      </c>
      <c r="E44" s="207" t="s">
        <v>312</v>
      </c>
      <c r="F44" s="207" t="s">
        <v>305</v>
      </c>
      <c r="G44" s="207" t="s">
        <v>36</v>
      </c>
      <c r="H44" s="207" t="s">
        <v>162</v>
      </c>
      <c r="I44" s="207" t="s">
        <v>153</v>
      </c>
      <c r="J44" s="207" t="s">
        <v>38</v>
      </c>
      <c r="K44" s="207" t="s">
        <v>154</v>
      </c>
      <c r="L44" s="207">
        <v>1</v>
      </c>
      <c r="N44" s="207">
        <v>1</v>
      </c>
      <c r="O44" s="207">
        <v>0.45</v>
      </c>
      <c r="P44" s="207">
        <v>0.36</v>
      </c>
      <c r="Q44" s="244">
        <f t="shared" si="2"/>
        <v>0.40500000000000003</v>
      </c>
      <c r="R44" s="207">
        <v>15.3</v>
      </c>
      <c r="S44" s="207">
        <v>135</v>
      </c>
      <c r="T44" s="216">
        <f t="shared" si="0"/>
        <v>25</v>
      </c>
      <c r="U44" s="207">
        <v>99</v>
      </c>
      <c r="V44" s="216">
        <f t="shared" si="1"/>
        <v>33</v>
      </c>
      <c r="W44" s="207">
        <v>6</v>
      </c>
      <c r="X44" s="207" t="s">
        <v>46</v>
      </c>
      <c r="Y44" s="207" t="s">
        <v>90</v>
      </c>
      <c r="Z44" s="207" t="s">
        <v>78</v>
      </c>
      <c r="AA44" s="207" t="s">
        <v>69</v>
      </c>
      <c r="AB44" s="236" t="s">
        <v>500</v>
      </c>
    </row>
    <row r="45" spans="1:48" x14ac:dyDescent="0.15">
      <c r="A45" s="207" t="s">
        <v>59</v>
      </c>
      <c r="B45" s="236" t="s">
        <v>481</v>
      </c>
      <c r="C45" s="152">
        <v>2018</v>
      </c>
      <c r="D45" s="153" t="s">
        <v>482</v>
      </c>
      <c r="E45" s="207" t="s">
        <v>312</v>
      </c>
      <c r="F45" s="207" t="s">
        <v>305</v>
      </c>
      <c r="G45" s="207" t="s">
        <v>36</v>
      </c>
      <c r="H45" s="207" t="s">
        <v>162</v>
      </c>
      <c r="I45" s="207" t="s">
        <v>153</v>
      </c>
      <c r="J45" s="207" t="s">
        <v>38</v>
      </c>
      <c r="K45" s="207" t="s">
        <v>154</v>
      </c>
      <c r="L45" s="207">
        <v>2</v>
      </c>
      <c r="N45" s="207">
        <v>1</v>
      </c>
      <c r="O45" s="207">
        <v>0.22</v>
      </c>
      <c r="P45" s="207">
        <v>0.23</v>
      </c>
      <c r="Q45" s="244">
        <f t="shared" si="2"/>
        <v>0.22500000000000001</v>
      </c>
      <c r="R45" s="207">
        <v>14.6</v>
      </c>
      <c r="S45" s="207">
        <v>144</v>
      </c>
      <c r="T45" s="216">
        <f t="shared" si="0"/>
        <v>22</v>
      </c>
      <c r="U45" s="207">
        <v>99</v>
      </c>
      <c r="V45" s="216">
        <f t="shared" si="1"/>
        <v>33</v>
      </c>
      <c r="W45" s="207">
        <v>6</v>
      </c>
      <c r="X45" s="207" t="s">
        <v>46</v>
      </c>
      <c r="Y45" s="207" t="s">
        <v>90</v>
      </c>
      <c r="Z45" s="207" t="s">
        <v>78</v>
      </c>
      <c r="AA45" s="207" t="s">
        <v>69</v>
      </c>
      <c r="AB45" s="236" t="s">
        <v>500</v>
      </c>
    </row>
    <row r="46" spans="1:48" x14ac:dyDescent="0.15">
      <c r="A46" s="207" t="s">
        <v>59</v>
      </c>
      <c r="B46" s="236" t="s">
        <v>481</v>
      </c>
      <c r="C46" s="152">
        <v>2018</v>
      </c>
      <c r="D46" s="153" t="s">
        <v>482</v>
      </c>
      <c r="E46" s="207" t="s">
        <v>312</v>
      </c>
      <c r="F46" s="207" t="s">
        <v>305</v>
      </c>
      <c r="G46" s="207" t="s">
        <v>36</v>
      </c>
      <c r="H46" s="207" t="s">
        <v>162</v>
      </c>
      <c r="I46" s="207" t="s">
        <v>153</v>
      </c>
      <c r="J46" s="207" t="s">
        <v>38</v>
      </c>
      <c r="K46" s="207" t="s">
        <v>154</v>
      </c>
      <c r="L46" s="207">
        <v>3</v>
      </c>
      <c r="N46" s="207">
        <v>1</v>
      </c>
      <c r="O46" s="207">
        <v>0.37</v>
      </c>
      <c r="P46" s="207">
        <v>0.42</v>
      </c>
      <c r="Q46" s="244">
        <f t="shared" si="2"/>
        <v>0.39500000000000002</v>
      </c>
      <c r="R46" s="207">
        <v>14.8</v>
      </c>
      <c r="S46" s="207">
        <v>142</v>
      </c>
      <c r="T46" s="216">
        <f t="shared" si="0"/>
        <v>22</v>
      </c>
      <c r="U46" s="207">
        <v>99</v>
      </c>
      <c r="V46" s="216">
        <f t="shared" si="1"/>
        <v>33</v>
      </c>
      <c r="W46" s="207">
        <v>6</v>
      </c>
      <c r="X46" s="207" t="s">
        <v>46</v>
      </c>
      <c r="Y46" s="207" t="s">
        <v>90</v>
      </c>
      <c r="Z46" s="207" t="s">
        <v>78</v>
      </c>
      <c r="AA46" s="207" t="s">
        <v>69</v>
      </c>
      <c r="AB46" s="236" t="s">
        <v>500</v>
      </c>
    </row>
    <row r="47" spans="1:48" x14ac:dyDescent="0.15">
      <c r="A47" s="207" t="s">
        <v>59</v>
      </c>
      <c r="B47" s="236" t="s">
        <v>481</v>
      </c>
      <c r="C47" s="152">
        <v>2018</v>
      </c>
      <c r="D47" s="153" t="s">
        <v>482</v>
      </c>
      <c r="E47" s="207" t="s">
        <v>312</v>
      </c>
      <c r="F47" s="207" t="s">
        <v>305</v>
      </c>
      <c r="G47" s="207" t="s">
        <v>36</v>
      </c>
      <c r="H47" s="207" t="s">
        <v>155</v>
      </c>
      <c r="I47" s="207" t="s">
        <v>153</v>
      </c>
      <c r="J47" s="207" t="s">
        <v>38</v>
      </c>
      <c r="K47" s="207" t="s">
        <v>154</v>
      </c>
      <c r="L47" s="207">
        <v>1</v>
      </c>
      <c r="N47" s="207">
        <v>3</v>
      </c>
      <c r="O47" s="207">
        <v>0.5</v>
      </c>
      <c r="P47" s="207">
        <v>0.44</v>
      </c>
      <c r="Q47" s="244">
        <f t="shared" si="2"/>
        <v>0.47</v>
      </c>
      <c r="R47" s="207">
        <v>14.4</v>
      </c>
      <c r="S47" s="207">
        <v>139</v>
      </c>
      <c r="T47" s="216">
        <f t="shared" si="0"/>
        <v>22</v>
      </c>
      <c r="U47" s="207">
        <v>399</v>
      </c>
      <c r="V47" s="216">
        <f t="shared" si="1"/>
        <v>16</v>
      </c>
      <c r="W47" s="207">
        <v>8</v>
      </c>
      <c r="X47" s="207" t="s">
        <v>46</v>
      </c>
      <c r="Y47" s="207" t="s">
        <v>90</v>
      </c>
      <c r="Z47" s="207" t="s">
        <v>78</v>
      </c>
      <c r="AA47" s="207" t="s">
        <v>69</v>
      </c>
      <c r="AB47" s="236" t="s">
        <v>500</v>
      </c>
    </row>
    <row r="48" spans="1:48" x14ac:dyDescent="0.15">
      <c r="A48" s="207" t="s">
        <v>59</v>
      </c>
      <c r="B48" s="236" t="s">
        <v>481</v>
      </c>
      <c r="C48" s="152">
        <v>2018</v>
      </c>
      <c r="D48" s="153" t="s">
        <v>482</v>
      </c>
      <c r="E48" s="207" t="s">
        <v>312</v>
      </c>
      <c r="F48" s="207" t="s">
        <v>305</v>
      </c>
      <c r="G48" s="207" t="s">
        <v>36</v>
      </c>
      <c r="H48" s="207" t="s">
        <v>155</v>
      </c>
      <c r="I48" s="207" t="s">
        <v>153</v>
      </c>
      <c r="J48" s="207" t="s">
        <v>38</v>
      </c>
      <c r="K48" s="207" t="s">
        <v>154</v>
      </c>
      <c r="L48" s="207">
        <v>2</v>
      </c>
      <c r="N48" s="207">
        <v>3</v>
      </c>
      <c r="O48" s="207">
        <v>0.68</v>
      </c>
      <c r="P48" s="207">
        <v>0.56000000000000005</v>
      </c>
      <c r="Q48" s="244">
        <f t="shared" si="2"/>
        <v>0.62000000000000011</v>
      </c>
      <c r="R48" s="207">
        <v>15.9</v>
      </c>
      <c r="S48" s="207">
        <v>136</v>
      </c>
      <c r="T48" s="216">
        <f t="shared" si="0"/>
        <v>25</v>
      </c>
      <c r="U48" s="207">
        <v>399</v>
      </c>
      <c r="V48" s="216">
        <f t="shared" si="1"/>
        <v>16</v>
      </c>
      <c r="W48" s="207">
        <v>8</v>
      </c>
      <c r="X48" s="207" t="s">
        <v>46</v>
      </c>
      <c r="Y48" s="207" t="s">
        <v>90</v>
      </c>
      <c r="Z48" s="207" t="s">
        <v>78</v>
      </c>
      <c r="AA48" s="207" t="s">
        <v>69</v>
      </c>
      <c r="AB48" s="236" t="s">
        <v>500</v>
      </c>
    </row>
    <row r="49" spans="1:28" x14ac:dyDescent="0.15">
      <c r="A49" s="207" t="s">
        <v>59</v>
      </c>
      <c r="B49" s="236" t="s">
        <v>481</v>
      </c>
      <c r="C49" s="152">
        <v>2018</v>
      </c>
      <c r="D49" s="153" t="s">
        <v>482</v>
      </c>
      <c r="E49" s="207" t="s">
        <v>312</v>
      </c>
      <c r="F49" s="207" t="s">
        <v>305</v>
      </c>
      <c r="G49" s="207" t="s">
        <v>36</v>
      </c>
      <c r="H49" s="207" t="s">
        <v>501</v>
      </c>
      <c r="I49" s="207" t="s">
        <v>153</v>
      </c>
      <c r="J49" s="207" t="s">
        <v>38</v>
      </c>
      <c r="K49" s="207" t="s">
        <v>154</v>
      </c>
      <c r="L49" s="207">
        <v>3</v>
      </c>
      <c r="N49" s="207">
        <v>3</v>
      </c>
      <c r="O49" s="207">
        <v>0.52</v>
      </c>
      <c r="P49" s="207">
        <v>0.56999999999999995</v>
      </c>
      <c r="Q49" s="244">
        <f t="shared" si="2"/>
        <v>0.54499999999999993</v>
      </c>
      <c r="R49" s="207">
        <v>14.3</v>
      </c>
      <c r="S49" s="207">
        <v>134</v>
      </c>
      <c r="T49" s="216">
        <f t="shared" si="0"/>
        <v>25</v>
      </c>
      <c r="U49" s="207">
        <v>399</v>
      </c>
      <c r="V49" s="216">
        <f t="shared" si="1"/>
        <v>16</v>
      </c>
      <c r="W49" s="207">
        <v>8</v>
      </c>
      <c r="X49" s="207" t="s">
        <v>46</v>
      </c>
      <c r="Y49" s="207" t="s">
        <v>90</v>
      </c>
      <c r="Z49" s="207" t="s">
        <v>78</v>
      </c>
      <c r="AA49" s="207" t="s">
        <v>69</v>
      </c>
      <c r="AB49" s="236" t="s">
        <v>500</v>
      </c>
    </row>
    <row r="50" spans="1:28" x14ac:dyDescent="0.15">
      <c r="A50" s="207" t="s">
        <v>59</v>
      </c>
      <c r="B50" s="236" t="s">
        <v>481</v>
      </c>
      <c r="C50" s="152">
        <v>2018</v>
      </c>
      <c r="D50" s="153" t="s">
        <v>482</v>
      </c>
      <c r="E50" s="207" t="s">
        <v>310</v>
      </c>
      <c r="F50" s="207" t="s">
        <v>302</v>
      </c>
      <c r="G50" s="207" t="s">
        <v>36</v>
      </c>
      <c r="H50" s="207" t="s">
        <v>162</v>
      </c>
      <c r="I50" s="207" t="s">
        <v>153</v>
      </c>
      <c r="J50" s="207" t="s">
        <v>38</v>
      </c>
      <c r="K50" s="207" t="s">
        <v>154</v>
      </c>
      <c r="L50" s="207">
        <v>1</v>
      </c>
      <c r="N50" s="207">
        <v>4</v>
      </c>
      <c r="O50" s="207">
        <v>0.32</v>
      </c>
      <c r="P50" s="207">
        <v>0.3</v>
      </c>
      <c r="Q50" s="244">
        <f t="shared" si="2"/>
        <v>0.31</v>
      </c>
      <c r="R50" s="207">
        <v>14.8</v>
      </c>
      <c r="S50" s="207">
        <v>95</v>
      </c>
      <c r="T50" s="216">
        <f t="shared" si="0"/>
        <v>36</v>
      </c>
      <c r="U50" s="207">
        <v>518</v>
      </c>
      <c r="V50" s="216">
        <f t="shared" si="1"/>
        <v>16</v>
      </c>
      <c r="W50" s="207">
        <v>1</v>
      </c>
      <c r="X50" s="207" t="s">
        <v>46</v>
      </c>
      <c r="Y50" s="207" t="s">
        <v>90</v>
      </c>
      <c r="Z50" s="207" t="s">
        <v>84</v>
      </c>
      <c r="AA50" s="207" t="s">
        <v>78</v>
      </c>
      <c r="AB50" s="236" t="s">
        <v>500</v>
      </c>
    </row>
    <row r="51" spans="1:28" x14ac:dyDescent="0.15">
      <c r="A51" s="207" t="s">
        <v>59</v>
      </c>
      <c r="B51" s="236" t="s">
        <v>481</v>
      </c>
      <c r="C51" s="152">
        <v>2018</v>
      </c>
      <c r="D51" s="153" t="s">
        <v>482</v>
      </c>
      <c r="E51" s="207" t="s">
        <v>310</v>
      </c>
      <c r="F51" s="207" t="s">
        <v>302</v>
      </c>
      <c r="G51" s="207" t="s">
        <v>36</v>
      </c>
      <c r="H51" s="207" t="s">
        <v>162</v>
      </c>
      <c r="I51" s="207" t="s">
        <v>153</v>
      </c>
      <c r="J51" s="207" t="s">
        <v>38</v>
      </c>
      <c r="K51" s="207" t="s">
        <v>154</v>
      </c>
      <c r="L51" s="207">
        <v>2</v>
      </c>
      <c r="N51" s="207">
        <v>4</v>
      </c>
      <c r="O51" s="207">
        <v>0.3</v>
      </c>
      <c r="P51" s="207">
        <v>0.24</v>
      </c>
      <c r="Q51" s="244">
        <f t="shared" si="2"/>
        <v>0.27</v>
      </c>
      <c r="R51" s="207">
        <v>15.1</v>
      </c>
      <c r="S51" s="207">
        <v>97</v>
      </c>
      <c r="T51" s="216">
        <f t="shared" si="0"/>
        <v>36</v>
      </c>
      <c r="U51" s="207">
        <v>518</v>
      </c>
      <c r="V51" s="216">
        <f t="shared" si="1"/>
        <v>16</v>
      </c>
      <c r="W51" s="207">
        <v>1</v>
      </c>
      <c r="X51" s="207" t="s">
        <v>46</v>
      </c>
      <c r="Y51" s="207" t="s">
        <v>90</v>
      </c>
      <c r="Z51" s="207" t="s">
        <v>84</v>
      </c>
      <c r="AA51" s="207" t="s">
        <v>78</v>
      </c>
      <c r="AB51" s="236" t="s">
        <v>500</v>
      </c>
    </row>
    <row r="52" spans="1:28" x14ac:dyDescent="0.15">
      <c r="A52" s="207" t="s">
        <v>59</v>
      </c>
      <c r="B52" s="236" t="s">
        <v>481</v>
      </c>
      <c r="C52" s="152">
        <v>2018</v>
      </c>
      <c r="D52" s="153" t="s">
        <v>482</v>
      </c>
      <c r="E52" s="207" t="s">
        <v>310</v>
      </c>
      <c r="F52" s="207" t="s">
        <v>302</v>
      </c>
      <c r="G52" s="207" t="s">
        <v>36</v>
      </c>
      <c r="H52" s="207" t="s">
        <v>162</v>
      </c>
      <c r="I52" s="207" t="s">
        <v>153</v>
      </c>
      <c r="J52" s="207" t="s">
        <v>38</v>
      </c>
      <c r="K52" s="207" t="s">
        <v>154</v>
      </c>
      <c r="L52" s="207">
        <v>3</v>
      </c>
      <c r="N52" s="207">
        <v>4</v>
      </c>
      <c r="O52" s="207">
        <v>0.32</v>
      </c>
      <c r="P52" s="207">
        <v>0.3</v>
      </c>
      <c r="Q52" s="244">
        <f t="shared" si="2"/>
        <v>0.31</v>
      </c>
      <c r="R52" s="207">
        <v>15.1</v>
      </c>
      <c r="S52" s="207">
        <v>100</v>
      </c>
      <c r="T52" s="216">
        <f t="shared" si="0"/>
        <v>33</v>
      </c>
      <c r="U52" s="207">
        <v>518</v>
      </c>
      <c r="V52" s="216">
        <f t="shared" si="1"/>
        <v>16</v>
      </c>
      <c r="W52" s="207">
        <v>1</v>
      </c>
      <c r="X52" s="207" t="s">
        <v>46</v>
      </c>
      <c r="Y52" s="207" t="s">
        <v>90</v>
      </c>
      <c r="Z52" s="207" t="s">
        <v>84</v>
      </c>
      <c r="AA52" s="207" t="s">
        <v>78</v>
      </c>
      <c r="AB52" s="236" t="s">
        <v>500</v>
      </c>
    </row>
    <row r="53" spans="1:28" x14ac:dyDescent="0.15">
      <c r="A53" s="207" t="s">
        <v>59</v>
      </c>
      <c r="B53" s="236" t="s">
        <v>481</v>
      </c>
      <c r="C53" s="152">
        <v>2018</v>
      </c>
      <c r="D53" s="153" t="s">
        <v>482</v>
      </c>
      <c r="E53" s="207" t="s">
        <v>310</v>
      </c>
      <c r="F53" s="207" t="s">
        <v>302</v>
      </c>
      <c r="G53" s="207" t="s">
        <v>36</v>
      </c>
      <c r="H53" s="207" t="s">
        <v>155</v>
      </c>
      <c r="I53" s="207" t="s">
        <v>153</v>
      </c>
      <c r="J53" s="207" t="s">
        <v>38</v>
      </c>
      <c r="K53" s="207" t="s">
        <v>154</v>
      </c>
      <c r="L53" s="207">
        <v>1</v>
      </c>
      <c r="N53" s="207">
        <v>1</v>
      </c>
      <c r="O53" s="207">
        <v>0.43</v>
      </c>
      <c r="P53" s="207">
        <v>0.32</v>
      </c>
      <c r="Q53" s="244">
        <f t="shared" si="2"/>
        <v>0.375</v>
      </c>
      <c r="R53" s="207">
        <v>13.9</v>
      </c>
      <c r="S53" s="207">
        <v>140</v>
      </c>
      <c r="T53" s="216">
        <f t="shared" si="0"/>
        <v>22</v>
      </c>
      <c r="U53" s="207">
        <v>138</v>
      </c>
      <c r="V53" s="216">
        <f t="shared" si="1"/>
        <v>22</v>
      </c>
      <c r="W53" s="207">
        <v>1</v>
      </c>
      <c r="X53" s="207" t="s">
        <v>46</v>
      </c>
      <c r="Y53" s="207" t="s">
        <v>90</v>
      </c>
      <c r="Z53" s="207" t="s">
        <v>84</v>
      </c>
      <c r="AA53" s="207" t="s">
        <v>78</v>
      </c>
      <c r="AB53" s="236" t="s">
        <v>500</v>
      </c>
    </row>
    <row r="54" spans="1:28" x14ac:dyDescent="0.15">
      <c r="A54" s="207" t="s">
        <v>59</v>
      </c>
      <c r="B54" s="236" t="s">
        <v>481</v>
      </c>
      <c r="C54" s="152">
        <v>2018</v>
      </c>
      <c r="D54" s="153" t="s">
        <v>482</v>
      </c>
      <c r="E54" s="207" t="s">
        <v>310</v>
      </c>
      <c r="F54" s="207" t="s">
        <v>302</v>
      </c>
      <c r="G54" s="207" t="s">
        <v>36</v>
      </c>
      <c r="H54" s="207" t="s">
        <v>155</v>
      </c>
      <c r="I54" s="207" t="s">
        <v>153</v>
      </c>
      <c r="J54" s="207" t="s">
        <v>38</v>
      </c>
      <c r="K54" s="207" t="s">
        <v>154</v>
      </c>
      <c r="L54" s="207">
        <v>2</v>
      </c>
      <c r="N54" s="207">
        <v>1</v>
      </c>
      <c r="O54" s="207">
        <v>0.35</v>
      </c>
      <c r="P54" s="207">
        <v>0.3</v>
      </c>
      <c r="Q54" s="244">
        <f t="shared" si="2"/>
        <v>0.32499999999999996</v>
      </c>
      <c r="R54" s="207">
        <v>15</v>
      </c>
      <c r="S54" s="207">
        <v>158</v>
      </c>
      <c r="T54" s="216">
        <f t="shared" si="0"/>
        <v>18</v>
      </c>
      <c r="U54" s="207">
        <v>138</v>
      </c>
      <c r="V54" s="216">
        <f t="shared" si="1"/>
        <v>22</v>
      </c>
      <c r="W54" s="207">
        <v>1</v>
      </c>
      <c r="X54" s="207" t="s">
        <v>46</v>
      </c>
      <c r="Y54" s="207" t="s">
        <v>90</v>
      </c>
      <c r="Z54" s="207" t="s">
        <v>84</v>
      </c>
      <c r="AA54" s="207" t="s">
        <v>78</v>
      </c>
      <c r="AB54" s="236" t="s">
        <v>500</v>
      </c>
    </row>
    <row r="55" spans="1:28" x14ac:dyDescent="0.15">
      <c r="A55" s="207" t="s">
        <v>59</v>
      </c>
      <c r="B55" s="236" t="s">
        <v>481</v>
      </c>
      <c r="C55" s="152">
        <v>2018</v>
      </c>
      <c r="D55" s="153" t="s">
        <v>482</v>
      </c>
      <c r="E55" s="207" t="s">
        <v>310</v>
      </c>
      <c r="F55" s="207" t="s">
        <v>302</v>
      </c>
      <c r="G55" s="207" t="s">
        <v>36</v>
      </c>
      <c r="H55" s="207" t="s">
        <v>501</v>
      </c>
      <c r="I55" s="207" t="s">
        <v>153</v>
      </c>
      <c r="J55" s="207" t="s">
        <v>38</v>
      </c>
      <c r="K55" s="207" t="s">
        <v>154</v>
      </c>
      <c r="L55" s="207">
        <v>3</v>
      </c>
      <c r="N55" s="207">
        <v>1</v>
      </c>
      <c r="O55" s="207">
        <v>0.34</v>
      </c>
      <c r="P55" s="207">
        <v>0.41</v>
      </c>
      <c r="Q55" s="244">
        <f t="shared" si="2"/>
        <v>0.375</v>
      </c>
      <c r="R55" s="207">
        <v>14.8</v>
      </c>
      <c r="S55" s="207">
        <v>143</v>
      </c>
      <c r="T55" s="216">
        <f t="shared" si="0"/>
        <v>22</v>
      </c>
      <c r="U55" s="207">
        <v>138</v>
      </c>
      <c r="V55" s="216">
        <f t="shared" si="1"/>
        <v>22</v>
      </c>
      <c r="W55" s="207">
        <v>1</v>
      </c>
      <c r="X55" s="207" t="s">
        <v>46</v>
      </c>
      <c r="Y55" s="207" t="s">
        <v>90</v>
      </c>
      <c r="Z55" s="207" t="s">
        <v>84</v>
      </c>
      <c r="AA55" s="207" t="s">
        <v>78</v>
      </c>
      <c r="AB55" s="236" t="s">
        <v>500</v>
      </c>
    </row>
    <row r="56" spans="1:28" x14ac:dyDescent="0.15">
      <c r="A56" s="207" t="s">
        <v>59</v>
      </c>
      <c r="B56" s="236" t="s">
        <v>481</v>
      </c>
      <c r="C56" s="152">
        <v>2018</v>
      </c>
      <c r="D56" s="153" t="s">
        <v>482</v>
      </c>
      <c r="E56" s="207" t="s">
        <v>316</v>
      </c>
      <c r="F56" s="207" t="s">
        <v>307</v>
      </c>
      <c r="G56" s="207" t="s">
        <v>36</v>
      </c>
      <c r="H56" s="207" t="s">
        <v>162</v>
      </c>
      <c r="I56" s="207" t="s">
        <v>153</v>
      </c>
      <c r="J56" s="207" t="s">
        <v>38</v>
      </c>
      <c r="K56" s="207" t="s">
        <v>154</v>
      </c>
      <c r="L56" s="207">
        <v>1</v>
      </c>
      <c r="N56" s="207">
        <v>4</v>
      </c>
      <c r="O56" s="207">
        <v>0.3</v>
      </c>
      <c r="P56" s="207">
        <v>0.3</v>
      </c>
      <c r="Q56" s="244">
        <f t="shared" si="2"/>
        <v>0.3</v>
      </c>
      <c r="R56" s="207">
        <v>15.2</v>
      </c>
      <c r="S56" s="207">
        <v>102</v>
      </c>
      <c r="T56" s="216">
        <f t="shared" si="0"/>
        <v>33</v>
      </c>
      <c r="U56" s="207">
        <v>480</v>
      </c>
      <c r="V56" s="216">
        <f t="shared" si="1"/>
        <v>16</v>
      </c>
      <c r="W56" s="207">
        <v>3</v>
      </c>
      <c r="X56" s="207" t="s">
        <v>46</v>
      </c>
      <c r="Y56" s="207" t="s">
        <v>84</v>
      </c>
      <c r="Z56" s="207" t="s">
        <v>271</v>
      </c>
      <c r="AA56" s="207" t="s">
        <v>90</v>
      </c>
      <c r="AB56" s="236" t="s">
        <v>458</v>
      </c>
    </row>
    <row r="57" spans="1:28" x14ac:dyDescent="0.15">
      <c r="A57" s="207" t="s">
        <v>59</v>
      </c>
      <c r="B57" s="236" t="s">
        <v>465</v>
      </c>
      <c r="C57" s="152">
        <v>2018</v>
      </c>
      <c r="D57" s="153" t="s">
        <v>466</v>
      </c>
      <c r="E57" s="207" t="s">
        <v>316</v>
      </c>
      <c r="F57" s="207" t="s">
        <v>307</v>
      </c>
      <c r="G57" s="207" t="s">
        <v>36</v>
      </c>
      <c r="H57" s="207" t="s">
        <v>162</v>
      </c>
      <c r="I57" s="207" t="s">
        <v>153</v>
      </c>
      <c r="J57" s="207" t="s">
        <v>38</v>
      </c>
      <c r="K57" s="207" t="s">
        <v>154</v>
      </c>
      <c r="L57" s="207">
        <v>2</v>
      </c>
      <c r="N57" s="207">
        <v>4</v>
      </c>
      <c r="O57" s="207">
        <v>0.3</v>
      </c>
      <c r="P57" s="207">
        <v>0.3</v>
      </c>
      <c r="Q57" s="244">
        <f t="shared" si="2"/>
        <v>0.3</v>
      </c>
      <c r="R57" s="207">
        <v>15.7</v>
      </c>
      <c r="S57" s="207">
        <v>104</v>
      </c>
      <c r="T57" s="216">
        <f t="shared" si="0"/>
        <v>33</v>
      </c>
      <c r="U57" s="207">
        <v>480</v>
      </c>
      <c r="V57" s="216">
        <f t="shared" si="1"/>
        <v>16</v>
      </c>
      <c r="W57" s="207">
        <v>3</v>
      </c>
      <c r="X57" s="207" t="s">
        <v>46</v>
      </c>
      <c r="Y57" s="207" t="s">
        <v>84</v>
      </c>
      <c r="Z57" s="207" t="s">
        <v>271</v>
      </c>
      <c r="AA57" s="207" t="s">
        <v>90</v>
      </c>
      <c r="AB57" s="236" t="s">
        <v>458</v>
      </c>
    </row>
    <row r="58" spans="1:28" x14ac:dyDescent="0.15">
      <c r="A58" s="207" t="s">
        <v>59</v>
      </c>
      <c r="B58" s="236" t="s">
        <v>465</v>
      </c>
      <c r="C58" s="152">
        <v>2018</v>
      </c>
      <c r="D58" s="153" t="s">
        <v>466</v>
      </c>
      <c r="E58" s="207" t="s">
        <v>316</v>
      </c>
      <c r="F58" s="207" t="s">
        <v>307</v>
      </c>
      <c r="G58" s="207" t="s">
        <v>36</v>
      </c>
      <c r="H58" s="207" t="s">
        <v>162</v>
      </c>
      <c r="I58" s="207" t="s">
        <v>153</v>
      </c>
      <c r="J58" s="207" t="s">
        <v>38</v>
      </c>
      <c r="K58" s="207" t="s">
        <v>154</v>
      </c>
      <c r="L58" s="207">
        <v>3</v>
      </c>
      <c r="N58" s="207">
        <v>4</v>
      </c>
      <c r="O58" s="207">
        <v>0.3</v>
      </c>
      <c r="P58" s="207">
        <v>0.32</v>
      </c>
      <c r="Q58" s="244">
        <f t="shared" si="2"/>
        <v>0.31</v>
      </c>
      <c r="R58" s="207">
        <v>15.3</v>
      </c>
      <c r="S58" s="207">
        <v>103</v>
      </c>
      <c r="T58" s="216">
        <f t="shared" si="0"/>
        <v>33</v>
      </c>
      <c r="U58" s="207">
        <v>480</v>
      </c>
      <c r="V58" s="216">
        <f t="shared" si="1"/>
        <v>16</v>
      </c>
      <c r="W58" s="207">
        <v>3</v>
      </c>
      <c r="X58" s="207" t="s">
        <v>46</v>
      </c>
      <c r="Y58" s="207" t="s">
        <v>84</v>
      </c>
      <c r="Z58" s="207" t="s">
        <v>271</v>
      </c>
      <c r="AA58" s="207" t="s">
        <v>90</v>
      </c>
      <c r="AB58" s="236" t="s">
        <v>458</v>
      </c>
    </row>
    <row r="59" spans="1:28" x14ac:dyDescent="0.15">
      <c r="A59" s="207" t="s">
        <v>59</v>
      </c>
      <c r="B59" s="236" t="s">
        <v>465</v>
      </c>
      <c r="C59" s="152">
        <v>2018</v>
      </c>
      <c r="D59" s="153" t="s">
        <v>466</v>
      </c>
      <c r="E59" s="207" t="s">
        <v>316</v>
      </c>
      <c r="F59" s="207" t="s">
        <v>307</v>
      </c>
      <c r="G59" s="207" t="s">
        <v>36</v>
      </c>
      <c r="H59" s="207" t="s">
        <v>155</v>
      </c>
      <c r="I59" s="207" t="s">
        <v>153</v>
      </c>
      <c r="J59" s="207" t="s">
        <v>38</v>
      </c>
      <c r="K59" s="207" t="s">
        <v>154</v>
      </c>
      <c r="L59" s="207">
        <v>1</v>
      </c>
      <c r="N59" s="207">
        <v>4</v>
      </c>
      <c r="O59" s="207">
        <v>0.85</v>
      </c>
      <c r="P59" s="207">
        <v>0.88</v>
      </c>
      <c r="Q59" s="244">
        <f t="shared" si="2"/>
        <v>0.86499999999999999</v>
      </c>
      <c r="R59" s="207">
        <v>13</v>
      </c>
      <c r="S59" s="207">
        <v>140</v>
      </c>
      <c r="T59" s="216">
        <f t="shared" si="0"/>
        <v>22</v>
      </c>
      <c r="U59" s="207">
        <v>348</v>
      </c>
      <c r="V59" s="216">
        <f t="shared" si="1"/>
        <v>16</v>
      </c>
      <c r="W59" s="207">
        <v>3</v>
      </c>
      <c r="X59" s="207" t="s">
        <v>46</v>
      </c>
      <c r="Y59" s="207" t="s">
        <v>84</v>
      </c>
      <c r="Z59" s="207" t="s">
        <v>271</v>
      </c>
      <c r="AA59" s="207" t="s">
        <v>90</v>
      </c>
      <c r="AB59" s="236" t="s">
        <v>458</v>
      </c>
    </row>
    <row r="60" spans="1:28" x14ac:dyDescent="0.15">
      <c r="A60" s="207" t="s">
        <v>59</v>
      </c>
      <c r="B60" s="236" t="s">
        <v>465</v>
      </c>
      <c r="C60" s="152">
        <v>2018</v>
      </c>
      <c r="D60" s="153" t="s">
        <v>466</v>
      </c>
      <c r="E60" s="207" t="s">
        <v>316</v>
      </c>
      <c r="F60" s="207" t="s">
        <v>307</v>
      </c>
      <c r="G60" s="207" t="s">
        <v>36</v>
      </c>
      <c r="H60" s="207" t="s">
        <v>155</v>
      </c>
      <c r="I60" s="207" t="s">
        <v>153</v>
      </c>
      <c r="J60" s="207" t="s">
        <v>38</v>
      </c>
      <c r="K60" s="207" t="s">
        <v>154</v>
      </c>
      <c r="L60" s="207">
        <v>2</v>
      </c>
      <c r="N60" s="207">
        <v>4</v>
      </c>
      <c r="O60" s="207">
        <v>0.73</v>
      </c>
      <c r="P60" s="207">
        <v>0.62</v>
      </c>
      <c r="Q60" s="244">
        <f t="shared" si="2"/>
        <v>0.67500000000000004</v>
      </c>
      <c r="R60" s="207">
        <v>14.9</v>
      </c>
      <c r="S60" s="207">
        <v>144</v>
      </c>
      <c r="T60" s="216">
        <f t="shared" si="0"/>
        <v>22</v>
      </c>
      <c r="U60" s="207">
        <v>348</v>
      </c>
      <c r="V60" s="216">
        <f t="shared" si="1"/>
        <v>16</v>
      </c>
      <c r="W60" s="207">
        <v>3</v>
      </c>
      <c r="X60" s="207" t="s">
        <v>46</v>
      </c>
      <c r="Y60" s="207" t="s">
        <v>84</v>
      </c>
      <c r="Z60" s="207" t="s">
        <v>271</v>
      </c>
      <c r="AA60" s="207" t="s">
        <v>90</v>
      </c>
      <c r="AB60" s="236" t="s">
        <v>458</v>
      </c>
    </row>
    <row r="61" spans="1:28" x14ac:dyDescent="0.15">
      <c r="A61" s="207" t="s">
        <v>59</v>
      </c>
      <c r="B61" s="236" t="s">
        <v>465</v>
      </c>
      <c r="C61" s="152">
        <v>2018</v>
      </c>
      <c r="D61" s="153" t="s">
        <v>466</v>
      </c>
      <c r="E61" s="207" t="s">
        <v>316</v>
      </c>
      <c r="F61" s="207" t="s">
        <v>307</v>
      </c>
      <c r="G61" s="207" t="s">
        <v>36</v>
      </c>
      <c r="H61" s="207" t="s">
        <v>498</v>
      </c>
      <c r="I61" s="207" t="s">
        <v>153</v>
      </c>
      <c r="J61" s="207" t="s">
        <v>38</v>
      </c>
      <c r="K61" s="207" t="s">
        <v>154</v>
      </c>
      <c r="L61" s="207">
        <v>3</v>
      </c>
      <c r="N61" s="207">
        <v>4</v>
      </c>
      <c r="O61" s="207">
        <v>0.75</v>
      </c>
      <c r="P61" s="207">
        <v>0.74</v>
      </c>
      <c r="Q61" s="244">
        <f t="shared" si="2"/>
        <v>0.745</v>
      </c>
      <c r="R61" s="207">
        <v>14.4</v>
      </c>
      <c r="S61" s="207">
        <v>150</v>
      </c>
      <c r="T61" s="216">
        <f t="shared" si="0"/>
        <v>22</v>
      </c>
      <c r="U61" s="207">
        <v>348</v>
      </c>
      <c r="V61" s="216">
        <f t="shared" si="1"/>
        <v>16</v>
      </c>
      <c r="W61" s="207">
        <v>3</v>
      </c>
      <c r="X61" s="207" t="s">
        <v>46</v>
      </c>
      <c r="Y61" s="207" t="s">
        <v>84</v>
      </c>
      <c r="Z61" s="207" t="s">
        <v>271</v>
      </c>
      <c r="AA61" s="207" t="s">
        <v>90</v>
      </c>
      <c r="AB61" s="236" t="s">
        <v>458</v>
      </c>
    </row>
    <row r="62" spans="1:28" x14ac:dyDescent="0.15">
      <c r="A62" s="207" t="s">
        <v>59</v>
      </c>
      <c r="B62" s="236" t="s">
        <v>465</v>
      </c>
      <c r="C62" s="152">
        <v>2018</v>
      </c>
      <c r="D62" s="153" t="s">
        <v>466</v>
      </c>
      <c r="E62" s="207" t="s">
        <v>311</v>
      </c>
      <c r="F62" s="207" t="s">
        <v>304</v>
      </c>
      <c r="G62" s="207" t="s">
        <v>36</v>
      </c>
      <c r="H62" s="207" t="s">
        <v>162</v>
      </c>
      <c r="I62" s="207" t="s">
        <v>153</v>
      </c>
      <c r="J62" s="207" t="s">
        <v>38</v>
      </c>
      <c r="K62" s="207" t="s">
        <v>154</v>
      </c>
      <c r="L62" s="207">
        <v>1</v>
      </c>
      <c r="N62" s="207">
        <v>1</v>
      </c>
      <c r="O62" s="207">
        <v>0.45</v>
      </c>
      <c r="P62" s="207">
        <v>0.46</v>
      </c>
      <c r="Q62" s="244">
        <f t="shared" si="2"/>
        <v>0.45500000000000002</v>
      </c>
      <c r="R62" s="207">
        <v>16.8</v>
      </c>
      <c r="S62" s="207">
        <v>145</v>
      </c>
      <c r="T62" s="216">
        <f t="shared" si="0"/>
        <v>22</v>
      </c>
      <c r="U62" s="207">
        <v>138</v>
      </c>
      <c r="V62" s="216">
        <f t="shared" si="1"/>
        <v>22</v>
      </c>
      <c r="W62" s="207">
        <v>2</v>
      </c>
      <c r="X62" s="207" t="s">
        <v>46</v>
      </c>
      <c r="Y62" s="207" t="s">
        <v>90</v>
      </c>
      <c r="Z62" s="207" t="s">
        <v>271</v>
      </c>
      <c r="AA62" s="207" t="s">
        <v>78</v>
      </c>
      <c r="AB62" s="236" t="s">
        <v>458</v>
      </c>
    </row>
    <row r="63" spans="1:28" x14ac:dyDescent="0.15">
      <c r="A63" s="207" t="s">
        <v>59</v>
      </c>
      <c r="B63" s="236" t="s">
        <v>465</v>
      </c>
      <c r="C63" s="152">
        <v>2018</v>
      </c>
      <c r="D63" s="153" t="s">
        <v>466</v>
      </c>
      <c r="E63" s="207" t="s">
        <v>311</v>
      </c>
      <c r="F63" s="207" t="s">
        <v>304</v>
      </c>
      <c r="G63" s="207" t="s">
        <v>36</v>
      </c>
      <c r="H63" s="207" t="s">
        <v>162</v>
      </c>
      <c r="I63" s="207" t="s">
        <v>153</v>
      </c>
      <c r="J63" s="207" t="s">
        <v>38</v>
      </c>
      <c r="K63" s="207" t="s">
        <v>154</v>
      </c>
      <c r="L63" s="207">
        <v>2</v>
      </c>
      <c r="N63" s="207">
        <v>1</v>
      </c>
      <c r="O63" s="207">
        <v>0.42</v>
      </c>
      <c r="P63" s="207">
        <v>0.44</v>
      </c>
      <c r="Q63" s="244">
        <f t="shared" si="2"/>
        <v>0.43</v>
      </c>
      <c r="R63" s="207">
        <v>14.9</v>
      </c>
      <c r="S63" s="207">
        <v>146</v>
      </c>
      <c r="T63" s="216">
        <f t="shared" si="0"/>
        <v>22</v>
      </c>
      <c r="U63" s="207">
        <v>138</v>
      </c>
      <c r="V63" s="216">
        <f t="shared" si="1"/>
        <v>22</v>
      </c>
      <c r="W63" s="207">
        <v>2</v>
      </c>
      <c r="X63" s="207" t="s">
        <v>46</v>
      </c>
      <c r="Y63" s="207" t="s">
        <v>90</v>
      </c>
      <c r="Z63" s="207" t="s">
        <v>271</v>
      </c>
      <c r="AA63" s="207" t="s">
        <v>78</v>
      </c>
      <c r="AB63" s="236" t="s">
        <v>458</v>
      </c>
    </row>
    <row r="64" spans="1:28" x14ac:dyDescent="0.15">
      <c r="A64" s="207" t="s">
        <v>59</v>
      </c>
      <c r="B64" s="236" t="s">
        <v>465</v>
      </c>
      <c r="C64" s="152">
        <v>2018</v>
      </c>
      <c r="D64" s="153" t="s">
        <v>466</v>
      </c>
      <c r="E64" s="207" t="s">
        <v>311</v>
      </c>
      <c r="F64" s="207" t="s">
        <v>304</v>
      </c>
      <c r="G64" s="207" t="s">
        <v>36</v>
      </c>
      <c r="H64" s="207" t="s">
        <v>162</v>
      </c>
      <c r="I64" s="207" t="s">
        <v>153</v>
      </c>
      <c r="J64" s="207" t="s">
        <v>38</v>
      </c>
      <c r="K64" s="207" t="s">
        <v>154</v>
      </c>
      <c r="L64" s="207">
        <v>3</v>
      </c>
      <c r="N64" s="207">
        <v>1</v>
      </c>
      <c r="O64" s="207">
        <v>0.44</v>
      </c>
      <c r="P64" s="207">
        <v>0.46</v>
      </c>
      <c r="Q64" s="244">
        <f t="shared" si="2"/>
        <v>0.45</v>
      </c>
      <c r="R64" s="207">
        <v>16.2</v>
      </c>
      <c r="S64" s="207">
        <v>145</v>
      </c>
      <c r="T64" s="216">
        <f t="shared" si="0"/>
        <v>22</v>
      </c>
      <c r="U64" s="207">
        <v>138</v>
      </c>
      <c r="V64" s="216">
        <f t="shared" si="1"/>
        <v>22</v>
      </c>
      <c r="W64" s="207">
        <v>2</v>
      </c>
      <c r="X64" s="207" t="s">
        <v>46</v>
      </c>
      <c r="Y64" s="207" t="s">
        <v>90</v>
      </c>
      <c r="Z64" s="207" t="s">
        <v>271</v>
      </c>
      <c r="AA64" s="207" t="s">
        <v>78</v>
      </c>
      <c r="AB64" s="236" t="s">
        <v>458</v>
      </c>
    </row>
    <row r="65" spans="1:28" x14ac:dyDescent="0.15">
      <c r="A65" s="207" t="s">
        <v>59</v>
      </c>
      <c r="B65" s="236" t="s">
        <v>465</v>
      </c>
      <c r="C65" s="152">
        <v>2018</v>
      </c>
      <c r="D65" s="153" t="s">
        <v>466</v>
      </c>
      <c r="E65" s="207" t="s">
        <v>311</v>
      </c>
      <c r="F65" s="207" t="s">
        <v>304</v>
      </c>
      <c r="G65" s="207" t="s">
        <v>36</v>
      </c>
      <c r="H65" s="207" t="s">
        <v>155</v>
      </c>
      <c r="I65" s="207" t="s">
        <v>153</v>
      </c>
      <c r="J65" s="207" t="s">
        <v>38</v>
      </c>
      <c r="K65" s="207" t="s">
        <v>154</v>
      </c>
      <c r="L65" s="207">
        <v>1</v>
      </c>
      <c r="N65" s="207">
        <v>4</v>
      </c>
      <c r="O65" s="207">
        <v>0.45</v>
      </c>
      <c r="P65" s="207">
        <v>0.43</v>
      </c>
      <c r="Q65" s="244">
        <f t="shared" si="2"/>
        <v>0.44</v>
      </c>
      <c r="R65" s="207">
        <v>14.1</v>
      </c>
      <c r="S65" s="207">
        <v>102</v>
      </c>
      <c r="T65" s="216">
        <f t="shared" si="0"/>
        <v>33</v>
      </c>
      <c r="U65" s="207">
        <v>321</v>
      </c>
      <c r="V65" s="216">
        <f t="shared" si="1"/>
        <v>16</v>
      </c>
      <c r="W65" s="207">
        <v>8</v>
      </c>
      <c r="X65" s="207" t="s">
        <v>46</v>
      </c>
      <c r="Y65" s="207" t="s">
        <v>90</v>
      </c>
      <c r="Z65" s="207" t="s">
        <v>271</v>
      </c>
      <c r="AA65" s="207" t="s">
        <v>78</v>
      </c>
      <c r="AB65" s="236" t="s">
        <v>458</v>
      </c>
    </row>
    <row r="66" spans="1:28" x14ac:dyDescent="0.15">
      <c r="A66" s="207" t="s">
        <v>59</v>
      </c>
      <c r="B66" s="236" t="s">
        <v>465</v>
      </c>
      <c r="C66" s="152">
        <v>2018</v>
      </c>
      <c r="D66" s="153" t="s">
        <v>466</v>
      </c>
      <c r="E66" s="207" t="s">
        <v>311</v>
      </c>
      <c r="F66" s="207" t="s">
        <v>304</v>
      </c>
      <c r="G66" s="207" t="s">
        <v>36</v>
      </c>
      <c r="H66" s="207" t="s">
        <v>155</v>
      </c>
      <c r="I66" s="207" t="s">
        <v>153</v>
      </c>
      <c r="J66" s="207" t="s">
        <v>38</v>
      </c>
      <c r="K66" s="207" t="s">
        <v>154</v>
      </c>
      <c r="L66" s="207">
        <v>2</v>
      </c>
      <c r="N66" s="207">
        <v>4</v>
      </c>
      <c r="O66" s="207">
        <v>0.46</v>
      </c>
      <c r="P66" s="207">
        <v>0.56999999999999995</v>
      </c>
      <c r="Q66" s="244">
        <f t="shared" si="2"/>
        <v>0.51500000000000001</v>
      </c>
      <c r="R66" s="207">
        <v>14.1</v>
      </c>
      <c r="S66" s="207">
        <v>106</v>
      </c>
      <c r="T66" s="216">
        <f t="shared" si="0"/>
        <v>33</v>
      </c>
      <c r="U66" s="207">
        <v>321</v>
      </c>
      <c r="V66" s="216">
        <f t="shared" ref="V66:V67" si="3">IF(J66="","",IF(OR(J66="GREEN",J66="GK"),IF(U66&gt;=$AX$2,VLOOKUP(U66,$AX$2:$AY$12,2,1),""),IF(U66&gt;=$AZ$2,VLOOKUP(U66,$AZ$2:$BA$12,2,1),"")))</f>
        <v>16</v>
      </c>
      <c r="W66" s="207">
        <v>8</v>
      </c>
      <c r="X66" s="207" t="s">
        <v>46</v>
      </c>
      <c r="Y66" s="207" t="s">
        <v>90</v>
      </c>
      <c r="Z66" s="207" t="s">
        <v>271</v>
      </c>
      <c r="AA66" s="207" t="s">
        <v>78</v>
      </c>
      <c r="AB66" s="236" t="s">
        <v>458</v>
      </c>
    </row>
    <row r="67" spans="1:28" x14ac:dyDescent="0.15">
      <c r="A67" s="207" t="s">
        <v>59</v>
      </c>
      <c r="B67" s="236" t="s">
        <v>465</v>
      </c>
      <c r="C67" s="152">
        <v>2018</v>
      </c>
      <c r="D67" s="153" t="s">
        <v>466</v>
      </c>
      <c r="E67" s="207" t="s">
        <v>311</v>
      </c>
      <c r="F67" s="207" t="s">
        <v>304</v>
      </c>
      <c r="G67" s="207" t="s">
        <v>36</v>
      </c>
      <c r="H67" s="207" t="s">
        <v>498</v>
      </c>
      <c r="I67" s="207" t="s">
        <v>153</v>
      </c>
      <c r="J67" s="207" t="s">
        <v>38</v>
      </c>
      <c r="K67" s="207" t="s">
        <v>154</v>
      </c>
      <c r="L67" s="207">
        <v>3</v>
      </c>
      <c r="N67" s="207">
        <v>4</v>
      </c>
      <c r="O67" s="207">
        <v>0.48</v>
      </c>
      <c r="P67" s="207">
        <v>0.52</v>
      </c>
      <c r="Q67" s="244">
        <f t="shared" si="2"/>
        <v>0.5</v>
      </c>
      <c r="R67" s="207">
        <v>14.3</v>
      </c>
      <c r="S67" s="207">
        <v>105</v>
      </c>
      <c r="T67" s="216">
        <f t="shared" si="0"/>
        <v>33</v>
      </c>
      <c r="U67" s="207">
        <v>321</v>
      </c>
      <c r="V67" s="216">
        <f t="shared" si="3"/>
        <v>16</v>
      </c>
      <c r="W67" s="207">
        <v>8</v>
      </c>
      <c r="X67" s="207" t="s">
        <v>46</v>
      </c>
      <c r="Y67" s="207" t="s">
        <v>90</v>
      </c>
      <c r="Z67" s="207" t="s">
        <v>271</v>
      </c>
      <c r="AA67" s="207" t="s">
        <v>78</v>
      </c>
      <c r="AB67" s="236" t="s">
        <v>458</v>
      </c>
    </row>
    <row r="68" spans="1:28" x14ac:dyDescent="0.15">
      <c r="B68" s="236"/>
      <c r="C68" s="152"/>
      <c r="D68" s="153"/>
      <c r="Q68" s="244" t="str">
        <f t="shared" si="2"/>
        <v/>
      </c>
      <c r="T68" s="216" t="str">
        <f t="shared" si="0"/>
        <v/>
      </c>
      <c r="AB68" s="236"/>
    </row>
    <row r="69" spans="1:28" x14ac:dyDescent="0.15">
      <c r="B69" s="236"/>
      <c r="C69" s="152"/>
      <c r="D69" s="153"/>
      <c r="Q69" s="244" t="str">
        <f t="shared" si="2"/>
        <v/>
      </c>
      <c r="T69" s="216" t="str">
        <f t="shared" si="0"/>
        <v/>
      </c>
      <c r="AB69" s="236"/>
    </row>
    <row r="70" spans="1:28" x14ac:dyDescent="0.15">
      <c r="B70" s="236"/>
      <c r="C70" s="152"/>
      <c r="D70" s="153"/>
      <c r="Q70" s="244"/>
      <c r="AB70" s="236"/>
    </row>
    <row r="71" spans="1:28" x14ac:dyDescent="0.15">
      <c r="B71" s="236"/>
      <c r="C71" s="152"/>
      <c r="D71" s="153"/>
      <c r="Q71" s="244"/>
      <c r="AB71" s="236"/>
    </row>
    <row r="72" spans="1:28" x14ac:dyDescent="0.15">
      <c r="B72" s="236"/>
      <c r="C72" s="152"/>
      <c r="D72" s="153"/>
      <c r="Q72" s="244"/>
      <c r="AB72" s="236"/>
    </row>
    <row r="73" spans="1:28" x14ac:dyDescent="0.15">
      <c r="B73" s="236"/>
      <c r="C73" s="152"/>
      <c r="D73" s="153"/>
      <c r="Q73" s="244"/>
      <c r="AB73" s="236"/>
    </row>
    <row r="74" spans="1:28" x14ac:dyDescent="0.15">
      <c r="B74" s="236"/>
      <c r="C74" s="152"/>
      <c r="D74" s="153"/>
      <c r="Q74" s="244"/>
      <c r="AB74" s="236"/>
    </row>
    <row r="75" spans="1:28" x14ac:dyDescent="0.15">
      <c r="B75" s="236"/>
      <c r="C75" s="152"/>
      <c r="D75" s="153"/>
      <c r="Q75" s="244"/>
      <c r="AB75" s="236"/>
    </row>
    <row r="76" spans="1:28" x14ac:dyDescent="0.15">
      <c r="B76" s="236"/>
      <c r="C76" s="152"/>
      <c r="D76" s="153"/>
      <c r="Q76" s="244"/>
      <c r="AB76" s="236"/>
    </row>
    <row r="77" spans="1:28" x14ac:dyDescent="0.15">
      <c r="B77" s="236"/>
      <c r="C77" s="152"/>
      <c r="D77" s="153"/>
      <c r="Q77" s="244"/>
      <c r="AB77" s="236"/>
    </row>
    <row r="78" spans="1:28" x14ac:dyDescent="0.15">
      <c r="B78" s="236"/>
      <c r="C78" s="152"/>
      <c r="D78" s="153"/>
      <c r="Q78" s="244"/>
      <c r="AB78" s="236"/>
    </row>
    <row r="79" spans="1:28" x14ac:dyDescent="0.15">
      <c r="B79" s="236"/>
      <c r="C79" s="152"/>
      <c r="Q79" s="244"/>
      <c r="AB79" s="236"/>
    </row>
    <row r="80" spans="1:28" x14ac:dyDescent="0.15">
      <c r="B80" s="236"/>
      <c r="C80" s="152"/>
      <c r="Q80" s="244"/>
      <c r="AB80" s="236"/>
    </row>
    <row r="81" spans="2:28" x14ac:dyDescent="0.15">
      <c r="B81" s="236"/>
      <c r="C81" s="152"/>
      <c r="Q81" s="244"/>
      <c r="AB81" s="236"/>
    </row>
    <row r="82" spans="2:28" x14ac:dyDescent="0.15">
      <c r="B82" s="236"/>
      <c r="C82" s="152"/>
      <c r="Q82" s="244"/>
      <c r="AB82" s="236"/>
    </row>
    <row r="83" spans="2:28" x14ac:dyDescent="0.15">
      <c r="B83" s="236"/>
      <c r="C83" s="152"/>
      <c r="Q83" s="244"/>
      <c r="AB83" s="236"/>
    </row>
    <row r="84" spans="2:28" x14ac:dyDescent="0.15">
      <c r="B84" s="236"/>
      <c r="C84" s="152"/>
      <c r="Q84" s="244"/>
      <c r="AB84" s="236"/>
    </row>
    <row r="85" spans="2:28" x14ac:dyDescent="0.15">
      <c r="B85" s="236"/>
      <c r="C85" s="152"/>
      <c r="Q85" s="244"/>
      <c r="AB85" s="236"/>
    </row>
    <row r="86" spans="2:28" x14ac:dyDescent="0.15">
      <c r="B86" s="236"/>
      <c r="C86" s="152"/>
      <c r="Q86" s="244"/>
      <c r="AB86" s="236"/>
    </row>
    <row r="87" spans="2:28" x14ac:dyDescent="0.15">
      <c r="B87" s="236"/>
      <c r="C87" s="152"/>
      <c r="Q87" s="244"/>
      <c r="AB87" s="236"/>
    </row>
    <row r="88" spans="2:28" x14ac:dyDescent="0.15">
      <c r="B88" s="236"/>
      <c r="C88" s="152"/>
      <c r="Q88" s="244"/>
      <c r="AB88" s="236"/>
    </row>
    <row r="89" spans="2:28" x14ac:dyDescent="0.15">
      <c r="B89" s="236"/>
      <c r="C89" s="152"/>
      <c r="Q89" s="244"/>
      <c r="AB89" s="236"/>
    </row>
    <row r="90" spans="2:28" x14ac:dyDescent="0.15">
      <c r="B90" s="236"/>
      <c r="C90" s="152"/>
      <c r="Q90" s="244"/>
      <c r="AB90" s="236"/>
    </row>
    <row r="91" spans="2:28" x14ac:dyDescent="0.15">
      <c r="B91" s="236"/>
      <c r="C91" s="152"/>
      <c r="Q91" s="244"/>
      <c r="AB91" s="236"/>
    </row>
    <row r="92" spans="2:28" x14ac:dyDescent="0.15">
      <c r="B92" s="236"/>
      <c r="C92" s="152"/>
      <c r="Q92" s="244"/>
      <c r="AB92" s="236"/>
    </row>
    <row r="93" spans="2:28" x14ac:dyDescent="0.15">
      <c r="B93" s="236"/>
      <c r="C93" s="152"/>
      <c r="Q93" s="244"/>
      <c r="AB93" s="236"/>
    </row>
    <row r="94" spans="2:28" x14ac:dyDescent="0.15">
      <c r="B94" s="236"/>
      <c r="C94" s="152"/>
      <c r="Q94" s="244"/>
      <c r="AB94" s="236"/>
    </row>
    <row r="95" spans="2:28" x14ac:dyDescent="0.15">
      <c r="B95" s="236"/>
      <c r="C95" s="152"/>
      <c r="AB95" s="236"/>
    </row>
    <row r="96" spans="2:28" x14ac:dyDescent="0.15">
      <c r="B96" s="236"/>
      <c r="C96" s="152"/>
      <c r="AB96" s="236"/>
    </row>
    <row r="97" spans="17:28" x14ac:dyDescent="0.15">
      <c r="Q97" s="216" t="str">
        <f t="shared" ref="Q97:Q148" si="4">IF(OR(O97="",P97=""),"",AVERAGE(O97,P97))</f>
        <v/>
      </c>
      <c r="T97" s="216" t="str">
        <f t="shared" ref="T97:T148" si="5">IF(H97="","",IF(OR(H97="GREEN",H97="GK"),IF(S97&gt;=$AX$2,VLOOKUP(S97,$AX$2:$AY$12,2,1),""),IF(S97&gt;=$AZ$2,VLOOKUP(S97,$AZ$2:$BA$12,2,1),"")))</f>
        <v/>
      </c>
      <c r="V97" s="216" t="str">
        <f t="shared" ref="V97:V148" si="6">IF(J97="","",IF(OR(J97="GREEN",J97="GK"),IF(U97&gt;=$AX$2,VLOOKUP(U97,$AX$2:$AY$12,2,1),""),IF(U97&gt;=$AZ$2,VLOOKUP(U97,$AZ$2:$BA$12,2,1),"")))</f>
        <v/>
      </c>
      <c r="AB97" s="236"/>
    </row>
    <row r="98" spans="17:28" x14ac:dyDescent="0.15">
      <c r="Q98" s="216" t="str">
        <f t="shared" si="4"/>
        <v/>
      </c>
      <c r="T98" s="216" t="str">
        <f t="shared" si="5"/>
        <v/>
      </c>
      <c r="V98" s="216" t="str">
        <f t="shared" si="6"/>
        <v/>
      </c>
    </row>
    <row r="99" spans="17:28" x14ac:dyDescent="0.15">
      <c r="Q99" s="216" t="str">
        <f t="shared" si="4"/>
        <v/>
      </c>
      <c r="T99" s="216" t="str">
        <f t="shared" si="5"/>
        <v/>
      </c>
      <c r="V99" s="216" t="str">
        <f t="shared" si="6"/>
        <v/>
      </c>
    </row>
    <row r="100" spans="17:28" x14ac:dyDescent="0.15">
      <c r="Q100" s="216" t="str">
        <f t="shared" si="4"/>
        <v/>
      </c>
      <c r="T100" s="216" t="str">
        <f t="shared" si="5"/>
        <v/>
      </c>
      <c r="V100" s="216" t="str">
        <f t="shared" si="6"/>
        <v/>
      </c>
    </row>
    <row r="101" spans="17:28" x14ac:dyDescent="0.15">
      <c r="Q101" s="216" t="str">
        <f t="shared" si="4"/>
        <v/>
      </c>
      <c r="T101" s="216" t="str">
        <f t="shared" si="5"/>
        <v/>
      </c>
      <c r="V101" s="216" t="str">
        <f t="shared" si="6"/>
        <v/>
      </c>
    </row>
    <row r="102" spans="17:28" x14ac:dyDescent="0.15">
      <c r="Q102" s="216" t="str">
        <f t="shared" si="4"/>
        <v/>
      </c>
      <c r="T102" s="216" t="str">
        <f t="shared" si="5"/>
        <v/>
      </c>
      <c r="V102" s="216" t="str">
        <f t="shared" si="6"/>
        <v/>
      </c>
    </row>
    <row r="103" spans="17:28" x14ac:dyDescent="0.15">
      <c r="Q103" s="216" t="str">
        <f t="shared" si="4"/>
        <v/>
      </c>
      <c r="T103" s="216" t="str">
        <f t="shared" si="5"/>
        <v/>
      </c>
      <c r="V103" s="216" t="str">
        <f t="shared" si="6"/>
        <v/>
      </c>
    </row>
    <row r="104" spans="17:28" x14ac:dyDescent="0.15">
      <c r="Q104" s="216" t="str">
        <f t="shared" si="4"/>
        <v/>
      </c>
      <c r="T104" s="216" t="str">
        <f t="shared" si="5"/>
        <v/>
      </c>
      <c r="V104" s="216" t="str">
        <f t="shared" si="6"/>
        <v/>
      </c>
    </row>
    <row r="105" spans="17:28" x14ac:dyDescent="0.15">
      <c r="Q105" s="216" t="str">
        <f t="shared" si="4"/>
        <v/>
      </c>
      <c r="T105" s="216" t="str">
        <f t="shared" si="5"/>
        <v/>
      </c>
      <c r="V105" s="216" t="str">
        <f t="shared" si="6"/>
        <v/>
      </c>
    </row>
    <row r="106" spans="17:28" x14ac:dyDescent="0.15">
      <c r="Q106" s="216" t="str">
        <f t="shared" si="4"/>
        <v/>
      </c>
      <c r="T106" s="216" t="str">
        <f t="shared" si="5"/>
        <v/>
      </c>
      <c r="V106" s="216" t="str">
        <f t="shared" si="6"/>
        <v/>
      </c>
    </row>
    <row r="107" spans="17:28" x14ac:dyDescent="0.15">
      <c r="Q107" s="216" t="str">
        <f t="shared" si="4"/>
        <v/>
      </c>
      <c r="T107" s="216" t="str">
        <f t="shared" si="5"/>
        <v/>
      </c>
      <c r="V107" s="216" t="str">
        <f t="shared" si="6"/>
        <v/>
      </c>
    </row>
    <row r="108" spans="17:28" x14ac:dyDescent="0.15">
      <c r="Q108" s="216" t="str">
        <f t="shared" si="4"/>
        <v/>
      </c>
      <c r="T108" s="216" t="str">
        <f t="shared" si="5"/>
        <v/>
      </c>
      <c r="V108" s="216" t="str">
        <f t="shared" si="6"/>
        <v/>
      </c>
    </row>
    <row r="109" spans="17:28" x14ac:dyDescent="0.15">
      <c r="Q109" s="216" t="str">
        <f t="shared" si="4"/>
        <v/>
      </c>
      <c r="T109" s="216" t="str">
        <f t="shared" si="5"/>
        <v/>
      </c>
      <c r="V109" s="216" t="str">
        <f t="shared" si="6"/>
        <v/>
      </c>
    </row>
    <row r="110" spans="17:28" x14ac:dyDescent="0.15">
      <c r="Q110" s="216" t="str">
        <f t="shared" si="4"/>
        <v/>
      </c>
      <c r="T110" s="216" t="str">
        <f t="shared" si="5"/>
        <v/>
      </c>
      <c r="V110" s="216" t="str">
        <f t="shared" si="6"/>
        <v/>
      </c>
    </row>
    <row r="111" spans="17:28" x14ac:dyDescent="0.15">
      <c r="Q111" s="216" t="str">
        <f t="shared" si="4"/>
        <v/>
      </c>
      <c r="T111" s="216" t="str">
        <f t="shared" si="5"/>
        <v/>
      </c>
      <c r="V111" s="216" t="str">
        <f t="shared" si="6"/>
        <v/>
      </c>
    </row>
    <row r="112" spans="17:28" x14ac:dyDescent="0.15">
      <c r="Q112" s="216" t="str">
        <f t="shared" si="4"/>
        <v/>
      </c>
      <c r="T112" s="216" t="str">
        <f t="shared" si="5"/>
        <v/>
      </c>
      <c r="V112" s="216" t="str">
        <f t="shared" si="6"/>
        <v/>
      </c>
    </row>
    <row r="113" spans="17:22" x14ac:dyDescent="0.15">
      <c r="Q113" s="216" t="str">
        <f t="shared" si="4"/>
        <v/>
      </c>
      <c r="T113" s="216" t="str">
        <f t="shared" si="5"/>
        <v/>
      </c>
      <c r="V113" s="216" t="str">
        <f t="shared" si="6"/>
        <v/>
      </c>
    </row>
    <row r="114" spans="17:22" x14ac:dyDescent="0.15">
      <c r="Q114" s="216" t="str">
        <f t="shared" si="4"/>
        <v/>
      </c>
      <c r="T114" s="216" t="str">
        <f t="shared" si="5"/>
        <v/>
      </c>
      <c r="V114" s="216" t="str">
        <f t="shared" si="6"/>
        <v/>
      </c>
    </row>
    <row r="115" spans="17:22" x14ac:dyDescent="0.15">
      <c r="Q115" s="216" t="str">
        <f t="shared" si="4"/>
        <v/>
      </c>
      <c r="T115" s="216" t="str">
        <f t="shared" si="5"/>
        <v/>
      </c>
      <c r="V115" s="216" t="str">
        <f t="shared" si="6"/>
        <v/>
      </c>
    </row>
    <row r="116" spans="17:22" x14ac:dyDescent="0.15">
      <c r="Q116" s="216" t="str">
        <f t="shared" si="4"/>
        <v/>
      </c>
      <c r="T116" s="216" t="str">
        <f t="shared" si="5"/>
        <v/>
      </c>
      <c r="V116" s="216" t="str">
        <f t="shared" si="6"/>
        <v/>
      </c>
    </row>
    <row r="117" spans="17:22" x14ac:dyDescent="0.15">
      <c r="Q117" s="216" t="str">
        <f t="shared" si="4"/>
        <v/>
      </c>
      <c r="T117" s="216" t="str">
        <f t="shared" si="5"/>
        <v/>
      </c>
      <c r="V117" s="216" t="str">
        <f t="shared" si="6"/>
        <v/>
      </c>
    </row>
    <row r="118" spans="17:22" x14ac:dyDescent="0.15">
      <c r="Q118" s="216" t="str">
        <f t="shared" si="4"/>
        <v/>
      </c>
      <c r="T118" s="216" t="str">
        <f t="shared" si="5"/>
        <v/>
      </c>
      <c r="V118" s="216" t="str">
        <f t="shared" si="6"/>
        <v/>
      </c>
    </row>
    <row r="119" spans="17:22" x14ac:dyDescent="0.15">
      <c r="Q119" s="216" t="str">
        <f t="shared" si="4"/>
        <v/>
      </c>
      <c r="T119" s="216" t="str">
        <f t="shared" si="5"/>
        <v/>
      </c>
      <c r="V119" s="216" t="str">
        <f t="shared" si="6"/>
        <v/>
      </c>
    </row>
    <row r="120" spans="17:22" x14ac:dyDescent="0.15">
      <c r="Q120" s="216" t="str">
        <f t="shared" si="4"/>
        <v/>
      </c>
      <c r="T120" s="216" t="str">
        <f t="shared" si="5"/>
        <v/>
      </c>
      <c r="V120" s="216" t="str">
        <f t="shared" si="6"/>
        <v/>
      </c>
    </row>
    <row r="121" spans="17:22" x14ac:dyDescent="0.15">
      <c r="Q121" s="216" t="str">
        <f t="shared" si="4"/>
        <v/>
      </c>
      <c r="T121" s="216" t="str">
        <f t="shared" si="5"/>
        <v/>
      </c>
      <c r="V121" s="216" t="str">
        <f t="shared" si="6"/>
        <v/>
      </c>
    </row>
    <row r="122" spans="17:22" x14ac:dyDescent="0.15">
      <c r="Q122" s="216" t="str">
        <f t="shared" si="4"/>
        <v/>
      </c>
      <c r="T122" s="216" t="str">
        <f t="shared" si="5"/>
        <v/>
      </c>
      <c r="V122" s="216" t="str">
        <f t="shared" si="6"/>
        <v/>
      </c>
    </row>
    <row r="123" spans="17:22" x14ac:dyDescent="0.15">
      <c r="Q123" s="216" t="str">
        <f t="shared" si="4"/>
        <v/>
      </c>
      <c r="T123" s="216" t="str">
        <f t="shared" si="5"/>
        <v/>
      </c>
      <c r="V123" s="216" t="str">
        <f t="shared" si="6"/>
        <v/>
      </c>
    </row>
    <row r="124" spans="17:22" x14ac:dyDescent="0.15">
      <c r="Q124" s="216" t="str">
        <f t="shared" si="4"/>
        <v/>
      </c>
      <c r="T124" s="216" t="str">
        <f t="shared" si="5"/>
        <v/>
      </c>
      <c r="V124" s="216" t="str">
        <f t="shared" si="6"/>
        <v/>
      </c>
    </row>
    <row r="125" spans="17:22" x14ac:dyDescent="0.15">
      <c r="Q125" s="216" t="str">
        <f t="shared" si="4"/>
        <v/>
      </c>
      <c r="T125" s="216" t="str">
        <f t="shared" si="5"/>
        <v/>
      </c>
      <c r="V125" s="216" t="str">
        <f t="shared" si="6"/>
        <v/>
      </c>
    </row>
    <row r="126" spans="17:22" x14ac:dyDescent="0.15">
      <c r="Q126" s="216" t="str">
        <f t="shared" si="4"/>
        <v/>
      </c>
      <c r="T126" s="216" t="str">
        <f t="shared" si="5"/>
        <v/>
      </c>
      <c r="V126" s="216" t="str">
        <f t="shared" si="6"/>
        <v/>
      </c>
    </row>
    <row r="127" spans="17:22" x14ac:dyDescent="0.15">
      <c r="Q127" s="216" t="str">
        <f t="shared" si="4"/>
        <v/>
      </c>
      <c r="T127" s="216" t="str">
        <f t="shared" si="5"/>
        <v/>
      </c>
      <c r="V127" s="216" t="str">
        <f t="shared" si="6"/>
        <v/>
      </c>
    </row>
    <row r="128" spans="17:22" x14ac:dyDescent="0.15">
      <c r="Q128" s="216" t="str">
        <f t="shared" si="4"/>
        <v/>
      </c>
      <c r="T128" s="216" t="str">
        <f t="shared" si="5"/>
        <v/>
      </c>
      <c r="V128" s="216" t="str">
        <f t="shared" si="6"/>
        <v/>
      </c>
    </row>
    <row r="129" spans="17:22" x14ac:dyDescent="0.15">
      <c r="Q129" s="216" t="str">
        <f t="shared" si="4"/>
        <v/>
      </c>
      <c r="T129" s="216" t="str">
        <f t="shared" si="5"/>
        <v/>
      </c>
      <c r="V129" s="216" t="str">
        <f t="shared" si="6"/>
        <v/>
      </c>
    </row>
    <row r="130" spans="17:22" x14ac:dyDescent="0.15">
      <c r="Q130" s="216" t="str">
        <f t="shared" si="4"/>
        <v/>
      </c>
      <c r="T130" s="216" t="str">
        <f t="shared" si="5"/>
        <v/>
      </c>
      <c r="V130" s="216" t="str">
        <f t="shared" si="6"/>
        <v/>
      </c>
    </row>
    <row r="131" spans="17:22" x14ac:dyDescent="0.15">
      <c r="Q131" s="216" t="str">
        <f t="shared" si="4"/>
        <v/>
      </c>
      <c r="T131" s="216" t="str">
        <f t="shared" si="5"/>
        <v/>
      </c>
      <c r="V131" s="216" t="str">
        <f t="shared" si="6"/>
        <v/>
      </c>
    </row>
    <row r="132" spans="17:22" x14ac:dyDescent="0.15">
      <c r="Q132" s="216" t="str">
        <f t="shared" si="4"/>
        <v/>
      </c>
      <c r="T132" s="216" t="str">
        <f t="shared" si="5"/>
        <v/>
      </c>
      <c r="V132" s="216" t="str">
        <f t="shared" si="6"/>
        <v/>
      </c>
    </row>
    <row r="133" spans="17:22" x14ac:dyDescent="0.15">
      <c r="Q133" s="216" t="str">
        <f t="shared" si="4"/>
        <v/>
      </c>
      <c r="T133" s="216" t="str">
        <f t="shared" si="5"/>
        <v/>
      </c>
      <c r="V133" s="216" t="str">
        <f t="shared" si="6"/>
        <v/>
      </c>
    </row>
    <row r="134" spans="17:22" x14ac:dyDescent="0.15">
      <c r="Q134" s="216" t="str">
        <f t="shared" si="4"/>
        <v/>
      </c>
      <c r="T134" s="216" t="str">
        <f t="shared" si="5"/>
        <v/>
      </c>
      <c r="V134" s="216" t="str">
        <f t="shared" si="6"/>
        <v/>
      </c>
    </row>
    <row r="135" spans="17:22" x14ac:dyDescent="0.15">
      <c r="Q135" s="216" t="str">
        <f t="shared" si="4"/>
        <v/>
      </c>
      <c r="T135" s="216" t="str">
        <f t="shared" si="5"/>
        <v/>
      </c>
      <c r="V135" s="216" t="str">
        <f t="shared" si="6"/>
        <v/>
      </c>
    </row>
    <row r="136" spans="17:22" x14ac:dyDescent="0.15">
      <c r="Q136" s="216" t="str">
        <f t="shared" si="4"/>
        <v/>
      </c>
      <c r="T136" s="216" t="str">
        <f t="shared" si="5"/>
        <v/>
      </c>
      <c r="V136" s="216" t="str">
        <f t="shared" si="6"/>
        <v/>
      </c>
    </row>
    <row r="137" spans="17:22" x14ac:dyDescent="0.15">
      <c r="Q137" s="216" t="str">
        <f t="shared" si="4"/>
        <v/>
      </c>
      <c r="T137" s="216" t="str">
        <f t="shared" si="5"/>
        <v/>
      </c>
      <c r="V137" s="216" t="str">
        <f t="shared" si="6"/>
        <v/>
      </c>
    </row>
    <row r="138" spans="17:22" x14ac:dyDescent="0.15">
      <c r="Q138" s="216" t="str">
        <f t="shared" si="4"/>
        <v/>
      </c>
      <c r="T138" s="216" t="str">
        <f t="shared" si="5"/>
        <v/>
      </c>
      <c r="V138" s="216" t="str">
        <f t="shared" si="6"/>
        <v/>
      </c>
    </row>
    <row r="139" spans="17:22" x14ac:dyDescent="0.15">
      <c r="Q139" s="216" t="str">
        <f t="shared" si="4"/>
        <v/>
      </c>
      <c r="T139" s="216" t="str">
        <f t="shared" si="5"/>
        <v/>
      </c>
      <c r="V139" s="216" t="str">
        <f t="shared" si="6"/>
        <v/>
      </c>
    </row>
    <row r="140" spans="17:22" x14ac:dyDescent="0.15">
      <c r="Q140" s="216" t="str">
        <f t="shared" si="4"/>
        <v/>
      </c>
      <c r="T140" s="216" t="str">
        <f t="shared" si="5"/>
        <v/>
      </c>
      <c r="V140" s="216" t="str">
        <f t="shared" si="6"/>
        <v/>
      </c>
    </row>
    <row r="141" spans="17:22" x14ac:dyDescent="0.15">
      <c r="Q141" s="216" t="str">
        <f t="shared" si="4"/>
        <v/>
      </c>
      <c r="T141" s="216" t="str">
        <f t="shared" si="5"/>
        <v/>
      </c>
      <c r="V141" s="216" t="str">
        <f t="shared" si="6"/>
        <v/>
      </c>
    </row>
    <row r="142" spans="17:22" x14ac:dyDescent="0.15">
      <c r="Q142" s="216" t="str">
        <f t="shared" si="4"/>
        <v/>
      </c>
      <c r="T142" s="216" t="str">
        <f t="shared" si="5"/>
        <v/>
      </c>
      <c r="V142" s="216" t="str">
        <f t="shared" si="6"/>
        <v/>
      </c>
    </row>
    <row r="143" spans="17:22" x14ac:dyDescent="0.15">
      <c r="Q143" s="216" t="str">
        <f t="shared" si="4"/>
        <v/>
      </c>
      <c r="T143" s="216" t="str">
        <f t="shared" si="5"/>
        <v/>
      </c>
      <c r="V143" s="216" t="str">
        <f t="shared" si="6"/>
        <v/>
      </c>
    </row>
    <row r="144" spans="17:22" x14ac:dyDescent="0.15">
      <c r="Q144" s="216" t="str">
        <f t="shared" si="4"/>
        <v/>
      </c>
      <c r="T144" s="216" t="str">
        <f t="shared" si="5"/>
        <v/>
      </c>
      <c r="V144" s="216" t="str">
        <f t="shared" si="6"/>
        <v/>
      </c>
    </row>
    <row r="145" spans="17:22" x14ac:dyDescent="0.15">
      <c r="Q145" s="216" t="str">
        <f t="shared" si="4"/>
        <v/>
      </c>
      <c r="T145" s="216" t="str">
        <f t="shared" si="5"/>
        <v/>
      </c>
      <c r="V145" s="216" t="str">
        <f t="shared" si="6"/>
        <v/>
      </c>
    </row>
    <row r="146" spans="17:22" x14ac:dyDescent="0.15">
      <c r="Q146" s="216" t="str">
        <f t="shared" si="4"/>
        <v/>
      </c>
      <c r="T146" s="216" t="str">
        <f t="shared" si="5"/>
        <v/>
      </c>
      <c r="V146" s="216" t="str">
        <f t="shared" si="6"/>
        <v/>
      </c>
    </row>
    <row r="147" spans="17:22" x14ac:dyDescent="0.15">
      <c r="Q147" s="216" t="str">
        <f t="shared" si="4"/>
        <v/>
      </c>
      <c r="T147" s="216" t="str">
        <f t="shared" si="5"/>
        <v/>
      </c>
      <c r="V147" s="216" t="str">
        <f t="shared" si="6"/>
        <v/>
      </c>
    </row>
    <row r="148" spans="17:22" x14ac:dyDescent="0.15">
      <c r="Q148" s="216" t="str">
        <f t="shared" si="4"/>
        <v/>
      </c>
      <c r="T148" s="216" t="str">
        <f t="shared" si="5"/>
        <v/>
      </c>
      <c r="V148" s="216" t="str">
        <f t="shared" si="6"/>
        <v/>
      </c>
    </row>
  </sheetData>
  <autoFilter ref="A1:BA148"/>
  <phoneticPr fontId="3"/>
  <dataValidations count="19">
    <dataValidation type="list" allowBlank="1" showInputMessage="1" showErrorMessage="1" sqref="K2:K430">
      <formula1>$AR$2:$AR$27</formula1>
    </dataValidation>
    <dataValidation type="list" allowBlank="1" showInputMessage="1" showErrorMessage="1" sqref="E2:E488">
      <formula1>$AG$2:$AG$11</formula1>
    </dataValidation>
    <dataValidation type="list" allowBlank="1" showInputMessage="1" showErrorMessage="1" sqref="H2:H488">
      <formula1>$AL$2:$AL$8</formula1>
    </dataValidation>
    <dataValidation type="decimal" allowBlank="1" showInputMessage="1" showErrorMessage="1" error="硬度を正しく入力して下さい。" sqref="O2:P488">
      <formula1>0</formula1>
      <formula2>7</formula2>
    </dataValidation>
    <dataValidation type="list" allowBlank="1" showInputMessage="1" showErrorMessage="1" sqref="F2:F1442">
      <formula1>$AH$2:$AH$11</formula1>
    </dataValidation>
    <dataValidation type="list" allowBlank="1" showInputMessage="1" showErrorMessage="1" sqref="AC38 Y2:AA579">
      <formula1>$AV$2:$AV$38</formula1>
    </dataValidation>
    <dataValidation type="list" allowBlank="1" showInputMessage="1" showErrorMessage="1" sqref="J2:J46">
      <formula1>$AP$2:$AP$38</formula1>
    </dataValidation>
    <dataValidation type="list" allowBlank="1" showInputMessage="1" showErrorMessage="1" sqref="WVS983030:WVS983095 K431:K488 K65526:K65591 WLW983030:WLW983095 WCA983030:WCA983095 VSE983030:VSE983095 VII983030:VII983095 UYM983030:UYM983095 UOQ983030:UOQ983095 UEU983030:UEU983095 TUY983030:TUY983095 TLC983030:TLC983095 TBG983030:TBG983095 SRK983030:SRK983095 SHO983030:SHO983095 RXS983030:RXS983095 RNW983030:RNW983095 REA983030:REA983095 QUE983030:QUE983095 QKI983030:QKI983095 QAM983030:QAM983095 PQQ983030:PQQ983095 PGU983030:PGU983095 OWY983030:OWY983095 ONC983030:ONC983095 ODG983030:ODG983095 NTK983030:NTK983095 NJO983030:NJO983095 MZS983030:MZS983095 MPW983030:MPW983095 MGA983030:MGA983095 LWE983030:LWE983095 LMI983030:LMI983095 LCM983030:LCM983095 KSQ983030:KSQ983095 KIU983030:KIU983095 JYY983030:JYY983095 JPC983030:JPC983095 JFG983030:JFG983095 IVK983030:IVK983095 ILO983030:ILO983095 IBS983030:IBS983095 HRW983030:HRW983095 HIA983030:HIA983095 GYE983030:GYE983095 GOI983030:GOI983095 GEM983030:GEM983095 FUQ983030:FUQ983095 FKU983030:FKU983095 FAY983030:FAY983095 ERC983030:ERC983095 EHG983030:EHG983095 DXK983030:DXK983095 DNO983030:DNO983095 DDS983030:DDS983095 CTW983030:CTW983095 CKA983030:CKA983095 CAE983030:CAE983095 BQI983030:BQI983095 BGM983030:BGM983095 AWQ983030:AWQ983095 AMU983030:AMU983095 ACY983030:ACY983095 TC983030:TC983095 JG983030:JG983095 K983030:K983095 WVS917494:WVS917559 WLW917494:WLW917559 WCA917494:WCA917559 VSE917494:VSE917559 VII917494:VII917559 UYM917494:UYM917559 UOQ917494:UOQ917559 UEU917494:UEU917559 TUY917494:TUY917559 TLC917494:TLC917559 TBG917494:TBG917559 SRK917494:SRK917559 SHO917494:SHO917559 RXS917494:RXS917559 RNW917494:RNW917559 REA917494:REA917559 QUE917494:QUE917559 QKI917494:QKI917559 QAM917494:QAM917559 PQQ917494:PQQ917559 PGU917494:PGU917559 OWY917494:OWY917559 ONC917494:ONC917559 ODG917494:ODG917559 NTK917494:NTK917559 NJO917494:NJO917559 MZS917494:MZS917559 MPW917494:MPW917559 MGA917494:MGA917559 LWE917494:LWE917559 LMI917494:LMI917559 LCM917494:LCM917559 KSQ917494:KSQ917559 KIU917494:KIU917559 JYY917494:JYY917559 JPC917494:JPC917559 JFG917494:JFG917559 IVK917494:IVK917559 ILO917494:ILO917559 IBS917494:IBS917559 HRW917494:HRW917559 HIA917494:HIA917559 GYE917494:GYE917559 GOI917494:GOI917559 GEM917494:GEM917559 FUQ917494:FUQ917559 FKU917494:FKU917559 FAY917494:FAY917559 ERC917494:ERC917559 EHG917494:EHG917559 DXK917494:DXK917559 DNO917494:DNO917559 DDS917494:DDS917559 CTW917494:CTW917559 CKA917494:CKA917559 CAE917494:CAE917559 BQI917494:BQI917559 BGM917494:BGM917559 AWQ917494:AWQ917559 AMU917494:AMU917559 ACY917494:ACY917559 TC917494:TC917559 JG917494:JG917559 K917494:K917559 WVS851958:WVS852023 WLW851958:WLW852023 WCA851958:WCA852023 VSE851958:VSE852023 VII851958:VII852023 UYM851958:UYM852023 UOQ851958:UOQ852023 UEU851958:UEU852023 TUY851958:TUY852023 TLC851958:TLC852023 TBG851958:TBG852023 SRK851958:SRK852023 SHO851958:SHO852023 RXS851958:RXS852023 RNW851958:RNW852023 REA851958:REA852023 QUE851958:QUE852023 QKI851958:QKI852023 QAM851958:QAM852023 PQQ851958:PQQ852023 PGU851958:PGU852023 OWY851958:OWY852023 ONC851958:ONC852023 ODG851958:ODG852023 NTK851958:NTK852023 NJO851958:NJO852023 MZS851958:MZS852023 MPW851958:MPW852023 MGA851958:MGA852023 LWE851958:LWE852023 LMI851958:LMI852023 LCM851958:LCM852023 KSQ851958:KSQ852023 KIU851958:KIU852023 JYY851958:JYY852023 JPC851958:JPC852023 JFG851958:JFG852023 IVK851958:IVK852023 ILO851958:ILO852023 IBS851958:IBS852023 HRW851958:HRW852023 HIA851958:HIA852023 GYE851958:GYE852023 GOI851958:GOI852023 GEM851958:GEM852023 FUQ851958:FUQ852023 FKU851958:FKU852023 FAY851958:FAY852023 ERC851958:ERC852023 EHG851958:EHG852023 DXK851958:DXK852023 DNO851958:DNO852023 DDS851958:DDS852023 CTW851958:CTW852023 CKA851958:CKA852023 CAE851958:CAE852023 BQI851958:BQI852023 BGM851958:BGM852023 AWQ851958:AWQ852023 AMU851958:AMU852023 ACY851958:ACY852023 TC851958:TC852023 JG851958:JG852023 K851958:K852023 WVS786422:WVS786487 WLW786422:WLW786487 WCA786422:WCA786487 VSE786422:VSE786487 VII786422:VII786487 UYM786422:UYM786487 UOQ786422:UOQ786487 UEU786422:UEU786487 TUY786422:TUY786487 TLC786422:TLC786487 TBG786422:TBG786487 SRK786422:SRK786487 SHO786422:SHO786487 RXS786422:RXS786487 RNW786422:RNW786487 REA786422:REA786487 QUE786422:QUE786487 QKI786422:QKI786487 QAM786422:QAM786487 PQQ786422:PQQ786487 PGU786422:PGU786487 OWY786422:OWY786487 ONC786422:ONC786487 ODG786422:ODG786487 NTK786422:NTK786487 NJO786422:NJO786487 MZS786422:MZS786487 MPW786422:MPW786487 MGA786422:MGA786487 LWE786422:LWE786487 LMI786422:LMI786487 LCM786422:LCM786487 KSQ786422:KSQ786487 KIU786422:KIU786487 JYY786422:JYY786487 JPC786422:JPC786487 JFG786422:JFG786487 IVK786422:IVK786487 ILO786422:ILO786487 IBS786422:IBS786487 HRW786422:HRW786487 HIA786422:HIA786487 GYE786422:GYE786487 GOI786422:GOI786487 GEM786422:GEM786487 FUQ786422:FUQ786487 FKU786422:FKU786487 FAY786422:FAY786487 ERC786422:ERC786487 EHG786422:EHG786487 DXK786422:DXK786487 DNO786422:DNO786487 DDS786422:DDS786487 CTW786422:CTW786487 CKA786422:CKA786487 CAE786422:CAE786487 BQI786422:BQI786487 BGM786422:BGM786487 AWQ786422:AWQ786487 AMU786422:AMU786487 ACY786422:ACY786487 TC786422:TC786487 JG786422:JG786487 K786422:K786487 WVS720886:WVS720951 WLW720886:WLW720951 WCA720886:WCA720951 VSE720886:VSE720951 VII720886:VII720951 UYM720886:UYM720951 UOQ720886:UOQ720951 UEU720886:UEU720951 TUY720886:TUY720951 TLC720886:TLC720951 TBG720886:TBG720951 SRK720886:SRK720951 SHO720886:SHO720951 RXS720886:RXS720951 RNW720886:RNW720951 REA720886:REA720951 QUE720886:QUE720951 QKI720886:QKI720951 QAM720886:QAM720951 PQQ720886:PQQ720951 PGU720886:PGU720951 OWY720886:OWY720951 ONC720886:ONC720951 ODG720886:ODG720951 NTK720886:NTK720951 NJO720886:NJO720951 MZS720886:MZS720951 MPW720886:MPW720951 MGA720886:MGA720951 LWE720886:LWE720951 LMI720886:LMI720951 LCM720886:LCM720951 KSQ720886:KSQ720951 KIU720886:KIU720951 JYY720886:JYY720951 JPC720886:JPC720951 JFG720886:JFG720951 IVK720886:IVK720951 ILO720886:ILO720951 IBS720886:IBS720951 HRW720886:HRW720951 HIA720886:HIA720951 GYE720886:GYE720951 GOI720886:GOI720951 GEM720886:GEM720951 FUQ720886:FUQ720951 FKU720886:FKU720951 FAY720886:FAY720951 ERC720886:ERC720951 EHG720886:EHG720951 DXK720886:DXK720951 DNO720886:DNO720951 DDS720886:DDS720951 CTW720886:CTW720951 CKA720886:CKA720951 CAE720886:CAE720951 BQI720886:BQI720951 BGM720886:BGM720951 AWQ720886:AWQ720951 AMU720886:AMU720951 ACY720886:ACY720951 TC720886:TC720951 JG720886:JG720951 K720886:K720951 WVS655350:WVS655415 WLW655350:WLW655415 WCA655350:WCA655415 VSE655350:VSE655415 VII655350:VII655415 UYM655350:UYM655415 UOQ655350:UOQ655415 UEU655350:UEU655415 TUY655350:TUY655415 TLC655350:TLC655415 TBG655350:TBG655415 SRK655350:SRK655415 SHO655350:SHO655415 RXS655350:RXS655415 RNW655350:RNW655415 REA655350:REA655415 QUE655350:QUE655415 QKI655350:QKI655415 QAM655350:QAM655415 PQQ655350:PQQ655415 PGU655350:PGU655415 OWY655350:OWY655415 ONC655350:ONC655415 ODG655350:ODG655415 NTK655350:NTK655415 NJO655350:NJO655415 MZS655350:MZS655415 MPW655350:MPW655415 MGA655350:MGA655415 LWE655350:LWE655415 LMI655350:LMI655415 LCM655350:LCM655415 KSQ655350:KSQ655415 KIU655350:KIU655415 JYY655350:JYY655415 JPC655350:JPC655415 JFG655350:JFG655415 IVK655350:IVK655415 ILO655350:ILO655415 IBS655350:IBS655415 HRW655350:HRW655415 HIA655350:HIA655415 GYE655350:GYE655415 GOI655350:GOI655415 GEM655350:GEM655415 FUQ655350:FUQ655415 FKU655350:FKU655415 FAY655350:FAY655415 ERC655350:ERC655415 EHG655350:EHG655415 DXK655350:DXK655415 DNO655350:DNO655415 DDS655350:DDS655415 CTW655350:CTW655415 CKA655350:CKA655415 CAE655350:CAE655415 BQI655350:BQI655415 BGM655350:BGM655415 AWQ655350:AWQ655415 AMU655350:AMU655415 ACY655350:ACY655415 TC655350:TC655415 JG655350:JG655415 K655350:K655415 WVS589814:WVS589879 WLW589814:WLW589879 WCA589814:WCA589879 VSE589814:VSE589879 VII589814:VII589879 UYM589814:UYM589879 UOQ589814:UOQ589879 UEU589814:UEU589879 TUY589814:TUY589879 TLC589814:TLC589879 TBG589814:TBG589879 SRK589814:SRK589879 SHO589814:SHO589879 RXS589814:RXS589879 RNW589814:RNW589879 REA589814:REA589879 QUE589814:QUE589879 QKI589814:QKI589879 QAM589814:QAM589879 PQQ589814:PQQ589879 PGU589814:PGU589879 OWY589814:OWY589879 ONC589814:ONC589879 ODG589814:ODG589879 NTK589814:NTK589879 NJO589814:NJO589879 MZS589814:MZS589879 MPW589814:MPW589879 MGA589814:MGA589879 LWE589814:LWE589879 LMI589814:LMI589879 LCM589814:LCM589879 KSQ589814:KSQ589879 KIU589814:KIU589879 JYY589814:JYY589879 JPC589814:JPC589879 JFG589814:JFG589879 IVK589814:IVK589879 ILO589814:ILO589879 IBS589814:IBS589879 HRW589814:HRW589879 HIA589814:HIA589879 GYE589814:GYE589879 GOI589814:GOI589879 GEM589814:GEM589879 FUQ589814:FUQ589879 FKU589814:FKU589879 FAY589814:FAY589879 ERC589814:ERC589879 EHG589814:EHG589879 DXK589814:DXK589879 DNO589814:DNO589879 DDS589814:DDS589879 CTW589814:CTW589879 CKA589814:CKA589879 CAE589814:CAE589879 BQI589814:BQI589879 BGM589814:BGM589879 AWQ589814:AWQ589879 AMU589814:AMU589879 ACY589814:ACY589879 TC589814:TC589879 JG589814:JG589879 K589814:K589879 WVS524278:WVS524343 WLW524278:WLW524343 WCA524278:WCA524343 VSE524278:VSE524343 VII524278:VII524343 UYM524278:UYM524343 UOQ524278:UOQ524343 UEU524278:UEU524343 TUY524278:TUY524343 TLC524278:TLC524343 TBG524278:TBG524343 SRK524278:SRK524343 SHO524278:SHO524343 RXS524278:RXS524343 RNW524278:RNW524343 REA524278:REA524343 QUE524278:QUE524343 QKI524278:QKI524343 QAM524278:QAM524343 PQQ524278:PQQ524343 PGU524278:PGU524343 OWY524278:OWY524343 ONC524278:ONC524343 ODG524278:ODG524343 NTK524278:NTK524343 NJO524278:NJO524343 MZS524278:MZS524343 MPW524278:MPW524343 MGA524278:MGA524343 LWE524278:LWE524343 LMI524278:LMI524343 LCM524278:LCM524343 KSQ524278:KSQ524343 KIU524278:KIU524343 JYY524278:JYY524343 JPC524278:JPC524343 JFG524278:JFG524343 IVK524278:IVK524343 ILO524278:ILO524343 IBS524278:IBS524343 HRW524278:HRW524343 HIA524278:HIA524343 GYE524278:GYE524343 GOI524278:GOI524343 GEM524278:GEM524343 FUQ524278:FUQ524343 FKU524278:FKU524343 FAY524278:FAY524343 ERC524278:ERC524343 EHG524278:EHG524343 DXK524278:DXK524343 DNO524278:DNO524343 DDS524278:DDS524343 CTW524278:CTW524343 CKA524278:CKA524343 CAE524278:CAE524343 BQI524278:BQI524343 BGM524278:BGM524343 AWQ524278:AWQ524343 AMU524278:AMU524343 ACY524278:ACY524343 TC524278:TC524343 JG524278:JG524343 K524278:K524343 WVS458742:WVS458807 WLW458742:WLW458807 WCA458742:WCA458807 VSE458742:VSE458807 VII458742:VII458807 UYM458742:UYM458807 UOQ458742:UOQ458807 UEU458742:UEU458807 TUY458742:TUY458807 TLC458742:TLC458807 TBG458742:TBG458807 SRK458742:SRK458807 SHO458742:SHO458807 RXS458742:RXS458807 RNW458742:RNW458807 REA458742:REA458807 QUE458742:QUE458807 QKI458742:QKI458807 QAM458742:QAM458807 PQQ458742:PQQ458807 PGU458742:PGU458807 OWY458742:OWY458807 ONC458742:ONC458807 ODG458742:ODG458807 NTK458742:NTK458807 NJO458742:NJO458807 MZS458742:MZS458807 MPW458742:MPW458807 MGA458742:MGA458807 LWE458742:LWE458807 LMI458742:LMI458807 LCM458742:LCM458807 KSQ458742:KSQ458807 KIU458742:KIU458807 JYY458742:JYY458807 JPC458742:JPC458807 JFG458742:JFG458807 IVK458742:IVK458807 ILO458742:ILO458807 IBS458742:IBS458807 HRW458742:HRW458807 HIA458742:HIA458807 GYE458742:GYE458807 GOI458742:GOI458807 GEM458742:GEM458807 FUQ458742:FUQ458807 FKU458742:FKU458807 FAY458742:FAY458807 ERC458742:ERC458807 EHG458742:EHG458807 DXK458742:DXK458807 DNO458742:DNO458807 DDS458742:DDS458807 CTW458742:CTW458807 CKA458742:CKA458807 CAE458742:CAE458807 BQI458742:BQI458807 BGM458742:BGM458807 AWQ458742:AWQ458807 AMU458742:AMU458807 ACY458742:ACY458807 TC458742:TC458807 JG458742:JG458807 K458742:K458807 WVS393206:WVS393271 WLW393206:WLW393271 WCA393206:WCA393271 VSE393206:VSE393271 VII393206:VII393271 UYM393206:UYM393271 UOQ393206:UOQ393271 UEU393206:UEU393271 TUY393206:TUY393271 TLC393206:TLC393271 TBG393206:TBG393271 SRK393206:SRK393271 SHO393206:SHO393271 RXS393206:RXS393271 RNW393206:RNW393271 REA393206:REA393271 QUE393206:QUE393271 QKI393206:QKI393271 QAM393206:QAM393271 PQQ393206:PQQ393271 PGU393206:PGU393271 OWY393206:OWY393271 ONC393206:ONC393271 ODG393206:ODG393271 NTK393206:NTK393271 NJO393206:NJO393271 MZS393206:MZS393271 MPW393206:MPW393271 MGA393206:MGA393271 LWE393206:LWE393271 LMI393206:LMI393271 LCM393206:LCM393271 KSQ393206:KSQ393271 KIU393206:KIU393271 JYY393206:JYY393271 JPC393206:JPC393271 JFG393206:JFG393271 IVK393206:IVK393271 ILO393206:ILO393271 IBS393206:IBS393271 HRW393206:HRW393271 HIA393206:HIA393271 GYE393206:GYE393271 GOI393206:GOI393271 GEM393206:GEM393271 FUQ393206:FUQ393271 FKU393206:FKU393271 FAY393206:FAY393271 ERC393206:ERC393271 EHG393206:EHG393271 DXK393206:DXK393271 DNO393206:DNO393271 DDS393206:DDS393271 CTW393206:CTW393271 CKA393206:CKA393271 CAE393206:CAE393271 BQI393206:BQI393271 BGM393206:BGM393271 AWQ393206:AWQ393271 AMU393206:AMU393271 ACY393206:ACY393271 TC393206:TC393271 JG393206:JG393271 K393206:K393271 WVS327670:WVS327735 WLW327670:WLW327735 WCA327670:WCA327735 VSE327670:VSE327735 VII327670:VII327735 UYM327670:UYM327735 UOQ327670:UOQ327735 UEU327670:UEU327735 TUY327670:TUY327735 TLC327670:TLC327735 TBG327670:TBG327735 SRK327670:SRK327735 SHO327670:SHO327735 RXS327670:RXS327735 RNW327670:RNW327735 REA327670:REA327735 QUE327670:QUE327735 QKI327670:QKI327735 QAM327670:QAM327735 PQQ327670:PQQ327735 PGU327670:PGU327735 OWY327670:OWY327735 ONC327670:ONC327735 ODG327670:ODG327735 NTK327670:NTK327735 NJO327670:NJO327735 MZS327670:MZS327735 MPW327670:MPW327735 MGA327670:MGA327735 LWE327670:LWE327735 LMI327670:LMI327735 LCM327670:LCM327735 KSQ327670:KSQ327735 KIU327670:KIU327735 JYY327670:JYY327735 JPC327670:JPC327735 JFG327670:JFG327735 IVK327670:IVK327735 ILO327670:ILO327735 IBS327670:IBS327735 HRW327670:HRW327735 HIA327670:HIA327735 GYE327670:GYE327735 GOI327670:GOI327735 GEM327670:GEM327735 FUQ327670:FUQ327735 FKU327670:FKU327735 FAY327670:FAY327735 ERC327670:ERC327735 EHG327670:EHG327735 DXK327670:DXK327735 DNO327670:DNO327735 DDS327670:DDS327735 CTW327670:CTW327735 CKA327670:CKA327735 CAE327670:CAE327735 BQI327670:BQI327735 BGM327670:BGM327735 AWQ327670:AWQ327735 AMU327670:AMU327735 ACY327670:ACY327735 TC327670:TC327735 JG327670:JG327735 K327670:K327735 WVS262134:WVS262199 WLW262134:WLW262199 WCA262134:WCA262199 VSE262134:VSE262199 VII262134:VII262199 UYM262134:UYM262199 UOQ262134:UOQ262199 UEU262134:UEU262199 TUY262134:TUY262199 TLC262134:TLC262199 TBG262134:TBG262199 SRK262134:SRK262199 SHO262134:SHO262199 RXS262134:RXS262199 RNW262134:RNW262199 REA262134:REA262199 QUE262134:QUE262199 QKI262134:QKI262199 QAM262134:QAM262199 PQQ262134:PQQ262199 PGU262134:PGU262199 OWY262134:OWY262199 ONC262134:ONC262199 ODG262134:ODG262199 NTK262134:NTK262199 NJO262134:NJO262199 MZS262134:MZS262199 MPW262134:MPW262199 MGA262134:MGA262199 LWE262134:LWE262199 LMI262134:LMI262199 LCM262134:LCM262199 KSQ262134:KSQ262199 KIU262134:KIU262199 JYY262134:JYY262199 JPC262134:JPC262199 JFG262134:JFG262199 IVK262134:IVK262199 ILO262134:ILO262199 IBS262134:IBS262199 HRW262134:HRW262199 HIA262134:HIA262199 GYE262134:GYE262199 GOI262134:GOI262199 GEM262134:GEM262199 FUQ262134:FUQ262199 FKU262134:FKU262199 FAY262134:FAY262199 ERC262134:ERC262199 EHG262134:EHG262199 DXK262134:DXK262199 DNO262134:DNO262199 DDS262134:DDS262199 CTW262134:CTW262199 CKA262134:CKA262199 CAE262134:CAE262199 BQI262134:BQI262199 BGM262134:BGM262199 AWQ262134:AWQ262199 AMU262134:AMU262199 ACY262134:ACY262199 TC262134:TC262199 JG262134:JG262199 K262134:K262199 WVS196598:WVS196663 WLW196598:WLW196663 WCA196598:WCA196663 VSE196598:VSE196663 VII196598:VII196663 UYM196598:UYM196663 UOQ196598:UOQ196663 UEU196598:UEU196663 TUY196598:TUY196663 TLC196598:TLC196663 TBG196598:TBG196663 SRK196598:SRK196663 SHO196598:SHO196663 RXS196598:RXS196663 RNW196598:RNW196663 REA196598:REA196663 QUE196598:QUE196663 QKI196598:QKI196663 QAM196598:QAM196663 PQQ196598:PQQ196663 PGU196598:PGU196663 OWY196598:OWY196663 ONC196598:ONC196663 ODG196598:ODG196663 NTK196598:NTK196663 NJO196598:NJO196663 MZS196598:MZS196663 MPW196598:MPW196663 MGA196598:MGA196663 LWE196598:LWE196663 LMI196598:LMI196663 LCM196598:LCM196663 KSQ196598:KSQ196663 KIU196598:KIU196663 JYY196598:JYY196663 JPC196598:JPC196663 JFG196598:JFG196663 IVK196598:IVK196663 ILO196598:ILO196663 IBS196598:IBS196663 HRW196598:HRW196663 HIA196598:HIA196663 GYE196598:GYE196663 GOI196598:GOI196663 GEM196598:GEM196663 FUQ196598:FUQ196663 FKU196598:FKU196663 FAY196598:FAY196663 ERC196598:ERC196663 EHG196598:EHG196663 DXK196598:DXK196663 DNO196598:DNO196663 DDS196598:DDS196663 CTW196598:CTW196663 CKA196598:CKA196663 CAE196598:CAE196663 BQI196598:BQI196663 BGM196598:BGM196663 AWQ196598:AWQ196663 AMU196598:AMU196663 ACY196598:ACY196663 TC196598:TC196663 JG196598:JG196663 K196598:K196663 WVS131062:WVS131127 WLW131062:WLW131127 WCA131062:WCA131127 VSE131062:VSE131127 VII131062:VII131127 UYM131062:UYM131127 UOQ131062:UOQ131127 UEU131062:UEU131127 TUY131062:TUY131127 TLC131062:TLC131127 TBG131062:TBG131127 SRK131062:SRK131127 SHO131062:SHO131127 RXS131062:RXS131127 RNW131062:RNW131127 REA131062:REA131127 QUE131062:QUE131127 QKI131062:QKI131127 QAM131062:QAM131127 PQQ131062:PQQ131127 PGU131062:PGU131127 OWY131062:OWY131127 ONC131062:ONC131127 ODG131062:ODG131127 NTK131062:NTK131127 NJO131062:NJO131127 MZS131062:MZS131127 MPW131062:MPW131127 MGA131062:MGA131127 LWE131062:LWE131127 LMI131062:LMI131127 LCM131062:LCM131127 KSQ131062:KSQ131127 KIU131062:KIU131127 JYY131062:JYY131127 JPC131062:JPC131127 JFG131062:JFG131127 IVK131062:IVK131127 ILO131062:ILO131127 IBS131062:IBS131127 HRW131062:HRW131127 HIA131062:HIA131127 GYE131062:GYE131127 GOI131062:GOI131127 GEM131062:GEM131127 FUQ131062:FUQ131127 FKU131062:FKU131127 FAY131062:FAY131127 ERC131062:ERC131127 EHG131062:EHG131127 DXK131062:DXK131127 DNO131062:DNO131127 DDS131062:DDS131127 CTW131062:CTW131127 CKA131062:CKA131127 CAE131062:CAE131127 BQI131062:BQI131127 BGM131062:BGM131127 AWQ131062:AWQ131127 AMU131062:AMU131127 ACY131062:ACY131127 TC131062:TC131127 JG131062:JG131127 K131062:K131127 WVS65526:WVS65591 WLW65526:WLW65591 WCA65526:WCA65591 VSE65526:VSE65591 VII65526:VII65591 UYM65526:UYM65591 UOQ65526:UOQ65591 UEU65526:UEU65591 TUY65526:TUY65591 TLC65526:TLC65591 TBG65526:TBG65591 SRK65526:SRK65591 SHO65526:SHO65591 RXS65526:RXS65591 RNW65526:RNW65591 REA65526:REA65591 QUE65526:QUE65591 QKI65526:QKI65591 QAM65526:QAM65591 PQQ65526:PQQ65591 PGU65526:PGU65591 OWY65526:OWY65591 ONC65526:ONC65591 ODG65526:ODG65591 NTK65526:NTK65591 NJO65526:NJO65591 MZS65526:MZS65591 MPW65526:MPW65591 MGA65526:MGA65591 LWE65526:LWE65591 LMI65526:LMI65591 LCM65526:LCM65591 KSQ65526:KSQ65591 KIU65526:KIU65591 JYY65526:JYY65591 JPC65526:JPC65591 JFG65526:JFG65591 IVK65526:IVK65591 ILO65526:ILO65591 IBS65526:IBS65591 HRW65526:HRW65591 HIA65526:HIA65591 GYE65526:GYE65591 GOI65526:GOI65591 GEM65526:GEM65591 FUQ65526:FUQ65591 FKU65526:FKU65591 FAY65526:FAY65591 ERC65526:ERC65591 EHG65526:EHG65591 DXK65526:DXK65591 DNO65526:DNO65591 DDS65526:DDS65591 CTW65526:CTW65591 CKA65526:CKA65591 CAE65526:CAE65591 BQI65526:BQI65591 BGM65526:BGM65591 AWQ65526:AWQ65591 AMU65526:AMU65591 ACY65526:ACY65591 TC65526:TC65591 JG65526:JG65591 TC2:TC61 JG2:JG61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formula1>$AR$2:$AR$25</formula1>
    </dataValidation>
    <dataValidation type="list" allowBlank="1" showInputMessage="1" showErrorMessage="1" sqref="WVR983030:WVR983095 J65526:J65591 WLV983030:WLV983095 WBZ983030:WBZ983095 VSD983030:VSD983095 VIH983030:VIH983095 UYL983030:UYL983095 UOP983030:UOP983095 UET983030:UET983095 TUX983030:TUX983095 TLB983030:TLB983095 TBF983030:TBF983095 SRJ983030:SRJ983095 SHN983030:SHN983095 RXR983030:RXR983095 RNV983030:RNV983095 RDZ983030:RDZ983095 QUD983030:QUD983095 QKH983030:QKH983095 QAL983030:QAL983095 PQP983030:PQP983095 PGT983030:PGT983095 OWX983030:OWX983095 ONB983030:ONB983095 ODF983030:ODF983095 NTJ983030:NTJ983095 NJN983030:NJN983095 MZR983030:MZR983095 MPV983030:MPV983095 MFZ983030:MFZ983095 LWD983030:LWD983095 LMH983030:LMH983095 LCL983030:LCL983095 KSP983030:KSP983095 KIT983030:KIT983095 JYX983030:JYX983095 JPB983030:JPB983095 JFF983030:JFF983095 IVJ983030:IVJ983095 ILN983030:ILN983095 IBR983030:IBR983095 HRV983030:HRV983095 HHZ983030:HHZ983095 GYD983030:GYD983095 GOH983030:GOH983095 GEL983030:GEL983095 FUP983030:FUP983095 FKT983030:FKT983095 FAX983030:FAX983095 ERB983030:ERB983095 EHF983030:EHF983095 DXJ983030:DXJ983095 DNN983030:DNN983095 DDR983030:DDR983095 CTV983030:CTV983095 CJZ983030:CJZ983095 CAD983030:CAD983095 BQH983030:BQH983095 BGL983030:BGL983095 AWP983030:AWP983095 AMT983030:AMT983095 ACX983030:ACX983095 TB983030:TB983095 JF983030:JF983095 J983030:J983095 WVR917494:WVR917559 WLV917494:WLV917559 WBZ917494:WBZ917559 VSD917494:VSD917559 VIH917494:VIH917559 UYL917494:UYL917559 UOP917494:UOP917559 UET917494:UET917559 TUX917494:TUX917559 TLB917494:TLB917559 TBF917494:TBF917559 SRJ917494:SRJ917559 SHN917494:SHN917559 RXR917494:RXR917559 RNV917494:RNV917559 RDZ917494:RDZ917559 QUD917494:QUD917559 QKH917494:QKH917559 QAL917494:QAL917559 PQP917494:PQP917559 PGT917494:PGT917559 OWX917494:OWX917559 ONB917494:ONB917559 ODF917494:ODF917559 NTJ917494:NTJ917559 NJN917494:NJN917559 MZR917494:MZR917559 MPV917494:MPV917559 MFZ917494:MFZ917559 LWD917494:LWD917559 LMH917494:LMH917559 LCL917494:LCL917559 KSP917494:KSP917559 KIT917494:KIT917559 JYX917494:JYX917559 JPB917494:JPB917559 JFF917494:JFF917559 IVJ917494:IVJ917559 ILN917494:ILN917559 IBR917494:IBR917559 HRV917494:HRV917559 HHZ917494:HHZ917559 GYD917494:GYD917559 GOH917494:GOH917559 GEL917494:GEL917559 FUP917494:FUP917559 FKT917494:FKT917559 FAX917494:FAX917559 ERB917494:ERB917559 EHF917494:EHF917559 DXJ917494:DXJ917559 DNN917494:DNN917559 DDR917494:DDR917559 CTV917494:CTV917559 CJZ917494:CJZ917559 CAD917494:CAD917559 BQH917494:BQH917559 BGL917494:BGL917559 AWP917494:AWP917559 AMT917494:AMT917559 ACX917494:ACX917559 TB917494:TB917559 JF917494:JF917559 J917494:J917559 WVR851958:WVR852023 WLV851958:WLV852023 WBZ851958:WBZ852023 VSD851958:VSD852023 VIH851958:VIH852023 UYL851958:UYL852023 UOP851958:UOP852023 UET851958:UET852023 TUX851958:TUX852023 TLB851958:TLB852023 TBF851958:TBF852023 SRJ851958:SRJ852023 SHN851958:SHN852023 RXR851958:RXR852023 RNV851958:RNV852023 RDZ851958:RDZ852023 QUD851958:QUD852023 QKH851958:QKH852023 QAL851958:QAL852023 PQP851958:PQP852023 PGT851958:PGT852023 OWX851958:OWX852023 ONB851958:ONB852023 ODF851958:ODF852023 NTJ851958:NTJ852023 NJN851958:NJN852023 MZR851958:MZR852023 MPV851958:MPV852023 MFZ851958:MFZ852023 LWD851958:LWD852023 LMH851958:LMH852023 LCL851958:LCL852023 KSP851958:KSP852023 KIT851958:KIT852023 JYX851958:JYX852023 JPB851958:JPB852023 JFF851958:JFF852023 IVJ851958:IVJ852023 ILN851958:ILN852023 IBR851958:IBR852023 HRV851958:HRV852023 HHZ851958:HHZ852023 GYD851958:GYD852023 GOH851958:GOH852023 GEL851958:GEL852023 FUP851958:FUP852023 FKT851958:FKT852023 FAX851958:FAX852023 ERB851958:ERB852023 EHF851958:EHF852023 DXJ851958:DXJ852023 DNN851958:DNN852023 DDR851958:DDR852023 CTV851958:CTV852023 CJZ851958:CJZ852023 CAD851958:CAD852023 BQH851958:BQH852023 BGL851958:BGL852023 AWP851958:AWP852023 AMT851958:AMT852023 ACX851958:ACX852023 TB851958:TB852023 JF851958:JF852023 J851958:J852023 WVR786422:WVR786487 WLV786422:WLV786487 WBZ786422:WBZ786487 VSD786422:VSD786487 VIH786422:VIH786487 UYL786422:UYL786487 UOP786422:UOP786487 UET786422:UET786487 TUX786422:TUX786487 TLB786422:TLB786487 TBF786422:TBF786487 SRJ786422:SRJ786487 SHN786422:SHN786487 RXR786422:RXR786487 RNV786422:RNV786487 RDZ786422:RDZ786487 QUD786422:QUD786487 QKH786422:QKH786487 QAL786422:QAL786487 PQP786422:PQP786487 PGT786422:PGT786487 OWX786422:OWX786487 ONB786422:ONB786487 ODF786422:ODF786487 NTJ786422:NTJ786487 NJN786422:NJN786487 MZR786422:MZR786487 MPV786422:MPV786487 MFZ786422:MFZ786487 LWD786422:LWD786487 LMH786422:LMH786487 LCL786422:LCL786487 KSP786422:KSP786487 KIT786422:KIT786487 JYX786422:JYX786487 JPB786422:JPB786487 JFF786422:JFF786487 IVJ786422:IVJ786487 ILN786422:ILN786487 IBR786422:IBR786487 HRV786422:HRV786487 HHZ786422:HHZ786487 GYD786422:GYD786487 GOH786422:GOH786487 GEL786422:GEL786487 FUP786422:FUP786487 FKT786422:FKT786487 FAX786422:FAX786487 ERB786422:ERB786487 EHF786422:EHF786487 DXJ786422:DXJ786487 DNN786422:DNN786487 DDR786422:DDR786487 CTV786422:CTV786487 CJZ786422:CJZ786487 CAD786422:CAD786487 BQH786422:BQH786487 BGL786422:BGL786487 AWP786422:AWP786487 AMT786422:AMT786487 ACX786422:ACX786487 TB786422:TB786487 JF786422:JF786487 J786422:J786487 WVR720886:WVR720951 WLV720886:WLV720951 WBZ720886:WBZ720951 VSD720886:VSD720951 VIH720886:VIH720951 UYL720886:UYL720951 UOP720886:UOP720951 UET720886:UET720951 TUX720886:TUX720951 TLB720886:TLB720951 TBF720886:TBF720951 SRJ720886:SRJ720951 SHN720886:SHN720951 RXR720886:RXR720951 RNV720886:RNV720951 RDZ720886:RDZ720951 QUD720886:QUD720951 QKH720886:QKH720951 QAL720886:QAL720951 PQP720886:PQP720951 PGT720886:PGT720951 OWX720886:OWX720951 ONB720886:ONB720951 ODF720886:ODF720951 NTJ720886:NTJ720951 NJN720886:NJN720951 MZR720886:MZR720951 MPV720886:MPV720951 MFZ720886:MFZ720951 LWD720886:LWD720951 LMH720886:LMH720951 LCL720886:LCL720951 KSP720886:KSP720951 KIT720886:KIT720951 JYX720886:JYX720951 JPB720886:JPB720951 JFF720886:JFF720951 IVJ720886:IVJ720951 ILN720886:ILN720951 IBR720886:IBR720951 HRV720886:HRV720951 HHZ720886:HHZ720951 GYD720886:GYD720951 GOH720886:GOH720951 GEL720886:GEL720951 FUP720886:FUP720951 FKT720886:FKT720951 FAX720886:FAX720951 ERB720886:ERB720951 EHF720886:EHF720951 DXJ720886:DXJ720951 DNN720886:DNN720951 DDR720886:DDR720951 CTV720886:CTV720951 CJZ720886:CJZ720951 CAD720886:CAD720951 BQH720886:BQH720951 BGL720886:BGL720951 AWP720886:AWP720951 AMT720886:AMT720951 ACX720886:ACX720951 TB720886:TB720951 JF720886:JF720951 J720886:J720951 WVR655350:WVR655415 WLV655350:WLV655415 WBZ655350:WBZ655415 VSD655350:VSD655415 VIH655350:VIH655415 UYL655350:UYL655415 UOP655350:UOP655415 UET655350:UET655415 TUX655350:TUX655415 TLB655350:TLB655415 TBF655350:TBF655415 SRJ655350:SRJ655415 SHN655350:SHN655415 RXR655350:RXR655415 RNV655350:RNV655415 RDZ655350:RDZ655415 QUD655350:QUD655415 QKH655350:QKH655415 QAL655350:QAL655415 PQP655350:PQP655415 PGT655350:PGT655415 OWX655350:OWX655415 ONB655350:ONB655415 ODF655350:ODF655415 NTJ655350:NTJ655415 NJN655350:NJN655415 MZR655350:MZR655415 MPV655350:MPV655415 MFZ655350:MFZ655415 LWD655350:LWD655415 LMH655350:LMH655415 LCL655350:LCL655415 KSP655350:KSP655415 KIT655350:KIT655415 JYX655350:JYX655415 JPB655350:JPB655415 JFF655350:JFF655415 IVJ655350:IVJ655415 ILN655350:ILN655415 IBR655350:IBR655415 HRV655350:HRV655415 HHZ655350:HHZ655415 GYD655350:GYD655415 GOH655350:GOH655415 GEL655350:GEL655415 FUP655350:FUP655415 FKT655350:FKT655415 FAX655350:FAX655415 ERB655350:ERB655415 EHF655350:EHF655415 DXJ655350:DXJ655415 DNN655350:DNN655415 DDR655350:DDR655415 CTV655350:CTV655415 CJZ655350:CJZ655415 CAD655350:CAD655415 BQH655350:BQH655415 BGL655350:BGL655415 AWP655350:AWP655415 AMT655350:AMT655415 ACX655350:ACX655415 TB655350:TB655415 JF655350:JF655415 J655350:J655415 WVR589814:WVR589879 WLV589814:WLV589879 WBZ589814:WBZ589879 VSD589814:VSD589879 VIH589814:VIH589879 UYL589814:UYL589879 UOP589814:UOP589879 UET589814:UET589879 TUX589814:TUX589879 TLB589814:TLB589879 TBF589814:TBF589879 SRJ589814:SRJ589879 SHN589814:SHN589879 RXR589814:RXR589879 RNV589814:RNV589879 RDZ589814:RDZ589879 QUD589814:QUD589879 QKH589814:QKH589879 QAL589814:QAL589879 PQP589814:PQP589879 PGT589814:PGT589879 OWX589814:OWX589879 ONB589814:ONB589879 ODF589814:ODF589879 NTJ589814:NTJ589879 NJN589814:NJN589879 MZR589814:MZR589879 MPV589814:MPV589879 MFZ589814:MFZ589879 LWD589814:LWD589879 LMH589814:LMH589879 LCL589814:LCL589879 KSP589814:KSP589879 KIT589814:KIT589879 JYX589814:JYX589879 JPB589814:JPB589879 JFF589814:JFF589879 IVJ589814:IVJ589879 ILN589814:ILN589879 IBR589814:IBR589879 HRV589814:HRV589879 HHZ589814:HHZ589879 GYD589814:GYD589879 GOH589814:GOH589879 GEL589814:GEL589879 FUP589814:FUP589879 FKT589814:FKT589879 FAX589814:FAX589879 ERB589814:ERB589879 EHF589814:EHF589879 DXJ589814:DXJ589879 DNN589814:DNN589879 DDR589814:DDR589879 CTV589814:CTV589879 CJZ589814:CJZ589879 CAD589814:CAD589879 BQH589814:BQH589879 BGL589814:BGL589879 AWP589814:AWP589879 AMT589814:AMT589879 ACX589814:ACX589879 TB589814:TB589879 JF589814:JF589879 J589814:J589879 WVR524278:WVR524343 WLV524278:WLV524343 WBZ524278:WBZ524343 VSD524278:VSD524343 VIH524278:VIH524343 UYL524278:UYL524343 UOP524278:UOP524343 UET524278:UET524343 TUX524278:TUX524343 TLB524278:TLB524343 TBF524278:TBF524343 SRJ524278:SRJ524343 SHN524278:SHN524343 RXR524278:RXR524343 RNV524278:RNV524343 RDZ524278:RDZ524343 QUD524278:QUD524343 QKH524278:QKH524343 QAL524278:QAL524343 PQP524278:PQP524343 PGT524278:PGT524343 OWX524278:OWX524343 ONB524278:ONB524343 ODF524278:ODF524343 NTJ524278:NTJ524343 NJN524278:NJN524343 MZR524278:MZR524343 MPV524278:MPV524343 MFZ524278:MFZ524343 LWD524278:LWD524343 LMH524278:LMH524343 LCL524278:LCL524343 KSP524278:KSP524343 KIT524278:KIT524343 JYX524278:JYX524343 JPB524278:JPB524343 JFF524278:JFF524343 IVJ524278:IVJ524343 ILN524278:ILN524343 IBR524278:IBR524343 HRV524278:HRV524343 HHZ524278:HHZ524343 GYD524278:GYD524343 GOH524278:GOH524343 GEL524278:GEL524343 FUP524278:FUP524343 FKT524278:FKT524343 FAX524278:FAX524343 ERB524278:ERB524343 EHF524278:EHF524343 DXJ524278:DXJ524343 DNN524278:DNN524343 DDR524278:DDR524343 CTV524278:CTV524343 CJZ524278:CJZ524343 CAD524278:CAD524343 BQH524278:BQH524343 BGL524278:BGL524343 AWP524278:AWP524343 AMT524278:AMT524343 ACX524278:ACX524343 TB524278:TB524343 JF524278:JF524343 J524278:J524343 WVR458742:WVR458807 WLV458742:WLV458807 WBZ458742:WBZ458807 VSD458742:VSD458807 VIH458742:VIH458807 UYL458742:UYL458807 UOP458742:UOP458807 UET458742:UET458807 TUX458742:TUX458807 TLB458742:TLB458807 TBF458742:TBF458807 SRJ458742:SRJ458807 SHN458742:SHN458807 RXR458742:RXR458807 RNV458742:RNV458807 RDZ458742:RDZ458807 QUD458742:QUD458807 QKH458742:QKH458807 QAL458742:QAL458807 PQP458742:PQP458807 PGT458742:PGT458807 OWX458742:OWX458807 ONB458742:ONB458807 ODF458742:ODF458807 NTJ458742:NTJ458807 NJN458742:NJN458807 MZR458742:MZR458807 MPV458742:MPV458807 MFZ458742:MFZ458807 LWD458742:LWD458807 LMH458742:LMH458807 LCL458742:LCL458807 KSP458742:KSP458807 KIT458742:KIT458807 JYX458742:JYX458807 JPB458742:JPB458807 JFF458742:JFF458807 IVJ458742:IVJ458807 ILN458742:ILN458807 IBR458742:IBR458807 HRV458742:HRV458807 HHZ458742:HHZ458807 GYD458742:GYD458807 GOH458742:GOH458807 GEL458742:GEL458807 FUP458742:FUP458807 FKT458742:FKT458807 FAX458742:FAX458807 ERB458742:ERB458807 EHF458742:EHF458807 DXJ458742:DXJ458807 DNN458742:DNN458807 DDR458742:DDR458807 CTV458742:CTV458807 CJZ458742:CJZ458807 CAD458742:CAD458807 BQH458742:BQH458807 BGL458742:BGL458807 AWP458742:AWP458807 AMT458742:AMT458807 ACX458742:ACX458807 TB458742:TB458807 JF458742:JF458807 J458742:J458807 WVR393206:WVR393271 WLV393206:WLV393271 WBZ393206:WBZ393271 VSD393206:VSD393271 VIH393206:VIH393271 UYL393206:UYL393271 UOP393206:UOP393271 UET393206:UET393271 TUX393206:TUX393271 TLB393206:TLB393271 TBF393206:TBF393271 SRJ393206:SRJ393271 SHN393206:SHN393271 RXR393206:RXR393271 RNV393206:RNV393271 RDZ393206:RDZ393271 QUD393206:QUD393271 QKH393206:QKH393271 QAL393206:QAL393271 PQP393206:PQP393271 PGT393206:PGT393271 OWX393206:OWX393271 ONB393206:ONB393271 ODF393206:ODF393271 NTJ393206:NTJ393271 NJN393206:NJN393271 MZR393206:MZR393271 MPV393206:MPV393271 MFZ393206:MFZ393271 LWD393206:LWD393271 LMH393206:LMH393271 LCL393206:LCL393271 KSP393206:KSP393271 KIT393206:KIT393271 JYX393206:JYX393271 JPB393206:JPB393271 JFF393206:JFF393271 IVJ393206:IVJ393271 ILN393206:ILN393271 IBR393206:IBR393271 HRV393206:HRV393271 HHZ393206:HHZ393271 GYD393206:GYD393271 GOH393206:GOH393271 GEL393206:GEL393271 FUP393206:FUP393271 FKT393206:FKT393271 FAX393206:FAX393271 ERB393206:ERB393271 EHF393206:EHF393271 DXJ393206:DXJ393271 DNN393206:DNN393271 DDR393206:DDR393271 CTV393206:CTV393271 CJZ393206:CJZ393271 CAD393206:CAD393271 BQH393206:BQH393271 BGL393206:BGL393271 AWP393206:AWP393271 AMT393206:AMT393271 ACX393206:ACX393271 TB393206:TB393271 JF393206:JF393271 J393206:J393271 WVR327670:WVR327735 WLV327670:WLV327735 WBZ327670:WBZ327735 VSD327670:VSD327735 VIH327670:VIH327735 UYL327670:UYL327735 UOP327670:UOP327735 UET327670:UET327735 TUX327670:TUX327735 TLB327670:TLB327735 TBF327670:TBF327735 SRJ327670:SRJ327735 SHN327670:SHN327735 RXR327670:RXR327735 RNV327670:RNV327735 RDZ327670:RDZ327735 QUD327670:QUD327735 QKH327670:QKH327735 QAL327670:QAL327735 PQP327670:PQP327735 PGT327670:PGT327735 OWX327670:OWX327735 ONB327670:ONB327735 ODF327670:ODF327735 NTJ327670:NTJ327735 NJN327670:NJN327735 MZR327670:MZR327735 MPV327670:MPV327735 MFZ327670:MFZ327735 LWD327670:LWD327735 LMH327670:LMH327735 LCL327670:LCL327735 KSP327670:KSP327735 KIT327670:KIT327735 JYX327670:JYX327735 JPB327670:JPB327735 JFF327670:JFF327735 IVJ327670:IVJ327735 ILN327670:ILN327735 IBR327670:IBR327735 HRV327670:HRV327735 HHZ327670:HHZ327735 GYD327670:GYD327735 GOH327670:GOH327735 GEL327670:GEL327735 FUP327670:FUP327735 FKT327670:FKT327735 FAX327670:FAX327735 ERB327670:ERB327735 EHF327670:EHF327735 DXJ327670:DXJ327735 DNN327670:DNN327735 DDR327670:DDR327735 CTV327670:CTV327735 CJZ327670:CJZ327735 CAD327670:CAD327735 BQH327670:BQH327735 BGL327670:BGL327735 AWP327670:AWP327735 AMT327670:AMT327735 ACX327670:ACX327735 TB327670:TB327735 JF327670:JF327735 J327670:J327735 WVR262134:WVR262199 WLV262134:WLV262199 WBZ262134:WBZ262199 VSD262134:VSD262199 VIH262134:VIH262199 UYL262134:UYL262199 UOP262134:UOP262199 UET262134:UET262199 TUX262134:TUX262199 TLB262134:TLB262199 TBF262134:TBF262199 SRJ262134:SRJ262199 SHN262134:SHN262199 RXR262134:RXR262199 RNV262134:RNV262199 RDZ262134:RDZ262199 QUD262134:QUD262199 QKH262134:QKH262199 QAL262134:QAL262199 PQP262134:PQP262199 PGT262134:PGT262199 OWX262134:OWX262199 ONB262134:ONB262199 ODF262134:ODF262199 NTJ262134:NTJ262199 NJN262134:NJN262199 MZR262134:MZR262199 MPV262134:MPV262199 MFZ262134:MFZ262199 LWD262134:LWD262199 LMH262134:LMH262199 LCL262134:LCL262199 KSP262134:KSP262199 KIT262134:KIT262199 JYX262134:JYX262199 JPB262134:JPB262199 JFF262134:JFF262199 IVJ262134:IVJ262199 ILN262134:ILN262199 IBR262134:IBR262199 HRV262134:HRV262199 HHZ262134:HHZ262199 GYD262134:GYD262199 GOH262134:GOH262199 GEL262134:GEL262199 FUP262134:FUP262199 FKT262134:FKT262199 FAX262134:FAX262199 ERB262134:ERB262199 EHF262134:EHF262199 DXJ262134:DXJ262199 DNN262134:DNN262199 DDR262134:DDR262199 CTV262134:CTV262199 CJZ262134:CJZ262199 CAD262134:CAD262199 BQH262134:BQH262199 BGL262134:BGL262199 AWP262134:AWP262199 AMT262134:AMT262199 ACX262134:ACX262199 TB262134:TB262199 JF262134:JF262199 J262134:J262199 WVR196598:WVR196663 WLV196598:WLV196663 WBZ196598:WBZ196663 VSD196598:VSD196663 VIH196598:VIH196663 UYL196598:UYL196663 UOP196598:UOP196663 UET196598:UET196663 TUX196598:TUX196663 TLB196598:TLB196663 TBF196598:TBF196663 SRJ196598:SRJ196663 SHN196598:SHN196663 RXR196598:RXR196663 RNV196598:RNV196663 RDZ196598:RDZ196663 QUD196598:QUD196663 QKH196598:QKH196663 QAL196598:QAL196663 PQP196598:PQP196663 PGT196598:PGT196663 OWX196598:OWX196663 ONB196598:ONB196663 ODF196598:ODF196663 NTJ196598:NTJ196663 NJN196598:NJN196663 MZR196598:MZR196663 MPV196598:MPV196663 MFZ196598:MFZ196663 LWD196598:LWD196663 LMH196598:LMH196663 LCL196598:LCL196663 KSP196598:KSP196663 KIT196598:KIT196663 JYX196598:JYX196663 JPB196598:JPB196663 JFF196598:JFF196663 IVJ196598:IVJ196663 ILN196598:ILN196663 IBR196598:IBR196663 HRV196598:HRV196663 HHZ196598:HHZ196663 GYD196598:GYD196663 GOH196598:GOH196663 GEL196598:GEL196663 FUP196598:FUP196663 FKT196598:FKT196663 FAX196598:FAX196663 ERB196598:ERB196663 EHF196598:EHF196663 DXJ196598:DXJ196663 DNN196598:DNN196663 DDR196598:DDR196663 CTV196598:CTV196663 CJZ196598:CJZ196663 CAD196598:CAD196663 BQH196598:BQH196663 BGL196598:BGL196663 AWP196598:AWP196663 AMT196598:AMT196663 ACX196598:ACX196663 TB196598:TB196663 JF196598:JF196663 J196598:J196663 WVR131062:WVR131127 WLV131062:WLV131127 WBZ131062:WBZ131127 VSD131062:VSD131127 VIH131062:VIH131127 UYL131062:UYL131127 UOP131062:UOP131127 UET131062:UET131127 TUX131062:TUX131127 TLB131062:TLB131127 TBF131062:TBF131127 SRJ131062:SRJ131127 SHN131062:SHN131127 RXR131062:RXR131127 RNV131062:RNV131127 RDZ131062:RDZ131127 QUD131062:QUD131127 QKH131062:QKH131127 QAL131062:QAL131127 PQP131062:PQP131127 PGT131062:PGT131127 OWX131062:OWX131127 ONB131062:ONB131127 ODF131062:ODF131127 NTJ131062:NTJ131127 NJN131062:NJN131127 MZR131062:MZR131127 MPV131062:MPV131127 MFZ131062:MFZ131127 LWD131062:LWD131127 LMH131062:LMH131127 LCL131062:LCL131127 KSP131062:KSP131127 KIT131062:KIT131127 JYX131062:JYX131127 JPB131062:JPB131127 JFF131062:JFF131127 IVJ131062:IVJ131127 ILN131062:ILN131127 IBR131062:IBR131127 HRV131062:HRV131127 HHZ131062:HHZ131127 GYD131062:GYD131127 GOH131062:GOH131127 GEL131062:GEL131127 FUP131062:FUP131127 FKT131062:FKT131127 FAX131062:FAX131127 ERB131062:ERB131127 EHF131062:EHF131127 DXJ131062:DXJ131127 DNN131062:DNN131127 DDR131062:DDR131127 CTV131062:CTV131127 CJZ131062:CJZ131127 CAD131062:CAD131127 BQH131062:BQH131127 BGL131062:BGL131127 AWP131062:AWP131127 AMT131062:AMT131127 ACX131062:ACX131127 TB131062:TB131127 JF131062:JF131127 J131062:J131127 WVR65526:WVR65591 WLV65526:WLV65591 WBZ65526:WBZ65591 VSD65526:VSD65591 VIH65526:VIH65591 UYL65526:UYL65591 UOP65526:UOP65591 UET65526:UET65591 TUX65526:TUX65591 TLB65526:TLB65591 TBF65526:TBF65591 SRJ65526:SRJ65591 SHN65526:SHN65591 RXR65526:RXR65591 RNV65526:RNV65591 RDZ65526:RDZ65591 QUD65526:QUD65591 QKH65526:QKH65591 QAL65526:QAL65591 PQP65526:PQP65591 PGT65526:PGT65591 OWX65526:OWX65591 ONB65526:ONB65591 ODF65526:ODF65591 NTJ65526:NTJ65591 NJN65526:NJN65591 MZR65526:MZR65591 MPV65526:MPV65591 MFZ65526:MFZ65591 LWD65526:LWD65591 LMH65526:LMH65591 LCL65526:LCL65591 KSP65526:KSP65591 KIT65526:KIT65591 JYX65526:JYX65591 JPB65526:JPB65591 JFF65526:JFF65591 IVJ65526:IVJ65591 ILN65526:ILN65591 IBR65526:IBR65591 HRV65526:HRV65591 HHZ65526:HHZ65591 GYD65526:GYD65591 GOH65526:GOH65591 GEL65526:GEL65591 FUP65526:FUP65591 FKT65526:FKT65591 FAX65526:FAX65591 ERB65526:ERB65591 EHF65526:EHF65591 DXJ65526:DXJ65591 DNN65526:DNN65591 DDR65526:DDR65591 CTV65526:CTV65591 CJZ65526:CJZ65591 CAD65526:CAD65591 BQH65526:BQH65591 BGL65526:BGL65591 AWP65526:AWP65591 AMT65526:AMT65591 ACX65526:ACX65591 TB65526:TB65591 JF65526:JF65591 J47:J488 JF2:JF61 WVR2:WVR61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formula1>$AP$2:$AP$27</formula1>
    </dataValidation>
    <dataValidation type="list" allowBlank="1" showInputMessage="1" showErrorMessage="1" sqref="WVP983030:WVP983095 H65526:H65591 WLT983030:WLT983095 WBX983030:WBX983095 VSB983030:VSB983095 VIF983030:VIF983095 UYJ983030:UYJ983095 UON983030:UON983095 UER983030:UER983095 TUV983030:TUV983095 TKZ983030:TKZ983095 TBD983030:TBD983095 SRH983030:SRH983095 SHL983030:SHL983095 RXP983030:RXP983095 RNT983030:RNT983095 RDX983030:RDX983095 QUB983030:QUB983095 QKF983030:QKF983095 QAJ983030:QAJ983095 PQN983030:PQN983095 PGR983030:PGR983095 OWV983030:OWV983095 OMZ983030:OMZ983095 ODD983030:ODD983095 NTH983030:NTH983095 NJL983030:NJL983095 MZP983030:MZP983095 MPT983030:MPT983095 MFX983030:MFX983095 LWB983030:LWB983095 LMF983030:LMF983095 LCJ983030:LCJ983095 KSN983030:KSN983095 KIR983030:KIR983095 JYV983030:JYV983095 JOZ983030:JOZ983095 JFD983030:JFD983095 IVH983030:IVH983095 ILL983030:ILL983095 IBP983030:IBP983095 HRT983030:HRT983095 HHX983030:HHX983095 GYB983030:GYB983095 GOF983030:GOF983095 GEJ983030:GEJ983095 FUN983030:FUN983095 FKR983030:FKR983095 FAV983030:FAV983095 EQZ983030:EQZ983095 EHD983030:EHD983095 DXH983030:DXH983095 DNL983030:DNL983095 DDP983030:DDP983095 CTT983030:CTT983095 CJX983030:CJX983095 CAB983030:CAB983095 BQF983030:BQF983095 BGJ983030:BGJ983095 AWN983030:AWN983095 AMR983030:AMR983095 ACV983030:ACV983095 SZ983030:SZ983095 JD983030:JD983095 H983030:H983095 WVP917494:WVP917559 WLT917494:WLT917559 WBX917494:WBX917559 VSB917494:VSB917559 VIF917494:VIF917559 UYJ917494:UYJ917559 UON917494:UON917559 UER917494:UER917559 TUV917494:TUV917559 TKZ917494:TKZ917559 TBD917494:TBD917559 SRH917494:SRH917559 SHL917494:SHL917559 RXP917494:RXP917559 RNT917494:RNT917559 RDX917494:RDX917559 QUB917494:QUB917559 QKF917494:QKF917559 QAJ917494:QAJ917559 PQN917494:PQN917559 PGR917494:PGR917559 OWV917494:OWV917559 OMZ917494:OMZ917559 ODD917494:ODD917559 NTH917494:NTH917559 NJL917494:NJL917559 MZP917494:MZP917559 MPT917494:MPT917559 MFX917494:MFX917559 LWB917494:LWB917559 LMF917494:LMF917559 LCJ917494:LCJ917559 KSN917494:KSN917559 KIR917494:KIR917559 JYV917494:JYV917559 JOZ917494:JOZ917559 JFD917494:JFD917559 IVH917494:IVH917559 ILL917494:ILL917559 IBP917494:IBP917559 HRT917494:HRT917559 HHX917494:HHX917559 GYB917494:GYB917559 GOF917494:GOF917559 GEJ917494:GEJ917559 FUN917494:FUN917559 FKR917494:FKR917559 FAV917494:FAV917559 EQZ917494:EQZ917559 EHD917494:EHD917559 DXH917494:DXH917559 DNL917494:DNL917559 DDP917494:DDP917559 CTT917494:CTT917559 CJX917494:CJX917559 CAB917494:CAB917559 BQF917494:BQF917559 BGJ917494:BGJ917559 AWN917494:AWN917559 AMR917494:AMR917559 ACV917494:ACV917559 SZ917494:SZ917559 JD917494:JD917559 H917494:H917559 WVP851958:WVP852023 WLT851958:WLT852023 WBX851958:WBX852023 VSB851958:VSB852023 VIF851958:VIF852023 UYJ851958:UYJ852023 UON851958:UON852023 UER851958:UER852023 TUV851958:TUV852023 TKZ851958:TKZ852023 TBD851958:TBD852023 SRH851958:SRH852023 SHL851958:SHL852023 RXP851958:RXP852023 RNT851958:RNT852023 RDX851958:RDX852023 QUB851958:QUB852023 QKF851958:QKF852023 QAJ851958:QAJ852023 PQN851958:PQN852023 PGR851958:PGR852023 OWV851958:OWV852023 OMZ851958:OMZ852023 ODD851958:ODD852023 NTH851958:NTH852023 NJL851958:NJL852023 MZP851958:MZP852023 MPT851958:MPT852023 MFX851958:MFX852023 LWB851958:LWB852023 LMF851958:LMF852023 LCJ851958:LCJ852023 KSN851958:KSN852023 KIR851958:KIR852023 JYV851958:JYV852023 JOZ851958:JOZ852023 JFD851958:JFD852023 IVH851958:IVH852023 ILL851958:ILL852023 IBP851958:IBP852023 HRT851958:HRT852023 HHX851958:HHX852023 GYB851958:GYB852023 GOF851958:GOF852023 GEJ851958:GEJ852023 FUN851958:FUN852023 FKR851958:FKR852023 FAV851958:FAV852023 EQZ851958:EQZ852023 EHD851958:EHD852023 DXH851958:DXH852023 DNL851958:DNL852023 DDP851958:DDP852023 CTT851958:CTT852023 CJX851958:CJX852023 CAB851958:CAB852023 BQF851958:BQF852023 BGJ851958:BGJ852023 AWN851958:AWN852023 AMR851958:AMR852023 ACV851958:ACV852023 SZ851958:SZ852023 JD851958:JD852023 H851958:H852023 WVP786422:WVP786487 WLT786422:WLT786487 WBX786422:WBX786487 VSB786422:VSB786487 VIF786422:VIF786487 UYJ786422:UYJ786487 UON786422:UON786487 UER786422:UER786487 TUV786422:TUV786487 TKZ786422:TKZ786487 TBD786422:TBD786487 SRH786422:SRH786487 SHL786422:SHL786487 RXP786422:RXP786487 RNT786422:RNT786487 RDX786422:RDX786487 QUB786422:QUB786487 QKF786422:QKF786487 QAJ786422:QAJ786487 PQN786422:PQN786487 PGR786422:PGR786487 OWV786422:OWV786487 OMZ786422:OMZ786487 ODD786422:ODD786487 NTH786422:NTH786487 NJL786422:NJL786487 MZP786422:MZP786487 MPT786422:MPT786487 MFX786422:MFX786487 LWB786422:LWB786487 LMF786422:LMF786487 LCJ786422:LCJ786487 KSN786422:KSN786487 KIR786422:KIR786487 JYV786422:JYV786487 JOZ786422:JOZ786487 JFD786422:JFD786487 IVH786422:IVH786487 ILL786422:ILL786487 IBP786422:IBP786487 HRT786422:HRT786487 HHX786422:HHX786487 GYB786422:GYB786487 GOF786422:GOF786487 GEJ786422:GEJ786487 FUN786422:FUN786487 FKR786422:FKR786487 FAV786422:FAV786487 EQZ786422:EQZ786487 EHD786422:EHD786487 DXH786422:DXH786487 DNL786422:DNL786487 DDP786422:DDP786487 CTT786422:CTT786487 CJX786422:CJX786487 CAB786422:CAB786487 BQF786422:BQF786487 BGJ786422:BGJ786487 AWN786422:AWN786487 AMR786422:AMR786487 ACV786422:ACV786487 SZ786422:SZ786487 JD786422:JD786487 H786422:H786487 WVP720886:WVP720951 WLT720886:WLT720951 WBX720886:WBX720951 VSB720886:VSB720951 VIF720886:VIF720951 UYJ720886:UYJ720951 UON720886:UON720951 UER720886:UER720951 TUV720886:TUV720951 TKZ720886:TKZ720951 TBD720886:TBD720951 SRH720886:SRH720951 SHL720886:SHL720951 RXP720886:RXP720951 RNT720886:RNT720951 RDX720886:RDX720951 QUB720886:QUB720951 QKF720886:QKF720951 QAJ720886:QAJ720951 PQN720886:PQN720951 PGR720886:PGR720951 OWV720886:OWV720951 OMZ720886:OMZ720951 ODD720886:ODD720951 NTH720886:NTH720951 NJL720886:NJL720951 MZP720886:MZP720951 MPT720886:MPT720951 MFX720886:MFX720951 LWB720886:LWB720951 LMF720886:LMF720951 LCJ720886:LCJ720951 KSN720886:KSN720951 KIR720886:KIR720951 JYV720886:JYV720951 JOZ720886:JOZ720951 JFD720886:JFD720951 IVH720886:IVH720951 ILL720886:ILL720951 IBP720886:IBP720951 HRT720886:HRT720951 HHX720886:HHX720951 GYB720886:GYB720951 GOF720886:GOF720951 GEJ720886:GEJ720951 FUN720886:FUN720951 FKR720886:FKR720951 FAV720886:FAV720951 EQZ720886:EQZ720951 EHD720886:EHD720951 DXH720886:DXH720951 DNL720886:DNL720951 DDP720886:DDP720951 CTT720886:CTT720951 CJX720886:CJX720951 CAB720886:CAB720951 BQF720886:BQF720951 BGJ720886:BGJ720951 AWN720886:AWN720951 AMR720886:AMR720951 ACV720886:ACV720951 SZ720886:SZ720951 JD720886:JD720951 H720886:H720951 WVP655350:WVP655415 WLT655350:WLT655415 WBX655350:WBX655415 VSB655350:VSB655415 VIF655350:VIF655415 UYJ655350:UYJ655415 UON655350:UON655415 UER655350:UER655415 TUV655350:TUV655415 TKZ655350:TKZ655415 TBD655350:TBD655415 SRH655350:SRH655415 SHL655350:SHL655415 RXP655350:RXP655415 RNT655350:RNT655415 RDX655350:RDX655415 QUB655350:QUB655415 QKF655350:QKF655415 QAJ655350:QAJ655415 PQN655350:PQN655415 PGR655350:PGR655415 OWV655350:OWV655415 OMZ655350:OMZ655415 ODD655350:ODD655415 NTH655350:NTH655415 NJL655350:NJL655415 MZP655350:MZP655415 MPT655350:MPT655415 MFX655350:MFX655415 LWB655350:LWB655415 LMF655350:LMF655415 LCJ655350:LCJ655415 KSN655350:KSN655415 KIR655350:KIR655415 JYV655350:JYV655415 JOZ655350:JOZ655415 JFD655350:JFD655415 IVH655350:IVH655415 ILL655350:ILL655415 IBP655350:IBP655415 HRT655350:HRT655415 HHX655350:HHX655415 GYB655350:GYB655415 GOF655350:GOF655415 GEJ655350:GEJ655415 FUN655350:FUN655415 FKR655350:FKR655415 FAV655350:FAV655415 EQZ655350:EQZ655415 EHD655350:EHD655415 DXH655350:DXH655415 DNL655350:DNL655415 DDP655350:DDP655415 CTT655350:CTT655415 CJX655350:CJX655415 CAB655350:CAB655415 BQF655350:BQF655415 BGJ655350:BGJ655415 AWN655350:AWN655415 AMR655350:AMR655415 ACV655350:ACV655415 SZ655350:SZ655415 JD655350:JD655415 H655350:H655415 WVP589814:WVP589879 WLT589814:WLT589879 WBX589814:WBX589879 VSB589814:VSB589879 VIF589814:VIF589879 UYJ589814:UYJ589879 UON589814:UON589879 UER589814:UER589879 TUV589814:TUV589879 TKZ589814:TKZ589879 TBD589814:TBD589879 SRH589814:SRH589879 SHL589814:SHL589879 RXP589814:RXP589879 RNT589814:RNT589879 RDX589814:RDX589879 QUB589814:QUB589879 QKF589814:QKF589879 QAJ589814:QAJ589879 PQN589814:PQN589879 PGR589814:PGR589879 OWV589814:OWV589879 OMZ589814:OMZ589879 ODD589814:ODD589879 NTH589814:NTH589879 NJL589814:NJL589879 MZP589814:MZP589879 MPT589814:MPT589879 MFX589814:MFX589879 LWB589814:LWB589879 LMF589814:LMF589879 LCJ589814:LCJ589879 KSN589814:KSN589879 KIR589814:KIR589879 JYV589814:JYV589879 JOZ589814:JOZ589879 JFD589814:JFD589879 IVH589814:IVH589879 ILL589814:ILL589879 IBP589814:IBP589879 HRT589814:HRT589879 HHX589814:HHX589879 GYB589814:GYB589879 GOF589814:GOF589879 GEJ589814:GEJ589879 FUN589814:FUN589879 FKR589814:FKR589879 FAV589814:FAV589879 EQZ589814:EQZ589879 EHD589814:EHD589879 DXH589814:DXH589879 DNL589814:DNL589879 DDP589814:DDP589879 CTT589814:CTT589879 CJX589814:CJX589879 CAB589814:CAB589879 BQF589814:BQF589879 BGJ589814:BGJ589879 AWN589814:AWN589879 AMR589814:AMR589879 ACV589814:ACV589879 SZ589814:SZ589879 JD589814:JD589879 H589814:H589879 WVP524278:WVP524343 WLT524278:WLT524343 WBX524278:WBX524343 VSB524278:VSB524343 VIF524278:VIF524343 UYJ524278:UYJ524343 UON524278:UON524343 UER524278:UER524343 TUV524278:TUV524343 TKZ524278:TKZ524343 TBD524278:TBD524343 SRH524278:SRH524343 SHL524278:SHL524343 RXP524278:RXP524343 RNT524278:RNT524343 RDX524278:RDX524343 QUB524278:QUB524343 QKF524278:QKF524343 QAJ524278:QAJ524343 PQN524278:PQN524343 PGR524278:PGR524343 OWV524278:OWV524343 OMZ524278:OMZ524343 ODD524278:ODD524343 NTH524278:NTH524343 NJL524278:NJL524343 MZP524278:MZP524343 MPT524278:MPT524343 MFX524278:MFX524343 LWB524278:LWB524343 LMF524278:LMF524343 LCJ524278:LCJ524343 KSN524278:KSN524343 KIR524278:KIR524343 JYV524278:JYV524343 JOZ524278:JOZ524343 JFD524278:JFD524343 IVH524278:IVH524343 ILL524278:ILL524343 IBP524278:IBP524343 HRT524278:HRT524343 HHX524278:HHX524343 GYB524278:GYB524343 GOF524278:GOF524343 GEJ524278:GEJ524343 FUN524278:FUN524343 FKR524278:FKR524343 FAV524278:FAV524343 EQZ524278:EQZ524343 EHD524278:EHD524343 DXH524278:DXH524343 DNL524278:DNL524343 DDP524278:DDP524343 CTT524278:CTT524343 CJX524278:CJX524343 CAB524278:CAB524343 BQF524278:BQF524343 BGJ524278:BGJ524343 AWN524278:AWN524343 AMR524278:AMR524343 ACV524278:ACV524343 SZ524278:SZ524343 JD524278:JD524343 H524278:H524343 WVP458742:WVP458807 WLT458742:WLT458807 WBX458742:WBX458807 VSB458742:VSB458807 VIF458742:VIF458807 UYJ458742:UYJ458807 UON458742:UON458807 UER458742:UER458807 TUV458742:TUV458807 TKZ458742:TKZ458807 TBD458742:TBD458807 SRH458742:SRH458807 SHL458742:SHL458807 RXP458742:RXP458807 RNT458742:RNT458807 RDX458742:RDX458807 QUB458742:QUB458807 QKF458742:QKF458807 QAJ458742:QAJ458807 PQN458742:PQN458807 PGR458742:PGR458807 OWV458742:OWV458807 OMZ458742:OMZ458807 ODD458742:ODD458807 NTH458742:NTH458807 NJL458742:NJL458807 MZP458742:MZP458807 MPT458742:MPT458807 MFX458742:MFX458807 LWB458742:LWB458807 LMF458742:LMF458807 LCJ458742:LCJ458807 KSN458742:KSN458807 KIR458742:KIR458807 JYV458742:JYV458807 JOZ458742:JOZ458807 JFD458742:JFD458807 IVH458742:IVH458807 ILL458742:ILL458807 IBP458742:IBP458807 HRT458742:HRT458807 HHX458742:HHX458807 GYB458742:GYB458807 GOF458742:GOF458807 GEJ458742:GEJ458807 FUN458742:FUN458807 FKR458742:FKR458807 FAV458742:FAV458807 EQZ458742:EQZ458807 EHD458742:EHD458807 DXH458742:DXH458807 DNL458742:DNL458807 DDP458742:DDP458807 CTT458742:CTT458807 CJX458742:CJX458807 CAB458742:CAB458807 BQF458742:BQF458807 BGJ458742:BGJ458807 AWN458742:AWN458807 AMR458742:AMR458807 ACV458742:ACV458807 SZ458742:SZ458807 JD458742:JD458807 H458742:H458807 WVP393206:WVP393271 WLT393206:WLT393271 WBX393206:WBX393271 VSB393206:VSB393271 VIF393206:VIF393271 UYJ393206:UYJ393271 UON393206:UON393271 UER393206:UER393271 TUV393206:TUV393271 TKZ393206:TKZ393271 TBD393206:TBD393271 SRH393206:SRH393271 SHL393206:SHL393271 RXP393206:RXP393271 RNT393206:RNT393271 RDX393206:RDX393271 QUB393206:QUB393271 QKF393206:QKF393271 QAJ393206:QAJ393271 PQN393206:PQN393271 PGR393206:PGR393271 OWV393206:OWV393271 OMZ393206:OMZ393271 ODD393206:ODD393271 NTH393206:NTH393271 NJL393206:NJL393271 MZP393206:MZP393271 MPT393206:MPT393271 MFX393206:MFX393271 LWB393206:LWB393271 LMF393206:LMF393271 LCJ393206:LCJ393271 KSN393206:KSN393271 KIR393206:KIR393271 JYV393206:JYV393271 JOZ393206:JOZ393271 JFD393206:JFD393271 IVH393206:IVH393271 ILL393206:ILL393271 IBP393206:IBP393271 HRT393206:HRT393271 HHX393206:HHX393271 GYB393206:GYB393271 GOF393206:GOF393271 GEJ393206:GEJ393271 FUN393206:FUN393271 FKR393206:FKR393271 FAV393206:FAV393271 EQZ393206:EQZ393271 EHD393206:EHD393271 DXH393206:DXH393271 DNL393206:DNL393271 DDP393206:DDP393271 CTT393206:CTT393271 CJX393206:CJX393271 CAB393206:CAB393271 BQF393206:BQF393271 BGJ393206:BGJ393271 AWN393206:AWN393271 AMR393206:AMR393271 ACV393206:ACV393271 SZ393206:SZ393271 JD393206:JD393271 H393206:H393271 WVP327670:WVP327735 WLT327670:WLT327735 WBX327670:WBX327735 VSB327670:VSB327735 VIF327670:VIF327735 UYJ327670:UYJ327735 UON327670:UON327735 UER327670:UER327735 TUV327670:TUV327735 TKZ327670:TKZ327735 TBD327670:TBD327735 SRH327670:SRH327735 SHL327670:SHL327735 RXP327670:RXP327735 RNT327670:RNT327735 RDX327670:RDX327735 QUB327670:QUB327735 QKF327670:QKF327735 QAJ327670:QAJ327735 PQN327670:PQN327735 PGR327670:PGR327735 OWV327670:OWV327735 OMZ327670:OMZ327735 ODD327670:ODD327735 NTH327670:NTH327735 NJL327670:NJL327735 MZP327670:MZP327735 MPT327670:MPT327735 MFX327670:MFX327735 LWB327670:LWB327735 LMF327670:LMF327735 LCJ327670:LCJ327735 KSN327670:KSN327735 KIR327670:KIR327735 JYV327670:JYV327735 JOZ327670:JOZ327735 JFD327670:JFD327735 IVH327670:IVH327735 ILL327670:ILL327735 IBP327670:IBP327735 HRT327670:HRT327735 HHX327670:HHX327735 GYB327670:GYB327735 GOF327670:GOF327735 GEJ327670:GEJ327735 FUN327670:FUN327735 FKR327670:FKR327735 FAV327670:FAV327735 EQZ327670:EQZ327735 EHD327670:EHD327735 DXH327670:DXH327735 DNL327670:DNL327735 DDP327670:DDP327735 CTT327670:CTT327735 CJX327670:CJX327735 CAB327670:CAB327735 BQF327670:BQF327735 BGJ327670:BGJ327735 AWN327670:AWN327735 AMR327670:AMR327735 ACV327670:ACV327735 SZ327670:SZ327735 JD327670:JD327735 H327670:H327735 WVP262134:WVP262199 WLT262134:WLT262199 WBX262134:WBX262199 VSB262134:VSB262199 VIF262134:VIF262199 UYJ262134:UYJ262199 UON262134:UON262199 UER262134:UER262199 TUV262134:TUV262199 TKZ262134:TKZ262199 TBD262134:TBD262199 SRH262134:SRH262199 SHL262134:SHL262199 RXP262134:RXP262199 RNT262134:RNT262199 RDX262134:RDX262199 QUB262134:QUB262199 QKF262134:QKF262199 QAJ262134:QAJ262199 PQN262134:PQN262199 PGR262134:PGR262199 OWV262134:OWV262199 OMZ262134:OMZ262199 ODD262134:ODD262199 NTH262134:NTH262199 NJL262134:NJL262199 MZP262134:MZP262199 MPT262134:MPT262199 MFX262134:MFX262199 LWB262134:LWB262199 LMF262134:LMF262199 LCJ262134:LCJ262199 KSN262134:KSN262199 KIR262134:KIR262199 JYV262134:JYV262199 JOZ262134:JOZ262199 JFD262134:JFD262199 IVH262134:IVH262199 ILL262134:ILL262199 IBP262134:IBP262199 HRT262134:HRT262199 HHX262134:HHX262199 GYB262134:GYB262199 GOF262134:GOF262199 GEJ262134:GEJ262199 FUN262134:FUN262199 FKR262134:FKR262199 FAV262134:FAV262199 EQZ262134:EQZ262199 EHD262134:EHD262199 DXH262134:DXH262199 DNL262134:DNL262199 DDP262134:DDP262199 CTT262134:CTT262199 CJX262134:CJX262199 CAB262134:CAB262199 BQF262134:BQF262199 BGJ262134:BGJ262199 AWN262134:AWN262199 AMR262134:AMR262199 ACV262134:ACV262199 SZ262134:SZ262199 JD262134:JD262199 H262134:H262199 WVP196598:WVP196663 WLT196598:WLT196663 WBX196598:WBX196663 VSB196598:VSB196663 VIF196598:VIF196663 UYJ196598:UYJ196663 UON196598:UON196663 UER196598:UER196663 TUV196598:TUV196663 TKZ196598:TKZ196663 TBD196598:TBD196663 SRH196598:SRH196663 SHL196598:SHL196663 RXP196598:RXP196663 RNT196598:RNT196663 RDX196598:RDX196663 QUB196598:QUB196663 QKF196598:QKF196663 QAJ196598:QAJ196663 PQN196598:PQN196663 PGR196598:PGR196663 OWV196598:OWV196663 OMZ196598:OMZ196663 ODD196598:ODD196663 NTH196598:NTH196663 NJL196598:NJL196663 MZP196598:MZP196663 MPT196598:MPT196663 MFX196598:MFX196663 LWB196598:LWB196663 LMF196598:LMF196663 LCJ196598:LCJ196663 KSN196598:KSN196663 KIR196598:KIR196663 JYV196598:JYV196663 JOZ196598:JOZ196663 JFD196598:JFD196663 IVH196598:IVH196663 ILL196598:ILL196663 IBP196598:IBP196663 HRT196598:HRT196663 HHX196598:HHX196663 GYB196598:GYB196663 GOF196598:GOF196663 GEJ196598:GEJ196663 FUN196598:FUN196663 FKR196598:FKR196663 FAV196598:FAV196663 EQZ196598:EQZ196663 EHD196598:EHD196663 DXH196598:DXH196663 DNL196598:DNL196663 DDP196598:DDP196663 CTT196598:CTT196663 CJX196598:CJX196663 CAB196598:CAB196663 BQF196598:BQF196663 BGJ196598:BGJ196663 AWN196598:AWN196663 AMR196598:AMR196663 ACV196598:ACV196663 SZ196598:SZ196663 JD196598:JD196663 H196598:H196663 WVP131062:WVP131127 WLT131062:WLT131127 WBX131062:WBX131127 VSB131062:VSB131127 VIF131062:VIF131127 UYJ131062:UYJ131127 UON131062:UON131127 UER131062:UER131127 TUV131062:TUV131127 TKZ131062:TKZ131127 TBD131062:TBD131127 SRH131062:SRH131127 SHL131062:SHL131127 RXP131062:RXP131127 RNT131062:RNT131127 RDX131062:RDX131127 QUB131062:QUB131127 QKF131062:QKF131127 QAJ131062:QAJ131127 PQN131062:PQN131127 PGR131062:PGR131127 OWV131062:OWV131127 OMZ131062:OMZ131127 ODD131062:ODD131127 NTH131062:NTH131127 NJL131062:NJL131127 MZP131062:MZP131127 MPT131062:MPT131127 MFX131062:MFX131127 LWB131062:LWB131127 LMF131062:LMF131127 LCJ131062:LCJ131127 KSN131062:KSN131127 KIR131062:KIR131127 JYV131062:JYV131127 JOZ131062:JOZ131127 JFD131062:JFD131127 IVH131062:IVH131127 ILL131062:ILL131127 IBP131062:IBP131127 HRT131062:HRT131127 HHX131062:HHX131127 GYB131062:GYB131127 GOF131062:GOF131127 GEJ131062:GEJ131127 FUN131062:FUN131127 FKR131062:FKR131127 FAV131062:FAV131127 EQZ131062:EQZ131127 EHD131062:EHD131127 DXH131062:DXH131127 DNL131062:DNL131127 DDP131062:DDP131127 CTT131062:CTT131127 CJX131062:CJX131127 CAB131062:CAB131127 BQF131062:BQF131127 BGJ131062:BGJ131127 AWN131062:AWN131127 AMR131062:AMR131127 ACV131062:ACV131127 SZ131062:SZ131127 JD131062:JD131127 H131062:H131127 WVP65526:WVP65591 WLT65526:WLT65591 WBX65526:WBX65591 VSB65526:VSB65591 VIF65526:VIF65591 UYJ65526:UYJ65591 UON65526:UON65591 UER65526:UER65591 TUV65526:TUV65591 TKZ65526:TKZ65591 TBD65526:TBD65591 SRH65526:SRH65591 SHL65526:SHL65591 RXP65526:RXP65591 RNT65526:RNT65591 RDX65526:RDX65591 QUB65526:QUB65591 QKF65526:QKF65591 QAJ65526:QAJ65591 PQN65526:PQN65591 PGR65526:PGR65591 OWV65526:OWV65591 OMZ65526:OMZ65591 ODD65526:ODD65591 NTH65526:NTH65591 NJL65526:NJL65591 MZP65526:MZP65591 MPT65526:MPT65591 MFX65526:MFX65591 LWB65526:LWB65591 LMF65526:LMF65591 LCJ65526:LCJ65591 KSN65526:KSN65591 KIR65526:KIR65591 JYV65526:JYV65591 JOZ65526:JOZ65591 JFD65526:JFD65591 IVH65526:IVH65591 ILL65526:ILL65591 IBP65526:IBP65591 HRT65526:HRT65591 HHX65526:HHX65591 GYB65526:GYB65591 GOF65526:GOF65591 GEJ65526:GEJ65591 FUN65526:FUN65591 FKR65526:FKR65591 FAV65526:FAV65591 EQZ65526:EQZ65591 EHD65526:EHD65591 DXH65526:DXH65591 DNL65526:DNL65591 DDP65526:DDP65591 CTT65526:CTT65591 CJX65526:CJX65591 CAB65526:CAB65591 BQF65526:BQF65591 BGJ65526:BGJ65591 AWN65526:AWN65591 AMR65526:AMR65591 ACV65526:ACV65591 SZ65526:SZ65591 JD65526:JD65591 JD2:JD61 WVP2:WVP61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formula1>$AL$4:$AL$12</formula1>
    </dataValidation>
    <dataValidation type="list" allowBlank="1" showInputMessage="1" showErrorMessage="1" sqref="A64351:A64416 IW64351:IW64416 WLM983030:WLM983101 WBQ983030:WBQ983101 VRU983030:VRU983101 VHY983030:VHY983101 UYC983030:UYC983101 UOG983030:UOG983101 UEK983030:UEK983101 TUO983030:TUO983101 TKS983030:TKS983101 TAW983030:TAW983101 SRA983030:SRA983101 SHE983030:SHE983101 RXI983030:RXI983101 RNM983030:RNM983101 RDQ983030:RDQ983101 QTU983030:QTU983101 QJY983030:QJY983101 QAC983030:QAC983101 PQG983030:PQG983101 PGK983030:PGK983101 OWO983030:OWO983101 OMS983030:OMS983101 OCW983030:OCW983101 NTA983030:NTA983101 NJE983030:NJE983101 MZI983030:MZI983101 MPM983030:MPM983101 MFQ983030:MFQ983101 LVU983030:LVU983101 LLY983030:LLY983101 LCC983030:LCC983101 KSG983030:KSG983101 KIK983030:KIK983101 JYO983030:JYO983101 JOS983030:JOS983101 JEW983030:JEW983101 IVA983030:IVA983101 ILE983030:ILE983101 IBI983030:IBI983101 HRM983030:HRM983101 HHQ983030:HHQ983101 GXU983030:GXU983101 GNY983030:GNY983101 GEC983030:GEC983101 FUG983030:FUG983101 FKK983030:FKK983101 FAO983030:FAO983101 EQS983030:EQS983101 EGW983030:EGW983101 DXA983030:DXA983101 DNE983030:DNE983101 DDI983030:DDI983101 CTM983030:CTM983101 CJQ983030:CJQ983101 BZU983030:BZU983101 BPY983030:BPY983101 BGC983030:BGC983101 AWG983030:AWG983101 AMK983030:AMK983101 ACO983030:ACO983101 SS983030:SS983101 IW983030:IW983101 A983030:A983101 WVI917494:WVI917565 WLM917494:WLM917565 WBQ917494:WBQ917565 VRU917494:VRU917565 VHY917494:VHY917565 UYC917494:UYC917565 UOG917494:UOG917565 UEK917494:UEK917565 TUO917494:TUO917565 TKS917494:TKS917565 TAW917494:TAW917565 SRA917494:SRA917565 SHE917494:SHE917565 RXI917494:RXI917565 RNM917494:RNM917565 RDQ917494:RDQ917565 QTU917494:QTU917565 QJY917494:QJY917565 QAC917494:QAC917565 PQG917494:PQG917565 PGK917494:PGK917565 OWO917494:OWO917565 OMS917494:OMS917565 OCW917494:OCW917565 NTA917494:NTA917565 NJE917494:NJE917565 MZI917494:MZI917565 MPM917494:MPM917565 MFQ917494:MFQ917565 LVU917494:LVU917565 LLY917494:LLY917565 LCC917494:LCC917565 KSG917494:KSG917565 KIK917494:KIK917565 JYO917494:JYO917565 JOS917494:JOS917565 JEW917494:JEW917565 IVA917494:IVA917565 ILE917494:ILE917565 IBI917494:IBI917565 HRM917494:HRM917565 HHQ917494:HHQ917565 GXU917494:GXU917565 GNY917494:GNY917565 GEC917494:GEC917565 FUG917494:FUG917565 FKK917494:FKK917565 FAO917494:FAO917565 EQS917494:EQS917565 EGW917494:EGW917565 DXA917494:DXA917565 DNE917494:DNE917565 DDI917494:DDI917565 CTM917494:CTM917565 CJQ917494:CJQ917565 BZU917494:BZU917565 BPY917494:BPY917565 BGC917494:BGC917565 AWG917494:AWG917565 AMK917494:AMK917565 ACO917494:ACO917565 SS917494:SS917565 IW917494:IW917565 A917494:A917565 WVI851958:WVI852029 WLM851958:WLM852029 WBQ851958:WBQ852029 VRU851958:VRU852029 VHY851958:VHY852029 UYC851958:UYC852029 UOG851958:UOG852029 UEK851958:UEK852029 TUO851958:TUO852029 TKS851958:TKS852029 TAW851958:TAW852029 SRA851958:SRA852029 SHE851958:SHE852029 RXI851958:RXI852029 RNM851958:RNM852029 RDQ851958:RDQ852029 QTU851958:QTU852029 QJY851958:QJY852029 QAC851958:QAC852029 PQG851958:PQG852029 PGK851958:PGK852029 OWO851958:OWO852029 OMS851958:OMS852029 OCW851958:OCW852029 NTA851958:NTA852029 NJE851958:NJE852029 MZI851958:MZI852029 MPM851958:MPM852029 MFQ851958:MFQ852029 LVU851958:LVU852029 LLY851958:LLY852029 LCC851958:LCC852029 KSG851958:KSG852029 KIK851958:KIK852029 JYO851958:JYO852029 JOS851958:JOS852029 JEW851958:JEW852029 IVA851958:IVA852029 ILE851958:ILE852029 IBI851958:IBI852029 HRM851958:HRM852029 HHQ851958:HHQ852029 GXU851958:GXU852029 GNY851958:GNY852029 GEC851958:GEC852029 FUG851958:FUG852029 FKK851958:FKK852029 FAO851958:FAO852029 EQS851958:EQS852029 EGW851958:EGW852029 DXA851958:DXA852029 DNE851958:DNE852029 DDI851958:DDI852029 CTM851958:CTM852029 CJQ851958:CJQ852029 BZU851958:BZU852029 BPY851958:BPY852029 BGC851958:BGC852029 AWG851958:AWG852029 AMK851958:AMK852029 ACO851958:ACO852029 SS851958:SS852029 IW851958:IW852029 A851958:A852029 WVI786422:WVI786493 WLM786422:WLM786493 WBQ786422:WBQ786493 VRU786422:VRU786493 VHY786422:VHY786493 UYC786422:UYC786493 UOG786422:UOG786493 UEK786422:UEK786493 TUO786422:TUO786493 TKS786422:TKS786493 TAW786422:TAW786493 SRA786422:SRA786493 SHE786422:SHE786493 RXI786422:RXI786493 RNM786422:RNM786493 RDQ786422:RDQ786493 QTU786422:QTU786493 QJY786422:QJY786493 QAC786422:QAC786493 PQG786422:PQG786493 PGK786422:PGK786493 OWO786422:OWO786493 OMS786422:OMS786493 OCW786422:OCW786493 NTA786422:NTA786493 NJE786422:NJE786493 MZI786422:MZI786493 MPM786422:MPM786493 MFQ786422:MFQ786493 LVU786422:LVU786493 LLY786422:LLY786493 LCC786422:LCC786493 KSG786422:KSG786493 KIK786422:KIK786493 JYO786422:JYO786493 JOS786422:JOS786493 JEW786422:JEW786493 IVA786422:IVA786493 ILE786422:ILE786493 IBI786422:IBI786493 HRM786422:HRM786493 HHQ786422:HHQ786493 GXU786422:GXU786493 GNY786422:GNY786493 GEC786422:GEC786493 FUG786422:FUG786493 FKK786422:FKK786493 FAO786422:FAO786493 EQS786422:EQS786493 EGW786422:EGW786493 DXA786422:DXA786493 DNE786422:DNE786493 DDI786422:DDI786493 CTM786422:CTM786493 CJQ786422:CJQ786493 BZU786422:BZU786493 BPY786422:BPY786493 BGC786422:BGC786493 AWG786422:AWG786493 AMK786422:AMK786493 ACO786422:ACO786493 SS786422:SS786493 IW786422:IW786493 A786422:A786493 WVI720886:WVI720957 WLM720886:WLM720957 WBQ720886:WBQ720957 VRU720886:VRU720957 VHY720886:VHY720957 UYC720886:UYC720957 UOG720886:UOG720957 UEK720886:UEK720957 TUO720886:TUO720957 TKS720886:TKS720957 TAW720886:TAW720957 SRA720886:SRA720957 SHE720886:SHE720957 RXI720886:RXI720957 RNM720886:RNM720957 RDQ720886:RDQ720957 QTU720886:QTU720957 QJY720886:QJY720957 QAC720886:QAC720957 PQG720886:PQG720957 PGK720886:PGK720957 OWO720886:OWO720957 OMS720886:OMS720957 OCW720886:OCW720957 NTA720886:NTA720957 NJE720886:NJE720957 MZI720886:MZI720957 MPM720886:MPM720957 MFQ720886:MFQ720957 LVU720886:LVU720957 LLY720886:LLY720957 LCC720886:LCC720957 KSG720886:KSG720957 KIK720886:KIK720957 JYO720886:JYO720957 JOS720886:JOS720957 JEW720886:JEW720957 IVA720886:IVA720957 ILE720886:ILE720957 IBI720886:IBI720957 HRM720886:HRM720957 HHQ720886:HHQ720957 GXU720886:GXU720957 GNY720886:GNY720957 GEC720886:GEC720957 FUG720886:FUG720957 FKK720886:FKK720957 FAO720886:FAO720957 EQS720886:EQS720957 EGW720886:EGW720957 DXA720886:DXA720957 DNE720886:DNE720957 DDI720886:DDI720957 CTM720886:CTM720957 CJQ720886:CJQ720957 BZU720886:BZU720957 BPY720886:BPY720957 BGC720886:BGC720957 AWG720886:AWG720957 AMK720886:AMK720957 ACO720886:ACO720957 SS720886:SS720957 IW720886:IW720957 A720886:A720957 WVI655350:WVI655421 WLM655350:WLM655421 WBQ655350:WBQ655421 VRU655350:VRU655421 VHY655350:VHY655421 UYC655350:UYC655421 UOG655350:UOG655421 UEK655350:UEK655421 TUO655350:TUO655421 TKS655350:TKS655421 TAW655350:TAW655421 SRA655350:SRA655421 SHE655350:SHE655421 RXI655350:RXI655421 RNM655350:RNM655421 RDQ655350:RDQ655421 QTU655350:QTU655421 QJY655350:QJY655421 QAC655350:QAC655421 PQG655350:PQG655421 PGK655350:PGK655421 OWO655350:OWO655421 OMS655350:OMS655421 OCW655350:OCW655421 NTA655350:NTA655421 NJE655350:NJE655421 MZI655350:MZI655421 MPM655350:MPM655421 MFQ655350:MFQ655421 LVU655350:LVU655421 LLY655350:LLY655421 LCC655350:LCC655421 KSG655350:KSG655421 KIK655350:KIK655421 JYO655350:JYO655421 JOS655350:JOS655421 JEW655350:JEW655421 IVA655350:IVA655421 ILE655350:ILE655421 IBI655350:IBI655421 HRM655350:HRM655421 HHQ655350:HHQ655421 GXU655350:GXU655421 GNY655350:GNY655421 GEC655350:GEC655421 FUG655350:FUG655421 FKK655350:FKK655421 FAO655350:FAO655421 EQS655350:EQS655421 EGW655350:EGW655421 DXA655350:DXA655421 DNE655350:DNE655421 DDI655350:DDI655421 CTM655350:CTM655421 CJQ655350:CJQ655421 BZU655350:BZU655421 BPY655350:BPY655421 BGC655350:BGC655421 AWG655350:AWG655421 AMK655350:AMK655421 ACO655350:ACO655421 SS655350:SS655421 IW655350:IW655421 A655350:A655421 WVI589814:WVI589885 WLM589814:WLM589885 WBQ589814:WBQ589885 VRU589814:VRU589885 VHY589814:VHY589885 UYC589814:UYC589885 UOG589814:UOG589885 UEK589814:UEK589885 TUO589814:TUO589885 TKS589814:TKS589885 TAW589814:TAW589885 SRA589814:SRA589885 SHE589814:SHE589885 RXI589814:RXI589885 RNM589814:RNM589885 RDQ589814:RDQ589885 QTU589814:QTU589885 QJY589814:QJY589885 QAC589814:QAC589885 PQG589814:PQG589885 PGK589814:PGK589885 OWO589814:OWO589885 OMS589814:OMS589885 OCW589814:OCW589885 NTA589814:NTA589885 NJE589814:NJE589885 MZI589814:MZI589885 MPM589814:MPM589885 MFQ589814:MFQ589885 LVU589814:LVU589885 LLY589814:LLY589885 LCC589814:LCC589885 KSG589814:KSG589885 KIK589814:KIK589885 JYO589814:JYO589885 JOS589814:JOS589885 JEW589814:JEW589885 IVA589814:IVA589885 ILE589814:ILE589885 IBI589814:IBI589885 HRM589814:HRM589885 HHQ589814:HHQ589885 GXU589814:GXU589885 GNY589814:GNY589885 GEC589814:GEC589885 FUG589814:FUG589885 FKK589814:FKK589885 FAO589814:FAO589885 EQS589814:EQS589885 EGW589814:EGW589885 DXA589814:DXA589885 DNE589814:DNE589885 DDI589814:DDI589885 CTM589814:CTM589885 CJQ589814:CJQ589885 BZU589814:BZU589885 BPY589814:BPY589885 BGC589814:BGC589885 AWG589814:AWG589885 AMK589814:AMK589885 ACO589814:ACO589885 SS589814:SS589885 IW589814:IW589885 A589814:A589885 WVI524278:WVI524349 WLM524278:WLM524349 WBQ524278:WBQ524349 VRU524278:VRU524349 VHY524278:VHY524349 UYC524278:UYC524349 UOG524278:UOG524349 UEK524278:UEK524349 TUO524278:TUO524349 TKS524278:TKS524349 TAW524278:TAW524349 SRA524278:SRA524349 SHE524278:SHE524349 RXI524278:RXI524349 RNM524278:RNM524349 RDQ524278:RDQ524349 QTU524278:QTU524349 QJY524278:QJY524349 QAC524278:QAC524349 PQG524278:PQG524349 PGK524278:PGK524349 OWO524278:OWO524349 OMS524278:OMS524349 OCW524278:OCW524349 NTA524278:NTA524349 NJE524278:NJE524349 MZI524278:MZI524349 MPM524278:MPM524349 MFQ524278:MFQ524349 LVU524278:LVU524349 LLY524278:LLY524349 LCC524278:LCC524349 KSG524278:KSG524349 KIK524278:KIK524349 JYO524278:JYO524349 JOS524278:JOS524349 JEW524278:JEW524349 IVA524278:IVA524349 ILE524278:ILE524349 IBI524278:IBI524349 HRM524278:HRM524349 HHQ524278:HHQ524349 GXU524278:GXU524349 GNY524278:GNY524349 GEC524278:GEC524349 FUG524278:FUG524349 FKK524278:FKK524349 FAO524278:FAO524349 EQS524278:EQS524349 EGW524278:EGW524349 DXA524278:DXA524349 DNE524278:DNE524349 DDI524278:DDI524349 CTM524278:CTM524349 CJQ524278:CJQ524349 BZU524278:BZU524349 BPY524278:BPY524349 BGC524278:BGC524349 AWG524278:AWG524349 AMK524278:AMK524349 ACO524278:ACO524349 SS524278:SS524349 IW524278:IW524349 A524278:A524349 WVI458742:WVI458813 WLM458742:WLM458813 WBQ458742:WBQ458813 VRU458742:VRU458813 VHY458742:VHY458813 UYC458742:UYC458813 UOG458742:UOG458813 UEK458742:UEK458813 TUO458742:TUO458813 TKS458742:TKS458813 TAW458742:TAW458813 SRA458742:SRA458813 SHE458742:SHE458813 RXI458742:RXI458813 RNM458742:RNM458813 RDQ458742:RDQ458813 QTU458742:QTU458813 QJY458742:QJY458813 QAC458742:QAC458813 PQG458742:PQG458813 PGK458742:PGK458813 OWO458742:OWO458813 OMS458742:OMS458813 OCW458742:OCW458813 NTA458742:NTA458813 NJE458742:NJE458813 MZI458742:MZI458813 MPM458742:MPM458813 MFQ458742:MFQ458813 LVU458742:LVU458813 LLY458742:LLY458813 LCC458742:LCC458813 KSG458742:KSG458813 KIK458742:KIK458813 JYO458742:JYO458813 JOS458742:JOS458813 JEW458742:JEW458813 IVA458742:IVA458813 ILE458742:ILE458813 IBI458742:IBI458813 HRM458742:HRM458813 HHQ458742:HHQ458813 GXU458742:GXU458813 GNY458742:GNY458813 GEC458742:GEC458813 FUG458742:FUG458813 FKK458742:FKK458813 FAO458742:FAO458813 EQS458742:EQS458813 EGW458742:EGW458813 DXA458742:DXA458813 DNE458742:DNE458813 DDI458742:DDI458813 CTM458742:CTM458813 CJQ458742:CJQ458813 BZU458742:BZU458813 BPY458742:BPY458813 BGC458742:BGC458813 AWG458742:AWG458813 AMK458742:AMK458813 ACO458742:ACO458813 SS458742:SS458813 IW458742:IW458813 A458742:A458813 WVI393206:WVI393277 WLM393206:WLM393277 WBQ393206:WBQ393277 VRU393206:VRU393277 VHY393206:VHY393277 UYC393206:UYC393277 UOG393206:UOG393277 UEK393206:UEK393277 TUO393206:TUO393277 TKS393206:TKS393277 TAW393206:TAW393277 SRA393206:SRA393277 SHE393206:SHE393277 RXI393206:RXI393277 RNM393206:RNM393277 RDQ393206:RDQ393277 QTU393206:QTU393277 QJY393206:QJY393277 QAC393206:QAC393277 PQG393206:PQG393277 PGK393206:PGK393277 OWO393206:OWO393277 OMS393206:OMS393277 OCW393206:OCW393277 NTA393206:NTA393277 NJE393206:NJE393277 MZI393206:MZI393277 MPM393206:MPM393277 MFQ393206:MFQ393277 LVU393206:LVU393277 LLY393206:LLY393277 LCC393206:LCC393277 KSG393206:KSG393277 KIK393206:KIK393277 JYO393206:JYO393277 JOS393206:JOS393277 JEW393206:JEW393277 IVA393206:IVA393277 ILE393206:ILE393277 IBI393206:IBI393277 HRM393206:HRM393277 HHQ393206:HHQ393277 GXU393206:GXU393277 GNY393206:GNY393277 GEC393206:GEC393277 FUG393206:FUG393277 FKK393206:FKK393277 FAO393206:FAO393277 EQS393206:EQS393277 EGW393206:EGW393277 DXA393206:DXA393277 DNE393206:DNE393277 DDI393206:DDI393277 CTM393206:CTM393277 CJQ393206:CJQ393277 BZU393206:BZU393277 BPY393206:BPY393277 BGC393206:BGC393277 AWG393206:AWG393277 AMK393206:AMK393277 ACO393206:ACO393277 SS393206:SS393277 IW393206:IW393277 A393206:A393277 WVI327670:WVI327741 WLM327670:WLM327741 WBQ327670:WBQ327741 VRU327670:VRU327741 VHY327670:VHY327741 UYC327670:UYC327741 UOG327670:UOG327741 UEK327670:UEK327741 TUO327670:TUO327741 TKS327670:TKS327741 TAW327670:TAW327741 SRA327670:SRA327741 SHE327670:SHE327741 RXI327670:RXI327741 RNM327670:RNM327741 RDQ327670:RDQ327741 QTU327670:QTU327741 QJY327670:QJY327741 QAC327670:QAC327741 PQG327670:PQG327741 PGK327670:PGK327741 OWO327670:OWO327741 OMS327670:OMS327741 OCW327670:OCW327741 NTA327670:NTA327741 NJE327670:NJE327741 MZI327670:MZI327741 MPM327670:MPM327741 MFQ327670:MFQ327741 LVU327670:LVU327741 LLY327670:LLY327741 LCC327670:LCC327741 KSG327670:KSG327741 KIK327670:KIK327741 JYO327670:JYO327741 JOS327670:JOS327741 JEW327670:JEW327741 IVA327670:IVA327741 ILE327670:ILE327741 IBI327670:IBI327741 HRM327670:HRM327741 HHQ327670:HHQ327741 GXU327670:GXU327741 GNY327670:GNY327741 GEC327670:GEC327741 FUG327670:FUG327741 FKK327670:FKK327741 FAO327670:FAO327741 EQS327670:EQS327741 EGW327670:EGW327741 DXA327670:DXA327741 DNE327670:DNE327741 DDI327670:DDI327741 CTM327670:CTM327741 CJQ327670:CJQ327741 BZU327670:BZU327741 BPY327670:BPY327741 BGC327670:BGC327741 AWG327670:AWG327741 AMK327670:AMK327741 ACO327670:ACO327741 SS327670:SS327741 IW327670:IW327741 A327670:A327741 WVI262134:WVI262205 WLM262134:WLM262205 WBQ262134:WBQ262205 VRU262134:VRU262205 VHY262134:VHY262205 UYC262134:UYC262205 UOG262134:UOG262205 UEK262134:UEK262205 TUO262134:TUO262205 TKS262134:TKS262205 TAW262134:TAW262205 SRA262134:SRA262205 SHE262134:SHE262205 RXI262134:RXI262205 RNM262134:RNM262205 RDQ262134:RDQ262205 QTU262134:QTU262205 QJY262134:QJY262205 QAC262134:QAC262205 PQG262134:PQG262205 PGK262134:PGK262205 OWO262134:OWO262205 OMS262134:OMS262205 OCW262134:OCW262205 NTA262134:NTA262205 NJE262134:NJE262205 MZI262134:MZI262205 MPM262134:MPM262205 MFQ262134:MFQ262205 LVU262134:LVU262205 LLY262134:LLY262205 LCC262134:LCC262205 KSG262134:KSG262205 KIK262134:KIK262205 JYO262134:JYO262205 JOS262134:JOS262205 JEW262134:JEW262205 IVA262134:IVA262205 ILE262134:ILE262205 IBI262134:IBI262205 HRM262134:HRM262205 HHQ262134:HHQ262205 GXU262134:GXU262205 GNY262134:GNY262205 GEC262134:GEC262205 FUG262134:FUG262205 FKK262134:FKK262205 FAO262134:FAO262205 EQS262134:EQS262205 EGW262134:EGW262205 DXA262134:DXA262205 DNE262134:DNE262205 DDI262134:DDI262205 CTM262134:CTM262205 CJQ262134:CJQ262205 BZU262134:BZU262205 BPY262134:BPY262205 BGC262134:BGC262205 AWG262134:AWG262205 AMK262134:AMK262205 ACO262134:ACO262205 SS262134:SS262205 IW262134:IW262205 A262134:A262205 WVI196598:WVI196669 WLM196598:WLM196669 WBQ196598:WBQ196669 VRU196598:VRU196669 VHY196598:VHY196669 UYC196598:UYC196669 UOG196598:UOG196669 UEK196598:UEK196669 TUO196598:TUO196669 TKS196598:TKS196669 TAW196598:TAW196669 SRA196598:SRA196669 SHE196598:SHE196669 RXI196598:RXI196669 RNM196598:RNM196669 RDQ196598:RDQ196669 QTU196598:QTU196669 QJY196598:QJY196669 QAC196598:QAC196669 PQG196598:PQG196669 PGK196598:PGK196669 OWO196598:OWO196669 OMS196598:OMS196669 OCW196598:OCW196669 NTA196598:NTA196669 NJE196598:NJE196669 MZI196598:MZI196669 MPM196598:MPM196669 MFQ196598:MFQ196669 LVU196598:LVU196669 LLY196598:LLY196669 LCC196598:LCC196669 KSG196598:KSG196669 KIK196598:KIK196669 JYO196598:JYO196669 JOS196598:JOS196669 JEW196598:JEW196669 IVA196598:IVA196669 ILE196598:ILE196669 IBI196598:IBI196669 HRM196598:HRM196669 HHQ196598:HHQ196669 GXU196598:GXU196669 GNY196598:GNY196669 GEC196598:GEC196669 FUG196598:FUG196669 FKK196598:FKK196669 FAO196598:FAO196669 EQS196598:EQS196669 EGW196598:EGW196669 DXA196598:DXA196669 DNE196598:DNE196669 DDI196598:DDI196669 CTM196598:CTM196669 CJQ196598:CJQ196669 BZU196598:BZU196669 BPY196598:BPY196669 BGC196598:BGC196669 AWG196598:AWG196669 AMK196598:AMK196669 ACO196598:ACO196669 SS196598:SS196669 IW196598:IW196669 A196598:A196669 WVI131062:WVI131133 WLM131062:WLM131133 WBQ131062:WBQ131133 VRU131062:VRU131133 VHY131062:VHY131133 UYC131062:UYC131133 UOG131062:UOG131133 UEK131062:UEK131133 TUO131062:TUO131133 TKS131062:TKS131133 TAW131062:TAW131133 SRA131062:SRA131133 SHE131062:SHE131133 RXI131062:RXI131133 RNM131062:RNM131133 RDQ131062:RDQ131133 QTU131062:QTU131133 QJY131062:QJY131133 QAC131062:QAC131133 PQG131062:PQG131133 PGK131062:PGK131133 OWO131062:OWO131133 OMS131062:OMS131133 OCW131062:OCW131133 NTA131062:NTA131133 NJE131062:NJE131133 MZI131062:MZI131133 MPM131062:MPM131133 MFQ131062:MFQ131133 LVU131062:LVU131133 LLY131062:LLY131133 LCC131062:LCC131133 KSG131062:KSG131133 KIK131062:KIK131133 JYO131062:JYO131133 JOS131062:JOS131133 JEW131062:JEW131133 IVA131062:IVA131133 ILE131062:ILE131133 IBI131062:IBI131133 HRM131062:HRM131133 HHQ131062:HHQ131133 GXU131062:GXU131133 GNY131062:GNY131133 GEC131062:GEC131133 FUG131062:FUG131133 FKK131062:FKK131133 FAO131062:FAO131133 EQS131062:EQS131133 EGW131062:EGW131133 DXA131062:DXA131133 DNE131062:DNE131133 DDI131062:DDI131133 CTM131062:CTM131133 CJQ131062:CJQ131133 BZU131062:BZU131133 BPY131062:BPY131133 BGC131062:BGC131133 AWG131062:AWG131133 AMK131062:AMK131133 ACO131062:ACO131133 SS131062:SS131133 IW131062:IW131133 A131062:A131133 WVI65526:WVI65597 WLM65526:WLM65597 WBQ65526:WBQ65597 VRU65526:VRU65597 VHY65526:VHY65597 UYC65526:UYC65597 UOG65526:UOG65597 UEK65526:UEK65597 TUO65526:TUO65597 TKS65526:TKS65597 TAW65526:TAW65597 SRA65526:SRA65597 SHE65526:SHE65597 RXI65526:RXI65597 RNM65526:RNM65597 RDQ65526:RDQ65597 QTU65526:QTU65597 QJY65526:QJY65597 QAC65526:QAC65597 PQG65526:PQG65597 PGK65526:PGK65597 OWO65526:OWO65597 OMS65526:OMS65597 OCW65526:OCW65597 NTA65526:NTA65597 NJE65526:NJE65597 MZI65526:MZI65597 MPM65526:MPM65597 MFQ65526:MFQ65597 LVU65526:LVU65597 LLY65526:LLY65597 LCC65526:LCC65597 KSG65526:KSG65597 KIK65526:KIK65597 JYO65526:JYO65597 JOS65526:JOS65597 JEW65526:JEW65597 IVA65526:IVA65597 ILE65526:ILE65597 IBI65526:IBI65597 HRM65526:HRM65597 HHQ65526:HHQ65597 GXU65526:GXU65597 GNY65526:GNY65597 GEC65526:GEC65597 FUG65526:FUG65597 FKK65526:FKK65597 FAO65526:FAO65597 EQS65526:EQS65597 EGW65526:EGW65597 DXA65526:DXA65597 DNE65526:DNE65597 DDI65526:DDI65597 CTM65526:CTM65597 CJQ65526:CJQ65597 BZU65526:BZU65597 BPY65526:BPY65597 BGC65526:BGC65597 AWG65526:AWG65597 AMK65526:AMK65597 ACO65526:ACO65597 SS65526:SS65597 IW65526:IW65597 A65526:A65597 WVI983030:WVI983101 WVI1047391:WVI1047456 WLM1047391:WLM1047456 WBQ1047391:WBQ1047456 VRU1047391:VRU1047456 VHY1047391:VHY1047456 UYC1047391:UYC1047456 UOG1047391:UOG1047456 UEK1047391:UEK1047456 TUO1047391:TUO1047456 TKS1047391:TKS1047456 TAW1047391:TAW1047456 SRA1047391:SRA1047456 SHE1047391:SHE1047456 RXI1047391:RXI1047456 RNM1047391:RNM1047456 RDQ1047391:RDQ1047456 QTU1047391:QTU1047456 QJY1047391:QJY1047456 QAC1047391:QAC1047456 PQG1047391:PQG1047456 PGK1047391:PGK1047456 OWO1047391:OWO1047456 OMS1047391:OMS1047456 OCW1047391:OCW1047456 NTA1047391:NTA1047456 NJE1047391:NJE1047456 MZI1047391:MZI1047456 MPM1047391:MPM1047456 MFQ1047391:MFQ1047456 LVU1047391:LVU1047456 LLY1047391:LLY1047456 LCC1047391:LCC1047456 KSG1047391:KSG1047456 KIK1047391:KIK1047456 JYO1047391:JYO1047456 JOS1047391:JOS1047456 JEW1047391:JEW1047456 IVA1047391:IVA1047456 ILE1047391:ILE1047456 IBI1047391:IBI1047456 HRM1047391:HRM1047456 HHQ1047391:HHQ1047456 GXU1047391:GXU1047456 GNY1047391:GNY1047456 GEC1047391:GEC1047456 FUG1047391:FUG1047456 FKK1047391:FKK1047456 FAO1047391:FAO1047456 EQS1047391:EQS1047456 EGW1047391:EGW1047456 DXA1047391:DXA1047456 DNE1047391:DNE1047456 DDI1047391:DDI1047456 CTM1047391:CTM1047456 CJQ1047391:CJQ1047456 BZU1047391:BZU1047456 BPY1047391:BPY1047456 BGC1047391:BGC1047456 AWG1047391:AWG1047456 AMK1047391:AMK1047456 ACO1047391:ACO1047456 SS1047391:SS1047456 IW1047391:IW1047456 A1047391:A1047456 WVI981855:WVI981920 WLM981855:WLM981920 WBQ981855:WBQ981920 VRU981855:VRU981920 VHY981855:VHY981920 UYC981855:UYC981920 UOG981855:UOG981920 UEK981855:UEK981920 TUO981855:TUO981920 TKS981855:TKS981920 TAW981855:TAW981920 SRA981855:SRA981920 SHE981855:SHE981920 RXI981855:RXI981920 RNM981855:RNM981920 RDQ981855:RDQ981920 QTU981855:QTU981920 QJY981855:QJY981920 QAC981855:QAC981920 PQG981855:PQG981920 PGK981855:PGK981920 OWO981855:OWO981920 OMS981855:OMS981920 OCW981855:OCW981920 NTA981855:NTA981920 NJE981855:NJE981920 MZI981855:MZI981920 MPM981855:MPM981920 MFQ981855:MFQ981920 LVU981855:LVU981920 LLY981855:LLY981920 LCC981855:LCC981920 KSG981855:KSG981920 KIK981855:KIK981920 JYO981855:JYO981920 JOS981855:JOS981920 JEW981855:JEW981920 IVA981855:IVA981920 ILE981855:ILE981920 IBI981855:IBI981920 HRM981855:HRM981920 HHQ981855:HHQ981920 GXU981855:GXU981920 GNY981855:GNY981920 GEC981855:GEC981920 FUG981855:FUG981920 FKK981855:FKK981920 FAO981855:FAO981920 EQS981855:EQS981920 EGW981855:EGW981920 DXA981855:DXA981920 DNE981855:DNE981920 DDI981855:DDI981920 CTM981855:CTM981920 CJQ981855:CJQ981920 BZU981855:BZU981920 BPY981855:BPY981920 BGC981855:BGC981920 AWG981855:AWG981920 AMK981855:AMK981920 ACO981855:ACO981920 SS981855:SS981920 IW981855:IW981920 A981855:A981920 WVI916319:WVI916384 WLM916319:WLM916384 WBQ916319:WBQ916384 VRU916319:VRU916384 VHY916319:VHY916384 UYC916319:UYC916384 UOG916319:UOG916384 UEK916319:UEK916384 TUO916319:TUO916384 TKS916319:TKS916384 TAW916319:TAW916384 SRA916319:SRA916384 SHE916319:SHE916384 RXI916319:RXI916384 RNM916319:RNM916384 RDQ916319:RDQ916384 QTU916319:QTU916384 QJY916319:QJY916384 QAC916319:QAC916384 PQG916319:PQG916384 PGK916319:PGK916384 OWO916319:OWO916384 OMS916319:OMS916384 OCW916319:OCW916384 NTA916319:NTA916384 NJE916319:NJE916384 MZI916319:MZI916384 MPM916319:MPM916384 MFQ916319:MFQ916384 LVU916319:LVU916384 LLY916319:LLY916384 LCC916319:LCC916384 KSG916319:KSG916384 KIK916319:KIK916384 JYO916319:JYO916384 JOS916319:JOS916384 JEW916319:JEW916384 IVA916319:IVA916384 ILE916319:ILE916384 IBI916319:IBI916384 HRM916319:HRM916384 HHQ916319:HHQ916384 GXU916319:GXU916384 GNY916319:GNY916384 GEC916319:GEC916384 FUG916319:FUG916384 FKK916319:FKK916384 FAO916319:FAO916384 EQS916319:EQS916384 EGW916319:EGW916384 DXA916319:DXA916384 DNE916319:DNE916384 DDI916319:DDI916384 CTM916319:CTM916384 CJQ916319:CJQ916384 BZU916319:BZU916384 BPY916319:BPY916384 BGC916319:BGC916384 AWG916319:AWG916384 AMK916319:AMK916384 ACO916319:ACO916384 SS916319:SS916384 IW916319:IW916384 A916319:A916384 WVI850783:WVI850848 WLM850783:WLM850848 WBQ850783:WBQ850848 VRU850783:VRU850848 VHY850783:VHY850848 UYC850783:UYC850848 UOG850783:UOG850848 UEK850783:UEK850848 TUO850783:TUO850848 TKS850783:TKS850848 TAW850783:TAW850848 SRA850783:SRA850848 SHE850783:SHE850848 RXI850783:RXI850848 RNM850783:RNM850848 RDQ850783:RDQ850848 QTU850783:QTU850848 QJY850783:QJY850848 QAC850783:QAC850848 PQG850783:PQG850848 PGK850783:PGK850848 OWO850783:OWO850848 OMS850783:OMS850848 OCW850783:OCW850848 NTA850783:NTA850848 NJE850783:NJE850848 MZI850783:MZI850848 MPM850783:MPM850848 MFQ850783:MFQ850848 LVU850783:LVU850848 LLY850783:LLY850848 LCC850783:LCC850848 KSG850783:KSG850848 KIK850783:KIK850848 JYO850783:JYO850848 JOS850783:JOS850848 JEW850783:JEW850848 IVA850783:IVA850848 ILE850783:ILE850848 IBI850783:IBI850848 HRM850783:HRM850848 HHQ850783:HHQ850848 GXU850783:GXU850848 GNY850783:GNY850848 GEC850783:GEC850848 FUG850783:FUG850848 FKK850783:FKK850848 FAO850783:FAO850848 EQS850783:EQS850848 EGW850783:EGW850848 DXA850783:DXA850848 DNE850783:DNE850848 DDI850783:DDI850848 CTM850783:CTM850848 CJQ850783:CJQ850848 BZU850783:BZU850848 BPY850783:BPY850848 BGC850783:BGC850848 AWG850783:AWG850848 AMK850783:AMK850848 ACO850783:ACO850848 SS850783:SS850848 IW850783:IW850848 A850783:A850848 WVI785247:WVI785312 WLM785247:WLM785312 WBQ785247:WBQ785312 VRU785247:VRU785312 VHY785247:VHY785312 UYC785247:UYC785312 UOG785247:UOG785312 UEK785247:UEK785312 TUO785247:TUO785312 TKS785247:TKS785312 TAW785247:TAW785312 SRA785247:SRA785312 SHE785247:SHE785312 RXI785247:RXI785312 RNM785247:RNM785312 RDQ785247:RDQ785312 QTU785247:QTU785312 QJY785247:QJY785312 QAC785247:QAC785312 PQG785247:PQG785312 PGK785247:PGK785312 OWO785247:OWO785312 OMS785247:OMS785312 OCW785247:OCW785312 NTA785247:NTA785312 NJE785247:NJE785312 MZI785247:MZI785312 MPM785247:MPM785312 MFQ785247:MFQ785312 LVU785247:LVU785312 LLY785247:LLY785312 LCC785247:LCC785312 KSG785247:KSG785312 KIK785247:KIK785312 JYO785247:JYO785312 JOS785247:JOS785312 JEW785247:JEW785312 IVA785247:IVA785312 ILE785247:ILE785312 IBI785247:IBI785312 HRM785247:HRM785312 HHQ785247:HHQ785312 GXU785247:GXU785312 GNY785247:GNY785312 GEC785247:GEC785312 FUG785247:FUG785312 FKK785247:FKK785312 FAO785247:FAO785312 EQS785247:EQS785312 EGW785247:EGW785312 DXA785247:DXA785312 DNE785247:DNE785312 DDI785247:DDI785312 CTM785247:CTM785312 CJQ785247:CJQ785312 BZU785247:BZU785312 BPY785247:BPY785312 BGC785247:BGC785312 AWG785247:AWG785312 AMK785247:AMK785312 ACO785247:ACO785312 SS785247:SS785312 IW785247:IW785312 A785247:A785312 WVI719711:WVI719776 WLM719711:WLM719776 WBQ719711:WBQ719776 VRU719711:VRU719776 VHY719711:VHY719776 UYC719711:UYC719776 UOG719711:UOG719776 UEK719711:UEK719776 TUO719711:TUO719776 TKS719711:TKS719776 TAW719711:TAW719776 SRA719711:SRA719776 SHE719711:SHE719776 RXI719711:RXI719776 RNM719711:RNM719776 RDQ719711:RDQ719776 QTU719711:QTU719776 QJY719711:QJY719776 QAC719711:QAC719776 PQG719711:PQG719776 PGK719711:PGK719776 OWO719711:OWO719776 OMS719711:OMS719776 OCW719711:OCW719776 NTA719711:NTA719776 NJE719711:NJE719776 MZI719711:MZI719776 MPM719711:MPM719776 MFQ719711:MFQ719776 LVU719711:LVU719776 LLY719711:LLY719776 LCC719711:LCC719776 KSG719711:KSG719776 KIK719711:KIK719776 JYO719711:JYO719776 JOS719711:JOS719776 JEW719711:JEW719776 IVA719711:IVA719776 ILE719711:ILE719776 IBI719711:IBI719776 HRM719711:HRM719776 HHQ719711:HHQ719776 GXU719711:GXU719776 GNY719711:GNY719776 GEC719711:GEC719776 FUG719711:FUG719776 FKK719711:FKK719776 FAO719711:FAO719776 EQS719711:EQS719776 EGW719711:EGW719776 DXA719711:DXA719776 DNE719711:DNE719776 DDI719711:DDI719776 CTM719711:CTM719776 CJQ719711:CJQ719776 BZU719711:BZU719776 BPY719711:BPY719776 BGC719711:BGC719776 AWG719711:AWG719776 AMK719711:AMK719776 ACO719711:ACO719776 SS719711:SS719776 IW719711:IW719776 A719711:A719776 WVI654175:WVI654240 WLM654175:WLM654240 WBQ654175:WBQ654240 VRU654175:VRU654240 VHY654175:VHY654240 UYC654175:UYC654240 UOG654175:UOG654240 UEK654175:UEK654240 TUO654175:TUO654240 TKS654175:TKS654240 TAW654175:TAW654240 SRA654175:SRA654240 SHE654175:SHE654240 RXI654175:RXI654240 RNM654175:RNM654240 RDQ654175:RDQ654240 QTU654175:QTU654240 QJY654175:QJY654240 QAC654175:QAC654240 PQG654175:PQG654240 PGK654175:PGK654240 OWO654175:OWO654240 OMS654175:OMS654240 OCW654175:OCW654240 NTA654175:NTA654240 NJE654175:NJE654240 MZI654175:MZI654240 MPM654175:MPM654240 MFQ654175:MFQ654240 LVU654175:LVU654240 LLY654175:LLY654240 LCC654175:LCC654240 KSG654175:KSG654240 KIK654175:KIK654240 JYO654175:JYO654240 JOS654175:JOS654240 JEW654175:JEW654240 IVA654175:IVA654240 ILE654175:ILE654240 IBI654175:IBI654240 HRM654175:HRM654240 HHQ654175:HHQ654240 GXU654175:GXU654240 GNY654175:GNY654240 GEC654175:GEC654240 FUG654175:FUG654240 FKK654175:FKK654240 FAO654175:FAO654240 EQS654175:EQS654240 EGW654175:EGW654240 DXA654175:DXA654240 DNE654175:DNE654240 DDI654175:DDI654240 CTM654175:CTM654240 CJQ654175:CJQ654240 BZU654175:BZU654240 BPY654175:BPY654240 BGC654175:BGC654240 AWG654175:AWG654240 AMK654175:AMK654240 ACO654175:ACO654240 SS654175:SS654240 IW654175:IW654240 A654175:A654240 WVI588639:WVI588704 WLM588639:WLM588704 WBQ588639:WBQ588704 VRU588639:VRU588704 VHY588639:VHY588704 UYC588639:UYC588704 UOG588639:UOG588704 UEK588639:UEK588704 TUO588639:TUO588704 TKS588639:TKS588704 TAW588639:TAW588704 SRA588639:SRA588704 SHE588639:SHE588704 RXI588639:RXI588704 RNM588639:RNM588704 RDQ588639:RDQ588704 QTU588639:QTU588704 QJY588639:QJY588704 QAC588639:QAC588704 PQG588639:PQG588704 PGK588639:PGK588704 OWO588639:OWO588704 OMS588639:OMS588704 OCW588639:OCW588704 NTA588639:NTA588704 NJE588639:NJE588704 MZI588639:MZI588704 MPM588639:MPM588704 MFQ588639:MFQ588704 LVU588639:LVU588704 LLY588639:LLY588704 LCC588639:LCC588704 KSG588639:KSG588704 KIK588639:KIK588704 JYO588639:JYO588704 JOS588639:JOS588704 JEW588639:JEW588704 IVA588639:IVA588704 ILE588639:ILE588704 IBI588639:IBI588704 HRM588639:HRM588704 HHQ588639:HHQ588704 GXU588639:GXU588704 GNY588639:GNY588704 GEC588639:GEC588704 FUG588639:FUG588704 FKK588639:FKK588704 FAO588639:FAO588704 EQS588639:EQS588704 EGW588639:EGW588704 DXA588639:DXA588704 DNE588639:DNE588704 DDI588639:DDI588704 CTM588639:CTM588704 CJQ588639:CJQ588704 BZU588639:BZU588704 BPY588639:BPY588704 BGC588639:BGC588704 AWG588639:AWG588704 AMK588639:AMK588704 ACO588639:ACO588704 SS588639:SS588704 IW588639:IW588704 A588639:A588704 WVI523103:WVI523168 WLM523103:WLM523168 WBQ523103:WBQ523168 VRU523103:VRU523168 VHY523103:VHY523168 UYC523103:UYC523168 UOG523103:UOG523168 UEK523103:UEK523168 TUO523103:TUO523168 TKS523103:TKS523168 TAW523103:TAW523168 SRA523103:SRA523168 SHE523103:SHE523168 RXI523103:RXI523168 RNM523103:RNM523168 RDQ523103:RDQ523168 QTU523103:QTU523168 QJY523103:QJY523168 QAC523103:QAC523168 PQG523103:PQG523168 PGK523103:PGK523168 OWO523103:OWO523168 OMS523103:OMS523168 OCW523103:OCW523168 NTA523103:NTA523168 NJE523103:NJE523168 MZI523103:MZI523168 MPM523103:MPM523168 MFQ523103:MFQ523168 LVU523103:LVU523168 LLY523103:LLY523168 LCC523103:LCC523168 KSG523103:KSG523168 KIK523103:KIK523168 JYO523103:JYO523168 JOS523103:JOS523168 JEW523103:JEW523168 IVA523103:IVA523168 ILE523103:ILE523168 IBI523103:IBI523168 HRM523103:HRM523168 HHQ523103:HHQ523168 GXU523103:GXU523168 GNY523103:GNY523168 GEC523103:GEC523168 FUG523103:FUG523168 FKK523103:FKK523168 FAO523103:FAO523168 EQS523103:EQS523168 EGW523103:EGW523168 DXA523103:DXA523168 DNE523103:DNE523168 DDI523103:DDI523168 CTM523103:CTM523168 CJQ523103:CJQ523168 BZU523103:BZU523168 BPY523103:BPY523168 BGC523103:BGC523168 AWG523103:AWG523168 AMK523103:AMK523168 ACO523103:ACO523168 SS523103:SS523168 IW523103:IW523168 A523103:A523168 WVI457567:WVI457632 WLM457567:WLM457632 WBQ457567:WBQ457632 VRU457567:VRU457632 VHY457567:VHY457632 UYC457567:UYC457632 UOG457567:UOG457632 UEK457567:UEK457632 TUO457567:TUO457632 TKS457567:TKS457632 TAW457567:TAW457632 SRA457567:SRA457632 SHE457567:SHE457632 RXI457567:RXI457632 RNM457567:RNM457632 RDQ457567:RDQ457632 QTU457567:QTU457632 QJY457567:QJY457632 QAC457567:QAC457632 PQG457567:PQG457632 PGK457567:PGK457632 OWO457567:OWO457632 OMS457567:OMS457632 OCW457567:OCW457632 NTA457567:NTA457632 NJE457567:NJE457632 MZI457567:MZI457632 MPM457567:MPM457632 MFQ457567:MFQ457632 LVU457567:LVU457632 LLY457567:LLY457632 LCC457567:LCC457632 KSG457567:KSG457632 KIK457567:KIK457632 JYO457567:JYO457632 JOS457567:JOS457632 JEW457567:JEW457632 IVA457567:IVA457632 ILE457567:ILE457632 IBI457567:IBI457632 HRM457567:HRM457632 HHQ457567:HHQ457632 GXU457567:GXU457632 GNY457567:GNY457632 GEC457567:GEC457632 FUG457567:FUG457632 FKK457567:FKK457632 FAO457567:FAO457632 EQS457567:EQS457632 EGW457567:EGW457632 DXA457567:DXA457632 DNE457567:DNE457632 DDI457567:DDI457632 CTM457567:CTM457632 CJQ457567:CJQ457632 BZU457567:BZU457632 BPY457567:BPY457632 BGC457567:BGC457632 AWG457567:AWG457632 AMK457567:AMK457632 ACO457567:ACO457632 SS457567:SS457632 IW457567:IW457632 A457567:A457632 WVI392031:WVI392096 WLM392031:WLM392096 WBQ392031:WBQ392096 VRU392031:VRU392096 VHY392031:VHY392096 UYC392031:UYC392096 UOG392031:UOG392096 UEK392031:UEK392096 TUO392031:TUO392096 TKS392031:TKS392096 TAW392031:TAW392096 SRA392031:SRA392096 SHE392031:SHE392096 RXI392031:RXI392096 RNM392031:RNM392096 RDQ392031:RDQ392096 QTU392031:QTU392096 QJY392031:QJY392096 QAC392031:QAC392096 PQG392031:PQG392096 PGK392031:PGK392096 OWO392031:OWO392096 OMS392031:OMS392096 OCW392031:OCW392096 NTA392031:NTA392096 NJE392031:NJE392096 MZI392031:MZI392096 MPM392031:MPM392096 MFQ392031:MFQ392096 LVU392031:LVU392096 LLY392031:LLY392096 LCC392031:LCC392096 KSG392031:KSG392096 KIK392031:KIK392096 JYO392031:JYO392096 JOS392031:JOS392096 JEW392031:JEW392096 IVA392031:IVA392096 ILE392031:ILE392096 IBI392031:IBI392096 HRM392031:HRM392096 HHQ392031:HHQ392096 GXU392031:GXU392096 GNY392031:GNY392096 GEC392031:GEC392096 FUG392031:FUG392096 FKK392031:FKK392096 FAO392031:FAO392096 EQS392031:EQS392096 EGW392031:EGW392096 DXA392031:DXA392096 DNE392031:DNE392096 DDI392031:DDI392096 CTM392031:CTM392096 CJQ392031:CJQ392096 BZU392031:BZU392096 BPY392031:BPY392096 BGC392031:BGC392096 AWG392031:AWG392096 AMK392031:AMK392096 ACO392031:ACO392096 SS392031:SS392096 IW392031:IW392096 A392031:A392096 WVI326495:WVI326560 WLM326495:WLM326560 WBQ326495:WBQ326560 VRU326495:VRU326560 VHY326495:VHY326560 UYC326495:UYC326560 UOG326495:UOG326560 UEK326495:UEK326560 TUO326495:TUO326560 TKS326495:TKS326560 TAW326495:TAW326560 SRA326495:SRA326560 SHE326495:SHE326560 RXI326495:RXI326560 RNM326495:RNM326560 RDQ326495:RDQ326560 QTU326495:QTU326560 QJY326495:QJY326560 QAC326495:QAC326560 PQG326495:PQG326560 PGK326495:PGK326560 OWO326495:OWO326560 OMS326495:OMS326560 OCW326495:OCW326560 NTA326495:NTA326560 NJE326495:NJE326560 MZI326495:MZI326560 MPM326495:MPM326560 MFQ326495:MFQ326560 LVU326495:LVU326560 LLY326495:LLY326560 LCC326495:LCC326560 KSG326495:KSG326560 KIK326495:KIK326560 JYO326495:JYO326560 JOS326495:JOS326560 JEW326495:JEW326560 IVA326495:IVA326560 ILE326495:ILE326560 IBI326495:IBI326560 HRM326495:HRM326560 HHQ326495:HHQ326560 GXU326495:GXU326560 GNY326495:GNY326560 GEC326495:GEC326560 FUG326495:FUG326560 FKK326495:FKK326560 FAO326495:FAO326560 EQS326495:EQS326560 EGW326495:EGW326560 DXA326495:DXA326560 DNE326495:DNE326560 DDI326495:DDI326560 CTM326495:CTM326560 CJQ326495:CJQ326560 BZU326495:BZU326560 BPY326495:BPY326560 BGC326495:BGC326560 AWG326495:AWG326560 AMK326495:AMK326560 ACO326495:ACO326560 SS326495:SS326560 IW326495:IW326560 A326495:A326560 WVI260959:WVI261024 WLM260959:WLM261024 WBQ260959:WBQ261024 VRU260959:VRU261024 VHY260959:VHY261024 UYC260959:UYC261024 UOG260959:UOG261024 UEK260959:UEK261024 TUO260959:TUO261024 TKS260959:TKS261024 TAW260959:TAW261024 SRA260959:SRA261024 SHE260959:SHE261024 RXI260959:RXI261024 RNM260959:RNM261024 RDQ260959:RDQ261024 QTU260959:QTU261024 QJY260959:QJY261024 QAC260959:QAC261024 PQG260959:PQG261024 PGK260959:PGK261024 OWO260959:OWO261024 OMS260959:OMS261024 OCW260959:OCW261024 NTA260959:NTA261024 NJE260959:NJE261024 MZI260959:MZI261024 MPM260959:MPM261024 MFQ260959:MFQ261024 LVU260959:LVU261024 LLY260959:LLY261024 LCC260959:LCC261024 KSG260959:KSG261024 KIK260959:KIK261024 JYO260959:JYO261024 JOS260959:JOS261024 JEW260959:JEW261024 IVA260959:IVA261024 ILE260959:ILE261024 IBI260959:IBI261024 HRM260959:HRM261024 HHQ260959:HHQ261024 GXU260959:GXU261024 GNY260959:GNY261024 GEC260959:GEC261024 FUG260959:FUG261024 FKK260959:FKK261024 FAO260959:FAO261024 EQS260959:EQS261024 EGW260959:EGW261024 DXA260959:DXA261024 DNE260959:DNE261024 DDI260959:DDI261024 CTM260959:CTM261024 CJQ260959:CJQ261024 BZU260959:BZU261024 BPY260959:BPY261024 BGC260959:BGC261024 AWG260959:AWG261024 AMK260959:AMK261024 ACO260959:ACO261024 SS260959:SS261024 IW260959:IW261024 A260959:A261024 WVI195423:WVI195488 WLM195423:WLM195488 WBQ195423:WBQ195488 VRU195423:VRU195488 VHY195423:VHY195488 UYC195423:UYC195488 UOG195423:UOG195488 UEK195423:UEK195488 TUO195423:TUO195488 TKS195423:TKS195488 TAW195423:TAW195488 SRA195423:SRA195488 SHE195423:SHE195488 RXI195423:RXI195488 RNM195423:RNM195488 RDQ195423:RDQ195488 QTU195423:QTU195488 QJY195423:QJY195488 QAC195423:QAC195488 PQG195423:PQG195488 PGK195423:PGK195488 OWO195423:OWO195488 OMS195423:OMS195488 OCW195423:OCW195488 NTA195423:NTA195488 NJE195423:NJE195488 MZI195423:MZI195488 MPM195423:MPM195488 MFQ195423:MFQ195488 LVU195423:LVU195488 LLY195423:LLY195488 LCC195423:LCC195488 KSG195423:KSG195488 KIK195423:KIK195488 JYO195423:JYO195488 JOS195423:JOS195488 JEW195423:JEW195488 IVA195423:IVA195488 ILE195423:ILE195488 IBI195423:IBI195488 HRM195423:HRM195488 HHQ195423:HHQ195488 GXU195423:GXU195488 GNY195423:GNY195488 GEC195423:GEC195488 FUG195423:FUG195488 FKK195423:FKK195488 FAO195423:FAO195488 EQS195423:EQS195488 EGW195423:EGW195488 DXA195423:DXA195488 DNE195423:DNE195488 DDI195423:DDI195488 CTM195423:CTM195488 CJQ195423:CJQ195488 BZU195423:BZU195488 BPY195423:BPY195488 BGC195423:BGC195488 AWG195423:AWG195488 AMK195423:AMK195488 ACO195423:ACO195488 SS195423:SS195488 IW195423:IW195488 A195423:A195488 WVI129887:WVI129952 WLM129887:WLM129952 WBQ129887:WBQ129952 VRU129887:VRU129952 VHY129887:VHY129952 UYC129887:UYC129952 UOG129887:UOG129952 UEK129887:UEK129952 TUO129887:TUO129952 TKS129887:TKS129952 TAW129887:TAW129952 SRA129887:SRA129952 SHE129887:SHE129952 RXI129887:RXI129952 RNM129887:RNM129952 RDQ129887:RDQ129952 QTU129887:QTU129952 QJY129887:QJY129952 QAC129887:QAC129952 PQG129887:PQG129952 PGK129887:PGK129952 OWO129887:OWO129952 OMS129887:OMS129952 OCW129887:OCW129952 NTA129887:NTA129952 NJE129887:NJE129952 MZI129887:MZI129952 MPM129887:MPM129952 MFQ129887:MFQ129952 LVU129887:LVU129952 LLY129887:LLY129952 LCC129887:LCC129952 KSG129887:KSG129952 KIK129887:KIK129952 JYO129887:JYO129952 JOS129887:JOS129952 JEW129887:JEW129952 IVA129887:IVA129952 ILE129887:ILE129952 IBI129887:IBI129952 HRM129887:HRM129952 HHQ129887:HHQ129952 GXU129887:GXU129952 GNY129887:GNY129952 GEC129887:GEC129952 FUG129887:FUG129952 FKK129887:FKK129952 FAO129887:FAO129952 EQS129887:EQS129952 EGW129887:EGW129952 DXA129887:DXA129952 DNE129887:DNE129952 DDI129887:DDI129952 CTM129887:CTM129952 CJQ129887:CJQ129952 BZU129887:BZU129952 BPY129887:BPY129952 BGC129887:BGC129952 AWG129887:AWG129952 AMK129887:AMK129952 ACO129887:ACO129952 SS129887:SS129952 IW129887:IW129952 A129887:A129952 WVI64351:WVI64416 WLM64351:WLM64416 WBQ64351:WBQ64416 VRU64351:VRU64416 VHY64351:VHY64416 UYC64351:UYC64416 UOG64351:UOG64416 UEK64351:UEK64416 TUO64351:TUO64416 TKS64351:TKS64416 TAW64351:TAW64416 SRA64351:SRA64416 SHE64351:SHE64416 RXI64351:RXI64416 RNM64351:RNM64416 RDQ64351:RDQ64416 QTU64351:QTU64416 QJY64351:QJY64416 QAC64351:QAC64416 PQG64351:PQG64416 PGK64351:PGK64416 OWO64351:OWO64416 OMS64351:OMS64416 OCW64351:OCW64416 NTA64351:NTA64416 NJE64351:NJE64416 MZI64351:MZI64416 MPM64351:MPM64416 MFQ64351:MFQ64416 LVU64351:LVU64416 LLY64351:LLY64416 LCC64351:LCC64416 KSG64351:KSG64416 KIK64351:KIK64416 JYO64351:JYO64416 JOS64351:JOS64416 JEW64351:JEW64416 IVA64351:IVA64416 ILE64351:ILE64416 IBI64351:IBI64416 HRM64351:HRM64416 HHQ64351:HHQ64416 GXU64351:GXU64416 GNY64351:GNY64416 GEC64351:GEC64416 FUG64351:FUG64416 FKK64351:FKK64416 FAO64351:FAO64416 EQS64351:EQS64416 EGW64351:EGW64416 DXA64351:DXA64416 DNE64351:DNE64416 DDI64351:DDI64416 CTM64351:CTM64416 CJQ64351:CJQ64416 BZU64351:BZU64416 BPY64351:BPY64416 BGC64351:BGC64416 AWG64351:AWG64416 AMK64351:AMK64416 ACO64351:ACO64416 SS64351:SS64416 A2:A488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IW2:IW67">
      <formula1>$AE$2:$AE$19</formula1>
    </dataValidation>
    <dataValidation type="list" allowBlank="1" showInputMessage="1" showErrorMessage="1" sqref="X64351:X64416 JT64351:JT64416 WMJ983030:WMJ983095 WCN983030:WCN983095 VSR983030:VSR983095 VIV983030:VIV983095 UYZ983030:UYZ983095 UPD983030:UPD983095 UFH983030:UFH983095 TVL983030:TVL983095 TLP983030:TLP983095 TBT983030:TBT983095 SRX983030:SRX983095 SIB983030:SIB983095 RYF983030:RYF983095 ROJ983030:ROJ983095 REN983030:REN983095 QUR983030:QUR983095 QKV983030:QKV983095 QAZ983030:QAZ983095 PRD983030:PRD983095 PHH983030:PHH983095 OXL983030:OXL983095 ONP983030:ONP983095 ODT983030:ODT983095 NTX983030:NTX983095 NKB983030:NKB983095 NAF983030:NAF983095 MQJ983030:MQJ983095 MGN983030:MGN983095 LWR983030:LWR983095 LMV983030:LMV983095 LCZ983030:LCZ983095 KTD983030:KTD983095 KJH983030:KJH983095 JZL983030:JZL983095 JPP983030:JPP983095 JFT983030:JFT983095 IVX983030:IVX983095 IMB983030:IMB983095 ICF983030:ICF983095 HSJ983030:HSJ983095 HIN983030:HIN983095 GYR983030:GYR983095 GOV983030:GOV983095 GEZ983030:GEZ983095 FVD983030:FVD983095 FLH983030:FLH983095 FBL983030:FBL983095 ERP983030:ERP983095 EHT983030:EHT983095 DXX983030:DXX983095 DOB983030:DOB983095 DEF983030:DEF983095 CUJ983030:CUJ983095 CKN983030:CKN983095 CAR983030:CAR983095 BQV983030:BQV983095 BGZ983030:BGZ983095 AXD983030:AXD983095 ANH983030:ANH983095 ADL983030:ADL983095 TP983030:TP983095 JT983030:JT983095 X983030:X983095 WWF917494:WWF917559 WMJ917494:WMJ917559 WCN917494:WCN917559 VSR917494:VSR917559 VIV917494:VIV917559 UYZ917494:UYZ917559 UPD917494:UPD917559 UFH917494:UFH917559 TVL917494:TVL917559 TLP917494:TLP917559 TBT917494:TBT917559 SRX917494:SRX917559 SIB917494:SIB917559 RYF917494:RYF917559 ROJ917494:ROJ917559 REN917494:REN917559 QUR917494:QUR917559 QKV917494:QKV917559 QAZ917494:QAZ917559 PRD917494:PRD917559 PHH917494:PHH917559 OXL917494:OXL917559 ONP917494:ONP917559 ODT917494:ODT917559 NTX917494:NTX917559 NKB917494:NKB917559 NAF917494:NAF917559 MQJ917494:MQJ917559 MGN917494:MGN917559 LWR917494:LWR917559 LMV917494:LMV917559 LCZ917494:LCZ917559 KTD917494:KTD917559 KJH917494:KJH917559 JZL917494:JZL917559 JPP917494:JPP917559 JFT917494:JFT917559 IVX917494:IVX917559 IMB917494:IMB917559 ICF917494:ICF917559 HSJ917494:HSJ917559 HIN917494:HIN917559 GYR917494:GYR917559 GOV917494:GOV917559 GEZ917494:GEZ917559 FVD917494:FVD917559 FLH917494:FLH917559 FBL917494:FBL917559 ERP917494:ERP917559 EHT917494:EHT917559 DXX917494:DXX917559 DOB917494:DOB917559 DEF917494:DEF917559 CUJ917494:CUJ917559 CKN917494:CKN917559 CAR917494:CAR917559 BQV917494:BQV917559 BGZ917494:BGZ917559 AXD917494:AXD917559 ANH917494:ANH917559 ADL917494:ADL917559 TP917494:TP917559 JT917494:JT917559 X917494:X917559 WWF851958:WWF852023 WMJ851958:WMJ852023 WCN851958:WCN852023 VSR851958:VSR852023 VIV851958:VIV852023 UYZ851958:UYZ852023 UPD851958:UPD852023 UFH851958:UFH852023 TVL851958:TVL852023 TLP851958:TLP852023 TBT851958:TBT852023 SRX851958:SRX852023 SIB851958:SIB852023 RYF851958:RYF852023 ROJ851958:ROJ852023 REN851958:REN852023 QUR851958:QUR852023 QKV851958:QKV852023 QAZ851958:QAZ852023 PRD851958:PRD852023 PHH851958:PHH852023 OXL851958:OXL852023 ONP851958:ONP852023 ODT851958:ODT852023 NTX851958:NTX852023 NKB851958:NKB852023 NAF851958:NAF852023 MQJ851958:MQJ852023 MGN851958:MGN852023 LWR851958:LWR852023 LMV851958:LMV852023 LCZ851958:LCZ852023 KTD851958:KTD852023 KJH851958:KJH852023 JZL851958:JZL852023 JPP851958:JPP852023 JFT851958:JFT852023 IVX851958:IVX852023 IMB851958:IMB852023 ICF851958:ICF852023 HSJ851958:HSJ852023 HIN851958:HIN852023 GYR851958:GYR852023 GOV851958:GOV852023 GEZ851958:GEZ852023 FVD851958:FVD852023 FLH851958:FLH852023 FBL851958:FBL852023 ERP851958:ERP852023 EHT851958:EHT852023 DXX851958:DXX852023 DOB851958:DOB852023 DEF851958:DEF852023 CUJ851958:CUJ852023 CKN851958:CKN852023 CAR851958:CAR852023 BQV851958:BQV852023 BGZ851958:BGZ852023 AXD851958:AXD852023 ANH851958:ANH852023 ADL851958:ADL852023 TP851958:TP852023 JT851958:JT852023 X851958:X852023 WWF786422:WWF786487 WMJ786422:WMJ786487 WCN786422:WCN786487 VSR786422:VSR786487 VIV786422:VIV786487 UYZ786422:UYZ786487 UPD786422:UPD786487 UFH786422:UFH786487 TVL786422:TVL786487 TLP786422:TLP786487 TBT786422:TBT786487 SRX786422:SRX786487 SIB786422:SIB786487 RYF786422:RYF786487 ROJ786422:ROJ786487 REN786422:REN786487 QUR786422:QUR786487 QKV786422:QKV786487 QAZ786422:QAZ786487 PRD786422:PRD786487 PHH786422:PHH786487 OXL786422:OXL786487 ONP786422:ONP786487 ODT786422:ODT786487 NTX786422:NTX786487 NKB786422:NKB786487 NAF786422:NAF786487 MQJ786422:MQJ786487 MGN786422:MGN786487 LWR786422:LWR786487 LMV786422:LMV786487 LCZ786422:LCZ786487 KTD786422:KTD786487 KJH786422:KJH786487 JZL786422:JZL786487 JPP786422:JPP786487 JFT786422:JFT786487 IVX786422:IVX786487 IMB786422:IMB786487 ICF786422:ICF786487 HSJ786422:HSJ786487 HIN786422:HIN786487 GYR786422:GYR786487 GOV786422:GOV786487 GEZ786422:GEZ786487 FVD786422:FVD786487 FLH786422:FLH786487 FBL786422:FBL786487 ERP786422:ERP786487 EHT786422:EHT786487 DXX786422:DXX786487 DOB786422:DOB786487 DEF786422:DEF786487 CUJ786422:CUJ786487 CKN786422:CKN786487 CAR786422:CAR786487 BQV786422:BQV786487 BGZ786422:BGZ786487 AXD786422:AXD786487 ANH786422:ANH786487 ADL786422:ADL786487 TP786422:TP786487 JT786422:JT786487 X786422:X786487 WWF720886:WWF720951 WMJ720886:WMJ720951 WCN720886:WCN720951 VSR720886:VSR720951 VIV720886:VIV720951 UYZ720886:UYZ720951 UPD720886:UPD720951 UFH720886:UFH720951 TVL720886:TVL720951 TLP720886:TLP720951 TBT720886:TBT720951 SRX720886:SRX720951 SIB720886:SIB720951 RYF720886:RYF720951 ROJ720886:ROJ720951 REN720886:REN720951 QUR720886:QUR720951 QKV720886:QKV720951 QAZ720886:QAZ720951 PRD720886:PRD720951 PHH720886:PHH720951 OXL720886:OXL720951 ONP720886:ONP720951 ODT720886:ODT720951 NTX720886:NTX720951 NKB720886:NKB720951 NAF720886:NAF720951 MQJ720886:MQJ720951 MGN720886:MGN720951 LWR720886:LWR720951 LMV720886:LMV720951 LCZ720886:LCZ720951 KTD720886:KTD720951 KJH720886:KJH720951 JZL720886:JZL720951 JPP720886:JPP720951 JFT720886:JFT720951 IVX720886:IVX720951 IMB720886:IMB720951 ICF720886:ICF720951 HSJ720886:HSJ720951 HIN720886:HIN720951 GYR720886:GYR720951 GOV720886:GOV720951 GEZ720886:GEZ720951 FVD720886:FVD720951 FLH720886:FLH720951 FBL720886:FBL720951 ERP720886:ERP720951 EHT720886:EHT720951 DXX720886:DXX720951 DOB720886:DOB720951 DEF720886:DEF720951 CUJ720886:CUJ720951 CKN720886:CKN720951 CAR720886:CAR720951 BQV720886:BQV720951 BGZ720886:BGZ720951 AXD720886:AXD720951 ANH720886:ANH720951 ADL720886:ADL720951 TP720886:TP720951 JT720886:JT720951 X720886:X720951 WWF655350:WWF655415 WMJ655350:WMJ655415 WCN655350:WCN655415 VSR655350:VSR655415 VIV655350:VIV655415 UYZ655350:UYZ655415 UPD655350:UPD655415 UFH655350:UFH655415 TVL655350:TVL655415 TLP655350:TLP655415 TBT655350:TBT655415 SRX655350:SRX655415 SIB655350:SIB655415 RYF655350:RYF655415 ROJ655350:ROJ655415 REN655350:REN655415 QUR655350:QUR655415 QKV655350:QKV655415 QAZ655350:QAZ655415 PRD655350:PRD655415 PHH655350:PHH655415 OXL655350:OXL655415 ONP655350:ONP655415 ODT655350:ODT655415 NTX655350:NTX655415 NKB655350:NKB655415 NAF655350:NAF655415 MQJ655350:MQJ655415 MGN655350:MGN655415 LWR655350:LWR655415 LMV655350:LMV655415 LCZ655350:LCZ655415 KTD655350:KTD655415 KJH655350:KJH655415 JZL655350:JZL655415 JPP655350:JPP655415 JFT655350:JFT655415 IVX655350:IVX655415 IMB655350:IMB655415 ICF655350:ICF655415 HSJ655350:HSJ655415 HIN655350:HIN655415 GYR655350:GYR655415 GOV655350:GOV655415 GEZ655350:GEZ655415 FVD655350:FVD655415 FLH655350:FLH655415 FBL655350:FBL655415 ERP655350:ERP655415 EHT655350:EHT655415 DXX655350:DXX655415 DOB655350:DOB655415 DEF655350:DEF655415 CUJ655350:CUJ655415 CKN655350:CKN655415 CAR655350:CAR655415 BQV655350:BQV655415 BGZ655350:BGZ655415 AXD655350:AXD655415 ANH655350:ANH655415 ADL655350:ADL655415 TP655350:TP655415 JT655350:JT655415 X655350:X655415 WWF589814:WWF589879 WMJ589814:WMJ589879 WCN589814:WCN589879 VSR589814:VSR589879 VIV589814:VIV589879 UYZ589814:UYZ589879 UPD589814:UPD589879 UFH589814:UFH589879 TVL589814:TVL589879 TLP589814:TLP589879 TBT589814:TBT589879 SRX589814:SRX589879 SIB589814:SIB589879 RYF589814:RYF589879 ROJ589814:ROJ589879 REN589814:REN589879 QUR589814:QUR589879 QKV589814:QKV589879 QAZ589814:QAZ589879 PRD589814:PRD589879 PHH589814:PHH589879 OXL589814:OXL589879 ONP589814:ONP589879 ODT589814:ODT589879 NTX589814:NTX589879 NKB589814:NKB589879 NAF589814:NAF589879 MQJ589814:MQJ589879 MGN589814:MGN589879 LWR589814:LWR589879 LMV589814:LMV589879 LCZ589814:LCZ589879 KTD589814:KTD589879 KJH589814:KJH589879 JZL589814:JZL589879 JPP589814:JPP589879 JFT589814:JFT589879 IVX589814:IVX589879 IMB589814:IMB589879 ICF589814:ICF589879 HSJ589814:HSJ589879 HIN589814:HIN589879 GYR589814:GYR589879 GOV589814:GOV589879 GEZ589814:GEZ589879 FVD589814:FVD589879 FLH589814:FLH589879 FBL589814:FBL589879 ERP589814:ERP589879 EHT589814:EHT589879 DXX589814:DXX589879 DOB589814:DOB589879 DEF589814:DEF589879 CUJ589814:CUJ589879 CKN589814:CKN589879 CAR589814:CAR589879 BQV589814:BQV589879 BGZ589814:BGZ589879 AXD589814:AXD589879 ANH589814:ANH589879 ADL589814:ADL589879 TP589814:TP589879 JT589814:JT589879 X589814:X589879 WWF524278:WWF524343 WMJ524278:WMJ524343 WCN524278:WCN524343 VSR524278:VSR524343 VIV524278:VIV524343 UYZ524278:UYZ524343 UPD524278:UPD524343 UFH524278:UFH524343 TVL524278:TVL524343 TLP524278:TLP524343 TBT524278:TBT524343 SRX524278:SRX524343 SIB524278:SIB524343 RYF524278:RYF524343 ROJ524278:ROJ524343 REN524278:REN524343 QUR524278:QUR524343 QKV524278:QKV524343 QAZ524278:QAZ524343 PRD524278:PRD524343 PHH524278:PHH524343 OXL524278:OXL524343 ONP524278:ONP524343 ODT524278:ODT524343 NTX524278:NTX524343 NKB524278:NKB524343 NAF524278:NAF524343 MQJ524278:MQJ524343 MGN524278:MGN524343 LWR524278:LWR524343 LMV524278:LMV524343 LCZ524278:LCZ524343 KTD524278:KTD524343 KJH524278:KJH524343 JZL524278:JZL524343 JPP524278:JPP524343 JFT524278:JFT524343 IVX524278:IVX524343 IMB524278:IMB524343 ICF524278:ICF524343 HSJ524278:HSJ524343 HIN524278:HIN524343 GYR524278:GYR524343 GOV524278:GOV524343 GEZ524278:GEZ524343 FVD524278:FVD524343 FLH524278:FLH524343 FBL524278:FBL524343 ERP524278:ERP524343 EHT524278:EHT524343 DXX524278:DXX524343 DOB524278:DOB524343 DEF524278:DEF524343 CUJ524278:CUJ524343 CKN524278:CKN524343 CAR524278:CAR524343 BQV524278:BQV524343 BGZ524278:BGZ524343 AXD524278:AXD524343 ANH524278:ANH524343 ADL524278:ADL524343 TP524278:TP524343 JT524278:JT524343 X524278:X524343 WWF458742:WWF458807 WMJ458742:WMJ458807 WCN458742:WCN458807 VSR458742:VSR458807 VIV458742:VIV458807 UYZ458742:UYZ458807 UPD458742:UPD458807 UFH458742:UFH458807 TVL458742:TVL458807 TLP458742:TLP458807 TBT458742:TBT458807 SRX458742:SRX458807 SIB458742:SIB458807 RYF458742:RYF458807 ROJ458742:ROJ458807 REN458742:REN458807 QUR458742:QUR458807 QKV458742:QKV458807 QAZ458742:QAZ458807 PRD458742:PRD458807 PHH458742:PHH458807 OXL458742:OXL458807 ONP458742:ONP458807 ODT458742:ODT458807 NTX458742:NTX458807 NKB458742:NKB458807 NAF458742:NAF458807 MQJ458742:MQJ458807 MGN458742:MGN458807 LWR458742:LWR458807 LMV458742:LMV458807 LCZ458742:LCZ458807 KTD458742:KTD458807 KJH458742:KJH458807 JZL458742:JZL458807 JPP458742:JPP458807 JFT458742:JFT458807 IVX458742:IVX458807 IMB458742:IMB458807 ICF458742:ICF458807 HSJ458742:HSJ458807 HIN458742:HIN458807 GYR458742:GYR458807 GOV458742:GOV458807 GEZ458742:GEZ458807 FVD458742:FVD458807 FLH458742:FLH458807 FBL458742:FBL458807 ERP458742:ERP458807 EHT458742:EHT458807 DXX458742:DXX458807 DOB458742:DOB458807 DEF458742:DEF458807 CUJ458742:CUJ458807 CKN458742:CKN458807 CAR458742:CAR458807 BQV458742:BQV458807 BGZ458742:BGZ458807 AXD458742:AXD458807 ANH458742:ANH458807 ADL458742:ADL458807 TP458742:TP458807 JT458742:JT458807 X458742:X458807 WWF393206:WWF393271 WMJ393206:WMJ393271 WCN393206:WCN393271 VSR393206:VSR393271 VIV393206:VIV393271 UYZ393206:UYZ393271 UPD393206:UPD393271 UFH393206:UFH393271 TVL393206:TVL393271 TLP393206:TLP393271 TBT393206:TBT393271 SRX393206:SRX393271 SIB393206:SIB393271 RYF393206:RYF393271 ROJ393206:ROJ393271 REN393206:REN393271 QUR393206:QUR393271 QKV393206:QKV393271 QAZ393206:QAZ393271 PRD393206:PRD393271 PHH393206:PHH393271 OXL393206:OXL393271 ONP393206:ONP393271 ODT393206:ODT393271 NTX393206:NTX393271 NKB393206:NKB393271 NAF393206:NAF393271 MQJ393206:MQJ393271 MGN393206:MGN393271 LWR393206:LWR393271 LMV393206:LMV393271 LCZ393206:LCZ393271 KTD393206:KTD393271 KJH393206:KJH393271 JZL393206:JZL393271 JPP393206:JPP393271 JFT393206:JFT393271 IVX393206:IVX393271 IMB393206:IMB393271 ICF393206:ICF393271 HSJ393206:HSJ393271 HIN393206:HIN393271 GYR393206:GYR393271 GOV393206:GOV393271 GEZ393206:GEZ393271 FVD393206:FVD393271 FLH393206:FLH393271 FBL393206:FBL393271 ERP393206:ERP393271 EHT393206:EHT393271 DXX393206:DXX393271 DOB393206:DOB393271 DEF393206:DEF393271 CUJ393206:CUJ393271 CKN393206:CKN393271 CAR393206:CAR393271 BQV393206:BQV393271 BGZ393206:BGZ393271 AXD393206:AXD393271 ANH393206:ANH393271 ADL393206:ADL393271 TP393206:TP393271 JT393206:JT393271 X393206:X393271 WWF327670:WWF327735 WMJ327670:WMJ327735 WCN327670:WCN327735 VSR327670:VSR327735 VIV327670:VIV327735 UYZ327670:UYZ327735 UPD327670:UPD327735 UFH327670:UFH327735 TVL327670:TVL327735 TLP327670:TLP327735 TBT327670:TBT327735 SRX327670:SRX327735 SIB327670:SIB327735 RYF327670:RYF327735 ROJ327670:ROJ327735 REN327670:REN327735 QUR327670:QUR327735 QKV327670:QKV327735 QAZ327670:QAZ327735 PRD327670:PRD327735 PHH327670:PHH327735 OXL327670:OXL327735 ONP327670:ONP327735 ODT327670:ODT327735 NTX327670:NTX327735 NKB327670:NKB327735 NAF327670:NAF327735 MQJ327670:MQJ327735 MGN327670:MGN327735 LWR327670:LWR327735 LMV327670:LMV327735 LCZ327670:LCZ327735 KTD327670:KTD327735 KJH327670:KJH327735 JZL327670:JZL327735 JPP327670:JPP327735 JFT327670:JFT327735 IVX327670:IVX327735 IMB327670:IMB327735 ICF327670:ICF327735 HSJ327670:HSJ327735 HIN327670:HIN327735 GYR327670:GYR327735 GOV327670:GOV327735 GEZ327670:GEZ327735 FVD327670:FVD327735 FLH327670:FLH327735 FBL327670:FBL327735 ERP327670:ERP327735 EHT327670:EHT327735 DXX327670:DXX327735 DOB327670:DOB327735 DEF327670:DEF327735 CUJ327670:CUJ327735 CKN327670:CKN327735 CAR327670:CAR327735 BQV327670:BQV327735 BGZ327670:BGZ327735 AXD327670:AXD327735 ANH327670:ANH327735 ADL327670:ADL327735 TP327670:TP327735 JT327670:JT327735 X327670:X327735 WWF262134:WWF262199 WMJ262134:WMJ262199 WCN262134:WCN262199 VSR262134:VSR262199 VIV262134:VIV262199 UYZ262134:UYZ262199 UPD262134:UPD262199 UFH262134:UFH262199 TVL262134:TVL262199 TLP262134:TLP262199 TBT262134:TBT262199 SRX262134:SRX262199 SIB262134:SIB262199 RYF262134:RYF262199 ROJ262134:ROJ262199 REN262134:REN262199 QUR262134:QUR262199 QKV262134:QKV262199 QAZ262134:QAZ262199 PRD262134:PRD262199 PHH262134:PHH262199 OXL262134:OXL262199 ONP262134:ONP262199 ODT262134:ODT262199 NTX262134:NTX262199 NKB262134:NKB262199 NAF262134:NAF262199 MQJ262134:MQJ262199 MGN262134:MGN262199 LWR262134:LWR262199 LMV262134:LMV262199 LCZ262134:LCZ262199 KTD262134:KTD262199 KJH262134:KJH262199 JZL262134:JZL262199 JPP262134:JPP262199 JFT262134:JFT262199 IVX262134:IVX262199 IMB262134:IMB262199 ICF262134:ICF262199 HSJ262134:HSJ262199 HIN262134:HIN262199 GYR262134:GYR262199 GOV262134:GOV262199 GEZ262134:GEZ262199 FVD262134:FVD262199 FLH262134:FLH262199 FBL262134:FBL262199 ERP262134:ERP262199 EHT262134:EHT262199 DXX262134:DXX262199 DOB262134:DOB262199 DEF262134:DEF262199 CUJ262134:CUJ262199 CKN262134:CKN262199 CAR262134:CAR262199 BQV262134:BQV262199 BGZ262134:BGZ262199 AXD262134:AXD262199 ANH262134:ANH262199 ADL262134:ADL262199 TP262134:TP262199 JT262134:JT262199 X262134:X262199 WWF196598:WWF196663 WMJ196598:WMJ196663 WCN196598:WCN196663 VSR196598:VSR196663 VIV196598:VIV196663 UYZ196598:UYZ196663 UPD196598:UPD196663 UFH196598:UFH196663 TVL196598:TVL196663 TLP196598:TLP196663 TBT196598:TBT196663 SRX196598:SRX196663 SIB196598:SIB196663 RYF196598:RYF196663 ROJ196598:ROJ196663 REN196598:REN196663 QUR196598:QUR196663 QKV196598:QKV196663 QAZ196598:QAZ196663 PRD196598:PRD196663 PHH196598:PHH196663 OXL196598:OXL196663 ONP196598:ONP196663 ODT196598:ODT196663 NTX196598:NTX196663 NKB196598:NKB196663 NAF196598:NAF196663 MQJ196598:MQJ196663 MGN196598:MGN196663 LWR196598:LWR196663 LMV196598:LMV196663 LCZ196598:LCZ196663 KTD196598:KTD196663 KJH196598:KJH196663 JZL196598:JZL196663 JPP196598:JPP196663 JFT196598:JFT196663 IVX196598:IVX196663 IMB196598:IMB196663 ICF196598:ICF196663 HSJ196598:HSJ196663 HIN196598:HIN196663 GYR196598:GYR196663 GOV196598:GOV196663 GEZ196598:GEZ196663 FVD196598:FVD196663 FLH196598:FLH196663 FBL196598:FBL196663 ERP196598:ERP196663 EHT196598:EHT196663 DXX196598:DXX196663 DOB196598:DOB196663 DEF196598:DEF196663 CUJ196598:CUJ196663 CKN196598:CKN196663 CAR196598:CAR196663 BQV196598:BQV196663 BGZ196598:BGZ196663 AXD196598:AXD196663 ANH196598:ANH196663 ADL196598:ADL196663 TP196598:TP196663 JT196598:JT196663 X196598:X196663 WWF131062:WWF131127 WMJ131062:WMJ131127 WCN131062:WCN131127 VSR131062:VSR131127 VIV131062:VIV131127 UYZ131062:UYZ131127 UPD131062:UPD131127 UFH131062:UFH131127 TVL131062:TVL131127 TLP131062:TLP131127 TBT131062:TBT131127 SRX131062:SRX131127 SIB131062:SIB131127 RYF131062:RYF131127 ROJ131062:ROJ131127 REN131062:REN131127 QUR131062:QUR131127 QKV131062:QKV131127 QAZ131062:QAZ131127 PRD131062:PRD131127 PHH131062:PHH131127 OXL131062:OXL131127 ONP131062:ONP131127 ODT131062:ODT131127 NTX131062:NTX131127 NKB131062:NKB131127 NAF131062:NAF131127 MQJ131062:MQJ131127 MGN131062:MGN131127 LWR131062:LWR131127 LMV131062:LMV131127 LCZ131062:LCZ131127 KTD131062:KTD131127 KJH131062:KJH131127 JZL131062:JZL131127 JPP131062:JPP131127 JFT131062:JFT131127 IVX131062:IVX131127 IMB131062:IMB131127 ICF131062:ICF131127 HSJ131062:HSJ131127 HIN131062:HIN131127 GYR131062:GYR131127 GOV131062:GOV131127 GEZ131062:GEZ131127 FVD131062:FVD131127 FLH131062:FLH131127 FBL131062:FBL131127 ERP131062:ERP131127 EHT131062:EHT131127 DXX131062:DXX131127 DOB131062:DOB131127 DEF131062:DEF131127 CUJ131062:CUJ131127 CKN131062:CKN131127 CAR131062:CAR131127 BQV131062:BQV131127 BGZ131062:BGZ131127 AXD131062:AXD131127 ANH131062:ANH131127 ADL131062:ADL131127 TP131062:TP131127 JT131062:JT131127 X131062:X131127 WWF65526:WWF65591 WMJ65526:WMJ65591 WCN65526:WCN65591 VSR65526:VSR65591 VIV65526:VIV65591 UYZ65526:UYZ65591 UPD65526:UPD65591 UFH65526:UFH65591 TVL65526:TVL65591 TLP65526:TLP65591 TBT65526:TBT65591 SRX65526:SRX65591 SIB65526:SIB65591 RYF65526:RYF65591 ROJ65526:ROJ65591 REN65526:REN65591 QUR65526:QUR65591 QKV65526:QKV65591 QAZ65526:QAZ65591 PRD65526:PRD65591 PHH65526:PHH65591 OXL65526:OXL65591 ONP65526:ONP65591 ODT65526:ODT65591 NTX65526:NTX65591 NKB65526:NKB65591 NAF65526:NAF65591 MQJ65526:MQJ65591 MGN65526:MGN65591 LWR65526:LWR65591 LMV65526:LMV65591 LCZ65526:LCZ65591 KTD65526:KTD65591 KJH65526:KJH65591 JZL65526:JZL65591 JPP65526:JPP65591 JFT65526:JFT65591 IVX65526:IVX65591 IMB65526:IMB65591 ICF65526:ICF65591 HSJ65526:HSJ65591 HIN65526:HIN65591 GYR65526:GYR65591 GOV65526:GOV65591 GEZ65526:GEZ65591 FVD65526:FVD65591 FLH65526:FLH65591 FBL65526:FBL65591 ERP65526:ERP65591 EHT65526:EHT65591 DXX65526:DXX65591 DOB65526:DOB65591 DEF65526:DEF65591 CUJ65526:CUJ65591 CKN65526:CKN65591 CAR65526:CAR65591 BQV65526:BQV65591 BGZ65526:BGZ65591 AXD65526:AXD65591 ANH65526:ANH65591 ADL65526:ADL65591 TP65526:TP65591 JT65526:JT65591 X65526:X65591 WWF983030:WWF983095 WWF1047391:WWF1047456 WMJ1047391:WMJ1047456 WCN1047391:WCN1047456 VSR1047391:VSR1047456 VIV1047391:VIV1047456 UYZ1047391:UYZ1047456 UPD1047391:UPD1047456 UFH1047391:UFH1047456 TVL1047391:TVL1047456 TLP1047391:TLP1047456 TBT1047391:TBT1047456 SRX1047391:SRX1047456 SIB1047391:SIB1047456 RYF1047391:RYF1047456 ROJ1047391:ROJ1047456 REN1047391:REN1047456 QUR1047391:QUR1047456 QKV1047391:QKV1047456 QAZ1047391:QAZ1047456 PRD1047391:PRD1047456 PHH1047391:PHH1047456 OXL1047391:OXL1047456 ONP1047391:ONP1047456 ODT1047391:ODT1047456 NTX1047391:NTX1047456 NKB1047391:NKB1047456 NAF1047391:NAF1047456 MQJ1047391:MQJ1047456 MGN1047391:MGN1047456 LWR1047391:LWR1047456 LMV1047391:LMV1047456 LCZ1047391:LCZ1047456 KTD1047391:KTD1047456 KJH1047391:KJH1047456 JZL1047391:JZL1047456 JPP1047391:JPP1047456 JFT1047391:JFT1047456 IVX1047391:IVX1047456 IMB1047391:IMB1047456 ICF1047391:ICF1047456 HSJ1047391:HSJ1047456 HIN1047391:HIN1047456 GYR1047391:GYR1047456 GOV1047391:GOV1047456 GEZ1047391:GEZ1047456 FVD1047391:FVD1047456 FLH1047391:FLH1047456 FBL1047391:FBL1047456 ERP1047391:ERP1047456 EHT1047391:EHT1047456 DXX1047391:DXX1047456 DOB1047391:DOB1047456 DEF1047391:DEF1047456 CUJ1047391:CUJ1047456 CKN1047391:CKN1047456 CAR1047391:CAR1047456 BQV1047391:BQV1047456 BGZ1047391:BGZ1047456 AXD1047391:AXD1047456 ANH1047391:ANH1047456 ADL1047391:ADL1047456 TP1047391:TP1047456 JT1047391:JT1047456 X1047391:X1047456 WWF981855:WWF981920 WMJ981855:WMJ981920 WCN981855:WCN981920 VSR981855:VSR981920 VIV981855:VIV981920 UYZ981855:UYZ981920 UPD981855:UPD981920 UFH981855:UFH981920 TVL981855:TVL981920 TLP981855:TLP981920 TBT981855:TBT981920 SRX981855:SRX981920 SIB981855:SIB981920 RYF981855:RYF981920 ROJ981855:ROJ981920 REN981855:REN981920 QUR981855:QUR981920 QKV981855:QKV981920 QAZ981855:QAZ981920 PRD981855:PRD981920 PHH981855:PHH981920 OXL981855:OXL981920 ONP981855:ONP981920 ODT981855:ODT981920 NTX981855:NTX981920 NKB981855:NKB981920 NAF981855:NAF981920 MQJ981855:MQJ981920 MGN981855:MGN981920 LWR981855:LWR981920 LMV981855:LMV981920 LCZ981855:LCZ981920 KTD981855:KTD981920 KJH981855:KJH981920 JZL981855:JZL981920 JPP981855:JPP981920 JFT981855:JFT981920 IVX981855:IVX981920 IMB981855:IMB981920 ICF981855:ICF981920 HSJ981855:HSJ981920 HIN981855:HIN981920 GYR981855:GYR981920 GOV981855:GOV981920 GEZ981855:GEZ981920 FVD981855:FVD981920 FLH981855:FLH981920 FBL981855:FBL981920 ERP981855:ERP981920 EHT981855:EHT981920 DXX981855:DXX981920 DOB981855:DOB981920 DEF981855:DEF981920 CUJ981855:CUJ981920 CKN981855:CKN981920 CAR981855:CAR981920 BQV981855:BQV981920 BGZ981855:BGZ981920 AXD981855:AXD981920 ANH981855:ANH981920 ADL981855:ADL981920 TP981855:TP981920 JT981855:JT981920 X981855:X981920 WWF916319:WWF916384 WMJ916319:WMJ916384 WCN916319:WCN916384 VSR916319:VSR916384 VIV916319:VIV916384 UYZ916319:UYZ916384 UPD916319:UPD916384 UFH916319:UFH916384 TVL916319:TVL916384 TLP916319:TLP916384 TBT916319:TBT916384 SRX916319:SRX916384 SIB916319:SIB916384 RYF916319:RYF916384 ROJ916319:ROJ916384 REN916319:REN916384 QUR916319:QUR916384 QKV916319:QKV916384 QAZ916319:QAZ916384 PRD916319:PRD916384 PHH916319:PHH916384 OXL916319:OXL916384 ONP916319:ONP916384 ODT916319:ODT916384 NTX916319:NTX916384 NKB916319:NKB916384 NAF916319:NAF916384 MQJ916319:MQJ916384 MGN916319:MGN916384 LWR916319:LWR916384 LMV916319:LMV916384 LCZ916319:LCZ916384 KTD916319:KTD916384 KJH916319:KJH916384 JZL916319:JZL916384 JPP916319:JPP916384 JFT916319:JFT916384 IVX916319:IVX916384 IMB916319:IMB916384 ICF916319:ICF916384 HSJ916319:HSJ916384 HIN916319:HIN916384 GYR916319:GYR916384 GOV916319:GOV916384 GEZ916319:GEZ916384 FVD916319:FVD916384 FLH916319:FLH916384 FBL916319:FBL916384 ERP916319:ERP916384 EHT916319:EHT916384 DXX916319:DXX916384 DOB916319:DOB916384 DEF916319:DEF916384 CUJ916319:CUJ916384 CKN916319:CKN916384 CAR916319:CAR916384 BQV916319:BQV916384 BGZ916319:BGZ916384 AXD916319:AXD916384 ANH916319:ANH916384 ADL916319:ADL916384 TP916319:TP916384 JT916319:JT916384 X916319:X916384 WWF850783:WWF850848 WMJ850783:WMJ850848 WCN850783:WCN850848 VSR850783:VSR850848 VIV850783:VIV850848 UYZ850783:UYZ850848 UPD850783:UPD850848 UFH850783:UFH850848 TVL850783:TVL850848 TLP850783:TLP850848 TBT850783:TBT850848 SRX850783:SRX850848 SIB850783:SIB850848 RYF850783:RYF850848 ROJ850783:ROJ850848 REN850783:REN850848 QUR850783:QUR850848 QKV850783:QKV850848 QAZ850783:QAZ850848 PRD850783:PRD850848 PHH850783:PHH850848 OXL850783:OXL850848 ONP850783:ONP850848 ODT850783:ODT850848 NTX850783:NTX850848 NKB850783:NKB850848 NAF850783:NAF850848 MQJ850783:MQJ850848 MGN850783:MGN850848 LWR850783:LWR850848 LMV850783:LMV850848 LCZ850783:LCZ850848 KTD850783:KTD850848 KJH850783:KJH850848 JZL850783:JZL850848 JPP850783:JPP850848 JFT850783:JFT850848 IVX850783:IVX850848 IMB850783:IMB850848 ICF850783:ICF850848 HSJ850783:HSJ850848 HIN850783:HIN850848 GYR850783:GYR850848 GOV850783:GOV850848 GEZ850783:GEZ850848 FVD850783:FVD850848 FLH850783:FLH850848 FBL850783:FBL850848 ERP850783:ERP850848 EHT850783:EHT850848 DXX850783:DXX850848 DOB850783:DOB850848 DEF850783:DEF850848 CUJ850783:CUJ850848 CKN850783:CKN850848 CAR850783:CAR850848 BQV850783:BQV850848 BGZ850783:BGZ850848 AXD850783:AXD850848 ANH850783:ANH850848 ADL850783:ADL850848 TP850783:TP850848 JT850783:JT850848 X850783:X850848 WWF785247:WWF785312 WMJ785247:WMJ785312 WCN785247:WCN785312 VSR785247:VSR785312 VIV785247:VIV785312 UYZ785247:UYZ785312 UPD785247:UPD785312 UFH785247:UFH785312 TVL785247:TVL785312 TLP785247:TLP785312 TBT785247:TBT785312 SRX785247:SRX785312 SIB785247:SIB785312 RYF785247:RYF785312 ROJ785247:ROJ785312 REN785247:REN785312 QUR785247:QUR785312 QKV785247:QKV785312 QAZ785247:QAZ785312 PRD785247:PRD785312 PHH785247:PHH785312 OXL785247:OXL785312 ONP785247:ONP785312 ODT785247:ODT785312 NTX785247:NTX785312 NKB785247:NKB785312 NAF785247:NAF785312 MQJ785247:MQJ785312 MGN785247:MGN785312 LWR785247:LWR785312 LMV785247:LMV785312 LCZ785247:LCZ785312 KTD785247:KTD785312 KJH785247:KJH785312 JZL785247:JZL785312 JPP785247:JPP785312 JFT785247:JFT785312 IVX785247:IVX785312 IMB785247:IMB785312 ICF785247:ICF785312 HSJ785247:HSJ785312 HIN785247:HIN785312 GYR785247:GYR785312 GOV785247:GOV785312 GEZ785247:GEZ785312 FVD785247:FVD785312 FLH785247:FLH785312 FBL785247:FBL785312 ERP785247:ERP785312 EHT785247:EHT785312 DXX785247:DXX785312 DOB785247:DOB785312 DEF785247:DEF785312 CUJ785247:CUJ785312 CKN785247:CKN785312 CAR785247:CAR785312 BQV785247:BQV785312 BGZ785247:BGZ785312 AXD785247:AXD785312 ANH785247:ANH785312 ADL785247:ADL785312 TP785247:TP785312 JT785247:JT785312 X785247:X785312 WWF719711:WWF719776 WMJ719711:WMJ719776 WCN719711:WCN719776 VSR719711:VSR719776 VIV719711:VIV719776 UYZ719711:UYZ719776 UPD719711:UPD719776 UFH719711:UFH719776 TVL719711:TVL719776 TLP719711:TLP719776 TBT719711:TBT719776 SRX719711:SRX719776 SIB719711:SIB719776 RYF719711:RYF719776 ROJ719711:ROJ719776 REN719711:REN719776 QUR719711:QUR719776 QKV719711:QKV719776 QAZ719711:QAZ719776 PRD719711:PRD719776 PHH719711:PHH719776 OXL719711:OXL719776 ONP719711:ONP719776 ODT719711:ODT719776 NTX719711:NTX719776 NKB719711:NKB719776 NAF719711:NAF719776 MQJ719711:MQJ719776 MGN719711:MGN719776 LWR719711:LWR719776 LMV719711:LMV719776 LCZ719711:LCZ719776 KTD719711:KTD719776 KJH719711:KJH719776 JZL719711:JZL719776 JPP719711:JPP719776 JFT719711:JFT719776 IVX719711:IVX719776 IMB719711:IMB719776 ICF719711:ICF719776 HSJ719711:HSJ719776 HIN719711:HIN719776 GYR719711:GYR719776 GOV719711:GOV719776 GEZ719711:GEZ719776 FVD719711:FVD719776 FLH719711:FLH719776 FBL719711:FBL719776 ERP719711:ERP719776 EHT719711:EHT719776 DXX719711:DXX719776 DOB719711:DOB719776 DEF719711:DEF719776 CUJ719711:CUJ719776 CKN719711:CKN719776 CAR719711:CAR719776 BQV719711:BQV719776 BGZ719711:BGZ719776 AXD719711:AXD719776 ANH719711:ANH719776 ADL719711:ADL719776 TP719711:TP719776 JT719711:JT719776 X719711:X719776 WWF654175:WWF654240 WMJ654175:WMJ654240 WCN654175:WCN654240 VSR654175:VSR654240 VIV654175:VIV654240 UYZ654175:UYZ654240 UPD654175:UPD654240 UFH654175:UFH654240 TVL654175:TVL654240 TLP654175:TLP654240 TBT654175:TBT654240 SRX654175:SRX654240 SIB654175:SIB654240 RYF654175:RYF654240 ROJ654175:ROJ654240 REN654175:REN654240 QUR654175:QUR654240 QKV654175:QKV654240 QAZ654175:QAZ654240 PRD654175:PRD654240 PHH654175:PHH654240 OXL654175:OXL654240 ONP654175:ONP654240 ODT654175:ODT654240 NTX654175:NTX654240 NKB654175:NKB654240 NAF654175:NAF654240 MQJ654175:MQJ654240 MGN654175:MGN654240 LWR654175:LWR654240 LMV654175:LMV654240 LCZ654175:LCZ654240 KTD654175:KTD654240 KJH654175:KJH654240 JZL654175:JZL654240 JPP654175:JPP654240 JFT654175:JFT654240 IVX654175:IVX654240 IMB654175:IMB654240 ICF654175:ICF654240 HSJ654175:HSJ654240 HIN654175:HIN654240 GYR654175:GYR654240 GOV654175:GOV654240 GEZ654175:GEZ654240 FVD654175:FVD654240 FLH654175:FLH654240 FBL654175:FBL654240 ERP654175:ERP654240 EHT654175:EHT654240 DXX654175:DXX654240 DOB654175:DOB654240 DEF654175:DEF654240 CUJ654175:CUJ654240 CKN654175:CKN654240 CAR654175:CAR654240 BQV654175:BQV654240 BGZ654175:BGZ654240 AXD654175:AXD654240 ANH654175:ANH654240 ADL654175:ADL654240 TP654175:TP654240 JT654175:JT654240 X654175:X654240 WWF588639:WWF588704 WMJ588639:WMJ588704 WCN588639:WCN588704 VSR588639:VSR588704 VIV588639:VIV588704 UYZ588639:UYZ588704 UPD588639:UPD588704 UFH588639:UFH588704 TVL588639:TVL588704 TLP588639:TLP588704 TBT588639:TBT588704 SRX588639:SRX588704 SIB588639:SIB588704 RYF588639:RYF588704 ROJ588639:ROJ588704 REN588639:REN588704 QUR588639:QUR588704 QKV588639:QKV588704 QAZ588639:QAZ588704 PRD588639:PRD588704 PHH588639:PHH588704 OXL588639:OXL588704 ONP588639:ONP588704 ODT588639:ODT588704 NTX588639:NTX588704 NKB588639:NKB588704 NAF588639:NAF588704 MQJ588639:MQJ588704 MGN588639:MGN588704 LWR588639:LWR588704 LMV588639:LMV588704 LCZ588639:LCZ588704 KTD588639:KTD588704 KJH588639:KJH588704 JZL588639:JZL588704 JPP588639:JPP588704 JFT588639:JFT588704 IVX588639:IVX588704 IMB588639:IMB588704 ICF588639:ICF588704 HSJ588639:HSJ588704 HIN588639:HIN588704 GYR588639:GYR588704 GOV588639:GOV588704 GEZ588639:GEZ588704 FVD588639:FVD588704 FLH588639:FLH588704 FBL588639:FBL588704 ERP588639:ERP588704 EHT588639:EHT588704 DXX588639:DXX588704 DOB588639:DOB588704 DEF588639:DEF588704 CUJ588639:CUJ588704 CKN588639:CKN588704 CAR588639:CAR588704 BQV588639:BQV588704 BGZ588639:BGZ588704 AXD588639:AXD588704 ANH588639:ANH588704 ADL588639:ADL588704 TP588639:TP588704 JT588639:JT588704 X588639:X588704 WWF523103:WWF523168 WMJ523103:WMJ523168 WCN523103:WCN523168 VSR523103:VSR523168 VIV523103:VIV523168 UYZ523103:UYZ523168 UPD523103:UPD523168 UFH523103:UFH523168 TVL523103:TVL523168 TLP523103:TLP523168 TBT523103:TBT523168 SRX523103:SRX523168 SIB523103:SIB523168 RYF523103:RYF523168 ROJ523103:ROJ523168 REN523103:REN523168 QUR523103:QUR523168 QKV523103:QKV523168 QAZ523103:QAZ523168 PRD523103:PRD523168 PHH523103:PHH523168 OXL523103:OXL523168 ONP523103:ONP523168 ODT523103:ODT523168 NTX523103:NTX523168 NKB523103:NKB523168 NAF523103:NAF523168 MQJ523103:MQJ523168 MGN523103:MGN523168 LWR523103:LWR523168 LMV523103:LMV523168 LCZ523103:LCZ523168 KTD523103:KTD523168 KJH523103:KJH523168 JZL523103:JZL523168 JPP523103:JPP523168 JFT523103:JFT523168 IVX523103:IVX523168 IMB523103:IMB523168 ICF523103:ICF523168 HSJ523103:HSJ523168 HIN523103:HIN523168 GYR523103:GYR523168 GOV523103:GOV523168 GEZ523103:GEZ523168 FVD523103:FVD523168 FLH523103:FLH523168 FBL523103:FBL523168 ERP523103:ERP523168 EHT523103:EHT523168 DXX523103:DXX523168 DOB523103:DOB523168 DEF523103:DEF523168 CUJ523103:CUJ523168 CKN523103:CKN523168 CAR523103:CAR523168 BQV523103:BQV523168 BGZ523103:BGZ523168 AXD523103:AXD523168 ANH523103:ANH523168 ADL523103:ADL523168 TP523103:TP523168 JT523103:JT523168 X523103:X523168 WWF457567:WWF457632 WMJ457567:WMJ457632 WCN457567:WCN457632 VSR457567:VSR457632 VIV457567:VIV457632 UYZ457567:UYZ457632 UPD457567:UPD457632 UFH457567:UFH457632 TVL457567:TVL457632 TLP457567:TLP457632 TBT457567:TBT457632 SRX457567:SRX457632 SIB457567:SIB457632 RYF457567:RYF457632 ROJ457567:ROJ457632 REN457567:REN457632 QUR457567:QUR457632 QKV457567:QKV457632 QAZ457567:QAZ457632 PRD457567:PRD457632 PHH457567:PHH457632 OXL457567:OXL457632 ONP457567:ONP457632 ODT457567:ODT457632 NTX457567:NTX457632 NKB457567:NKB457632 NAF457567:NAF457632 MQJ457567:MQJ457632 MGN457567:MGN457632 LWR457567:LWR457632 LMV457567:LMV457632 LCZ457567:LCZ457632 KTD457567:KTD457632 KJH457567:KJH457632 JZL457567:JZL457632 JPP457567:JPP457632 JFT457567:JFT457632 IVX457567:IVX457632 IMB457567:IMB457632 ICF457567:ICF457632 HSJ457567:HSJ457632 HIN457567:HIN457632 GYR457567:GYR457632 GOV457567:GOV457632 GEZ457567:GEZ457632 FVD457567:FVD457632 FLH457567:FLH457632 FBL457567:FBL457632 ERP457567:ERP457632 EHT457567:EHT457632 DXX457567:DXX457632 DOB457567:DOB457632 DEF457567:DEF457632 CUJ457567:CUJ457632 CKN457567:CKN457632 CAR457567:CAR457632 BQV457567:BQV457632 BGZ457567:BGZ457632 AXD457567:AXD457632 ANH457567:ANH457632 ADL457567:ADL457632 TP457567:TP457632 JT457567:JT457632 X457567:X457632 WWF392031:WWF392096 WMJ392031:WMJ392096 WCN392031:WCN392096 VSR392031:VSR392096 VIV392031:VIV392096 UYZ392031:UYZ392096 UPD392031:UPD392096 UFH392031:UFH392096 TVL392031:TVL392096 TLP392031:TLP392096 TBT392031:TBT392096 SRX392031:SRX392096 SIB392031:SIB392096 RYF392031:RYF392096 ROJ392031:ROJ392096 REN392031:REN392096 QUR392031:QUR392096 QKV392031:QKV392096 QAZ392031:QAZ392096 PRD392031:PRD392096 PHH392031:PHH392096 OXL392031:OXL392096 ONP392031:ONP392096 ODT392031:ODT392096 NTX392031:NTX392096 NKB392031:NKB392096 NAF392031:NAF392096 MQJ392031:MQJ392096 MGN392031:MGN392096 LWR392031:LWR392096 LMV392031:LMV392096 LCZ392031:LCZ392096 KTD392031:KTD392096 KJH392031:KJH392096 JZL392031:JZL392096 JPP392031:JPP392096 JFT392031:JFT392096 IVX392031:IVX392096 IMB392031:IMB392096 ICF392031:ICF392096 HSJ392031:HSJ392096 HIN392031:HIN392096 GYR392031:GYR392096 GOV392031:GOV392096 GEZ392031:GEZ392096 FVD392031:FVD392096 FLH392031:FLH392096 FBL392031:FBL392096 ERP392031:ERP392096 EHT392031:EHT392096 DXX392031:DXX392096 DOB392031:DOB392096 DEF392031:DEF392096 CUJ392031:CUJ392096 CKN392031:CKN392096 CAR392031:CAR392096 BQV392031:BQV392096 BGZ392031:BGZ392096 AXD392031:AXD392096 ANH392031:ANH392096 ADL392031:ADL392096 TP392031:TP392096 JT392031:JT392096 X392031:X392096 WWF326495:WWF326560 WMJ326495:WMJ326560 WCN326495:WCN326560 VSR326495:VSR326560 VIV326495:VIV326560 UYZ326495:UYZ326560 UPD326495:UPD326560 UFH326495:UFH326560 TVL326495:TVL326560 TLP326495:TLP326560 TBT326495:TBT326560 SRX326495:SRX326560 SIB326495:SIB326560 RYF326495:RYF326560 ROJ326495:ROJ326560 REN326495:REN326560 QUR326495:QUR326560 QKV326495:QKV326560 QAZ326495:QAZ326560 PRD326495:PRD326560 PHH326495:PHH326560 OXL326495:OXL326560 ONP326495:ONP326560 ODT326495:ODT326560 NTX326495:NTX326560 NKB326495:NKB326560 NAF326495:NAF326560 MQJ326495:MQJ326560 MGN326495:MGN326560 LWR326495:LWR326560 LMV326495:LMV326560 LCZ326495:LCZ326560 KTD326495:KTD326560 KJH326495:KJH326560 JZL326495:JZL326560 JPP326495:JPP326560 JFT326495:JFT326560 IVX326495:IVX326560 IMB326495:IMB326560 ICF326495:ICF326560 HSJ326495:HSJ326560 HIN326495:HIN326560 GYR326495:GYR326560 GOV326495:GOV326560 GEZ326495:GEZ326560 FVD326495:FVD326560 FLH326495:FLH326560 FBL326495:FBL326560 ERP326495:ERP326560 EHT326495:EHT326560 DXX326495:DXX326560 DOB326495:DOB326560 DEF326495:DEF326560 CUJ326495:CUJ326560 CKN326495:CKN326560 CAR326495:CAR326560 BQV326495:BQV326560 BGZ326495:BGZ326560 AXD326495:AXD326560 ANH326495:ANH326560 ADL326495:ADL326560 TP326495:TP326560 JT326495:JT326560 X326495:X326560 WWF260959:WWF261024 WMJ260959:WMJ261024 WCN260959:WCN261024 VSR260959:VSR261024 VIV260959:VIV261024 UYZ260959:UYZ261024 UPD260959:UPD261024 UFH260959:UFH261024 TVL260959:TVL261024 TLP260959:TLP261024 TBT260959:TBT261024 SRX260959:SRX261024 SIB260959:SIB261024 RYF260959:RYF261024 ROJ260959:ROJ261024 REN260959:REN261024 QUR260959:QUR261024 QKV260959:QKV261024 QAZ260959:QAZ261024 PRD260959:PRD261024 PHH260959:PHH261024 OXL260959:OXL261024 ONP260959:ONP261024 ODT260959:ODT261024 NTX260959:NTX261024 NKB260959:NKB261024 NAF260959:NAF261024 MQJ260959:MQJ261024 MGN260959:MGN261024 LWR260959:LWR261024 LMV260959:LMV261024 LCZ260959:LCZ261024 KTD260959:KTD261024 KJH260959:KJH261024 JZL260959:JZL261024 JPP260959:JPP261024 JFT260959:JFT261024 IVX260959:IVX261024 IMB260959:IMB261024 ICF260959:ICF261024 HSJ260959:HSJ261024 HIN260959:HIN261024 GYR260959:GYR261024 GOV260959:GOV261024 GEZ260959:GEZ261024 FVD260959:FVD261024 FLH260959:FLH261024 FBL260959:FBL261024 ERP260959:ERP261024 EHT260959:EHT261024 DXX260959:DXX261024 DOB260959:DOB261024 DEF260959:DEF261024 CUJ260959:CUJ261024 CKN260959:CKN261024 CAR260959:CAR261024 BQV260959:BQV261024 BGZ260959:BGZ261024 AXD260959:AXD261024 ANH260959:ANH261024 ADL260959:ADL261024 TP260959:TP261024 JT260959:JT261024 X260959:X261024 WWF195423:WWF195488 WMJ195423:WMJ195488 WCN195423:WCN195488 VSR195423:VSR195488 VIV195423:VIV195488 UYZ195423:UYZ195488 UPD195423:UPD195488 UFH195423:UFH195488 TVL195423:TVL195488 TLP195423:TLP195488 TBT195423:TBT195488 SRX195423:SRX195488 SIB195423:SIB195488 RYF195423:RYF195488 ROJ195423:ROJ195488 REN195423:REN195488 QUR195423:QUR195488 QKV195423:QKV195488 QAZ195423:QAZ195488 PRD195423:PRD195488 PHH195423:PHH195488 OXL195423:OXL195488 ONP195423:ONP195488 ODT195423:ODT195488 NTX195423:NTX195488 NKB195423:NKB195488 NAF195423:NAF195488 MQJ195423:MQJ195488 MGN195423:MGN195488 LWR195423:LWR195488 LMV195423:LMV195488 LCZ195423:LCZ195488 KTD195423:KTD195488 KJH195423:KJH195488 JZL195423:JZL195488 JPP195423:JPP195488 JFT195423:JFT195488 IVX195423:IVX195488 IMB195423:IMB195488 ICF195423:ICF195488 HSJ195423:HSJ195488 HIN195423:HIN195488 GYR195423:GYR195488 GOV195423:GOV195488 GEZ195423:GEZ195488 FVD195423:FVD195488 FLH195423:FLH195488 FBL195423:FBL195488 ERP195423:ERP195488 EHT195423:EHT195488 DXX195423:DXX195488 DOB195423:DOB195488 DEF195423:DEF195488 CUJ195423:CUJ195488 CKN195423:CKN195488 CAR195423:CAR195488 BQV195423:BQV195488 BGZ195423:BGZ195488 AXD195423:AXD195488 ANH195423:ANH195488 ADL195423:ADL195488 TP195423:TP195488 JT195423:JT195488 X195423:X195488 WWF129887:WWF129952 WMJ129887:WMJ129952 WCN129887:WCN129952 VSR129887:VSR129952 VIV129887:VIV129952 UYZ129887:UYZ129952 UPD129887:UPD129952 UFH129887:UFH129952 TVL129887:TVL129952 TLP129887:TLP129952 TBT129887:TBT129952 SRX129887:SRX129952 SIB129887:SIB129952 RYF129887:RYF129952 ROJ129887:ROJ129952 REN129887:REN129952 QUR129887:QUR129952 QKV129887:QKV129952 QAZ129887:QAZ129952 PRD129887:PRD129952 PHH129887:PHH129952 OXL129887:OXL129952 ONP129887:ONP129952 ODT129887:ODT129952 NTX129887:NTX129952 NKB129887:NKB129952 NAF129887:NAF129952 MQJ129887:MQJ129952 MGN129887:MGN129952 LWR129887:LWR129952 LMV129887:LMV129952 LCZ129887:LCZ129952 KTD129887:KTD129952 KJH129887:KJH129952 JZL129887:JZL129952 JPP129887:JPP129952 JFT129887:JFT129952 IVX129887:IVX129952 IMB129887:IMB129952 ICF129887:ICF129952 HSJ129887:HSJ129952 HIN129887:HIN129952 GYR129887:GYR129952 GOV129887:GOV129952 GEZ129887:GEZ129952 FVD129887:FVD129952 FLH129887:FLH129952 FBL129887:FBL129952 ERP129887:ERP129952 EHT129887:EHT129952 DXX129887:DXX129952 DOB129887:DOB129952 DEF129887:DEF129952 CUJ129887:CUJ129952 CKN129887:CKN129952 CAR129887:CAR129952 BQV129887:BQV129952 BGZ129887:BGZ129952 AXD129887:AXD129952 ANH129887:ANH129952 ADL129887:ADL129952 TP129887:TP129952 JT129887:JT129952 X129887:X129952 WWF64351:WWF64416 WMJ64351:WMJ64416 WCN64351:WCN64416 VSR64351:VSR64416 VIV64351:VIV64416 UYZ64351:UYZ64416 UPD64351:UPD64416 UFH64351:UFH64416 TVL64351:TVL64416 TLP64351:TLP64416 TBT64351:TBT64416 SRX64351:SRX64416 SIB64351:SIB64416 RYF64351:RYF64416 ROJ64351:ROJ64416 REN64351:REN64416 QUR64351:QUR64416 QKV64351:QKV64416 QAZ64351:QAZ64416 PRD64351:PRD64416 PHH64351:PHH64416 OXL64351:OXL64416 ONP64351:ONP64416 ODT64351:ODT64416 NTX64351:NTX64416 NKB64351:NKB64416 NAF64351:NAF64416 MQJ64351:MQJ64416 MGN64351:MGN64416 LWR64351:LWR64416 LMV64351:LMV64416 LCZ64351:LCZ64416 KTD64351:KTD64416 KJH64351:KJH64416 JZL64351:JZL64416 JPP64351:JPP64416 JFT64351:JFT64416 IVX64351:IVX64416 IMB64351:IMB64416 ICF64351:ICF64416 HSJ64351:HSJ64416 HIN64351:HIN64416 GYR64351:GYR64416 GOV64351:GOV64416 GEZ64351:GEZ64416 FVD64351:FVD64416 FLH64351:FLH64416 FBL64351:FBL64416 ERP64351:ERP64416 EHT64351:EHT64416 DXX64351:DXX64416 DOB64351:DOB64416 DEF64351:DEF64416 CUJ64351:CUJ64416 CKN64351:CKN64416 CAR64351:CAR64416 BQV64351:BQV64416 BGZ64351:BGZ64416 AXD64351:AXD64416 ANH64351:ANH64416 ADL64351:ADL64416 TP64351:TP64416 ADL2:ADL61 TP2:TP61 JT2:JT61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X2:X488">
      <formula1>$AT$2:$AT$3</formula1>
    </dataValidation>
    <dataValidation type="list" allowBlank="1" showInputMessage="1" showErrorMessage="1" sqref="G64351:G64418 JC64351:JC64418 WLS983030:WLS983101 WBW983030:WBW983101 VSA983030:VSA983101 VIE983030:VIE983101 UYI983030:UYI983101 UOM983030:UOM983101 UEQ983030:UEQ983101 TUU983030:TUU983101 TKY983030:TKY983101 TBC983030:TBC983101 SRG983030:SRG983101 SHK983030:SHK983101 RXO983030:RXO983101 RNS983030:RNS983101 RDW983030:RDW983101 QUA983030:QUA983101 QKE983030:QKE983101 QAI983030:QAI983101 PQM983030:PQM983101 PGQ983030:PGQ983101 OWU983030:OWU983101 OMY983030:OMY983101 ODC983030:ODC983101 NTG983030:NTG983101 NJK983030:NJK983101 MZO983030:MZO983101 MPS983030:MPS983101 MFW983030:MFW983101 LWA983030:LWA983101 LME983030:LME983101 LCI983030:LCI983101 KSM983030:KSM983101 KIQ983030:KIQ983101 JYU983030:JYU983101 JOY983030:JOY983101 JFC983030:JFC983101 IVG983030:IVG983101 ILK983030:ILK983101 IBO983030:IBO983101 HRS983030:HRS983101 HHW983030:HHW983101 GYA983030:GYA983101 GOE983030:GOE983101 GEI983030:GEI983101 FUM983030:FUM983101 FKQ983030:FKQ983101 FAU983030:FAU983101 EQY983030:EQY983101 EHC983030:EHC983101 DXG983030:DXG983101 DNK983030:DNK983101 DDO983030:DDO983101 CTS983030:CTS983101 CJW983030:CJW983101 CAA983030:CAA983101 BQE983030:BQE983101 BGI983030:BGI983101 AWM983030:AWM983101 AMQ983030:AMQ983101 ACU983030:ACU983101 SY983030:SY983101 JC983030:JC983101 G983030:G983101 WVO917494:WVO917565 WLS917494:WLS917565 WBW917494:WBW917565 VSA917494:VSA917565 VIE917494:VIE917565 UYI917494:UYI917565 UOM917494:UOM917565 UEQ917494:UEQ917565 TUU917494:TUU917565 TKY917494:TKY917565 TBC917494:TBC917565 SRG917494:SRG917565 SHK917494:SHK917565 RXO917494:RXO917565 RNS917494:RNS917565 RDW917494:RDW917565 QUA917494:QUA917565 QKE917494:QKE917565 QAI917494:QAI917565 PQM917494:PQM917565 PGQ917494:PGQ917565 OWU917494:OWU917565 OMY917494:OMY917565 ODC917494:ODC917565 NTG917494:NTG917565 NJK917494:NJK917565 MZO917494:MZO917565 MPS917494:MPS917565 MFW917494:MFW917565 LWA917494:LWA917565 LME917494:LME917565 LCI917494:LCI917565 KSM917494:KSM917565 KIQ917494:KIQ917565 JYU917494:JYU917565 JOY917494:JOY917565 JFC917494:JFC917565 IVG917494:IVG917565 ILK917494:ILK917565 IBO917494:IBO917565 HRS917494:HRS917565 HHW917494:HHW917565 GYA917494:GYA917565 GOE917494:GOE917565 GEI917494:GEI917565 FUM917494:FUM917565 FKQ917494:FKQ917565 FAU917494:FAU917565 EQY917494:EQY917565 EHC917494:EHC917565 DXG917494:DXG917565 DNK917494:DNK917565 DDO917494:DDO917565 CTS917494:CTS917565 CJW917494:CJW917565 CAA917494:CAA917565 BQE917494:BQE917565 BGI917494:BGI917565 AWM917494:AWM917565 AMQ917494:AMQ917565 ACU917494:ACU917565 SY917494:SY917565 JC917494:JC917565 G917494:G917565 WVO851958:WVO852029 WLS851958:WLS852029 WBW851958:WBW852029 VSA851958:VSA852029 VIE851958:VIE852029 UYI851958:UYI852029 UOM851958:UOM852029 UEQ851958:UEQ852029 TUU851958:TUU852029 TKY851958:TKY852029 TBC851958:TBC852029 SRG851958:SRG852029 SHK851958:SHK852029 RXO851958:RXO852029 RNS851958:RNS852029 RDW851958:RDW852029 QUA851958:QUA852029 QKE851958:QKE852029 QAI851958:QAI852029 PQM851958:PQM852029 PGQ851958:PGQ852029 OWU851958:OWU852029 OMY851958:OMY852029 ODC851958:ODC852029 NTG851958:NTG852029 NJK851958:NJK852029 MZO851958:MZO852029 MPS851958:MPS852029 MFW851958:MFW852029 LWA851958:LWA852029 LME851958:LME852029 LCI851958:LCI852029 KSM851958:KSM852029 KIQ851958:KIQ852029 JYU851958:JYU852029 JOY851958:JOY852029 JFC851958:JFC852029 IVG851958:IVG852029 ILK851958:ILK852029 IBO851958:IBO852029 HRS851958:HRS852029 HHW851958:HHW852029 GYA851958:GYA852029 GOE851958:GOE852029 GEI851958:GEI852029 FUM851958:FUM852029 FKQ851958:FKQ852029 FAU851958:FAU852029 EQY851958:EQY852029 EHC851958:EHC852029 DXG851958:DXG852029 DNK851958:DNK852029 DDO851958:DDO852029 CTS851958:CTS852029 CJW851958:CJW852029 CAA851958:CAA852029 BQE851958:BQE852029 BGI851958:BGI852029 AWM851958:AWM852029 AMQ851958:AMQ852029 ACU851958:ACU852029 SY851958:SY852029 JC851958:JC852029 G851958:G852029 WVO786422:WVO786493 WLS786422:WLS786493 WBW786422:WBW786493 VSA786422:VSA786493 VIE786422:VIE786493 UYI786422:UYI786493 UOM786422:UOM786493 UEQ786422:UEQ786493 TUU786422:TUU786493 TKY786422:TKY786493 TBC786422:TBC786493 SRG786422:SRG786493 SHK786422:SHK786493 RXO786422:RXO786493 RNS786422:RNS786493 RDW786422:RDW786493 QUA786422:QUA786493 QKE786422:QKE786493 QAI786422:QAI786493 PQM786422:PQM786493 PGQ786422:PGQ786493 OWU786422:OWU786493 OMY786422:OMY786493 ODC786422:ODC786493 NTG786422:NTG786493 NJK786422:NJK786493 MZO786422:MZO786493 MPS786422:MPS786493 MFW786422:MFW786493 LWA786422:LWA786493 LME786422:LME786493 LCI786422:LCI786493 KSM786422:KSM786493 KIQ786422:KIQ786493 JYU786422:JYU786493 JOY786422:JOY786493 JFC786422:JFC786493 IVG786422:IVG786493 ILK786422:ILK786493 IBO786422:IBO786493 HRS786422:HRS786493 HHW786422:HHW786493 GYA786422:GYA786493 GOE786422:GOE786493 GEI786422:GEI786493 FUM786422:FUM786493 FKQ786422:FKQ786493 FAU786422:FAU786493 EQY786422:EQY786493 EHC786422:EHC786493 DXG786422:DXG786493 DNK786422:DNK786493 DDO786422:DDO786493 CTS786422:CTS786493 CJW786422:CJW786493 CAA786422:CAA786493 BQE786422:BQE786493 BGI786422:BGI786493 AWM786422:AWM786493 AMQ786422:AMQ786493 ACU786422:ACU786493 SY786422:SY786493 JC786422:JC786493 G786422:G786493 WVO720886:WVO720957 WLS720886:WLS720957 WBW720886:WBW720957 VSA720886:VSA720957 VIE720886:VIE720957 UYI720886:UYI720957 UOM720886:UOM720957 UEQ720886:UEQ720957 TUU720886:TUU720957 TKY720886:TKY720957 TBC720886:TBC720957 SRG720886:SRG720957 SHK720886:SHK720957 RXO720886:RXO720957 RNS720886:RNS720957 RDW720886:RDW720957 QUA720886:QUA720957 QKE720886:QKE720957 QAI720886:QAI720957 PQM720886:PQM720957 PGQ720886:PGQ720957 OWU720886:OWU720957 OMY720886:OMY720957 ODC720886:ODC720957 NTG720886:NTG720957 NJK720886:NJK720957 MZO720886:MZO720957 MPS720886:MPS720957 MFW720886:MFW720957 LWA720886:LWA720957 LME720886:LME720957 LCI720886:LCI720957 KSM720886:KSM720957 KIQ720886:KIQ720957 JYU720886:JYU720957 JOY720886:JOY720957 JFC720886:JFC720957 IVG720886:IVG720957 ILK720886:ILK720957 IBO720886:IBO720957 HRS720886:HRS720957 HHW720886:HHW720957 GYA720886:GYA720957 GOE720886:GOE720957 GEI720886:GEI720957 FUM720886:FUM720957 FKQ720886:FKQ720957 FAU720886:FAU720957 EQY720886:EQY720957 EHC720886:EHC720957 DXG720886:DXG720957 DNK720886:DNK720957 DDO720886:DDO720957 CTS720886:CTS720957 CJW720886:CJW720957 CAA720886:CAA720957 BQE720886:BQE720957 BGI720886:BGI720957 AWM720886:AWM720957 AMQ720886:AMQ720957 ACU720886:ACU720957 SY720886:SY720957 JC720886:JC720957 G720886:G720957 WVO655350:WVO655421 WLS655350:WLS655421 WBW655350:WBW655421 VSA655350:VSA655421 VIE655350:VIE655421 UYI655350:UYI655421 UOM655350:UOM655421 UEQ655350:UEQ655421 TUU655350:TUU655421 TKY655350:TKY655421 TBC655350:TBC655421 SRG655350:SRG655421 SHK655350:SHK655421 RXO655350:RXO655421 RNS655350:RNS655421 RDW655350:RDW655421 QUA655350:QUA655421 QKE655350:QKE655421 QAI655350:QAI655421 PQM655350:PQM655421 PGQ655350:PGQ655421 OWU655350:OWU655421 OMY655350:OMY655421 ODC655350:ODC655421 NTG655350:NTG655421 NJK655350:NJK655421 MZO655350:MZO655421 MPS655350:MPS655421 MFW655350:MFW655421 LWA655350:LWA655421 LME655350:LME655421 LCI655350:LCI655421 KSM655350:KSM655421 KIQ655350:KIQ655421 JYU655350:JYU655421 JOY655350:JOY655421 JFC655350:JFC655421 IVG655350:IVG655421 ILK655350:ILK655421 IBO655350:IBO655421 HRS655350:HRS655421 HHW655350:HHW655421 GYA655350:GYA655421 GOE655350:GOE655421 GEI655350:GEI655421 FUM655350:FUM655421 FKQ655350:FKQ655421 FAU655350:FAU655421 EQY655350:EQY655421 EHC655350:EHC655421 DXG655350:DXG655421 DNK655350:DNK655421 DDO655350:DDO655421 CTS655350:CTS655421 CJW655350:CJW655421 CAA655350:CAA655421 BQE655350:BQE655421 BGI655350:BGI655421 AWM655350:AWM655421 AMQ655350:AMQ655421 ACU655350:ACU655421 SY655350:SY655421 JC655350:JC655421 G655350:G655421 WVO589814:WVO589885 WLS589814:WLS589885 WBW589814:WBW589885 VSA589814:VSA589885 VIE589814:VIE589885 UYI589814:UYI589885 UOM589814:UOM589885 UEQ589814:UEQ589885 TUU589814:TUU589885 TKY589814:TKY589885 TBC589814:TBC589885 SRG589814:SRG589885 SHK589814:SHK589885 RXO589814:RXO589885 RNS589814:RNS589885 RDW589814:RDW589885 QUA589814:QUA589885 QKE589814:QKE589885 QAI589814:QAI589885 PQM589814:PQM589885 PGQ589814:PGQ589885 OWU589814:OWU589885 OMY589814:OMY589885 ODC589814:ODC589885 NTG589814:NTG589885 NJK589814:NJK589885 MZO589814:MZO589885 MPS589814:MPS589885 MFW589814:MFW589885 LWA589814:LWA589885 LME589814:LME589885 LCI589814:LCI589885 KSM589814:KSM589885 KIQ589814:KIQ589885 JYU589814:JYU589885 JOY589814:JOY589885 JFC589814:JFC589885 IVG589814:IVG589885 ILK589814:ILK589885 IBO589814:IBO589885 HRS589814:HRS589885 HHW589814:HHW589885 GYA589814:GYA589885 GOE589814:GOE589885 GEI589814:GEI589885 FUM589814:FUM589885 FKQ589814:FKQ589885 FAU589814:FAU589885 EQY589814:EQY589885 EHC589814:EHC589885 DXG589814:DXG589885 DNK589814:DNK589885 DDO589814:DDO589885 CTS589814:CTS589885 CJW589814:CJW589885 CAA589814:CAA589885 BQE589814:BQE589885 BGI589814:BGI589885 AWM589814:AWM589885 AMQ589814:AMQ589885 ACU589814:ACU589885 SY589814:SY589885 JC589814:JC589885 G589814:G589885 WVO524278:WVO524349 WLS524278:WLS524349 WBW524278:WBW524349 VSA524278:VSA524349 VIE524278:VIE524349 UYI524278:UYI524349 UOM524278:UOM524349 UEQ524278:UEQ524349 TUU524278:TUU524349 TKY524278:TKY524349 TBC524278:TBC524349 SRG524278:SRG524349 SHK524278:SHK524349 RXO524278:RXO524349 RNS524278:RNS524349 RDW524278:RDW524349 QUA524278:QUA524349 QKE524278:QKE524349 QAI524278:QAI524349 PQM524278:PQM524349 PGQ524278:PGQ524349 OWU524278:OWU524349 OMY524278:OMY524349 ODC524278:ODC524349 NTG524278:NTG524349 NJK524278:NJK524349 MZO524278:MZO524349 MPS524278:MPS524349 MFW524278:MFW524349 LWA524278:LWA524349 LME524278:LME524349 LCI524278:LCI524349 KSM524278:KSM524349 KIQ524278:KIQ524349 JYU524278:JYU524349 JOY524278:JOY524349 JFC524278:JFC524349 IVG524278:IVG524349 ILK524278:ILK524349 IBO524278:IBO524349 HRS524278:HRS524349 HHW524278:HHW524349 GYA524278:GYA524349 GOE524278:GOE524349 GEI524278:GEI524349 FUM524278:FUM524349 FKQ524278:FKQ524349 FAU524278:FAU524349 EQY524278:EQY524349 EHC524278:EHC524349 DXG524278:DXG524349 DNK524278:DNK524349 DDO524278:DDO524349 CTS524278:CTS524349 CJW524278:CJW524349 CAA524278:CAA524349 BQE524278:BQE524349 BGI524278:BGI524349 AWM524278:AWM524349 AMQ524278:AMQ524349 ACU524278:ACU524349 SY524278:SY524349 JC524278:JC524349 G524278:G524349 WVO458742:WVO458813 WLS458742:WLS458813 WBW458742:WBW458813 VSA458742:VSA458813 VIE458742:VIE458813 UYI458742:UYI458813 UOM458742:UOM458813 UEQ458742:UEQ458813 TUU458742:TUU458813 TKY458742:TKY458813 TBC458742:TBC458813 SRG458742:SRG458813 SHK458742:SHK458813 RXO458742:RXO458813 RNS458742:RNS458813 RDW458742:RDW458813 QUA458742:QUA458813 QKE458742:QKE458813 QAI458742:QAI458813 PQM458742:PQM458813 PGQ458742:PGQ458813 OWU458742:OWU458813 OMY458742:OMY458813 ODC458742:ODC458813 NTG458742:NTG458813 NJK458742:NJK458813 MZO458742:MZO458813 MPS458742:MPS458813 MFW458742:MFW458813 LWA458742:LWA458813 LME458742:LME458813 LCI458742:LCI458813 KSM458742:KSM458813 KIQ458742:KIQ458813 JYU458742:JYU458813 JOY458742:JOY458813 JFC458742:JFC458813 IVG458742:IVG458813 ILK458742:ILK458813 IBO458742:IBO458813 HRS458742:HRS458813 HHW458742:HHW458813 GYA458742:GYA458813 GOE458742:GOE458813 GEI458742:GEI458813 FUM458742:FUM458813 FKQ458742:FKQ458813 FAU458742:FAU458813 EQY458742:EQY458813 EHC458742:EHC458813 DXG458742:DXG458813 DNK458742:DNK458813 DDO458742:DDO458813 CTS458742:CTS458813 CJW458742:CJW458813 CAA458742:CAA458813 BQE458742:BQE458813 BGI458742:BGI458813 AWM458742:AWM458813 AMQ458742:AMQ458813 ACU458742:ACU458813 SY458742:SY458813 JC458742:JC458813 G458742:G458813 WVO393206:WVO393277 WLS393206:WLS393277 WBW393206:WBW393277 VSA393206:VSA393277 VIE393206:VIE393277 UYI393206:UYI393277 UOM393206:UOM393277 UEQ393206:UEQ393277 TUU393206:TUU393277 TKY393206:TKY393277 TBC393206:TBC393277 SRG393206:SRG393277 SHK393206:SHK393277 RXO393206:RXO393277 RNS393206:RNS393277 RDW393206:RDW393277 QUA393206:QUA393277 QKE393206:QKE393277 QAI393206:QAI393277 PQM393206:PQM393277 PGQ393206:PGQ393277 OWU393206:OWU393277 OMY393206:OMY393277 ODC393206:ODC393277 NTG393206:NTG393277 NJK393206:NJK393277 MZO393206:MZO393277 MPS393206:MPS393277 MFW393206:MFW393277 LWA393206:LWA393277 LME393206:LME393277 LCI393206:LCI393277 KSM393206:KSM393277 KIQ393206:KIQ393277 JYU393206:JYU393277 JOY393206:JOY393277 JFC393206:JFC393277 IVG393206:IVG393277 ILK393206:ILK393277 IBO393206:IBO393277 HRS393206:HRS393277 HHW393206:HHW393277 GYA393206:GYA393277 GOE393206:GOE393277 GEI393206:GEI393277 FUM393206:FUM393277 FKQ393206:FKQ393277 FAU393206:FAU393277 EQY393206:EQY393277 EHC393206:EHC393277 DXG393206:DXG393277 DNK393206:DNK393277 DDO393206:DDO393277 CTS393206:CTS393277 CJW393206:CJW393277 CAA393206:CAA393277 BQE393206:BQE393277 BGI393206:BGI393277 AWM393206:AWM393277 AMQ393206:AMQ393277 ACU393206:ACU393277 SY393206:SY393277 JC393206:JC393277 G393206:G393277 WVO327670:WVO327741 WLS327670:WLS327741 WBW327670:WBW327741 VSA327670:VSA327741 VIE327670:VIE327741 UYI327670:UYI327741 UOM327670:UOM327741 UEQ327670:UEQ327741 TUU327670:TUU327741 TKY327670:TKY327741 TBC327670:TBC327741 SRG327670:SRG327741 SHK327670:SHK327741 RXO327670:RXO327741 RNS327670:RNS327741 RDW327670:RDW327741 QUA327670:QUA327741 QKE327670:QKE327741 QAI327670:QAI327741 PQM327670:PQM327741 PGQ327670:PGQ327741 OWU327670:OWU327741 OMY327670:OMY327741 ODC327670:ODC327741 NTG327670:NTG327741 NJK327670:NJK327741 MZO327670:MZO327741 MPS327670:MPS327741 MFW327670:MFW327741 LWA327670:LWA327741 LME327670:LME327741 LCI327670:LCI327741 KSM327670:KSM327741 KIQ327670:KIQ327741 JYU327670:JYU327741 JOY327670:JOY327741 JFC327670:JFC327741 IVG327670:IVG327741 ILK327670:ILK327741 IBO327670:IBO327741 HRS327670:HRS327741 HHW327670:HHW327741 GYA327670:GYA327741 GOE327670:GOE327741 GEI327670:GEI327741 FUM327670:FUM327741 FKQ327670:FKQ327741 FAU327670:FAU327741 EQY327670:EQY327741 EHC327670:EHC327741 DXG327670:DXG327741 DNK327670:DNK327741 DDO327670:DDO327741 CTS327670:CTS327741 CJW327670:CJW327741 CAA327670:CAA327741 BQE327670:BQE327741 BGI327670:BGI327741 AWM327670:AWM327741 AMQ327670:AMQ327741 ACU327670:ACU327741 SY327670:SY327741 JC327670:JC327741 G327670:G327741 WVO262134:WVO262205 WLS262134:WLS262205 WBW262134:WBW262205 VSA262134:VSA262205 VIE262134:VIE262205 UYI262134:UYI262205 UOM262134:UOM262205 UEQ262134:UEQ262205 TUU262134:TUU262205 TKY262134:TKY262205 TBC262134:TBC262205 SRG262134:SRG262205 SHK262134:SHK262205 RXO262134:RXO262205 RNS262134:RNS262205 RDW262134:RDW262205 QUA262134:QUA262205 QKE262134:QKE262205 QAI262134:QAI262205 PQM262134:PQM262205 PGQ262134:PGQ262205 OWU262134:OWU262205 OMY262134:OMY262205 ODC262134:ODC262205 NTG262134:NTG262205 NJK262134:NJK262205 MZO262134:MZO262205 MPS262134:MPS262205 MFW262134:MFW262205 LWA262134:LWA262205 LME262134:LME262205 LCI262134:LCI262205 KSM262134:KSM262205 KIQ262134:KIQ262205 JYU262134:JYU262205 JOY262134:JOY262205 JFC262134:JFC262205 IVG262134:IVG262205 ILK262134:ILK262205 IBO262134:IBO262205 HRS262134:HRS262205 HHW262134:HHW262205 GYA262134:GYA262205 GOE262134:GOE262205 GEI262134:GEI262205 FUM262134:FUM262205 FKQ262134:FKQ262205 FAU262134:FAU262205 EQY262134:EQY262205 EHC262134:EHC262205 DXG262134:DXG262205 DNK262134:DNK262205 DDO262134:DDO262205 CTS262134:CTS262205 CJW262134:CJW262205 CAA262134:CAA262205 BQE262134:BQE262205 BGI262134:BGI262205 AWM262134:AWM262205 AMQ262134:AMQ262205 ACU262134:ACU262205 SY262134:SY262205 JC262134:JC262205 G262134:G262205 WVO196598:WVO196669 WLS196598:WLS196669 WBW196598:WBW196669 VSA196598:VSA196669 VIE196598:VIE196669 UYI196598:UYI196669 UOM196598:UOM196669 UEQ196598:UEQ196669 TUU196598:TUU196669 TKY196598:TKY196669 TBC196598:TBC196669 SRG196598:SRG196669 SHK196598:SHK196669 RXO196598:RXO196669 RNS196598:RNS196669 RDW196598:RDW196669 QUA196598:QUA196669 QKE196598:QKE196669 QAI196598:QAI196669 PQM196598:PQM196669 PGQ196598:PGQ196669 OWU196598:OWU196669 OMY196598:OMY196669 ODC196598:ODC196669 NTG196598:NTG196669 NJK196598:NJK196669 MZO196598:MZO196669 MPS196598:MPS196669 MFW196598:MFW196669 LWA196598:LWA196669 LME196598:LME196669 LCI196598:LCI196669 KSM196598:KSM196669 KIQ196598:KIQ196669 JYU196598:JYU196669 JOY196598:JOY196669 JFC196598:JFC196669 IVG196598:IVG196669 ILK196598:ILK196669 IBO196598:IBO196669 HRS196598:HRS196669 HHW196598:HHW196669 GYA196598:GYA196669 GOE196598:GOE196669 GEI196598:GEI196669 FUM196598:FUM196669 FKQ196598:FKQ196669 FAU196598:FAU196669 EQY196598:EQY196669 EHC196598:EHC196669 DXG196598:DXG196669 DNK196598:DNK196669 DDO196598:DDO196669 CTS196598:CTS196669 CJW196598:CJW196669 CAA196598:CAA196669 BQE196598:BQE196669 BGI196598:BGI196669 AWM196598:AWM196669 AMQ196598:AMQ196669 ACU196598:ACU196669 SY196598:SY196669 JC196598:JC196669 G196598:G196669 WVO131062:WVO131133 WLS131062:WLS131133 WBW131062:WBW131133 VSA131062:VSA131133 VIE131062:VIE131133 UYI131062:UYI131133 UOM131062:UOM131133 UEQ131062:UEQ131133 TUU131062:TUU131133 TKY131062:TKY131133 TBC131062:TBC131133 SRG131062:SRG131133 SHK131062:SHK131133 RXO131062:RXO131133 RNS131062:RNS131133 RDW131062:RDW131133 QUA131062:QUA131133 QKE131062:QKE131133 QAI131062:QAI131133 PQM131062:PQM131133 PGQ131062:PGQ131133 OWU131062:OWU131133 OMY131062:OMY131133 ODC131062:ODC131133 NTG131062:NTG131133 NJK131062:NJK131133 MZO131062:MZO131133 MPS131062:MPS131133 MFW131062:MFW131133 LWA131062:LWA131133 LME131062:LME131133 LCI131062:LCI131133 KSM131062:KSM131133 KIQ131062:KIQ131133 JYU131062:JYU131133 JOY131062:JOY131133 JFC131062:JFC131133 IVG131062:IVG131133 ILK131062:ILK131133 IBO131062:IBO131133 HRS131062:HRS131133 HHW131062:HHW131133 GYA131062:GYA131133 GOE131062:GOE131133 GEI131062:GEI131133 FUM131062:FUM131133 FKQ131062:FKQ131133 FAU131062:FAU131133 EQY131062:EQY131133 EHC131062:EHC131133 DXG131062:DXG131133 DNK131062:DNK131133 DDO131062:DDO131133 CTS131062:CTS131133 CJW131062:CJW131133 CAA131062:CAA131133 BQE131062:BQE131133 BGI131062:BGI131133 AWM131062:AWM131133 AMQ131062:AMQ131133 ACU131062:ACU131133 SY131062:SY131133 JC131062:JC131133 G131062:G131133 WVO65526:WVO65597 WLS65526:WLS65597 WBW65526:WBW65597 VSA65526:VSA65597 VIE65526:VIE65597 UYI65526:UYI65597 UOM65526:UOM65597 UEQ65526:UEQ65597 TUU65526:TUU65597 TKY65526:TKY65597 TBC65526:TBC65597 SRG65526:SRG65597 SHK65526:SHK65597 RXO65526:RXO65597 RNS65526:RNS65597 RDW65526:RDW65597 QUA65526:QUA65597 QKE65526:QKE65597 QAI65526:QAI65597 PQM65526:PQM65597 PGQ65526:PGQ65597 OWU65526:OWU65597 OMY65526:OMY65597 ODC65526:ODC65597 NTG65526:NTG65597 NJK65526:NJK65597 MZO65526:MZO65597 MPS65526:MPS65597 MFW65526:MFW65597 LWA65526:LWA65597 LME65526:LME65597 LCI65526:LCI65597 KSM65526:KSM65597 KIQ65526:KIQ65597 JYU65526:JYU65597 JOY65526:JOY65597 JFC65526:JFC65597 IVG65526:IVG65597 ILK65526:ILK65597 IBO65526:IBO65597 HRS65526:HRS65597 HHW65526:HHW65597 GYA65526:GYA65597 GOE65526:GOE65597 GEI65526:GEI65597 FUM65526:FUM65597 FKQ65526:FKQ65597 FAU65526:FAU65597 EQY65526:EQY65597 EHC65526:EHC65597 DXG65526:DXG65597 DNK65526:DNK65597 DDO65526:DDO65597 CTS65526:CTS65597 CJW65526:CJW65597 CAA65526:CAA65597 BQE65526:BQE65597 BGI65526:BGI65597 AWM65526:AWM65597 AMQ65526:AMQ65597 ACU65526:ACU65597 SY65526:SY65597 JC65526:JC65597 G65526:G65597 WVO983030:WVO983101 WVO1047391:WVO1047458 WLS1047391:WLS1047458 WBW1047391:WBW1047458 VSA1047391:VSA1047458 VIE1047391:VIE1047458 UYI1047391:UYI1047458 UOM1047391:UOM1047458 UEQ1047391:UEQ1047458 TUU1047391:TUU1047458 TKY1047391:TKY1047458 TBC1047391:TBC1047458 SRG1047391:SRG1047458 SHK1047391:SHK1047458 RXO1047391:RXO1047458 RNS1047391:RNS1047458 RDW1047391:RDW1047458 QUA1047391:QUA1047458 QKE1047391:QKE1047458 QAI1047391:QAI1047458 PQM1047391:PQM1047458 PGQ1047391:PGQ1047458 OWU1047391:OWU1047458 OMY1047391:OMY1047458 ODC1047391:ODC1047458 NTG1047391:NTG1047458 NJK1047391:NJK1047458 MZO1047391:MZO1047458 MPS1047391:MPS1047458 MFW1047391:MFW1047458 LWA1047391:LWA1047458 LME1047391:LME1047458 LCI1047391:LCI1047458 KSM1047391:KSM1047458 KIQ1047391:KIQ1047458 JYU1047391:JYU1047458 JOY1047391:JOY1047458 JFC1047391:JFC1047458 IVG1047391:IVG1047458 ILK1047391:ILK1047458 IBO1047391:IBO1047458 HRS1047391:HRS1047458 HHW1047391:HHW1047458 GYA1047391:GYA1047458 GOE1047391:GOE1047458 GEI1047391:GEI1047458 FUM1047391:FUM1047458 FKQ1047391:FKQ1047458 FAU1047391:FAU1047458 EQY1047391:EQY1047458 EHC1047391:EHC1047458 DXG1047391:DXG1047458 DNK1047391:DNK1047458 DDO1047391:DDO1047458 CTS1047391:CTS1047458 CJW1047391:CJW1047458 CAA1047391:CAA1047458 BQE1047391:BQE1047458 BGI1047391:BGI1047458 AWM1047391:AWM1047458 AMQ1047391:AMQ1047458 ACU1047391:ACU1047458 SY1047391:SY1047458 JC1047391:JC1047458 G1047391:G1047458 WVO981855:WVO981922 WLS981855:WLS981922 WBW981855:WBW981922 VSA981855:VSA981922 VIE981855:VIE981922 UYI981855:UYI981922 UOM981855:UOM981922 UEQ981855:UEQ981922 TUU981855:TUU981922 TKY981855:TKY981922 TBC981855:TBC981922 SRG981855:SRG981922 SHK981855:SHK981922 RXO981855:RXO981922 RNS981855:RNS981922 RDW981855:RDW981922 QUA981855:QUA981922 QKE981855:QKE981922 QAI981855:QAI981922 PQM981855:PQM981922 PGQ981855:PGQ981922 OWU981855:OWU981922 OMY981855:OMY981922 ODC981855:ODC981922 NTG981855:NTG981922 NJK981855:NJK981922 MZO981855:MZO981922 MPS981855:MPS981922 MFW981855:MFW981922 LWA981855:LWA981922 LME981855:LME981922 LCI981855:LCI981922 KSM981855:KSM981922 KIQ981855:KIQ981922 JYU981855:JYU981922 JOY981855:JOY981922 JFC981855:JFC981922 IVG981855:IVG981922 ILK981855:ILK981922 IBO981855:IBO981922 HRS981855:HRS981922 HHW981855:HHW981922 GYA981855:GYA981922 GOE981855:GOE981922 GEI981855:GEI981922 FUM981855:FUM981922 FKQ981855:FKQ981922 FAU981855:FAU981922 EQY981855:EQY981922 EHC981855:EHC981922 DXG981855:DXG981922 DNK981855:DNK981922 DDO981855:DDO981922 CTS981855:CTS981922 CJW981855:CJW981922 CAA981855:CAA981922 BQE981855:BQE981922 BGI981855:BGI981922 AWM981855:AWM981922 AMQ981855:AMQ981922 ACU981855:ACU981922 SY981855:SY981922 JC981855:JC981922 G981855:G981922 WVO916319:WVO916386 WLS916319:WLS916386 WBW916319:WBW916386 VSA916319:VSA916386 VIE916319:VIE916386 UYI916319:UYI916386 UOM916319:UOM916386 UEQ916319:UEQ916386 TUU916319:TUU916386 TKY916319:TKY916386 TBC916319:TBC916386 SRG916319:SRG916386 SHK916319:SHK916386 RXO916319:RXO916386 RNS916319:RNS916386 RDW916319:RDW916386 QUA916319:QUA916386 QKE916319:QKE916386 QAI916319:QAI916386 PQM916319:PQM916386 PGQ916319:PGQ916386 OWU916319:OWU916386 OMY916319:OMY916386 ODC916319:ODC916386 NTG916319:NTG916386 NJK916319:NJK916386 MZO916319:MZO916386 MPS916319:MPS916386 MFW916319:MFW916386 LWA916319:LWA916386 LME916319:LME916386 LCI916319:LCI916386 KSM916319:KSM916386 KIQ916319:KIQ916386 JYU916319:JYU916386 JOY916319:JOY916386 JFC916319:JFC916386 IVG916319:IVG916386 ILK916319:ILK916386 IBO916319:IBO916386 HRS916319:HRS916386 HHW916319:HHW916386 GYA916319:GYA916386 GOE916319:GOE916386 GEI916319:GEI916386 FUM916319:FUM916386 FKQ916319:FKQ916386 FAU916319:FAU916386 EQY916319:EQY916386 EHC916319:EHC916386 DXG916319:DXG916386 DNK916319:DNK916386 DDO916319:DDO916386 CTS916319:CTS916386 CJW916319:CJW916386 CAA916319:CAA916386 BQE916319:BQE916386 BGI916319:BGI916386 AWM916319:AWM916386 AMQ916319:AMQ916386 ACU916319:ACU916386 SY916319:SY916386 JC916319:JC916386 G916319:G916386 WVO850783:WVO850850 WLS850783:WLS850850 WBW850783:WBW850850 VSA850783:VSA850850 VIE850783:VIE850850 UYI850783:UYI850850 UOM850783:UOM850850 UEQ850783:UEQ850850 TUU850783:TUU850850 TKY850783:TKY850850 TBC850783:TBC850850 SRG850783:SRG850850 SHK850783:SHK850850 RXO850783:RXO850850 RNS850783:RNS850850 RDW850783:RDW850850 QUA850783:QUA850850 QKE850783:QKE850850 QAI850783:QAI850850 PQM850783:PQM850850 PGQ850783:PGQ850850 OWU850783:OWU850850 OMY850783:OMY850850 ODC850783:ODC850850 NTG850783:NTG850850 NJK850783:NJK850850 MZO850783:MZO850850 MPS850783:MPS850850 MFW850783:MFW850850 LWA850783:LWA850850 LME850783:LME850850 LCI850783:LCI850850 KSM850783:KSM850850 KIQ850783:KIQ850850 JYU850783:JYU850850 JOY850783:JOY850850 JFC850783:JFC850850 IVG850783:IVG850850 ILK850783:ILK850850 IBO850783:IBO850850 HRS850783:HRS850850 HHW850783:HHW850850 GYA850783:GYA850850 GOE850783:GOE850850 GEI850783:GEI850850 FUM850783:FUM850850 FKQ850783:FKQ850850 FAU850783:FAU850850 EQY850783:EQY850850 EHC850783:EHC850850 DXG850783:DXG850850 DNK850783:DNK850850 DDO850783:DDO850850 CTS850783:CTS850850 CJW850783:CJW850850 CAA850783:CAA850850 BQE850783:BQE850850 BGI850783:BGI850850 AWM850783:AWM850850 AMQ850783:AMQ850850 ACU850783:ACU850850 SY850783:SY850850 JC850783:JC850850 G850783:G850850 WVO785247:WVO785314 WLS785247:WLS785314 WBW785247:WBW785314 VSA785247:VSA785314 VIE785247:VIE785314 UYI785247:UYI785314 UOM785247:UOM785314 UEQ785247:UEQ785314 TUU785247:TUU785314 TKY785247:TKY785314 TBC785247:TBC785314 SRG785247:SRG785314 SHK785247:SHK785314 RXO785247:RXO785314 RNS785247:RNS785314 RDW785247:RDW785314 QUA785247:QUA785314 QKE785247:QKE785314 QAI785247:QAI785314 PQM785247:PQM785314 PGQ785247:PGQ785314 OWU785247:OWU785314 OMY785247:OMY785314 ODC785247:ODC785314 NTG785247:NTG785314 NJK785247:NJK785314 MZO785247:MZO785314 MPS785247:MPS785314 MFW785247:MFW785314 LWA785247:LWA785314 LME785247:LME785314 LCI785247:LCI785314 KSM785247:KSM785314 KIQ785247:KIQ785314 JYU785247:JYU785314 JOY785247:JOY785314 JFC785247:JFC785314 IVG785247:IVG785314 ILK785247:ILK785314 IBO785247:IBO785314 HRS785247:HRS785314 HHW785247:HHW785314 GYA785247:GYA785314 GOE785247:GOE785314 GEI785247:GEI785314 FUM785247:FUM785314 FKQ785247:FKQ785314 FAU785247:FAU785314 EQY785247:EQY785314 EHC785247:EHC785314 DXG785247:DXG785314 DNK785247:DNK785314 DDO785247:DDO785314 CTS785247:CTS785314 CJW785247:CJW785314 CAA785247:CAA785314 BQE785247:BQE785314 BGI785247:BGI785314 AWM785247:AWM785314 AMQ785247:AMQ785314 ACU785247:ACU785314 SY785247:SY785314 JC785247:JC785314 G785247:G785314 WVO719711:WVO719778 WLS719711:WLS719778 WBW719711:WBW719778 VSA719711:VSA719778 VIE719711:VIE719778 UYI719711:UYI719778 UOM719711:UOM719778 UEQ719711:UEQ719778 TUU719711:TUU719778 TKY719711:TKY719778 TBC719711:TBC719778 SRG719711:SRG719778 SHK719711:SHK719778 RXO719711:RXO719778 RNS719711:RNS719778 RDW719711:RDW719778 QUA719711:QUA719778 QKE719711:QKE719778 QAI719711:QAI719778 PQM719711:PQM719778 PGQ719711:PGQ719778 OWU719711:OWU719778 OMY719711:OMY719778 ODC719711:ODC719778 NTG719711:NTG719778 NJK719711:NJK719778 MZO719711:MZO719778 MPS719711:MPS719778 MFW719711:MFW719778 LWA719711:LWA719778 LME719711:LME719778 LCI719711:LCI719778 KSM719711:KSM719778 KIQ719711:KIQ719778 JYU719711:JYU719778 JOY719711:JOY719778 JFC719711:JFC719778 IVG719711:IVG719778 ILK719711:ILK719778 IBO719711:IBO719778 HRS719711:HRS719778 HHW719711:HHW719778 GYA719711:GYA719778 GOE719711:GOE719778 GEI719711:GEI719778 FUM719711:FUM719778 FKQ719711:FKQ719778 FAU719711:FAU719778 EQY719711:EQY719778 EHC719711:EHC719778 DXG719711:DXG719778 DNK719711:DNK719778 DDO719711:DDO719778 CTS719711:CTS719778 CJW719711:CJW719778 CAA719711:CAA719778 BQE719711:BQE719778 BGI719711:BGI719778 AWM719711:AWM719778 AMQ719711:AMQ719778 ACU719711:ACU719778 SY719711:SY719778 JC719711:JC719778 G719711:G719778 WVO654175:WVO654242 WLS654175:WLS654242 WBW654175:WBW654242 VSA654175:VSA654242 VIE654175:VIE654242 UYI654175:UYI654242 UOM654175:UOM654242 UEQ654175:UEQ654242 TUU654175:TUU654242 TKY654175:TKY654242 TBC654175:TBC654242 SRG654175:SRG654242 SHK654175:SHK654242 RXO654175:RXO654242 RNS654175:RNS654242 RDW654175:RDW654242 QUA654175:QUA654242 QKE654175:QKE654242 QAI654175:QAI654242 PQM654175:PQM654242 PGQ654175:PGQ654242 OWU654175:OWU654242 OMY654175:OMY654242 ODC654175:ODC654242 NTG654175:NTG654242 NJK654175:NJK654242 MZO654175:MZO654242 MPS654175:MPS654242 MFW654175:MFW654242 LWA654175:LWA654242 LME654175:LME654242 LCI654175:LCI654242 KSM654175:KSM654242 KIQ654175:KIQ654242 JYU654175:JYU654242 JOY654175:JOY654242 JFC654175:JFC654242 IVG654175:IVG654242 ILK654175:ILK654242 IBO654175:IBO654242 HRS654175:HRS654242 HHW654175:HHW654242 GYA654175:GYA654242 GOE654175:GOE654242 GEI654175:GEI654242 FUM654175:FUM654242 FKQ654175:FKQ654242 FAU654175:FAU654242 EQY654175:EQY654242 EHC654175:EHC654242 DXG654175:DXG654242 DNK654175:DNK654242 DDO654175:DDO654242 CTS654175:CTS654242 CJW654175:CJW654242 CAA654175:CAA654242 BQE654175:BQE654242 BGI654175:BGI654242 AWM654175:AWM654242 AMQ654175:AMQ654242 ACU654175:ACU654242 SY654175:SY654242 JC654175:JC654242 G654175:G654242 WVO588639:WVO588706 WLS588639:WLS588706 WBW588639:WBW588706 VSA588639:VSA588706 VIE588639:VIE588706 UYI588639:UYI588706 UOM588639:UOM588706 UEQ588639:UEQ588706 TUU588639:TUU588706 TKY588639:TKY588706 TBC588639:TBC588706 SRG588639:SRG588706 SHK588639:SHK588706 RXO588639:RXO588706 RNS588639:RNS588706 RDW588639:RDW588706 QUA588639:QUA588706 QKE588639:QKE588706 QAI588639:QAI588706 PQM588639:PQM588706 PGQ588639:PGQ588706 OWU588639:OWU588706 OMY588639:OMY588706 ODC588639:ODC588706 NTG588639:NTG588706 NJK588639:NJK588706 MZO588639:MZO588706 MPS588639:MPS588706 MFW588639:MFW588706 LWA588639:LWA588706 LME588639:LME588706 LCI588639:LCI588706 KSM588639:KSM588706 KIQ588639:KIQ588706 JYU588639:JYU588706 JOY588639:JOY588706 JFC588639:JFC588706 IVG588639:IVG588706 ILK588639:ILK588706 IBO588639:IBO588706 HRS588639:HRS588706 HHW588639:HHW588706 GYA588639:GYA588706 GOE588639:GOE588706 GEI588639:GEI588706 FUM588639:FUM588706 FKQ588639:FKQ588706 FAU588639:FAU588706 EQY588639:EQY588706 EHC588639:EHC588706 DXG588639:DXG588706 DNK588639:DNK588706 DDO588639:DDO588706 CTS588639:CTS588706 CJW588639:CJW588706 CAA588639:CAA588706 BQE588639:BQE588706 BGI588639:BGI588706 AWM588639:AWM588706 AMQ588639:AMQ588706 ACU588639:ACU588706 SY588639:SY588706 JC588639:JC588706 G588639:G588706 WVO523103:WVO523170 WLS523103:WLS523170 WBW523103:WBW523170 VSA523103:VSA523170 VIE523103:VIE523170 UYI523103:UYI523170 UOM523103:UOM523170 UEQ523103:UEQ523170 TUU523103:TUU523170 TKY523103:TKY523170 TBC523103:TBC523170 SRG523103:SRG523170 SHK523103:SHK523170 RXO523103:RXO523170 RNS523103:RNS523170 RDW523103:RDW523170 QUA523103:QUA523170 QKE523103:QKE523170 QAI523103:QAI523170 PQM523103:PQM523170 PGQ523103:PGQ523170 OWU523103:OWU523170 OMY523103:OMY523170 ODC523103:ODC523170 NTG523103:NTG523170 NJK523103:NJK523170 MZO523103:MZO523170 MPS523103:MPS523170 MFW523103:MFW523170 LWA523103:LWA523170 LME523103:LME523170 LCI523103:LCI523170 KSM523103:KSM523170 KIQ523103:KIQ523170 JYU523103:JYU523170 JOY523103:JOY523170 JFC523103:JFC523170 IVG523103:IVG523170 ILK523103:ILK523170 IBO523103:IBO523170 HRS523103:HRS523170 HHW523103:HHW523170 GYA523103:GYA523170 GOE523103:GOE523170 GEI523103:GEI523170 FUM523103:FUM523170 FKQ523103:FKQ523170 FAU523103:FAU523170 EQY523103:EQY523170 EHC523103:EHC523170 DXG523103:DXG523170 DNK523103:DNK523170 DDO523103:DDO523170 CTS523103:CTS523170 CJW523103:CJW523170 CAA523103:CAA523170 BQE523103:BQE523170 BGI523103:BGI523170 AWM523103:AWM523170 AMQ523103:AMQ523170 ACU523103:ACU523170 SY523103:SY523170 JC523103:JC523170 G523103:G523170 WVO457567:WVO457634 WLS457567:WLS457634 WBW457567:WBW457634 VSA457567:VSA457634 VIE457567:VIE457634 UYI457567:UYI457634 UOM457567:UOM457634 UEQ457567:UEQ457634 TUU457567:TUU457634 TKY457567:TKY457634 TBC457567:TBC457634 SRG457567:SRG457634 SHK457567:SHK457634 RXO457567:RXO457634 RNS457567:RNS457634 RDW457567:RDW457634 QUA457567:QUA457634 QKE457567:QKE457634 QAI457567:QAI457634 PQM457567:PQM457634 PGQ457567:PGQ457634 OWU457567:OWU457634 OMY457567:OMY457634 ODC457567:ODC457634 NTG457567:NTG457634 NJK457567:NJK457634 MZO457567:MZO457634 MPS457567:MPS457634 MFW457567:MFW457634 LWA457567:LWA457634 LME457567:LME457634 LCI457567:LCI457634 KSM457567:KSM457634 KIQ457567:KIQ457634 JYU457567:JYU457634 JOY457567:JOY457634 JFC457567:JFC457634 IVG457567:IVG457634 ILK457567:ILK457634 IBO457567:IBO457634 HRS457567:HRS457634 HHW457567:HHW457634 GYA457567:GYA457634 GOE457567:GOE457634 GEI457567:GEI457634 FUM457567:FUM457634 FKQ457567:FKQ457634 FAU457567:FAU457634 EQY457567:EQY457634 EHC457567:EHC457634 DXG457567:DXG457634 DNK457567:DNK457634 DDO457567:DDO457634 CTS457567:CTS457634 CJW457567:CJW457634 CAA457567:CAA457634 BQE457567:BQE457634 BGI457567:BGI457634 AWM457567:AWM457634 AMQ457567:AMQ457634 ACU457567:ACU457634 SY457567:SY457634 JC457567:JC457634 G457567:G457634 WVO392031:WVO392098 WLS392031:WLS392098 WBW392031:WBW392098 VSA392031:VSA392098 VIE392031:VIE392098 UYI392031:UYI392098 UOM392031:UOM392098 UEQ392031:UEQ392098 TUU392031:TUU392098 TKY392031:TKY392098 TBC392031:TBC392098 SRG392031:SRG392098 SHK392031:SHK392098 RXO392031:RXO392098 RNS392031:RNS392098 RDW392031:RDW392098 QUA392031:QUA392098 QKE392031:QKE392098 QAI392031:QAI392098 PQM392031:PQM392098 PGQ392031:PGQ392098 OWU392031:OWU392098 OMY392031:OMY392098 ODC392031:ODC392098 NTG392031:NTG392098 NJK392031:NJK392098 MZO392031:MZO392098 MPS392031:MPS392098 MFW392031:MFW392098 LWA392031:LWA392098 LME392031:LME392098 LCI392031:LCI392098 KSM392031:KSM392098 KIQ392031:KIQ392098 JYU392031:JYU392098 JOY392031:JOY392098 JFC392031:JFC392098 IVG392031:IVG392098 ILK392031:ILK392098 IBO392031:IBO392098 HRS392031:HRS392098 HHW392031:HHW392098 GYA392031:GYA392098 GOE392031:GOE392098 GEI392031:GEI392098 FUM392031:FUM392098 FKQ392031:FKQ392098 FAU392031:FAU392098 EQY392031:EQY392098 EHC392031:EHC392098 DXG392031:DXG392098 DNK392031:DNK392098 DDO392031:DDO392098 CTS392031:CTS392098 CJW392031:CJW392098 CAA392031:CAA392098 BQE392031:BQE392098 BGI392031:BGI392098 AWM392031:AWM392098 AMQ392031:AMQ392098 ACU392031:ACU392098 SY392031:SY392098 JC392031:JC392098 G392031:G392098 WVO326495:WVO326562 WLS326495:WLS326562 WBW326495:WBW326562 VSA326495:VSA326562 VIE326495:VIE326562 UYI326495:UYI326562 UOM326495:UOM326562 UEQ326495:UEQ326562 TUU326495:TUU326562 TKY326495:TKY326562 TBC326495:TBC326562 SRG326495:SRG326562 SHK326495:SHK326562 RXO326495:RXO326562 RNS326495:RNS326562 RDW326495:RDW326562 QUA326495:QUA326562 QKE326495:QKE326562 QAI326495:QAI326562 PQM326495:PQM326562 PGQ326495:PGQ326562 OWU326495:OWU326562 OMY326495:OMY326562 ODC326495:ODC326562 NTG326495:NTG326562 NJK326495:NJK326562 MZO326495:MZO326562 MPS326495:MPS326562 MFW326495:MFW326562 LWA326495:LWA326562 LME326495:LME326562 LCI326495:LCI326562 KSM326495:KSM326562 KIQ326495:KIQ326562 JYU326495:JYU326562 JOY326495:JOY326562 JFC326495:JFC326562 IVG326495:IVG326562 ILK326495:ILK326562 IBO326495:IBO326562 HRS326495:HRS326562 HHW326495:HHW326562 GYA326495:GYA326562 GOE326495:GOE326562 GEI326495:GEI326562 FUM326495:FUM326562 FKQ326495:FKQ326562 FAU326495:FAU326562 EQY326495:EQY326562 EHC326495:EHC326562 DXG326495:DXG326562 DNK326495:DNK326562 DDO326495:DDO326562 CTS326495:CTS326562 CJW326495:CJW326562 CAA326495:CAA326562 BQE326495:BQE326562 BGI326495:BGI326562 AWM326495:AWM326562 AMQ326495:AMQ326562 ACU326495:ACU326562 SY326495:SY326562 JC326495:JC326562 G326495:G326562 WVO260959:WVO261026 WLS260959:WLS261026 WBW260959:WBW261026 VSA260959:VSA261026 VIE260959:VIE261026 UYI260959:UYI261026 UOM260959:UOM261026 UEQ260959:UEQ261026 TUU260959:TUU261026 TKY260959:TKY261026 TBC260959:TBC261026 SRG260959:SRG261026 SHK260959:SHK261026 RXO260959:RXO261026 RNS260959:RNS261026 RDW260959:RDW261026 QUA260959:QUA261026 QKE260959:QKE261026 QAI260959:QAI261026 PQM260959:PQM261026 PGQ260959:PGQ261026 OWU260959:OWU261026 OMY260959:OMY261026 ODC260959:ODC261026 NTG260959:NTG261026 NJK260959:NJK261026 MZO260959:MZO261026 MPS260959:MPS261026 MFW260959:MFW261026 LWA260959:LWA261026 LME260959:LME261026 LCI260959:LCI261026 KSM260959:KSM261026 KIQ260959:KIQ261026 JYU260959:JYU261026 JOY260959:JOY261026 JFC260959:JFC261026 IVG260959:IVG261026 ILK260959:ILK261026 IBO260959:IBO261026 HRS260959:HRS261026 HHW260959:HHW261026 GYA260959:GYA261026 GOE260959:GOE261026 GEI260959:GEI261026 FUM260959:FUM261026 FKQ260959:FKQ261026 FAU260959:FAU261026 EQY260959:EQY261026 EHC260959:EHC261026 DXG260959:DXG261026 DNK260959:DNK261026 DDO260959:DDO261026 CTS260959:CTS261026 CJW260959:CJW261026 CAA260959:CAA261026 BQE260959:BQE261026 BGI260959:BGI261026 AWM260959:AWM261026 AMQ260959:AMQ261026 ACU260959:ACU261026 SY260959:SY261026 JC260959:JC261026 G260959:G261026 WVO195423:WVO195490 WLS195423:WLS195490 WBW195423:WBW195490 VSA195423:VSA195490 VIE195423:VIE195490 UYI195423:UYI195490 UOM195423:UOM195490 UEQ195423:UEQ195490 TUU195423:TUU195490 TKY195423:TKY195490 TBC195423:TBC195490 SRG195423:SRG195490 SHK195423:SHK195490 RXO195423:RXO195490 RNS195423:RNS195490 RDW195423:RDW195490 QUA195423:QUA195490 QKE195423:QKE195490 QAI195423:QAI195490 PQM195423:PQM195490 PGQ195423:PGQ195490 OWU195423:OWU195490 OMY195423:OMY195490 ODC195423:ODC195490 NTG195423:NTG195490 NJK195423:NJK195490 MZO195423:MZO195490 MPS195423:MPS195490 MFW195423:MFW195490 LWA195423:LWA195490 LME195423:LME195490 LCI195423:LCI195490 KSM195423:KSM195490 KIQ195423:KIQ195490 JYU195423:JYU195490 JOY195423:JOY195490 JFC195423:JFC195490 IVG195423:IVG195490 ILK195423:ILK195490 IBO195423:IBO195490 HRS195423:HRS195490 HHW195423:HHW195490 GYA195423:GYA195490 GOE195423:GOE195490 GEI195423:GEI195490 FUM195423:FUM195490 FKQ195423:FKQ195490 FAU195423:FAU195490 EQY195423:EQY195490 EHC195423:EHC195490 DXG195423:DXG195490 DNK195423:DNK195490 DDO195423:DDO195490 CTS195423:CTS195490 CJW195423:CJW195490 CAA195423:CAA195490 BQE195423:BQE195490 BGI195423:BGI195490 AWM195423:AWM195490 AMQ195423:AMQ195490 ACU195423:ACU195490 SY195423:SY195490 JC195423:JC195490 G195423:G195490 WVO129887:WVO129954 WLS129887:WLS129954 WBW129887:WBW129954 VSA129887:VSA129954 VIE129887:VIE129954 UYI129887:UYI129954 UOM129887:UOM129954 UEQ129887:UEQ129954 TUU129887:TUU129954 TKY129887:TKY129954 TBC129887:TBC129954 SRG129887:SRG129954 SHK129887:SHK129954 RXO129887:RXO129954 RNS129887:RNS129954 RDW129887:RDW129954 QUA129887:QUA129954 QKE129887:QKE129954 QAI129887:QAI129954 PQM129887:PQM129954 PGQ129887:PGQ129954 OWU129887:OWU129954 OMY129887:OMY129954 ODC129887:ODC129954 NTG129887:NTG129954 NJK129887:NJK129954 MZO129887:MZO129954 MPS129887:MPS129954 MFW129887:MFW129954 LWA129887:LWA129954 LME129887:LME129954 LCI129887:LCI129954 KSM129887:KSM129954 KIQ129887:KIQ129954 JYU129887:JYU129954 JOY129887:JOY129954 JFC129887:JFC129954 IVG129887:IVG129954 ILK129887:ILK129954 IBO129887:IBO129954 HRS129887:HRS129954 HHW129887:HHW129954 GYA129887:GYA129954 GOE129887:GOE129954 GEI129887:GEI129954 FUM129887:FUM129954 FKQ129887:FKQ129954 FAU129887:FAU129954 EQY129887:EQY129954 EHC129887:EHC129954 DXG129887:DXG129954 DNK129887:DNK129954 DDO129887:DDO129954 CTS129887:CTS129954 CJW129887:CJW129954 CAA129887:CAA129954 BQE129887:BQE129954 BGI129887:BGI129954 AWM129887:AWM129954 AMQ129887:AMQ129954 ACU129887:ACU129954 SY129887:SY129954 JC129887:JC129954 G129887:G129954 WVO64351:WVO64418 WLS64351:WLS64418 WBW64351:WBW64418 VSA64351:VSA64418 VIE64351:VIE64418 UYI64351:UYI64418 UOM64351:UOM64418 UEQ64351:UEQ64418 TUU64351:TUU64418 TKY64351:TKY64418 TBC64351:TBC64418 SRG64351:SRG64418 SHK64351:SHK64418 RXO64351:RXO64418 RNS64351:RNS64418 RDW64351:RDW64418 QUA64351:QUA64418 QKE64351:QKE64418 QAI64351:QAI64418 PQM64351:PQM64418 PGQ64351:PGQ64418 OWU64351:OWU64418 OMY64351:OMY64418 ODC64351:ODC64418 NTG64351:NTG64418 NJK64351:NJK64418 MZO64351:MZO64418 MPS64351:MPS64418 MFW64351:MFW64418 LWA64351:LWA64418 LME64351:LME64418 LCI64351:LCI64418 KSM64351:KSM64418 KIQ64351:KIQ64418 JYU64351:JYU64418 JOY64351:JOY64418 JFC64351:JFC64418 IVG64351:IVG64418 ILK64351:ILK64418 IBO64351:IBO64418 HRS64351:HRS64418 HHW64351:HHW64418 GYA64351:GYA64418 GOE64351:GOE64418 GEI64351:GEI64418 FUM64351:FUM64418 FKQ64351:FKQ64418 FAU64351:FAU64418 EQY64351:EQY64418 EHC64351:EHC64418 DXG64351:DXG64418 DNK64351:DNK64418 DDO64351:DDO64418 CTS64351:CTS64418 CJW64351:CJW64418 CAA64351:CAA64418 BQE64351:BQE64418 BGI64351:BGI64418 AWM64351:AWM64418 AMQ64351:AMQ64418 ACU64351:ACU64418 SY64351:SY64418 G2:G4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formula1>$AJ$2:$AJ$4</formula1>
    </dataValidation>
    <dataValidation type="list" allowBlank="1" showInputMessage="1" showErrorMessage="1" sqref="I64351:I64416 JE64351:JE64416 WLU983030:WLU983095 WBY983030:WBY983095 VSC983030:VSC983095 VIG983030:VIG983095 UYK983030:UYK983095 UOO983030:UOO983095 UES983030:UES983095 TUW983030:TUW983095 TLA983030:TLA983095 TBE983030:TBE983095 SRI983030:SRI983095 SHM983030:SHM983095 RXQ983030:RXQ983095 RNU983030:RNU983095 RDY983030:RDY983095 QUC983030:QUC983095 QKG983030:QKG983095 QAK983030:QAK983095 PQO983030:PQO983095 PGS983030:PGS983095 OWW983030:OWW983095 ONA983030:ONA983095 ODE983030:ODE983095 NTI983030:NTI983095 NJM983030:NJM983095 MZQ983030:MZQ983095 MPU983030:MPU983095 MFY983030:MFY983095 LWC983030:LWC983095 LMG983030:LMG983095 LCK983030:LCK983095 KSO983030:KSO983095 KIS983030:KIS983095 JYW983030:JYW983095 JPA983030:JPA983095 JFE983030:JFE983095 IVI983030:IVI983095 ILM983030:ILM983095 IBQ983030:IBQ983095 HRU983030:HRU983095 HHY983030:HHY983095 GYC983030:GYC983095 GOG983030:GOG983095 GEK983030:GEK983095 FUO983030:FUO983095 FKS983030:FKS983095 FAW983030:FAW983095 ERA983030:ERA983095 EHE983030:EHE983095 DXI983030:DXI983095 DNM983030:DNM983095 DDQ983030:DDQ983095 CTU983030:CTU983095 CJY983030:CJY983095 CAC983030:CAC983095 BQG983030:BQG983095 BGK983030:BGK983095 AWO983030:AWO983095 AMS983030:AMS983095 ACW983030:ACW983095 TA983030:TA983095 JE983030:JE983095 I983030:I983095 WVQ917494:WVQ917559 WLU917494:WLU917559 WBY917494:WBY917559 VSC917494:VSC917559 VIG917494:VIG917559 UYK917494:UYK917559 UOO917494:UOO917559 UES917494:UES917559 TUW917494:TUW917559 TLA917494:TLA917559 TBE917494:TBE917559 SRI917494:SRI917559 SHM917494:SHM917559 RXQ917494:RXQ917559 RNU917494:RNU917559 RDY917494:RDY917559 QUC917494:QUC917559 QKG917494:QKG917559 QAK917494:QAK917559 PQO917494:PQO917559 PGS917494:PGS917559 OWW917494:OWW917559 ONA917494:ONA917559 ODE917494:ODE917559 NTI917494:NTI917559 NJM917494:NJM917559 MZQ917494:MZQ917559 MPU917494:MPU917559 MFY917494:MFY917559 LWC917494:LWC917559 LMG917494:LMG917559 LCK917494:LCK917559 KSO917494:KSO917559 KIS917494:KIS917559 JYW917494:JYW917559 JPA917494:JPA917559 JFE917494:JFE917559 IVI917494:IVI917559 ILM917494:ILM917559 IBQ917494:IBQ917559 HRU917494:HRU917559 HHY917494:HHY917559 GYC917494:GYC917559 GOG917494:GOG917559 GEK917494:GEK917559 FUO917494:FUO917559 FKS917494:FKS917559 FAW917494:FAW917559 ERA917494:ERA917559 EHE917494:EHE917559 DXI917494:DXI917559 DNM917494:DNM917559 DDQ917494:DDQ917559 CTU917494:CTU917559 CJY917494:CJY917559 CAC917494:CAC917559 BQG917494:BQG917559 BGK917494:BGK917559 AWO917494:AWO917559 AMS917494:AMS917559 ACW917494:ACW917559 TA917494:TA917559 JE917494:JE917559 I917494:I917559 WVQ851958:WVQ852023 WLU851958:WLU852023 WBY851958:WBY852023 VSC851958:VSC852023 VIG851958:VIG852023 UYK851958:UYK852023 UOO851958:UOO852023 UES851958:UES852023 TUW851958:TUW852023 TLA851958:TLA852023 TBE851958:TBE852023 SRI851958:SRI852023 SHM851958:SHM852023 RXQ851958:RXQ852023 RNU851958:RNU852023 RDY851958:RDY852023 QUC851958:QUC852023 QKG851958:QKG852023 QAK851958:QAK852023 PQO851958:PQO852023 PGS851958:PGS852023 OWW851958:OWW852023 ONA851958:ONA852023 ODE851958:ODE852023 NTI851958:NTI852023 NJM851958:NJM852023 MZQ851958:MZQ852023 MPU851958:MPU852023 MFY851958:MFY852023 LWC851958:LWC852023 LMG851958:LMG852023 LCK851958:LCK852023 KSO851958:KSO852023 KIS851958:KIS852023 JYW851958:JYW852023 JPA851958:JPA852023 JFE851958:JFE852023 IVI851958:IVI852023 ILM851958:ILM852023 IBQ851958:IBQ852023 HRU851958:HRU852023 HHY851958:HHY852023 GYC851958:GYC852023 GOG851958:GOG852023 GEK851958:GEK852023 FUO851958:FUO852023 FKS851958:FKS852023 FAW851958:FAW852023 ERA851958:ERA852023 EHE851958:EHE852023 DXI851958:DXI852023 DNM851958:DNM852023 DDQ851958:DDQ852023 CTU851958:CTU852023 CJY851958:CJY852023 CAC851958:CAC852023 BQG851958:BQG852023 BGK851958:BGK852023 AWO851958:AWO852023 AMS851958:AMS852023 ACW851958:ACW852023 TA851958:TA852023 JE851958:JE852023 I851958:I852023 WVQ786422:WVQ786487 WLU786422:WLU786487 WBY786422:WBY786487 VSC786422:VSC786487 VIG786422:VIG786487 UYK786422:UYK786487 UOO786422:UOO786487 UES786422:UES786487 TUW786422:TUW786487 TLA786422:TLA786487 TBE786422:TBE786487 SRI786422:SRI786487 SHM786422:SHM786487 RXQ786422:RXQ786487 RNU786422:RNU786487 RDY786422:RDY786487 QUC786422:QUC786487 QKG786422:QKG786487 QAK786422:QAK786487 PQO786422:PQO786487 PGS786422:PGS786487 OWW786422:OWW786487 ONA786422:ONA786487 ODE786422:ODE786487 NTI786422:NTI786487 NJM786422:NJM786487 MZQ786422:MZQ786487 MPU786422:MPU786487 MFY786422:MFY786487 LWC786422:LWC786487 LMG786422:LMG786487 LCK786422:LCK786487 KSO786422:KSO786487 KIS786422:KIS786487 JYW786422:JYW786487 JPA786422:JPA786487 JFE786422:JFE786487 IVI786422:IVI786487 ILM786422:ILM786487 IBQ786422:IBQ786487 HRU786422:HRU786487 HHY786422:HHY786487 GYC786422:GYC786487 GOG786422:GOG786487 GEK786422:GEK786487 FUO786422:FUO786487 FKS786422:FKS786487 FAW786422:FAW786487 ERA786422:ERA786487 EHE786422:EHE786487 DXI786422:DXI786487 DNM786422:DNM786487 DDQ786422:DDQ786487 CTU786422:CTU786487 CJY786422:CJY786487 CAC786422:CAC786487 BQG786422:BQG786487 BGK786422:BGK786487 AWO786422:AWO786487 AMS786422:AMS786487 ACW786422:ACW786487 TA786422:TA786487 JE786422:JE786487 I786422:I786487 WVQ720886:WVQ720951 WLU720886:WLU720951 WBY720886:WBY720951 VSC720886:VSC720951 VIG720886:VIG720951 UYK720886:UYK720951 UOO720886:UOO720951 UES720886:UES720951 TUW720886:TUW720951 TLA720886:TLA720951 TBE720886:TBE720951 SRI720886:SRI720951 SHM720886:SHM720951 RXQ720886:RXQ720951 RNU720886:RNU720951 RDY720886:RDY720951 QUC720886:QUC720951 QKG720886:QKG720951 QAK720886:QAK720951 PQO720886:PQO720951 PGS720886:PGS720951 OWW720886:OWW720951 ONA720886:ONA720951 ODE720886:ODE720951 NTI720886:NTI720951 NJM720886:NJM720951 MZQ720886:MZQ720951 MPU720886:MPU720951 MFY720886:MFY720951 LWC720886:LWC720951 LMG720886:LMG720951 LCK720886:LCK720951 KSO720886:KSO720951 KIS720886:KIS720951 JYW720886:JYW720951 JPA720886:JPA720951 JFE720886:JFE720951 IVI720886:IVI720951 ILM720886:ILM720951 IBQ720886:IBQ720951 HRU720886:HRU720951 HHY720886:HHY720951 GYC720886:GYC720951 GOG720886:GOG720951 GEK720886:GEK720951 FUO720886:FUO720951 FKS720886:FKS720951 FAW720886:FAW720951 ERA720886:ERA720951 EHE720886:EHE720951 DXI720886:DXI720951 DNM720886:DNM720951 DDQ720886:DDQ720951 CTU720886:CTU720951 CJY720886:CJY720951 CAC720886:CAC720951 BQG720886:BQG720951 BGK720886:BGK720951 AWO720886:AWO720951 AMS720886:AMS720951 ACW720886:ACW720951 TA720886:TA720951 JE720886:JE720951 I720886:I720951 WVQ655350:WVQ655415 WLU655350:WLU655415 WBY655350:WBY655415 VSC655350:VSC655415 VIG655350:VIG655415 UYK655350:UYK655415 UOO655350:UOO655415 UES655350:UES655415 TUW655350:TUW655415 TLA655350:TLA655415 TBE655350:TBE655415 SRI655350:SRI655415 SHM655350:SHM655415 RXQ655350:RXQ655415 RNU655350:RNU655415 RDY655350:RDY655415 QUC655350:QUC655415 QKG655350:QKG655415 QAK655350:QAK655415 PQO655350:PQO655415 PGS655350:PGS655415 OWW655350:OWW655415 ONA655350:ONA655415 ODE655350:ODE655415 NTI655350:NTI655415 NJM655350:NJM655415 MZQ655350:MZQ655415 MPU655350:MPU655415 MFY655350:MFY655415 LWC655350:LWC655415 LMG655350:LMG655415 LCK655350:LCK655415 KSO655350:KSO655415 KIS655350:KIS655415 JYW655350:JYW655415 JPA655350:JPA655415 JFE655350:JFE655415 IVI655350:IVI655415 ILM655350:ILM655415 IBQ655350:IBQ655415 HRU655350:HRU655415 HHY655350:HHY655415 GYC655350:GYC655415 GOG655350:GOG655415 GEK655350:GEK655415 FUO655350:FUO655415 FKS655350:FKS655415 FAW655350:FAW655415 ERA655350:ERA655415 EHE655350:EHE655415 DXI655350:DXI655415 DNM655350:DNM655415 DDQ655350:DDQ655415 CTU655350:CTU655415 CJY655350:CJY655415 CAC655350:CAC655415 BQG655350:BQG655415 BGK655350:BGK655415 AWO655350:AWO655415 AMS655350:AMS655415 ACW655350:ACW655415 TA655350:TA655415 JE655350:JE655415 I655350:I655415 WVQ589814:WVQ589879 WLU589814:WLU589879 WBY589814:WBY589879 VSC589814:VSC589879 VIG589814:VIG589879 UYK589814:UYK589879 UOO589814:UOO589879 UES589814:UES589879 TUW589814:TUW589879 TLA589814:TLA589879 TBE589814:TBE589879 SRI589814:SRI589879 SHM589814:SHM589879 RXQ589814:RXQ589879 RNU589814:RNU589879 RDY589814:RDY589879 QUC589814:QUC589879 QKG589814:QKG589879 QAK589814:QAK589879 PQO589814:PQO589879 PGS589814:PGS589879 OWW589814:OWW589879 ONA589814:ONA589879 ODE589814:ODE589879 NTI589814:NTI589879 NJM589814:NJM589879 MZQ589814:MZQ589879 MPU589814:MPU589879 MFY589814:MFY589879 LWC589814:LWC589879 LMG589814:LMG589879 LCK589814:LCK589879 KSO589814:KSO589879 KIS589814:KIS589879 JYW589814:JYW589879 JPA589814:JPA589879 JFE589814:JFE589879 IVI589814:IVI589879 ILM589814:ILM589879 IBQ589814:IBQ589879 HRU589814:HRU589879 HHY589814:HHY589879 GYC589814:GYC589879 GOG589814:GOG589879 GEK589814:GEK589879 FUO589814:FUO589879 FKS589814:FKS589879 FAW589814:FAW589879 ERA589814:ERA589879 EHE589814:EHE589879 DXI589814:DXI589879 DNM589814:DNM589879 DDQ589814:DDQ589879 CTU589814:CTU589879 CJY589814:CJY589879 CAC589814:CAC589879 BQG589814:BQG589879 BGK589814:BGK589879 AWO589814:AWO589879 AMS589814:AMS589879 ACW589814:ACW589879 TA589814:TA589879 JE589814:JE589879 I589814:I589879 WVQ524278:WVQ524343 WLU524278:WLU524343 WBY524278:WBY524343 VSC524278:VSC524343 VIG524278:VIG524343 UYK524278:UYK524343 UOO524278:UOO524343 UES524278:UES524343 TUW524278:TUW524343 TLA524278:TLA524343 TBE524278:TBE524343 SRI524278:SRI524343 SHM524278:SHM524343 RXQ524278:RXQ524343 RNU524278:RNU524343 RDY524278:RDY524343 QUC524278:QUC524343 QKG524278:QKG524343 QAK524278:QAK524343 PQO524278:PQO524343 PGS524278:PGS524343 OWW524278:OWW524343 ONA524278:ONA524343 ODE524278:ODE524343 NTI524278:NTI524343 NJM524278:NJM524343 MZQ524278:MZQ524343 MPU524278:MPU524343 MFY524278:MFY524343 LWC524278:LWC524343 LMG524278:LMG524343 LCK524278:LCK524343 KSO524278:KSO524343 KIS524278:KIS524343 JYW524278:JYW524343 JPA524278:JPA524343 JFE524278:JFE524343 IVI524278:IVI524343 ILM524278:ILM524343 IBQ524278:IBQ524343 HRU524278:HRU524343 HHY524278:HHY524343 GYC524278:GYC524343 GOG524278:GOG524343 GEK524278:GEK524343 FUO524278:FUO524343 FKS524278:FKS524343 FAW524278:FAW524343 ERA524278:ERA524343 EHE524278:EHE524343 DXI524278:DXI524343 DNM524278:DNM524343 DDQ524278:DDQ524343 CTU524278:CTU524343 CJY524278:CJY524343 CAC524278:CAC524343 BQG524278:BQG524343 BGK524278:BGK524343 AWO524278:AWO524343 AMS524278:AMS524343 ACW524278:ACW524343 TA524278:TA524343 JE524278:JE524343 I524278:I524343 WVQ458742:WVQ458807 WLU458742:WLU458807 WBY458742:WBY458807 VSC458742:VSC458807 VIG458742:VIG458807 UYK458742:UYK458807 UOO458742:UOO458807 UES458742:UES458807 TUW458742:TUW458807 TLA458742:TLA458807 TBE458742:TBE458807 SRI458742:SRI458807 SHM458742:SHM458807 RXQ458742:RXQ458807 RNU458742:RNU458807 RDY458742:RDY458807 QUC458742:QUC458807 QKG458742:QKG458807 QAK458742:QAK458807 PQO458742:PQO458807 PGS458742:PGS458807 OWW458742:OWW458807 ONA458742:ONA458807 ODE458742:ODE458807 NTI458742:NTI458807 NJM458742:NJM458807 MZQ458742:MZQ458807 MPU458742:MPU458807 MFY458742:MFY458807 LWC458742:LWC458807 LMG458742:LMG458807 LCK458742:LCK458807 KSO458742:KSO458807 KIS458742:KIS458807 JYW458742:JYW458807 JPA458742:JPA458807 JFE458742:JFE458807 IVI458742:IVI458807 ILM458742:ILM458807 IBQ458742:IBQ458807 HRU458742:HRU458807 HHY458742:HHY458807 GYC458742:GYC458807 GOG458742:GOG458807 GEK458742:GEK458807 FUO458742:FUO458807 FKS458742:FKS458807 FAW458742:FAW458807 ERA458742:ERA458807 EHE458742:EHE458807 DXI458742:DXI458807 DNM458742:DNM458807 DDQ458742:DDQ458807 CTU458742:CTU458807 CJY458742:CJY458807 CAC458742:CAC458807 BQG458742:BQG458807 BGK458742:BGK458807 AWO458742:AWO458807 AMS458742:AMS458807 ACW458742:ACW458807 TA458742:TA458807 JE458742:JE458807 I458742:I458807 WVQ393206:WVQ393271 WLU393206:WLU393271 WBY393206:WBY393271 VSC393206:VSC393271 VIG393206:VIG393271 UYK393206:UYK393271 UOO393206:UOO393271 UES393206:UES393271 TUW393206:TUW393271 TLA393206:TLA393271 TBE393206:TBE393271 SRI393206:SRI393271 SHM393206:SHM393271 RXQ393206:RXQ393271 RNU393206:RNU393271 RDY393206:RDY393271 QUC393206:QUC393271 QKG393206:QKG393271 QAK393206:QAK393271 PQO393206:PQO393271 PGS393206:PGS393271 OWW393206:OWW393271 ONA393206:ONA393271 ODE393206:ODE393271 NTI393206:NTI393271 NJM393206:NJM393271 MZQ393206:MZQ393271 MPU393206:MPU393271 MFY393206:MFY393271 LWC393206:LWC393271 LMG393206:LMG393271 LCK393206:LCK393271 KSO393206:KSO393271 KIS393206:KIS393271 JYW393206:JYW393271 JPA393206:JPA393271 JFE393206:JFE393271 IVI393206:IVI393271 ILM393206:ILM393271 IBQ393206:IBQ393271 HRU393206:HRU393271 HHY393206:HHY393271 GYC393206:GYC393271 GOG393206:GOG393271 GEK393206:GEK393271 FUO393206:FUO393271 FKS393206:FKS393271 FAW393206:FAW393271 ERA393206:ERA393271 EHE393206:EHE393271 DXI393206:DXI393271 DNM393206:DNM393271 DDQ393206:DDQ393271 CTU393206:CTU393271 CJY393206:CJY393271 CAC393206:CAC393271 BQG393206:BQG393271 BGK393206:BGK393271 AWO393206:AWO393271 AMS393206:AMS393271 ACW393206:ACW393271 TA393206:TA393271 JE393206:JE393271 I393206:I393271 WVQ327670:WVQ327735 WLU327670:WLU327735 WBY327670:WBY327735 VSC327670:VSC327735 VIG327670:VIG327735 UYK327670:UYK327735 UOO327670:UOO327735 UES327670:UES327735 TUW327670:TUW327735 TLA327670:TLA327735 TBE327670:TBE327735 SRI327670:SRI327735 SHM327670:SHM327735 RXQ327670:RXQ327735 RNU327670:RNU327735 RDY327670:RDY327735 QUC327670:QUC327735 QKG327670:QKG327735 QAK327670:QAK327735 PQO327670:PQO327735 PGS327670:PGS327735 OWW327670:OWW327735 ONA327670:ONA327735 ODE327670:ODE327735 NTI327670:NTI327735 NJM327670:NJM327735 MZQ327670:MZQ327735 MPU327670:MPU327735 MFY327670:MFY327735 LWC327670:LWC327735 LMG327670:LMG327735 LCK327670:LCK327735 KSO327670:KSO327735 KIS327670:KIS327735 JYW327670:JYW327735 JPA327670:JPA327735 JFE327670:JFE327735 IVI327670:IVI327735 ILM327670:ILM327735 IBQ327670:IBQ327735 HRU327670:HRU327735 HHY327670:HHY327735 GYC327670:GYC327735 GOG327670:GOG327735 GEK327670:GEK327735 FUO327670:FUO327735 FKS327670:FKS327735 FAW327670:FAW327735 ERA327670:ERA327735 EHE327670:EHE327735 DXI327670:DXI327735 DNM327670:DNM327735 DDQ327670:DDQ327735 CTU327670:CTU327735 CJY327670:CJY327735 CAC327670:CAC327735 BQG327670:BQG327735 BGK327670:BGK327735 AWO327670:AWO327735 AMS327670:AMS327735 ACW327670:ACW327735 TA327670:TA327735 JE327670:JE327735 I327670:I327735 WVQ262134:WVQ262199 WLU262134:WLU262199 WBY262134:WBY262199 VSC262134:VSC262199 VIG262134:VIG262199 UYK262134:UYK262199 UOO262134:UOO262199 UES262134:UES262199 TUW262134:TUW262199 TLA262134:TLA262199 TBE262134:TBE262199 SRI262134:SRI262199 SHM262134:SHM262199 RXQ262134:RXQ262199 RNU262134:RNU262199 RDY262134:RDY262199 QUC262134:QUC262199 QKG262134:QKG262199 QAK262134:QAK262199 PQO262134:PQO262199 PGS262134:PGS262199 OWW262134:OWW262199 ONA262134:ONA262199 ODE262134:ODE262199 NTI262134:NTI262199 NJM262134:NJM262199 MZQ262134:MZQ262199 MPU262134:MPU262199 MFY262134:MFY262199 LWC262134:LWC262199 LMG262134:LMG262199 LCK262134:LCK262199 KSO262134:KSO262199 KIS262134:KIS262199 JYW262134:JYW262199 JPA262134:JPA262199 JFE262134:JFE262199 IVI262134:IVI262199 ILM262134:ILM262199 IBQ262134:IBQ262199 HRU262134:HRU262199 HHY262134:HHY262199 GYC262134:GYC262199 GOG262134:GOG262199 GEK262134:GEK262199 FUO262134:FUO262199 FKS262134:FKS262199 FAW262134:FAW262199 ERA262134:ERA262199 EHE262134:EHE262199 DXI262134:DXI262199 DNM262134:DNM262199 DDQ262134:DDQ262199 CTU262134:CTU262199 CJY262134:CJY262199 CAC262134:CAC262199 BQG262134:BQG262199 BGK262134:BGK262199 AWO262134:AWO262199 AMS262134:AMS262199 ACW262134:ACW262199 TA262134:TA262199 JE262134:JE262199 I262134:I262199 WVQ196598:WVQ196663 WLU196598:WLU196663 WBY196598:WBY196663 VSC196598:VSC196663 VIG196598:VIG196663 UYK196598:UYK196663 UOO196598:UOO196663 UES196598:UES196663 TUW196598:TUW196663 TLA196598:TLA196663 TBE196598:TBE196663 SRI196598:SRI196663 SHM196598:SHM196663 RXQ196598:RXQ196663 RNU196598:RNU196663 RDY196598:RDY196663 QUC196598:QUC196663 QKG196598:QKG196663 QAK196598:QAK196663 PQO196598:PQO196663 PGS196598:PGS196663 OWW196598:OWW196663 ONA196598:ONA196663 ODE196598:ODE196663 NTI196598:NTI196663 NJM196598:NJM196663 MZQ196598:MZQ196663 MPU196598:MPU196663 MFY196598:MFY196663 LWC196598:LWC196663 LMG196598:LMG196663 LCK196598:LCK196663 KSO196598:KSO196663 KIS196598:KIS196663 JYW196598:JYW196663 JPA196598:JPA196663 JFE196598:JFE196663 IVI196598:IVI196663 ILM196598:ILM196663 IBQ196598:IBQ196663 HRU196598:HRU196663 HHY196598:HHY196663 GYC196598:GYC196663 GOG196598:GOG196663 GEK196598:GEK196663 FUO196598:FUO196663 FKS196598:FKS196663 FAW196598:FAW196663 ERA196598:ERA196663 EHE196598:EHE196663 DXI196598:DXI196663 DNM196598:DNM196663 DDQ196598:DDQ196663 CTU196598:CTU196663 CJY196598:CJY196663 CAC196598:CAC196663 BQG196598:BQG196663 BGK196598:BGK196663 AWO196598:AWO196663 AMS196598:AMS196663 ACW196598:ACW196663 TA196598:TA196663 JE196598:JE196663 I196598:I196663 WVQ131062:WVQ131127 WLU131062:WLU131127 WBY131062:WBY131127 VSC131062:VSC131127 VIG131062:VIG131127 UYK131062:UYK131127 UOO131062:UOO131127 UES131062:UES131127 TUW131062:TUW131127 TLA131062:TLA131127 TBE131062:TBE131127 SRI131062:SRI131127 SHM131062:SHM131127 RXQ131062:RXQ131127 RNU131062:RNU131127 RDY131062:RDY131127 QUC131062:QUC131127 QKG131062:QKG131127 QAK131062:QAK131127 PQO131062:PQO131127 PGS131062:PGS131127 OWW131062:OWW131127 ONA131062:ONA131127 ODE131062:ODE131127 NTI131062:NTI131127 NJM131062:NJM131127 MZQ131062:MZQ131127 MPU131062:MPU131127 MFY131062:MFY131127 LWC131062:LWC131127 LMG131062:LMG131127 LCK131062:LCK131127 KSO131062:KSO131127 KIS131062:KIS131127 JYW131062:JYW131127 JPA131062:JPA131127 JFE131062:JFE131127 IVI131062:IVI131127 ILM131062:ILM131127 IBQ131062:IBQ131127 HRU131062:HRU131127 HHY131062:HHY131127 GYC131062:GYC131127 GOG131062:GOG131127 GEK131062:GEK131127 FUO131062:FUO131127 FKS131062:FKS131127 FAW131062:FAW131127 ERA131062:ERA131127 EHE131062:EHE131127 DXI131062:DXI131127 DNM131062:DNM131127 DDQ131062:DDQ131127 CTU131062:CTU131127 CJY131062:CJY131127 CAC131062:CAC131127 BQG131062:BQG131127 BGK131062:BGK131127 AWO131062:AWO131127 AMS131062:AMS131127 ACW131062:ACW131127 TA131062:TA131127 JE131062:JE131127 I131062:I131127 WVQ65526:WVQ65591 WLU65526:WLU65591 WBY65526:WBY65591 VSC65526:VSC65591 VIG65526:VIG65591 UYK65526:UYK65591 UOO65526:UOO65591 UES65526:UES65591 TUW65526:TUW65591 TLA65526:TLA65591 TBE65526:TBE65591 SRI65526:SRI65591 SHM65526:SHM65591 RXQ65526:RXQ65591 RNU65526:RNU65591 RDY65526:RDY65591 QUC65526:QUC65591 QKG65526:QKG65591 QAK65526:QAK65591 PQO65526:PQO65591 PGS65526:PGS65591 OWW65526:OWW65591 ONA65526:ONA65591 ODE65526:ODE65591 NTI65526:NTI65591 NJM65526:NJM65591 MZQ65526:MZQ65591 MPU65526:MPU65591 MFY65526:MFY65591 LWC65526:LWC65591 LMG65526:LMG65591 LCK65526:LCK65591 KSO65526:KSO65591 KIS65526:KIS65591 JYW65526:JYW65591 JPA65526:JPA65591 JFE65526:JFE65591 IVI65526:IVI65591 ILM65526:ILM65591 IBQ65526:IBQ65591 HRU65526:HRU65591 HHY65526:HHY65591 GYC65526:GYC65591 GOG65526:GOG65591 GEK65526:GEK65591 FUO65526:FUO65591 FKS65526:FKS65591 FAW65526:FAW65591 ERA65526:ERA65591 EHE65526:EHE65591 DXI65526:DXI65591 DNM65526:DNM65591 DDQ65526:DDQ65591 CTU65526:CTU65591 CJY65526:CJY65591 CAC65526:CAC65591 BQG65526:BQG65591 BGK65526:BGK65591 AWO65526:AWO65591 AMS65526:AMS65591 ACW65526:ACW65591 TA65526:TA65591 JE65526:JE65591 I65526:I65591 WVQ983030:WVQ983095 WVQ1047391:WVQ1047456 WLU1047391:WLU1047456 WBY1047391:WBY1047456 VSC1047391:VSC1047456 VIG1047391:VIG1047456 UYK1047391:UYK1047456 UOO1047391:UOO1047456 UES1047391:UES1047456 TUW1047391:TUW1047456 TLA1047391:TLA1047456 TBE1047391:TBE1047456 SRI1047391:SRI1047456 SHM1047391:SHM1047456 RXQ1047391:RXQ1047456 RNU1047391:RNU1047456 RDY1047391:RDY1047456 QUC1047391:QUC1047456 QKG1047391:QKG1047456 QAK1047391:QAK1047456 PQO1047391:PQO1047456 PGS1047391:PGS1047456 OWW1047391:OWW1047456 ONA1047391:ONA1047456 ODE1047391:ODE1047456 NTI1047391:NTI1047456 NJM1047391:NJM1047456 MZQ1047391:MZQ1047456 MPU1047391:MPU1047456 MFY1047391:MFY1047456 LWC1047391:LWC1047456 LMG1047391:LMG1047456 LCK1047391:LCK1047456 KSO1047391:KSO1047456 KIS1047391:KIS1047456 JYW1047391:JYW1047456 JPA1047391:JPA1047456 JFE1047391:JFE1047456 IVI1047391:IVI1047456 ILM1047391:ILM1047456 IBQ1047391:IBQ1047456 HRU1047391:HRU1047456 HHY1047391:HHY1047456 GYC1047391:GYC1047456 GOG1047391:GOG1047456 GEK1047391:GEK1047456 FUO1047391:FUO1047456 FKS1047391:FKS1047456 FAW1047391:FAW1047456 ERA1047391:ERA1047456 EHE1047391:EHE1047456 DXI1047391:DXI1047456 DNM1047391:DNM1047456 DDQ1047391:DDQ1047456 CTU1047391:CTU1047456 CJY1047391:CJY1047456 CAC1047391:CAC1047456 BQG1047391:BQG1047456 BGK1047391:BGK1047456 AWO1047391:AWO1047456 AMS1047391:AMS1047456 ACW1047391:ACW1047456 TA1047391:TA1047456 JE1047391:JE1047456 I1047391:I1047456 WVQ981855:WVQ981920 WLU981855:WLU981920 WBY981855:WBY981920 VSC981855:VSC981920 VIG981855:VIG981920 UYK981855:UYK981920 UOO981855:UOO981920 UES981855:UES981920 TUW981855:TUW981920 TLA981855:TLA981920 TBE981855:TBE981920 SRI981855:SRI981920 SHM981855:SHM981920 RXQ981855:RXQ981920 RNU981855:RNU981920 RDY981855:RDY981920 QUC981855:QUC981920 QKG981855:QKG981920 QAK981855:QAK981920 PQO981855:PQO981920 PGS981855:PGS981920 OWW981855:OWW981920 ONA981855:ONA981920 ODE981855:ODE981920 NTI981855:NTI981920 NJM981855:NJM981920 MZQ981855:MZQ981920 MPU981855:MPU981920 MFY981855:MFY981920 LWC981855:LWC981920 LMG981855:LMG981920 LCK981855:LCK981920 KSO981855:KSO981920 KIS981855:KIS981920 JYW981855:JYW981920 JPA981855:JPA981920 JFE981855:JFE981920 IVI981855:IVI981920 ILM981855:ILM981920 IBQ981855:IBQ981920 HRU981855:HRU981920 HHY981855:HHY981920 GYC981855:GYC981920 GOG981855:GOG981920 GEK981855:GEK981920 FUO981855:FUO981920 FKS981855:FKS981920 FAW981855:FAW981920 ERA981855:ERA981920 EHE981855:EHE981920 DXI981855:DXI981920 DNM981855:DNM981920 DDQ981855:DDQ981920 CTU981855:CTU981920 CJY981855:CJY981920 CAC981855:CAC981920 BQG981855:BQG981920 BGK981855:BGK981920 AWO981855:AWO981920 AMS981855:AMS981920 ACW981855:ACW981920 TA981855:TA981920 JE981855:JE981920 I981855:I981920 WVQ916319:WVQ916384 WLU916319:WLU916384 WBY916319:WBY916384 VSC916319:VSC916384 VIG916319:VIG916384 UYK916319:UYK916384 UOO916319:UOO916384 UES916319:UES916384 TUW916319:TUW916384 TLA916319:TLA916384 TBE916319:TBE916384 SRI916319:SRI916384 SHM916319:SHM916384 RXQ916319:RXQ916384 RNU916319:RNU916384 RDY916319:RDY916384 QUC916319:QUC916384 QKG916319:QKG916384 QAK916319:QAK916384 PQO916319:PQO916384 PGS916319:PGS916384 OWW916319:OWW916384 ONA916319:ONA916384 ODE916319:ODE916384 NTI916319:NTI916384 NJM916319:NJM916384 MZQ916319:MZQ916384 MPU916319:MPU916384 MFY916319:MFY916384 LWC916319:LWC916384 LMG916319:LMG916384 LCK916319:LCK916384 KSO916319:KSO916384 KIS916319:KIS916384 JYW916319:JYW916384 JPA916319:JPA916384 JFE916319:JFE916384 IVI916319:IVI916384 ILM916319:ILM916384 IBQ916319:IBQ916384 HRU916319:HRU916384 HHY916319:HHY916384 GYC916319:GYC916384 GOG916319:GOG916384 GEK916319:GEK916384 FUO916319:FUO916384 FKS916319:FKS916384 FAW916319:FAW916384 ERA916319:ERA916384 EHE916319:EHE916384 DXI916319:DXI916384 DNM916319:DNM916384 DDQ916319:DDQ916384 CTU916319:CTU916384 CJY916319:CJY916384 CAC916319:CAC916384 BQG916319:BQG916384 BGK916319:BGK916384 AWO916319:AWO916384 AMS916319:AMS916384 ACW916319:ACW916384 TA916319:TA916384 JE916319:JE916384 I916319:I916384 WVQ850783:WVQ850848 WLU850783:WLU850848 WBY850783:WBY850848 VSC850783:VSC850848 VIG850783:VIG850848 UYK850783:UYK850848 UOO850783:UOO850848 UES850783:UES850848 TUW850783:TUW850848 TLA850783:TLA850848 TBE850783:TBE850848 SRI850783:SRI850848 SHM850783:SHM850848 RXQ850783:RXQ850848 RNU850783:RNU850848 RDY850783:RDY850848 QUC850783:QUC850848 QKG850783:QKG850848 QAK850783:QAK850848 PQO850783:PQO850848 PGS850783:PGS850848 OWW850783:OWW850848 ONA850783:ONA850848 ODE850783:ODE850848 NTI850783:NTI850848 NJM850783:NJM850848 MZQ850783:MZQ850848 MPU850783:MPU850848 MFY850783:MFY850848 LWC850783:LWC850848 LMG850783:LMG850848 LCK850783:LCK850848 KSO850783:KSO850848 KIS850783:KIS850848 JYW850783:JYW850848 JPA850783:JPA850848 JFE850783:JFE850848 IVI850783:IVI850848 ILM850783:ILM850848 IBQ850783:IBQ850848 HRU850783:HRU850848 HHY850783:HHY850848 GYC850783:GYC850848 GOG850783:GOG850848 GEK850783:GEK850848 FUO850783:FUO850848 FKS850783:FKS850848 FAW850783:FAW850848 ERA850783:ERA850848 EHE850783:EHE850848 DXI850783:DXI850848 DNM850783:DNM850848 DDQ850783:DDQ850848 CTU850783:CTU850848 CJY850783:CJY850848 CAC850783:CAC850848 BQG850783:BQG850848 BGK850783:BGK850848 AWO850783:AWO850848 AMS850783:AMS850848 ACW850783:ACW850848 TA850783:TA850848 JE850783:JE850848 I850783:I850848 WVQ785247:WVQ785312 WLU785247:WLU785312 WBY785247:WBY785312 VSC785247:VSC785312 VIG785247:VIG785312 UYK785247:UYK785312 UOO785247:UOO785312 UES785247:UES785312 TUW785247:TUW785312 TLA785247:TLA785312 TBE785247:TBE785312 SRI785247:SRI785312 SHM785247:SHM785312 RXQ785247:RXQ785312 RNU785247:RNU785312 RDY785247:RDY785312 QUC785247:QUC785312 QKG785247:QKG785312 QAK785247:QAK785312 PQO785247:PQO785312 PGS785247:PGS785312 OWW785247:OWW785312 ONA785247:ONA785312 ODE785247:ODE785312 NTI785247:NTI785312 NJM785247:NJM785312 MZQ785247:MZQ785312 MPU785247:MPU785312 MFY785247:MFY785312 LWC785247:LWC785312 LMG785247:LMG785312 LCK785247:LCK785312 KSO785247:KSO785312 KIS785247:KIS785312 JYW785247:JYW785312 JPA785247:JPA785312 JFE785247:JFE785312 IVI785247:IVI785312 ILM785247:ILM785312 IBQ785247:IBQ785312 HRU785247:HRU785312 HHY785247:HHY785312 GYC785247:GYC785312 GOG785247:GOG785312 GEK785247:GEK785312 FUO785247:FUO785312 FKS785247:FKS785312 FAW785247:FAW785312 ERA785247:ERA785312 EHE785247:EHE785312 DXI785247:DXI785312 DNM785247:DNM785312 DDQ785247:DDQ785312 CTU785247:CTU785312 CJY785247:CJY785312 CAC785247:CAC785312 BQG785247:BQG785312 BGK785247:BGK785312 AWO785247:AWO785312 AMS785247:AMS785312 ACW785247:ACW785312 TA785247:TA785312 JE785247:JE785312 I785247:I785312 WVQ719711:WVQ719776 WLU719711:WLU719776 WBY719711:WBY719776 VSC719711:VSC719776 VIG719711:VIG719776 UYK719711:UYK719776 UOO719711:UOO719776 UES719711:UES719776 TUW719711:TUW719776 TLA719711:TLA719776 TBE719711:TBE719776 SRI719711:SRI719776 SHM719711:SHM719776 RXQ719711:RXQ719776 RNU719711:RNU719776 RDY719711:RDY719776 QUC719711:QUC719776 QKG719711:QKG719776 QAK719711:QAK719776 PQO719711:PQO719776 PGS719711:PGS719776 OWW719711:OWW719776 ONA719711:ONA719776 ODE719711:ODE719776 NTI719711:NTI719776 NJM719711:NJM719776 MZQ719711:MZQ719776 MPU719711:MPU719776 MFY719711:MFY719776 LWC719711:LWC719776 LMG719711:LMG719776 LCK719711:LCK719776 KSO719711:KSO719776 KIS719711:KIS719776 JYW719711:JYW719776 JPA719711:JPA719776 JFE719711:JFE719776 IVI719711:IVI719776 ILM719711:ILM719776 IBQ719711:IBQ719776 HRU719711:HRU719776 HHY719711:HHY719776 GYC719711:GYC719776 GOG719711:GOG719776 GEK719711:GEK719776 FUO719711:FUO719776 FKS719711:FKS719776 FAW719711:FAW719776 ERA719711:ERA719776 EHE719711:EHE719776 DXI719711:DXI719776 DNM719711:DNM719776 DDQ719711:DDQ719776 CTU719711:CTU719776 CJY719711:CJY719776 CAC719711:CAC719776 BQG719711:BQG719776 BGK719711:BGK719776 AWO719711:AWO719776 AMS719711:AMS719776 ACW719711:ACW719776 TA719711:TA719776 JE719711:JE719776 I719711:I719776 WVQ654175:WVQ654240 WLU654175:WLU654240 WBY654175:WBY654240 VSC654175:VSC654240 VIG654175:VIG654240 UYK654175:UYK654240 UOO654175:UOO654240 UES654175:UES654240 TUW654175:TUW654240 TLA654175:TLA654240 TBE654175:TBE654240 SRI654175:SRI654240 SHM654175:SHM654240 RXQ654175:RXQ654240 RNU654175:RNU654240 RDY654175:RDY654240 QUC654175:QUC654240 QKG654175:QKG654240 QAK654175:QAK654240 PQO654175:PQO654240 PGS654175:PGS654240 OWW654175:OWW654240 ONA654175:ONA654240 ODE654175:ODE654240 NTI654175:NTI654240 NJM654175:NJM654240 MZQ654175:MZQ654240 MPU654175:MPU654240 MFY654175:MFY654240 LWC654175:LWC654240 LMG654175:LMG654240 LCK654175:LCK654240 KSO654175:KSO654240 KIS654175:KIS654240 JYW654175:JYW654240 JPA654175:JPA654240 JFE654175:JFE654240 IVI654175:IVI654240 ILM654175:ILM654240 IBQ654175:IBQ654240 HRU654175:HRU654240 HHY654175:HHY654240 GYC654175:GYC654240 GOG654175:GOG654240 GEK654175:GEK654240 FUO654175:FUO654240 FKS654175:FKS654240 FAW654175:FAW654240 ERA654175:ERA654240 EHE654175:EHE654240 DXI654175:DXI654240 DNM654175:DNM654240 DDQ654175:DDQ654240 CTU654175:CTU654240 CJY654175:CJY654240 CAC654175:CAC654240 BQG654175:BQG654240 BGK654175:BGK654240 AWO654175:AWO654240 AMS654175:AMS654240 ACW654175:ACW654240 TA654175:TA654240 JE654175:JE654240 I654175:I654240 WVQ588639:WVQ588704 WLU588639:WLU588704 WBY588639:WBY588704 VSC588639:VSC588704 VIG588639:VIG588704 UYK588639:UYK588704 UOO588639:UOO588704 UES588639:UES588704 TUW588639:TUW588704 TLA588639:TLA588704 TBE588639:TBE588704 SRI588639:SRI588704 SHM588639:SHM588704 RXQ588639:RXQ588704 RNU588639:RNU588704 RDY588639:RDY588704 QUC588639:QUC588704 QKG588639:QKG588704 QAK588639:QAK588704 PQO588639:PQO588704 PGS588639:PGS588704 OWW588639:OWW588704 ONA588639:ONA588704 ODE588639:ODE588704 NTI588639:NTI588704 NJM588639:NJM588704 MZQ588639:MZQ588704 MPU588639:MPU588704 MFY588639:MFY588704 LWC588639:LWC588704 LMG588639:LMG588704 LCK588639:LCK588704 KSO588639:KSO588704 KIS588639:KIS588704 JYW588639:JYW588704 JPA588639:JPA588704 JFE588639:JFE588704 IVI588639:IVI588704 ILM588639:ILM588704 IBQ588639:IBQ588704 HRU588639:HRU588704 HHY588639:HHY588704 GYC588639:GYC588704 GOG588639:GOG588704 GEK588639:GEK588704 FUO588639:FUO588704 FKS588639:FKS588704 FAW588639:FAW588704 ERA588639:ERA588704 EHE588639:EHE588704 DXI588639:DXI588704 DNM588639:DNM588704 DDQ588639:DDQ588704 CTU588639:CTU588704 CJY588639:CJY588704 CAC588639:CAC588704 BQG588639:BQG588704 BGK588639:BGK588704 AWO588639:AWO588704 AMS588639:AMS588704 ACW588639:ACW588704 TA588639:TA588704 JE588639:JE588704 I588639:I588704 WVQ523103:WVQ523168 WLU523103:WLU523168 WBY523103:WBY523168 VSC523103:VSC523168 VIG523103:VIG523168 UYK523103:UYK523168 UOO523103:UOO523168 UES523103:UES523168 TUW523103:TUW523168 TLA523103:TLA523168 TBE523103:TBE523168 SRI523103:SRI523168 SHM523103:SHM523168 RXQ523103:RXQ523168 RNU523103:RNU523168 RDY523103:RDY523168 QUC523103:QUC523168 QKG523103:QKG523168 QAK523103:QAK523168 PQO523103:PQO523168 PGS523103:PGS523168 OWW523103:OWW523168 ONA523103:ONA523168 ODE523103:ODE523168 NTI523103:NTI523168 NJM523103:NJM523168 MZQ523103:MZQ523168 MPU523103:MPU523168 MFY523103:MFY523168 LWC523103:LWC523168 LMG523103:LMG523168 LCK523103:LCK523168 KSO523103:KSO523168 KIS523103:KIS523168 JYW523103:JYW523168 JPA523103:JPA523168 JFE523103:JFE523168 IVI523103:IVI523168 ILM523103:ILM523168 IBQ523103:IBQ523168 HRU523103:HRU523168 HHY523103:HHY523168 GYC523103:GYC523168 GOG523103:GOG523168 GEK523103:GEK523168 FUO523103:FUO523168 FKS523103:FKS523168 FAW523103:FAW523168 ERA523103:ERA523168 EHE523103:EHE523168 DXI523103:DXI523168 DNM523103:DNM523168 DDQ523103:DDQ523168 CTU523103:CTU523168 CJY523103:CJY523168 CAC523103:CAC523168 BQG523103:BQG523168 BGK523103:BGK523168 AWO523103:AWO523168 AMS523103:AMS523168 ACW523103:ACW523168 TA523103:TA523168 JE523103:JE523168 I523103:I523168 WVQ457567:WVQ457632 WLU457567:WLU457632 WBY457567:WBY457632 VSC457567:VSC457632 VIG457567:VIG457632 UYK457567:UYK457632 UOO457567:UOO457632 UES457567:UES457632 TUW457567:TUW457632 TLA457567:TLA457632 TBE457567:TBE457632 SRI457567:SRI457632 SHM457567:SHM457632 RXQ457567:RXQ457632 RNU457567:RNU457632 RDY457567:RDY457632 QUC457567:QUC457632 QKG457567:QKG457632 QAK457567:QAK457632 PQO457567:PQO457632 PGS457567:PGS457632 OWW457567:OWW457632 ONA457567:ONA457632 ODE457567:ODE457632 NTI457567:NTI457632 NJM457567:NJM457632 MZQ457567:MZQ457632 MPU457567:MPU457632 MFY457567:MFY457632 LWC457567:LWC457632 LMG457567:LMG457632 LCK457567:LCK457632 KSO457567:KSO457632 KIS457567:KIS457632 JYW457567:JYW457632 JPA457567:JPA457632 JFE457567:JFE457632 IVI457567:IVI457632 ILM457567:ILM457632 IBQ457567:IBQ457632 HRU457567:HRU457632 HHY457567:HHY457632 GYC457567:GYC457632 GOG457567:GOG457632 GEK457567:GEK457632 FUO457567:FUO457632 FKS457567:FKS457632 FAW457567:FAW457632 ERA457567:ERA457632 EHE457567:EHE457632 DXI457567:DXI457632 DNM457567:DNM457632 DDQ457567:DDQ457632 CTU457567:CTU457632 CJY457567:CJY457632 CAC457567:CAC457632 BQG457567:BQG457632 BGK457567:BGK457632 AWO457567:AWO457632 AMS457567:AMS457632 ACW457567:ACW457632 TA457567:TA457632 JE457567:JE457632 I457567:I457632 WVQ392031:WVQ392096 WLU392031:WLU392096 WBY392031:WBY392096 VSC392031:VSC392096 VIG392031:VIG392096 UYK392031:UYK392096 UOO392031:UOO392096 UES392031:UES392096 TUW392031:TUW392096 TLA392031:TLA392096 TBE392031:TBE392096 SRI392031:SRI392096 SHM392031:SHM392096 RXQ392031:RXQ392096 RNU392031:RNU392096 RDY392031:RDY392096 QUC392031:QUC392096 QKG392031:QKG392096 QAK392031:QAK392096 PQO392031:PQO392096 PGS392031:PGS392096 OWW392031:OWW392096 ONA392031:ONA392096 ODE392031:ODE392096 NTI392031:NTI392096 NJM392031:NJM392096 MZQ392031:MZQ392096 MPU392031:MPU392096 MFY392031:MFY392096 LWC392031:LWC392096 LMG392031:LMG392096 LCK392031:LCK392096 KSO392031:KSO392096 KIS392031:KIS392096 JYW392031:JYW392096 JPA392031:JPA392096 JFE392031:JFE392096 IVI392031:IVI392096 ILM392031:ILM392096 IBQ392031:IBQ392096 HRU392031:HRU392096 HHY392031:HHY392096 GYC392031:GYC392096 GOG392031:GOG392096 GEK392031:GEK392096 FUO392031:FUO392096 FKS392031:FKS392096 FAW392031:FAW392096 ERA392031:ERA392096 EHE392031:EHE392096 DXI392031:DXI392096 DNM392031:DNM392096 DDQ392031:DDQ392096 CTU392031:CTU392096 CJY392031:CJY392096 CAC392031:CAC392096 BQG392031:BQG392096 BGK392031:BGK392096 AWO392031:AWO392096 AMS392031:AMS392096 ACW392031:ACW392096 TA392031:TA392096 JE392031:JE392096 I392031:I392096 WVQ326495:WVQ326560 WLU326495:WLU326560 WBY326495:WBY326560 VSC326495:VSC326560 VIG326495:VIG326560 UYK326495:UYK326560 UOO326495:UOO326560 UES326495:UES326560 TUW326495:TUW326560 TLA326495:TLA326560 TBE326495:TBE326560 SRI326495:SRI326560 SHM326495:SHM326560 RXQ326495:RXQ326560 RNU326495:RNU326560 RDY326495:RDY326560 QUC326495:QUC326560 QKG326495:QKG326560 QAK326495:QAK326560 PQO326495:PQO326560 PGS326495:PGS326560 OWW326495:OWW326560 ONA326495:ONA326560 ODE326495:ODE326560 NTI326495:NTI326560 NJM326495:NJM326560 MZQ326495:MZQ326560 MPU326495:MPU326560 MFY326495:MFY326560 LWC326495:LWC326560 LMG326495:LMG326560 LCK326495:LCK326560 KSO326495:KSO326560 KIS326495:KIS326560 JYW326495:JYW326560 JPA326495:JPA326560 JFE326495:JFE326560 IVI326495:IVI326560 ILM326495:ILM326560 IBQ326495:IBQ326560 HRU326495:HRU326560 HHY326495:HHY326560 GYC326495:GYC326560 GOG326495:GOG326560 GEK326495:GEK326560 FUO326495:FUO326560 FKS326495:FKS326560 FAW326495:FAW326560 ERA326495:ERA326560 EHE326495:EHE326560 DXI326495:DXI326560 DNM326495:DNM326560 DDQ326495:DDQ326560 CTU326495:CTU326560 CJY326495:CJY326560 CAC326495:CAC326560 BQG326495:BQG326560 BGK326495:BGK326560 AWO326495:AWO326560 AMS326495:AMS326560 ACW326495:ACW326560 TA326495:TA326560 JE326495:JE326560 I326495:I326560 WVQ260959:WVQ261024 WLU260959:WLU261024 WBY260959:WBY261024 VSC260959:VSC261024 VIG260959:VIG261024 UYK260959:UYK261024 UOO260959:UOO261024 UES260959:UES261024 TUW260959:TUW261024 TLA260959:TLA261024 TBE260959:TBE261024 SRI260959:SRI261024 SHM260959:SHM261024 RXQ260959:RXQ261024 RNU260959:RNU261024 RDY260959:RDY261024 QUC260959:QUC261024 QKG260959:QKG261024 QAK260959:QAK261024 PQO260959:PQO261024 PGS260959:PGS261024 OWW260959:OWW261024 ONA260959:ONA261024 ODE260959:ODE261024 NTI260959:NTI261024 NJM260959:NJM261024 MZQ260959:MZQ261024 MPU260959:MPU261024 MFY260959:MFY261024 LWC260959:LWC261024 LMG260959:LMG261024 LCK260959:LCK261024 KSO260959:KSO261024 KIS260959:KIS261024 JYW260959:JYW261024 JPA260959:JPA261024 JFE260959:JFE261024 IVI260959:IVI261024 ILM260959:ILM261024 IBQ260959:IBQ261024 HRU260959:HRU261024 HHY260959:HHY261024 GYC260959:GYC261024 GOG260959:GOG261024 GEK260959:GEK261024 FUO260959:FUO261024 FKS260959:FKS261024 FAW260959:FAW261024 ERA260959:ERA261024 EHE260959:EHE261024 DXI260959:DXI261024 DNM260959:DNM261024 DDQ260959:DDQ261024 CTU260959:CTU261024 CJY260959:CJY261024 CAC260959:CAC261024 BQG260959:BQG261024 BGK260959:BGK261024 AWO260959:AWO261024 AMS260959:AMS261024 ACW260959:ACW261024 TA260959:TA261024 JE260959:JE261024 I260959:I261024 WVQ195423:WVQ195488 WLU195423:WLU195488 WBY195423:WBY195488 VSC195423:VSC195488 VIG195423:VIG195488 UYK195423:UYK195488 UOO195423:UOO195488 UES195423:UES195488 TUW195423:TUW195488 TLA195423:TLA195488 TBE195423:TBE195488 SRI195423:SRI195488 SHM195423:SHM195488 RXQ195423:RXQ195488 RNU195423:RNU195488 RDY195423:RDY195488 QUC195423:QUC195488 QKG195423:QKG195488 QAK195423:QAK195488 PQO195423:PQO195488 PGS195423:PGS195488 OWW195423:OWW195488 ONA195423:ONA195488 ODE195423:ODE195488 NTI195423:NTI195488 NJM195423:NJM195488 MZQ195423:MZQ195488 MPU195423:MPU195488 MFY195423:MFY195488 LWC195423:LWC195488 LMG195423:LMG195488 LCK195423:LCK195488 KSO195423:KSO195488 KIS195423:KIS195488 JYW195423:JYW195488 JPA195423:JPA195488 JFE195423:JFE195488 IVI195423:IVI195488 ILM195423:ILM195488 IBQ195423:IBQ195488 HRU195423:HRU195488 HHY195423:HHY195488 GYC195423:GYC195488 GOG195423:GOG195488 GEK195423:GEK195488 FUO195423:FUO195488 FKS195423:FKS195488 FAW195423:FAW195488 ERA195423:ERA195488 EHE195423:EHE195488 DXI195423:DXI195488 DNM195423:DNM195488 DDQ195423:DDQ195488 CTU195423:CTU195488 CJY195423:CJY195488 CAC195423:CAC195488 BQG195423:BQG195488 BGK195423:BGK195488 AWO195423:AWO195488 AMS195423:AMS195488 ACW195423:ACW195488 TA195423:TA195488 JE195423:JE195488 I195423:I195488 WVQ129887:WVQ129952 WLU129887:WLU129952 WBY129887:WBY129952 VSC129887:VSC129952 VIG129887:VIG129952 UYK129887:UYK129952 UOO129887:UOO129952 UES129887:UES129952 TUW129887:TUW129952 TLA129887:TLA129952 TBE129887:TBE129952 SRI129887:SRI129952 SHM129887:SHM129952 RXQ129887:RXQ129952 RNU129887:RNU129952 RDY129887:RDY129952 QUC129887:QUC129952 QKG129887:QKG129952 QAK129887:QAK129952 PQO129887:PQO129952 PGS129887:PGS129952 OWW129887:OWW129952 ONA129887:ONA129952 ODE129887:ODE129952 NTI129887:NTI129952 NJM129887:NJM129952 MZQ129887:MZQ129952 MPU129887:MPU129952 MFY129887:MFY129952 LWC129887:LWC129952 LMG129887:LMG129952 LCK129887:LCK129952 KSO129887:KSO129952 KIS129887:KIS129952 JYW129887:JYW129952 JPA129887:JPA129952 JFE129887:JFE129952 IVI129887:IVI129952 ILM129887:ILM129952 IBQ129887:IBQ129952 HRU129887:HRU129952 HHY129887:HHY129952 GYC129887:GYC129952 GOG129887:GOG129952 GEK129887:GEK129952 FUO129887:FUO129952 FKS129887:FKS129952 FAW129887:FAW129952 ERA129887:ERA129952 EHE129887:EHE129952 DXI129887:DXI129952 DNM129887:DNM129952 DDQ129887:DDQ129952 CTU129887:CTU129952 CJY129887:CJY129952 CAC129887:CAC129952 BQG129887:BQG129952 BGK129887:BGK129952 AWO129887:AWO129952 AMS129887:AMS129952 ACW129887:ACW129952 TA129887:TA129952 JE129887:JE129952 I129887:I129952 WVQ64351:WVQ64416 WLU64351:WLU64416 WBY64351:WBY64416 VSC64351:VSC64416 VIG64351:VIG64416 UYK64351:UYK64416 UOO64351:UOO64416 UES64351:UES64416 TUW64351:TUW64416 TLA64351:TLA64416 TBE64351:TBE64416 SRI64351:SRI64416 SHM64351:SHM64416 RXQ64351:RXQ64416 RNU64351:RNU64416 RDY64351:RDY64416 QUC64351:QUC64416 QKG64351:QKG64416 QAK64351:QAK64416 PQO64351:PQO64416 PGS64351:PGS64416 OWW64351:OWW64416 ONA64351:ONA64416 ODE64351:ODE64416 NTI64351:NTI64416 NJM64351:NJM64416 MZQ64351:MZQ64416 MPU64351:MPU64416 MFY64351:MFY64416 LWC64351:LWC64416 LMG64351:LMG64416 LCK64351:LCK64416 KSO64351:KSO64416 KIS64351:KIS64416 JYW64351:JYW64416 JPA64351:JPA64416 JFE64351:JFE64416 IVI64351:IVI64416 ILM64351:ILM64416 IBQ64351:IBQ64416 HRU64351:HRU64416 HHY64351:HHY64416 GYC64351:GYC64416 GOG64351:GOG64416 GEK64351:GEK64416 FUO64351:FUO64416 FKS64351:FKS64416 FAW64351:FAW64416 ERA64351:ERA64416 EHE64351:EHE64416 DXI64351:DXI64416 DNM64351:DNM64416 DDQ64351:DDQ64416 CTU64351:CTU64416 CJY64351:CJY64416 CAC64351:CAC64416 BQG64351:BQG64416 BGK64351:BGK64416 AWO64351:AWO64416 AMS64351:AMS64416 ACW64351:ACW64416 TA64351:TA64416 I2:I488 TA2:TA61 JE2:JE61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formula1>$AN$5:$AN$6</formula1>
    </dataValidation>
    <dataValidation type="list" allowBlank="1" showInputMessage="1" showErrorMessage="1" sqref="J64351:J64416 WVR1047391:WVR1047456 WLV1047391:WLV1047456 WBZ1047391:WBZ1047456 VSD1047391:VSD1047456 VIH1047391:VIH1047456 UYL1047391:UYL1047456 UOP1047391:UOP1047456 UET1047391:UET1047456 TUX1047391:TUX1047456 TLB1047391:TLB1047456 TBF1047391:TBF1047456 SRJ1047391:SRJ1047456 SHN1047391:SHN1047456 RXR1047391:RXR1047456 RNV1047391:RNV1047456 RDZ1047391:RDZ1047456 QUD1047391:QUD1047456 QKH1047391:QKH1047456 QAL1047391:QAL1047456 PQP1047391:PQP1047456 PGT1047391:PGT1047456 OWX1047391:OWX1047456 ONB1047391:ONB1047456 ODF1047391:ODF1047456 NTJ1047391:NTJ1047456 NJN1047391:NJN1047456 MZR1047391:MZR1047456 MPV1047391:MPV1047456 MFZ1047391:MFZ1047456 LWD1047391:LWD1047456 LMH1047391:LMH1047456 LCL1047391:LCL1047456 KSP1047391:KSP1047456 KIT1047391:KIT1047456 JYX1047391:JYX1047456 JPB1047391:JPB1047456 JFF1047391:JFF1047456 IVJ1047391:IVJ1047456 ILN1047391:ILN1047456 IBR1047391:IBR1047456 HRV1047391:HRV1047456 HHZ1047391:HHZ1047456 GYD1047391:GYD1047456 GOH1047391:GOH1047456 GEL1047391:GEL1047456 FUP1047391:FUP1047456 FKT1047391:FKT1047456 FAX1047391:FAX1047456 ERB1047391:ERB1047456 EHF1047391:EHF1047456 DXJ1047391:DXJ1047456 DNN1047391:DNN1047456 DDR1047391:DDR1047456 CTV1047391:CTV1047456 CJZ1047391:CJZ1047456 CAD1047391:CAD1047456 BQH1047391:BQH1047456 BGL1047391:BGL1047456 AWP1047391:AWP1047456 AMT1047391:AMT1047456 ACX1047391:ACX1047456 TB1047391:TB1047456 JF1047391:JF1047456 J1047391:J1047456 WVR981855:WVR981920 WLV981855:WLV981920 WBZ981855:WBZ981920 VSD981855:VSD981920 VIH981855:VIH981920 UYL981855:UYL981920 UOP981855:UOP981920 UET981855:UET981920 TUX981855:TUX981920 TLB981855:TLB981920 TBF981855:TBF981920 SRJ981855:SRJ981920 SHN981855:SHN981920 RXR981855:RXR981920 RNV981855:RNV981920 RDZ981855:RDZ981920 QUD981855:QUD981920 QKH981855:QKH981920 QAL981855:QAL981920 PQP981855:PQP981920 PGT981855:PGT981920 OWX981855:OWX981920 ONB981855:ONB981920 ODF981855:ODF981920 NTJ981855:NTJ981920 NJN981855:NJN981920 MZR981855:MZR981920 MPV981855:MPV981920 MFZ981855:MFZ981920 LWD981855:LWD981920 LMH981855:LMH981920 LCL981855:LCL981920 KSP981855:KSP981920 KIT981855:KIT981920 JYX981855:JYX981920 JPB981855:JPB981920 JFF981855:JFF981920 IVJ981855:IVJ981920 ILN981855:ILN981920 IBR981855:IBR981920 HRV981855:HRV981920 HHZ981855:HHZ981920 GYD981855:GYD981920 GOH981855:GOH981920 GEL981855:GEL981920 FUP981855:FUP981920 FKT981855:FKT981920 FAX981855:FAX981920 ERB981855:ERB981920 EHF981855:EHF981920 DXJ981855:DXJ981920 DNN981855:DNN981920 DDR981855:DDR981920 CTV981855:CTV981920 CJZ981855:CJZ981920 CAD981855:CAD981920 BQH981855:BQH981920 BGL981855:BGL981920 AWP981855:AWP981920 AMT981855:AMT981920 ACX981855:ACX981920 TB981855:TB981920 JF981855:JF981920 J981855:J981920 WVR916319:WVR916384 WLV916319:WLV916384 WBZ916319:WBZ916384 VSD916319:VSD916384 VIH916319:VIH916384 UYL916319:UYL916384 UOP916319:UOP916384 UET916319:UET916384 TUX916319:TUX916384 TLB916319:TLB916384 TBF916319:TBF916384 SRJ916319:SRJ916384 SHN916319:SHN916384 RXR916319:RXR916384 RNV916319:RNV916384 RDZ916319:RDZ916384 QUD916319:QUD916384 QKH916319:QKH916384 QAL916319:QAL916384 PQP916319:PQP916384 PGT916319:PGT916384 OWX916319:OWX916384 ONB916319:ONB916384 ODF916319:ODF916384 NTJ916319:NTJ916384 NJN916319:NJN916384 MZR916319:MZR916384 MPV916319:MPV916384 MFZ916319:MFZ916384 LWD916319:LWD916384 LMH916319:LMH916384 LCL916319:LCL916384 KSP916319:KSP916384 KIT916319:KIT916384 JYX916319:JYX916384 JPB916319:JPB916384 JFF916319:JFF916384 IVJ916319:IVJ916384 ILN916319:ILN916384 IBR916319:IBR916384 HRV916319:HRV916384 HHZ916319:HHZ916384 GYD916319:GYD916384 GOH916319:GOH916384 GEL916319:GEL916384 FUP916319:FUP916384 FKT916319:FKT916384 FAX916319:FAX916384 ERB916319:ERB916384 EHF916319:EHF916384 DXJ916319:DXJ916384 DNN916319:DNN916384 DDR916319:DDR916384 CTV916319:CTV916384 CJZ916319:CJZ916384 CAD916319:CAD916384 BQH916319:BQH916384 BGL916319:BGL916384 AWP916319:AWP916384 AMT916319:AMT916384 ACX916319:ACX916384 TB916319:TB916384 JF916319:JF916384 J916319:J916384 WVR850783:WVR850848 WLV850783:WLV850848 WBZ850783:WBZ850848 VSD850783:VSD850848 VIH850783:VIH850848 UYL850783:UYL850848 UOP850783:UOP850848 UET850783:UET850848 TUX850783:TUX850848 TLB850783:TLB850848 TBF850783:TBF850848 SRJ850783:SRJ850848 SHN850783:SHN850848 RXR850783:RXR850848 RNV850783:RNV850848 RDZ850783:RDZ850848 QUD850783:QUD850848 QKH850783:QKH850848 QAL850783:QAL850848 PQP850783:PQP850848 PGT850783:PGT850848 OWX850783:OWX850848 ONB850783:ONB850848 ODF850783:ODF850848 NTJ850783:NTJ850848 NJN850783:NJN850848 MZR850783:MZR850848 MPV850783:MPV850848 MFZ850783:MFZ850848 LWD850783:LWD850848 LMH850783:LMH850848 LCL850783:LCL850848 KSP850783:KSP850848 KIT850783:KIT850848 JYX850783:JYX850848 JPB850783:JPB850848 JFF850783:JFF850848 IVJ850783:IVJ850848 ILN850783:ILN850848 IBR850783:IBR850848 HRV850783:HRV850848 HHZ850783:HHZ850848 GYD850783:GYD850848 GOH850783:GOH850848 GEL850783:GEL850848 FUP850783:FUP850848 FKT850783:FKT850848 FAX850783:FAX850848 ERB850783:ERB850848 EHF850783:EHF850848 DXJ850783:DXJ850848 DNN850783:DNN850848 DDR850783:DDR850848 CTV850783:CTV850848 CJZ850783:CJZ850848 CAD850783:CAD850848 BQH850783:BQH850848 BGL850783:BGL850848 AWP850783:AWP850848 AMT850783:AMT850848 ACX850783:ACX850848 TB850783:TB850848 JF850783:JF850848 J850783:J850848 WVR785247:WVR785312 WLV785247:WLV785312 WBZ785247:WBZ785312 VSD785247:VSD785312 VIH785247:VIH785312 UYL785247:UYL785312 UOP785247:UOP785312 UET785247:UET785312 TUX785247:TUX785312 TLB785247:TLB785312 TBF785247:TBF785312 SRJ785247:SRJ785312 SHN785247:SHN785312 RXR785247:RXR785312 RNV785247:RNV785312 RDZ785247:RDZ785312 QUD785247:QUD785312 QKH785247:QKH785312 QAL785247:QAL785312 PQP785247:PQP785312 PGT785247:PGT785312 OWX785247:OWX785312 ONB785247:ONB785312 ODF785247:ODF785312 NTJ785247:NTJ785312 NJN785247:NJN785312 MZR785247:MZR785312 MPV785247:MPV785312 MFZ785247:MFZ785312 LWD785247:LWD785312 LMH785247:LMH785312 LCL785247:LCL785312 KSP785247:KSP785312 KIT785247:KIT785312 JYX785247:JYX785312 JPB785247:JPB785312 JFF785247:JFF785312 IVJ785247:IVJ785312 ILN785247:ILN785312 IBR785247:IBR785312 HRV785247:HRV785312 HHZ785247:HHZ785312 GYD785247:GYD785312 GOH785247:GOH785312 GEL785247:GEL785312 FUP785247:FUP785312 FKT785247:FKT785312 FAX785247:FAX785312 ERB785247:ERB785312 EHF785247:EHF785312 DXJ785247:DXJ785312 DNN785247:DNN785312 DDR785247:DDR785312 CTV785247:CTV785312 CJZ785247:CJZ785312 CAD785247:CAD785312 BQH785247:BQH785312 BGL785247:BGL785312 AWP785247:AWP785312 AMT785247:AMT785312 ACX785247:ACX785312 TB785247:TB785312 JF785247:JF785312 J785247:J785312 WVR719711:WVR719776 WLV719711:WLV719776 WBZ719711:WBZ719776 VSD719711:VSD719776 VIH719711:VIH719776 UYL719711:UYL719776 UOP719711:UOP719776 UET719711:UET719776 TUX719711:TUX719776 TLB719711:TLB719776 TBF719711:TBF719776 SRJ719711:SRJ719776 SHN719711:SHN719776 RXR719711:RXR719776 RNV719711:RNV719776 RDZ719711:RDZ719776 QUD719711:QUD719776 QKH719711:QKH719776 QAL719711:QAL719776 PQP719711:PQP719776 PGT719711:PGT719776 OWX719711:OWX719776 ONB719711:ONB719776 ODF719711:ODF719776 NTJ719711:NTJ719776 NJN719711:NJN719776 MZR719711:MZR719776 MPV719711:MPV719776 MFZ719711:MFZ719776 LWD719711:LWD719776 LMH719711:LMH719776 LCL719711:LCL719776 KSP719711:KSP719776 KIT719711:KIT719776 JYX719711:JYX719776 JPB719711:JPB719776 JFF719711:JFF719776 IVJ719711:IVJ719776 ILN719711:ILN719776 IBR719711:IBR719776 HRV719711:HRV719776 HHZ719711:HHZ719776 GYD719711:GYD719776 GOH719711:GOH719776 GEL719711:GEL719776 FUP719711:FUP719776 FKT719711:FKT719776 FAX719711:FAX719776 ERB719711:ERB719776 EHF719711:EHF719776 DXJ719711:DXJ719776 DNN719711:DNN719776 DDR719711:DDR719776 CTV719711:CTV719776 CJZ719711:CJZ719776 CAD719711:CAD719776 BQH719711:BQH719776 BGL719711:BGL719776 AWP719711:AWP719776 AMT719711:AMT719776 ACX719711:ACX719776 TB719711:TB719776 JF719711:JF719776 J719711:J719776 WVR654175:WVR654240 WLV654175:WLV654240 WBZ654175:WBZ654240 VSD654175:VSD654240 VIH654175:VIH654240 UYL654175:UYL654240 UOP654175:UOP654240 UET654175:UET654240 TUX654175:TUX654240 TLB654175:TLB654240 TBF654175:TBF654240 SRJ654175:SRJ654240 SHN654175:SHN654240 RXR654175:RXR654240 RNV654175:RNV654240 RDZ654175:RDZ654240 QUD654175:QUD654240 QKH654175:QKH654240 QAL654175:QAL654240 PQP654175:PQP654240 PGT654175:PGT654240 OWX654175:OWX654240 ONB654175:ONB654240 ODF654175:ODF654240 NTJ654175:NTJ654240 NJN654175:NJN654240 MZR654175:MZR654240 MPV654175:MPV654240 MFZ654175:MFZ654240 LWD654175:LWD654240 LMH654175:LMH654240 LCL654175:LCL654240 KSP654175:KSP654240 KIT654175:KIT654240 JYX654175:JYX654240 JPB654175:JPB654240 JFF654175:JFF654240 IVJ654175:IVJ654240 ILN654175:ILN654240 IBR654175:IBR654240 HRV654175:HRV654240 HHZ654175:HHZ654240 GYD654175:GYD654240 GOH654175:GOH654240 GEL654175:GEL654240 FUP654175:FUP654240 FKT654175:FKT654240 FAX654175:FAX654240 ERB654175:ERB654240 EHF654175:EHF654240 DXJ654175:DXJ654240 DNN654175:DNN654240 DDR654175:DDR654240 CTV654175:CTV654240 CJZ654175:CJZ654240 CAD654175:CAD654240 BQH654175:BQH654240 BGL654175:BGL654240 AWP654175:AWP654240 AMT654175:AMT654240 ACX654175:ACX654240 TB654175:TB654240 JF654175:JF654240 J654175:J654240 WVR588639:WVR588704 WLV588639:WLV588704 WBZ588639:WBZ588704 VSD588639:VSD588704 VIH588639:VIH588704 UYL588639:UYL588704 UOP588639:UOP588704 UET588639:UET588704 TUX588639:TUX588704 TLB588639:TLB588704 TBF588639:TBF588704 SRJ588639:SRJ588704 SHN588639:SHN588704 RXR588639:RXR588704 RNV588639:RNV588704 RDZ588639:RDZ588704 QUD588639:QUD588704 QKH588639:QKH588704 QAL588639:QAL588704 PQP588639:PQP588704 PGT588639:PGT588704 OWX588639:OWX588704 ONB588639:ONB588704 ODF588639:ODF588704 NTJ588639:NTJ588704 NJN588639:NJN588704 MZR588639:MZR588704 MPV588639:MPV588704 MFZ588639:MFZ588704 LWD588639:LWD588704 LMH588639:LMH588704 LCL588639:LCL588704 KSP588639:KSP588704 KIT588639:KIT588704 JYX588639:JYX588704 JPB588639:JPB588704 JFF588639:JFF588704 IVJ588639:IVJ588704 ILN588639:ILN588704 IBR588639:IBR588704 HRV588639:HRV588704 HHZ588639:HHZ588704 GYD588639:GYD588704 GOH588639:GOH588704 GEL588639:GEL588704 FUP588639:FUP588704 FKT588639:FKT588704 FAX588639:FAX588704 ERB588639:ERB588704 EHF588639:EHF588704 DXJ588639:DXJ588704 DNN588639:DNN588704 DDR588639:DDR588704 CTV588639:CTV588704 CJZ588639:CJZ588704 CAD588639:CAD588704 BQH588639:BQH588704 BGL588639:BGL588704 AWP588639:AWP588704 AMT588639:AMT588704 ACX588639:ACX588704 TB588639:TB588704 JF588639:JF588704 J588639:J588704 WVR523103:WVR523168 WLV523103:WLV523168 WBZ523103:WBZ523168 VSD523103:VSD523168 VIH523103:VIH523168 UYL523103:UYL523168 UOP523103:UOP523168 UET523103:UET523168 TUX523103:TUX523168 TLB523103:TLB523168 TBF523103:TBF523168 SRJ523103:SRJ523168 SHN523103:SHN523168 RXR523103:RXR523168 RNV523103:RNV523168 RDZ523103:RDZ523168 QUD523103:QUD523168 QKH523103:QKH523168 QAL523103:QAL523168 PQP523103:PQP523168 PGT523103:PGT523168 OWX523103:OWX523168 ONB523103:ONB523168 ODF523103:ODF523168 NTJ523103:NTJ523168 NJN523103:NJN523168 MZR523103:MZR523168 MPV523103:MPV523168 MFZ523103:MFZ523168 LWD523103:LWD523168 LMH523103:LMH523168 LCL523103:LCL523168 KSP523103:KSP523168 KIT523103:KIT523168 JYX523103:JYX523168 JPB523103:JPB523168 JFF523103:JFF523168 IVJ523103:IVJ523168 ILN523103:ILN523168 IBR523103:IBR523168 HRV523103:HRV523168 HHZ523103:HHZ523168 GYD523103:GYD523168 GOH523103:GOH523168 GEL523103:GEL523168 FUP523103:FUP523168 FKT523103:FKT523168 FAX523103:FAX523168 ERB523103:ERB523168 EHF523103:EHF523168 DXJ523103:DXJ523168 DNN523103:DNN523168 DDR523103:DDR523168 CTV523103:CTV523168 CJZ523103:CJZ523168 CAD523103:CAD523168 BQH523103:BQH523168 BGL523103:BGL523168 AWP523103:AWP523168 AMT523103:AMT523168 ACX523103:ACX523168 TB523103:TB523168 JF523103:JF523168 J523103:J523168 WVR457567:WVR457632 WLV457567:WLV457632 WBZ457567:WBZ457632 VSD457567:VSD457632 VIH457567:VIH457632 UYL457567:UYL457632 UOP457567:UOP457632 UET457567:UET457632 TUX457567:TUX457632 TLB457567:TLB457632 TBF457567:TBF457632 SRJ457567:SRJ457632 SHN457567:SHN457632 RXR457567:RXR457632 RNV457567:RNV457632 RDZ457567:RDZ457632 QUD457567:QUD457632 QKH457567:QKH457632 QAL457567:QAL457632 PQP457567:PQP457632 PGT457567:PGT457632 OWX457567:OWX457632 ONB457567:ONB457632 ODF457567:ODF457632 NTJ457567:NTJ457632 NJN457567:NJN457632 MZR457567:MZR457632 MPV457567:MPV457632 MFZ457567:MFZ457632 LWD457567:LWD457632 LMH457567:LMH457632 LCL457567:LCL457632 KSP457567:KSP457632 KIT457567:KIT457632 JYX457567:JYX457632 JPB457567:JPB457632 JFF457567:JFF457632 IVJ457567:IVJ457632 ILN457567:ILN457632 IBR457567:IBR457632 HRV457567:HRV457632 HHZ457567:HHZ457632 GYD457567:GYD457632 GOH457567:GOH457632 GEL457567:GEL457632 FUP457567:FUP457632 FKT457567:FKT457632 FAX457567:FAX457632 ERB457567:ERB457632 EHF457567:EHF457632 DXJ457567:DXJ457632 DNN457567:DNN457632 DDR457567:DDR457632 CTV457567:CTV457632 CJZ457567:CJZ457632 CAD457567:CAD457632 BQH457567:BQH457632 BGL457567:BGL457632 AWP457567:AWP457632 AMT457567:AMT457632 ACX457567:ACX457632 TB457567:TB457632 JF457567:JF457632 J457567:J457632 WVR392031:WVR392096 WLV392031:WLV392096 WBZ392031:WBZ392096 VSD392031:VSD392096 VIH392031:VIH392096 UYL392031:UYL392096 UOP392031:UOP392096 UET392031:UET392096 TUX392031:TUX392096 TLB392031:TLB392096 TBF392031:TBF392096 SRJ392031:SRJ392096 SHN392031:SHN392096 RXR392031:RXR392096 RNV392031:RNV392096 RDZ392031:RDZ392096 QUD392031:QUD392096 QKH392031:QKH392096 QAL392031:QAL392096 PQP392031:PQP392096 PGT392031:PGT392096 OWX392031:OWX392096 ONB392031:ONB392096 ODF392031:ODF392096 NTJ392031:NTJ392096 NJN392031:NJN392096 MZR392031:MZR392096 MPV392031:MPV392096 MFZ392031:MFZ392096 LWD392031:LWD392096 LMH392031:LMH392096 LCL392031:LCL392096 KSP392031:KSP392096 KIT392031:KIT392096 JYX392031:JYX392096 JPB392031:JPB392096 JFF392031:JFF392096 IVJ392031:IVJ392096 ILN392031:ILN392096 IBR392031:IBR392096 HRV392031:HRV392096 HHZ392031:HHZ392096 GYD392031:GYD392096 GOH392031:GOH392096 GEL392031:GEL392096 FUP392031:FUP392096 FKT392031:FKT392096 FAX392031:FAX392096 ERB392031:ERB392096 EHF392031:EHF392096 DXJ392031:DXJ392096 DNN392031:DNN392096 DDR392031:DDR392096 CTV392031:CTV392096 CJZ392031:CJZ392096 CAD392031:CAD392096 BQH392031:BQH392096 BGL392031:BGL392096 AWP392031:AWP392096 AMT392031:AMT392096 ACX392031:ACX392096 TB392031:TB392096 JF392031:JF392096 J392031:J392096 WVR326495:WVR326560 WLV326495:WLV326560 WBZ326495:WBZ326560 VSD326495:VSD326560 VIH326495:VIH326560 UYL326495:UYL326560 UOP326495:UOP326560 UET326495:UET326560 TUX326495:TUX326560 TLB326495:TLB326560 TBF326495:TBF326560 SRJ326495:SRJ326560 SHN326495:SHN326560 RXR326495:RXR326560 RNV326495:RNV326560 RDZ326495:RDZ326560 QUD326495:QUD326560 QKH326495:QKH326560 QAL326495:QAL326560 PQP326495:PQP326560 PGT326495:PGT326560 OWX326495:OWX326560 ONB326495:ONB326560 ODF326495:ODF326560 NTJ326495:NTJ326560 NJN326495:NJN326560 MZR326495:MZR326560 MPV326495:MPV326560 MFZ326495:MFZ326560 LWD326495:LWD326560 LMH326495:LMH326560 LCL326495:LCL326560 KSP326495:KSP326560 KIT326495:KIT326560 JYX326495:JYX326560 JPB326495:JPB326560 JFF326495:JFF326560 IVJ326495:IVJ326560 ILN326495:ILN326560 IBR326495:IBR326560 HRV326495:HRV326560 HHZ326495:HHZ326560 GYD326495:GYD326560 GOH326495:GOH326560 GEL326495:GEL326560 FUP326495:FUP326560 FKT326495:FKT326560 FAX326495:FAX326560 ERB326495:ERB326560 EHF326495:EHF326560 DXJ326495:DXJ326560 DNN326495:DNN326560 DDR326495:DDR326560 CTV326495:CTV326560 CJZ326495:CJZ326560 CAD326495:CAD326560 BQH326495:BQH326560 BGL326495:BGL326560 AWP326495:AWP326560 AMT326495:AMT326560 ACX326495:ACX326560 TB326495:TB326560 JF326495:JF326560 J326495:J326560 WVR260959:WVR261024 WLV260959:WLV261024 WBZ260959:WBZ261024 VSD260959:VSD261024 VIH260959:VIH261024 UYL260959:UYL261024 UOP260959:UOP261024 UET260959:UET261024 TUX260959:TUX261024 TLB260959:TLB261024 TBF260959:TBF261024 SRJ260959:SRJ261024 SHN260959:SHN261024 RXR260959:RXR261024 RNV260959:RNV261024 RDZ260959:RDZ261024 QUD260959:QUD261024 QKH260959:QKH261024 QAL260959:QAL261024 PQP260959:PQP261024 PGT260959:PGT261024 OWX260959:OWX261024 ONB260959:ONB261024 ODF260959:ODF261024 NTJ260959:NTJ261024 NJN260959:NJN261024 MZR260959:MZR261024 MPV260959:MPV261024 MFZ260959:MFZ261024 LWD260959:LWD261024 LMH260959:LMH261024 LCL260959:LCL261024 KSP260959:KSP261024 KIT260959:KIT261024 JYX260959:JYX261024 JPB260959:JPB261024 JFF260959:JFF261024 IVJ260959:IVJ261024 ILN260959:ILN261024 IBR260959:IBR261024 HRV260959:HRV261024 HHZ260959:HHZ261024 GYD260959:GYD261024 GOH260959:GOH261024 GEL260959:GEL261024 FUP260959:FUP261024 FKT260959:FKT261024 FAX260959:FAX261024 ERB260959:ERB261024 EHF260959:EHF261024 DXJ260959:DXJ261024 DNN260959:DNN261024 DDR260959:DDR261024 CTV260959:CTV261024 CJZ260959:CJZ261024 CAD260959:CAD261024 BQH260959:BQH261024 BGL260959:BGL261024 AWP260959:AWP261024 AMT260959:AMT261024 ACX260959:ACX261024 TB260959:TB261024 JF260959:JF261024 J260959:J261024 WVR195423:WVR195488 WLV195423:WLV195488 WBZ195423:WBZ195488 VSD195423:VSD195488 VIH195423:VIH195488 UYL195423:UYL195488 UOP195423:UOP195488 UET195423:UET195488 TUX195423:TUX195488 TLB195423:TLB195488 TBF195423:TBF195488 SRJ195423:SRJ195488 SHN195423:SHN195488 RXR195423:RXR195488 RNV195423:RNV195488 RDZ195423:RDZ195488 QUD195423:QUD195488 QKH195423:QKH195488 QAL195423:QAL195488 PQP195423:PQP195488 PGT195423:PGT195488 OWX195423:OWX195488 ONB195423:ONB195488 ODF195423:ODF195488 NTJ195423:NTJ195488 NJN195423:NJN195488 MZR195423:MZR195488 MPV195423:MPV195488 MFZ195423:MFZ195488 LWD195423:LWD195488 LMH195423:LMH195488 LCL195423:LCL195488 KSP195423:KSP195488 KIT195423:KIT195488 JYX195423:JYX195488 JPB195423:JPB195488 JFF195423:JFF195488 IVJ195423:IVJ195488 ILN195423:ILN195488 IBR195423:IBR195488 HRV195423:HRV195488 HHZ195423:HHZ195488 GYD195423:GYD195488 GOH195423:GOH195488 GEL195423:GEL195488 FUP195423:FUP195488 FKT195423:FKT195488 FAX195423:FAX195488 ERB195423:ERB195488 EHF195423:EHF195488 DXJ195423:DXJ195488 DNN195423:DNN195488 DDR195423:DDR195488 CTV195423:CTV195488 CJZ195423:CJZ195488 CAD195423:CAD195488 BQH195423:BQH195488 BGL195423:BGL195488 AWP195423:AWP195488 AMT195423:AMT195488 ACX195423:ACX195488 TB195423:TB195488 JF195423:JF195488 J195423:J195488 WVR129887:WVR129952 WLV129887:WLV129952 WBZ129887:WBZ129952 VSD129887:VSD129952 VIH129887:VIH129952 UYL129887:UYL129952 UOP129887:UOP129952 UET129887:UET129952 TUX129887:TUX129952 TLB129887:TLB129952 TBF129887:TBF129952 SRJ129887:SRJ129952 SHN129887:SHN129952 RXR129887:RXR129952 RNV129887:RNV129952 RDZ129887:RDZ129952 QUD129887:QUD129952 QKH129887:QKH129952 QAL129887:QAL129952 PQP129887:PQP129952 PGT129887:PGT129952 OWX129887:OWX129952 ONB129887:ONB129952 ODF129887:ODF129952 NTJ129887:NTJ129952 NJN129887:NJN129952 MZR129887:MZR129952 MPV129887:MPV129952 MFZ129887:MFZ129952 LWD129887:LWD129952 LMH129887:LMH129952 LCL129887:LCL129952 KSP129887:KSP129952 KIT129887:KIT129952 JYX129887:JYX129952 JPB129887:JPB129952 JFF129887:JFF129952 IVJ129887:IVJ129952 ILN129887:ILN129952 IBR129887:IBR129952 HRV129887:HRV129952 HHZ129887:HHZ129952 GYD129887:GYD129952 GOH129887:GOH129952 GEL129887:GEL129952 FUP129887:FUP129952 FKT129887:FKT129952 FAX129887:FAX129952 ERB129887:ERB129952 EHF129887:EHF129952 DXJ129887:DXJ129952 DNN129887:DNN129952 DDR129887:DDR129952 CTV129887:CTV129952 CJZ129887:CJZ129952 CAD129887:CAD129952 BQH129887:BQH129952 BGL129887:BGL129952 AWP129887:AWP129952 AMT129887:AMT129952 ACX129887:ACX129952 TB129887:TB129952 JF129887:JF129952 J129887:J129952 WVR64351:WVR64416 WLV64351:WLV64416 WBZ64351:WBZ64416 VSD64351:VSD64416 VIH64351:VIH64416 UYL64351:UYL64416 UOP64351:UOP64416 UET64351:UET64416 TUX64351:TUX64416 TLB64351:TLB64416 TBF64351:TBF64416 SRJ64351:SRJ64416 SHN64351:SHN64416 RXR64351:RXR64416 RNV64351:RNV64416 RDZ64351:RDZ64416 QUD64351:QUD64416 QKH64351:QKH64416 QAL64351:QAL64416 PQP64351:PQP64416 PGT64351:PGT64416 OWX64351:OWX64416 ONB64351:ONB64416 ODF64351:ODF64416 NTJ64351:NTJ64416 NJN64351:NJN64416 MZR64351:MZR64416 MPV64351:MPV64416 MFZ64351:MFZ64416 LWD64351:LWD64416 LMH64351:LMH64416 LCL64351:LCL64416 KSP64351:KSP64416 KIT64351:KIT64416 JYX64351:JYX64416 JPB64351:JPB64416 JFF64351:JFF64416 IVJ64351:IVJ64416 ILN64351:ILN64416 IBR64351:IBR64416 HRV64351:HRV64416 HHZ64351:HHZ64416 GYD64351:GYD64416 GOH64351:GOH64416 GEL64351:GEL64416 FUP64351:FUP64416 FKT64351:FKT64416 FAX64351:FAX64416 ERB64351:ERB64416 EHF64351:EHF64416 DXJ64351:DXJ64416 DNN64351:DNN64416 DDR64351:DDR64416 CTV64351:CTV64416 CJZ64351:CJZ64416 CAD64351:CAD64416 BQH64351:BQH64416 BGL64351:BGL64416 AWP64351:AWP64416 AMT64351:AMT64416 ACX64351:ACX64416 TB64351:TB64416 JF64351:JF64416">
      <formula1>$AP$2:$AP$15</formula1>
    </dataValidation>
    <dataValidation type="list" allowBlank="1" showInputMessage="1" showErrorMessage="1" sqref="K64351:K64416 WVS1047391:WVS1047456 WLW1047391:WLW1047456 WCA1047391:WCA1047456 VSE1047391:VSE1047456 VII1047391:VII1047456 UYM1047391:UYM1047456 UOQ1047391:UOQ1047456 UEU1047391:UEU1047456 TUY1047391:TUY1047456 TLC1047391:TLC1047456 TBG1047391:TBG1047456 SRK1047391:SRK1047456 SHO1047391:SHO1047456 RXS1047391:RXS1047456 RNW1047391:RNW1047456 REA1047391:REA1047456 QUE1047391:QUE1047456 QKI1047391:QKI1047456 QAM1047391:QAM1047456 PQQ1047391:PQQ1047456 PGU1047391:PGU1047456 OWY1047391:OWY1047456 ONC1047391:ONC1047456 ODG1047391:ODG1047456 NTK1047391:NTK1047456 NJO1047391:NJO1047456 MZS1047391:MZS1047456 MPW1047391:MPW1047456 MGA1047391:MGA1047456 LWE1047391:LWE1047456 LMI1047391:LMI1047456 LCM1047391:LCM1047456 KSQ1047391:KSQ1047456 KIU1047391:KIU1047456 JYY1047391:JYY1047456 JPC1047391:JPC1047456 JFG1047391:JFG1047456 IVK1047391:IVK1047456 ILO1047391:ILO1047456 IBS1047391:IBS1047456 HRW1047391:HRW1047456 HIA1047391:HIA1047456 GYE1047391:GYE1047456 GOI1047391:GOI1047456 GEM1047391:GEM1047456 FUQ1047391:FUQ1047456 FKU1047391:FKU1047456 FAY1047391:FAY1047456 ERC1047391:ERC1047456 EHG1047391:EHG1047456 DXK1047391:DXK1047456 DNO1047391:DNO1047456 DDS1047391:DDS1047456 CTW1047391:CTW1047456 CKA1047391:CKA1047456 CAE1047391:CAE1047456 BQI1047391:BQI1047456 BGM1047391:BGM1047456 AWQ1047391:AWQ1047456 AMU1047391:AMU1047456 ACY1047391:ACY1047456 TC1047391:TC1047456 JG1047391:JG1047456 K1047391:K1047456 WVS981855:WVS981920 WLW981855:WLW981920 WCA981855:WCA981920 VSE981855:VSE981920 VII981855:VII981920 UYM981855:UYM981920 UOQ981855:UOQ981920 UEU981855:UEU981920 TUY981855:TUY981920 TLC981855:TLC981920 TBG981855:TBG981920 SRK981855:SRK981920 SHO981855:SHO981920 RXS981855:RXS981920 RNW981855:RNW981920 REA981855:REA981920 QUE981855:QUE981920 QKI981855:QKI981920 QAM981855:QAM981920 PQQ981855:PQQ981920 PGU981855:PGU981920 OWY981855:OWY981920 ONC981855:ONC981920 ODG981855:ODG981920 NTK981855:NTK981920 NJO981855:NJO981920 MZS981855:MZS981920 MPW981855:MPW981920 MGA981855:MGA981920 LWE981855:LWE981920 LMI981855:LMI981920 LCM981855:LCM981920 KSQ981855:KSQ981920 KIU981855:KIU981920 JYY981855:JYY981920 JPC981855:JPC981920 JFG981855:JFG981920 IVK981855:IVK981920 ILO981855:ILO981920 IBS981855:IBS981920 HRW981855:HRW981920 HIA981855:HIA981920 GYE981855:GYE981920 GOI981855:GOI981920 GEM981855:GEM981920 FUQ981855:FUQ981920 FKU981855:FKU981920 FAY981855:FAY981920 ERC981855:ERC981920 EHG981855:EHG981920 DXK981855:DXK981920 DNO981855:DNO981920 DDS981855:DDS981920 CTW981855:CTW981920 CKA981855:CKA981920 CAE981855:CAE981920 BQI981855:BQI981920 BGM981855:BGM981920 AWQ981855:AWQ981920 AMU981855:AMU981920 ACY981855:ACY981920 TC981855:TC981920 JG981855:JG981920 K981855:K981920 WVS916319:WVS916384 WLW916319:WLW916384 WCA916319:WCA916384 VSE916319:VSE916384 VII916319:VII916384 UYM916319:UYM916384 UOQ916319:UOQ916384 UEU916319:UEU916384 TUY916319:TUY916384 TLC916319:TLC916384 TBG916319:TBG916384 SRK916319:SRK916384 SHO916319:SHO916384 RXS916319:RXS916384 RNW916319:RNW916384 REA916319:REA916384 QUE916319:QUE916384 QKI916319:QKI916384 QAM916319:QAM916384 PQQ916319:PQQ916384 PGU916319:PGU916384 OWY916319:OWY916384 ONC916319:ONC916384 ODG916319:ODG916384 NTK916319:NTK916384 NJO916319:NJO916384 MZS916319:MZS916384 MPW916319:MPW916384 MGA916319:MGA916384 LWE916319:LWE916384 LMI916319:LMI916384 LCM916319:LCM916384 KSQ916319:KSQ916384 KIU916319:KIU916384 JYY916319:JYY916384 JPC916319:JPC916384 JFG916319:JFG916384 IVK916319:IVK916384 ILO916319:ILO916384 IBS916319:IBS916384 HRW916319:HRW916384 HIA916319:HIA916384 GYE916319:GYE916384 GOI916319:GOI916384 GEM916319:GEM916384 FUQ916319:FUQ916384 FKU916319:FKU916384 FAY916319:FAY916384 ERC916319:ERC916384 EHG916319:EHG916384 DXK916319:DXK916384 DNO916319:DNO916384 DDS916319:DDS916384 CTW916319:CTW916384 CKA916319:CKA916384 CAE916319:CAE916384 BQI916319:BQI916384 BGM916319:BGM916384 AWQ916319:AWQ916384 AMU916319:AMU916384 ACY916319:ACY916384 TC916319:TC916384 JG916319:JG916384 K916319:K916384 WVS850783:WVS850848 WLW850783:WLW850848 WCA850783:WCA850848 VSE850783:VSE850848 VII850783:VII850848 UYM850783:UYM850848 UOQ850783:UOQ850848 UEU850783:UEU850848 TUY850783:TUY850848 TLC850783:TLC850848 TBG850783:TBG850848 SRK850783:SRK850848 SHO850783:SHO850848 RXS850783:RXS850848 RNW850783:RNW850848 REA850783:REA850848 QUE850783:QUE850848 QKI850783:QKI850848 QAM850783:QAM850848 PQQ850783:PQQ850848 PGU850783:PGU850848 OWY850783:OWY850848 ONC850783:ONC850848 ODG850783:ODG850848 NTK850783:NTK850848 NJO850783:NJO850848 MZS850783:MZS850848 MPW850783:MPW850848 MGA850783:MGA850848 LWE850783:LWE850848 LMI850783:LMI850848 LCM850783:LCM850848 KSQ850783:KSQ850848 KIU850783:KIU850848 JYY850783:JYY850848 JPC850783:JPC850848 JFG850783:JFG850848 IVK850783:IVK850848 ILO850783:ILO850848 IBS850783:IBS850848 HRW850783:HRW850848 HIA850783:HIA850848 GYE850783:GYE850848 GOI850783:GOI850848 GEM850783:GEM850848 FUQ850783:FUQ850848 FKU850783:FKU850848 FAY850783:FAY850848 ERC850783:ERC850848 EHG850783:EHG850848 DXK850783:DXK850848 DNO850783:DNO850848 DDS850783:DDS850848 CTW850783:CTW850848 CKA850783:CKA850848 CAE850783:CAE850848 BQI850783:BQI850848 BGM850783:BGM850848 AWQ850783:AWQ850848 AMU850783:AMU850848 ACY850783:ACY850848 TC850783:TC850848 JG850783:JG850848 K850783:K850848 WVS785247:WVS785312 WLW785247:WLW785312 WCA785247:WCA785312 VSE785247:VSE785312 VII785247:VII785312 UYM785247:UYM785312 UOQ785247:UOQ785312 UEU785247:UEU785312 TUY785247:TUY785312 TLC785247:TLC785312 TBG785247:TBG785312 SRK785247:SRK785312 SHO785247:SHO785312 RXS785247:RXS785312 RNW785247:RNW785312 REA785247:REA785312 QUE785247:QUE785312 QKI785247:QKI785312 QAM785247:QAM785312 PQQ785247:PQQ785312 PGU785247:PGU785312 OWY785247:OWY785312 ONC785247:ONC785312 ODG785247:ODG785312 NTK785247:NTK785312 NJO785247:NJO785312 MZS785247:MZS785312 MPW785247:MPW785312 MGA785247:MGA785312 LWE785247:LWE785312 LMI785247:LMI785312 LCM785247:LCM785312 KSQ785247:KSQ785312 KIU785247:KIU785312 JYY785247:JYY785312 JPC785247:JPC785312 JFG785247:JFG785312 IVK785247:IVK785312 ILO785247:ILO785312 IBS785247:IBS785312 HRW785247:HRW785312 HIA785247:HIA785312 GYE785247:GYE785312 GOI785247:GOI785312 GEM785247:GEM785312 FUQ785247:FUQ785312 FKU785247:FKU785312 FAY785247:FAY785312 ERC785247:ERC785312 EHG785247:EHG785312 DXK785247:DXK785312 DNO785247:DNO785312 DDS785247:DDS785312 CTW785247:CTW785312 CKA785247:CKA785312 CAE785247:CAE785312 BQI785247:BQI785312 BGM785247:BGM785312 AWQ785247:AWQ785312 AMU785247:AMU785312 ACY785247:ACY785312 TC785247:TC785312 JG785247:JG785312 K785247:K785312 WVS719711:WVS719776 WLW719711:WLW719776 WCA719711:WCA719776 VSE719711:VSE719776 VII719711:VII719776 UYM719711:UYM719776 UOQ719711:UOQ719776 UEU719711:UEU719776 TUY719711:TUY719776 TLC719711:TLC719776 TBG719711:TBG719776 SRK719711:SRK719776 SHO719711:SHO719776 RXS719711:RXS719776 RNW719711:RNW719776 REA719711:REA719776 QUE719711:QUE719776 QKI719711:QKI719776 QAM719711:QAM719776 PQQ719711:PQQ719776 PGU719711:PGU719776 OWY719711:OWY719776 ONC719711:ONC719776 ODG719711:ODG719776 NTK719711:NTK719776 NJO719711:NJO719776 MZS719711:MZS719776 MPW719711:MPW719776 MGA719711:MGA719776 LWE719711:LWE719776 LMI719711:LMI719776 LCM719711:LCM719776 KSQ719711:KSQ719776 KIU719711:KIU719776 JYY719711:JYY719776 JPC719711:JPC719776 JFG719711:JFG719776 IVK719711:IVK719776 ILO719711:ILO719776 IBS719711:IBS719776 HRW719711:HRW719776 HIA719711:HIA719776 GYE719711:GYE719776 GOI719711:GOI719776 GEM719711:GEM719776 FUQ719711:FUQ719776 FKU719711:FKU719776 FAY719711:FAY719776 ERC719711:ERC719776 EHG719711:EHG719776 DXK719711:DXK719776 DNO719711:DNO719776 DDS719711:DDS719776 CTW719711:CTW719776 CKA719711:CKA719776 CAE719711:CAE719776 BQI719711:BQI719776 BGM719711:BGM719776 AWQ719711:AWQ719776 AMU719711:AMU719776 ACY719711:ACY719776 TC719711:TC719776 JG719711:JG719776 K719711:K719776 WVS654175:WVS654240 WLW654175:WLW654240 WCA654175:WCA654240 VSE654175:VSE654240 VII654175:VII654240 UYM654175:UYM654240 UOQ654175:UOQ654240 UEU654175:UEU654240 TUY654175:TUY654240 TLC654175:TLC654240 TBG654175:TBG654240 SRK654175:SRK654240 SHO654175:SHO654240 RXS654175:RXS654240 RNW654175:RNW654240 REA654175:REA654240 QUE654175:QUE654240 QKI654175:QKI654240 QAM654175:QAM654240 PQQ654175:PQQ654240 PGU654175:PGU654240 OWY654175:OWY654240 ONC654175:ONC654240 ODG654175:ODG654240 NTK654175:NTK654240 NJO654175:NJO654240 MZS654175:MZS654240 MPW654175:MPW654240 MGA654175:MGA654240 LWE654175:LWE654240 LMI654175:LMI654240 LCM654175:LCM654240 KSQ654175:KSQ654240 KIU654175:KIU654240 JYY654175:JYY654240 JPC654175:JPC654240 JFG654175:JFG654240 IVK654175:IVK654240 ILO654175:ILO654240 IBS654175:IBS654240 HRW654175:HRW654240 HIA654175:HIA654240 GYE654175:GYE654240 GOI654175:GOI654240 GEM654175:GEM654240 FUQ654175:FUQ654240 FKU654175:FKU654240 FAY654175:FAY654240 ERC654175:ERC654240 EHG654175:EHG654240 DXK654175:DXK654240 DNO654175:DNO654240 DDS654175:DDS654240 CTW654175:CTW654240 CKA654175:CKA654240 CAE654175:CAE654240 BQI654175:BQI654240 BGM654175:BGM654240 AWQ654175:AWQ654240 AMU654175:AMU654240 ACY654175:ACY654240 TC654175:TC654240 JG654175:JG654240 K654175:K654240 WVS588639:WVS588704 WLW588639:WLW588704 WCA588639:WCA588704 VSE588639:VSE588704 VII588639:VII588704 UYM588639:UYM588704 UOQ588639:UOQ588704 UEU588639:UEU588704 TUY588639:TUY588704 TLC588639:TLC588704 TBG588639:TBG588704 SRK588639:SRK588704 SHO588639:SHO588704 RXS588639:RXS588704 RNW588639:RNW588704 REA588639:REA588704 QUE588639:QUE588704 QKI588639:QKI588704 QAM588639:QAM588704 PQQ588639:PQQ588704 PGU588639:PGU588704 OWY588639:OWY588704 ONC588639:ONC588704 ODG588639:ODG588704 NTK588639:NTK588704 NJO588639:NJO588704 MZS588639:MZS588704 MPW588639:MPW588704 MGA588639:MGA588704 LWE588639:LWE588704 LMI588639:LMI588704 LCM588639:LCM588704 KSQ588639:KSQ588704 KIU588639:KIU588704 JYY588639:JYY588704 JPC588639:JPC588704 JFG588639:JFG588704 IVK588639:IVK588704 ILO588639:ILO588704 IBS588639:IBS588704 HRW588639:HRW588704 HIA588639:HIA588704 GYE588639:GYE588704 GOI588639:GOI588704 GEM588639:GEM588704 FUQ588639:FUQ588704 FKU588639:FKU588704 FAY588639:FAY588704 ERC588639:ERC588704 EHG588639:EHG588704 DXK588639:DXK588704 DNO588639:DNO588704 DDS588639:DDS588704 CTW588639:CTW588704 CKA588639:CKA588704 CAE588639:CAE588704 BQI588639:BQI588704 BGM588639:BGM588704 AWQ588639:AWQ588704 AMU588639:AMU588704 ACY588639:ACY588704 TC588639:TC588704 JG588639:JG588704 K588639:K588704 WVS523103:WVS523168 WLW523103:WLW523168 WCA523103:WCA523168 VSE523103:VSE523168 VII523103:VII523168 UYM523103:UYM523168 UOQ523103:UOQ523168 UEU523103:UEU523168 TUY523103:TUY523168 TLC523103:TLC523168 TBG523103:TBG523168 SRK523103:SRK523168 SHO523103:SHO523168 RXS523103:RXS523168 RNW523103:RNW523168 REA523103:REA523168 QUE523103:QUE523168 QKI523103:QKI523168 QAM523103:QAM523168 PQQ523103:PQQ523168 PGU523103:PGU523168 OWY523103:OWY523168 ONC523103:ONC523168 ODG523103:ODG523168 NTK523103:NTK523168 NJO523103:NJO523168 MZS523103:MZS523168 MPW523103:MPW523168 MGA523103:MGA523168 LWE523103:LWE523168 LMI523103:LMI523168 LCM523103:LCM523168 KSQ523103:KSQ523168 KIU523103:KIU523168 JYY523103:JYY523168 JPC523103:JPC523168 JFG523103:JFG523168 IVK523103:IVK523168 ILO523103:ILO523168 IBS523103:IBS523168 HRW523103:HRW523168 HIA523103:HIA523168 GYE523103:GYE523168 GOI523103:GOI523168 GEM523103:GEM523168 FUQ523103:FUQ523168 FKU523103:FKU523168 FAY523103:FAY523168 ERC523103:ERC523168 EHG523103:EHG523168 DXK523103:DXK523168 DNO523103:DNO523168 DDS523103:DDS523168 CTW523103:CTW523168 CKA523103:CKA523168 CAE523103:CAE523168 BQI523103:BQI523168 BGM523103:BGM523168 AWQ523103:AWQ523168 AMU523103:AMU523168 ACY523103:ACY523168 TC523103:TC523168 JG523103:JG523168 K523103:K523168 WVS457567:WVS457632 WLW457567:WLW457632 WCA457567:WCA457632 VSE457567:VSE457632 VII457567:VII457632 UYM457567:UYM457632 UOQ457567:UOQ457632 UEU457567:UEU457632 TUY457567:TUY457632 TLC457567:TLC457632 TBG457567:TBG457632 SRK457567:SRK457632 SHO457567:SHO457632 RXS457567:RXS457632 RNW457567:RNW457632 REA457567:REA457632 QUE457567:QUE457632 QKI457567:QKI457632 QAM457567:QAM457632 PQQ457567:PQQ457632 PGU457567:PGU457632 OWY457567:OWY457632 ONC457567:ONC457632 ODG457567:ODG457632 NTK457567:NTK457632 NJO457567:NJO457632 MZS457567:MZS457632 MPW457567:MPW457632 MGA457567:MGA457632 LWE457567:LWE457632 LMI457567:LMI457632 LCM457567:LCM457632 KSQ457567:KSQ457632 KIU457567:KIU457632 JYY457567:JYY457632 JPC457567:JPC457632 JFG457567:JFG457632 IVK457567:IVK457632 ILO457567:ILO457632 IBS457567:IBS457632 HRW457567:HRW457632 HIA457567:HIA457632 GYE457567:GYE457632 GOI457567:GOI457632 GEM457567:GEM457632 FUQ457567:FUQ457632 FKU457567:FKU457632 FAY457567:FAY457632 ERC457567:ERC457632 EHG457567:EHG457632 DXK457567:DXK457632 DNO457567:DNO457632 DDS457567:DDS457632 CTW457567:CTW457632 CKA457567:CKA457632 CAE457567:CAE457632 BQI457567:BQI457632 BGM457567:BGM457632 AWQ457567:AWQ457632 AMU457567:AMU457632 ACY457567:ACY457632 TC457567:TC457632 JG457567:JG457632 K457567:K457632 WVS392031:WVS392096 WLW392031:WLW392096 WCA392031:WCA392096 VSE392031:VSE392096 VII392031:VII392096 UYM392031:UYM392096 UOQ392031:UOQ392096 UEU392031:UEU392096 TUY392031:TUY392096 TLC392031:TLC392096 TBG392031:TBG392096 SRK392031:SRK392096 SHO392031:SHO392096 RXS392031:RXS392096 RNW392031:RNW392096 REA392031:REA392096 QUE392031:QUE392096 QKI392031:QKI392096 QAM392031:QAM392096 PQQ392031:PQQ392096 PGU392031:PGU392096 OWY392031:OWY392096 ONC392031:ONC392096 ODG392031:ODG392096 NTK392031:NTK392096 NJO392031:NJO392096 MZS392031:MZS392096 MPW392031:MPW392096 MGA392031:MGA392096 LWE392031:LWE392096 LMI392031:LMI392096 LCM392031:LCM392096 KSQ392031:KSQ392096 KIU392031:KIU392096 JYY392031:JYY392096 JPC392031:JPC392096 JFG392031:JFG392096 IVK392031:IVK392096 ILO392031:ILO392096 IBS392031:IBS392096 HRW392031:HRW392096 HIA392031:HIA392096 GYE392031:GYE392096 GOI392031:GOI392096 GEM392031:GEM392096 FUQ392031:FUQ392096 FKU392031:FKU392096 FAY392031:FAY392096 ERC392031:ERC392096 EHG392031:EHG392096 DXK392031:DXK392096 DNO392031:DNO392096 DDS392031:DDS392096 CTW392031:CTW392096 CKA392031:CKA392096 CAE392031:CAE392096 BQI392031:BQI392096 BGM392031:BGM392096 AWQ392031:AWQ392096 AMU392031:AMU392096 ACY392031:ACY392096 TC392031:TC392096 JG392031:JG392096 K392031:K392096 WVS326495:WVS326560 WLW326495:WLW326560 WCA326495:WCA326560 VSE326495:VSE326560 VII326495:VII326560 UYM326495:UYM326560 UOQ326495:UOQ326560 UEU326495:UEU326560 TUY326495:TUY326560 TLC326495:TLC326560 TBG326495:TBG326560 SRK326495:SRK326560 SHO326495:SHO326560 RXS326495:RXS326560 RNW326495:RNW326560 REA326495:REA326560 QUE326495:QUE326560 QKI326495:QKI326560 QAM326495:QAM326560 PQQ326495:PQQ326560 PGU326495:PGU326560 OWY326495:OWY326560 ONC326495:ONC326560 ODG326495:ODG326560 NTK326495:NTK326560 NJO326495:NJO326560 MZS326495:MZS326560 MPW326495:MPW326560 MGA326495:MGA326560 LWE326495:LWE326560 LMI326495:LMI326560 LCM326495:LCM326560 KSQ326495:KSQ326560 KIU326495:KIU326560 JYY326495:JYY326560 JPC326495:JPC326560 JFG326495:JFG326560 IVK326495:IVK326560 ILO326495:ILO326560 IBS326495:IBS326560 HRW326495:HRW326560 HIA326495:HIA326560 GYE326495:GYE326560 GOI326495:GOI326560 GEM326495:GEM326560 FUQ326495:FUQ326560 FKU326495:FKU326560 FAY326495:FAY326560 ERC326495:ERC326560 EHG326495:EHG326560 DXK326495:DXK326560 DNO326495:DNO326560 DDS326495:DDS326560 CTW326495:CTW326560 CKA326495:CKA326560 CAE326495:CAE326560 BQI326495:BQI326560 BGM326495:BGM326560 AWQ326495:AWQ326560 AMU326495:AMU326560 ACY326495:ACY326560 TC326495:TC326560 JG326495:JG326560 K326495:K326560 WVS260959:WVS261024 WLW260959:WLW261024 WCA260959:WCA261024 VSE260959:VSE261024 VII260959:VII261024 UYM260959:UYM261024 UOQ260959:UOQ261024 UEU260959:UEU261024 TUY260959:TUY261024 TLC260959:TLC261024 TBG260959:TBG261024 SRK260959:SRK261024 SHO260959:SHO261024 RXS260959:RXS261024 RNW260959:RNW261024 REA260959:REA261024 QUE260959:QUE261024 QKI260959:QKI261024 QAM260959:QAM261024 PQQ260959:PQQ261024 PGU260959:PGU261024 OWY260959:OWY261024 ONC260959:ONC261024 ODG260959:ODG261024 NTK260959:NTK261024 NJO260959:NJO261024 MZS260959:MZS261024 MPW260959:MPW261024 MGA260959:MGA261024 LWE260959:LWE261024 LMI260959:LMI261024 LCM260959:LCM261024 KSQ260959:KSQ261024 KIU260959:KIU261024 JYY260959:JYY261024 JPC260959:JPC261024 JFG260959:JFG261024 IVK260959:IVK261024 ILO260959:ILO261024 IBS260959:IBS261024 HRW260959:HRW261024 HIA260959:HIA261024 GYE260959:GYE261024 GOI260959:GOI261024 GEM260959:GEM261024 FUQ260959:FUQ261024 FKU260959:FKU261024 FAY260959:FAY261024 ERC260959:ERC261024 EHG260959:EHG261024 DXK260959:DXK261024 DNO260959:DNO261024 DDS260959:DDS261024 CTW260959:CTW261024 CKA260959:CKA261024 CAE260959:CAE261024 BQI260959:BQI261024 BGM260959:BGM261024 AWQ260959:AWQ261024 AMU260959:AMU261024 ACY260959:ACY261024 TC260959:TC261024 JG260959:JG261024 K260959:K261024 WVS195423:WVS195488 WLW195423:WLW195488 WCA195423:WCA195488 VSE195423:VSE195488 VII195423:VII195488 UYM195423:UYM195488 UOQ195423:UOQ195488 UEU195423:UEU195488 TUY195423:TUY195488 TLC195423:TLC195488 TBG195423:TBG195488 SRK195423:SRK195488 SHO195423:SHO195488 RXS195423:RXS195488 RNW195423:RNW195488 REA195423:REA195488 QUE195423:QUE195488 QKI195423:QKI195488 QAM195423:QAM195488 PQQ195423:PQQ195488 PGU195423:PGU195488 OWY195423:OWY195488 ONC195423:ONC195488 ODG195423:ODG195488 NTK195423:NTK195488 NJO195423:NJO195488 MZS195423:MZS195488 MPW195423:MPW195488 MGA195423:MGA195488 LWE195423:LWE195488 LMI195423:LMI195488 LCM195423:LCM195488 KSQ195423:KSQ195488 KIU195423:KIU195488 JYY195423:JYY195488 JPC195423:JPC195488 JFG195423:JFG195488 IVK195423:IVK195488 ILO195423:ILO195488 IBS195423:IBS195488 HRW195423:HRW195488 HIA195423:HIA195488 GYE195423:GYE195488 GOI195423:GOI195488 GEM195423:GEM195488 FUQ195423:FUQ195488 FKU195423:FKU195488 FAY195423:FAY195488 ERC195423:ERC195488 EHG195423:EHG195488 DXK195423:DXK195488 DNO195423:DNO195488 DDS195423:DDS195488 CTW195423:CTW195488 CKA195423:CKA195488 CAE195423:CAE195488 BQI195423:BQI195488 BGM195423:BGM195488 AWQ195423:AWQ195488 AMU195423:AMU195488 ACY195423:ACY195488 TC195423:TC195488 JG195423:JG195488 K195423:K195488 WVS129887:WVS129952 WLW129887:WLW129952 WCA129887:WCA129952 VSE129887:VSE129952 VII129887:VII129952 UYM129887:UYM129952 UOQ129887:UOQ129952 UEU129887:UEU129952 TUY129887:TUY129952 TLC129887:TLC129952 TBG129887:TBG129952 SRK129887:SRK129952 SHO129887:SHO129952 RXS129887:RXS129952 RNW129887:RNW129952 REA129887:REA129952 QUE129887:QUE129952 QKI129887:QKI129952 QAM129887:QAM129952 PQQ129887:PQQ129952 PGU129887:PGU129952 OWY129887:OWY129952 ONC129887:ONC129952 ODG129887:ODG129952 NTK129887:NTK129952 NJO129887:NJO129952 MZS129887:MZS129952 MPW129887:MPW129952 MGA129887:MGA129952 LWE129887:LWE129952 LMI129887:LMI129952 LCM129887:LCM129952 KSQ129887:KSQ129952 KIU129887:KIU129952 JYY129887:JYY129952 JPC129887:JPC129952 JFG129887:JFG129952 IVK129887:IVK129952 ILO129887:ILO129952 IBS129887:IBS129952 HRW129887:HRW129952 HIA129887:HIA129952 GYE129887:GYE129952 GOI129887:GOI129952 GEM129887:GEM129952 FUQ129887:FUQ129952 FKU129887:FKU129952 FAY129887:FAY129952 ERC129887:ERC129952 EHG129887:EHG129952 DXK129887:DXK129952 DNO129887:DNO129952 DDS129887:DDS129952 CTW129887:CTW129952 CKA129887:CKA129952 CAE129887:CAE129952 BQI129887:BQI129952 BGM129887:BGM129952 AWQ129887:AWQ129952 AMU129887:AMU129952 ACY129887:ACY129952 TC129887:TC129952 JG129887:JG129952 K129887:K129952 WVS64351:WVS64416 WLW64351:WLW64416 WCA64351:WCA64416 VSE64351:VSE64416 VII64351:VII64416 UYM64351:UYM64416 UOQ64351:UOQ64416 UEU64351:UEU64416 TUY64351:TUY64416 TLC64351:TLC64416 TBG64351:TBG64416 SRK64351:SRK64416 SHO64351:SHO64416 RXS64351:RXS64416 RNW64351:RNW64416 REA64351:REA64416 QUE64351:QUE64416 QKI64351:QKI64416 QAM64351:QAM64416 PQQ64351:PQQ64416 PGU64351:PGU64416 OWY64351:OWY64416 ONC64351:ONC64416 ODG64351:ODG64416 NTK64351:NTK64416 NJO64351:NJO64416 MZS64351:MZS64416 MPW64351:MPW64416 MGA64351:MGA64416 LWE64351:LWE64416 LMI64351:LMI64416 LCM64351:LCM64416 KSQ64351:KSQ64416 KIU64351:KIU64416 JYY64351:JYY64416 JPC64351:JPC64416 JFG64351:JFG64416 IVK64351:IVK64416 ILO64351:ILO64416 IBS64351:IBS64416 HRW64351:HRW64416 HIA64351:HIA64416 GYE64351:GYE64416 GOI64351:GOI64416 GEM64351:GEM64416 FUQ64351:FUQ64416 FKU64351:FKU64416 FAY64351:FAY64416 ERC64351:ERC64416 EHG64351:EHG64416 DXK64351:DXK64416 DNO64351:DNO64416 DDS64351:DDS64416 CTW64351:CTW64416 CKA64351:CKA64416 CAE64351:CAE64416 BQI64351:BQI64416 BGM64351:BGM64416 AWQ64351:AWQ64416 AMU64351:AMU64416 ACY64351:ACY64416 TC64351:TC64416 JG64351:JG64416">
      <formula1>$AR$2:$AR$24</formula1>
    </dataValidation>
    <dataValidation type="list" allowBlank="1" showInputMessage="1" showErrorMessage="1" sqref="Y64351:AA64416 JU64351:JW64416 WMK983030:WMM983095 WCO983030:WCQ983095 VSS983030:VSU983095 VIW983030:VIY983095 UZA983030:UZC983095 UPE983030:UPG983095 UFI983030:UFK983095 TVM983030:TVO983095 TLQ983030:TLS983095 TBU983030:TBW983095 SRY983030:SSA983095 SIC983030:SIE983095 RYG983030:RYI983095 ROK983030:ROM983095 REO983030:REQ983095 QUS983030:QUU983095 QKW983030:QKY983095 QBA983030:QBC983095 PRE983030:PRG983095 PHI983030:PHK983095 OXM983030:OXO983095 ONQ983030:ONS983095 ODU983030:ODW983095 NTY983030:NUA983095 NKC983030:NKE983095 NAG983030:NAI983095 MQK983030:MQM983095 MGO983030:MGQ983095 LWS983030:LWU983095 LMW983030:LMY983095 LDA983030:LDC983095 KTE983030:KTG983095 KJI983030:KJK983095 JZM983030:JZO983095 JPQ983030:JPS983095 JFU983030:JFW983095 IVY983030:IWA983095 IMC983030:IME983095 ICG983030:ICI983095 HSK983030:HSM983095 HIO983030:HIQ983095 GYS983030:GYU983095 GOW983030:GOY983095 GFA983030:GFC983095 FVE983030:FVG983095 FLI983030:FLK983095 FBM983030:FBO983095 ERQ983030:ERS983095 EHU983030:EHW983095 DXY983030:DYA983095 DOC983030:DOE983095 DEG983030:DEI983095 CUK983030:CUM983095 CKO983030:CKQ983095 CAS983030:CAU983095 BQW983030:BQY983095 BHA983030:BHC983095 AXE983030:AXG983095 ANI983030:ANK983095 ADM983030:ADO983095 TQ983030:TS983095 JU983030:JW983095 Y983030:AA983095 WWG917494:WWI917559 WMK917494:WMM917559 WCO917494:WCQ917559 VSS917494:VSU917559 VIW917494:VIY917559 UZA917494:UZC917559 UPE917494:UPG917559 UFI917494:UFK917559 TVM917494:TVO917559 TLQ917494:TLS917559 TBU917494:TBW917559 SRY917494:SSA917559 SIC917494:SIE917559 RYG917494:RYI917559 ROK917494:ROM917559 REO917494:REQ917559 QUS917494:QUU917559 QKW917494:QKY917559 QBA917494:QBC917559 PRE917494:PRG917559 PHI917494:PHK917559 OXM917494:OXO917559 ONQ917494:ONS917559 ODU917494:ODW917559 NTY917494:NUA917559 NKC917494:NKE917559 NAG917494:NAI917559 MQK917494:MQM917559 MGO917494:MGQ917559 LWS917494:LWU917559 LMW917494:LMY917559 LDA917494:LDC917559 KTE917494:KTG917559 KJI917494:KJK917559 JZM917494:JZO917559 JPQ917494:JPS917559 JFU917494:JFW917559 IVY917494:IWA917559 IMC917494:IME917559 ICG917494:ICI917559 HSK917494:HSM917559 HIO917494:HIQ917559 GYS917494:GYU917559 GOW917494:GOY917559 GFA917494:GFC917559 FVE917494:FVG917559 FLI917494:FLK917559 FBM917494:FBO917559 ERQ917494:ERS917559 EHU917494:EHW917559 DXY917494:DYA917559 DOC917494:DOE917559 DEG917494:DEI917559 CUK917494:CUM917559 CKO917494:CKQ917559 CAS917494:CAU917559 BQW917494:BQY917559 BHA917494:BHC917559 AXE917494:AXG917559 ANI917494:ANK917559 ADM917494:ADO917559 TQ917494:TS917559 JU917494:JW917559 Y917494:AA917559 WWG851958:WWI852023 WMK851958:WMM852023 WCO851958:WCQ852023 VSS851958:VSU852023 VIW851958:VIY852023 UZA851958:UZC852023 UPE851958:UPG852023 UFI851958:UFK852023 TVM851958:TVO852023 TLQ851958:TLS852023 TBU851958:TBW852023 SRY851958:SSA852023 SIC851958:SIE852023 RYG851958:RYI852023 ROK851958:ROM852023 REO851958:REQ852023 QUS851958:QUU852023 QKW851958:QKY852023 QBA851958:QBC852023 PRE851958:PRG852023 PHI851958:PHK852023 OXM851958:OXO852023 ONQ851958:ONS852023 ODU851958:ODW852023 NTY851958:NUA852023 NKC851958:NKE852023 NAG851958:NAI852023 MQK851958:MQM852023 MGO851958:MGQ852023 LWS851958:LWU852023 LMW851958:LMY852023 LDA851958:LDC852023 KTE851958:KTG852023 KJI851958:KJK852023 JZM851958:JZO852023 JPQ851958:JPS852023 JFU851958:JFW852023 IVY851958:IWA852023 IMC851958:IME852023 ICG851958:ICI852023 HSK851958:HSM852023 HIO851958:HIQ852023 GYS851958:GYU852023 GOW851958:GOY852023 GFA851958:GFC852023 FVE851958:FVG852023 FLI851958:FLK852023 FBM851958:FBO852023 ERQ851958:ERS852023 EHU851958:EHW852023 DXY851958:DYA852023 DOC851958:DOE852023 DEG851958:DEI852023 CUK851958:CUM852023 CKO851958:CKQ852023 CAS851958:CAU852023 BQW851958:BQY852023 BHA851958:BHC852023 AXE851958:AXG852023 ANI851958:ANK852023 ADM851958:ADO852023 TQ851958:TS852023 JU851958:JW852023 Y851958:AA852023 WWG786422:WWI786487 WMK786422:WMM786487 WCO786422:WCQ786487 VSS786422:VSU786487 VIW786422:VIY786487 UZA786422:UZC786487 UPE786422:UPG786487 UFI786422:UFK786487 TVM786422:TVO786487 TLQ786422:TLS786487 TBU786422:TBW786487 SRY786422:SSA786487 SIC786422:SIE786487 RYG786422:RYI786487 ROK786422:ROM786487 REO786422:REQ786487 QUS786422:QUU786487 QKW786422:QKY786487 QBA786422:QBC786487 PRE786422:PRG786487 PHI786422:PHK786487 OXM786422:OXO786487 ONQ786422:ONS786487 ODU786422:ODW786487 NTY786422:NUA786487 NKC786422:NKE786487 NAG786422:NAI786487 MQK786422:MQM786487 MGO786422:MGQ786487 LWS786422:LWU786487 LMW786422:LMY786487 LDA786422:LDC786487 KTE786422:KTG786487 KJI786422:KJK786487 JZM786422:JZO786487 JPQ786422:JPS786487 JFU786422:JFW786487 IVY786422:IWA786487 IMC786422:IME786487 ICG786422:ICI786487 HSK786422:HSM786487 HIO786422:HIQ786487 GYS786422:GYU786487 GOW786422:GOY786487 GFA786422:GFC786487 FVE786422:FVG786487 FLI786422:FLK786487 FBM786422:FBO786487 ERQ786422:ERS786487 EHU786422:EHW786487 DXY786422:DYA786487 DOC786422:DOE786487 DEG786422:DEI786487 CUK786422:CUM786487 CKO786422:CKQ786487 CAS786422:CAU786487 BQW786422:BQY786487 BHA786422:BHC786487 AXE786422:AXG786487 ANI786422:ANK786487 ADM786422:ADO786487 TQ786422:TS786487 JU786422:JW786487 Y786422:AA786487 WWG720886:WWI720951 WMK720886:WMM720951 WCO720886:WCQ720951 VSS720886:VSU720951 VIW720886:VIY720951 UZA720886:UZC720951 UPE720886:UPG720951 UFI720886:UFK720951 TVM720886:TVO720951 TLQ720886:TLS720951 TBU720886:TBW720951 SRY720886:SSA720951 SIC720886:SIE720951 RYG720886:RYI720951 ROK720886:ROM720951 REO720886:REQ720951 QUS720886:QUU720951 QKW720886:QKY720951 QBA720886:QBC720951 PRE720886:PRG720951 PHI720886:PHK720951 OXM720886:OXO720951 ONQ720886:ONS720951 ODU720886:ODW720951 NTY720886:NUA720951 NKC720886:NKE720951 NAG720886:NAI720951 MQK720886:MQM720951 MGO720886:MGQ720951 LWS720886:LWU720951 LMW720886:LMY720951 LDA720886:LDC720951 KTE720886:KTG720951 KJI720886:KJK720951 JZM720886:JZO720951 JPQ720886:JPS720951 JFU720886:JFW720951 IVY720886:IWA720951 IMC720886:IME720951 ICG720886:ICI720951 HSK720886:HSM720951 HIO720886:HIQ720951 GYS720886:GYU720951 GOW720886:GOY720951 GFA720886:GFC720951 FVE720886:FVG720951 FLI720886:FLK720951 FBM720886:FBO720951 ERQ720886:ERS720951 EHU720886:EHW720951 DXY720886:DYA720951 DOC720886:DOE720951 DEG720886:DEI720951 CUK720886:CUM720951 CKO720886:CKQ720951 CAS720886:CAU720951 BQW720886:BQY720951 BHA720886:BHC720951 AXE720886:AXG720951 ANI720886:ANK720951 ADM720886:ADO720951 TQ720886:TS720951 JU720886:JW720951 Y720886:AA720951 WWG655350:WWI655415 WMK655350:WMM655415 WCO655350:WCQ655415 VSS655350:VSU655415 VIW655350:VIY655415 UZA655350:UZC655415 UPE655350:UPG655415 UFI655350:UFK655415 TVM655350:TVO655415 TLQ655350:TLS655415 TBU655350:TBW655415 SRY655350:SSA655415 SIC655350:SIE655415 RYG655350:RYI655415 ROK655350:ROM655415 REO655350:REQ655415 QUS655350:QUU655415 QKW655350:QKY655415 QBA655350:QBC655415 PRE655350:PRG655415 PHI655350:PHK655415 OXM655350:OXO655415 ONQ655350:ONS655415 ODU655350:ODW655415 NTY655350:NUA655415 NKC655350:NKE655415 NAG655350:NAI655415 MQK655350:MQM655415 MGO655350:MGQ655415 LWS655350:LWU655415 LMW655350:LMY655415 LDA655350:LDC655415 KTE655350:KTG655415 KJI655350:KJK655415 JZM655350:JZO655415 JPQ655350:JPS655415 JFU655350:JFW655415 IVY655350:IWA655415 IMC655350:IME655415 ICG655350:ICI655415 HSK655350:HSM655415 HIO655350:HIQ655415 GYS655350:GYU655415 GOW655350:GOY655415 GFA655350:GFC655415 FVE655350:FVG655415 FLI655350:FLK655415 FBM655350:FBO655415 ERQ655350:ERS655415 EHU655350:EHW655415 DXY655350:DYA655415 DOC655350:DOE655415 DEG655350:DEI655415 CUK655350:CUM655415 CKO655350:CKQ655415 CAS655350:CAU655415 BQW655350:BQY655415 BHA655350:BHC655415 AXE655350:AXG655415 ANI655350:ANK655415 ADM655350:ADO655415 TQ655350:TS655415 JU655350:JW655415 Y655350:AA655415 WWG589814:WWI589879 WMK589814:WMM589879 WCO589814:WCQ589879 VSS589814:VSU589879 VIW589814:VIY589879 UZA589814:UZC589879 UPE589814:UPG589879 UFI589814:UFK589879 TVM589814:TVO589879 TLQ589814:TLS589879 TBU589814:TBW589879 SRY589814:SSA589879 SIC589814:SIE589879 RYG589814:RYI589879 ROK589814:ROM589879 REO589814:REQ589879 QUS589814:QUU589879 QKW589814:QKY589879 QBA589814:QBC589879 PRE589814:PRG589879 PHI589814:PHK589879 OXM589814:OXO589879 ONQ589814:ONS589879 ODU589814:ODW589879 NTY589814:NUA589879 NKC589814:NKE589879 NAG589814:NAI589879 MQK589814:MQM589879 MGO589814:MGQ589879 LWS589814:LWU589879 LMW589814:LMY589879 LDA589814:LDC589879 KTE589814:KTG589879 KJI589814:KJK589879 JZM589814:JZO589879 JPQ589814:JPS589879 JFU589814:JFW589879 IVY589814:IWA589879 IMC589814:IME589879 ICG589814:ICI589879 HSK589814:HSM589879 HIO589814:HIQ589879 GYS589814:GYU589879 GOW589814:GOY589879 GFA589814:GFC589879 FVE589814:FVG589879 FLI589814:FLK589879 FBM589814:FBO589879 ERQ589814:ERS589879 EHU589814:EHW589879 DXY589814:DYA589879 DOC589814:DOE589879 DEG589814:DEI589879 CUK589814:CUM589879 CKO589814:CKQ589879 CAS589814:CAU589879 BQW589814:BQY589879 BHA589814:BHC589879 AXE589814:AXG589879 ANI589814:ANK589879 ADM589814:ADO589879 TQ589814:TS589879 JU589814:JW589879 Y589814:AA589879 WWG524278:WWI524343 WMK524278:WMM524343 WCO524278:WCQ524343 VSS524278:VSU524343 VIW524278:VIY524343 UZA524278:UZC524343 UPE524278:UPG524343 UFI524278:UFK524343 TVM524278:TVO524343 TLQ524278:TLS524343 TBU524278:TBW524343 SRY524278:SSA524343 SIC524278:SIE524343 RYG524278:RYI524343 ROK524278:ROM524343 REO524278:REQ524343 QUS524278:QUU524343 QKW524278:QKY524343 QBA524278:QBC524343 PRE524278:PRG524343 PHI524278:PHK524343 OXM524278:OXO524343 ONQ524278:ONS524343 ODU524278:ODW524343 NTY524278:NUA524343 NKC524278:NKE524343 NAG524278:NAI524343 MQK524278:MQM524343 MGO524278:MGQ524343 LWS524278:LWU524343 LMW524278:LMY524343 LDA524278:LDC524343 KTE524278:KTG524343 KJI524278:KJK524343 JZM524278:JZO524343 JPQ524278:JPS524343 JFU524278:JFW524343 IVY524278:IWA524343 IMC524278:IME524343 ICG524278:ICI524343 HSK524278:HSM524343 HIO524278:HIQ524343 GYS524278:GYU524343 GOW524278:GOY524343 GFA524278:GFC524343 FVE524278:FVG524343 FLI524278:FLK524343 FBM524278:FBO524343 ERQ524278:ERS524343 EHU524278:EHW524343 DXY524278:DYA524343 DOC524278:DOE524343 DEG524278:DEI524343 CUK524278:CUM524343 CKO524278:CKQ524343 CAS524278:CAU524343 BQW524278:BQY524343 BHA524278:BHC524343 AXE524278:AXG524343 ANI524278:ANK524343 ADM524278:ADO524343 TQ524278:TS524343 JU524278:JW524343 Y524278:AA524343 WWG458742:WWI458807 WMK458742:WMM458807 WCO458742:WCQ458807 VSS458742:VSU458807 VIW458742:VIY458807 UZA458742:UZC458807 UPE458742:UPG458807 UFI458742:UFK458807 TVM458742:TVO458807 TLQ458742:TLS458807 TBU458742:TBW458807 SRY458742:SSA458807 SIC458742:SIE458807 RYG458742:RYI458807 ROK458742:ROM458807 REO458742:REQ458807 QUS458742:QUU458807 QKW458742:QKY458807 QBA458742:QBC458807 PRE458742:PRG458807 PHI458742:PHK458807 OXM458742:OXO458807 ONQ458742:ONS458807 ODU458742:ODW458807 NTY458742:NUA458807 NKC458742:NKE458807 NAG458742:NAI458807 MQK458742:MQM458807 MGO458742:MGQ458807 LWS458742:LWU458807 LMW458742:LMY458807 LDA458742:LDC458807 KTE458742:KTG458807 KJI458742:KJK458807 JZM458742:JZO458807 JPQ458742:JPS458807 JFU458742:JFW458807 IVY458742:IWA458807 IMC458742:IME458807 ICG458742:ICI458807 HSK458742:HSM458807 HIO458742:HIQ458807 GYS458742:GYU458807 GOW458742:GOY458807 GFA458742:GFC458807 FVE458742:FVG458807 FLI458742:FLK458807 FBM458742:FBO458807 ERQ458742:ERS458807 EHU458742:EHW458807 DXY458742:DYA458807 DOC458742:DOE458807 DEG458742:DEI458807 CUK458742:CUM458807 CKO458742:CKQ458807 CAS458742:CAU458807 BQW458742:BQY458807 BHA458742:BHC458807 AXE458742:AXG458807 ANI458742:ANK458807 ADM458742:ADO458807 TQ458742:TS458807 JU458742:JW458807 Y458742:AA458807 WWG393206:WWI393271 WMK393206:WMM393271 WCO393206:WCQ393271 VSS393206:VSU393271 VIW393206:VIY393271 UZA393206:UZC393271 UPE393206:UPG393271 UFI393206:UFK393271 TVM393206:TVO393271 TLQ393206:TLS393271 TBU393206:TBW393271 SRY393206:SSA393271 SIC393206:SIE393271 RYG393206:RYI393271 ROK393206:ROM393271 REO393206:REQ393271 QUS393206:QUU393271 QKW393206:QKY393271 QBA393206:QBC393271 PRE393206:PRG393271 PHI393206:PHK393271 OXM393206:OXO393271 ONQ393206:ONS393271 ODU393206:ODW393271 NTY393206:NUA393271 NKC393206:NKE393271 NAG393206:NAI393271 MQK393206:MQM393271 MGO393206:MGQ393271 LWS393206:LWU393271 LMW393206:LMY393271 LDA393206:LDC393271 KTE393206:KTG393271 KJI393206:KJK393271 JZM393206:JZO393271 JPQ393206:JPS393271 JFU393206:JFW393271 IVY393206:IWA393271 IMC393206:IME393271 ICG393206:ICI393271 HSK393206:HSM393271 HIO393206:HIQ393271 GYS393206:GYU393271 GOW393206:GOY393271 GFA393206:GFC393271 FVE393206:FVG393271 FLI393206:FLK393271 FBM393206:FBO393271 ERQ393206:ERS393271 EHU393206:EHW393271 DXY393206:DYA393271 DOC393206:DOE393271 DEG393206:DEI393271 CUK393206:CUM393271 CKO393206:CKQ393271 CAS393206:CAU393271 BQW393206:BQY393271 BHA393206:BHC393271 AXE393206:AXG393271 ANI393206:ANK393271 ADM393206:ADO393271 TQ393206:TS393271 JU393206:JW393271 Y393206:AA393271 WWG327670:WWI327735 WMK327670:WMM327735 WCO327670:WCQ327735 VSS327670:VSU327735 VIW327670:VIY327735 UZA327670:UZC327735 UPE327670:UPG327735 UFI327670:UFK327735 TVM327670:TVO327735 TLQ327670:TLS327735 TBU327670:TBW327735 SRY327670:SSA327735 SIC327670:SIE327735 RYG327670:RYI327735 ROK327670:ROM327735 REO327670:REQ327735 QUS327670:QUU327735 QKW327670:QKY327735 QBA327670:QBC327735 PRE327670:PRG327735 PHI327670:PHK327735 OXM327670:OXO327735 ONQ327670:ONS327735 ODU327670:ODW327735 NTY327670:NUA327735 NKC327670:NKE327735 NAG327670:NAI327735 MQK327670:MQM327735 MGO327670:MGQ327735 LWS327670:LWU327735 LMW327670:LMY327735 LDA327670:LDC327735 KTE327670:KTG327735 KJI327670:KJK327735 JZM327670:JZO327735 JPQ327670:JPS327735 JFU327670:JFW327735 IVY327670:IWA327735 IMC327670:IME327735 ICG327670:ICI327735 HSK327670:HSM327735 HIO327670:HIQ327735 GYS327670:GYU327735 GOW327670:GOY327735 GFA327670:GFC327735 FVE327670:FVG327735 FLI327670:FLK327735 FBM327670:FBO327735 ERQ327670:ERS327735 EHU327670:EHW327735 DXY327670:DYA327735 DOC327670:DOE327735 DEG327670:DEI327735 CUK327670:CUM327735 CKO327670:CKQ327735 CAS327670:CAU327735 BQW327670:BQY327735 BHA327670:BHC327735 AXE327670:AXG327735 ANI327670:ANK327735 ADM327670:ADO327735 TQ327670:TS327735 JU327670:JW327735 Y327670:AA327735 WWG262134:WWI262199 WMK262134:WMM262199 WCO262134:WCQ262199 VSS262134:VSU262199 VIW262134:VIY262199 UZA262134:UZC262199 UPE262134:UPG262199 UFI262134:UFK262199 TVM262134:TVO262199 TLQ262134:TLS262199 TBU262134:TBW262199 SRY262134:SSA262199 SIC262134:SIE262199 RYG262134:RYI262199 ROK262134:ROM262199 REO262134:REQ262199 QUS262134:QUU262199 QKW262134:QKY262199 QBA262134:QBC262199 PRE262134:PRG262199 PHI262134:PHK262199 OXM262134:OXO262199 ONQ262134:ONS262199 ODU262134:ODW262199 NTY262134:NUA262199 NKC262134:NKE262199 NAG262134:NAI262199 MQK262134:MQM262199 MGO262134:MGQ262199 LWS262134:LWU262199 LMW262134:LMY262199 LDA262134:LDC262199 KTE262134:KTG262199 KJI262134:KJK262199 JZM262134:JZO262199 JPQ262134:JPS262199 JFU262134:JFW262199 IVY262134:IWA262199 IMC262134:IME262199 ICG262134:ICI262199 HSK262134:HSM262199 HIO262134:HIQ262199 GYS262134:GYU262199 GOW262134:GOY262199 GFA262134:GFC262199 FVE262134:FVG262199 FLI262134:FLK262199 FBM262134:FBO262199 ERQ262134:ERS262199 EHU262134:EHW262199 DXY262134:DYA262199 DOC262134:DOE262199 DEG262134:DEI262199 CUK262134:CUM262199 CKO262134:CKQ262199 CAS262134:CAU262199 BQW262134:BQY262199 BHA262134:BHC262199 AXE262134:AXG262199 ANI262134:ANK262199 ADM262134:ADO262199 TQ262134:TS262199 JU262134:JW262199 Y262134:AA262199 WWG196598:WWI196663 WMK196598:WMM196663 WCO196598:WCQ196663 VSS196598:VSU196663 VIW196598:VIY196663 UZA196598:UZC196663 UPE196598:UPG196663 UFI196598:UFK196663 TVM196598:TVO196663 TLQ196598:TLS196663 TBU196598:TBW196663 SRY196598:SSA196663 SIC196598:SIE196663 RYG196598:RYI196663 ROK196598:ROM196663 REO196598:REQ196663 QUS196598:QUU196663 QKW196598:QKY196663 QBA196598:QBC196663 PRE196598:PRG196663 PHI196598:PHK196663 OXM196598:OXO196663 ONQ196598:ONS196663 ODU196598:ODW196663 NTY196598:NUA196663 NKC196598:NKE196663 NAG196598:NAI196663 MQK196598:MQM196663 MGO196598:MGQ196663 LWS196598:LWU196663 LMW196598:LMY196663 LDA196598:LDC196663 KTE196598:KTG196663 KJI196598:KJK196663 JZM196598:JZO196663 JPQ196598:JPS196663 JFU196598:JFW196663 IVY196598:IWA196663 IMC196598:IME196663 ICG196598:ICI196663 HSK196598:HSM196663 HIO196598:HIQ196663 GYS196598:GYU196663 GOW196598:GOY196663 GFA196598:GFC196663 FVE196598:FVG196663 FLI196598:FLK196663 FBM196598:FBO196663 ERQ196598:ERS196663 EHU196598:EHW196663 DXY196598:DYA196663 DOC196598:DOE196663 DEG196598:DEI196663 CUK196598:CUM196663 CKO196598:CKQ196663 CAS196598:CAU196663 BQW196598:BQY196663 BHA196598:BHC196663 AXE196598:AXG196663 ANI196598:ANK196663 ADM196598:ADO196663 TQ196598:TS196663 JU196598:JW196663 Y196598:AA196663 WWG131062:WWI131127 WMK131062:WMM131127 WCO131062:WCQ131127 VSS131062:VSU131127 VIW131062:VIY131127 UZA131062:UZC131127 UPE131062:UPG131127 UFI131062:UFK131127 TVM131062:TVO131127 TLQ131062:TLS131127 TBU131062:TBW131127 SRY131062:SSA131127 SIC131062:SIE131127 RYG131062:RYI131127 ROK131062:ROM131127 REO131062:REQ131127 QUS131062:QUU131127 QKW131062:QKY131127 QBA131062:QBC131127 PRE131062:PRG131127 PHI131062:PHK131127 OXM131062:OXO131127 ONQ131062:ONS131127 ODU131062:ODW131127 NTY131062:NUA131127 NKC131062:NKE131127 NAG131062:NAI131127 MQK131062:MQM131127 MGO131062:MGQ131127 LWS131062:LWU131127 LMW131062:LMY131127 LDA131062:LDC131127 KTE131062:KTG131127 KJI131062:KJK131127 JZM131062:JZO131127 JPQ131062:JPS131127 JFU131062:JFW131127 IVY131062:IWA131127 IMC131062:IME131127 ICG131062:ICI131127 HSK131062:HSM131127 HIO131062:HIQ131127 GYS131062:GYU131127 GOW131062:GOY131127 GFA131062:GFC131127 FVE131062:FVG131127 FLI131062:FLK131127 FBM131062:FBO131127 ERQ131062:ERS131127 EHU131062:EHW131127 DXY131062:DYA131127 DOC131062:DOE131127 DEG131062:DEI131127 CUK131062:CUM131127 CKO131062:CKQ131127 CAS131062:CAU131127 BQW131062:BQY131127 BHA131062:BHC131127 AXE131062:AXG131127 ANI131062:ANK131127 ADM131062:ADO131127 TQ131062:TS131127 JU131062:JW131127 Y131062:AA131127 WWG65526:WWI65591 WMK65526:WMM65591 WCO65526:WCQ65591 VSS65526:VSU65591 VIW65526:VIY65591 UZA65526:UZC65591 UPE65526:UPG65591 UFI65526:UFK65591 TVM65526:TVO65591 TLQ65526:TLS65591 TBU65526:TBW65591 SRY65526:SSA65591 SIC65526:SIE65591 RYG65526:RYI65591 ROK65526:ROM65591 REO65526:REQ65591 QUS65526:QUU65591 QKW65526:QKY65591 QBA65526:QBC65591 PRE65526:PRG65591 PHI65526:PHK65591 OXM65526:OXO65591 ONQ65526:ONS65591 ODU65526:ODW65591 NTY65526:NUA65591 NKC65526:NKE65591 NAG65526:NAI65591 MQK65526:MQM65591 MGO65526:MGQ65591 LWS65526:LWU65591 LMW65526:LMY65591 LDA65526:LDC65591 KTE65526:KTG65591 KJI65526:KJK65591 JZM65526:JZO65591 JPQ65526:JPS65591 JFU65526:JFW65591 IVY65526:IWA65591 IMC65526:IME65591 ICG65526:ICI65591 HSK65526:HSM65591 HIO65526:HIQ65591 GYS65526:GYU65591 GOW65526:GOY65591 GFA65526:GFC65591 FVE65526:FVG65591 FLI65526:FLK65591 FBM65526:FBO65591 ERQ65526:ERS65591 EHU65526:EHW65591 DXY65526:DYA65591 DOC65526:DOE65591 DEG65526:DEI65591 CUK65526:CUM65591 CKO65526:CKQ65591 CAS65526:CAU65591 BQW65526:BQY65591 BHA65526:BHC65591 AXE65526:AXG65591 ANI65526:ANK65591 ADM65526:ADO65591 TQ65526:TS65591 JU65526:JW65591 Y65526:AA65591 WWG983030:WWI983095 WWG1047391:WWI1047456 WMK1047391:WMM1047456 WCO1047391:WCQ1047456 VSS1047391:VSU1047456 VIW1047391:VIY1047456 UZA1047391:UZC1047456 UPE1047391:UPG1047456 UFI1047391:UFK1047456 TVM1047391:TVO1047456 TLQ1047391:TLS1047456 TBU1047391:TBW1047456 SRY1047391:SSA1047456 SIC1047391:SIE1047456 RYG1047391:RYI1047456 ROK1047391:ROM1047456 REO1047391:REQ1047456 QUS1047391:QUU1047456 QKW1047391:QKY1047456 QBA1047391:QBC1047456 PRE1047391:PRG1047456 PHI1047391:PHK1047456 OXM1047391:OXO1047456 ONQ1047391:ONS1047456 ODU1047391:ODW1047456 NTY1047391:NUA1047456 NKC1047391:NKE1047456 NAG1047391:NAI1047456 MQK1047391:MQM1047456 MGO1047391:MGQ1047456 LWS1047391:LWU1047456 LMW1047391:LMY1047456 LDA1047391:LDC1047456 KTE1047391:KTG1047456 KJI1047391:KJK1047456 JZM1047391:JZO1047456 JPQ1047391:JPS1047456 JFU1047391:JFW1047456 IVY1047391:IWA1047456 IMC1047391:IME1047456 ICG1047391:ICI1047456 HSK1047391:HSM1047456 HIO1047391:HIQ1047456 GYS1047391:GYU1047456 GOW1047391:GOY1047456 GFA1047391:GFC1047456 FVE1047391:FVG1047456 FLI1047391:FLK1047456 FBM1047391:FBO1047456 ERQ1047391:ERS1047456 EHU1047391:EHW1047456 DXY1047391:DYA1047456 DOC1047391:DOE1047456 DEG1047391:DEI1047456 CUK1047391:CUM1047456 CKO1047391:CKQ1047456 CAS1047391:CAU1047456 BQW1047391:BQY1047456 BHA1047391:BHC1047456 AXE1047391:AXG1047456 ANI1047391:ANK1047456 ADM1047391:ADO1047456 TQ1047391:TS1047456 JU1047391:JW1047456 Y1047391:AA1047456 WWG981855:WWI981920 WMK981855:WMM981920 WCO981855:WCQ981920 VSS981855:VSU981920 VIW981855:VIY981920 UZA981855:UZC981920 UPE981855:UPG981920 UFI981855:UFK981920 TVM981855:TVO981920 TLQ981855:TLS981920 TBU981855:TBW981920 SRY981855:SSA981920 SIC981855:SIE981920 RYG981855:RYI981920 ROK981855:ROM981920 REO981855:REQ981920 QUS981855:QUU981920 QKW981855:QKY981920 QBA981855:QBC981920 PRE981855:PRG981920 PHI981855:PHK981920 OXM981855:OXO981920 ONQ981855:ONS981920 ODU981855:ODW981920 NTY981855:NUA981920 NKC981855:NKE981920 NAG981855:NAI981920 MQK981855:MQM981920 MGO981855:MGQ981920 LWS981855:LWU981920 LMW981855:LMY981920 LDA981855:LDC981920 KTE981855:KTG981920 KJI981855:KJK981920 JZM981855:JZO981920 JPQ981855:JPS981920 JFU981855:JFW981920 IVY981855:IWA981920 IMC981855:IME981920 ICG981855:ICI981920 HSK981855:HSM981920 HIO981855:HIQ981920 GYS981855:GYU981920 GOW981855:GOY981920 GFA981855:GFC981920 FVE981855:FVG981920 FLI981855:FLK981920 FBM981855:FBO981920 ERQ981855:ERS981920 EHU981855:EHW981920 DXY981855:DYA981920 DOC981855:DOE981920 DEG981855:DEI981920 CUK981855:CUM981920 CKO981855:CKQ981920 CAS981855:CAU981920 BQW981855:BQY981920 BHA981855:BHC981920 AXE981855:AXG981920 ANI981855:ANK981920 ADM981855:ADO981920 TQ981855:TS981920 JU981855:JW981920 Y981855:AA981920 WWG916319:WWI916384 WMK916319:WMM916384 WCO916319:WCQ916384 VSS916319:VSU916384 VIW916319:VIY916384 UZA916319:UZC916384 UPE916319:UPG916384 UFI916319:UFK916384 TVM916319:TVO916384 TLQ916319:TLS916384 TBU916319:TBW916384 SRY916319:SSA916384 SIC916319:SIE916384 RYG916319:RYI916384 ROK916319:ROM916384 REO916319:REQ916384 QUS916319:QUU916384 QKW916319:QKY916384 QBA916319:QBC916384 PRE916319:PRG916384 PHI916319:PHK916384 OXM916319:OXO916384 ONQ916319:ONS916384 ODU916319:ODW916384 NTY916319:NUA916384 NKC916319:NKE916384 NAG916319:NAI916384 MQK916319:MQM916384 MGO916319:MGQ916384 LWS916319:LWU916384 LMW916319:LMY916384 LDA916319:LDC916384 KTE916319:KTG916384 KJI916319:KJK916384 JZM916319:JZO916384 JPQ916319:JPS916384 JFU916319:JFW916384 IVY916319:IWA916384 IMC916319:IME916384 ICG916319:ICI916384 HSK916319:HSM916384 HIO916319:HIQ916384 GYS916319:GYU916384 GOW916319:GOY916384 GFA916319:GFC916384 FVE916319:FVG916384 FLI916319:FLK916384 FBM916319:FBO916384 ERQ916319:ERS916384 EHU916319:EHW916384 DXY916319:DYA916384 DOC916319:DOE916384 DEG916319:DEI916384 CUK916319:CUM916384 CKO916319:CKQ916384 CAS916319:CAU916384 BQW916319:BQY916384 BHA916319:BHC916384 AXE916319:AXG916384 ANI916319:ANK916384 ADM916319:ADO916384 TQ916319:TS916384 JU916319:JW916384 Y916319:AA916384 WWG850783:WWI850848 WMK850783:WMM850848 WCO850783:WCQ850848 VSS850783:VSU850848 VIW850783:VIY850848 UZA850783:UZC850848 UPE850783:UPG850848 UFI850783:UFK850848 TVM850783:TVO850848 TLQ850783:TLS850848 TBU850783:TBW850848 SRY850783:SSA850848 SIC850783:SIE850848 RYG850783:RYI850848 ROK850783:ROM850848 REO850783:REQ850848 QUS850783:QUU850848 QKW850783:QKY850848 QBA850783:QBC850848 PRE850783:PRG850848 PHI850783:PHK850848 OXM850783:OXO850848 ONQ850783:ONS850848 ODU850783:ODW850848 NTY850783:NUA850848 NKC850783:NKE850848 NAG850783:NAI850848 MQK850783:MQM850848 MGO850783:MGQ850848 LWS850783:LWU850848 LMW850783:LMY850848 LDA850783:LDC850848 KTE850783:KTG850848 KJI850783:KJK850848 JZM850783:JZO850848 JPQ850783:JPS850848 JFU850783:JFW850848 IVY850783:IWA850848 IMC850783:IME850848 ICG850783:ICI850848 HSK850783:HSM850848 HIO850783:HIQ850848 GYS850783:GYU850848 GOW850783:GOY850848 GFA850783:GFC850848 FVE850783:FVG850848 FLI850783:FLK850848 FBM850783:FBO850848 ERQ850783:ERS850848 EHU850783:EHW850848 DXY850783:DYA850848 DOC850783:DOE850848 DEG850783:DEI850848 CUK850783:CUM850848 CKO850783:CKQ850848 CAS850783:CAU850848 BQW850783:BQY850848 BHA850783:BHC850848 AXE850783:AXG850848 ANI850783:ANK850848 ADM850783:ADO850848 TQ850783:TS850848 JU850783:JW850848 Y850783:AA850848 WWG785247:WWI785312 WMK785247:WMM785312 WCO785247:WCQ785312 VSS785247:VSU785312 VIW785247:VIY785312 UZA785247:UZC785312 UPE785247:UPG785312 UFI785247:UFK785312 TVM785247:TVO785312 TLQ785247:TLS785312 TBU785247:TBW785312 SRY785247:SSA785312 SIC785247:SIE785312 RYG785247:RYI785312 ROK785247:ROM785312 REO785247:REQ785312 QUS785247:QUU785312 QKW785247:QKY785312 QBA785247:QBC785312 PRE785247:PRG785312 PHI785247:PHK785312 OXM785247:OXO785312 ONQ785247:ONS785312 ODU785247:ODW785312 NTY785247:NUA785312 NKC785247:NKE785312 NAG785247:NAI785312 MQK785247:MQM785312 MGO785247:MGQ785312 LWS785247:LWU785312 LMW785247:LMY785312 LDA785247:LDC785312 KTE785247:KTG785312 KJI785247:KJK785312 JZM785247:JZO785312 JPQ785247:JPS785312 JFU785247:JFW785312 IVY785247:IWA785312 IMC785247:IME785312 ICG785247:ICI785312 HSK785247:HSM785312 HIO785247:HIQ785312 GYS785247:GYU785312 GOW785247:GOY785312 GFA785247:GFC785312 FVE785247:FVG785312 FLI785247:FLK785312 FBM785247:FBO785312 ERQ785247:ERS785312 EHU785247:EHW785312 DXY785247:DYA785312 DOC785247:DOE785312 DEG785247:DEI785312 CUK785247:CUM785312 CKO785247:CKQ785312 CAS785247:CAU785312 BQW785247:BQY785312 BHA785247:BHC785312 AXE785247:AXG785312 ANI785247:ANK785312 ADM785247:ADO785312 TQ785247:TS785312 JU785247:JW785312 Y785247:AA785312 WWG719711:WWI719776 WMK719711:WMM719776 WCO719711:WCQ719776 VSS719711:VSU719776 VIW719711:VIY719776 UZA719711:UZC719776 UPE719711:UPG719776 UFI719711:UFK719776 TVM719711:TVO719776 TLQ719711:TLS719776 TBU719711:TBW719776 SRY719711:SSA719776 SIC719711:SIE719776 RYG719711:RYI719776 ROK719711:ROM719776 REO719711:REQ719776 QUS719711:QUU719776 QKW719711:QKY719776 QBA719711:QBC719776 PRE719711:PRG719776 PHI719711:PHK719776 OXM719711:OXO719776 ONQ719711:ONS719776 ODU719711:ODW719776 NTY719711:NUA719776 NKC719711:NKE719776 NAG719711:NAI719776 MQK719711:MQM719776 MGO719711:MGQ719776 LWS719711:LWU719776 LMW719711:LMY719776 LDA719711:LDC719776 KTE719711:KTG719776 KJI719711:KJK719776 JZM719711:JZO719776 JPQ719711:JPS719776 JFU719711:JFW719776 IVY719711:IWA719776 IMC719711:IME719776 ICG719711:ICI719776 HSK719711:HSM719776 HIO719711:HIQ719776 GYS719711:GYU719776 GOW719711:GOY719776 GFA719711:GFC719776 FVE719711:FVG719776 FLI719711:FLK719776 FBM719711:FBO719776 ERQ719711:ERS719776 EHU719711:EHW719776 DXY719711:DYA719776 DOC719711:DOE719776 DEG719711:DEI719776 CUK719711:CUM719776 CKO719711:CKQ719776 CAS719711:CAU719776 BQW719711:BQY719776 BHA719711:BHC719776 AXE719711:AXG719776 ANI719711:ANK719776 ADM719711:ADO719776 TQ719711:TS719776 JU719711:JW719776 Y719711:AA719776 WWG654175:WWI654240 WMK654175:WMM654240 WCO654175:WCQ654240 VSS654175:VSU654240 VIW654175:VIY654240 UZA654175:UZC654240 UPE654175:UPG654240 UFI654175:UFK654240 TVM654175:TVO654240 TLQ654175:TLS654240 TBU654175:TBW654240 SRY654175:SSA654240 SIC654175:SIE654240 RYG654175:RYI654240 ROK654175:ROM654240 REO654175:REQ654240 QUS654175:QUU654240 QKW654175:QKY654240 QBA654175:QBC654240 PRE654175:PRG654240 PHI654175:PHK654240 OXM654175:OXO654240 ONQ654175:ONS654240 ODU654175:ODW654240 NTY654175:NUA654240 NKC654175:NKE654240 NAG654175:NAI654240 MQK654175:MQM654240 MGO654175:MGQ654240 LWS654175:LWU654240 LMW654175:LMY654240 LDA654175:LDC654240 KTE654175:KTG654240 KJI654175:KJK654240 JZM654175:JZO654240 JPQ654175:JPS654240 JFU654175:JFW654240 IVY654175:IWA654240 IMC654175:IME654240 ICG654175:ICI654240 HSK654175:HSM654240 HIO654175:HIQ654240 GYS654175:GYU654240 GOW654175:GOY654240 GFA654175:GFC654240 FVE654175:FVG654240 FLI654175:FLK654240 FBM654175:FBO654240 ERQ654175:ERS654240 EHU654175:EHW654240 DXY654175:DYA654240 DOC654175:DOE654240 DEG654175:DEI654240 CUK654175:CUM654240 CKO654175:CKQ654240 CAS654175:CAU654240 BQW654175:BQY654240 BHA654175:BHC654240 AXE654175:AXG654240 ANI654175:ANK654240 ADM654175:ADO654240 TQ654175:TS654240 JU654175:JW654240 Y654175:AA654240 WWG588639:WWI588704 WMK588639:WMM588704 WCO588639:WCQ588704 VSS588639:VSU588704 VIW588639:VIY588704 UZA588639:UZC588704 UPE588639:UPG588704 UFI588639:UFK588704 TVM588639:TVO588704 TLQ588639:TLS588704 TBU588639:TBW588704 SRY588639:SSA588704 SIC588639:SIE588704 RYG588639:RYI588704 ROK588639:ROM588704 REO588639:REQ588704 QUS588639:QUU588704 QKW588639:QKY588704 QBA588639:QBC588704 PRE588639:PRG588704 PHI588639:PHK588704 OXM588639:OXO588704 ONQ588639:ONS588704 ODU588639:ODW588704 NTY588639:NUA588704 NKC588639:NKE588704 NAG588639:NAI588704 MQK588639:MQM588704 MGO588639:MGQ588704 LWS588639:LWU588704 LMW588639:LMY588704 LDA588639:LDC588704 KTE588639:KTG588704 KJI588639:KJK588704 JZM588639:JZO588704 JPQ588639:JPS588704 JFU588639:JFW588704 IVY588639:IWA588704 IMC588639:IME588704 ICG588639:ICI588704 HSK588639:HSM588704 HIO588639:HIQ588704 GYS588639:GYU588704 GOW588639:GOY588704 GFA588639:GFC588704 FVE588639:FVG588704 FLI588639:FLK588704 FBM588639:FBO588704 ERQ588639:ERS588704 EHU588639:EHW588704 DXY588639:DYA588704 DOC588639:DOE588704 DEG588639:DEI588704 CUK588639:CUM588704 CKO588639:CKQ588704 CAS588639:CAU588704 BQW588639:BQY588704 BHA588639:BHC588704 AXE588639:AXG588704 ANI588639:ANK588704 ADM588639:ADO588704 TQ588639:TS588704 JU588639:JW588704 Y588639:AA588704 WWG523103:WWI523168 WMK523103:WMM523168 WCO523103:WCQ523168 VSS523103:VSU523168 VIW523103:VIY523168 UZA523103:UZC523168 UPE523103:UPG523168 UFI523103:UFK523168 TVM523103:TVO523168 TLQ523103:TLS523168 TBU523103:TBW523168 SRY523103:SSA523168 SIC523103:SIE523168 RYG523103:RYI523168 ROK523103:ROM523168 REO523103:REQ523168 QUS523103:QUU523168 QKW523103:QKY523168 QBA523103:QBC523168 PRE523103:PRG523168 PHI523103:PHK523168 OXM523103:OXO523168 ONQ523103:ONS523168 ODU523103:ODW523168 NTY523103:NUA523168 NKC523103:NKE523168 NAG523103:NAI523168 MQK523103:MQM523168 MGO523103:MGQ523168 LWS523103:LWU523168 LMW523103:LMY523168 LDA523103:LDC523168 KTE523103:KTG523168 KJI523103:KJK523168 JZM523103:JZO523168 JPQ523103:JPS523168 JFU523103:JFW523168 IVY523103:IWA523168 IMC523103:IME523168 ICG523103:ICI523168 HSK523103:HSM523168 HIO523103:HIQ523168 GYS523103:GYU523168 GOW523103:GOY523168 GFA523103:GFC523168 FVE523103:FVG523168 FLI523103:FLK523168 FBM523103:FBO523168 ERQ523103:ERS523168 EHU523103:EHW523168 DXY523103:DYA523168 DOC523103:DOE523168 DEG523103:DEI523168 CUK523103:CUM523168 CKO523103:CKQ523168 CAS523103:CAU523168 BQW523103:BQY523168 BHA523103:BHC523168 AXE523103:AXG523168 ANI523103:ANK523168 ADM523103:ADO523168 TQ523103:TS523168 JU523103:JW523168 Y523103:AA523168 WWG457567:WWI457632 WMK457567:WMM457632 WCO457567:WCQ457632 VSS457567:VSU457632 VIW457567:VIY457632 UZA457567:UZC457632 UPE457567:UPG457632 UFI457567:UFK457632 TVM457567:TVO457632 TLQ457567:TLS457632 TBU457567:TBW457632 SRY457567:SSA457632 SIC457567:SIE457632 RYG457567:RYI457632 ROK457567:ROM457632 REO457567:REQ457632 QUS457567:QUU457632 QKW457567:QKY457632 QBA457567:QBC457632 PRE457567:PRG457632 PHI457567:PHK457632 OXM457567:OXO457632 ONQ457567:ONS457632 ODU457567:ODW457632 NTY457567:NUA457632 NKC457567:NKE457632 NAG457567:NAI457632 MQK457567:MQM457632 MGO457567:MGQ457632 LWS457567:LWU457632 LMW457567:LMY457632 LDA457567:LDC457632 KTE457567:KTG457632 KJI457567:KJK457632 JZM457567:JZO457632 JPQ457567:JPS457632 JFU457567:JFW457632 IVY457567:IWA457632 IMC457567:IME457632 ICG457567:ICI457632 HSK457567:HSM457632 HIO457567:HIQ457632 GYS457567:GYU457632 GOW457567:GOY457632 GFA457567:GFC457632 FVE457567:FVG457632 FLI457567:FLK457632 FBM457567:FBO457632 ERQ457567:ERS457632 EHU457567:EHW457632 DXY457567:DYA457632 DOC457567:DOE457632 DEG457567:DEI457632 CUK457567:CUM457632 CKO457567:CKQ457632 CAS457567:CAU457632 BQW457567:BQY457632 BHA457567:BHC457632 AXE457567:AXG457632 ANI457567:ANK457632 ADM457567:ADO457632 TQ457567:TS457632 JU457567:JW457632 Y457567:AA457632 WWG392031:WWI392096 WMK392031:WMM392096 WCO392031:WCQ392096 VSS392031:VSU392096 VIW392031:VIY392096 UZA392031:UZC392096 UPE392031:UPG392096 UFI392031:UFK392096 TVM392031:TVO392096 TLQ392031:TLS392096 TBU392031:TBW392096 SRY392031:SSA392096 SIC392031:SIE392096 RYG392031:RYI392096 ROK392031:ROM392096 REO392031:REQ392096 QUS392031:QUU392096 QKW392031:QKY392096 QBA392031:QBC392096 PRE392031:PRG392096 PHI392031:PHK392096 OXM392031:OXO392096 ONQ392031:ONS392096 ODU392031:ODW392096 NTY392031:NUA392096 NKC392031:NKE392096 NAG392031:NAI392096 MQK392031:MQM392096 MGO392031:MGQ392096 LWS392031:LWU392096 LMW392031:LMY392096 LDA392031:LDC392096 KTE392031:KTG392096 KJI392031:KJK392096 JZM392031:JZO392096 JPQ392031:JPS392096 JFU392031:JFW392096 IVY392031:IWA392096 IMC392031:IME392096 ICG392031:ICI392096 HSK392031:HSM392096 HIO392031:HIQ392096 GYS392031:GYU392096 GOW392031:GOY392096 GFA392031:GFC392096 FVE392031:FVG392096 FLI392031:FLK392096 FBM392031:FBO392096 ERQ392031:ERS392096 EHU392031:EHW392096 DXY392031:DYA392096 DOC392031:DOE392096 DEG392031:DEI392096 CUK392031:CUM392096 CKO392031:CKQ392096 CAS392031:CAU392096 BQW392031:BQY392096 BHA392031:BHC392096 AXE392031:AXG392096 ANI392031:ANK392096 ADM392031:ADO392096 TQ392031:TS392096 JU392031:JW392096 Y392031:AA392096 WWG326495:WWI326560 WMK326495:WMM326560 WCO326495:WCQ326560 VSS326495:VSU326560 VIW326495:VIY326560 UZA326495:UZC326560 UPE326495:UPG326560 UFI326495:UFK326560 TVM326495:TVO326560 TLQ326495:TLS326560 TBU326495:TBW326560 SRY326495:SSA326560 SIC326495:SIE326560 RYG326495:RYI326560 ROK326495:ROM326560 REO326495:REQ326560 QUS326495:QUU326560 QKW326495:QKY326560 QBA326495:QBC326560 PRE326495:PRG326560 PHI326495:PHK326560 OXM326495:OXO326560 ONQ326495:ONS326560 ODU326495:ODW326560 NTY326495:NUA326560 NKC326495:NKE326560 NAG326495:NAI326560 MQK326495:MQM326560 MGO326495:MGQ326560 LWS326495:LWU326560 LMW326495:LMY326560 LDA326495:LDC326560 KTE326495:KTG326560 KJI326495:KJK326560 JZM326495:JZO326560 JPQ326495:JPS326560 JFU326495:JFW326560 IVY326495:IWA326560 IMC326495:IME326560 ICG326495:ICI326560 HSK326495:HSM326560 HIO326495:HIQ326560 GYS326495:GYU326560 GOW326495:GOY326560 GFA326495:GFC326560 FVE326495:FVG326560 FLI326495:FLK326560 FBM326495:FBO326560 ERQ326495:ERS326560 EHU326495:EHW326560 DXY326495:DYA326560 DOC326495:DOE326560 DEG326495:DEI326560 CUK326495:CUM326560 CKO326495:CKQ326560 CAS326495:CAU326560 BQW326495:BQY326560 BHA326495:BHC326560 AXE326495:AXG326560 ANI326495:ANK326560 ADM326495:ADO326560 TQ326495:TS326560 JU326495:JW326560 Y326495:AA326560 WWG260959:WWI261024 WMK260959:WMM261024 WCO260959:WCQ261024 VSS260959:VSU261024 VIW260959:VIY261024 UZA260959:UZC261024 UPE260959:UPG261024 UFI260959:UFK261024 TVM260959:TVO261024 TLQ260959:TLS261024 TBU260959:TBW261024 SRY260959:SSA261024 SIC260959:SIE261024 RYG260959:RYI261024 ROK260959:ROM261024 REO260959:REQ261024 QUS260959:QUU261024 QKW260959:QKY261024 QBA260959:QBC261024 PRE260959:PRG261024 PHI260959:PHK261024 OXM260959:OXO261024 ONQ260959:ONS261024 ODU260959:ODW261024 NTY260959:NUA261024 NKC260959:NKE261024 NAG260959:NAI261024 MQK260959:MQM261024 MGO260959:MGQ261024 LWS260959:LWU261024 LMW260959:LMY261024 LDA260959:LDC261024 KTE260959:KTG261024 KJI260959:KJK261024 JZM260959:JZO261024 JPQ260959:JPS261024 JFU260959:JFW261024 IVY260959:IWA261024 IMC260959:IME261024 ICG260959:ICI261024 HSK260959:HSM261024 HIO260959:HIQ261024 GYS260959:GYU261024 GOW260959:GOY261024 GFA260959:GFC261024 FVE260959:FVG261024 FLI260959:FLK261024 FBM260959:FBO261024 ERQ260959:ERS261024 EHU260959:EHW261024 DXY260959:DYA261024 DOC260959:DOE261024 DEG260959:DEI261024 CUK260959:CUM261024 CKO260959:CKQ261024 CAS260959:CAU261024 BQW260959:BQY261024 BHA260959:BHC261024 AXE260959:AXG261024 ANI260959:ANK261024 ADM260959:ADO261024 TQ260959:TS261024 JU260959:JW261024 Y260959:AA261024 WWG195423:WWI195488 WMK195423:WMM195488 WCO195423:WCQ195488 VSS195423:VSU195488 VIW195423:VIY195488 UZA195423:UZC195488 UPE195423:UPG195488 UFI195423:UFK195488 TVM195423:TVO195488 TLQ195423:TLS195488 TBU195423:TBW195488 SRY195423:SSA195488 SIC195423:SIE195488 RYG195423:RYI195488 ROK195423:ROM195488 REO195423:REQ195488 QUS195423:QUU195488 QKW195423:QKY195488 QBA195423:QBC195488 PRE195423:PRG195488 PHI195423:PHK195488 OXM195423:OXO195488 ONQ195423:ONS195488 ODU195423:ODW195488 NTY195423:NUA195488 NKC195423:NKE195488 NAG195423:NAI195488 MQK195423:MQM195488 MGO195423:MGQ195488 LWS195423:LWU195488 LMW195423:LMY195488 LDA195423:LDC195488 KTE195423:KTG195488 KJI195423:KJK195488 JZM195423:JZO195488 JPQ195423:JPS195488 JFU195423:JFW195488 IVY195423:IWA195488 IMC195423:IME195488 ICG195423:ICI195488 HSK195423:HSM195488 HIO195423:HIQ195488 GYS195423:GYU195488 GOW195423:GOY195488 GFA195423:GFC195488 FVE195423:FVG195488 FLI195423:FLK195488 FBM195423:FBO195488 ERQ195423:ERS195488 EHU195423:EHW195488 DXY195423:DYA195488 DOC195423:DOE195488 DEG195423:DEI195488 CUK195423:CUM195488 CKO195423:CKQ195488 CAS195423:CAU195488 BQW195423:BQY195488 BHA195423:BHC195488 AXE195423:AXG195488 ANI195423:ANK195488 ADM195423:ADO195488 TQ195423:TS195488 JU195423:JW195488 Y195423:AA195488 WWG129887:WWI129952 WMK129887:WMM129952 WCO129887:WCQ129952 VSS129887:VSU129952 VIW129887:VIY129952 UZA129887:UZC129952 UPE129887:UPG129952 UFI129887:UFK129952 TVM129887:TVO129952 TLQ129887:TLS129952 TBU129887:TBW129952 SRY129887:SSA129952 SIC129887:SIE129952 RYG129887:RYI129952 ROK129887:ROM129952 REO129887:REQ129952 QUS129887:QUU129952 QKW129887:QKY129952 QBA129887:QBC129952 PRE129887:PRG129952 PHI129887:PHK129952 OXM129887:OXO129952 ONQ129887:ONS129952 ODU129887:ODW129952 NTY129887:NUA129952 NKC129887:NKE129952 NAG129887:NAI129952 MQK129887:MQM129952 MGO129887:MGQ129952 LWS129887:LWU129952 LMW129887:LMY129952 LDA129887:LDC129952 KTE129887:KTG129952 KJI129887:KJK129952 JZM129887:JZO129952 JPQ129887:JPS129952 JFU129887:JFW129952 IVY129887:IWA129952 IMC129887:IME129952 ICG129887:ICI129952 HSK129887:HSM129952 HIO129887:HIQ129952 GYS129887:GYU129952 GOW129887:GOY129952 GFA129887:GFC129952 FVE129887:FVG129952 FLI129887:FLK129952 FBM129887:FBO129952 ERQ129887:ERS129952 EHU129887:EHW129952 DXY129887:DYA129952 DOC129887:DOE129952 DEG129887:DEI129952 CUK129887:CUM129952 CKO129887:CKQ129952 CAS129887:CAU129952 BQW129887:BQY129952 BHA129887:BHC129952 AXE129887:AXG129952 ANI129887:ANK129952 ADM129887:ADO129952 TQ129887:TS129952 JU129887:JW129952 Y129887:AA129952 WWG64351:WWI64416 WMK64351:WMM64416 WCO64351:WCQ64416 VSS64351:VSU64416 VIW64351:VIY64416 UZA64351:UZC64416 UPE64351:UPG64416 UFI64351:UFK64416 TVM64351:TVO64416 TLQ64351:TLS64416 TBU64351:TBW64416 SRY64351:SSA64416 SIC64351:SIE64416 RYG64351:RYI64416 ROK64351:ROM64416 REO64351:REQ64416 QUS64351:QUU64416 QKW64351:QKY64416 QBA64351:QBC64416 PRE64351:PRG64416 PHI64351:PHK64416 OXM64351:OXO64416 ONQ64351:ONS64416 ODU64351:ODW64416 NTY64351:NUA64416 NKC64351:NKE64416 NAG64351:NAI64416 MQK64351:MQM64416 MGO64351:MGQ64416 LWS64351:LWU64416 LMW64351:LMY64416 LDA64351:LDC64416 KTE64351:KTG64416 KJI64351:KJK64416 JZM64351:JZO64416 JPQ64351:JPS64416 JFU64351:JFW64416 IVY64351:IWA64416 IMC64351:IME64416 ICG64351:ICI64416 HSK64351:HSM64416 HIO64351:HIQ64416 GYS64351:GYU64416 GOW64351:GOY64416 GFA64351:GFC64416 FVE64351:FVG64416 FLI64351:FLK64416 FBM64351:FBO64416 ERQ64351:ERS64416 EHU64351:EHW64416 DXY64351:DYA64416 DOC64351:DOE64416 DEG64351:DEI64416 CUK64351:CUM64416 CKO64351:CKQ64416 CAS64351:CAU64416 BQW64351:BQY64416 BHA64351:BHC64416 AXE64351:AXG64416 ANI64351:ANK64416 ADM64351:ADO64416 TQ64351:TS64416 JU2:JW61 WWG2:WWI61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formula1>$AV$2:$AV$20</formula1>
    </dataValidation>
    <dataValidation type="list" allowBlank="1" showInputMessage="1" showErrorMessage="1" sqref="H64351:H64416 WVP1047391:WVP1047456 WLT1047391:WLT1047456 WBX1047391:WBX1047456 VSB1047391:VSB1047456 VIF1047391:VIF1047456 UYJ1047391:UYJ1047456 UON1047391:UON1047456 UER1047391:UER1047456 TUV1047391:TUV1047456 TKZ1047391:TKZ1047456 TBD1047391:TBD1047456 SRH1047391:SRH1047456 SHL1047391:SHL1047456 RXP1047391:RXP1047456 RNT1047391:RNT1047456 RDX1047391:RDX1047456 QUB1047391:QUB1047456 QKF1047391:QKF1047456 QAJ1047391:QAJ1047456 PQN1047391:PQN1047456 PGR1047391:PGR1047456 OWV1047391:OWV1047456 OMZ1047391:OMZ1047456 ODD1047391:ODD1047456 NTH1047391:NTH1047456 NJL1047391:NJL1047456 MZP1047391:MZP1047456 MPT1047391:MPT1047456 MFX1047391:MFX1047456 LWB1047391:LWB1047456 LMF1047391:LMF1047456 LCJ1047391:LCJ1047456 KSN1047391:KSN1047456 KIR1047391:KIR1047456 JYV1047391:JYV1047456 JOZ1047391:JOZ1047456 JFD1047391:JFD1047456 IVH1047391:IVH1047456 ILL1047391:ILL1047456 IBP1047391:IBP1047456 HRT1047391:HRT1047456 HHX1047391:HHX1047456 GYB1047391:GYB1047456 GOF1047391:GOF1047456 GEJ1047391:GEJ1047456 FUN1047391:FUN1047456 FKR1047391:FKR1047456 FAV1047391:FAV1047456 EQZ1047391:EQZ1047456 EHD1047391:EHD1047456 DXH1047391:DXH1047456 DNL1047391:DNL1047456 DDP1047391:DDP1047456 CTT1047391:CTT1047456 CJX1047391:CJX1047456 CAB1047391:CAB1047456 BQF1047391:BQF1047456 BGJ1047391:BGJ1047456 AWN1047391:AWN1047456 AMR1047391:AMR1047456 ACV1047391:ACV1047456 SZ1047391:SZ1047456 JD1047391:JD1047456 H1047391:H1047456 WVP981855:WVP981920 WLT981855:WLT981920 WBX981855:WBX981920 VSB981855:VSB981920 VIF981855:VIF981920 UYJ981855:UYJ981920 UON981855:UON981920 UER981855:UER981920 TUV981855:TUV981920 TKZ981855:TKZ981920 TBD981855:TBD981920 SRH981855:SRH981920 SHL981855:SHL981920 RXP981855:RXP981920 RNT981855:RNT981920 RDX981855:RDX981920 QUB981855:QUB981920 QKF981855:QKF981920 QAJ981855:QAJ981920 PQN981855:PQN981920 PGR981855:PGR981920 OWV981855:OWV981920 OMZ981855:OMZ981920 ODD981855:ODD981920 NTH981855:NTH981920 NJL981855:NJL981920 MZP981855:MZP981920 MPT981855:MPT981920 MFX981855:MFX981920 LWB981855:LWB981920 LMF981855:LMF981920 LCJ981855:LCJ981920 KSN981855:KSN981920 KIR981855:KIR981920 JYV981855:JYV981920 JOZ981855:JOZ981920 JFD981855:JFD981920 IVH981855:IVH981920 ILL981855:ILL981920 IBP981855:IBP981920 HRT981855:HRT981920 HHX981855:HHX981920 GYB981855:GYB981920 GOF981855:GOF981920 GEJ981855:GEJ981920 FUN981855:FUN981920 FKR981855:FKR981920 FAV981855:FAV981920 EQZ981855:EQZ981920 EHD981855:EHD981920 DXH981855:DXH981920 DNL981855:DNL981920 DDP981855:DDP981920 CTT981855:CTT981920 CJX981855:CJX981920 CAB981855:CAB981920 BQF981855:BQF981920 BGJ981855:BGJ981920 AWN981855:AWN981920 AMR981855:AMR981920 ACV981855:ACV981920 SZ981855:SZ981920 JD981855:JD981920 H981855:H981920 WVP916319:WVP916384 WLT916319:WLT916384 WBX916319:WBX916384 VSB916319:VSB916384 VIF916319:VIF916384 UYJ916319:UYJ916384 UON916319:UON916384 UER916319:UER916384 TUV916319:TUV916384 TKZ916319:TKZ916384 TBD916319:TBD916384 SRH916319:SRH916384 SHL916319:SHL916384 RXP916319:RXP916384 RNT916319:RNT916384 RDX916319:RDX916384 QUB916319:QUB916384 QKF916319:QKF916384 QAJ916319:QAJ916384 PQN916319:PQN916384 PGR916319:PGR916384 OWV916319:OWV916384 OMZ916319:OMZ916384 ODD916319:ODD916384 NTH916319:NTH916384 NJL916319:NJL916384 MZP916319:MZP916384 MPT916319:MPT916384 MFX916319:MFX916384 LWB916319:LWB916384 LMF916319:LMF916384 LCJ916319:LCJ916384 KSN916319:KSN916384 KIR916319:KIR916384 JYV916319:JYV916384 JOZ916319:JOZ916384 JFD916319:JFD916384 IVH916319:IVH916384 ILL916319:ILL916384 IBP916319:IBP916384 HRT916319:HRT916384 HHX916319:HHX916384 GYB916319:GYB916384 GOF916319:GOF916384 GEJ916319:GEJ916384 FUN916319:FUN916384 FKR916319:FKR916384 FAV916319:FAV916384 EQZ916319:EQZ916384 EHD916319:EHD916384 DXH916319:DXH916384 DNL916319:DNL916384 DDP916319:DDP916384 CTT916319:CTT916384 CJX916319:CJX916384 CAB916319:CAB916384 BQF916319:BQF916384 BGJ916319:BGJ916384 AWN916319:AWN916384 AMR916319:AMR916384 ACV916319:ACV916384 SZ916319:SZ916384 JD916319:JD916384 H916319:H916384 WVP850783:WVP850848 WLT850783:WLT850848 WBX850783:WBX850848 VSB850783:VSB850848 VIF850783:VIF850848 UYJ850783:UYJ850848 UON850783:UON850848 UER850783:UER850848 TUV850783:TUV850848 TKZ850783:TKZ850848 TBD850783:TBD850848 SRH850783:SRH850848 SHL850783:SHL850848 RXP850783:RXP850848 RNT850783:RNT850848 RDX850783:RDX850848 QUB850783:QUB850848 QKF850783:QKF850848 QAJ850783:QAJ850848 PQN850783:PQN850848 PGR850783:PGR850848 OWV850783:OWV850848 OMZ850783:OMZ850848 ODD850783:ODD850848 NTH850783:NTH850848 NJL850783:NJL850848 MZP850783:MZP850848 MPT850783:MPT850848 MFX850783:MFX850848 LWB850783:LWB850848 LMF850783:LMF850848 LCJ850783:LCJ850848 KSN850783:KSN850848 KIR850783:KIR850848 JYV850783:JYV850848 JOZ850783:JOZ850848 JFD850783:JFD850848 IVH850783:IVH850848 ILL850783:ILL850848 IBP850783:IBP850848 HRT850783:HRT850848 HHX850783:HHX850848 GYB850783:GYB850848 GOF850783:GOF850848 GEJ850783:GEJ850848 FUN850783:FUN850848 FKR850783:FKR850848 FAV850783:FAV850848 EQZ850783:EQZ850848 EHD850783:EHD850848 DXH850783:DXH850848 DNL850783:DNL850848 DDP850783:DDP850848 CTT850783:CTT850848 CJX850783:CJX850848 CAB850783:CAB850848 BQF850783:BQF850848 BGJ850783:BGJ850848 AWN850783:AWN850848 AMR850783:AMR850848 ACV850783:ACV850848 SZ850783:SZ850848 JD850783:JD850848 H850783:H850848 WVP785247:WVP785312 WLT785247:WLT785312 WBX785247:WBX785312 VSB785247:VSB785312 VIF785247:VIF785312 UYJ785247:UYJ785312 UON785247:UON785312 UER785247:UER785312 TUV785247:TUV785312 TKZ785247:TKZ785312 TBD785247:TBD785312 SRH785247:SRH785312 SHL785247:SHL785312 RXP785247:RXP785312 RNT785247:RNT785312 RDX785247:RDX785312 QUB785247:QUB785312 QKF785247:QKF785312 QAJ785247:QAJ785312 PQN785247:PQN785312 PGR785247:PGR785312 OWV785247:OWV785312 OMZ785247:OMZ785312 ODD785247:ODD785312 NTH785247:NTH785312 NJL785247:NJL785312 MZP785247:MZP785312 MPT785247:MPT785312 MFX785247:MFX785312 LWB785247:LWB785312 LMF785247:LMF785312 LCJ785247:LCJ785312 KSN785247:KSN785312 KIR785247:KIR785312 JYV785247:JYV785312 JOZ785247:JOZ785312 JFD785247:JFD785312 IVH785247:IVH785312 ILL785247:ILL785312 IBP785247:IBP785312 HRT785247:HRT785312 HHX785247:HHX785312 GYB785247:GYB785312 GOF785247:GOF785312 GEJ785247:GEJ785312 FUN785247:FUN785312 FKR785247:FKR785312 FAV785247:FAV785312 EQZ785247:EQZ785312 EHD785247:EHD785312 DXH785247:DXH785312 DNL785247:DNL785312 DDP785247:DDP785312 CTT785247:CTT785312 CJX785247:CJX785312 CAB785247:CAB785312 BQF785247:BQF785312 BGJ785247:BGJ785312 AWN785247:AWN785312 AMR785247:AMR785312 ACV785247:ACV785312 SZ785247:SZ785312 JD785247:JD785312 H785247:H785312 WVP719711:WVP719776 WLT719711:WLT719776 WBX719711:WBX719776 VSB719711:VSB719776 VIF719711:VIF719776 UYJ719711:UYJ719776 UON719711:UON719776 UER719711:UER719776 TUV719711:TUV719776 TKZ719711:TKZ719776 TBD719711:TBD719776 SRH719711:SRH719776 SHL719711:SHL719776 RXP719711:RXP719776 RNT719711:RNT719776 RDX719711:RDX719776 QUB719711:QUB719776 QKF719711:QKF719776 QAJ719711:QAJ719776 PQN719711:PQN719776 PGR719711:PGR719776 OWV719711:OWV719776 OMZ719711:OMZ719776 ODD719711:ODD719776 NTH719711:NTH719776 NJL719711:NJL719776 MZP719711:MZP719776 MPT719711:MPT719776 MFX719711:MFX719776 LWB719711:LWB719776 LMF719711:LMF719776 LCJ719711:LCJ719776 KSN719711:KSN719776 KIR719711:KIR719776 JYV719711:JYV719776 JOZ719711:JOZ719776 JFD719711:JFD719776 IVH719711:IVH719776 ILL719711:ILL719776 IBP719711:IBP719776 HRT719711:HRT719776 HHX719711:HHX719776 GYB719711:GYB719776 GOF719711:GOF719776 GEJ719711:GEJ719776 FUN719711:FUN719776 FKR719711:FKR719776 FAV719711:FAV719776 EQZ719711:EQZ719776 EHD719711:EHD719776 DXH719711:DXH719776 DNL719711:DNL719776 DDP719711:DDP719776 CTT719711:CTT719776 CJX719711:CJX719776 CAB719711:CAB719776 BQF719711:BQF719776 BGJ719711:BGJ719776 AWN719711:AWN719776 AMR719711:AMR719776 ACV719711:ACV719776 SZ719711:SZ719776 JD719711:JD719776 H719711:H719776 WVP654175:WVP654240 WLT654175:WLT654240 WBX654175:WBX654240 VSB654175:VSB654240 VIF654175:VIF654240 UYJ654175:UYJ654240 UON654175:UON654240 UER654175:UER654240 TUV654175:TUV654240 TKZ654175:TKZ654240 TBD654175:TBD654240 SRH654175:SRH654240 SHL654175:SHL654240 RXP654175:RXP654240 RNT654175:RNT654240 RDX654175:RDX654240 QUB654175:QUB654240 QKF654175:QKF654240 QAJ654175:QAJ654240 PQN654175:PQN654240 PGR654175:PGR654240 OWV654175:OWV654240 OMZ654175:OMZ654240 ODD654175:ODD654240 NTH654175:NTH654240 NJL654175:NJL654240 MZP654175:MZP654240 MPT654175:MPT654240 MFX654175:MFX654240 LWB654175:LWB654240 LMF654175:LMF654240 LCJ654175:LCJ654240 KSN654175:KSN654240 KIR654175:KIR654240 JYV654175:JYV654240 JOZ654175:JOZ654240 JFD654175:JFD654240 IVH654175:IVH654240 ILL654175:ILL654240 IBP654175:IBP654240 HRT654175:HRT654240 HHX654175:HHX654240 GYB654175:GYB654240 GOF654175:GOF654240 GEJ654175:GEJ654240 FUN654175:FUN654240 FKR654175:FKR654240 FAV654175:FAV654240 EQZ654175:EQZ654240 EHD654175:EHD654240 DXH654175:DXH654240 DNL654175:DNL654240 DDP654175:DDP654240 CTT654175:CTT654240 CJX654175:CJX654240 CAB654175:CAB654240 BQF654175:BQF654240 BGJ654175:BGJ654240 AWN654175:AWN654240 AMR654175:AMR654240 ACV654175:ACV654240 SZ654175:SZ654240 JD654175:JD654240 H654175:H654240 WVP588639:WVP588704 WLT588639:WLT588704 WBX588639:WBX588704 VSB588639:VSB588704 VIF588639:VIF588704 UYJ588639:UYJ588704 UON588639:UON588704 UER588639:UER588704 TUV588639:TUV588704 TKZ588639:TKZ588704 TBD588639:TBD588704 SRH588639:SRH588704 SHL588639:SHL588704 RXP588639:RXP588704 RNT588639:RNT588704 RDX588639:RDX588704 QUB588639:QUB588704 QKF588639:QKF588704 QAJ588639:QAJ588704 PQN588639:PQN588704 PGR588639:PGR588704 OWV588639:OWV588704 OMZ588639:OMZ588704 ODD588639:ODD588704 NTH588639:NTH588704 NJL588639:NJL588704 MZP588639:MZP588704 MPT588639:MPT588704 MFX588639:MFX588704 LWB588639:LWB588704 LMF588639:LMF588704 LCJ588639:LCJ588704 KSN588639:KSN588704 KIR588639:KIR588704 JYV588639:JYV588704 JOZ588639:JOZ588704 JFD588639:JFD588704 IVH588639:IVH588704 ILL588639:ILL588704 IBP588639:IBP588704 HRT588639:HRT588704 HHX588639:HHX588704 GYB588639:GYB588704 GOF588639:GOF588704 GEJ588639:GEJ588704 FUN588639:FUN588704 FKR588639:FKR588704 FAV588639:FAV588704 EQZ588639:EQZ588704 EHD588639:EHD588704 DXH588639:DXH588704 DNL588639:DNL588704 DDP588639:DDP588704 CTT588639:CTT588704 CJX588639:CJX588704 CAB588639:CAB588704 BQF588639:BQF588704 BGJ588639:BGJ588704 AWN588639:AWN588704 AMR588639:AMR588704 ACV588639:ACV588704 SZ588639:SZ588704 JD588639:JD588704 H588639:H588704 WVP523103:WVP523168 WLT523103:WLT523168 WBX523103:WBX523168 VSB523103:VSB523168 VIF523103:VIF523168 UYJ523103:UYJ523168 UON523103:UON523168 UER523103:UER523168 TUV523103:TUV523168 TKZ523103:TKZ523168 TBD523103:TBD523168 SRH523103:SRH523168 SHL523103:SHL523168 RXP523103:RXP523168 RNT523103:RNT523168 RDX523103:RDX523168 QUB523103:QUB523168 QKF523103:QKF523168 QAJ523103:QAJ523168 PQN523103:PQN523168 PGR523103:PGR523168 OWV523103:OWV523168 OMZ523103:OMZ523168 ODD523103:ODD523168 NTH523103:NTH523168 NJL523103:NJL523168 MZP523103:MZP523168 MPT523103:MPT523168 MFX523103:MFX523168 LWB523103:LWB523168 LMF523103:LMF523168 LCJ523103:LCJ523168 KSN523103:KSN523168 KIR523103:KIR523168 JYV523103:JYV523168 JOZ523103:JOZ523168 JFD523103:JFD523168 IVH523103:IVH523168 ILL523103:ILL523168 IBP523103:IBP523168 HRT523103:HRT523168 HHX523103:HHX523168 GYB523103:GYB523168 GOF523103:GOF523168 GEJ523103:GEJ523168 FUN523103:FUN523168 FKR523103:FKR523168 FAV523103:FAV523168 EQZ523103:EQZ523168 EHD523103:EHD523168 DXH523103:DXH523168 DNL523103:DNL523168 DDP523103:DDP523168 CTT523103:CTT523168 CJX523103:CJX523168 CAB523103:CAB523168 BQF523103:BQF523168 BGJ523103:BGJ523168 AWN523103:AWN523168 AMR523103:AMR523168 ACV523103:ACV523168 SZ523103:SZ523168 JD523103:JD523168 H523103:H523168 WVP457567:WVP457632 WLT457567:WLT457632 WBX457567:WBX457632 VSB457567:VSB457632 VIF457567:VIF457632 UYJ457567:UYJ457632 UON457567:UON457632 UER457567:UER457632 TUV457567:TUV457632 TKZ457567:TKZ457632 TBD457567:TBD457632 SRH457567:SRH457632 SHL457567:SHL457632 RXP457567:RXP457632 RNT457567:RNT457632 RDX457567:RDX457632 QUB457567:QUB457632 QKF457567:QKF457632 QAJ457567:QAJ457632 PQN457567:PQN457632 PGR457567:PGR457632 OWV457567:OWV457632 OMZ457567:OMZ457632 ODD457567:ODD457632 NTH457567:NTH457632 NJL457567:NJL457632 MZP457567:MZP457632 MPT457567:MPT457632 MFX457567:MFX457632 LWB457567:LWB457632 LMF457567:LMF457632 LCJ457567:LCJ457632 KSN457567:KSN457632 KIR457567:KIR457632 JYV457567:JYV457632 JOZ457567:JOZ457632 JFD457567:JFD457632 IVH457567:IVH457632 ILL457567:ILL457632 IBP457567:IBP457632 HRT457567:HRT457632 HHX457567:HHX457632 GYB457567:GYB457632 GOF457567:GOF457632 GEJ457567:GEJ457632 FUN457567:FUN457632 FKR457567:FKR457632 FAV457567:FAV457632 EQZ457567:EQZ457632 EHD457567:EHD457632 DXH457567:DXH457632 DNL457567:DNL457632 DDP457567:DDP457632 CTT457567:CTT457632 CJX457567:CJX457632 CAB457567:CAB457632 BQF457567:BQF457632 BGJ457567:BGJ457632 AWN457567:AWN457632 AMR457567:AMR457632 ACV457567:ACV457632 SZ457567:SZ457632 JD457567:JD457632 H457567:H457632 WVP392031:WVP392096 WLT392031:WLT392096 WBX392031:WBX392096 VSB392031:VSB392096 VIF392031:VIF392096 UYJ392031:UYJ392096 UON392031:UON392096 UER392031:UER392096 TUV392031:TUV392096 TKZ392031:TKZ392096 TBD392031:TBD392096 SRH392031:SRH392096 SHL392031:SHL392096 RXP392031:RXP392096 RNT392031:RNT392096 RDX392031:RDX392096 QUB392031:QUB392096 QKF392031:QKF392096 QAJ392031:QAJ392096 PQN392031:PQN392096 PGR392031:PGR392096 OWV392031:OWV392096 OMZ392031:OMZ392096 ODD392031:ODD392096 NTH392031:NTH392096 NJL392031:NJL392096 MZP392031:MZP392096 MPT392031:MPT392096 MFX392031:MFX392096 LWB392031:LWB392096 LMF392031:LMF392096 LCJ392031:LCJ392096 KSN392031:KSN392096 KIR392031:KIR392096 JYV392031:JYV392096 JOZ392031:JOZ392096 JFD392031:JFD392096 IVH392031:IVH392096 ILL392031:ILL392096 IBP392031:IBP392096 HRT392031:HRT392096 HHX392031:HHX392096 GYB392031:GYB392096 GOF392031:GOF392096 GEJ392031:GEJ392096 FUN392031:FUN392096 FKR392031:FKR392096 FAV392031:FAV392096 EQZ392031:EQZ392096 EHD392031:EHD392096 DXH392031:DXH392096 DNL392031:DNL392096 DDP392031:DDP392096 CTT392031:CTT392096 CJX392031:CJX392096 CAB392031:CAB392096 BQF392031:BQF392096 BGJ392031:BGJ392096 AWN392031:AWN392096 AMR392031:AMR392096 ACV392031:ACV392096 SZ392031:SZ392096 JD392031:JD392096 H392031:H392096 WVP326495:WVP326560 WLT326495:WLT326560 WBX326495:WBX326560 VSB326495:VSB326560 VIF326495:VIF326560 UYJ326495:UYJ326560 UON326495:UON326560 UER326495:UER326560 TUV326495:TUV326560 TKZ326495:TKZ326560 TBD326495:TBD326560 SRH326495:SRH326560 SHL326495:SHL326560 RXP326495:RXP326560 RNT326495:RNT326560 RDX326495:RDX326560 QUB326495:QUB326560 QKF326495:QKF326560 QAJ326495:QAJ326560 PQN326495:PQN326560 PGR326495:PGR326560 OWV326495:OWV326560 OMZ326495:OMZ326560 ODD326495:ODD326560 NTH326495:NTH326560 NJL326495:NJL326560 MZP326495:MZP326560 MPT326495:MPT326560 MFX326495:MFX326560 LWB326495:LWB326560 LMF326495:LMF326560 LCJ326495:LCJ326560 KSN326495:KSN326560 KIR326495:KIR326560 JYV326495:JYV326560 JOZ326495:JOZ326560 JFD326495:JFD326560 IVH326495:IVH326560 ILL326495:ILL326560 IBP326495:IBP326560 HRT326495:HRT326560 HHX326495:HHX326560 GYB326495:GYB326560 GOF326495:GOF326560 GEJ326495:GEJ326560 FUN326495:FUN326560 FKR326495:FKR326560 FAV326495:FAV326560 EQZ326495:EQZ326560 EHD326495:EHD326560 DXH326495:DXH326560 DNL326495:DNL326560 DDP326495:DDP326560 CTT326495:CTT326560 CJX326495:CJX326560 CAB326495:CAB326560 BQF326495:BQF326560 BGJ326495:BGJ326560 AWN326495:AWN326560 AMR326495:AMR326560 ACV326495:ACV326560 SZ326495:SZ326560 JD326495:JD326560 H326495:H326560 WVP260959:WVP261024 WLT260959:WLT261024 WBX260959:WBX261024 VSB260959:VSB261024 VIF260959:VIF261024 UYJ260959:UYJ261024 UON260959:UON261024 UER260959:UER261024 TUV260959:TUV261024 TKZ260959:TKZ261024 TBD260959:TBD261024 SRH260959:SRH261024 SHL260959:SHL261024 RXP260959:RXP261024 RNT260959:RNT261024 RDX260959:RDX261024 QUB260959:QUB261024 QKF260959:QKF261024 QAJ260959:QAJ261024 PQN260959:PQN261024 PGR260959:PGR261024 OWV260959:OWV261024 OMZ260959:OMZ261024 ODD260959:ODD261024 NTH260959:NTH261024 NJL260959:NJL261024 MZP260959:MZP261024 MPT260959:MPT261024 MFX260959:MFX261024 LWB260959:LWB261024 LMF260959:LMF261024 LCJ260959:LCJ261024 KSN260959:KSN261024 KIR260959:KIR261024 JYV260959:JYV261024 JOZ260959:JOZ261024 JFD260959:JFD261024 IVH260959:IVH261024 ILL260959:ILL261024 IBP260959:IBP261024 HRT260959:HRT261024 HHX260959:HHX261024 GYB260959:GYB261024 GOF260959:GOF261024 GEJ260959:GEJ261024 FUN260959:FUN261024 FKR260959:FKR261024 FAV260959:FAV261024 EQZ260959:EQZ261024 EHD260959:EHD261024 DXH260959:DXH261024 DNL260959:DNL261024 DDP260959:DDP261024 CTT260959:CTT261024 CJX260959:CJX261024 CAB260959:CAB261024 BQF260959:BQF261024 BGJ260959:BGJ261024 AWN260959:AWN261024 AMR260959:AMR261024 ACV260959:ACV261024 SZ260959:SZ261024 JD260959:JD261024 H260959:H261024 WVP195423:WVP195488 WLT195423:WLT195488 WBX195423:WBX195488 VSB195423:VSB195488 VIF195423:VIF195488 UYJ195423:UYJ195488 UON195423:UON195488 UER195423:UER195488 TUV195423:TUV195488 TKZ195423:TKZ195488 TBD195423:TBD195488 SRH195423:SRH195488 SHL195423:SHL195488 RXP195423:RXP195488 RNT195423:RNT195488 RDX195423:RDX195488 QUB195423:QUB195488 QKF195423:QKF195488 QAJ195423:QAJ195488 PQN195423:PQN195488 PGR195423:PGR195488 OWV195423:OWV195488 OMZ195423:OMZ195488 ODD195423:ODD195488 NTH195423:NTH195488 NJL195423:NJL195488 MZP195423:MZP195488 MPT195423:MPT195488 MFX195423:MFX195488 LWB195423:LWB195488 LMF195423:LMF195488 LCJ195423:LCJ195488 KSN195423:KSN195488 KIR195423:KIR195488 JYV195423:JYV195488 JOZ195423:JOZ195488 JFD195423:JFD195488 IVH195423:IVH195488 ILL195423:ILL195488 IBP195423:IBP195488 HRT195423:HRT195488 HHX195423:HHX195488 GYB195423:GYB195488 GOF195423:GOF195488 GEJ195423:GEJ195488 FUN195423:FUN195488 FKR195423:FKR195488 FAV195423:FAV195488 EQZ195423:EQZ195488 EHD195423:EHD195488 DXH195423:DXH195488 DNL195423:DNL195488 DDP195423:DDP195488 CTT195423:CTT195488 CJX195423:CJX195488 CAB195423:CAB195488 BQF195423:BQF195488 BGJ195423:BGJ195488 AWN195423:AWN195488 AMR195423:AMR195488 ACV195423:ACV195488 SZ195423:SZ195488 JD195423:JD195488 H195423:H195488 WVP129887:WVP129952 WLT129887:WLT129952 WBX129887:WBX129952 VSB129887:VSB129952 VIF129887:VIF129952 UYJ129887:UYJ129952 UON129887:UON129952 UER129887:UER129952 TUV129887:TUV129952 TKZ129887:TKZ129952 TBD129887:TBD129952 SRH129887:SRH129952 SHL129887:SHL129952 RXP129887:RXP129952 RNT129887:RNT129952 RDX129887:RDX129952 QUB129887:QUB129952 QKF129887:QKF129952 QAJ129887:QAJ129952 PQN129887:PQN129952 PGR129887:PGR129952 OWV129887:OWV129952 OMZ129887:OMZ129952 ODD129887:ODD129952 NTH129887:NTH129952 NJL129887:NJL129952 MZP129887:MZP129952 MPT129887:MPT129952 MFX129887:MFX129952 LWB129887:LWB129952 LMF129887:LMF129952 LCJ129887:LCJ129952 KSN129887:KSN129952 KIR129887:KIR129952 JYV129887:JYV129952 JOZ129887:JOZ129952 JFD129887:JFD129952 IVH129887:IVH129952 ILL129887:ILL129952 IBP129887:IBP129952 HRT129887:HRT129952 HHX129887:HHX129952 GYB129887:GYB129952 GOF129887:GOF129952 GEJ129887:GEJ129952 FUN129887:FUN129952 FKR129887:FKR129952 FAV129887:FAV129952 EQZ129887:EQZ129952 EHD129887:EHD129952 DXH129887:DXH129952 DNL129887:DNL129952 DDP129887:DDP129952 CTT129887:CTT129952 CJX129887:CJX129952 CAB129887:CAB129952 BQF129887:BQF129952 BGJ129887:BGJ129952 AWN129887:AWN129952 AMR129887:AMR129952 ACV129887:ACV129952 SZ129887:SZ129952 JD129887:JD129952 H129887:H129952 WVP64351:WVP64416 WLT64351:WLT64416 WBX64351:WBX64416 VSB64351:VSB64416 VIF64351:VIF64416 UYJ64351:UYJ64416 UON64351:UON64416 UER64351:UER64416 TUV64351:TUV64416 TKZ64351:TKZ64416 TBD64351:TBD64416 SRH64351:SRH64416 SHL64351:SHL64416 RXP64351:RXP64416 RNT64351:RNT64416 RDX64351:RDX64416 QUB64351:QUB64416 QKF64351:QKF64416 QAJ64351:QAJ64416 PQN64351:PQN64416 PGR64351:PGR64416 OWV64351:OWV64416 OMZ64351:OMZ64416 ODD64351:ODD64416 NTH64351:NTH64416 NJL64351:NJL64416 MZP64351:MZP64416 MPT64351:MPT64416 MFX64351:MFX64416 LWB64351:LWB64416 LMF64351:LMF64416 LCJ64351:LCJ64416 KSN64351:KSN64416 KIR64351:KIR64416 JYV64351:JYV64416 JOZ64351:JOZ64416 JFD64351:JFD64416 IVH64351:IVH64416 ILL64351:ILL64416 IBP64351:IBP64416 HRT64351:HRT64416 HHX64351:HHX64416 GYB64351:GYB64416 GOF64351:GOF64416 GEJ64351:GEJ64416 FUN64351:FUN64416 FKR64351:FKR64416 FAV64351:FAV64416 EQZ64351:EQZ64416 EHD64351:EHD64416 DXH64351:DXH64416 DNL64351:DNL64416 DDP64351:DDP64416 CTT64351:CTT64416 CJX64351:CJX64416 CAB64351:CAB64416 BQF64351:BQF64416 BGJ64351:BGJ64416 AWN64351:AWN64416 AMR64351:AMR64416 ACV64351:ACV64416 SZ64351:SZ64416 JD64351:JD64416">
      <formula1>$AL$5:$AL$12</formula1>
    </dataValidation>
    <dataValidation type="list" allowBlank="1" showInputMessage="1" showErrorMessage="1" sqref="E64351:F64416 WVM983030:WVN983101 SW64351:SX64416 ACS64351:ACT64416 AMO64351:AMP64416 AWK64351:AWL64416 BGG64351:BGH64416 BQC64351:BQD64416 BZY64351:BZZ64416 CJU64351:CJV64416 CTQ64351:CTR64416 DDM64351:DDN64416 DNI64351:DNJ64416 DXE64351:DXF64416 EHA64351:EHB64416 EQW64351:EQX64416 FAS64351:FAT64416 FKO64351:FKP64416 FUK64351:FUL64416 GEG64351:GEH64416 GOC64351:GOD64416 GXY64351:GXZ64416 HHU64351:HHV64416 HRQ64351:HRR64416 IBM64351:IBN64416 ILI64351:ILJ64416 IVE64351:IVF64416 JFA64351:JFB64416 JOW64351:JOX64416 JYS64351:JYT64416 KIO64351:KIP64416 KSK64351:KSL64416 LCG64351:LCH64416 LMC64351:LMD64416 LVY64351:LVZ64416 MFU64351:MFV64416 MPQ64351:MPR64416 MZM64351:MZN64416 NJI64351:NJJ64416 NTE64351:NTF64416 ODA64351:ODB64416 OMW64351:OMX64416 OWS64351:OWT64416 PGO64351:PGP64416 PQK64351:PQL64416 QAG64351:QAH64416 QKC64351:QKD64416 QTY64351:QTZ64416 RDU64351:RDV64416 RNQ64351:RNR64416 RXM64351:RXN64416 SHI64351:SHJ64416 SRE64351:SRF64416 TBA64351:TBB64416 TKW64351:TKX64416 TUS64351:TUT64416 UEO64351:UEP64416 UOK64351:UOL64416 UYG64351:UYH64416 VIC64351:VID64416 VRY64351:VRZ64416 WBU64351:WBV64416 WLQ64351:WLR64416 WVM64351:WVN64416 E129887:F129952 JA129887:JB129952 SW129887:SX129952 ACS129887:ACT129952 AMO129887:AMP129952 AWK129887:AWL129952 BGG129887:BGH129952 BQC129887:BQD129952 BZY129887:BZZ129952 CJU129887:CJV129952 CTQ129887:CTR129952 DDM129887:DDN129952 DNI129887:DNJ129952 DXE129887:DXF129952 EHA129887:EHB129952 EQW129887:EQX129952 FAS129887:FAT129952 FKO129887:FKP129952 FUK129887:FUL129952 GEG129887:GEH129952 GOC129887:GOD129952 GXY129887:GXZ129952 HHU129887:HHV129952 HRQ129887:HRR129952 IBM129887:IBN129952 ILI129887:ILJ129952 IVE129887:IVF129952 JFA129887:JFB129952 JOW129887:JOX129952 JYS129887:JYT129952 KIO129887:KIP129952 KSK129887:KSL129952 LCG129887:LCH129952 LMC129887:LMD129952 LVY129887:LVZ129952 MFU129887:MFV129952 MPQ129887:MPR129952 MZM129887:MZN129952 NJI129887:NJJ129952 NTE129887:NTF129952 ODA129887:ODB129952 OMW129887:OMX129952 OWS129887:OWT129952 PGO129887:PGP129952 PQK129887:PQL129952 QAG129887:QAH129952 QKC129887:QKD129952 QTY129887:QTZ129952 RDU129887:RDV129952 RNQ129887:RNR129952 RXM129887:RXN129952 SHI129887:SHJ129952 SRE129887:SRF129952 TBA129887:TBB129952 TKW129887:TKX129952 TUS129887:TUT129952 UEO129887:UEP129952 UOK129887:UOL129952 UYG129887:UYH129952 VIC129887:VID129952 VRY129887:VRZ129952 WBU129887:WBV129952 WLQ129887:WLR129952 WVM129887:WVN129952 E195423:F195488 JA195423:JB195488 SW195423:SX195488 ACS195423:ACT195488 AMO195423:AMP195488 AWK195423:AWL195488 BGG195423:BGH195488 BQC195423:BQD195488 BZY195423:BZZ195488 CJU195423:CJV195488 CTQ195423:CTR195488 DDM195423:DDN195488 DNI195423:DNJ195488 DXE195423:DXF195488 EHA195423:EHB195488 EQW195423:EQX195488 FAS195423:FAT195488 FKO195423:FKP195488 FUK195423:FUL195488 GEG195423:GEH195488 GOC195423:GOD195488 GXY195423:GXZ195488 HHU195423:HHV195488 HRQ195423:HRR195488 IBM195423:IBN195488 ILI195423:ILJ195488 IVE195423:IVF195488 JFA195423:JFB195488 JOW195423:JOX195488 JYS195423:JYT195488 KIO195423:KIP195488 KSK195423:KSL195488 LCG195423:LCH195488 LMC195423:LMD195488 LVY195423:LVZ195488 MFU195423:MFV195488 MPQ195423:MPR195488 MZM195423:MZN195488 NJI195423:NJJ195488 NTE195423:NTF195488 ODA195423:ODB195488 OMW195423:OMX195488 OWS195423:OWT195488 PGO195423:PGP195488 PQK195423:PQL195488 QAG195423:QAH195488 QKC195423:QKD195488 QTY195423:QTZ195488 RDU195423:RDV195488 RNQ195423:RNR195488 RXM195423:RXN195488 SHI195423:SHJ195488 SRE195423:SRF195488 TBA195423:TBB195488 TKW195423:TKX195488 TUS195423:TUT195488 UEO195423:UEP195488 UOK195423:UOL195488 UYG195423:UYH195488 VIC195423:VID195488 VRY195423:VRZ195488 WBU195423:WBV195488 WLQ195423:WLR195488 WVM195423:WVN195488 E260959:F261024 JA260959:JB261024 SW260959:SX261024 ACS260959:ACT261024 AMO260959:AMP261024 AWK260959:AWL261024 BGG260959:BGH261024 BQC260959:BQD261024 BZY260959:BZZ261024 CJU260959:CJV261024 CTQ260959:CTR261024 DDM260959:DDN261024 DNI260959:DNJ261024 DXE260959:DXF261024 EHA260959:EHB261024 EQW260959:EQX261024 FAS260959:FAT261024 FKO260959:FKP261024 FUK260959:FUL261024 GEG260959:GEH261024 GOC260959:GOD261024 GXY260959:GXZ261024 HHU260959:HHV261024 HRQ260959:HRR261024 IBM260959:IBN261024 ILI260959:ILJ261024 IVE260959:IVF261024 JFA260959:JFB261024 JOW260959:JOX261024 JYS260959:JYT261024 KIO260959:KIP261024 KSK260959:KSL261024 LCG260959:LCH261024 LMC260959:LMD261024 LVY260959:LVZ261024 MFU260959:MFV261024 MPQ260959:MPR261024 MZM260959:MZN261024 NJI260959:NJJ261024 NTE260959:NTF261024 ODA260959:ODB261024 OMW260959:OMX261024 OWS260959:OWT261024 PGO260959:PGP261024 PQK260959:PQL261024 QAG260959:QAH261024 QKC260959:QKD261024 QTY260959:QTZ261024 RDU260959:RDV261024 RNQ260959:RNR261024 RXM260959:RXN261024 SHI260959:SHJ261024 SRE260959:SRF261024 TBA260959:TBB261024 TKW260959:TKX261024 TUS260959:TUT261024 UEO260959:UEP261024 UOK260959:UOL261024 UYG260959:UYH261024 VIC260959:VID261024 VRY260959:VRZ261024 WBU260959:WBV261024 WLQ260959:WLR261024 WVM260959:WVN261024 E326495:F326560 JA326495:JB326560 SW326495:SX326560 ACS326495:ACT326560 AMO326495:AMP326560 AWK326495:AWL326560 BGG326495:BGH326560 BQC326495:BQD326560 BZY326495:BZZ326560 CJU326495:CJV326560 CTQ326495:CTR326560 DDM326495:DDN326560 DNI326495:DNJ326560 DXE326495:DXF326560 EHA326495:EHB326560 EQW326495:EQX326560 FAS326495:FAT326560 FKO326495:FKP326560 FUK326495:FUL326560 GEG326495:GEH326560 GOC326495:GOD326560 GXY326495:GXZ326560 HHU326495:HHV326560 HRQ326495:HRR326560 IBM326495:IBN326560 ILI326495:ILJ326560 IVE326495:IVF326560 JFA326495:JFB326560 JOW326495:JOX326560 JYS326495:JYT326560 KIO326495:KIP326560 KSK326495:KSL326560 LCG326495:LCH326560 LMC326495:LMD326560 LVY326495:LVZ326560 MFU326495:MFV326560 MPQ326495:MPR326560 MZM326495:MZN326560 NJI326495:NJJ326560 NTE326495:NTF326560 ODA326495:ODB326560 OMW326495:OMX326560 OWS326495:OWT326560 PGO326495:PGP326560 PQK326495:PQL326560 QAG326495:QAH326560 QKC326495:QKD326560 QTY326495:QTZ326560 RDU326495:RDV326560 RNQ326495:RNR326560 RXM326495:RXN326560 SHI326495:SHJ326560 SRE326495:SRF326560 TBA326495:TBB326560 TKW326495:TKX326560 TUS326495:TUT326560 UEO326495:UEP326560 UOK326495:UOL326560 UYG326495:UYH326560 VIC326495:VID326560 VRY326495:VRZ326560 WBU326495:WBV326560 WLQ326495:WLR326560 WVM326495:WVN326560 E392031:F392096 JA392031:JB392096 SW392031:SX392096 ACS392031:ACT392096 AMO392031:AMP392096 AWK392031:AWL392096 BGG392031:BGH392096 BQC392031:BQD392096 BZY392031:BZZ392096 CJU392031:CJV392096 CTQ392031:CTR392096 DDM392031:DDN392096 DNI392031:DNJ392096 DXE392031:DXF392096 EHA392031:EHB392096 EQW392031:EQX392096 FAS392031:FAT392096 FKO392031:FKP392096 FUK392031:FUL392096 GEG392031:GEH392096 GOC392031:GOD392096 GXY392031:GXZ392096 HHU392031:HHV392096 HRQ392031:HRR392096 IBM392031:IBN392096 ILI392031:ILJ392096 IVE392031:IVF392096 JFA392031:JFB392096 JOW392031:JOX392096 JYS392031:JYT392096 KIO392031:KIP392096 KSK392031:KSL392096 LCG392031:LCH392096 LMC392031:LMD392096 LVY392031:LVZ392096 MFU392031:MFV392096 MPQ392031:MPR392096 MZM392031:MZN392096 NJI392031:NJJ392096 NTE392031:NTF392096 ODA392031:ODB392096 OMW392031:OMX392096 OWS392031:OWT392096 PGO392031:PGP392096 PQK392031:PQL392096 QAG392031:QAH392096 QKC392031:QKD392096 QTY392031:QTZ392096 RDU392031:RDV392096 RNQ392031:RNR392096 RXM392031:RXN392096 SHI392031:SHJ392096 SRE392031:SRF392096 TBA392031:TBB392096 TKW392031:TKX392096 TUS392031:TUT392096 UEO392031:UEP392096 UOK392031:UOL392096 UYG392031:UYH392096 VIC392031:VID392096 VRY392031:VRZ392096 WBU392031:WBV392096 WLQ392031:WLR392096 WVM392031:WVN392096 E457567:F457632 JA457567:JB457632 SW457567:SX457632 ACS457567:ACT457632 AMO457567:AMP457632 AWK457567:AWL457632 BGG457567:BGH457632 BQC457567:BQD457632 BZY457567:BZZ457632 CJU457567:CJV457632 CTQ457567:CTR457632 DDM457567:DDN457632 DNI457567:DNJ457632 DXE457567:DXF457632 EHA457567:EHB457632 EQW457567:EQX457632 FAS457567:FAT457632 FKO457567:FKP457632 FUK457567:FUL457632 GEG457567:GEH457632 GOC457567:GOD457632 GXY457567:GXZ457632 HHU457567:HHV457632 HRQ457567:HRR457632 IBM457567:IBN457632 ILI457567:ILJ457632 IVE457567:IVF457632 JFA457567:JFB457632 JOW457567:JOX457632 JYS457567:JYT457632 KIO457567:KIP457632 KSK457567:KSL457632 LCG457567:LCH457632 LMC457567:LMD457632 LVY457567:LVZ457632 MFU457567:MFV457632 MPQ457567:MPR457632 MZM457567:MZN457632 NJI457567:NJJ457632 NTE457567:NTF457632 ODA457567:ODB457632 OMW457567:OMX457632 OWS457567:OWT457632 PGO457567:PGP457632 PQK457567:PQL457632 QAG457567:QAH457632 QKC457567:QKD457632 QTY457567:QTZ457632 RDU457567:RDV457632 RNQ457567:RNR457632 RXM457567:RXN457632 SHI457567:SHJ457632 SRE457567:SRF457632 TBA457567:TBB457632 TKW457567:TKX457632 TUS457567:TUT457632 UEO457567:UEP457632 UOK457567:UOL457632 UYG457567:UYH457632 VIC457567:VID457632 VRY457567:VRZ457632 WBU457567:WBV457632 WLQ457567:WLR457632 WVM457567:WVN457632 E523103:F523168 JA523103:JB523168 SW523103:SX523168 ACS523103:ACT523168 AMO523103:AMP523168 AWK523103:AWL523168 BGG523103:BGH523168 BQC523103:BQD523168 BZY523103:BZZ523168 CJU523103:CJV523168 CTQ523103:CTR523168 DDM523103:DDN523168 DNI523103:DNJ523168 DXE523103:DXF523168 EHA523103:EHB523168 EQW523103:EQX523168 FAS523103:FAT523168 FKO523103:FKP523168 FUK523103:FUL523168 GEG523103:GEH523168 GOC523103:GOD523168 GXY523103:GXZ523168 HHU523103:HHV523168 HRQ523103:HRR523168 IBM523103:IBN523168 ILI523103:ILJ523168 IVE523103:IVF523168 JFA523103:JFB523168 JOW523103:JOX523168 JYS523103:JYT523168 KIO523103:KIP523168 KSK523103:KSL523168 LCG523103:LCH523168 LMC523103:LMD523168 LVY523103:LVZ523168 MFU523103:MFV523168 MPQ523103:MPR523168 MZM523103:MZN523168 NJI523103:NJJ523168 NTE523103:NTF523168 ODA523103:ODB523168 OMW523103:OMX523168 OWS523103:OWT523168 PGO523103:PGP523168 PQK523103:PQL523168 QAG523103:QAH523168 QKC523103:QKD523168 QTY523103:QTZ523168 RDU523103:RDV523168 RNQ523103:RNR523168 RXM523103:RXN523168 SHI523103:SHJ523168 SRE523103:SRF523168 TBA523103:TBB523168 TKW523103:TKX523168 TUS523103:TUT523168 UEO523103:UEP523168 UOK523103:UOL523168 UYG523103:UYH523168 VIC523103:VID523168 VRY523103:VRZ523168 WBU523103:WBV523168 WLQ523103:WLR523168 WVM523103:WVN523168 E588639:F588704 JA588639:JB588704 SW588639:SX588704 ACS588639:ACT588704 AMO588639:AMP588704 AWK588639:AWL588704 BGG588639:BGH588704 BQC588639:BQD588704 BZY588639:BZZ588704 CJU588639:CJV588704 CTQ588639:CTR588704 DDM588639:DDN588704 DNI588639:DNJ588704 DXE588639:DXF588704 EHA588639:EHB588704 EQW588639:EQX588704 FAS588639:FAT588704 FKO588639:FKP588704 FUK588639:FUL588704 GEG588639:GEH588704 GOC588639:GOD588704 GXY588639:GXZ588704 HHU588639:HHV588704 HRQ588639:HRR588704 IBM588639:IBN588704 ILI588639:ILJ588704 IVE588639:IVF588704 JFA588639:JFB588704 JOW588639:JOX588704 JYS588639:JYT588704 KIO588639:KIP588704 KSK588639:KSL588704 LCG588639:LCH588704 LMC588639:LMD588704 LVY588639:LVZ588704 MFU588639:MFV588704 MPQ588639:MPR588704 MZM588639:MZN588704 NJI588639:NJJ588704 NTE588639:NTF588704 ODA588639:ODB588704 OMW588639:OMX588704 OWS588639:OWT588704 PGO588639:PGP588704 PQK588639:PQL588704 QAG588639:QAH588704 QKC588639:QKD588704 QTY588639:QTZ588704 RDU588639:RDV588704 RNQ588639:RNR588704 RXM588639:RXN588704 SHI588639:SHJ588704 SRE588639:SRF588704 TBA588639:TBB588704 TKW588639:TKX588704 TUS588639:TUT588704 UEO588639:UEP588704 UOK588639:UOL588704 UYG588639:UYH588704 VIC588639:VID588704 VRY588639:VRZ588704 WBU588639:WBV588704 WLQ588639:WLR588704 WVM588639:WVN588704 E654175:F654240 JA654175:JB654240 SW654175:SX654240 ACS654175:ACT654240 AMO654175:AMP654240 AWK654175:AWL654240 BGG654175:BGH654240 BQC654175:BQD654240 BZY654175:BZZ654240 CJU654175:CJV654240 CTQ654175:CTR654240 DDM654175:DDN654240 DNI654175:DNJ654240 DXE654175:DXF654240 EHA654175:EHB654240 EQW654175:EQX654240 FAS654175:FAT654240 FKO654175:FKP654240 FUK654175:FUL654240 GEG654175:GEH654240 GOC654175:GOD654240 GXY654175:GXZ654240 HHU654175:HHV654240 HRQ654175:HRR654240 IBM654175:IBN654240 ILI654175:ILJ654240 IVE654175:IVF654240 JFA654175:JFB654240 JOW654175:JOX654240 JYS654175:JYT654240 KIO654175:KIP654240 KSK654175:KSL654240 LCG654175:LCH654240 LMC654175:LMD654240 LVY654175:LVZ654240 MFU654175:MFV654240 MPQ654175:MPR654240 MZM654175:MZN654240 NJI654175:NJJ654240 NTE654175:NTF654240 ODA654175:ODB654240 OMW654175:OMX654240 OWS654175:OWT654240 PGO654175:PGP654240 PQK654175:PQL654240 QAG654175:QAH654240 QKC654175:QKD654240 QTY654175:QTZ654240 RDU654175:RDV654240 RNQ654175:RNR654240 RXM654175:RXN654240 SHI654175:SHJ654240 SRE654175:SRF654240 TBA654175:TBB654240 TKW654175:TKX654240 TUS654175:TUT654240 UEO654175:UEP654240 UOK654175:UOL654240 UYG654175:UYH654240 VIC654175:VID654240 VRY654175:VRZ654240 WBU654175:WBV654240 WLQ654175:WLR654240 WVM654175:WVN654240 E719711:F719776 JA719711:JB719776 SW719711:SX719776 ACS719711:ACT719776 AMO719711:AMP719776 AWK719711:AWL719776 BGG719711:BGH719776 BQC719711:BQD719776 BZY719711:BZZ719776 CJU719711:CJV719776 CTQ719711:CTR719776 DDM719711:DDN719776 DNI719711:DNJ719776 DXE719711:DXF719776 EHA719711:EHB719776 EQW719711:EQX719776 FAS719711:FAT719776 FKO719711:FKP719776 FUK719711:FUL719776 GEG719711:GEH719776 GOC719711:GOD719776 GXY719711:GXZ719776 HHU719711:HHV719776 HRQ719711:HRR719776 IBM719711:IBN719776 ILI719711:ILJ719776 IVE719711:IVF719776 JFA719711:JFB719776 JOW719711:JOX719776 JYS719711:JYT719776 KIO719711:KIP719776 KSK719711:KSL719776 LCG719711:LCH719776 LMC719711:LMD719776 LVY719711:LVZ719776 MFU719711:MFV719776 MPQ719711:MPR719776 MZM719711:MZN719776 NJI719711:NJJ719776 NTE719711:NTF719776 ODA719711:ODB719776 OMW719711:OMX719776 OWS719711:OWT719776 PGO719711:PGP719776 PQK719711:PQL719776 QAG719711:QAH719776 QKC719711:QKD719776 QTY719711:QTZ719776 RDU719711:RDV719776 RNQ719711:RNR719776 RXM719711:RXN719776 SHI719711:SHJ719776 SRE719711:SRF719776 TBA719711:TBB719776 TKW719711:TKX719776 TUS719711:TUT719776 UEO719711:UEP719776 UOK719711:UOL719776 UYG719711:UYH719776 VIC719711:VID719776 VRY719711:VRZ719776 WBU719711:WBV719776 WLQ719711:WLR719776 WVM719711:WVN719776 E785247:F785312 JA785247:JB785312 SW785247:SX785312 ACS785247:ACT785312 AMO785247:AMP785312 AWK785247:AWL785312 BGG785247:BGH785312 BQC785247:BQD785312 BZY785247:BZZ785312 CJU785247:CJV785312 CTQ785247:CTR785312 DDM785247:DDN785312 DNI785247:DNJ785312 DXE785247:DXF785312 EHA785247:EHB785312 EQW785247:EQX785312 FAS785247:FAT785312 FKO785247:FKP785312 FUK785247:FUL785312 GEG785247:GEH785312 GOC785247:GOD785312 GXY785247:GXZ785312 HHU785247:HHV785312 HRQ785247:HRR785312 IBM785247:IBN785312 ILI785247:ILJ785312 IVE785247:IVF785312 JFA785247:JFB785312 JOW785247:JOX785312 JYS785247:JYT785312 KIO785247:KIP785312 KSK785247:KSL785312 LCG785247:LCH785312 LMC785247:LMD785312 LVY785247:LVZ785312 MFU785247:MFV785312 MPQ785247:MPR785312 MZM785247:MZN785312 NJI785247:NJJ785312 NTE785247:NTF785312 ODA785247:ODB785312 OMW785247:OMX785312 OWS785247:OWT785312 PGO785247:PGP785312 PQK785247:PQL785312 QAG785247:QAH785312 QKC785247:QKD785312 QTY785247:QTZ785312 RDU785247:RDV785312 RNQ785247:RNR785312 RXM785247:RXN785312 SHI785247:SHJ785312 SRE785247:SRF785312 TBA785247:TBB785312 TKW785247:TKX785312 TUS785247:TUT785312 UEO785247:UEP785312 UOK785247:UOL785312 UYG785247:UYH785312 VIC785247:VID785312 VRY785247:VRZ785312 WBU785247:WBV785312 WLQ785247:WLR785312 WVM785247:WVN785312 E850783:F850848 JA850783:JB850848 SW850783:SX850848 ACS850783:ACT850848 AMO850783:AMP850848 AWK850783:AWL850848 BGG850783:BGH850848 BQC850783:BQD850848 BZY850783:BZZ850848 CJU850783:CJV850848 CTQ850783:CTR850848 DDM850783:DDN850848 DNI850783:DNJ850848 DXE850783:DXF850848 EHA850783:EHB850848 EQW850783:EQX850848 FAS850783:FAT850848 FKO850783:FKP850848 FUK850783:FUL850848 GEG850783:GEH850848 GOC850783:GOD850848 GXY850783:GXZ850848 HHU850783:HHV850848 HRQ850783:HRR850848 IBM850783:IBN850848 ILI850783:ILJ850848 IVE850783:IVF850848 JFA850783:JFB850848 JOW850783:JOX850848 JYS850783:JYT850848 KIO850783:KIP850848 KSK850783:KSL850848 LCG850783:LCH850848 LMC850783:LMD850848 LVY850783:LVZ850848 MFU850783:MFV850848 MPQ850783:MPR850848 MZM850783:MZN850848 NJI850783:NJJ850848 NTE850783:NTF850848 ODA850783:ODB850848 OMW850783:OMX850848 OWS850783:OWT850848 PGO850783:PGP850848 PQK850783:PQL850848 QAG850783:QAH850848 QKC850783:QKD850848 QTY850783:QTZ850848 RDU850783:RDV850848 RNQ850783:RNR850848 RXM850783:RXN850848 SHI850783:SHJ850848 SRE850783:SRF850848 TBA850783:TBB850848 TKW850783:TKX850848 TUS850783:TUT850848 UEO850783:UEP850848 UOK850783:UOL850848 UYG850783:UYH850848 VIC850783:VID850848 VRY850783:VRZ850848 WBU850783:WBV850848 WLQ850783:WLR850848 WVM850783:WVN850848 E916319:F916384 JA916319:JB916384 SW916319:SX916384 ACS916319:ACT916384 AMO916319:AMP916384 AWK916319:AWL916384 BGG916319:BGH916384 BQC916319:BQD916384 BZY916319:BZZ916384 CJU916319:CJV916384 CTQ916319:CTR916384 DDM916319:DDN916384 DNI916319:DNJ916384 DXE916319:DXF916384 EHA916319:EHB916384 EQW916319:EQX916384 FAS916319:FAT916384 FKO916319:FKP916384 FUK916319:FUL916384 GEG916319:GEH916384 GOC916319:GOD916384 GXY916319:GXZ916384 HHU916319:HHV916384 HRQ916319:HRR916384 IBM916319:IBN916384 ILI916319:ILJ916384 IVE916319:IVF916384 JFA916319:JFB916384 JOW916319:JOX916384 JYS916319:JYT916384 KIO916319:KIP916384 KSK916319:KSL916384 LCG916319:LCH916384 LMC916319:LMD916384 LVY916319:LVZ916384 MFU916319:MFV916384 MPQ916319:MPR916384 MZM916319:MZN916384 NJI916319:NJJ916384 NTE916319:NTF916384 ODA916319:ODB916384 OMW916319:OMX916384 OWS916319:OWT916384 PGO916319:PGP916384 PQK916319:PQL916384 QAG916319:QAH916384 QKC916319:QKD916384 QTY916319:QTZ916384 RDU916319:RDV916384 RNQ916319:RNR916384 RXM916319:RXN916384 SHI916319:SHJ916384 SRE916319:SRF916384 TBA916319:TBB916384 TKW916319:TKX916384 TUS916319:TUT916384 UEO916319:UEP916384 UOK916319:UOL916384 UYG916319:UYH916384 VIC916319:VID916384 VRY916319:VRZ916384 WBU916319:WBV916384 WLQ916319:WLR916384 WVM916319:WVN916384 E981855:F981920 JA981855:JB981920 SW981855:SX981920 ACS981855:ACT981920 AMO981855:AMP981920 AWK981855:AWL981920 BGG981855:BGH981920 BQC981855:BQD981920 BZY981855:BZZ981920 CJU981855:CJV981920 CTQ981855:CTR981920 DDM981855:DDN981920 DNI981855:DNJ981920 DXE981855:DXF981920 EHA981855:EHB981920 EQW981855:EQX981920 FAS981855:FAT981920 FKO981855:FKP981920 FUK981855:FUL981920 GEG981855:GEH981920 GOC981855:GOD981920 GXY981855:GXZ981920 HHU981855:HHV981920 HRQ981855:HRR981920 IBM981855:IBN981920 ILI981855:ILJ981920 IVE981855:IVF981920 JFA981855:JFB981920 JOW981855:JOX981920 JYS981855:JYT981920 KIO981855:KIP981920 KSK981855:KSL981920 LCG981855:LCH981920 LMC981855:LMD981920 LVY981855:LVZ981920 MFU981855:MFV981920 MPQ981855:MPR981920 MZM981855:MZN981920 NJI981855:NJJ981920 NTE981855:NTF981920 ODA981855:ODB981920 OMW981855:OMX981920 OWS981855:OWT981920 PGO981855:PGP981920 PQK981855:PQL981920 QAG981855:QAH981920 QKC981855:QKD981920 QTY981855:QTZ981920 RDU981855:RDV981920 RNQ981855:RNR981920 RXM981855:RXN981920 SHI981855:SHJ981920 SRE981855:SRF981920 TBA981855:TBB981920 TKW981855:TKX981920 TUS981855:TUT981920 UEO981855:UEP981920 UOK981855:UOL981920 UYG981855:UYH981920 VIC981855:VID981920 VRY981855:VRZ981920 WBU981855:WBV981920 WLQ981855:WLR981920 WVM981855:WVN981920 E1047391:F1047456 JA1047391:JB1047456 SW1047391:SX1047456 ACS1047391:ACT1047456 AMO1047391:AMP1047456 AWK1047391:AWL1047456 BGG1047391:BGH1047456 BQC1047391:BQD1047456 BZY1047391:BZZ1047456 CJU1047391:CJV1047456 CTQ1047391:CTR1047456 DDM1047391:DDN1047456 DNI1047391:DNJ1047456 DXE1047391:DXF1047456 EHA1047391:EHB1047456 EQW1047391:EQX1047456 FAS1047391:FAT1047456 FKO1047391:FKP1047456 FUK1047391:FUL1047456 GEG1047391:GEH1047456 GOC1047391:GOD1047456 GXY1047391:GXZ1047456 HHU1047391:HHV1047456 HRQ1047391:HRR1047456 IBM1047391:IBN1047456 ILI1047391:ILJ1047456 IVE1047391:IVF1047456 JFA1047391:JFB1047456 JOW1047391:JOX1047456 JYS1047391:JYT1047456 KIO1047391:KIP1047456 KSK1047391:KSL1047456 LCG1047391:LCH1047456 LMC1047391:LMD1047456 LVY1047391:LVZ1047456 MFU1047391:MFV1047456 MPQ1047391:MPR1047456 MZM1047391:MZN1047456 NJI1047391:NJJ1047456 NTE1047391:NTF1047456 ODA1047391:ODB1047456 OMW1047391:OMX1047456 OWS1047391:OWT1047456 PGO1047391:PGP1047456 PQK1047391:PQL1047456 QAG1047391:QAH1047456 QKC1047391:QKD1047456 QTY1047391:QTZ1047456 RDU1047391:RDV1047456 RNQ1047391:RNR1047456 RXM1047391:RXN1047456 SHI1047391:SHJ1047456 SRE1047391:SRF1047456 TBA1047391:TBB1047456 TKW1047391:TKX1047456 TUS1047391:TUT1047456 UEO1047391:UEP1047456 UOK1047391:UOL1047456 UYG1047391:UYH1047456 VIC1047391:VID1047456 VRY1047391:VRZ1047456 WBU1047391:WBV1047456 WLQ1047391:WLR1047456 WVM1047391:WVN1047456 JA64351:JB64416 E65526:F65597 JA65526:JB65597 SW65526:SX65597 ACS65526:ACT65597 AMO65526:AMP65597 AWK65526:AWL65597 BGG65526:BGH65597 BQC65526:BQD65597 BZY65526:BZZ65597 CJU65526:CJV65597 CTQ65526:CTR65597 DDM65526:DDN65597 DNI65526:DNJ65597 DXE65526:DXF65597 EHA65526:EHB65597 EQW65526:EQX65597 FAS65526:FAT65597 FKO65526:FKP65597 FUK65526:FUL65597 GEG65526:GEH65597 GOC65526:GOD65597 GXY65526:GXZ65597 HHU65526:HHV65597 HRQ65526:HRR65597 IBM65526:IBN65597 ILI65526:ILJ65597 IVE65526:IVF65597 JFA65526:JFB65597 JOW65526:JOX65597 JYS65526:JYT65597 KIO65526:KIP65597 KSK65526:KSL65597 LCG65526:LCH65597 LMC65526:LMD65597 LVY65526:LVZ65597 MFU65526:MFV65597 MPQ65526:MPR65597 MZM65526:MZN65597 NJI65526:NJJ65597 NTE65526:NTF65597 ODA65526:ODB65597 OMW65526:OMX65597 OWS65526:OWT65597 PGO65526:PGP65597 PQK65526:PQL65597 QAG65526:QAH65597 QKC65526:QKD65597 QTY65526:QTZ65597 RDU65526:RDV65597 RNQ65526:RNR65597 RXM65526:RXN65597 SHI65526:SHJ65597 SRE65526:SRF65597 TBA65526:TBB65597 TKW65526:TKX65597 TUS65526:TUT65597 UEO65526:UEP65597 UOK65526:UOL65597 UYG65526:UYH65597 VIC65526:VID65597 VRY65526:VRZ65597 WBU65526:WBV65597 WLQ65526:WLR65597 WVM65526:WVN65597 E131062:F131133 JA131062:JB131133 SW131062:SX131133 ACS131062:ACT131133 AMO131062:AMP131133 AWK131062:AWL131133 BGG131062:BGH131133 BQC131062:BQD131133 BZY131062:BZZ131133 CJU131062:CJV131133 CTQ131062:CTR131133 DDM131062:DDN131133 DNI131062:DNJ131133 DXE131062:DXF131133 EHA131062:EHB131133 EQW131062:EQX131133 FAS131062:FAT131133 FKO131062:FKP131133 FUK131062:FUL131133 GEG131062:GEH131133 GOC131062:GOD131133 GXY131062:GXZ131133 HHU131062:HHV131133 HRQ131062:HRR131133 IBM131062:IBN131133 ILI131062:ILJ131133 IVE131062:IVF131133 JFA131062:JFB131133 JOW131062:JOX131133 JYS131062:JYT131133 KIO131062:KIP131133 KSK131062:KSL131133 LCG131062:LCH131133 LMC131062:LMD131133 LVY131062:LVZ131133 MFU131062:MFV131133 MPQ131062:MPR131133 MZM131062:MZN131133 NJI131062:NJJ131133 NTE131062:NTF131133 ODA131062:ODB131133 OMW131062:OMX131133 OWS131062:OWT131133 PGO131062:PGP131133 PQK131062:PQL131133 QAG131062:QAH131133 QKC131062:QKD131133 QTY131062:QTZ131133 RDU131062:RDV131133 RNQ131062:RNR131133 RXM131062:RXN131133 SHI131062:SHJ131133 SRE131062:SRF131133 TBA131062:TBB131133 TKW131062:TKX131133 TUS131062:TUT131133 UEO131062:UEP131133 UOK131062:UOL131133 UYG131062:UYH131133 VIC131062:VID131133 VRY131062:VRZ131133 WBU131062:WBV131133 WLQ131062:WLR131133 WVM131062:WVN131133 E196598:F196669 JA196598:JB196669 SW196598:SX196669 ACS196598:ACT196669 AMO196598:AMP196669 AWK196598:AWL196669 BGG196598:BGH196669 BQC196598:BQD196669 BZY196598:BZZ196669 CJU196598:CJV196669 CTQ196598:CTR196669 DDM196598:DDN196669 DNI196598:DNJ196669 DXE196598:DXF196669 EHA196598:EHB196669 EQW196598:EQX196669 FAS196598:FAT196669 FKO196598:FKP196669 FUK196598:FUL196669 GEG196598:GEH196669 GOC196598:GOD196669 GXY196598:GXZ196669 HHU196598:HHV196669 HRQ196598:HRR196669 IBM196598:IBN196669 ILI196598:ILJ196669 IVE196598:IVF196669 JFA196598:JFB196669 JOW196598:JOX196669 JYS196598:JYT196669 KIO196598:KIP196669 KSK196598:KSL196669 LCG196598:LCH196669 LMC196598:LMD196669 LVY196598:LVZ196669 MFU196598:MFV196669 MPQ196598:MPR196669 MZM196598:MZN196669 NJI196598:NJJ196669 NTE196598:NTF196669 ODA196598:ODB196669 OMW196598:OMX196669 OWS196598:OWT196669 PGO196598:PGP196669 PQK196598:PQL196669 QAG196598:QAH196669 QKC196598:QKD196669 QTY196598:QTZ196669 RDU196598:RDV196669 RNQ196598:RNR196669 RXM196598:RXN196669 SHI196598:SHJ196669 SRE196598:SRF196669 TBA196598:TBB196669 TKW196598:TKX196669 TUS196598:TUT196669 UEO196598:UEP196669 UOK196598:UOL196669 UYG196598:UYH196669 VIC196598:VID196669 VRY196598:VRZ196669 WBU196598:WBV196669 WLQ196598:WLR196669 WVM196598:WVN196669 E262134:F262205 JA262134:JB262205 SW262134:SX262205 ACS262134:ACT262205 AMO262134:AMP262205 AWK262134:AWL262205 BGG262134:BGH262205 BQC262134:BQD262205 BZY262134:BZZ262205 CJU262134:CJV262205 CTQ262134:CTR262205 DDM262134:DDN262205 DNI262134:DNJ262205 DXE262134:DXF262205 EHA262134:EHB262205 EQW262134:EQX262205 FAS262134:FAT262205 FKO262134:FKP262205 FUK262134:FUL262205 GEG262134:GEH262205 GOC262134:GOD262205 GXY262134:GXZ262205 HHU262134:HHV262205 HRQ262134:HRR262205 IBM262134:IBN262205 ILI262134:ILJ262205 IVE262134:IVF262205 JFA262134:JFB262205 JOW262134:JOX262205 JYS262134:JYT262205 KIO262134:KIP262205 KSK262134:KSL262205 LCG262134:LCH262205 LMC262134:LMD262205 LVY262134:LVZ262205 MFU262134:MFV262205 MPQ262134:MPR262205 MZM262134:MZN262205 NJI262134:NJJ262205 NTE262134:NTF262205 ODA262134:ODB262205 OMW262134:OMX262205 OWS262134:OWT262205 PGO262134:PGP262205 PQK262134:PQL262205 QAG262134:QAH262205 QKC262134:QKD262205 QTY262134:QTZ262205 RDU262134:RDV262205 RNQ262134:RNR262205 RXM262134:RXN262205 SHI262134:SHJ262205 SRE262134:SRF262205 TBA262134:TBB262205 TKW262134:TKX262205 TUS262134:TUT262205 UEO262134:UEP262205 UOK262134:UOL262205 UYG262134:UYH262205 VIC262134:VID262205 VRY262134:VRZ262205 WBU262134:WBV262205 WLQ262134:WLR262205 WVM262134:WVN262205 E327670:F327741 JA327670:JB327741 SW327670:SX327741 ACS327670:ACT327741 AMO327670:AMP327741 AWK327670:AWL327741 BGG327670:BGH327741 BQC327670:BQD327741 BZY327670:BZZ327741 CJU327670:CJV327741 CTQ327670:CTR327741 DDM327670:DDN327741 DNI327670:DNJ327741 DXE327670:DXF327741 EHA327670:EHB327741 EQW327670:EQX327741 FAS327670:FAT327741 FKO327670:FKP327741 FUK327670:FUL327741 GEG327670:GEH327741 GOC327670:GOD327741 GXY327670:GXZ327741 HHU327670:HHV327741 HRQ327670:HRR327741 IBM327670:IBN327741 ILI327670:ILJ327741 IVE327670:IVF327741 JFA327670:JFB327741 JOW327670:JOX327741 JYS327670:JYT327741 KIO327670:KIP327741 KSK327670:KSL327741 LCG327670:LCH327741 LMC327670:LMD327741 LVY327670:LVZ327741 MFU327670:MFV327741 MPQ327670:MPR327741 MZM327670:MZN327741 NJI327670:NJJ327741 NTE327670:NTF327741 ODA327670:ODB327741 OMW327670:OMX327741 OWS327670:OWT327741 PGO327670:PGP327741 PQK327670:PQL327741 QAG327670:QAH327741 QKC327670:QKD327741 QTY327670:QTZ327741 RDU327670:RDV327741 RNQ327670:RNR327741 RXM327670:RXN327741 SHI327670:SHJ327741 SRE327670:SRF327741 TBA327670:TBB327741 TKW327670:TKX327741 TUS327670:TUT327741 UEO327670:UEP327741 UOK327670:UOL327741 UYG327670:UYH327741 VIC327670:VID327741 VRY327670:VRZ327741 WBU327670:WBV327741 WLQ327670:WLR327741 WVM327670:WVN327741 E393206:F393277 JA393206:JB393277 SW393206:SX393277 ACS393206:ACT393277 AMO393206:AMP393277 AWK393206:AWL393277 BGG393206:BGH393277 BQC393206:BQD393277 BZY393206:BZZ393277 CJU393206:CJV393277 CTQ393206:CTR393277 DDM393206:DDN393277 DNI393206:DNJ393277 DXE393206:DXF393277 EHA393206:EHB393277 EQW393206:EQX393277 FAS393206:FAT393277 FKO393206:FKP393277 FUK393206:FUL393277 GEG393206:GEH393277 GOC393206:GOD393277 GXY393206:GXZ393277 HHU393206:HHV393277 HRQ393206:HRR393277 IBM393206:IBN393277 ILI393206:ILJ393277 IVE393206:IVF393277 JFA393206:JFB393277 JOW393206:JOX393277 JYS393206:JYT393277 KIO393206:KIP393277 KSK393206:KSL393277 LCG393206:LCH393277 LMC393206:LMD393277 LVY393206:LVZ393277 MFU393206:MFV393277 MPQ393206:MPR393277 MZM393206:MZN393277 NJI393206:NJJ393277 NTE393206:NTF393277 ODA393206:ODB393277 OMW393206:OMX393277 OWS393206:OWT393277 PGO393206:PGP393277 PQK393206:PQL393277 QAG393206:QAH393277 QKC393206:QKD393277 QTY393206:QTZ393277 RDU393206:RDV393277 RNQ393206:RNR393277 RXM393206:RXN393277 SHI393206:SHJ393277 SRE393206:SRF393277 TBA393206:TBB393277 TKW393206:TKX393277 TUS393206:TUT393277 UEO393206:UEP393277 UOK393206:UOL393277 UYG393206:UYH393277 VIC393206:VID393277 VRY393206:VRZ393277 WBU393206:WBV393277 WLQ393206:WLR393277 WVM393206:WVN393277 E458742:F458813 JA458742:JB458813 SW458742:SX458813 ACS458742:ACT458813 AMO458742:AMP458813 AWK458742:AWL458813 BGG458742:BGH458813 BQC458742:BQD458813 BZY458742:BZZ458813 CJU458742:CJV458813 CTQ458742:CTR458813 DDM458742:DDN458813 DNI458742:DNJ458813 DXE458742:DXF458813 EHA458742:EHB458813 EQW458742:EQX458813 FAS458742:FAT458813 FKO458742:FKP458813 FUK458742:FUL458813 GEG458742:GEH458813 GOC458742:GOD458813 GXY458742:GXZ458813 HHU458742:HHV458813 HRQ458742:HRR458813 IBM458742:IBN458813 ILI458742:ILJ458813 IVE458742:IVF458813 JFA458742:JFB458813 JOW458742:JOX458813 JYS458742:JYT458813 KIO458742:KIP458813 KSK458742:KSL458813 LCG458742:LCH458813 LMC458742:LMD458813 LVY458742:LVZ458813 MFU458742:MFV458813 MPQ458742:MPR458813 MZM458742:MZN458813 NJI458742:NJJ458813 NTE458742:NTF458813 ODA458742:ODB458813 OMW458742:OMX458813 OWS458742:OWT458813 PGO458742:PGP458813 PQK458742:PQL458813 QAG458742:QAH458813 QKC458742:QKD458813 QTY458742:QTZ458813 RDU458742:RDV458813 RNQ458742:RNR458813 RXM458742:RXN458813 SHI458742:SHJ458813 SRE458742:SRF458813 TBA458742:TBB458813 TKW458742:TKX458813 TUS458742:TUT458813 UEO458742:UEP458813 UOK458742:UOL458813 UYG458742:UYH458813 VIC458742:VID458813 VRY458742:VRZ458813 WBU458742:WBV458813 WLQ458742:WLR458813 WVM458742:WVN458813 E524278:F524349 JA524278:JB524349 SW524278:SX524349 ACS524278:ACT524349 AMO524278:AMP524349 AWK524278:AWL524349 BGG524278:BGH524349 BQC524278:BQD524349 BZY524278:BZZ524349 CJU524278:CJV524349 CTQ524278:CTR524349 DDM524278:DDN524349 DNI524278:DNJ524349 DXE524278:DXF524349 EHA524278:EHB524349 EQW524278:EQX524349 FAS524278:FAT524349 FKO524278:FKP524349 FUK524278:FUL524349 GEG524278:GEH524349 GOC524278:GOD524349 GXY524278:GXZ524349 HHU524278:HHV524349 HRQ524278:HRR524349 IBM524278:IBN524349 ILI524278:ILJ524349 IVE524278:IVF524349 JFA524278:JFB524349 JOW524278:JOX524349 JYS524278:JYT524349 KIO524278:KIP524349 KSK524278:KSL524349 LCG524278:LCH524349 LMC524278:LMD524349 LVY524278:LVZ524349 MFU524278:MFV524349 MPQ524278:MPR524349 MZM524278:MZN524349 NJI524278:NJJ524349 NTE524278:NTF524349 ODA524278:ODB524349 OMW524278:OMX524349 OWS524278:OWT524349 PGO524278:PGP524349 PQK524278:PQL524349 QAG524278:QAH524349 QKC524278:QKD524349 QTY524278:QTZ524349 RDU524278:RDV524349 RNQ524278:RNR524349 RXM524278:RXN524349 SHI524278:SHJ524349 SRE524278:SRF524349 TBA524278:TBB524349 TKW524278:TKX524349 TUS524278:TUT524349 UEO524278:UEP524349 UOK524278:UOL524349 UYG524278:UYH524349 VIC524278:VID524349 VRY524278:VRZ524349 WBU524278:WBV524349 WLQ524278:WLR524349 WVM524278:WVN524349 E589814:F589885 JA589814:JB589885 SW589814:SX589885 ACS589814:ACT589885 AMO589814:AMP589885 AWK589814:AWL589885 BGG589814:BGH589885 BQC589814:BQD589885 BZY589814:BZZ589885 CJU589814:CJV589885 CTQ589814:CTR589885 DDM589814:DDN589885 DNI589814:DNJ589885 DXE589814:DXF589885 EHA589814:EHB589885 EQW589814:EQX589885 FAS589814:FAT589885 FKO589814:FKP589885 FUK589814:FUL589885 GEG589814:GEH589885 GOC589814:GOD589885 GXY589814:GXZ589885 HHU589814:HHV589885 HRQ589814:HRR589885 IBM589814:IBN589885 ILI589814:ILJ589885 IVE589814:IVF589885 JFA589814:JFB589885 JOW589814:JOX589885 JYS589814:JYT589885 KIO589814:KIP589885 KSK589814:KSL589885 LCG589814:LCH589885 LMC589814:LMD589885 LVY589814:LVZ589885 MFU589814:MFV589885 MPQ589814:MPR589885 MZM589814:MZN589885 NJI589814:NJJ589885 NTE589814:NTF589885 ODA589814:ODB589885 OMW589814:OMX589885 OWS589814:OWT589885 PGO589814:PGP589885 PQK589814:PQL589885 QAG589814:QAH589885 QKC589814:QKD589885 QTY589814:QTZ589885 RDU589814:RDV589885 RNQ589814:RNR589885 RXM589814:RXN589885 SHI589814:SHJ589885 SRE589814:SRF589885 TBA589814:TBB589885 TKW589814:TKX589885 TUS589814:TUT589885 UEO589814:UEP589885 UOK589814:UOL589885 UYG589814:UYH589885 VIC589814:VID589885 VRY589814:VRZ589885 WBU589814:WBV589885 WLQ589814:WLR589885 WVM589814:WVN589885 E655350:F655421 JA655350:JB655421 SW655350:SX655421 ACS655350:ACT655421 AMO655350:AMP655421 AWK655350:AWL655421 BGG655350:BGH655421 BQC655350:BQD655421 BZY655350:BZZ655421 CJU655350:CJV655421 CTQ655350:CTR655421 DDM655350:DDN655421 DNI655350:DNJ655421 DXE655350:DXF655421 EHA655350:EHB655421 EQW655350:EQX655421 FAS655350:FAT655421 FKO655350:FKP655421 FUK655350:FUL655421 GEG655350:GEH655421 GOC655350:GOD655421 GXY655350:GXZ655421 HHU655350:HHV655421 HRQ655350:HRR655421 IBM655350:IBN655421 ILI655350:ILJ655421 IVE655350:IVF655421 JFA655350:JFB655421 JOW655350:JOX655421 JYS655350:JYT655421 KIO655350:KIP655421 KSK655350:KSL655421 LCG655350:LCH655421 LMC655350:LMD655421 LVY655350:LVZ655421 MFU655350:MFV655421 MPQ655350:MPR655421 MZM655350:MZN655421 NJI655350:NJJ655421 NTE655350:NTF655421 ODA655350:ODB655421 OMW655350:OMX655421 OWS655350:OWT655421 PGO655350:PGP655421 PQK655350:PQL655421 QAG655350:QAH655421 QKC655350:QKD655421 QTY655350:QTZ655421 RDU655350:RDV655421 RNQ655350:RNR655421 RXM655350:RXN655421 SHI655350:SHJ655421 SRE655350:SRF655421 TBA655350:TBB655421 TKW655350:TKX655421 TUS655350:TUT655421 UEO655350:UEP655421 UOK655350:UOL655421 UYG655350:UYH655421 VIC655350:VID655421 VRY655350:VRZ655421 WBU655350:WBV655421 WLQ655350:WLR655421 WVM655350:WVN655421 E720886:F720957 JA720886:JB720957 SW720886:SX720957 ACS720886:ACT720957 AMO720886:AMP720957 AWK720886:AWL720957 BGG720886:BGH720957 BQC720886:BQD720957 BZY720886:BZZ720957 CJU720886:CJV720957 CTQ720886:CTR720957 DDM720886:DDN720957 DNI720886:DNJ720957 DXE720886:DXF720957 EHA720886:EHB720957 EQW720886:EQX720957 FAS720886:FAT720957 FKO720886:FKP720957 FUK720886:FUL720957 GEG720886:GEH720957 GOC720886:GOD720957 GXY720886:GXZ720957 HHU720886:HHV720957 HRQ720886:HRR720957 IBM720886:IBN720957 ILI720886:ILJ720957 IVE720886:IVF720957 JFA720886:JFB720957 JOW720886:JOX720957 JYS720886:JYT720957 KIO720886:KIP720957 KSK720886:KSL720957 LCG720886:LCH720957 LMC720886:LMD720957 LVY720886:LVZ720957 MFU720886:MFV720957 MPQ720886:MPR720957 MZM720886:MZN720957 NJI720886:NJJ720957 NTE720886:NTF720957 ODA720886:ODB720957 OMW720886:OMX720957 OWS720886:OWT720957 PGO720886:PGP720957 PQK720886:PQL720957 QAG720886:QAH720957 QKC720886:QKD720957 QTY720886:QTZ720957 RDU720886:RDV720957 RNQ720886:RNR720957 RXM720886:RXN720957 SHI720886:SHJ720957 SRE720886:SRF720957 TBA720886:TBB720957 TKW720886:TKX720957 TUS720886:TUT720957 UEO720886:UEP720957 UOK720886:UOL720957 UYG720886:UYH720957 VIC720886:VID720957 VRY720886:VRZ720957 WBU720886:WBV720957 WLQ720886:WLR720957 WVM720886:WVN720957 E786422:F786493 JA786422:JB786493 SW786422:SX786493 ACS786422:ACT786493 AMO786422:AMP786493 AWK786422:AWL786493 BGG786422:BGH786493 BQC786422:BQD786493 BZY786422:BZZ786493 CJU786422:CJV786493 CTQ786422:CTR786493 DDM786422:DDN786493 DNI786422:DNJ786493 DXE786422:DXF786493 EHA786422:EHB786493 EQW786422:EQX786493 FAS786422:FAT786493 FKO786422:FKP786493 FUK786422:FUL786493 GEG786422:GEH786493 GOC786422:GOD786493 GXY786422:GXZ786493 HHU786422:HHV786493 HRQ786422:HRR786493 IBM786422:IBN786493 ILI786422:ILJ786493 IVE786422:IVF786493 JFA786422:JFB786493 JOW786422:JOX786493 JYS786422:JYT786493 KIO786422:KIP786493 KSK786422:KSL786493 LCG786422:LCH786493 LMC786422:LMD786493 LVY786422:LVZ786493 MFU786422:MFV786493 MPQ786422:MPR786493 MZM786422:MZN786493 NJI786422:NJJ786493 NTE786422:NTF786493 ODA786422:ODB786493 OMW786422:OMX786493 OWS786422:OWT786493 PGO786422:PGP786493 PQK786422:PQL786493 QAG786422:QAH786493 QKC786422:QKD786493 QTY786422:QTZ786493 RDU786422:RDV786493 RNQ786422:RNR786493 RXM786422:RXN786493 SHI786422:SHJ786493 SRE786422:SRF786493 TBA786422:TBB786493 TKW786422:TKX786493 TUS786422:TUT786493 UEO786422:UEP786493 UOK786422:UOL786493 UYG786422:UYH786493 VIC786422:VID786493 VRY786422:VRZ786493 WBU786422:WBV786493 WLQ786422:WLR786493 WVM786422:WVN786493 E851958:F852029 JA851958:JB852029 SW851958:SX852029 ACS851958:ACT852029 AMO851958:AMP852029 AWK851958:AWL852029 BGG851958:BGH852029 BQC851958:BQD852029 BZY851958:BZZ852029 CJU851958:CJV852029 CTQ851958:CTR852029 DDM851958:DDN852029 DNI851958:DNJ852029 DXE851958:DXF852029 EHA851958:EHB852029 EQW851958:EQX852029 FAS851958:FAT852029 FKO851958:FKP852029 FUK851958:FUL852029 GEG851958:GEH852029 GOC851958:GOD852029 GXY851958:GXZ852029 HHU851958:HHV852029 HRQ851958:HRR852029 IBM851958:IBN852029 ILI851958:ILJ852029 IVE851958:IVF852029 JFA851958:JFB852029 JOW851958:JOX852029 JYS851958:JYT852029 KIO851958:KIP852029 KSK851958:KSL852029 LCG851958:LCH852029 LMC851958:LMD852029 LVY851958:LVZ852029 MFU851958:MFV852029 MPQ851958:MPR852029 MZM851958:MZN852029 NJI851958:NJJ852029 NTE851958:NTF852029 ODA851958:ODB852029 OMW851958:OMX852029 OWS851958:OWT852029 PGO851958:PGP852029 PQK851958:PQL852029 QAG851958:QAH852029 QKC851958:QKD852029 QTY851958:QTZ852029 RDU851958:RDV852029 RNQ851958:RNR852029 RXM851958:RXN852029 SHI851958:SHJ852029 SRE851958:SRF852029 TBA851958:TBB852029 TKW851958:TKX852029 TUS851958:TUT852029 UEO851958:UEP852029 UOK851958:UOL852029 UYG851958:UYH852029 VIC851958:VID852029 VRY851958:VRZ852029 WBU851958:WBV852029 WLQ851958:WLR852029 WVM851958:WVN852029 E917494:F917565 JA917494:JB917565 SW917494:SX917565 ACS917494:ACT917565 AMO917494:AMP917565 AWK917494:AWL917565 BGG917494:BGH917565 BQC917494:BQD917565 BZY917494:BZZ917565 CJU917494:CJV917565 CTQ917494:CTR917565 DDM917494:DDN917565 DNI917494:DNJ917565 DXE917494:DXF917565 EHA917494:EHB917565 EQW917494:EQX917565 FAS917494:FAT917565 FKO917494:FKP917565 FUK917494:FUL917565 GEG917494:GEH917565 GOC917494:GOD917565 GXY917494:GXZ917565 HHU917494:HHV917565 HRQ917494:HRR917565 IBM917494:IBN917565 ILI917494:ILJ917565 IVE917494:IVF917565 JFA917494:JFB917565 JOW917494:JOX917565 JYS917494:JYT917565 KIO917494:KIP917565 KSK917494:KSL917565 LCG917494:LCH917565 LMC917494:LMD917565 LVY917494:LVZ917565 MFU917494:MFV917565 MPQ917494:MPR917565 MZM917494:MZN917565 NJI917494:NJJ917565 NTE917494:NTF917565 ODA917494:ODB917565 OMW917494:OMX917565 OWS917494:OWT917565 PGO917494:PGP917565 PQK917494:PQL917565 QAG917494:QAH917565 QKC917494:QKD917565 QTY917494:QTZ917565 RDU917494:RDV917565 RNQ917494:RNR917565 RXM917494:RXN917565 SHI917494:SHJ917565 SRE917494:SRF917565 TBA917494:TBB917565 TKW917494:TKX917565 TUS917494:TUT917565 UEO917494:UEP917565 UOK917494:UOL917565 UYG917494:UYH917565 VIC917494:VID917565 VRY917494:VRZ917565 WBU917494:WBV917565 WLQ917494:WLR917565 WVM917494:WVN917565 E983030:F983101 JA983030:JB983101 SW983030:SX983101 ACS983030:ACT983101 AMO983030:AMP983101 AWK983030:AWL983101 BGG983030:BGH983101 BQC983030:BQD983101 BZY983030:BZZ983101 CJU983030:CJV983101 CTQ983030:CTR983101 DDM983030:DDN983101 DNI983030:DNJ983101 DXE983030:DXF983101 EHA983030:EHB983101 EQW983030:EQX983101 FAS983030:FAT983101 FKO983030:FKP983101 FUK983030:FUL983101 GEG983030:GEH983101 GOC983030:GOD983101 GXY983030:GXZ983101 HHU983030:HHV983101 HRQ983030:HRR983101 IBM983030:IBN983101 ILI983030:ILJ983101 IVE983030:IVF983101 JFA983030:JFB983101 JOW983030:JOX983101 JYS983030:JYT983101 KIO983030:KIP983101 KSK983030:KSL983101 LCG983030:LCH983101 LMC983030:LMD983101 LVY983030:LVZ983101 MFU983030:MFV983101 MPQ983030:MPR983101 MZM983030:MZN983101 NJI983030:NJJ983101 NTE983030:NTF983101 ODA983030:ODB983101 OMW983030:OMX983101 OWS983030:OWT983101 PGO983030:PGP983101 PQK983030:PQL983101 QAG983030:QAH983101 QKC983030:QKD983101 QTY983030:QTZ983101 RDU983030:RDV983101 RNQ983030:RNR983101 RXM983030:RXN983101 SHI983030:SHJ983101 SRE983030:SRF983101 TBA983030:TBB983101 TKW983030:TKX983101 TUS983030:TUT983101 UEO983030:UEP983101 UOK983030:UOL983101 UYG983030:UYH983101 VIC983030:VID983101 VRY983030:VRZ983101 WBU983030:WBV983101 WLQ983030:WLR983101 JA2:JB67 WVM2:WVN67 WLQ2:WLR67 WBU2:WBV67 VRY2:VRZ67 VIC2:VID67 UYG2:UYH67 UOK2:UOL67 UEO2:UEP67 TUS2:TUT67 TKW2:TKX67 TBA2:TBB67 SRE2:SRF67 SHI2:SHJ67 RXM2:RXN67 RNQ2:RNR67 RDU2:RDV67 QTY2:QTZ67 QKC2:QKD67 QAG2:QAH67 PQK2:PQL67 PGO2:PGP67 OWS2:OWT67 OMW2:OMX67 ODA2:ODB67 NTE2:NTF67 NJI2:NJJ67 MZM2:MZN67 MPQ2:MPR67 MFU2:MFV67 LVY2:LVZ67 LMC2:LMD67 LCG2:LCH67 KSK2:KSL67 KIO2:KIP67 JYS2:JYT67 JOW2:JOX67 JFA2:JFB67 IVE2:IVF67 ILI2:ILJ67 IBM2:IBN67 HRQ2:HRR67 HHU2:HHV67 GXY2:GXZ67 GOC2:GOD67 GEG2:GEH67 FUK2:FUL67 FKO2:FKP67 FAS2:FAT67 EQW2:EQX67 EHA2:EHB67 DXE2:DXF67 DNI2:DNJ67 DDM2:DDN67 CTQ2:CTR67 CJU2:CJV67 BZY2:BZZ67 BQC2:BQD67 BGG2:BGH67 AWK2:AWL67 AMO2:AMP67 ACS2:ACT67 SW2:SX67">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H34" sqref="H34"/>
    </sheetView>
  </sheetViews>
  <sheetFormatPr defaultRowHeight="13.5" x14ac:dyDescent="0.15"/>
  <cols>
    <col min="1" max="3" width="9" style="207"/>
    <col min="4" max="4" width="10.5" style="207" bestFit="1" customWidth="1"/>
    <col min="5" max="7" width="9" style="207"/>
    <col min="8" max="8" width="9.375" style="207" bestFit="1" customWidth="1"/>
    <col min="9" max="16" width="9" style="207"/>
    <col min="17" max="17" width="9" style="216"/>
    <col min="18" max="19" width="9" style="207"/>
    <col min="20" max="20" width="9" style="216"/>
    <col min="21" max="21" width="9" style="207"/>
    <col min="22" max="22" width="9" style="216"/>
    <col min="23" max="32" width="9" style="207"/>
    <col min="33" max="33" width="16.875" style="207" bestFit="1" customWidth="1"/>
    <col min="34" max="34" width="15.625" style="207" customWidth="1"/>
    <col min="35" max="39" width="9" style="143"/>
    <col min="40" max="16384" width="9" style="207"/>
  </cols>
  <sheetData>
    <row r="1" spans="1:53" ht="45" x14ac:dyDescent="0.15">
      <c r="A1" s="239" t="s">
        <v>0</v>
      </c>
      <c r="B1" s="201" t="s">
        <v>1</v>
      </c>
      <c r="C1" s="201" t="s">
        <v>502</v>
      </c>
      <c r="D1" s="202" t="s">
        <v>3</v>
      </c>
      <c r="E1" s="240" t="s">
        <v>4</v>
      </c>
      <c r="F1" s="240" t="s">
        <v>5</v>
      </c>
      <c r="G1" s="240" t="s">
        <v>6</v>
      </c>
      <c r="H1" s="240" t="s">
        <v>7</v>
      </c>
      <c r="I1" s="240" t="s">
        <v>8</v>
      </c>
      <c r="J1" s="240" t="s">
        <v>9</v>
      </c>
      <c r="K1" s="200" t="s">
        <v>10</v>
      </c>
      <c r="L1" s="202" t="s">
        <v>503</v>
      </c>
      <c r="M1" s="202" t="s">
        <v>12</v>
      </c>
      <c r="N1" s="202" t="s">
        <v>13</v>
      </c>
      <c r="O1" s="202" t="s">
        <v>504</v>
      </c>
      <c r="P1" s="202" t="s">
        <v>505</v>
      </c>
      <c r="Q1" s="203" t="s">
        <v>16</v>
      </c>
      <c r="R1" s="202" t="s">
        <v>506</v>
      </c>
      <c r="S1" s="202" t="s">
        <v>507</v>
      </c>
      <c r="T1" s="203" t="s">
        <v>19</v>
      </c>
      <c r="U1" s="204" t="s">
        <v>108</v>
      </c>
      <c r="V1" s="205" t="s">
        <v>20</v>
      </c>
      <c r="W1" s="202" t="s">
        <v>21</v>
      </c>
      <c r="X1" s="240" t="s">
        <v>22</v>
      </c>
      <c r="Y1" s="240" t="s">
        <v>23</v>
      </c>
      <c r="Z1" s="240" t="s">
        <v>24</v>
      </c>
      <c r="AA1" s="241" t="s">
        <v>25</v>
      </c>
      <c r="AB1" s="206" t="s">
        <v>508</v>
      </c>
      <c r="AE1" s="208" t="s">
        <v>0</v>
      </c>
      <c r="AF1" s="209"/>
      <c r="AG1" s="208" t="s">
        <v>4</v>
      </c>
      <c r="AH1" s="208" t="s">
        <v>5</v>
      </c>
      <c r="AI1" s="162"/>
      <c r="AJ1" s="163" t="s">
        <v>6</v>
      </c>
      <c r="AK1" s="162"/>
      <c r="AL1" s="164" t="s">
        <v>7</v>
      </c>
      <c r="AM1" s="162"/>
      <c r="AN1" s="210" t="s">
        <v>8</v>
      </c>
      <c r="AO1" s="209"/>
      <c r="AP1" s="210" t="s">
        <v>27</v>
      </c>
      <c r="AQ1" s="209"/>
      <c r="AR1" s="210" t="s">
        <v>10</v>
      </c>
      <c r="AS1" s="209"/>
      <c r="AT1" s="211" t="s">
        <v>28</v>
      </c>
      <c r="AU1" s="209"/>
      <c r="AV1" s="210" t="s">
        <v>29</v>
      </c>
      <c r="AX1" s="212" t="s">
        <v>509</v>
      </c>
      <c r="AY1" s="213" t="s">
        <v>510</v>
      </c>
      <c r="AZ1" s="213" t="s">
        <v>511</v>
      </c>
      <c r="BA1" s="214" t="s">
        <v>512</v>
      </c>
    </row>
    <row r="2" spans="1:53" x14ac:dyDescent="0.15">
      <c r="A2" s="165" t="s">
        <v>34</v>
      </c>
      <c r="B2" s="165" t="s">
        <v>513</v>
      </c>
      <c r="C2" s="165">
        <v>2018</v>
      </c>
      <c r="D2" s="166" t="s">
        <v>514</v>
      </c>
      <c r="E2" s="165" t="s">
        <v>515</v>
      </c>
      <c r="F2" s="165" t="s">
        <v>275</v>
      </c>
      <c r="G2" s="167" t="s">
        <v>36</v>
      </c>
      <c r="H2" s="168" t="s">
        <v>155</v>
      </c>
      <c r="I2" s="137" t="s">
        <v>153</v>
      </c>
      <c r="J2" s="199" t="s">
        <v>38</v>
      </c>
      <c r="K2" s="137" t="s">
        <v>154</v>
      </c>
      <c r="L2" s="169">
        <v>1</v>
      </c>
      <c r="M2" s="170"/>
      <c r="N2" s="170">
        <v>1</v>
      </c>
      <c r="O2" s="170">
        <v>0.7</v>
      </c>
      <c r="P2" s="170">
        <v>0.6</v>
      </c>
      <c r="Q2" s="171">
        <f t="shared" ref="Q2:Q65" si="0">IF(OR(O2="",P2=""),"",AVERAGE(O2,P2))</f>
        <v>0.64999999999999991</v>
      </c>
      <c r="R2" s="172">
        <v>14.1</v>
      </c>
      <c r="S2" s="168">
        <v>123</v>
      </c>
      <c r="T2" s="173">
        <f t="shared" ref="T2:T65" si="1">IF(H2="","",IF(OR(H2="GREEN",H2="GK"),IF(S2&gt;=$AX$2,VLOOKUP(S2,$AX$2:$AY$7,2,1),""),IF(S2&gt;=$AZ$2,VLOOKUP(S2,$AZ$2:$BA$7,2,1),"")))</f>
        <v>30</v>
      </c>
      <c r="U2" s="137">
        <v>84</v>
      </c>
      <c r="V2" s="173">
        <f t="shared" ref="V2:V65" si="2">IF(OR(N2="",U2="",T2=""),"",U2/N2*T2)</f>
        <v>2520</v>
      </c>
      <c r="W2" s="174">
        <v>4</v>
      </c>
      <c r="X2" s="175" t="s">
        <v>46</v>
      </c>
      <c r="Y2" s="175" t="s">
        <v>50</v>
      </c>
      <c r="Z2" s="175" t="s">
        <v>90</v>
      </c>
      <c r="AA2" s="176" t="s">
        <v>84</v>
      </c>
      <c r="AB2" s="55" t="s">
        <v>516</v>
      </c>
      <c r="AE2" s="217" t="s">
        <v>35</v>
      </c>
      <c r="AG2" s="242" t="s">
        <v>517</v>
      </c>
      <c r="AH2" s="242" t="s">
        <v>276</v>
      </c>
      <c r="AJ2" s="144" t="s">
        <v>36</v>
      </c>
      <c r="AL2" s="218" t="s">
        <v>127</v>
      </c>
      <c r="AN2" s="218" t="s">
        <v>37</v>
      </c>
      <c r="AO2" s="215"/>
      <c r="AP2" s="218" t="s">
        <v>38</v>
      </c>
      <c r="AQ2" s="215"/>
      <c r="AR2" s="218" t="s">
        <v>518</v>
      </c>
      <c r="AS2" s="215"/>
      <c r="AT2" s="218" t="s">
        <v>39</v>
      </c>
      <c r="AU2" s="215"/>
      <c r="AV2" s="247" t="s">
        <v>40</v>
      </c>
      <c r="AW2" s="215"/>
      <c r="AX2" s="219">
        <v>1</v>
      </c>
      <c r="AY2" s="220">
        <v>50</v>
      </c>
      <c r="AZ2" s="220">
        <v>1</v>
      </c>
      <c r="BA2" s="221">
        <v>50</v>
      </c>
    </row>
    <row r="3" spans="1:53" x14ac:dyDescent="0.15">
      <c r="A3" s="177" t="s">
        <v>34</v>
      </c>
      <c r="B3" s="177" t="s">
        <v>334</v>
      </c>
      <c r="C3" s="178">
        <v>2018</v>
      </c>
      <c r="D3" s="259" t="s">
        <v>429</v>
      </c>
      <c r="E3" s="177" t="s">
        <v>515</v>
      </c>
      <c r="F3" s="177" t="s">
        <v>275</v>
      </c>
      <c r="G3" s="179" t="s">
        <v>36</v>
      </c>
      <c r="H3" s="137" t="s">
        <v>155</v>
      </c>
      <c r="I3" s="137" t="s">
        <v>153</v>
      </c>
      <c r="J3" s="137" t="s">
        <v>38</v>
      </c>
      <c r="K3" s="137" t="s">
        <v>154</v>
      </c>
      <c r="L3" s="207">
        <v>2</v>
      </c>
      <c r="N3" s="207">
        <v>1</v>
      </c>
      <c r="O3" s="207">
        <v>0.55000000000000004</v>
      </c>
      <c r="P3" s="234">
        <v>0.6</v>
      </c>
      <c r="Q3" s="180">
        <f t="shared" si="0"/>
        <v>0.57499999999999996</v>
      </c>
      <c r="R3" s="181">
        <v>14.7</v>
      </c>
      <c r="S3" s="181">
        <v>118</v>
      </c>
      <c r="T3" s="216">
        <f t="shared" si="1"/>
        <v>30</v>
      </c>
      <c r="U3" s="182">
        <v>84</v>
      </c>
      <c r="V3" s="183">
        <f t="shared" si="2"/>
        <v>2520</v>
      </c>
      <c r="W3" s="184">
        <v>4</v>
      </c>
      <c r="X3" s="185" t="s">
        <v>46</v>
      </c>
      <c r="Y3" s="185" t="s">
        <v>50</v>
      </c>
      <c r="Z3" s="185" t="s">
        <v>90</v>
      </c>
      <c r="AA3" s="176" t="s">
        <v>84</v>
      </c>
      <c r="AB3" s="55" t="s">
        <v>336</v>
      </c>
      <c r="AE3" s="222" t="s">
        <v>41</v>
      </c>
      <c r="AG3" s="242" t="s">
        <v>277</v>
      </c>
      <c r="AH3" s="242" t="s">
        <v>278</v>
      </c>
      <c r="AJ3" s="186" t="s">
        <v>42</v>
      </c>
      <c r="AL3" s="223" t="s">
        <v>128</v>
      </c>
      <c r="AN3" s="223" t="s">
        <v>43</v>
      </c>
      <c r="AP3" s="223" t="s">
        <v>44</v>
      </c>
      <c r="AR3" s="237" t="s">
        <v>45</v>
      </c>
      <c r="AT3" s="223" t="s">
        <v>46</v>
      </c>
      <c r="AV3" s="223" t="s">
        <v>47</v>
      </c>
      <c r="AX3" s="224">
        <v>72</v>
      </c>
      <c r="AY3" s="225">
        <v>46</v>
      </c>
      <c r="AZ3" s="225">
        <v>71</v>
      </c>
      <c r="BA3" s="226">
        <v>42</v>
      </c>
    </row>
    <row r="4" spans="1:53" x14ac:dyDescent="0.15">
      <c r="A4" s="177" t="s">
        <v>34</v>
      </c>
      <c r="B4" s="177" t="s">
        <v>334</v>
      </c>
      <c r="C4" s="177">
        <v>2018</v>
      </c>
      <c r="D4" s="260" t="s">
        <v>429</v>
      </c>
      <c r="E4" s="177" t="s">
        <v>515</v>
      </c>
      <c r="F4" s="177" t="s">
        <v>275</v>
      </c>
      <c r="G4" s="179" t="s">
        <v>36</v>
      </c>
      <c r="H4" s="137" t="s">
        <v>155</v>
      </c>
      <c r="I4" s="137" t="s">
        <v>153</v>
      </c>
      <c r="J4" s="137" t="s">
        <v>38</v>
      </c>
      <c r="K4" s="137" t="s">
        <v>154</v>
      </c>
      <c r="L4" s="207">
        <v>3</v>
      </c>
      <c r="N4" s="207">
        <v>1</v>
      </c>
      <c r="O4" s="207">
        <v>0.6</v>
      </c>
      <c r="P4" s="234">
        <v>0.55000000000000004</v>
      </c>
      <c r="Q4" s="244">
        <f t="shared" si="0"/>
        <v>0.57499999999999996</v>
      </c>
      <c r="R4" s="187">
        <v>14.2</v>
      </c>
      <c r="S4" s="187">
        <v>121</v>
      </c>
      <c r="T4" s="216">
        <f t="shared" si="1"/>
        <v>30</v>
      </c>
      <c r="U4" s="188">
        <v>84</v>
      </c>
      <c r="V4" s="183">
        <f t="shared" si="2"/>
        <v>2520</v>
      </c>
      <c r="W4" s="189">
        <v>4</v>
      </c>
      <c r="X4" s="185" t="s">
        <v>46</v>
      </c>
      <c r="Y4" s="185" t="s">
        <v>50</v>
      </c>
      <c r="Z4" s="185" t="s">
        <v>90</v>
      </c>
      <c r="AA4" s="176" t="s">
        <v>84</v>
      </c>
      <c r="AB4" s="55" t="s">
        <v>336</v>
      </c>
      <c r="AE4" s="222" t="s">
        <v>34</v>
      </c>
      <c r="AG4" s="242" t="s">
        <v>519</v>
      </c>
      <c r="AH4" s="242" t="s">
        <v>279</v>
      </c>
      <c r="AJ4" s="190" t="s">
        <v>48</v>
      </c>
      <c r="AL4" s="227" t="s">
        <v>129</v>
      </c>
      <c r="AN4" s="228" t="s">
        <v>49</v>
      </c>
      <c r="AP4" s="223" t="s">
        <v>520</v>
      </c>
      <c r="AR4" s="237" t="s">
        <v>521</v>
      </c>
      <c r="AT4" s="228"/>
      <c r="AV4" s="223" t="s">
        <v>50</v>
      </c>
      <c r="AX4" s="224">
        <v>75</v>
      </c>
      <c r="AY4" s="225">
        <v>42</v>
      </c>
      <c r="AZ4" s="225">
        <v>76</v>
      </c>
      <c r="BA4" s="226">
        <v>39</v>
      </c>
    </row>
    <row r="5" spans="1:53" x14ac:dyDescent="0.15">
      <c r="A5" s="177" t="s">
        <v>34</v>
      </c>
      <c r="B5" s="177" t="s">
        <v>334</v>
      </c>
      <c r="C5" s="178">
        <v>2018</v>
      </c>
      <c r="D5" s="260" t="s">
        <v>429</v>
      </c>
      <c r="E5" s="177" t="s">
        <v>515</v>
      </c>
      <c r="F5" s="177" t="s">
        <v>275</v>
      </c>
      <c r="G5" s="179" t="s">
        <v>36</v>
      </c>
      <c r="H5" s="137" t="s">
        <v>162</v>
      </c>
      <c r="I5" s="137" t="s">
        <v>153</v>
      </c>
      <c r="J5" s="137" t="s">
        <v>38</v>
      </c>
      <c r="K5" s="137" t="s">
        <v>154</v>
      </c>
      <c r="L5" s="207">
        <v>1</v>
      </c>
      <c r="N5" s="207">
        <v>1</v>
      </c>
      <c r="O5" s="207">
        <v>0.55000000000000004</v>
      </c>
      <c r="P5" s="236">
        <v>0.6</v>
      </c>
      <c r="Q5" s="244">
        <f t="shared" si="0"/>
        <v>0.57499999999999996</v>
      </c>
      <c r="R5" s="187">
        <v>16.399999999999999</v>
      </c>
      <c r="S5" s="187">
        <v>209</v>
      </c>
      <c r="T5" s="216">
        <f t="shared" si="1"/>
        <v>30</v>
      </c>
      <c r="U5" s="188">
        <v>138</v>
      </c>
      <c r="V5" s="183">
        <f t="shared" si="2"/>
        <v>4140</v>
      </c>
      <c r="W5" s="189">
        <v>4</v>
      </c>
      <c r="X5" s="185" t="s">
        <v>46</v>
      </c>
      <c r="Y5" s="185" t="s">
        <v>50</v>
      </c>
      <c r="Z5" s="185" t="s">
        <v>90</v>
      </c>
      <c r="AA5" s="176" t="s">
        <v>84</v>
      </c>
      <c r="AB5" s="55" t="s">
        <v>336</v>
      </c>
      <c r="AE5" s="222" t="s">
        <v>51</v>
      </c>
      <c r="AG5" s="242" t="s">
        <v>522</v>
      </c>
      <c r="AH5" s="242" t="s">
        <v>282</v>
      </c>
      <c r="AJ5" s="191"/>
      <c r="AL5" s="229" t="s">
        <v>523</v>
      </c>
      <c r="AN5" s="229" t="s">
        <v>524</v>
      </c>
      <c r="AP5" s="223" t="s">
        <v>525</v>
      </c>
      <c r="AR5" s="237" t="s">
        <v>54</v>
      </c>
      <c r="AT5" s="246"/>
      <c r="AV5" s="223" t="s">
        <v>55</v>
      </c>
      <c r="AX5" s="224">
        <v>84</v>
      </c>
      <c r="AY5" s="225">
        <v>39</v>
      </c>
      <c r="AZ5" s="225">
        <v>84</v>
      </c>
      <c r="BA5" s="226">
        <v>36</v>
      </c>
    </row>
    <row r="6" spans="1:53" x14ac:dyDescent="0.15">
      <c r="A6" s="177" t="s">
        <v>34</v>
      </c>
      <c r="B6" s="177" t="s">
        <v>334</v>
      </c>
      <c r="C6" s="177">
        <v>2018</v>
      </c>
      <c r="D6" s="260" t="s">
        <v>429</v>
      </c>
      <c r="E6" s="177" t="s">
        <v>515</v>
      </c>
      <c r="F6" s="177" t="s">
        <v>275</v>
      </c>
      <c r="G6" s="179" t="s">
        <v>36</v>
      </c>
      <c r="H6" s="137" t="s">
        <v>162</v>
      </c>
      <c r="I6" s="137" t="s">
        <v>153</v>
      </c>
      <c r="J6" s="137" t="s">
        <v>38</v>
      </c>
      <c r="K6" s="137" t="s">
        <v>154</v>
      </c>
      <c r="L6" s="207">
        <v>2</v>
      </c>
      <c r="N6" s="207">
        <v>1</v>
      </c>
      <c r="O6" s="207">
        <v>0.6</v>
      </c>
      <c r="P6" s="236">
        <v>0.55000000000000004</v>
      </c>
      <c r="Q6" s="244">
        <f t="shared" si="0"/>
        <v>0.57499999999999996</v>
      </c>
      <c r="R6" s="187">
        <v>16.8</v>
      </c>
      <c r="S6" s="187">
        <v>193</v>
      </c>
      <c r="T6" s="216">
        <f t="shared" si="1"/>
        <v>30</v>
      </c>
      <c r="U6" s="188">
        <v>138</v>
      </c>
      <c r="V6" s="183">
        <f t="shared" si="2"/>
        <v>4140</v>
      </c>
      <c r="W6" s="189">
        <v>4</v>
      </c>
      <c r="X6" s="185" t="s">
        <v>46</v>
      </c>
      <c r="Y6" s="185" t="s">
        <v>50</v>
      </c>
      <c r="Z6" s="185" t="s">
        <v>90</v>
      </c>
      <c r="AA6" s="176" t="s">
        <v>84</v>
      </c>
      <c r="AB6" s="55" t="s">
        <v>336</v>
      </c>
      <c r="AE6" s="222" t="s">
        <v>56</v>
      </c>
      <c r="AG6" s="242" t="s">
        <v>526</v>
      </c>
      <c r="AH6" s="242" t="s">
        <v>281</v>
      </c>
      <c r="AL6" s="229" t="s">
        <v>527</v>
      </c>
      <c r="AN6" s="229" t="s">
        <v>528</v>
      </c>
      <c r="AP6" s="223" t="s">
        <v>53</v>
      </c>
      <c r="AR6" s="237" t="s">
        <v>59</v>
      </c>
      <c r="AV6" s="223" t="s">
        <v>60</v>
      </c>
      <c r="AX6" s="224">
        <v>97</v>
      </c>
      <c r="AY6" s="225">
        <v>36</v>
      </c>
      <c r="AZ6" s="225">
        <v>99</v>
      </c>
      <c r="BA6" s="226">
        <v>33</v>
      </c>
    </row>
    <row r="7" spans="1:53" x14ac:dyDescent="0.15">
      <c r="A7" s="177" t="s">
        <v>34</v>
      </c>
      <c r="B7" s="177" t="s">
        <v>334</v>
      </c>
      <c r="C7" s="178">
        <v>2018</v>
      </c>
      <c r="D7" s="260" t="s">
        <v>429</v>
      </c>
      <c r="E7" s="177" t="s">
        <v>515</v>
      </c>
      <c r="F7" s="177" t="s">
        <v>275</v>
      </c>
      <c r="G7" s="179" t="s">
        <v>36</v>
      </c>
      <c r="H7" s="137" t="s">
        <v>162</v>
      </c>
      <c r="I7" s="137" t="s">
        <v>153</v>
      </c>
      <c r="J7" s="137" t="s">
        <v>38</v>
      </c>
      <c r="K7" s="137" t="s">
        <v>154</v>
      </c>
      <c r="L7" s="207">
        <v>3</v>
      </c>
      <c r="N7" s="207">
        <v>1</v>
      </c>
      <c r="O7" s="207">
        <v>0.6</v>
      </c>
      <c r="P7" s="236">
        <v>0.55000000000000004</v>
      </c>
      <c r="Q7" s="244">
        <f t="shared" si="0"/>
        <v>0.57499999999999996</v>
      </c>
      <c r="R7" s="187">
        <v>16.2</v>
      </c>
      <c r="S7" s="187">
        <v>188</v>
      </c>
      <c r="T7" s="216">
        <f t="shared" si="1"/>
        <v>30</v>
      </c>
      <c r="U7" s="188">
        <v>138</v>
      </c>
      <c r="V7" s="183">
        <f t="shared" si="2"/>
        <v>4140</v>
      </c>
      <c r="W7" s="189">
        <v>4</v>
      </c>
      <c r="X7" s="185" t="s">
        <v>46</v>
      </c>
      <c r="Y7" s="185" t="s">
        <v>50</v>
      </c>
      <c r="Z7" s="185" t="s">
        <v>90</v>
      </c>
      <c r="AA7" s="176" t="s">
        <v>84</v>
      </c>
      <c r="AB7" s="55" t="s">
        <v>336</v>
      </c>
      <c r="AE7" s="222" t="s">
        <v>61</v>
      </c>
      <c r="AG7" s="242" t="s">
        <v>280</v>
      </c>
      <c r="AH7" s="242" t="s">
        <v>275</v>
      </c>
      <c r="AL7" s="234" t="s">
        <v>529</v>
      </c>
      <c r="AP7" s="223" t="s">
        <v>58</v>
      </c>
      <c r="AR7" s="230" t="s">
        <v>122</v>
      </c>
      <c r="AV7" s="223" t="s">
        <v>64</v>
      </c>
      <c r="AX7" s="224">
        <v>109</v>
      </c>
      <c r="AY7" s="225">
        <v>33</v>
      </c>
      <c r="AZ7" s="225">
        <v>113</v>
      </c>
      <c r="BA7" s="226">
        <v>30</v>
      </c>
    </row>
    <row r="8" spans="1:53" x14ac:dyDescent="0.15">
      <c r="A8" s="177" t="s">
        <v>34</v>
      </c>
      <c r="B8" s="177" t="s">
        <v>334</v>
      </c>
      <c r="C8" s="177">
        <v>2018</v>
      </c>
      <c r="D8" s="260" t="s">
        <v>429</v>
      </c>
      <c r="E8" s="178" t="s">
        <v>280</v>
      </c>
      <c r="F8" s="177" t="s">
        <v>281</v>
      </c>
      <c r="G8" s="179" t="s">
        <v>36</v>
      </c>
      <c r="H8" s="137" t="s">
        <v>155</v>
      </c>
      <c r="I8" s="137" t="s">
        <v>153</v>
      </c>
      <c r="J8" s="137" t="s">
        <v>38</v>
      </c>
      <c r="K8" s="137" t="s">
        <v>154</v>
      </c>
      <c r="L8" s="207">
        <v>1</v>
      </c>
      <c r="N8" s="207">
        <v>1</v>
      </c>
      <c r="O8" s="207">
        <v>0.45</v>
      </c>
      <c r="P8" s="207">
        <v>0.5</v>
      </c>
      <c r="Q8" s="244">
        <f t="shared" si="0"/>
        <v>0.47499999999999998</v>
      </c>
      <c r="R8" s="187">
        <v>15.8</v>
      </c>
      <c r="S8" s="187">
        <v>117</v>
      </c>
      <c r="T8" s="216">
        <f t="shared" si="1"/>
        <v>30</v>
      </c>
      <c r="U8" s="192">
        <v>138</v>
      </c>
      <c r="V8" s="183">
        <f t="shared" si="2"/>
        <v>4140</v>
      </c>
      <c r="W8" s="189">
        <v>6</v>
      </c>
      <c r="X8" s="185" t="s">
        <v>46</v>
      </c>
      <c r="Y8" s="193" t="s">
        <v>90</v>
      </c>
      <c r="Z8" s="185" t="s">
        <v>50</v>
      </c>
      <c r="AA8" s="176" t="s">
        <v>84</v>
      </c>
      <c r="AB8" s="55" t="s">
        <v>336</v>
      </c>
      <c r="AE8" s="222" t="s">
        <v>59</v>
      </c>
      <c r="AG8" s="242" t="s">
        <v>530</v>
      </c>
      <c r="AH8" s="242" t="s">
        <v>284</v>
      </c>
      <c r="AL8" s="234" t="s">
        <v>365</v>
      </c>
      <c r="AP8" s="223" t="s">
        <v>62</v>
      </c>
      <c r="AR8" s="237" t="s">
        <v>81</v>
      </c>
      <c r="AV8" s="223" t="s">
        <v>97</v>
      </c>
      <c r="AX8" s="224">
        <v>151</v>
      </c>
      <c r="AY8" s="225">
        <v>22</v>
      </c>
      <c r="AZ8" s="225">
        <v>152</v>
      </c>
      <c r="BA8" s="226">
        <v>18</v>
      </c>
    </row>
    <row r="9" spans="1:53" x14ac:dyDescent="0.15">
      <c r="A9" s="177" t="s">
        <v>34</v>
      </c>
      <c r="B9" s="177" t="s">
        <v>334</v>
      </c>
      <c r="C9" s="178">
        <v>2018</v>
      </c>
      <c r="D9" s="260" t="s">
        <v>429</v>
      </c>
      <c r="E9" s="178" t="s">
        <v>280</v>
      </c>
      <c r="F9" s="177" t="s">
        <v>281</v>
      </c>
      <c r="G9" s="179" t="s">
        <v>36</v>
      </c>
      <c r="H9" s="137" t="s">
        <v>155</v>
      </c>
      <c r="I9" s="137" t="s">
        <v>153</v>
      </c>
      <c r="J9" s="137" t="s">
        <v>38</v>
      </c>
      <c r="K9" s="137" t="s">
        <v>154</v>
      </c>
      <c r="L9" s="207">
        <v>2</v>
      </c>
      <c r="N9" s="207">
        <v>1</v>
      </c>
      <c r="O9" s="207">
        <v>0.5</v>
      </c>
      <c r="P9" s="207">
        <v>0.4</v>
      </c>
      <c r="Q9" s="244">
        <f t="shared" si="0"/>
        <v>0.45</v>
      </c>
      <c r="R9" s="187">
        <v>16.2</v>
      </c>
      <c r="S9" s="187">
        <v>120</v>
      </c>
      <c r="T9" s="216">
        <f t="shared" si="1"/>
        <v>30</v>
      </c>
      <c r="U9" s="192">
        <v>138</v>
      </c>
      <c r="V9" s="183">
        <f t="shared" si="2"/>
        <v>4140</v>
      </c>
      <c r="W9" s="189">
        <v>6</v>
      </c>
      <c r="X9" s="185" t="s">
        <v>46</v>
      </c>
      <c r="Y9" s="193" t="s">
        <v>90</v>
      </c>
      <c r="Z9" s="185" t="s">
        <v>50</v>
      </c>
      <c r="AA9" s="176" t="s">
        <v>84</v>
      </c>
      <c r="AB9" s="55" t="s">
        <v>336</v>
      </c>
      <c r="AE9" s="222" t="s">
        <v>98</v>
      </c>
      <c r="AG9" s="242" t="s">
        <v>531</v>
      </c>
      <c r="AH9" s="242" t="s">
        <v>285</v>
      </c>
      <c r="AL9" s="229"/>
      <c r="AP9" s="223" t="s">
        <v>95</v>
      </c>
      <c r="AR9" s="230" t="s">
        <v>89</v>
      </c>
      <c r="AV9" s="223" t="s">
        <v>102</v>
      </c>
      <c r="AX9" s="231">
        <v>180</v>
      </c>
      <c r="AY9" s="232">
        <v>18</v>
      </c>
      <c r="AZ9" s="232">
        <v>181</v>
      </c>
      <c r="BA9" s="233">
        <v>16</v>
      </c>
    </row>
    <row r="10" spans="1:53" x14ac:dyDescent="0.15">
      <c r="A10" s="177" t="s">
        <v>34</v>
      </c>
      <c r="B10" s="177" t="s">
        <v>334</v>
      </c>
      <c r="C10" s="177">
        <v>2018</v>
      </c>
      <c r="D10" s="260" t="s">
        <v>429</v>
      </c>
      <c r="E10" s="178" t="s">
        <v>280</v>
      </c>
      <c r="F10" s="177" t="s">
        <v>281</v>
      </c>
      <c r="G10" s="179" t="s">
        <v>36</v>
      </c>
      <c r="H10" s="137" t="s">
        <v>155</v>
      </c>
      <c r="I10" s="137" t="s">
        <v>153</v>
      </c>
      <c r="J10" s="137" t="s">
        <v>38</v>
      </c>
      <c r="K10" s="137" t="s">
        <v>154</v>
      </c>
      <c r="L10" s="207">
        <v>3</v>
      </c>
      <c r="N10" s="207">
        <v>1</v>
      </c>
      <c r="O10" s="207">
        <v>0.5</v>
      </c>
      <c r="P10" s="207">
        <v>0.4</v>
      </c>
      <c r="Q10" s="244">
        <f t="shared" si="0"/>
        <v>0.45</v>
      </c>
      <c r="R10" s="187">
        <v>16.3</v>
      </c>
      <c r="S10" s="187">
        <v>119</v>
      </c>
      <c r="T10" s="216">
        <f t="shared" si="1"/>
        <v>30</v>
      </c>
      <c r="U10" s="192">
        <v>138</v>
      </c>
      <c r="V10" s="183">
        <f t="shared" si="2"/>
        <v>4140</v>
      </c>
      <c r="W10" s="189">
        <v>6</v>
      </c>
      <c r="X10" s="185" t="s">
        <v>46</v>
      </c>
      <c r="Y10" s="193" t="s">
        <v>90</v>
      </c>
      <c r="Z10" s="185" t="s">
        <v>50</v>
      </c>
      <c r="AA10" s="176" t="s">
        <v>84</v>
      </c>
      <c r="AB10" s="55" t="s">
        <v>336</v>
      </c>
      <c r="AE10" s="222" t="s">
        <v>103</v>
      </c>
      <c r="AG10" s="242" t="s">
        <v>532</v>
      </c>
      <c r="AH10" s="242" t="s">
        <v>533</v>
      </c>
      <c r="AL10" s="234"/>
      <c r="AP10" s="223" t="s">
        <v>100</v>
      </c>
      <c r="AR10" s="230" t="s">
        <v>123</v>
      </c>
      <c r="AV10" s="223" t="s">
        <v>106</v>
      </c>
    </row>
    <row r="11" spans="1:53" x14ac:dyDescent="0.15">
      <c r="A11" s="177" t="s">
        <v>34</v>
      </c>
      <c r="B11" s="177" t="s">
        <v>334</v>
      </c>
      <c r="C11" s="178">
        <v>2018</v>
      </c>
      <c r="D11" s="260" t="s">
        <v>429</v>
      </c>
      <c r="E11" s="178" t="s">
        <v>280</v>
      </c>
      <c r="F11" s="177" t="s">
        <v>281</v>
      </c>
      <c r="G11" s="179" t="s">
        <v>36</v>
      </c>
      <c r="H11" s="137" t="s">
        <v>162</v>
      </c>
      <c r="I11" s="137" t="s">
        <v>153</v>
      </c>
      <c r="J11" s="137" t="s">
        <v>38</v>
      </c>
      <c r="K11" s="137" t="s">
        <v>154</v>
      </c>
      <c r="L11" s="207">
        <v>1</v>
      </c>
      <c r="N11" s="207">
        <v>1</v>
      </c>
      <c r="O11" s="207">
        <v>0.75</v>
      </c>
      <c r="P11" s="207">
        <v>0.65</v>
      </c>
      <c r="Q11" s="244">
        <f t="shared" si="0"/>
        <v>0.7</v>
      </c>
      <c r="R11" s="187">
        <v>17.2</v>
      </c>
      <c r="S11" s="187">
        <v>168</v>
      </c>
      <c r="T11" s="216">
        <f t="shared" si="1"/>
        <v>30</v>
      </c>
      <c r="U11" s="192">
        <v>148</v>
      </c>
      <c r="V11" s="183">
        <f t="shared" si="2"/>
        <v>4440</v>
      </c>
      <c r="W11" s="189">
        <v>6</v>
      </c>
      <c r="X11" s="185" t="s">
        <v>46</v>
      </c>
      <c r="Y11" s="193" t="s">
        <v>90</v>
      </c>
      <c r="Z11" s="185" t="s">
        <v>50</v>
      </c>
      <c r="AA11" s="194" t="s">
        <v>84</v>
      </c>
      <c r="AB11" s="55" t="s">
        <v>336</v>
      </c>
      <c r="AE11" s="222" t="s">
        <v>65</v>
      </c>
      <c r="AG11" s="237"/>
      <c r="AH11" s="237"/>
      <c r="AL11" s="234"/>
      <c r="AP11" s="223" t="s">
        <v>104</v>
      </c>
      <c r="AR11" s="230" t="s">
        <v>87</v>
      </c>
      <c r="AV11" s="223" t="s">
        <v>69</v>
      </c>
    </row>
    <row r="12" spans="1:53" x14ac:dyDescent="0.15">
      <c r="A12" s="177" t="s">
        <v>34</v>
      </c>
      <c r="B12" s="177" t="s">
        <v>334</v>
      </c>
      <c r="C12" s="177">
        <v>2018</v>
      </c>
      <c r="D12" s="260" t="s">
        <v>429</v>
      </c>
      <c r="E12" s="178" t="s">
        <v>280</v>
      </c>
      <c r="F12" s="177" t="s">
        <v>281</v>
      </c>
      <c r="G12" s="179" t="s">
        <v>36</v>
      </c>
      <c r="H12" s="137" t="s">
        <v>162</v>
      </c>
      <c r="I12" s="137" t="s">
        <v>153</v>
      </c>
      <c r="J12" s="137" t="s">
        <v>38</v>
      </c>
      <c r="K12" s="137" t="s">
        <v>154</v>
      </c>
      <c r="L12" s="207">
        <v>2</v>
      </c>
      <c r="N12" s="207">
        <v>1</v>
      </c>
      <c r="O12" s="207">
        <v>0.55000000000000004</v>
      </c>
      <c r="P12" s="207">
        <v>0.6</v>
      </c>
      <c r="Q12" s="244">
        <f t="shared" si="0"/>
        <v>0.57499999999999996</v>
      </c>
      <c r="R12" s="187">
        <v>16.600000000000001</v>
      </c>
      <c r="S12" s="187">
        <v>174</v>
      </c>
      <c r="T12" s="216">
        <f t="shared" si="1"/>
        <v>30</v>
      </c>
      <c r="U12" s="192">
        <v>148</v>
      </c>
      <c r="V12" s="183">
        <f t="shared" si="2"/>
        <v>4440</v>
      </c>
      <c r="W12" s="189">
        <v>6</v>
      </c>
      <c r="X12" s="185" t="s">
        <v>46</v>
      </c>
      <c r="Y12" s="193" t="s">
        <v>90</v>
      </c>
      <c r="Z12" s="185" t="s">
        <v>50</v>
      </c>
      <c r="AA12" s="194" t="s">
        <v>84</v>
      </c>
      <c r="AB12" s="55" t="s">
        <v>336</v>
      </c>
      <c r="AE12" s="222" t="s">
        <v>70</v>
      </c>
      <c r="AG12" s="237"/>
      <c r="AH12" s="237"/>
      <c r="AL12" s="234"/>
      <c r="AP12" s="223" t="s">
        <v>67</v>
      </c>
      <c r="AR12" s="230" t="s">
        <v>124</v>
      </c>
      <c r="AV12" s="223" t="s">
        <v>72</v>
      </c>
    </row>
    <row r="13" spans="1:53" x14ac:dyDescent="0.15">
      <c r="A13" s="177" t="s">
        <v>34</v>
      </c>
      <c r="B13" s="177" t="s">
        <v>334</v>
      </c>
      <c r="C13" s="178">
        <v>2018</v>
      </c>
      <c r="D13" s="260" t="s">
        <v>429</v>
      </c>
      <c r="E13" s="178" t="s">
        <v>280</v>
      </c>
      <c r="F13" s="177" t="s">
        <v>281</v>
      </c>
      <c r="G13" s="179" t="s">
        <v>36</v>
      </c>
      <c r="H13" s="137" t="s">
        <v>162</v>
      </c>
      <c r="I13" s="137" t="s">
        <v>153</v>
      </c>
      <c r="J13" s="137" t="s">
        <v>38</v>
      </c>
      <c r="K13" s="137" t="s">
        <v>154</v>
      </c>
      <c r="L13" s="207">
        <v>3</v>
      </c>
      <c r="N13" s="207">
        <v>1</v>
      </c>
      <c r="O13" s="207">
        <v>0.65</v>
      </c>
      <c r="P13" s="207">
        <v>0.6</v>
      </c>
      <c r="Q13" s="244">
        <f t="shared" si="0"/>
        <v>0.625</v>
      </c>
      <c r="R13" s="187">
        <v>16.8</v>
      </c>
      <c r="S13" s="187">
        <v>154</v>
      </c>
      <c r="T13" s="216">
        <f t="shared" si="1"/>
        <v>30</v>
      </c>
      <c r="U13" s="192">
        <v>148</v>
      </c>
      <c r="V13" s="183">
        <f t="shared" si="2"/>
        <v>4440</v>
      </c>
      <c r="W13" s="189">
        <v>6</v>
      </c>
      <c r="X13" s="185" t="s">
        <v>46</v>
      </c>
      <c r="Y13" s="193" t="s">
        <v>90</v>
      </c>
      <c r="Z13" s="185" t="s">
        <v>50</v>
      </c>
      <c r="AA13" s="194" t="s">
        <v>84</v>
      </c>
      <c r="AB13" s="55" t="s">
        <v>336</v>
      </c>
      <c r="AE13" s="222" t="s">
        <v>73</v>
      </c>
      <c r="AG13" s="195"/>
      <c r="AH13" s="195"/>
      <c r="AP13" s="223" t="s">
        <v>71</v>
      </c>
      <c r="AR13" s="230" t="s">
        <v>103</v>
      </c>
      <c r="AV13" s="223" t="s">
        <v>75</v>
      </c>
    </row>
    <row r="14" spans="1:53" x14ac:dyDescent="0.15">
      <c r="A14" s="177" t="s">
        <v>34</v>
      </c>
      <c r="B14" s="177" t="s">
        <v>334</v>
      </c>
      <c r="C14" s="177">
        <v>2018</v>
      </c>
      <c r="D14" s="260" t="s">
        <v>429</v>
      </c>
      <c r="E14" s="178" t="s">
        <v>283</v>
      </c>
      <c r="F14" s="177" t="s">
        <v>281</v>
      </c>
      <c r="G14" s="179" t="s">
        <v>36</v>
      </c>
      <c r="H14" s="137" t="s">
        <v>155</v>
      </c>
      <c r="I14" s="137" t="s">
        <v>153</v>
      </c>
      <c r="J14" s="137" t="s">
        <v>38</v>
      </c>
      <c r="K14" s="137" t="s">
        <v>154</v>
      </c>
      <c r="L14" s="207">
        <v>1</v>
      </c>
      <c r="N14" s="207">
        <v>1</v>
      </c>
      <c r="O14" s="207">
        <v>0.7</v>
      </c>
      <c r="P14" s="207">
        <v>0.75</v>
      </c>
      <c r="Q14" s="244">
        <f t="shared" si="0"/>
        <v>0.72499999999999998</v>
      </c>
      <c r="R14" s="187">
        <v>14.8</v>
      </c>
      <c r="S14" s="187">
        <v>135</v>
      </c>
      <c r="T14" s="216">
        <f t="shared" si="1"/>
        <v>30</v>
      </c>
      <c r="U14" s="192">
        <v>98</v>
      </c>
      <c r="V14" s="183">
        <v>3582</v>
      </c>
      <c r="W14" s="189">
        <v>4</v>
      </c>
      <c r="X14" s="185" t="s">
        <v>46</v>
      </c>
      <c r="Y14" s="193" t="s">
        <v>84</v>
      </c>
      <c r="Z14" s="193" t="s">
        <v>78</v>
      </c>
      <c r="AA14" s="194" t="s">
        <v>69</v>
      </c>
      <c r="AB14" s="55" t="s">
        <v>336</v>
      </c>
      <c r="AC14" s="234"/>
      <c r="AE14" s="222" t="s">
        <v>76</v>
      </c>
      <c r="AG14" s="246"/>
      <c r="AH14" s="246"/>
      <c r="AP14" s="223" t="s">
        <v>74</v>
      </c>
      <c r="AR14" s="230" t="s">
        <v>125</v>
      </c>
      <c r="AV14" s="223" t="s">
        <v>78</v>
      </c>
    </row>
    <row r="15" spans="1:53" x14ac:dyDescent="0.15">
      <c r="A15" s="177" t="s">
        <v>34</v>
      </c>
      <c r="B15" s="177" t="s">
        <v>334</v>
      </c>
      <c r="C15" s="178">
        <v>2018</v>
      </c>
      <c r="D15" s="260" t="s">
        <v>429</v>
      </c>
      <c r="E15" s="178" t="s">
        <v>283</v>
      </c>
      <c r="F15" s="177" t="s">
        <v>281</v>
      </c>
      <c r="G15" s="179" t="s">
        <v>36</v>
      </c>
      <c r="H15" s="137" t="s">
        <v>155</v>
      </c>
      <c r="I15" s="137" t="s">
        <v>153</v>
      </c>
      <c r="J15" s="137" t="s">
        <v>38</v>
      </c>
      <c r="K15" s="137" t="s">
        <v>154</v>
      </c>
      <c r="L15" s="207">
        <v>2</v>
      </c>
      <c r="N15" s="207">
        <v>1</v>
      </c>
      <c r="O15" s="207">
        <v>0.6</v>
      </c>
      <c r="P15" s="207">
        <v>0.65</v>
      </c>
      <c r="Q15" s="244">
        <f t="shared" si="0"/>
        <v>0.625</v>
      </c>
      <c r="R15" s="187">
        <v>15.3</v>
      </c>
      <c r="S15" s="187">
        <v>137</v>
      </c>
      <c r="T15" s="216">
        <f t="shared" si="1"/>
        <v>30</v>
      </c>
      <c r="U15" s="192">
        <v>98</v>
      </c>
      <c r="V15" s="183">
        <f t="shared" si="2"/>
        <v>2940</v>
      </c>
      <c r="W15" s="189">
        <v>4</v>
      </c>
      <c r="X15" s="185" t="s">
        <v>46</v>
      </c>
      <c r="Y15" s="193" t="s">
        <v>84</v>
      </c>
      <c r="Z15" s="193" t="s">
        <v>78</v>
      </c>
      <c r="AA15" s="194" t="s">
        <v>69</v>
      </c>
      <c r="AB15" s="55" t="s">
        <v>336</v>
      </c>
      <c r="AC15" s="234"/>
      <c r="AE15" s="222" t="s">
        <v>79</v>
      </c>
      <c r="AP15" s="223" t="s">
        <v>77</v>
      </c>
      <c r="AR15" s="230" t="s">
        <v>94</v>
      </c>
      <c r="AV15" s="223" t="s">
        <v>107</v>
      </c>
    </row>
    <row r="16" spans="1:53" x14ac:dyDescent="0.15">
      <c r="A16" s="177" t="s">
        <v>34</v>
      </c>
      <c r="B16" s="177" t="s">
        <v>334</v>
      </c>
      <c r="C16" s="177">
        <v>2018</v>
      </c>
      <c r="D16" s="260" t="s">
        <v>429</v>
      </c>
      <c r="E16" s="178" t="s">
        <v>283</v>
      </c>
      <c r="F16" s="177" t="s">
        <v>281</v>
      </c>
      <c r="G16" s="179" t="s">
        <v>36</v>
      </c>
      <c r="H16" s="137" t="s">
        <v>155</v>
      </c>
      <c r="I16" s="137" t="s">
        <v>153</v>
      </c>
      <c r="J16" s="137" t="s">
        <v>38</v>
      </c>
      <c r="K16" s="137" t="s">
        <v>154</v>
      </c>
      <c r="L16" s="207">
        <v>3</v>
      </c>
      <c r="N16" s="207">
        <v>1</v>
      </c>
      <c r="O16" s="207">
        <v>0.5</v>
      </c>
      <c r="P16" s="207">
        <v>0.55000000000000004</v>
      </c>
      <c r="Q16" s="244">
        <f t="shared" si="0"/>
        <v>0.52500000000000002</v>
      </c>
      <c r="R16" s="187">
        <v>15.1</v>
      </c>
      <c r="S16" s="187">
        <v>134</v>
      </c>
      <c r="T16" s="216">
        <f t="shared" si="1"/>
        <v>30</v>
      </c>
      <c r="U16" s="192">
        <v>98</v>
      </c>
      <c r="V16" s="183">
        <f t="shared" si="2"/>
        <v>2940</v>
      </c>
      <c r="W16" s="189">
        <v>4</v>
      </c>
      <c r="X16" s="185" t="s">
        <v>46</v>
      </c>
      <c r="Y16" s="193" t="s">
        <v>84</v>
      </c>
      <c r="Z16" s="193" t="s">
        <v>78</v>
      </c>
      <c r="AA16" s="194" t="s">
        <v>69</v>
      </c>
      <c r="AB16" s="55" t="s">
        <v>336</v>
      </c>
      <c r="AC16" s="234"/>
      <c r="AE16" s="222" t="s">
        <v>82</v>
      </c>
      <c r="AP16" s="223" t="s">
        <v>80</v>
      </c>
      <c r="AR16" s="237" t="s">
        <v>63</v>
      </c>
      <c r="AV16" s="223" t="s">
        <v>84</v>
      </c>
    </row>
    <row r="17" spans="1:48" x14ac:dyDescent="0.15">
      <c r="A17" s="177" t="s">
        <v>34</v>
      </c>
      <c r="B17" s="177" t="s">
        <v>334</v>
      </c>
      <c r="C17" s="178">
        <v>2018</v>
      </c>
      <c r="D17" s="260" t="s">
        <v>429</v>
      </c>
      <c r="E17" s="178" t="s">
        <v>283</v>
      </c>
      <c r="F17" s="177" t="s">
        <v>281</v>
      </c>
      <c r="G17" s="179" t="s">
        <v>36</v>
      </c>
      <c r="H17" s="137" t="s">
        <v>162</v>
      </c>
      <c r="I17" s="137" t="s">
        <v>153</v>
      </c>
      <c r="J17" s="137" t="s">
        <v>38</v>
      </c>
      <c r="K17" s="137" t="s">
        <v>154</v>
      </c>
      <c r="L17" s="207">
        <v>1</v>
      </c>
      <c r="N17" s="207">
        <v>1</v>
      </c>
      <c r="O17" s="207">
        <v>0.5</v>
      </c>
      <c r="P17" s="207">
        <v>0.45</v>
      </c>
      <c r="Q17" s="244">
        <f t="shared" si="0"/>
        <v>0.47499999999999998</v>
      </c>
      <c r="R17" s="187">
        <v>14.8</v>
      </c>
      <c r="S17" s="187">
        <v>155</v>
      </c>
      <c r="T17" s="216">
        <f t="shared" si="1"/>
        <v>30</v>
      </c>
      <c r="U17" s="192">
        <v>158</v>
      </c>
      <c r="V17" s="183">
        <f t="shared" si="2"/>
        <v>4740</v>
      </c>
      <c r="W17" s="189">
        <v>4</v>
      </c>
      <c r="X17" s="185" t="s">
        <v>46</v>
      </c>
      <c r="Y17" s="193" t="s">
        <v>84</v>
      </c>
      <c r="Z17" s="193" t="s">
        <v>78</v>
      </c>
      <c r="AA17" s="194" t="s">
        <v>69</v>
      </c>
      <c r="AB17" s="55" t="s">
        <v>336</v>
      </c>
      <c r="AC17" s="234"/>
      <c r="AE17" s="222" t="s">
        <v>85</v>
      </c>
      <c r="AP17" s="238" t="s">
        <v>110</v>
      </c>
      <c r="AR17" s="237" t="s">
        <v>96</v>
      </c>
      <c r="AV17" s="223" t="s">
        <v>86</v>
      </c>
    </row>
    <row r="18" spans="1:48" x14ac:dyDescent="0.15">
      <c r="A18" s="177" t="s">
        <v>34</v>
      </c>
      <c r="B18" s="177" t="s">
        <v>334</v>
      </c>
      <c r="C18" s="177">
        <v>2018</v>
      </c>
      <c r="D18" s="260" t="s">
        <v>429</v>
      </c>
      <c r="E18" s="178" t="s">
        <v>283</v>
      </c>
      <c r="F18" s="177" t="s">
        <v>281</v>
      </c>
      <c r="G18" s="179" t="s">
        <v>36</v>
      </c>
      <c r="H18" s="137" t="s">
        <v>162</v>
      </c>
      <c r="I18" s="137" t="s">
        <v>153</v>
      </c>
      <c r="J18" s="137" t="s">
        <v>38</v>
      </c>
      <c r="K18" s="137" t="s">
        <v>154</v>
      </c>
      <c r="L18" s="207">
        <v>2</v>
      </c>
      <c r="N18" s="207">
        <v>1</v>
      </c>
      <c r="O18" s="207">
        <v>0.55000000000000004</v>
      </c>
      <c r="P18" s="207">
        <v>0.5</v>
      </c>
      <c r="Q18" s="244">
        <f t="shared" si="0"/>
        <v>0.52500000000000002</v>
      </c>
      <c r="R18" s="187">
        <v>14.2</v>
      </c>
      <c r="S18" s="187">
        <v>167</v>
      </c>
      <c r="T18" s="216">
        <f t="shared" si="1"/>
        <v>30</v>
      </c>
      <c r="U18" s="192">
        <v>158</v>
      </c>
      <c r="V18" s="183">
        <f t="shared" si="2"/>
        <v>4740</v>
      </c>
      <c r="W18" s="189">
        <v>4</v>
      </c>
      <c r="X18" s="185" t="s">
        <v>46</v>
      </c>
      <c r="Y18" s="193" t="s">
        <v>84</v>
      </c>
      <c r="Z18" s="193" t="s">
        <v>78</v>
      </c>
      <c r="AA18" s="194" t="s">
        <v>69</v>
      </c>
      <c r="AB18" s="55" t="s">
        <v>336</v>
      </c>
      <c r="AC18" s="234"/>
      <c r="AE18" s="222" t="s">
        <v>87</v>
      </c>
      <c r="AP18" s="238" t="s">
        <v>111</v>
      </c>
      <c r="AR18" s="237" t="s">
        <v>101</v>
      </c>
      <c r="AV18" s="223" t="s">
        <v>88</v>
      </c>
    </row>
    <row r="19" spans="1:48" x14ac:dyDescent="0.15">
      <c r="A19" s="177" t="s">
        <v>34</v>
      </c>
      <c r="B19" s="177" t="s">
        <v>334</v>
      </c>
      <c r="C19" s="178">
        <v>2018</v>
      </c>
      <c r="D19" s="260" t="s">
        <v>429</v>
      </c>
      <c r="E19" s="178" t="s">
        <v>283</v>
      </c>
      <c r="F19" s="177" t="s">
        <v>281</v>
      </c>
      <c r="G19" s="179" t="s">
        <v>36</v>
      </c>
      <c r="H19" s="137" t="s">
        <v>162</v>
      </c>
      <c r="I19" s="137" t="s">
        <v>153</v>
      </c>
      <c r="J19" s="137" t="s">
        <v>38</v>
      </c>
      <c r="K19" s="137" t="s">
        <v>154</v>
      </c>
      <c r="L19" s="207">
        <v>3</v>
      </c>
      <c r="N19" s="207">
        <v>1</v>
      </c>
      <c r="O19" s="207">
        <v>0.45</v>
      </c>
      <c r="P19" s="207">
        <v>0.5</v>
      </c>
      <c r="Q19" s="244">
        <f t="shared" si="0"/>
        <v>0.47499999999999998</v>
      </c>
      <c r="R19" s="187">
        <v>14.6</v>
      </c>
      <c r="S19" s="187">
        <v>146</v>
      </c>
      <c r="T19" s="216">
        <f t="shared" si="1"/>
        <v>30</v>
      </c>
      <c r="U19" s="192">
        <v>158</v>
      </c>
      <c r="V19" s="183">
        <f t="shared" si="2"/>
        <v>4740</v>
      </c>
      <c r="W19" s="189">
        <v>4</v>
      </c>
      <c r="X19" s="185" t="s">
        <v>46</v>
      </c>
      <c r="Y19" s="193" t="s">
        <v>84</v>
      </c>
      <c r="Z19" s="193" t="s">
        <v>78</v>
      </c>
      <c r="AA19" s="194" t="s">
        <v>69</v>
      </c>
      <c r="AB19" s="55" t="s">
        <v>336</v>
      </c>
      <c r="AC19" s="234"/>
      <c r="AE19" s="235" t="s">
        <v>89</v>
      </c>
      <c r="AP19" s="238" t="s">
        <v>112</v>
      </c>
      <c r="AR19" s="230" t="s">
        <v>126</v>
      </c>
      <c r="AV19" s="223" t="s">
        <v>90</v>
      </c>
    </row>
    <row r="20" spans="1:48" x14ac:dyDescent="0.15">
      <c r="A20" s="177" t="s">
        <v>34</v>
      </c>
      <c r="B20" s="177" t="s">
        <v>334</v>
      </c>
      <c r="C20" s="177">
        <v>2018</v>
      </c>
      <c r="D20" s="260" t="s">
        <v>429</v>
      </c>
      <c r="E20" s="178" t="s">
        <v>515</v>
      </c>
      <c r="F20" s="177" t="s">
        <v>534</v>
      </c>
      <c r="G20" s="179" t="s">
        <v>36</v>
      </c>
      <c r="H20" s="137" t="s">
        <v>155</v>
      </c>
      <c r="I20" s="137" t="s">
        <v>153</v>
      </c>
      <c r="J20" s="137" t="s">
        <v>38</v>
      </c>
      <c r="K20" s="137" t="s">
        <v>154</v>
      </c>
      <c r="L20" s="207">
        <v>1</v>
      </c>
      <c r="N20" s="207">
        <v>1</v>
      </c>
      <c r="O20" s="207">
        <v>0.55000000000000004</v>
      </c>
      <c r="P20" s="207">
        <v>0.6</v>
      </c>
      <c r="Q20" s="244">
        <f t="shared" si="0"/>
        <v>0.57499999999999996</v>
      </c>
      <c r="R20" s="187">
        <v>14.4</v>
      </c>
      <c r="S20" s="196">
        <v>123</v>
      </c>
      <c r="T20" s="216">
        <f t="shared" si="1"/>
        <v>30</v>
      </c>
      <c r="U20" s="192">
        <v>138</v>
      </c>
      <c r="V20" s="183">
        <f t="shared" si="2"/>
        <v>4140</v>
      </c>
      <c r="W20" s="189">
        <v>2</v>
      </c>
      <c r="X20" s="185" t="s">
        <v>46</v>
      </c>
      <c r="Y20" s="193" t="s">
        <v>50</v>
      </c>
      <c r="Z20" s="193" t="s">
        <v>90</v>
      </c>
      <c r="AA20" s="194" t="s">
        <v>84</v>
      </c>
      <c r="AB20" s="55" t="s">
        <v>336</v>
      </c>
      <c r="AE20" s="235"/>
      <c r="AP20" s="238" t="s">
        <v>113</v>
      </c>
      <c r="AR20" s="237" t="s">
        <v>105</v>
      </c>
      <c r="AV20" s="227" t="s">
        <v>366</v>
      </c>
    </row>
    <row r="21" spans="1:48" x14ac:dyDescent="0.15">
      <c r="A21" s="177" t="s">
        <v>34</v>
      </c>
      <c r="B21" s="177" t="s">
        <v>334</v>
      </c>
      <c r="C21" s="178">
        <v>2018</v>
      </c>
      <c r="D21" s="260" t="s">
        <v>429</v>
      </c>
      <c r="E21" s="178" t="s">
        <v>515</v>
      </c>
      <c r="F21" s="177" t="s">
        <v>534</v>
      </c>
      <c r="G21" s="179" t="s">
        <v>36</v>
      </c>
      <c r="H21" s="137" t="s">
        <v>155</v>
      </c>
      <c r="I21" s="137" t="s">
        <v>153</v>
      </c>
      <c r="J21" s="137" t="s">
        <v>38</v>
      </c>
      <c r="K21" s="137" t="s">
        <v>154</v>
      </c>
      <c r="L21" s="207">
        <v>2</v>
      </c>
      <c r="N21" s="207">
        <v>1</v>
      </c>
      <c r="O21" s="207">
        <v>0.6</v>
      </c>
      <c r="P21" s="207">
        <v>0.65</v>
      </c>
      <c r="Q21" s="244">
        <f t="shared" si="0"/>
        <v>0.625</v>
      </c>
      <c r="R21" s="196">
        <v>13.9</v>
      </c>
      <c r="S21" s="187">
        <v>128</v>
      </c>
      <c r="T21" s="216">
        <f t="shared" si="1"/>
        <v>30</v>
      </c>
      <c r="U21" s="192">
        <v>138</v>
      </c>
      <c r="V21" s="183">
        <f t="shared" si="2"/>
        <v>4140</v>
      </c>
      <c r="W21" s="189">
        <v>2</v>
      </c>
      <c r="X21" s="185" t="s">
        <v>46</v>
      </c>
      <c r="Y21" s="193" t="s">
        <v>50</v>
      </c>
      <c r="Z21" s="193" t="s">
        <v>90</v>
      </c>
      <c r="AA21" s="194" t="s">
        <v>84</v>
      </c>
      <c r="AB21" s="55" t="s">
        <v>336</v>
      </c>
      <c r="AE21" s="228"/>
      <c r="AP21" s="238" t="s">
        <v>114</v>
      </c>
      <c r="AR21" s="237" t="s">
        <v>68</v>
      </c>
      <c r="AV21" s="227" t="s">
        <v>367</v>
      </c>
    </row>
    <row r="22" spans="1:48" x14ac:dyDescent="0.15">
      <c r="A22" s="177" t="s">
        <v>34</v>
      </c>
      <c r="B22" s="177" t="s">
        <v>334</v>
      </c>
      <c r="C22" s="177">
        <v>2018</v>
      </c>
      <c r="D22" s="260" t="s">
        <v>429</v>
      </c>
      <c r="E22" s="178" t="s">
        <v>515</v>
      </c>
      <c r="F22" s="177" t="s">
        <v>534</v>
      </c>
      <c r="G22" s="179" t="s">
        <v>36</v>
      </c>
      <c r="H22" s="137" t="s">
        <v>155</v>
      </c>
      <c r="I22" s="137" t="s">
        <v>153</v>
      </c>
      <c r="J22" s="137" t="s">
        <v>38</v>
      </c>
      <c r="K22" s="137" t="s">
        <v>154</v>
      </c>
      <c r="L22" s="207">
        <v>3</v>
      </c>
      <c r="N22" s="207">
        <v>1</v>
      </c>
      <c r="O22" s="207">
        <v>0.65</v>
      </c>
      <c r="P22" s="234">
        <v>0.7</v>
      </c>
      <c r="Q22" s="244">
        <f t="shared" si="0"/>
        <v>0.67500000000000004</v>
      </c>
      <c r="R22" s="187">
        <v>14.5</v>
      </c>
      <c r="S22" s="187">
        <v>121</v>
      </c>
      <c r="T22" s="216">
        <f t="shared" si="1"/>
        <v>30</v>
      </c>
      <c r="U22" s="192">
        <v>138</v>
      </c>
      <c r="V22" s="183">
        <f t="shared" si="2"/>
        <v>4140</v>
      </c>
      <c r="W22" s="189">
        <v>2</v>
      </c>
      <c r="X22" s="185" t="s">
        <v>46</v>
      </c>
      <c r="Y22" s="193" t="s">
        <v>50</v>
      </c>
      <c r="Z22" s="193" t="s">
        <v>90</v>
      </c>
      <c r="AA22" s="194" t="s">
        <v>84</v>
      </c>
      <c r="AB22" s="55" t="s">
        <v>336</v>
      </c>
      <c r="AP22" s="238" t="s">
        <v>115</v>
      </c>
      <c r="AR22" s="237" t="s">
        <v>83</v>
      </c>
      <c r="AV22" s="223"/>
    </row>
    <row r="23" spans="1:48" x14ac:dyDescent="0.15">
      <c r="A23" s="177" t="s">
        <v>34</v>
      </c>
      <c r="B23" s="177" t="s">
        <v>334</v>
      </c>
      <c r="C23" s="178">
        <v>2018</v>
      </c>
      <c r="D23" s="260" t="s">
        <v>429</v>
      </c>
      <c r="E23" s="178" t="s">
        <v>515</v>
      </c>
      <c r="F23" s="177" t="s">
        <v>534</v>
      </c>
      <c r="G23" s="179" t="s">
        <v>36</v>
      </c>
      <c r="H23" s="137" t="s">
        <v>162</v>
      </c>
      <c r="I23" s="137" t="s">
        <v>153</v>
      </c>
      <c r="J23" s="137" t="s">
        <v>38</v>
      </c>
      <c r="K23" s="137" t="s">
        <v>154</v>
      </c>
      <c r="L23" s="207">
        <v>1</v>
      </c>
      <c r="N23" s="207">
        <v>1</v>
      </c>
      <c r="O23" s="207">
        <v>0.5</v>
      </c>
      <c r="P23" s="234">
        <v>0.55000000000000004</v>
      </c>
      <c r="Q23" s="244">
        <f t="shared" si="0"/>
        <v>0.52500000000000002</v>
      </c>
      <c r="R23" s="187">
        <v>16.100000000000001</v>
      </c>
      <c r="S23" s="187">
        <v>154</v>
      </c>
      <c r="T23" s="216">
        <f t="shared" si="1"/>
        <v>30</v>
      </c>
      <c r="U23" s="192">
        <v>138</v>
      </c>
      <c r="V23" s="183">
        <f t="shared" si="2"/>
        <v>4140</v>
      </c>
      <c r="W23" s="189">
        <v>2</v>
      </c>
      <c r="X23" s="185" t="s">
        <v>46</v>
      </c>
      <c r="Y23" s="193" t="s">
        <v>50</v>
      </c>
      <c r="Z23" s="193" t="s">
        <v>90</v>
      </c>
      <c r="AA23" s="194" t="s">
        <v>84</v>
      </c>
      <c r="AB23" s="55" t="s">
        <v>336</v>
      </c>
      <c r="AP23" s="238" t="s">
        <v>425</v>
      </c>
      <c r="AR23" s="237" t="s">
        <v>61</v>
      </c>
      <c r="AV23" s="223"/>
    </row>
    <row r="24" spans="1:48" x14ac:dyDescent="0.15">
      <c r="A24" s="177" t="s">
        <v>34</v>
      </c>
      <c r="B24" s="177" t="s">
        <v>334</v>
      </c>
      <c r="C24" s="177">
        <v>2018</v>
      </c>
      <c r="D24" s="260" t="s">
        <v>429</v>
      </c>
      <c r="E24" s="178" t="s">
        <v>515</v>
      </c>
      <c r="F24" s="177" t="s">
        <v>534</v>
      </c>
      <c r="G24" s="179" t="s">
        <v>36</v>
      </c>
      <c r="H24" s="137" t="s">
        <v>162</v>
      </c>
      <c r="I24" s="137" t="s">
        <v>153</v>
      </c>
      <c r="J24" s="137" t="s">
        <v>38</v>
      </c>
      <c r="K24" s="137" t="s">
        <v>154</v>
      </c>
      <c r="L24" s="207">
        <v>2</v>
      </c>
      <c r="N24" s="207">
        <v>1</v>
      </c>
      <c r="O24" s="207">
        <v>0.45</v>
      </c>
      <c r="P24" s="234">
        <v>0.55000000000000004</v>
      </c>
      <c r="Q24" s="244">
        <f t="shared" si="0"/>
        <v>0.5</v>
      </c>
      <c r="R24" s="187">
        <v>15.5</v>
      </c>
      <c r="S24" s="187">
        <v>154</v>
      </c>
      <c r="T24" s="216">
        <f t="shared" si="1"/>
        <v>30</v>
      </c>
      <c r="U24" s="192">
        <v>138</v>
      </c>
      <c r="V24" s="183">
        <f t="shared" si="2"/>
        <v>4140</v>
      </c>
      <c r="W24" s="189">
        <v>2</v>
      </c>
      <c r="X24" s="185" t="s">
        <v>46</v>
      </c>
      <c r="Y24" s="193" t="s">
        <v>50</v>
      </c>
      <c r="Z24" s="193" t="s">
        <v>90</v>
      </c>
      <c r="AA24" s="194" t="s">
        <v>84</v>
      </c>
      <c r="AB24" s="55" t="s">
        <v>336</v>
      </c>
      <c r="AP24" s="238" t="s">
        <v>426</v>
      </c>
      <c r="AR24" s="237" t="s">
        <v>91</v>
      </c>
      <c r="AV24" s="223"/>
    </row>
    <row r="25" spans="1:48" x14ac:dyDescent="0.15">
      <c r="A25" s="177" t="s">
        <v>34</v>
      </c>
      <c r="B25" s="177" t="s">
        <v>334</v>
      </c>
      <c r="C25" s="178">
        <v>2018</v>
      </c>
      <c r="D25" s="260" t="s">
        <v>429</v>
      </c>
      <c r="E25" s="178" t="s">
        <v>515</v>
      </c>
      <c r="F25" s="177" t="s">
        <v>534</v>
      </c>
      <c r="G25" s="179" t="s">
        <v>36</v>
      </c>
      <c r="H25" s="137" t="s">
        <v>162</v>
      </c>
      <c r="I25" s="137" t="s">
        <v>153</v>
      </c>
      <c r="J25" s="137" t="s">
        <v>38</v>
      </c>
      <c r="K25" s="137" t="s">
        <v>154</v>
      </c>
      <c r="L25" s="207">
        <v>3</v>
      </c>
      <c r="N25" s="207">
        <v>1</v>
      </c>
      <c r="O25" s="207">
        <v>0.5</v>
      </c>
      <c r="P25" s="234">
        <v>0.6</v>
      </c>
      <c r="Q25" s="244">
        <f t="shared" si="0"/>
        <v>0.55000000000000004</v>
      </c>
      <c r="R25" s="187">
        <v>16.2</v>
      </c>
      <c r="S25" s="187">
        <v>152</v>
      </c>
      <c r="T25" s="216">
        <f t="shared" si="1"/>
        <v>30</v>
      </c>
      <c r="U25" s="192">
        <v>138</v>
      </c>
      <c r="V25" s="183">
        <f t="shared" si="2"/>
        <v>4140</v>
      </c>
      <c r="W25" s="189">
        <v>2</v>
      </c>
      <c r="X25" s="185" t="s">
        <v>46</v>
      </c>
      <c r="Y25" s="193" t="s">
        <v>50</v>
      </c>
      <c r="Z25" s="193" t="s">
        <v>90</v>
      </c>
      <c r="AA25" s="194" t="s">
        <v>84</v>
      </c>
      <c r="AB25" s="55" t="s">
        <v>336</v>
      </c>
      <c r="AP25" s="238" t="s">
        <v>116</v>
      </c>
      <c r="AR25" s="42" t="s">
        <v>92</v>
      </c>
      <c r="AV25" s="223"/>
    </row>
    <row r="26" spans="1:48" x14ac:dyDescent="0.15">
      <c r="A26" s="177" t="s">
        <v>34</v>
      </c>
      <c r="B26" s="177" t="s">
        <v>334</v>
      </c>
      <c r="C26" s="177">
        <v>2018</v>
      </c>
      <c r="D26" s="260" t="s">
        <v>429</v>
      </c>
      <c r="E26" s="178" t="s">
        <v>277</v>
      </c>
      <c r="F26" s="177" t="s">
        <v>278</v>
      </c>
      <c r="G26" s="179" t="s">
        <v>42</v>
      </c>
      <c r="H26" s="137" t="s">
        <v>155</v>
      </c>
      <c r="I26" s="137" t="s">
        <v>153</v>
      </c>
      <c r="J26" s="137" t="s">
        <v>38</v>
      </c>
      <c r="K26" s="137" t="s">
        <v>154</v>
      </c>
      <c r="L26" s="207">
        <v>1</v>
      </c>
      <c r="N26" s="207">
        <v>1</v>
      </c>
      <c r="O26" s="207">
        <v>0.65</v>
      </c>
      <c r="P26" s="236">
        <v>0.6</v>
      </c>
      <c r="Q26" s="244">
        <f t="shared" si="0"/>
        <v>0.625</v>
      </c>
      <c r="R26" s="187">
        <v>15.8</v>
      </c>
      <c r="S26" s="187">
        <v>139</v>
      </c>
      <c r="T26" s="216">
        <f t="shared" si="1"/>
        <v>30</v>
      </c>
      <c r="U26" s="192">
        <v>127</v>
      </c>
      <c r="V26" s="183">
        <f t="shared" si="2"/>
        <v>3810</v>
      </c>
      <c r="W26" s="189">
        <v>6</v>
      </c>
      <c r="X26" s="185" t="s">
        <v>46</v>
      </c>
      <c r="Y26" s="194" t="s">
        <v>50</v>
      </c>
      <c r="Z26" s="193" t="s">
        <v>90</v>
      </c>
      <c r="AA26" s="194" t="s">
        <v>84</v>
      </c>
      <c r="AB26" s="55" t="s">
        <v>336</v>
      </c>
      <c r="AP26" s="238" t="s">
        <v>117</v>
      </c>
      <c r="AR26" s="223" t="s">
        <v>287</v>
      </c>
      <c r="AV26" s="227"/>
    </row>
    <row r="27" spans="1:48" x14ac:dyDescent="0.15">
      <c r="A27" s="177" t="s">
        <v>34</v>
      </c>
      <c r="B27" s="177" t="s">
        <v>334</v>
      </c>
      <c r="C27" s="178">
        <v>2018</v>
      </c>
      <c r="D27" s="260" t="s">
        <v>429</v>
      </c>
      <c r="E27" s="178" t="s">
        <v>277</v>
      </c>
      <c r="F27" s="177" t="s">
        <v>278</v>
      </c>
      <c r="G27" s="179" t="s">
        <v>42</v>
      </c>
      <c r="H27" s="137" t="s">
        <v>155</v>
      </c>
      <c r="I27" s="137" t="s">
        <v>153</v>
      </c>
      <c r="J27" s="137" t="s">
        <v>38</v>
      </c>
      <c r="K27" s="137" t="s">
        <v>154</v>
      </c>
      <c r="L27" s="207">
        <v>2</v>
      </c>
      <c r="N27" s="207">
        <v>1</v>
      </c>
      <c r="O27" s="234">
        <v>0.7</v>
      </c>
      <c r="P27" s="236">
        <v>0.65</v>
      </c>
      <c r="Q27" s="244">
        <f t="shared" si="0"/>
        <v>0.67500000000000004</v>
      </c>
      <c r="R27" s="187">
        <v>16.2</v>
      </c>
      <c r="S27" s="187">
        <v>139</v>
      </c>
      <c r="T27" s="216">
        <f t="shared" si="1"/>
        <v>30</v>
      </c>
      <c r="U27" s="192">
        <v>127</v>
      </c>
      <c r="V27" s="183">
        <f t="shared" si="2"/>
        <v>3810</v>
      </c>
      <c r="W27" s="189">
        <v>6</v>
      </c>
      <c r="X27" s="185" t="s">
        <v>46</v>
      </c>
      <c r="Y27" s="194" t="s">
        <v>50</v>
      </c>
      <c r="Z27" s="193" t="s">
        <v>90</v>
      </c>
      <c r="AA27" s="194" t="s">
        <v>84</v>
      </c>
      <c r="AB27" s="55" t="s">
        <v>336</v>
      </c>
      <c r="AP27" s="238" t="s">
        <v>118</v>
      </c>
      <c r="AR27" s="223"/>
    </row>
    <row r="28" spans="1:48" x14ac:dyDescent="0.15">
      <c r="A28" s="177" t="s">
        <v>34</v>
      </c>
      <c r="B28" s="177" t="s">
        <v>334</v>
      </c>
      <c r="C28" s="177">
        <v>2018</v>
      </c>
      <c r="D28" s="260" t="s">
        <v>429</v>
      </c>
      <c r="E28" s="178" t="s">
        <v>277</v>
      </c>
      <c r="F28" s="177" t="s">
        <v>278</v>
      </c>
      <c r="G28" s="179" t="s">
        <v>42</v>
      </c>
      <c r="H28" s="137" t="s">
        <v>155</v>
      </c>
      <c r="I28" s="137" t="s">
        <v>153</v>
      </c>
      <c r="J28" s="137" t="s">
        <v>38</v>
      </c>
      <c r="K28" s="137" t="s">
        <v>154</v>
      </c>
      <c r="L28" s="207">
        <v>3</v>
      </c>
      <c r="N28" s="207">
        <v>1</v>
      </c>
      <c r="O28" s="234">
        <v>0.7</v>
      </c>
      <c r="P28" s="207">
        <v>0.55000000000000004</v>
      </c>
      <c r="Q28" s="244">
        <f t="shared" si="0"/>
        <v>0.625</v>
      </c>
      <c r="R28" s="187">
        <v>16.600000000000001</v>
      </c>
      <c r="S28" s="187">
        <v>136</v>
      </c>
      <c r="T28" s="216">
        <f t="shared" si="1"/>
        <v>30</v>
      </c>
      <c r="U28" s="192">
        <v>127</v>
      </c>
      <c r="V28" s="183">
        <f t="shared" si="2"/>
        <v>3810</v>
      </c>
      <c r="W28" s="189">
        <v>6</v>
      </c>
      <c r="X28" s="185" t="s">
        <v>46</v>
      </c>
      <c r="Y28" s="194" t="s">
        <v>50</v>
      </c>
      <c r="Z28" s="193" t="s">
        <v>90</v>
      </c>
      <c r="AA28" s="194" t="s">
        <v>84</v>
      </c>
      <c r="AB28" s="55" t="s">
        <v>336</v>
      </c>
      <c r="AR28" s="223"/>
    </row>
    <row r="29" spans="1:48" x14ac:dyDescent="0.15">
      <c r="A29" s="177" t="s">
        <v>34</v>
      </c>
      <c r="B29" s="177" t="s">
        <v>334</v>
      </c>
      <c r="C29" s="177">
        <v>2018</v>
      </c>
      <c r="D29" s="260" t="s">
        <v>429</v>
      </c>
      <c r="E29" s="178" t="s">
        <v>277</v>
      </c>
      <c r="F29" s="177" t="s">
        <v>278</v>
      </c>
      <c r="G29" s="179" t="s">
        <v>42</v>
      </c>
      <c r="H29" s="137" t="s">
        <v>162</v>
      </c>
      <c r="I29" s="137" t="s">
        <v>153</v>
      </c>
      <c r="J29" s="137" t="s">
        <v>38</v>
      </c>
      <c r="K29" s="137" t="s">
        <v>154</v>
      </c>
      <c r="L29" s="207">
        <v>1</v>
      </c>
      <c r="N29" s="207">
        <v>1</v>
      </c>
      <c r="O29" s="207">
        <v>0.6</v>
      </c>
      <c r="P29" s="207">
        <v>0.55000000000000004</v>
      </c>
      <c r="Q29" s="244">
        <f t="shared" si="0"/>
        <v>0.57499999999999996</v>
      </c>
      <c r="R29" s="187">
        <v>15.9</v>
      </c>
      <c r="S29" s="187">
        <v>153</v>
      </c>
      <c r="T29" s="216">
        <f t="shared" si="1"/>
        <v>30</v>
      </c>
      <c r="U29" s="192">
        <v>127</v>
      </c>
      <c r="V29" s="183">
        <f t="shared" si="2"/>
        <v>3810</v>
      </c>
      <c r="W29" s="189">
        <v>6</v>
      </c>
      <c r="X29" s="185" t="s">
        <v>46</v>
      </c>
      <c r="Y29" s="194" t="s">
        <v>50</v>
      </c>
      <c r="Z29" s="193" t="s">
        <v>90</v>
      </c>
      <c r="AA29" s="194" t="s">
        <v>84</v>
      </c>
      <c r="AB29" s="55" t="s">
        <v>336</v>
      </c>
      <c r="AR29" s="228"/>
    </row>
    <row r="30" spans="1:48" x14ac:dyDescent="0.15">
      <c r="A30" s="177" t="s">
        <v>34</v>
      </c>
      <c r="B30" s="177" t="s">
        <v>334</v>
      </c>
      <c r="C30" s="178">
        <v>2018</v>
      </c>
      <c r="D30" s="260" t="s">
        <v>429</v>
      </c>
      <c r="E30" s="178" t="s">
        <v>277</v>
      </c>
      <c r="F30" s="177" t="s">
        <v>278</v>
      </c>
      <c r="G30" s="179" t="s">
        <v>42</v>
      </c>
      <c r="H30" s="137" t="s">
        <v>162</v>
      </c>
      <c r="I30" s="137" t="s">
        <v>153</v>
      </c>
      <c r="J30" s="137" t="s">
        <v>38</v>
      </c>
      <c r="K30" s="137" t="s">
        <v>154</v>
      </c>
      <c r="L30" s="207">
        <v>2</v>
      </c>
      <c r="N30" s="207">
        <v>1</v>
      </c>
      <c r="O30" s="207">
        <v>0.55000000000000004</v>
      </c>
      <c r="P30" s="207">
        <v>0.6</v>
      </c>
      <c r="Q30" s="244">
        <f t="shared" si="0"/>
        <v>0.57499999999999996</v>
      </c>
      <c r="R30" s="187">
        <v>15.5</v>
      </c>
      <c r="S30" s="187">
        <v>177</v>
      </c>
      <c r="T30" s="216">
        <f t="shared" si="1"/>
        <v>30</v>
      </c>
      <c r="U30" s="192">
        <v>127</v>
      </c>
      <c r="V30" s="183">
        <f t="shared" si="2"/>
        <v>3810</v>
      </c>
      <c r="W30" s="189">
        <v>6</v>
      </c>
      <c r="X30" s="185" t="s">
        <v>46</v>
      </c>
      <c r="Y30" s="194" t="s">
        <v>50</v>
      </c>
      <c r="Z30" s="193" t="s">
        <v>90</v>
      </c>
      <c r="AA30" s="194" t="s">
        <v>84</v>
      </c>
      <c r="AB30" s="55" t="s">
        <v>336</v>
      </c>
    </row>
    <row r="31" spans="1:48" x14ac:dyDescent="0.15">
      <c r="A31" s="177" t="s">
        <v>34</v>
      </c>
      <c r="B31" s="177" t="s">
        <v>334</v>
      </c>
      <c r="C31" s="177">
        <v>2018</v>
      </c>
      <c r="D31" s="260" t="s">
        <v>429</v>
      </c>
      <c r="E31" s="178" t="s">
        <v>277</v>
      </c>
      <c r="F31" s="177" t="s">
        <v>278</v>
      </c>
      <c r="G31" s="179" t="s">
        <v>42</v>
      </c>
      <c r="H31" s="137" t="s">
        <v>162</v>
      </c>
      <c r="I31" s="137" t="s">
        <v>153</v>
      </c>
      <c r="J31" s="137" t="s">
        <v>38</v>
      </c>
      <c r="K31" s="137" t="s">
        <v>154</v>
      </c>
      <c r="L31" s="207">
        <v>3</v>
      </c>
      <c r="N31" s="207">
        <v>1</v>
      </c>
      <c r="O31" s="207">
        <v>0.6</v>
      </c>
      <c r="P31" s="207">
        <v>0.6</v>
      </c>
      <c r="Q31" s="244">
        <f t="shared" si="0"/>
        <v>0.6</v>
      </c>
      <c r="R31" s="187">
        <v>16</v>
      </c>
      <c r="S31" s="187">
        <v>167</v>
      </c>
      <c r="T31" s="216">
        <f t="shared" si="1"/>
        <v>30</v>
      </c>
      <c r="U31" s="192">
        <v>127</v>
      </c>
      <c r="V31" s="183">
        <f t="shared" si="2"/>
        <v>3810</v>
      </c>
      <c r="W31" s="189">
        <v>6</v>
      </c>
      <c r="X31" s="185" t="s">
        <v>46</v>
      </c>
      <c r="Y31" s="194" t="s">
        <v>50</v>
      </c>
      <c r="Z31" s="193" t="s">
        <v>90</v>
      </c>
      <c r="AA31" s="194" t="s">
        <v>84</v>
      </c>
      <c r="AB31" s="55" t="s">
        <v>336</v>
      </c>
    </row>
    <row r="32" spans="1:48" ht="14.25" customHeight="1" x14ac:dyDescent="0.15">
      <c r="A32" s="177" t="s">
        <v>34</v>
      </c>
      <c r="B32" s="177" t="s">
        <v>334</v>
      </c>
      <c r="C32" s="178">
        <v>2018</v>
      </c>
      <c r="D32" s="260" t="s">
        <v>429</v>
      </c>
      <c r="E32" s="178" t="s">
        <v>535</v>
      </c>
      <c r="F32" s="177" t="s">
        <v>278</v>
      </c>
      <c r="G32" s="179" t="s">
        <v>42</v>
      </c>
      <c r="H32" s="137" t="s">
        <v>155</v>
      </c>
      <c r="I32" s="137" t="s">
        <v>153</v>
      </c>
      <c r="J32" s="137" t="s">
        <v>38</v>
      </c>
      <c r="K32" s="137" t="s">
        <v>154</v>
      </c>
      <c r="L32" s="207">
        <v>1</v>
      </c>
      <c r="N32" s="207">
        <v>1</v>
      </c>
      <c r="O32" s="207">
        <v>0.75</v>
      </c>
      <c r="P32" s="207">
        <v>0.8</v>
      </c>
      <c r="Q32" s="244">
        <f t="shared" si="0"/>
        <v>0.77500000000000002</v>
      </c>
      <c r="R32" s="187">
        <v>14.5</v>
      </c>
      <c r="S32" s="187">
        <v>136</v>
      </c>
      <c r="T32" s="216">
        <f t="shared" si="1"/>
        <v>30</v>
      </c>
      <c r="U32" s="192">
        <v>99</v>
      </c>
      <c r="V32" s="183">
        <f t="shared" si="2"/>
        <v>2970</v>
      </c>
      <c r="W32" s="189">
        <v>2</v>
      </c>
      <c r="X32" s="185" t="s">
        <v>46</v>
      </c>
      <c r="Y32" s="194" t="s">
        <v>90</v>
      </c>
      <c r="Z32" s="193" t="s">
        <v>50</v>
      </c>
      <c r="AA32" s="193" t="s">
        <v>78</v>
      </c>
      <c r="AB32" s="55" t="s">
        <v>336</v>
      </c>
    </row>
    <row r="33" spans="1:28" x14ac:dyDescent="0.15">
      <c r="A33" s="177" t="s">
        <v>34</v>
      </c>
      <c r="B33" s="177" t="s">
        <v>334</v>
      </c>
      <c r="C33" s="177">
        <v>2018</v>
      </c>
      <c r="D33" s="260" t="s">
        <v>429</v>
      </c>
      <c r="E33" s="178" t="s">
        <v>535</v>
      </c>
      <c r="F33" s="177" t="s">
        <v>278</v>
      </c>
      <c r="G33" s="179" t="s">
        <v>42</v>
      </c>
      <c r="H33" s="137" t="s">
        <v>155</v>
      </c>
      <c r="I33" s="137" t="s">
        <v>153</v>
      </c>
      <c r="J33" s="137" t="s">
        <v>38</v>
      </c>
      <c r="K33" s="137" t="s">
        <v>154</v>
      </c>
      <c r="L33" s="207">
        <v>2</v>
      </c>
      <c r="N33" s="207">
        <v>1</v>
      </c>
      <c r="O33" s="207">
        <v>1</v>
      </c>
      <c r="P33" s="207">
        <v>0.95</v>
      </c>
      <c r="Q33" s="244">
        <f t="shared" si="0"/>
        <v>0.97499999999999998</v>
      </c>
      <c r="R33" s="187">
        <v>13.8</v>
      </c>
      <c r="S33" s="187">
        <v>138</v>
      </c>
      <c r="T33" s="216">
        <f t="shared" si="1"/>
        <v>30</v>
      </c>
      <c r="U33" s="192">
        <v>99</v>
      </c>
      <c r="V33" s="183">
        <f t="shared" si="2"/>
        <v>2970</v>
      </c>
      <c r="W33" s="189">
        <v>2</v>
      </c>
      <c r="X33" s="185" t="s">
        <v>46</v>
      </c>
      <c r="Y33" s="194" t="s">
        <v>90</v>
      </c>
      <c r="Z33" s="193" t="s">
        <v>50</v>
      </c>
      <c r="AA33" s="193" t="s">
        <v>78</v>
      </c>
      <c r="AB33" s="55" t="s">
        <v>336</v>
      </c>
    </row>
    <row r="34" spans="1:28" x14ac:dyDescent="0.15">
      <c r="A34" s="177" t="s">
        <v>34</v>
      </c>
      <c r="B34" s="177" t="s">
        <v>334</v>
      </c>
      <c r="C34" s="178">
        <v>2018</v>
      </c>
      <c r="D34" s="260" t="s">
        <v>429</v>
      </c>
      <c r="E34" s="178" t="s">
        <v>535</v>
      </c>
      <c r="F34" s="177" t="s">
        <v>278</v>
      </c>
      <c r="G34" s="179" t="s">
        <v>42</v>
      </c>
      <c r="H34" s="137" t="s">
        <v>155</v>
      </c>
      <c r="I34" s="137" t="s">
        <v>153</v>
      </c>
      <c r="J34" s="137" t="s">
        <v>38</v>
      </c>
      <c r="K34" s="137" t="s">
        <v>154</v>
      </c>
      <c r="L34" s="207">
        <v>3</v>
      </c>
      <c r="N34" s="207">
        <v>1</v>
      </c>
      <c r="O34" s="207">
        <v>1.1000000000000001</v>
      </c>
      <c r="P34" s="234">
        <v>0.9</v>
      </c>
      <c r="Q34" s="244">
        <f t="shared" si="0"/>
        <v>1</v>
      </c>
      <c r="R34" s="187">
        <v>13.6</v>
      </c>
      <c r="S34" s="187">
        <v>140</v>
      </c>
      <c r="T34" s="216">
        <f t="shared" si="1"/>
        <v>30</v>
      </c>
      <c r="U34" s="192">
        <v>99</v>
      </c>
      <c r="V34" s="183">
        <f t="shared" si="2"/>
        <v>2970</v>
      </c>
      <c r="W34" s="189">
        <v>2</v>
      </c>
      <c r="X34" s="185" t="s">
        <v>46</v>
      </c>
      <c r="Y34" s="194" t="s">
        <v>90</v>
      </c>
      <c r="Z34" s="193" t="s">
        <v>50</v>
      </c>
      <c r="AA34" s="193" t="s">
        <v>78</v>
      </c>
      <c r="AB34" s="55" t="s">
        <v>336</v>
      </c>
    </row>
    <row r="35" spans="1:28" x14ac:dyDescent="0.15">
      <c r="A35" s="177" t="s">
        <v>34</v>
      </c>
      <c r="B35" s="177" t="s">
        <v>334</v>
      </c>
      <c r="C35" s="177">
        <v>2018</v>
      </c>
      <c r="D35" s="260" t="s">
        <v>429</v>
      </c>
      <c r="E35" s="178" t="s">
        <v>535</v>
      </c>
      <c r="F35" s="177" t="s">
        <v>278</v>
      </c>
      <c r="G35" s="179" t="s">
        <v>42</v>
      </c>
      <c r="H35" s="137" t="s">
        <v>162</v>
      </c>
      <c r="I35" s="137" t="s">
        <v>153</v>
      </c>
      <c r="J35" s="137" t="s">
        <v>38</v>
      </c>
      <c r="K35" s="137" t="s">
        <v>154</v>
      </c>
      <c r="L35" s="207">
        <v>1</v>
      </c>
      <c r="N35" s="207">
        <v>1</v>
      </c>
      <c r="O35" s="207">
        <v>0.75</v>
      </c>
      <c r="P35" s="207">
        <v>0.7</v>
      </c>
      <c r="Q35" s="244">
        <f t="shared" si="0"/>
        <v>0.72499999999999998</v>
      </c>
      <c r="R35" s="187">
        <v>17.2</v>
      </c>
      <c r="S35" s="187">
        <v>138</v>
      </c>
      <c r="T35" s="216">
        <f t="shared" si="1"/>
        <v>30</v>
      </c>
      <c r="U35" s="192">
        <v>99</v>
      </c>
      <c r="V35" s="183">
        <f t="shared" si="2"/>
        <v>2970</v>
      </c>
      <c r="W35" s="189">
        <v>2</v>
      </c>
      <c r="X35" s="185" t="s">
        <v>46</v>
      </c>
      <c r="Y35" s="193" t="s">
        <v>90</v>
      </c>
      <c r="Z35" s="193" t="s">
        <v>50</v>
      </c>
      <c r="AA35" s="193" t="s">
        <v>78</v>
      </c>
      <c r="AB35" s="55" t="s">
        <v>336</v>
      </c>
    </row>
    <row r="36" spans="1:28" x14ac:dyDescent="0.15">
      <c r="A36" s="177" t="s">
        <v>34</v>
      </c>
      <c r="B36" s="177" t="s">
        <v>334</v>
      </c>
      <c r="C36" s="178">
        <v>2018</v>
      </c>
      <c r="D36" s="260" t="s">
        <v>429</v>
      </c>
      <c r="E36" s="178" t="s">
        <v>535</v>
      </c>
      <c r="F36" s="177" t="s">
        <v>278</v>
      </c>
      <c r="G36" s="179" t="s">
        <v>42</v>
      </c>
      <c r="H36" s="137" t="s">
        <v>162</v>
      </c>
      <c r="I36" s="137" t="s">
        <v>153</v>
      </c>
      <c r="J36" s="137" t="s">
        <v>38</v>
      </c>
      <c r="K36" s="137" t="s">
        <v>154</v>
      </c>
      <c r="L36" s="207">
        <v>2</v>
      </c>
      <c r="N36" s="207">
        <v>1</v>
      </c>
      <c r="O36" s="207">
        <v>0.8</v>
      </c>
      <c r="P36" s="207">
        <v>0.7</v>
      </c>
      <c r="Q36" s="244">
        <f t="shared" si="0"/>
        <v>0.75</v>
      </c>
      <c r="R36" s="187">
        <v>16.8</v>
      </c>
      <c r="S36" s="187">
        <v>138</v>
      </c>
      <c r="T36" s="216">
        <f t="shared" si="1"/>
        <v>30</v>
      </c>
      <c r="U36" s="192">
        <v>99</v>
      </c>
      <c r="V36" s="183">
        <f t="shared" si="2"/>
        <v>2970</v>
      </c>
      <c r="W36" s="189">
        <v>2</v>
      </c>
      <c r="X36" s="185" t="s">
        <v>46</v>
      </c>
      <c r="Y36" s="193" t="s">
        <v>90</v>
      </c>
      <c r="Z36" s="193" t="s">
        <v>50</v>
      </c>
      <c r="AA36" s="193" t="s">
        <v>78</v>
      </c>
      <c r="AB36" s="55" t="s">
        <v>336</v>
      </c>
    </row>
    <row r="37" spans="1:28" x14ac:dyDescent="0.15">
      <c r="A37" s="177" t="s">
        <v>34</v>
      </c>
      <c r="B37" s="177" t="s">
        <v>334</v>
      </c>
      <c r="C37" s="177">
        <v>2018</v>
      </c>
      <c r="D37" s="260" t="s">
        <v>429</v>
      </c>
      <c r="E37" s="178" t="s">
        <v>535</v>
      </c>
      <c r="F37" s="177" t="s">
        <v>278</v>
      </c>
      <c r="G37" s="179" t="s">
        <v>42</v>
      </c>
      <c r="H37" s="137" t="s">
        <v>162</v>
      </c>
      <c r="I37" s="137" t="s">
        <v>153</v>
      </c>
      <c r="J37" s="137" t="s">
        <v>38</v>
      </c>
      <c r="K37" s="137" t="s">
        <v>154</v>
      </c>
      <c r="L37" s="207">
        <v>3</v>
      </c>
      <c r="N37" s="207">
        <v>1</v>
      </c>
      <c r="O37" s="207">
        <v>0.7</v>
      </c>
      <c r="P37" s="207">
        <v>0.65</v>
      </c>
      <c r="Q37" s="244">
        <f t="shared" si="0"/>
        <v>0.67500000000000004</v>
      </c>
      <c r="R37" s="187">
        <v>17.399999999999999</v>
      </c>
      <c r="S37" s="187">
        <v>139</v>
      </c>
      <c r="T37" s="216">
        <f t="shared" si="1"/>
        <v>30</v>
      </c>
      <c r="U37" s="192">
        <v>99</v>
      </c>
      <c r="V37" s="183">
        <f t="shared" si="2"/>
        <v>2970</v>
      </c>
      <c r="W37" s="189">
        <v>2</v>
      </c>
      <c r="X37" s="185" t="s">
        <v>46</v>
      </c>
      <c r="Y37" s="193" t="s">
        <v>90</v>
      </c>
      <c r="Z37" s="193" t="s">
        <v>50</v>
      </c>
      <c r="AA37" s="193" t="s">
        <v>78</v>
      </c>
      <c r="AB37" s="55" t="s">
        <v>336</v>
      </c>
    </row>
    <row r="38" spans="1:28" x14ac:dyDescent="0.15">
      <c r="A38" s="177" t="s">
        <v>34</v>
      </c>
      <c r="B38" s="177" t="s">
        <v>334</v>
      </c>
      <c r="C38" s="178">
        <v>2018</v>
      </c>
      <c r="D38" s="260" t="s">
        <v>429</v>
      </c>
      <c r="E38" s="178" t="s">
        <v>277</v>
      </c>
      <c r="F38" s="177" t="s">
        <v>285</v>
      </c>
      <c r="G38" s="179" t="s">
        <v>42</v>
      </c>
      <c r="H38" s="137" t="s">
        <v>155</v>
      </c>
      <c r="I38" s="137" t="s">
        <v>153</v>
      </c>
      <c r="J38" s="137" t="s">
        <v>38</v>
      </c>
      <c r="K38" s="137" t="s">
        <v>154</v>
      </c>
      <c r="L38" s="207">
        <v>1</v>
      </c>
      <c r="N38" s="207">
        <v>4</v>
      </c>
      <c r="O38" s="207">
        <v>0.3</v>
      </c>
      <c r="P38" s="207">
        <v>0.25</v>
      </c>
      <c r="Q38" s="244">
        <f t="shared" si="0"/>
        <v>0.27500000000000002</v>
      </c>
      <c r="R38" s="187">
        <v>15.1</v>
      </c>
      <c r="S38" s="187">
        <v>117</v>
      </c>
      <c r="T38" s="216">
        <f t="shared" si="1"/>
        <v>30</v>
      </c>
      <c r="U38" s="192">
        <v>477</v>
      </c>
      <c r="V38" s="183">
        <f t="shared" si="2"/>
        <v>3577.5</v>
      </c>
      <c r="W38" s="189">
        <v>6</v>
      </c>
      <c r="X38" s="185" t="s">
        <v>46</v>
      </c>
      <c r="Y38" s="193" t="s">
        <v>84</v>
      </c>
      <c r="Z38" s="193" t="s">
        <v>78</v>
      </c>
      <c r="AA38" s="193" t="s">
        <v>90</v>
      </c>
      <c r="AB38" s="55" t="s">
        <v>336</v>
      </c>
    </row>
    <row r="39" spans="1:28" x14ac:dyDescent="0.15">
      <c r="A39" s="177" t="s">
        <v>34</v>
      </c>
      <c r="B39" s="177" t="s">
        <v>334</v>
      </c>
      <c r="C39" s="177">
        <v>2018</v>
      </c>
      <c r="D39" s="260" t="s">
        <v>429</v>
      </c>
      <c r="E39" s="178" t="s">
        <v>277</v>
      </c>
      <c r="F39" s="177" t="s">
        <v>285</v>
      </c>
      <c r="G39" s="179" t="s">
        <v>42</v>
      </c>
      <c r="H39" s="137" t="s">
        <v>155</v>
      </c>
      <c r="I39" s="137" t="s">
        <v>153</v>
      </c>
      <c r="J39" s="137" t="s">
        <v>38</v>
      </c>
      <c r="K39" s="137" t="s">
        <v>154</v>
      </c>
      <c r="L39" s="207">
        <v>2</v>
      </c>
      <c r="N39" s="207">
        <v>4</v>
      </c>
      <c r="O39" s="207">
        <v>0.35</v>
      </c>
      <c r="P39" s="207">
        <v>0.3</v>
      </c>
      <c r="Q39" s="244">
        <f t="shared" si="0"/>
        <v>0.32499999999999996</v>
      </c>
      <c r="R39" s="187">
        <v>14.7</v>
      </c>
      <c r="S39" s="187">
        <v>116</v>
      </c>
      <c r="T39" s="216">
        <f t="shared" si="1"/>
        <v>30</v>
      </c>
      <c r="U39" s="192">
        <v>477</v>
      </c>
      <c r="V39" s="183">
        <f t="shared" si="2"/>
        <v>3577.5</v>
      </c>
      <c r="W39" s="189">
        <v>6</v>
      </c>
      <c r="X39" s="185" t="s">
        <v>46</v>
      </c>
      <c r="Y39" s="193" t="s">
        <v>84</v>
      </c>
      <c r="Z39" s="193" t="s">
        <v>78</v>
      </c>
      <c r="AA39" s="193" t="s">
        <v>90</v>
      </c>
      <c r="AB39" s="55" t="s">
        <v>336</v>
      </c>
    </row>
    <row r="40" spans="1:28" ht="12.75" customHeight="1" x14ac:dyDescent="0.15">
      <c r="A40" s="177" t="s">
        <v>34</v>
      </c>
      <c r="B40" s="177" t="s">
        <v>334</v>
      </c>
      <c r="C40" s="178">
        <v>2018</v>
      </c>
      <c r="D40" s="260" t="s">
        <v>429</v>
      </c>
      <c r="E40" s="178" t="s">
        <v>277</v>
      </c>
      <c r="F40" s="177" t="s">
        <v>285</v>
      </c>
      <c r="G40" s="179" t="s">
        <v>42</v>
      </c>
      <c r="H40" s="137" t="s">
        <v>155</v>
      </c>
      <c r="I40" s="137" t="s">
        <v>153</v>
      </c>
      <c r="J40" s="137" t="s">
        <v>38</v>
      </c>
      <c r="K40" s="137" t="s">
        <v>154</v>
      </c>
      <c r="L40" s="207">
        <v>3</v>
      </c>
      <c r="N40" s="207">
        <v>4</v>
      </c>
      <c r="O40" s="207">
        <v>0.4</v>
      </c>
      <c r="P40" s="207">
        <v>0.35</v>
      </c>
      <c r="Q40" s="244">
        <f t="shared" si="0"/>
        <v>0.375</v>
      </c>
      <c r="R40" s="187">
        <v>15.5</v>
      </c>
      <c r="S40" s="187">
        <v>110</v>
      </c>
      <c r="T40" s="216">
        <f t="shared" si="1"/>
        <v>33</v>
      </c>
      <c r="U40" s="192">
        <v>477</v>
      </c>
      <c r="V40" s="183">
        <f t="shared" si="2"/>
        <v>3935.25</v>
      </c>
      <c r="W40" s="189">
        <v>6</v>
      </c>
      <c r="X40" s="185" t="s">
        <v>46</v>
      </c>
      <c r="Y40" s="193" t="s">
        <v>84</v>
      </c>
      <c r="Z40" s="193" t="s">
        <v>78</v>
      </c>
      <c r="AA40" s="193" t="s">
        <v>90</v>
      </c>
      <c r="AB40" s="55" t="s">
        <v>336</v>
      </c>
    </row>
    <row r="41" spans="1:28" ht="12.75" customHeight="1" x14ac:dyDescent="0.15">
      <c r="A41" s="137" t="s">
        <v>34</v>
      </c>
      <c r="B41" s="177" t="s">
        <v>334</v>
      </c>
      <c r="C41" s="178">
        <v>2018</v>
      </c>
      <c r="D41" s="260" t="s">
        <v>429</v>
      </c>
      <c r="E41" s="178" t="s">
        <v>277</v>
      </c>
      <c r="F41" s="177" t="s">
        <v>285</v>
      </c>
      <c r="G41" s="179" t="s">
        <v>42</v>
      </c>
      <c r="H41" s="137" t="s">
        <v>162</v>
      </c>
      <c r="I41" s="137" t="s">
        <v>153</v>
      </c>
      <c r="J41" s="137" t="s">
        <v>38</v>
      </c>
      <c r="K41" s="137" t="s">
        <v>154</v>
      </c>
      <c r="L41" s="207">
        <v>1</v>
      </c>
      <c r="N41" s="207">
        <v>1</v>
      </c>
      <c r="O41" s="207">
        <v>0.5</v>
      </c>
      <c r="P41" s="207">
        <v>0.55000000000000004</v>
      </c>
      <c r="Q41" s="244">
        <f t="shared" si="0"/>
        <v>0.52500000000000002</v>
      </c>
      <c r="R41" s="187">
        <v>16.2</v>
      </c>
      <c r="S41" s="187">
        <v>154</v>
      </c>
      <c r="T41" s="216">
        <f t="shared" si="1"/>
        <v>30</v>
      </c>
      <c r="U41" s="192">
        <v>127</v>
      </c>
      <c r="V41" s="183">
        <f t="shared" si="2"/>
        <v>3810</v>
      </c>
      <c r="W41" s="246">
        <v>6</v>
      </c>
      <c r="X41" s="185" t="s">
        <v>46</v>
      </c>
      <c r="Y41" s="197" t="s">
        <v>84</v>
      </c>
      <c r="Z41" s="197" t="s">
        <v>78</v>
      </c>
      <c r="AA41" s="197" t="s">
        <v>90</v>
      </c>
      <c r="AB41" s="55" t="s">
        <v>336</v>
      </c>
    </row>
    <row r="42" spans="1:28" ht="12.75" customHeight="1" x14ac:dyDescent="0.15">
      <c r="A42" s="137" t="s">
        <v>34</v>
      </c>
      <c r="B42" s="177" t="s">
        <v>334</v>
      </c>
      <c r="C42" s="178">
        <v>2018</v>
      </c>
      <c r="D42" s="260" t="s">
        <v>429</v>
      </c>
      <c r="E42" s="178" t="s">
        <v>277</v>
      </c>
      <c r="F42" s="177" t="s">
        <v>285</v>
      </c>
      <c r="G42" s="179" t="s">
        <v>42</v>
      </c>
      <c r="H42" s="137" t="s">
        <v>162</v>
      </c>
      <c r="I42" s="137" t="s">
        <v>153</v>
      </c>
      <c r="J42" s="137" t="s">
        <v>38</v>
      </c>
      <c r="K42" s="137" t="s">
        <v>154</v>
      </c>
      <c r="L42" s="207">
        <v>2</v>
      </c>
      <c r="N42" s="207">
        <v>1</v>
      </c>
      <c r="O42" s="207">
        <v>0.55000000000000004</v>
      </c>
      <c r="P42" s="207">
        <v>0.5</v>
      </c>
      <c r="Q42" s="244">
        <f t="shared" si="0"/>
        <v>0.52500000000000002</v>
      </c>
      <c r="R42" s="187">
        <v>16.600000000000001</v>
      </c>
      <c r="S42" s="187">
        <v>151</v>
      </c>
      <c r="T42" s="216">
        <f t="shared" si="1"/>
        <v>30</v>
      </c>
      <c r="U42" s="192">
        <v>127</v>
      </c>
      <c r="V42" s="183">
        <f t="shared" si="2"/>
        <v>3810</v>
      </c>
      <c r="W42" s="246">
        <v>6</v>
      </c>
      <c r="X42" s="185" t="s">
        <v>46</v>
      </c>
      <c r="Y42" s="197" t="s">
        <v>84</v>
      </c>
      <c r="Z42" s="197" t="s">
        <v>78</v>
      </c>
      <c r="AA42" s="197" t="s">
        <v>90</v>
      </c>
      <c r="AB42" s="55" t="s">
        <v>336</v>
      </c>
    </row>
    <row r="43" spans="1:28" ht="12.75" customHeight="1" x14ac:dyDescent="0.15">
      <c r="A43" s="137" t="s">
        <v>34</v>
      </c>
      <c r="B43" s="177" t="s">
        <v>334</v>
      </c>
      <c r="C43" s="178">
        <v>2018</v>
      </c>
      <c r="D43" s="260" t="s">
        <v>429</v>
      </c>
      <c r="E43" s="178" t="s">
        <v>277</v>
      </c>
      <c r="F43" s="177" t="s">
        <v>285</v>
      </c>
      <c r="G43" s="179" t="s">
        <v>42</v>
      </c>
      <c r="H43" s="137" t="s">
        <v>162</v>
      </c>
      <c r="I43" s="137" t="s">
        <v>153</v>
      </c>
      <c r="J43" s="137" t="s">
        <v>38</v>
      </c>
      <c r="K43" s="137" t="s">
        <v>154</v>
      </c>
      <c r="L43" s="207">
        <v>3</v>
      </c>
      <c r="N43" s="207">
        <v>1</v>
      </c>
      <c r="O43" s="207">
        <v>0.6</v>
      </c>
      <c r="P43" s="207">
        <v>0.55000000000000004</v>
      </c>
      <c r="Q43" s="244">
        <f t="shared" si="0"/>
        <v>0.57499999999999996</v>
      </c>
      <c r="R43" s="187">
        <v>15.5</v>
      </c>
      <c r="S43" s="187">
        <v>155</v>
      </c>
      <c r="T43" s="216">
        <f t="shared" si="1"/>
        <v>30</v>
      </c>
      <c r="U43" s="192">
        <v>127</v>
      </c>
      <c r="V43" s="183">
        <f t="shared" si="2"/>
        <v>3810</v>
      </c>
      <c r="W43" s="246">
        <v>6</v>
      </c>
      <c r="X43" s="185" t="s">
        <v>46</v>
      </c>
      <c r="Y43" s="197" t="s">
        <v>84</v>
      </c>
      <c r="Z43" s="197" t="s">
        <v>78</v>
      </c>
      <c r="AA43" s="197" t="s">
        <v>90</v>
      </c>
      <c r="AB43" s="55" t="s">
        <v>336</v>
      </c>
    </row>
    <row r="44" spans="1:28" x14ac:dyDescent="0.15">
      <c r="A44" s="207" t="s">
        <v>34</v>
      </c>
      <c r="B44" s="177" t="s">
        <v>334</v>
      </c>
      <c r="C44" s="178">
        <v>2018</v>
      </c>
      <c r="D44" s="260" t="s">
        <v>429</v>
      </c>
      <c r="E44" s="178" t="s">
        <v>139</v>
      </c>
      <c r="F44" s="177" t="s">
        <v>285</v>
      </c>
      <c r="G44" s="179" t="s">
        <v>36</v>
      </c>
      <c r="H44" s="137" t="s">
        <v>155</v>
      </c>
      <c r="I44" s="137" t="s">
        <v>156</v>
      </c>
      <c r="J44" s="246" t="s">
        <v>38</v>
      </c>
      <c r="K44" s="137" t="s">
        <v>154</v>
      </c>
      <c r="L44" s="207">
        <v>1</v>
      </c>
      <c r="N44" s="207">
        <v>1</v>
      </c>
      <c r="O44" s="207">
        <v>0.55000000000000004</v>
      </c>
      <c r="P44" s="207">
        <v>0.6</v>
      </c>
      <c r="Q44" s="244">
        <f t="shared" si="0"/>
        <v>0.57499999999999996</v>
      </c>
      <c r="R44" s="187">
        <v>15.4</v>
      </c>
      <c r="S44" s="187">
        <v>147</v>
      </c>
      <c r="T44" s="216">
        <f t="shared" si="1"/>
        <v>30</v>
      </c>
      <c r="U44" s="192">
        <v>138</v>
      </c>
      <c r="V44" s="216">
        <f t="shared" si="2"/>
        <v>4140</v>
      </c>
      <c r="W44" s="207">
        <v>14</v>
      </c>
      <c r="X44" s="185" t="s">
        <v>46</v>
      </c>
      <c r="Y44" s="197" t="s">
        <v>50</v>
      </c>
      <c r="Z44" s="197" t="s">
        <v>86</v>
      </c>
      <c r="AA44" s="197" t="s">
        <v>90</v>
      </c>
      <c r="AB44" s="55" t="s">
        <v>336</v>
      </c>
    </row>
    <row r="45" spans="1:28" x14ac:dyDescent="0.15">
      <c r="A45" s="207" t="s">
        <v>34</v>
      </c>
      <c r="B45" s="177" t="s">
        <v>334</v>
      </c>
      <c r="C45" s="177">
        <v>2018</v>
      </c>
      <c r="D45" s="260" t="s">
        <v>429</v>
      </c>
      <c r="E45" s="178" t="s">
        <v>139</v>
      </c>
      <c r="F45" s="177" t="s">
        <v>285</v>
      </c>
      <c r="G45" s="179" t="s">
        <v>36</v>
      </c>
      <c r="H45" s="137" t="s">
        <v>155</v>
      </c>
      <c r="I45" s="137" t="s">
        <v>156</v>
      </c>
      <c r="J45" s="246" t="s">
        <v>38</v>
      </c>
      <c r="K45" s="137" t="s">
        <v>154</v>
      </c>
      <c r="L45" s="207">
        <v>2</v>
      </c>
      <c r="N45" s="207">
        <v>1</v>
      </c>
      <c r="O45" s="207">
        <v>0.7</v>
      </c>
      <c r="P45" s="207">
        <v>0.55000000000000004</v>
      </c>
      <c r="Q45" s="244">
        <f t="shared" si="0"/>
        <v>0.625</v>
      </c>
      <c r="R45" s="187">
        <v>15.1</v>
      </c>
      <c r="S45" s="187">
        <v>158</v>
      </c>
      <c r="T45" s="216">
        <f t="shared" si="1"/>
        <v>30</v>
      </c>
      <c r="U45" s="192">
        <v>138</v>
      </c>
      <c r="V45" s="216">
        <f t="shared" si="2"/>
        <v>4140</v>
      </c>
      <c r="W45" s="207">
        <v>14</v>
      </c>
      <c r="X45" s="185" t="s">
        <v>46</v>
      </c>
      <c r="Y45" s="197" t="s">
        <v>50</v>
      </c>
      <c r="Z45" s="197" t="s">
        <v>86</v>
      </c>
      <c r="AA45" s="197" t="s">
        <v>90</v>
      </c>
      <c r="AB45" s="55" t="s">
        <v>336</v>
      </c>
    </row>
    <row r="46" spans="1:28" x14ac:dyDescent="0.15">
      <c r="A46" s="207" t="s">
        <v>34</v>
      </c>
      <c r="B46" s="177" t="s">
        <v>334</v>
      </c>
      <c r="C46" s="178">
        <v>2018</v>
      </c>
      <c r="D46" s="260" t="s">
        <v>429</v>
      </c>
      <c r="E46" s="178" t="s">
        <v>139</v>
      </c>
      <c r="F46" s="177" t="s">
        <v>285</v>
      </c>
      <c r="G46" s="179" t="s">
        <v>36</v>
      </c>
      <c r="H46" s="137" t="s">
        <v>155</v>
      </c>
      <c r="I46" s="137" t="s">
        <v>156</v>
      </c>
      <c r="J46" s="246" t="s">
        <v>38</v>
      </c>
      <c r="K46" s="137" t="s">
        <v>154</v>
      </c>
      <c r="L46" s="207">
        <v>3</v>
      </c>
      <c r="N46" s="207">
        <v>1</v>
      </c>
      <c r="O46" s="207">
        <v>0.55000000000000004</v>
      </c>
      <c r="P46" s="207">
        <v>0.65</v>
      </c>
      <c r="Q46" s="244">
        <f t="shared" si="0"/>
        <v>0.60000000000000009</v>
      </c>
      <c r="R46" s="187">
        <v>15.1</v>
      </c>
      <c r="S46" s="187">
        <v>167</v>
      </c>
      <c r="T46" s="216">
        <f t="shared" si="1"/>
        <v>30</v>
      </c>
      <c r="U46" s="192">
        <v>138</v>
      </c>
      <c r="V46" s="216">
        <f t="shared" si="2"/>
        <v>4140</v>
      </c>
      <c r="W46" s="207">
        <v>14</v>
      </c>
      <c r="X46" s="185" t="s">
        <v>46</v>
      </c>
      <c r="Y46" s="197" t="s">
        <v>50</v>
      </c>
      <c r="Z46" s="197" t="s">
        <v>86</v>
      </c>
      <c r="AA46" s="197" t="s">
        <v>90</v>
      </c>
      <c r="AB46" s="55" t="s">
        <v>336</v>
      </c>
    </row>
    <row r="47" spans="1:28" x14ac:dyDescent="0.15">
      <c r="A47" s="207" t="s">
        <v>34</v>
      </c>
      <c r="B47" s="234" t="s">
        <v>334</v>
      </c>
      <c r="C47" s="207">
        <v>2018</v>
      </c>
      <c r="D47" s="260" t="s">
        <v>429</v>
      </c>
      <c r="E47" s="207" t="s">
        <v>139</v>
      </c>
      <c r="F47" s="177" t="s">
        <v>285</v>
      </c>
      <c r="G47" s="179" t="s">
        <v>36</v>
      </c>
      <c r="H47" s="137" t="s">
        <v>162</v>
      </c>
      <c r="I47" s="137" t="s">
        <v>153</v>
      </c>
      <c r="J47" s="246" t="s">
        <v>38</v>
      </c>
      <c r="K47" s="137" t="s">
        <v>154</v>
      </c>
      <c r="L47" s="207">
        <v>1</v>
      </c>
      <c r="N47" s="207">
        <v>1</v>
      </c>
      <c r="O47" s="207">
        <v>0.55000000000000004</v>
      </c>
      <c r="P47" s="207">
        <v>0.5</v>
      </c>
      <c r="Q47" s="244">
        <f t="shared" si="0"/>
        <v>0.52500000000000002</v>
      </c>
      <c r="R47" s="187">
        <v>15.5</v>
      </c>
      <c r="S47" s="187">
        <v>183</v>
      </c>
      <c r="T47" s="216">
        <f t="shared" si="1"/>
        <v>30</v>
      </c>
      <c r="U47" s="207">
        <v>178</v>
      </c>
      <c r="V47" s="216">
        <f t="shared" si="2"/>
        <v>5340</v>
      </c>
      <c r="W47" s="207">
        <v>14</v>
      </c>
      <c r="X47" s="185" t="s">
        <v>46</v>
      </c>
      <c r="Y47" s="207" t="s">
        <v>50</v>
      </c>
      <c r="Z47" s="207" t="s">
        <v>86</v>
      </c>
      <c r="AA47" s="207" t="s">
        <v>90</v>
      </c>
      <c r="AB47" s="55" t="s">
        <v>336</v>
      </c>
    </row>
    <row r="48" spans="1:28" x14ac:dyDescent="0.15">
      <c r="A48" s="207" t="s">
        <v>34</v>
      </c>
      <c r="B48" s="234" t="s">
        <v>334</v>
      </c>
      <c r="C48" s="207">
        <v>2018</v>
      </c>
      <c r="D48" s="260" t="s">
        <v>429</v>
      </c>
      <c r="E48" s="207" t="s">
        <v>139</v>
      </c>
      <c r="F48" s="177" t="s">
        <v>285</v>
      </c>
      <c r="G48" s="179" t="s">
        <v>36</v>
      </c>
      <c r="H48" s="137" t="s">
        <v>162</v>
      </c>
      <c r="I48" s="137" t="s">
        <v>153</v>
      </c>
      <c r="J48" s="246" t="s">
        <v>38</v>
      </c>
      <c r="K48" s="137" t="s">
        <v>154</v>
      </c>
      <c r="L48" s="207">
        <v>2</v>
      </c>
      <c r="N48" s="207">
        <v>1</v>
      </c>
      <c r="O48" s="207">
        <v>0.5</v>
      </c>
      <c r="P48" s="207">
        <v>0.55000000000000004</v>
      </c>
      <c r="Q48" s="244">
        <f t="shared" si="0"/>
        <v>0.52500000000000002</v>
      </c>
      <c r="R48" s="187">
        <v>15.9</v>
      </c>
      <c r="S48" s="187">
        <v>181</v>
      </c>
      <c r="T48" s="216">
        <f t="shared" si="1"/>
        <v>30</v>
      </c>
      <c r="U48" s="207">
        <v>178</v>
      </c>
      <c r="V48" s="216">
        <f t="shared" si="2"/>
        <v>5340</v>
      </c>
      <c r="W48" s="207">
        <v>14</v>
      </c>
      <c r="X48" s="185" t="s">
        <v>46</v>
      </c>
      <c r="Y48" s="207" t="s">
        <v>50</v>
      </c>
      <c r="Z48" s="207" t="s">
        <v>86</v>
      </c>
      <c r="AA48" s="207" t="s">
        <v>90</v>
      </c>
      <c r="AB48" s="55" t="s">
        <v>336</v>
      </c>
    </row>
    <row r="49" spans="1:28" x14ac:dyDescent="0.15">
      <c r="A49" s="207" t="s">
        <v>34</v>
      </c>
      <c r="B49" s="234" t="s">
        <v>334</v>
      </c>
      <c r="C49" s="207">
        <v>2018</v>
      </c>
      <c r="D49" s="260" t="s">
        <v>429</v>
      </c>
      <c r="E49" s="207" t="s">
        <v>139</v>
      </c>
      <c r="F49" s="177" t="s">
        <v>285</v>
      </c>
      <c r="G49" s="179" t="s">
        <v>36</v>
      </c>
      <c r="H49" s="137" t="s">
        <v>162</v>
      </c>
      <c r="I49" s="137" t="s">
        <v>153</v>
      </c>
      <c r="J49" s="246" t="s">
        <v>38</v>
      </c>
      <c r="K49" s="137" t="s">
        <v>154</v>
      </c>
      <c r="L49" s="207">
        <v>3</v>
      </c>
      <c r="N49" s="207">
        <v>1</v>
      </c>
      <c r="O49" s="207">
        <v>0.6</v>
      </c>
      <c r="P49" s="207">
        <v>0.55000000000000004</v>
      </c>
      <c r="Q49" s="244">
        <f t="shared" si="0"/>
        <v>0.57499999999999996</v>
      </c>
      <c r="R49" s="187">
        <v>15.3</v>
      </c>
      <c r="S49" s="187">
        <v>193</v>
      </c>
      <c r="T49" s="216">
        <f t="shared" si="1"/>
        <v>30</v>
      </c>
      <c r="U49" s="207">
        <v>178</v>
      </c>
      <c r="V49" s="216">
        <f t="shared" si="2"/>
        <v>5340</v>
      </c>
      <c r="W49" s="207">
        <v>14</v>
      </c>
      <c r="X49" s="185" t="s">
        <v>46</v>
      </c>
      <c r="Y49" s="207" t="s">
        <v>50</v>
      </c>
      <c r="Z49" s="207" t="s">
        <v>86</v>
      </c>
      <c r="AA49" s="207" t="s">
        <v>90</v>
      </c>
      <c r="AB49" s="55" t="s">
        <v>336</v>
      </c>
    </row>
    <row r="50" spans="1:28" x14ac:dyDescent="0.15">
      <c r="A50" s="207" t="s">
        <v>34</v>
      </c>
      <c r="B50" s="207" t="s">
        <v>334</v>
      </c>
      <c r="C50" s="207">
        <v>2018</v>
      </c>
      <c r="D50" s="260" t="s">
        <v>429</v>
      </c>
      <c r="E50" s="207" t="s">
        <v>133</v>
      </c>
      <c r="F50" s="177" t="s">
        <v>279</v>
      </c>
      <c r="G50" s="179" t="s">
        <v>36</v>
      </c>
      <c r="H50" s="246" t="s">
        <v>155</v>
      </c>
      <c r="I50" s="246" t="s">
        <v>153</v>
      </c>
      <c r="J50" s="246" t="s">
        <v>38</v>
      </c>
      <c r="K50" s="137" t="s">
        <v>154</v>
      </c>
      <c r="L50" s="207">
        <v>1</v>
      </c>
      <c r="N50" s="207">
        <v>1</v>
      </c>
      <c r="O50" s="207">
        <v>1</v>
      </c>
      <c r="P50" s="207">
        <v>0.9</v>
      </c>
      <c r="Q50" s="244">
        <f t="shared" si="0"/>
        <v>0.95</v>
      </c>
      <c r="R50" s="207">
        <v>16.7</v>
      </c>
      <c r="S50" s="207">
        <v>153</v>
      </c>
      <c r="T50" s="216">
        <f t="shared" si="1"/>
        <v>30</v>
      </c>
      <c r="U50" s="207">
        <v>105</v>
      </c>
      <c r="V50" s="216">
        <f t="shared" si="2"/>
        <v>3150</v>
      </c>
      <c r="W50" s="207">
        <v>18</v>
      </c>
      <c r="X50" s="185" t="s">
        <v>46</v>
      </c>
      <c r="Y50" s="207" t="s">
        <v>69</v>
      </c>
      <c r="Z50" s="207" t="s">
        <v>50</v>
      </c>
      <c r="AA50" s="207" t="s">
        <v>84</v>
      </c>
      <c r="AB50" s="207" t="s">
        <v>336</v>
      </c>
    </row>
    <row r="51" spans="1:28" x14ac:dyDescent="0.15">
      <c r="A51" s="207" t="s">
        <v>34</v>
      </c>
      <c r="B51" s="207" t="s">
        <v>334</v>
      </c>
      <c r="C51" s="207">
        <v>2018</v>
      </c>
      <c r="D51" s="260" t="s">
        <v>429</v>
      </c>
      <c r="E51" s="207" t="s">
        <v>133</v>
      </c>
      <c r="F51" s="177" t="s">
        <v>279</v>
      </c>
      <c r="G51" s="179" t="s">
        <v>36</v>
      </c>
      <c r="H51" s="246" t="s">
        <v>155</v>
      </c>
      <c r="I51" s="246" t="s">
        <v>153</v>
      </c>
      <c r="J51" s="246" t="s">
        <v>38</v>
      </c>
      <c r="K51" s="137" t="s">
        <v>154</v>
      </c>
      <c r="L51" s="207">
        <v>2</v>
      </c>
      <c r="N51" s="207">
        <v>1</v>
      </c>
      <c r="O51" s="207">
        <v>0.95</v>
      </c>
      <c r="P51" s="207">
        <v>0.9</v>
      </c>
      <c r="Q51" s="244">
        <f t="shared" si="0"/>
        <v>0.92500000000000004</v>
      </c>
      <c r="R51" s="207">
        <v>15.8</v>
      </c>
      <c r="S51" s="207">
        <v>156</v>
      </c>
      <c r="T51" s="216">
        <f t="shared" si="1"/>
        <v>30</v>
      </c>
      <c r="U51" s="207">
        <v>105</v>
      </c>
      <c r="V51" s="216">
        <f t="shared" si="2"/>
        <v>3150</v>
      </c>
      <c r="W51" s="207">
        <v>18</v>
      </c>
      <c r="X51" s="185" t="s">
        <v>46</v>
      </c>
      <c r="Y51" s="207" t="s">
        <v>69</v>
      </c>
      <c r="Z51" s="207" t="s">
        <v>50</v>
      </c>
      <c r="AA51" s="207" t="s">
        <v>84</v>
      </c>
      <c r="AB51" s="207" t="s">
        <v>336</v>
      </c>
    </row>
    <row r="52" spans="1:28" x14ac:dyDescent="0.15">
      <c r="A52" s="207" t="s">
        <v>34</v>
      </c>
      <c r="B52" s="207" t="s">
        <v>334</v>
      </c>
      <c r="C52" s="207">
        <v>2018</v>
      </c>
      <c r="D52" s="260" t="s">
        <v>429</v>
      </c>
      <c r="E52" s="207" t="s">
        <v>133</v>
      </c>
      <c r="F52" s="177" t="s">
        <v>279</v>
      </c>
      <c r="G52" s="179" t="s">
        <v>36</v>
      </c>
      <c r="H52" s="246" t="s">
        <v>155</v>
      </c>
      <c r="I52" s="246" t="s">
        <v>153</v>
      </c>
      <c r="J52" s="246" t="s">
        <v>38</v>
      </c>
      <c r="K52" s="137" t="s">
        <v>154</v>
      </c>
      <c r="L52" s="207">
        <v>3</v>
      </c>
      <c r="N52" s="207">
        <v>1</v>
      </c>
      <c r="O52" s="207">
        <v>0.9</v>
      </c>
      <c r="P52" s="207">
        <v>0.95</v>
      </c>
      <c r="Q52" s="244">
        <f t="shared" si="0"/>
        <v>0.92500000000000004</v>
      </c>
      <c r="R52" s="207">
        <v>15.9</v>
      </c>
      <c r="S52" s="207">
        <v>155</v>
      </c>
      <c r="T52" s="216">
        <f t="shared" si="1"/>
        <v>30</v>
      </c>
      <c r="U52" s="207">
        <v>105</v>
      </c>
      <c r="V52" s="216">
        <f t="shared" si="2"/>
        <v>3150</v>
      </c>
      <c r="W52" s="207">
        <v>18</v>
      </c>
      <c r="X52" s="185" t="s">
        <v>46</v>
      </c>
      <c r="Y52" s="207" t="s">
        <v>69</v>
      </c>
      <c r="Z52" s="207" t="s">
        <v>50</v>
      </c>
      <c r="AA52" s="207" t="s">
        <v>84</v>
      </c>
      <c r="AB52" s="207" t="s">
        <v>336</v>
      </c>
    </row>
    <row r="53" spans="1:28" x14ac:dyDescent="0.15">
      <c r="A53" s="207" t="s">
        <v>34</v>
      </c>
      <c r="B53" s="207" t="s">
        <v>334</v>
      </c>
      <c r="C53" s="207">
        <v>2018</v>
      </c>
      <c r="D53" s="260" t="s">
        <v>429</v>
      </c>
      <c r="E53" s="207" t="s">
        <v>133</v>
      </c>
      <c r="F53" s="177" t="s">
        <v>279</v>
      </c>
      <c r="G53" s="179" t="s">
        <v>36</v>
      </c>
      <c r="H53" s="246" t="s">
        <v>162</v>
      </c>
      <c r="I53" s="246" t="s">
        <v>153</v>
      </c>
      <c r="J53" s="246" t="s">
        <v>38</v>
      </c>
      <c r="K53" s="137" t="s">
        <v>154</v>
      </c>
      <c r="L53" s="207">
        <v>1</v>
      </c>
      <c r="N53" s="207">
        <v>1</v>
      </c>
      <c r="O53" s="207">
        <v>0.8</v>
      </c>
      <c r="P53" s="207">
        <v>0.85</v>
      </c>
      <c r="Q53" s="244">
        <f t="shared" si="0"/>
        <v>0.82499999999999996</v>
      </c>
      <c r="R53" s="207">
        <v>15.8</v>
      </c>
      <c r="S53" s="207">
        <v>154</v>
      </c>
      <c r="T53" s="216">
        <f t="shared" si="1"/>
        <v>30</v>
      </c>
      <c r="U53" s="207">
        <v>149</v>
      </c>
      <c r="V53" s="216">
        <f t="shared" si="2"/>
        <v>4470</v>
      </c>
      <c r="W53" s="207">
        <v>18</v>
      </c>
      <c r="X53" s="185" t="s">
        <v>46</v>
      </c>
      <c r="Y53" s="207" t="s">
        <v>69</v>
      </c>
      <c r="Z53" s="207" t="s">
        <v>50</v>
      </c>
      <c r="AA53" s="207" t="s">
        <v>84</v>
      </c>
      <c r="AB53" s="207" t="s">
        <v>336</v>
      </c>
    </row>
    <row r="54" spans="1:28" x14ac:dyDescent="0.15">
      <c r="A54" s="207" t="s">
        <v>34</v>
      </c>
      <c r="B54" s="207" t="s">
        <v>334</v>
      </c>
      <c r="C54" s="207">
        <v>2018</v>
      </c>
      <c r="D54" s="260" t="s">
        <v>429</v>
      </c>
      <c r="E54" s="207" t="s">
        <v>133</v>
      </c>
      <c r="F54" s="177" t="s">
        <v>279</v>
      </c>
      <c r="G54" s="179" t="s">
        <v>36</v>
      </c>
      <c r="H54" s="246" t="s">
        <v>162</v>
      </c>
      <c r="I54" s="246" t="s">
        <v>153</v>
      </c>
      <c r="J54" s="246" t="s">
        <v>38</v>
      </c>
      <c r="K54" s="137" t="s">
        <v>154</v>
      </c>
      <c r="L54" s="207">
        <v>2</v>
      </c>
      <c r="N54" s="207">
        <v>1</v>
      </c>
      <c r="O54" s="207">
        <v>0.7</v>
      </c>
      <c r="P54" s="207">
        <v>0.65</v>
      </c>
      <c r="Q54" s="244">
        <f t="shared" si="0"/>
        <v>0.67500000000000004</v>
      </c>
      <c r="R54" s="207">
        <v>16.600000000000001</v>
      </c>
      <c r="S54" s="207">
        <v>173</v>
      </c>
      <c r="T54" s="216">
        <f t="shared" si="1"/>
        <v>30</v>
      </c>
      <c r="U54" s="207">
        <v>149</v>
      </c>
      <c r="V54" s="216">
        <f t="shared" si="2"/>
        <v>4470</v>
      </c>
      <c r="W54" s="207">
        <v>18</v>
      </c>
      <c r="X54" s="185" t="s">
        <v>46</v>
      </c>
      <c r="Y54" s="207" t="s">
        <v>69</v>
      </c>
      <c r="Z54" s="207" t="s">
        <v>50</v>
      </c>
      <c r="AA54" s="207" t="s">
        <v>84</v>
      </c>
      <c r="AB54" s="207" t="s">
        <v>336</v>
      </c>
    </row>
    <row r="55" spans="1:28" x14ac:dyDescent="0.15">
      <c r="A55" s="207" t="s">
        <v>34</v>
      </c>
      <c r="B55" s="207" t="s">
        <v>334</v>
      </c>
      <c r="C55" s="207">
        <v>2018</v>
      </c>
      <c r="D55" s="260" t="s">
        <v>429</v>
      </c>
      <c r="E55" s="207" t="s">
        <v>133</v>
      </c>
      <c r="F55" s="177" t="s">
        <v>279</v>
      </c>
      <c r="G55" s="179" t="s">
        <v>36</v>
      </c>
      <c r="H55" s="246" t="s">
        <v>162</v>
      </c>
      <c r="I55" s="246" t="s">
        <v>153</v>
      </c>
      <c r="J55" s="246" t="s">
        <v>38</v>
      </c>
      <c r="K55" s="137" t="s">
        <v>154</v>
      </c>
      <c r="L55" s="207">
        <v>3</v>
      </c>
      <c r="N55" s="207">
        <v>1</v>
      </c>
      <c r="O55" s="207">
        <v>0.65</v>
      </c>
      <c r="P55" s="207">
        <v>0.7</v>
      </c>
      <c r="Q55" s="244">
        <f t="shared" si="0"/>
        <v>0.67500000000000004</v>
      </c>
      <c r="R55" s="207">
        <v>16.399999999999999</v>
      </c>
      <c r="S55" s="207">
        <v>169</v>
      </c>
      <c r="T55" s="216">
        <f t="shared" si="1"/>
        <v>30</v>
      </c>
      <c r="U55" s="207">
        <v>149</v>
      </c>
      <c r="V55" s="216">
        <f t="shared" si="2"/>
        <v>4470</v>
      </c>
      <c r="W55" s="207">
        <v>18</v>
      </c>
      <c r="X55" s="185" t="s">
        <v>46</v>
      </c>
      <c r="Y55" s="207" t="s">
        <v>69</v>
      </c>
      <c r="Z55" s="207" t="s">
        <v>50</v>
      </c>
      <c r="AA55" s="207" t="s">
        <v>84</v>
      </c>
      <c r="AB55" s="207" t="s">
        <v>336</v>
      </c>
    </row>
    <row r="56" spans="1:28" x14ac:dyDescent="0.15">
      <c r="A56" s="207" t="s">
        <v>34</v>
      </c>
      <c r="B56" s="207" t="s">
        <v>334</v>
      </c>
      <c r="C56" s="207">
        <v>2018</v>
      </c>
      <c r="D56" s="260" t="s">
        <v>429</v>
      </c>
      <c r="E56" s="207" t="s">
        <v>202</v>
      </c>
      <c r="F56" s="177" t="s">
        <v>282</v>
      </c>
      <c r="G56" s="179" t="s">
        <v>36</v>
      </c>
      <c r="H56" s="246" t="s">
        <v>155</v>
      </c>
      <c r="I56" s="246" t="s">
        <v>153</v>
      </c>
      <c r="J56" s="246" t="s">
        <v>38</v>
      </c>
      <c r="K56" s="137" t="s">
        <v>154</v>
      </c>
      <c r="L56" s="207">
        <v>1</v>
      </c>
      <c r="N56" s="207">
        <v>5</v>
      </c>
      <c r="O56" s="207">
        <v>0.9</v>
      </c>
      <c r="P56" s="207">
        <v>0.85</v>
      </c>
      <c r="Q56" s="244">
        <f t="shared" si="0"/>
        <v>0.875</v>
      </c>
      <c r="R56" s="207">
        <v>14.4</v>
      </c>
      <c r="S56" s="207">
        <v>91</v>
      </c>
      <c r="T56" s="216">
        <f t="shared" si="1"/>
        <v>36</v>
      </c>
      <c r="U56" s="207">
        <v>298</v>
      </c>
      <c r="V56" s="216">
        <f t="shared" si="2"/>
        <v>2145.6</v>
      </c>
      <c r="W56" s="207">
        <v>4</v>
      </c>
      <c r="X56" s="185" t="s">
        <v>46</v>
      </c>
      <c r="Y56" s="207" t="s">
        <v>90</v>
      </c>
      <c r="Z56" s="207" t="s">
        <v>84</v>
      </c>
      <c r="AA56" s="207" t="s">
        <v>50</v>
      </c>
      <c r="AB56" s="207" t="s">
        <v>336</v>
      </c>
    </row>
    <row r="57" spans="1:28" x14ac:dyDescent="0.15">
      <c r="A57" s="207" t="s">
        <v>34</v>
      </c>
      <c r="B57" s="207" t="s">
        <v>334</v>
      </c>
      <c r="C57" s="207">
        <v>2018</v>
      </c>
      <c r="D57" s="260" t="s">
        <v>429</v>
      </c>
      <c r="E57" s="207" t="s">
        <v>202</v>
      </c>
      <c r="F57" s="177" t="s">
        <v>282</v>
      </c>
      <c r="G57" s="179" t="s">
        <v>36</v>
      </c>
      <c r="H57" s="246" t="s">
        <v>155</v>
      </c>
      <c r="I57" s="246" t="s">
        <v>153</v>
      </c>
      <c r="J57" s="246" t="s">
        <v>38</v>
      </c>
      <c r="K57" s="137" t="s">
        <v>154</v>
      </c>
      <c r="L57" s="207">
        <v>2</v>
      </c>
      <c r="N57" s="207">
        <v>5</v>
      </c>
      <c r="O57" s="207">
        <v>1.1000000000000001</v>
      </c>
      <c r="P57" s="207">
        <v>0.9</v>
      </c>
      <c r="Q57" s="244">
        <f t="shared" si="0"/>
        <v>1</v>
      </c>
      <c r="R57" s="207">
        <v>13.5</v>
      </c>
      <c r="S57" s="207">
        <v>94</v>
      </c>
      <c r="T57" s="216">
        <f t="shared" si="1"/>
        <v>36</v>
      </c>
      <c r="U57" s="207">
        <v>298</v>
      </c>
      <c r="V57" s="216">
        <f t="shared" si="2"/>
        <v>2145.6</v>
      </c>
      <c r="W57" s="207">
        <v>4</v>
      </c>
      <c r="X57" s="185" t="s">
        <v>46</v>
      </c>
      <c r="Y57" s="207" t="s">
        <v>90</v>
      </c>
      <c r="Z57" s="207" t="s">
        <v>84</v>
      </c>
      <c r="AA57" s="207" t="s">
        <v>50</v>
      </c>
      <c r="AB57" s="207" t="s">
        <v>336</v>
      </c>
    </row>
    <row r="58" spans="1:28" x14ac:dyDescent="0.15">
      <c r="A58" s="207" t="s">
        <v>34</v>
      </c>
      <c r="B58" s="207" t="s">
        <v>334</v>
      </c>
      <c r="C58" s="207">
        <v>2018</v>
      </c>
      <c r="D58" s="260" t="s">
        <v>429</v>
      </c>
      <c r="E58" s="207" t="s">
        <v>202</v>
      </c>
      <c r="F58" s="177" t="s">
        <v>282</v>
      </c>
      <c r="G58" s="179" t="s">
        <v>36</v>
      </c>
      <c r="H58" s="246" t="s">
        <v>155</v>
      </c>
      <c r="I58" s="246" t="s">
        <v>153</v>
      </c>
      <c r="J58" s="246" t="s">
        <v>38</v>
      </c>
      <c r="K58" s="137" t="s">
        <v>154</v>
      </c>
      <c r="L58" s="207">
        <v>3</v>
      </c>
      <c r="N58" s="207">
        <v>5</v>
      </c>
      <c r="O58" s="207">
        <v>0.95</v>
      </c>
      <c r="P58" s="207">
        <v>1</v>
      </c>
      <c r="Q58" s="244">
        <f t="shared" si="0"/>
        <v>0.97499999999999998</v>
      </c>
      <c r="R58" s="207">
        <v>13.6</v>
      </c>
      <c r="S58" s="207">
        <v>91</v>
      </c>
      <c r="T58" s="216">
        <f t="shared" si="1"/>
        <v>36</v>
      </c>
      <c r="U58" s="207">
        <v>298</v>
      </c>
      <c r="V58" s="216">
        <f t="shared" si="2"/>
        <v>2145.6</v>
      </c>
      <c r="W58" s="207">
        <v>4</v>
      </c>
      <c r="X58" s="185" t="s">
        <v>46</v>
      </c>
      <c r="Y58" s="207" t="s">
        <v>90</v>
      </c>
      <c r="Z58" s="207" t="s">
        <v>84</v>
      </c>
      <c r="AA58" s="207" t="s">
        <v>50</v>
      </c>
      <c r="AB58" s="207" t="s">
        <v>336</v>
      </c>
    </row>
    <row r="59" spans="1:28" x14ac:dyDescent="0.15">
      <c r="A59" s="207" t="s">
        <v>34</v>
      </c>
      <c r="B59" s="207" t="s">
        <v>334</v>
      </c>
      <c r="C59" s="207">
        <v>2018</v>
      </c>
      <c r="D59" s="260" t="s">
        <v>429</v>
      </c>
      <c r="E59" s="207" t="s">
        <v>202</v>
      </c>
      <c r="F59" s="177" t="s">
        <v>282</v>
      </c>
      <c r="G59" s="179" t="s">
        <v>36</v>
      </c>
      <c r="H59" s="246" t="s">
        <v>162</v>
      </c>
      <c r="I59" s="246" t="s">
        <v>153</v>
      </c>
      <c r="J59" s="246" t="s">
        <v>38</v>
      </c>
      <c r="K59" s="137" t="s">
        <v>154</v>
      </c>
      <c r="L59" s="207">
        <v>1</v>
      </c>
      <c r="N59" s="207">
        <v>1</v>
      </c>
      <c r="O59" s="207">
        <v>0.6</v>
      </c>
      <c r="P59" s="207">
        <v>0.65</v>
      </c>
      <c r="Q59" s="244">
        <f t="shared" si="0"/>
        <v>0.625</v>
      </c>
      <c r="R59" s="207">
        <v>15.8</v>
      </c>
      <c r="S59" s="207">
        <v>155</v>
      </c>
      <c r="T59" s="216">
        <f t="shared" si="1"/>
        <v>30</v>
      </c>
      <c r="U59" s="207">
        <v>158</v>
      </c>
      <c r="V59" s="216">
        <f t="shared" si="2"/>
        <v>4740</v>
      </c>
      <c r="W59" s="207">
        <v>4</v>
      </c>
      <c r="X59" s="185" t="s">
        <v>46</v>
      </c>
      <c r="Y59" s="207" t="s">
        <v>90</v>
      </c>
      <c r="Z59" s="207" t="s">
        <v>84</v>
      </c>
      <c r="AA59" s="207" t="s">
        <v>50</v>
      </c>
      <c r="AB59" s="207" t="s">
        <v>336</v>
      </c>
    </row>
    <row r="60" spans="1:28" x14ac:dyDescent="0.15">
      <c r="A60" s="207" t="s">
        <v>34</v>
      </c>
      <c r="B60" s="207" t="s">
        <v>334</v>
      </c>
      <c r="C60" s="207">
        <v>2018</v>
      </c>
      <c r="D60" s="260" t="s">
        <v>429</v>
      </c>
      <c r="E60" s="207" t="s">
        <v>202</v>
      </c>
      <c r="F60" s="177" t="s">
        <v>282</v>
      </c>
      <c r="G60" s="179" t="s">
        <v>36</v>
      </c>
      <c r="H60" s="246" t="s">
        <v>162</v>
      </c>
      <c r="I60" s="246" t="s">
        <v>153</v>
      </c>
      <c r="J60" s="246" t="s">
        <v>38</v>
      </c>
      <c r="K60" s="137" t="s">
        <v>154</v>
      </c>
      <c r="L60" s="207">
        <v>2</v>
      </c>
      <c r="N60" s="207">
        <v>1</v>
      </c>
      <c r="O60" s="207">
        <v>0.55000000000000004</v>
      </c>
      <c r="P60" s="207">
        <v>0.55000000000000004</v>
      </c>
      <c r="Q60" s="244">
        <f t="shared" si="0"/>
        <v>0.55000000000000004</v>
      </c>
      <c r="R60" s="207">
        <v>16.100000000000001</v>
      </c>
      <c r="S60" s="207">
        <v>179</v>
      </c>
      <c r="T60" s="216">
        <f t="shared" si="1"/>
        <v>30</v>
      </c>
      <c r="U60" s="207">
        <v>158</v>
      </c>
      <c r="V60" s="216">
        <f t="shared" si="2"/>
        <v>4740</v>
      </c>
      <c r="W60" s="207">
        <v>4</v>
      </c>
      <c r="X60" s="185" t="s">
        <v>46</v>
      </c>
      <c r="Y60" s="207" t="s">
        <v>90</v>
      </c>
      <c r="Z60" s="207" t="s">
        <v>84</v>
      </c>
      <c r="AA60" s="207" t="s">
        <v>50</v>
      </c>
      <c r="AB60" s="207" t="s">
        <v>336</v>
      </c>
    </row>
    <row r="61" spans="1:28" x14ac:dyDescent="0.15">
      <c r="A61" s="207" t="s">
        <v>34</v>
      </c>
      <c r="B61" s="207" t="s">
        <v>334</v>
      </c>
      <c r="C61" s="207">
        <v>2018</v>
      </c>
      <c r="D61" s="260" t="s">
        <v>429</v>
      </c>
      <c r="E61" s="207" t="s">
        <v>202</v>
      </c>
      <c r="F61" s="177" t="s">
        <v>282</v>
      </c>
      <c r="G61" s="179" t="s">
        <v>36</v>
      </c>
      <c r="H61" s="246" t="s">
        <v>162</v>
      </c>
      <c r="I61" s="246" t="s">
        <v>153</v>
      </c>
      <c r="J61" s="246" t="s">
        <v>38</v>
      </c>
      <c r="K61" s="137" t="s">
        <v>154</v>
      </c>
      <c r="L61" s="207">
        <v>3</v>
      </c>
      <c r="N61" s="207">
        <v>1</v>
      </c>
      <c r="O61" s="207">
        <v>0.6</v>
      </c>
      <c r="P61" s="207">
        <v>0.55000000000000004</v>
      </c>
      <c r="Q61" s="244">
        <f t="shared" si="0"/>
        <v>0.57499999999999996</v>
      </c>
      <c r="R61" s="207">
        <v>15.5</v>
      </c>
      <c r="S61" s="207">
        <v>165</v>
      </c>
      <c r="T61" s="216">
        <f t="shared" si="1"/>
        <v>30</v>
      </c>
      <c r="U61" s="207">
        <v>158</v>
      </c>
      <c r="V61" s="216">
        <f t="shared" si="2"/>
        <v>4740</v>
      </c>
      <c r="W61" s="207">
        <v>4</v>
      </c>
      <c r="X61" s="185" t="s">
        <v>46</v>
      </c>
      <c r="Y61" s="207" t="s">
        <v>90</v>
      </c>
      <c r="Z61" s="207" t="s">
        <v>84</v>
      </c>
      <c r="AA61" s="207" t="s">
        <v>50</v>
      </c>
      <c r="AB61" s="207" t="s">
        <v>336</v>
      </c>
    </row>
    <row r="62" spans="1:28" x14ac:dyDescent="0.15">
      <c r="D62" s="261"/>
      <c r="F62" s="177"/>
      <c r="G62" s="179"/>
      <c r="H62" s="246"/>
      <c r="I62" s="246"/>
      <c r="J62" s="246"/>
      <c r="K62" s="137"/>
      <c r="Q62" s="244" t="str">
        <f t="shared" si="0"/>
        <v/>
      </c>
      <c r="T62" s="216" t="str">
        <f t="shared" si="1"/>
        <v/>
      </c>
      <c r="V62" s="216" t="str">
        <f t="shared" si="2"/>
        <v/>
      </c>
      <c r="X62" s="185"/>
    </row>
    <row r="63" spans="1:28" x14ac:dyDescent="0.15">
      <c r="D63" s="198"/>
      <c r="F63" s="177"/>
      <c r="G63" s="179"/>
      <c r="H63" s="246"/>
      <c r="I63" s="246"/>
      <c r="J63" s="246"/>
      <c r="K63" s="137"/>
      <c r="Q63" s="244" t="str">
        <f t="shared" si="0"/>
        <v/>
      </c>
      <c r="T63" s="216" t="str">
        <f t="shared" si="1"/>
        <v/>
      </c>
      <c r="V63" s="216" t="str">
        <f t="shared" si="2"/>
        <v/>
      </c>
      <c r="X63" s="185"/>
    </row>
    <row r="64" spans="1:28" x14ac:dyDescent="0.15">
      <c r="D64" s="198"/>
      <c r="F64" s="177"/>
      <c r="G64" s="179"/>
      <c r="H64" s="246"/>
      <c r="I64" s="246"/>
      <c r="J64" s="246"/>
      <c r="K64" s="137"/>
      <c r="Q64" s="244" t="str">
        <f t="shared" si="0"/>
        <v/>
      </c>
      <c r="T64" s="216" t="str">
        <f t="shared" si="1"/>
        <v/>
      </c>
      <c r="V64" s="216" t="str">
        <f t="shared" si="2"/>
        <v/>
      </c>
      <c r="X64" s="185"/>
    </row>
    <row r="65" spans="4:24" x14ac:dyDescent="0.15">
      <c r="D65" s="198"/>
      <c r="F65" s="177"/>
      <c r="G65" s="179"/>
      <c r="H65" s="246"/>
      <c r="I65" s="246"/>
      <c r="J65" s="246"/>
      <c r="K65" s="137"/>
      <c r="Q65" s="244" t="str">
        <f t="shared" si="0"/>
        <v/>
      </c>
      <c r="T65" s="216" t="str">
        <f t="shared" si="1"/>
        <v/>
      </c>
      <c r="V65" s="216" t="str">
        <f t="shared" si="2"/>
        <v/>
      </c>
      <c r="X65" s="185"/>
    </row>
    <row r="66" spans="4:24" x14ac:dyDescent="0.15">
      <c r="D66" s="198"/>
      <c r="F66" s="177"/>
      <c r="G66" s="179"/>
      <c r="H66" s="246"/>
      <c r="I66" s="246"/>
      <c r="J66" s="246"/>
      <c r="K66" s="137"/>
      <c r="Q66" s="244" t="str">
        <f t="shared" ref="Q66:Q91" si="3">IF(OR(O66="",P66=""),"",AVERAGE(O66,P66))</f>
        <v/>
      </c>
      <c r="T66" s="216" t="str">
        <f t="shared" ref="T66:T91" si="4">IF(H66="","",IF(OR(H66="GREEN",H66="GK"),IF(S66&gt;=$AX$2,VLOOKUP(S66,$AX$2:$AY$7,2,1),""),IF(S66&gt;=$AZ$2,VLOOKUP(S66,$AZ$2:$BA$7,2,1),"")))</f>
        <v/>
      </c>
      <c r="V66" s="216" t="str">
        <f t="shared" ref="V66:V91" si="5">IF(OR(N66="",U66="",T66=""),"",U66/N66*T66)</f>
        <v/>
      </c>
      <c r="X66" s="185"/>
    </row>
    <row r="67" spans="4:24" x14ac:dyDescent="0.15">
      <c r="D67" s="198"/>
      <c r="F67" s="177"/>
      <c r="G67" s="179"/>
      <c r="H67" s="246"/>
      <c r="I67" s="246"/>
      <c r="J67" s="246"/>
      <c r="K67" s="137"/>
      <c r="Q67" s="244" t="str">
        <f t="shared" si="3"/>
        <v/>
      </c>
      <c r="T67" s="216" t="str">
        <f t="shared" si="4"/>
        <v/>
      </c>
      <c r="V67" s="216" t="str">
        <f t="shared" si="5"/>
        <v/>
      </c>
      <c r="X67" s="185"/>
    </row>
    <row r="68" spans="4:24" x14ac:dyDescent="0.15">
      <c r="D68" s="198"/>
      <c r="F68" s="177"/>
      <c r="G68" s="179"/>
      <c r="H68" s="246"/>
      <c r="I68" s="246"/>
      <c r="J68" s="246"/>
      <c r="K68" s="137"/>
      <c r="Q68" s="244" t="str">
        <f t="shared" si="3"/>
        <v/>
      </c>
      <c r="T68" s="216" t="str">
        <f t="shared" si="4"/>
        <v/>
      </c>
      <c r="V68" s="216" t="str">
        <f t="shared" si="5"/>
        <v/>
      </c>
      <c r="X68" s="185"/>
    </row>
    <row r="69" spans="4:24" x14ac:dyDescent="0.15">
      <c r="D69" s="198"/>
      <c r="F69" s="177"/>
      <c r="G69" s="179"/>
      <c r="H69" s="246"/>
      <c r="I69" s="246"/>
      <c r="J69" s="246"/>
      <c r="K69" s="137"/>
      <c r="Q69" s="244" t="str">
        <f t="shared" si="3"/>
        <v/>
      </c>
      <c r="T69" s="216" t="str">
        <f t="shared" si="4"/>
        <v/>
      </c>
      <c r="V69" s="216" t="str">
        <f t="shared" si="5"/>
        <v/>
      </c>
      <c r="X69" s="185"/>
    </row>
    <row r="70" spans="4:24" x14ac:dyDescent="0.15">
      <c r="D70" s="198"/>
      <c r="F70" s="177"/>
      <c r="G70" s="179"/>
      <c r="H70" s="246"/>
      <c r="I70" s="246"/>
      <c r="J70" s="246"/>
      <c r="K70" s="137"/>
      <c r="Q70" s="244" t="str">
        <f t="shared" si="3"/>
        <v/>
      </c>
      <c r="T70" s="216" t="str">
        <f t="shared" si="4"/>
        <v/>
      </c>
      <c r="V70" s="216" t="str">
        <f t="shared" si="5"/>
        <v/>
      </c>
      <c r="X70" s="185"/>
    </row>
    <row r="71" spans="4:24" x14ac:dyDescent="0.15">
      <c r="D71" s="198"/>
      <c r="F71" s="177"/>
      <c r="G71" s="179"/>
      <c r="H71" s="246"/>
      <c r="I71" s="246"/>
      <c r="J71" s="246"/>
      <c r="K71" s="137"/>
      <c r="Q71" s="244" t="str">
        <f t="shared" si="3"/>
        <v/>
      </c>
      <c r="T71" s="216" t="str">
        <f t="shared" si="4"/>
        <v/>
      </c>
      <c r="V71" s="216" t="str">
        <f t="shared" si="5"/>
        <v/>
      </c>
      <c r="X71" s="185"/>
    </row>
    <row r="72" spans="4:24" x14ac:dyDescent="0.15">
      <c r="D72" s="198"/>
      <c r="F72" s="177"/>
      <c r="G72" s="179"/>
      <c r="H72" s="246"/>
      <c r="I72" s="246"/>
      <c r="J72" s="246"/>
      <c r="K72" s="137"/>
      <c r="Q72" s="244" t="str">
        <f t="shared" si="3"/>
        <v/>
      </c>
      <c r="T72" s="216" t="str">
        <f t="shared" si="4"/>
        <v/>
      </c>
      <c r="V72" s="216" t="str">
        <f t="shared" si="5"/>
        <v/>
      </c>
      <c r="X72" s="185"/>
    </row>
    <row r="73" spans="4:24" x14ac:dyDescent="0.15">
      <c r="D73" s="198"/>
      <c r="F73" s="177"/>
      <c r="G73" s="179"/>
      <c r="H73" s="246"/>
      <c r="I73" s="246"/>
      <c r="J73" s="246"/>
      <c r="K73" s="137"/>
      <c r="Q73" s="244" t="str">
        <f t="shared" si="3"/>
        <v/>
      </c>
      <c r="T73" s="216" t="str">
        <f t="shared" si="4"/>
        <v/>
      </c>
      <c r="V73" s="216" t="str">
        <f t="shared" si="5"/>
        <v/>
      </c>
      <c r="X73" s="185"/>
    </row>
    <row r="74" spans="4:24" x14ac:dyDescent="0.15">
      <c r="D74" s="198"/>
      <c r="F74" s="177"/>
      <c r="G74" s="179"/>
      <c r="H74" s="246"/>
      <c r="I74" s="246"/>
      <c r="J74" s="246"/>
      <c r="K74" s="137"/>
      <c r="Q74" s="244" t="str">
        <f t="shared" si="3"/>
        <v/>
      </c>
      <c r="T74" s="216" t="str">
        <f t="shared" si="4"/>
        <v/>
      </c>
      <c r="V74" s="216" t="str">
        <f t="shared" si="5"/>
        <v/>
      </c>
      <c r="X74" s="185"/>
    </row>
    <row r="75" spans="4:24" x14ac:dyDescent="0.15">
      <c r="D75" s="198"/>
      <c r="F75" s="177"/>
      <c r="G75" s="179"/>
      <c r="H75" s="246"/>
      <c r="I75" s="246"/>
      <c r="J75" s="246"/>
      <c r="K75" s="137"/>
      <c r="Q75" s="244" t="str">
        <f t="shared" si="3"/>
        <v/>
      </c>
      <c r="T75" s="216" t="str">
        <f t="shared" si="4"/>
        <v/>
      </c>
      <c r="V75" s="216" t="str">
        <f t="shared" si="5"/>
        <v/>
      </c>
      <c r="X75" s="185"/>
    </row>
    <row r="76" spans="4:24" x14ac:dyDescent="0.15">
      <c r="D76" s="198"/>
      <c r="F76" s="177"/>
      <c r="G76" s="179"/>
      <c r="H76" s="246"/>
      <c r="I76" s="246"/>
      <c r="J76" s="246"/>
      <c r="K76" s="137"/>
      <c r="Q76" s="244" t="str">
        <f t="shared" si="3"/>
        <v/>
      </c>
      <c r="T76" s="216" t="str">
        <f t="shared" si="4"/>
        <v/>
      </c>
      <c r="V76" s="216" t="str">
        <f t="shared" si="5"/>
        <v/>
      </c>
      <c r="X76" s="185"/>
    </row>
    <row r="77" spans="4:24" x14ac:dyDescent="0.15">
      <c r="D77" s="198"/>
      <c r="F77" s="177"/>
      <c r="G77" s="179"/>
      <c r="H77" s="246"/>
      <c r="I77" s="246"/>
      <c r="J77" s="246"/>
      <c r="K77" s="137"/>
      <c r="Q77" s="244" t="str">
        <f t="shared" si="3"/>
        <v/>
      </c>
      <c r="T77" s="216" t="str">
        <f t="shared" si="4"/>
        <v/>
      </c>
      <c r="V77" s="216" t="str">
        <f t="shared" si="5"/>
        <v/>
      </c>
      <c r="X77" s="185"/>
    </row>
    <row r="78" spans="4:24" x14ac:dyDescent="0.15">
      <c r="D78" s="198"/>
      <c r="F78" s="177"/>
      <c r="G78" s="179"/>
      <c r="H78" s="246"/>
      <c r="I78" s="246"/>
      <c r="J78" s="246"/>
      <c r="K78" s="137"/>
      <c r="Q78" s="244" t="str">
        <f t="shared" si="3"/>
        <v/>
      </c>
      <c r="T78" s="216" t="str">
        <f t="shared" si="4"/>
        <v/>
      </c>
      <c r="V78" s="216" t="str">
        <f t="shared" si="5"/>
        <v/>
      </c>
      <c r="X78" s="185"/>
    </row>
    <row r="79" spans="4:24" x14ac:dyDescent="0.15">
      <c r="D79" s="198"/>
      <c r="F79" s="177"/>
      <c r="G79" s="179"/>
      <c r="H79" s="246"/>
      <c r="I79" s="246"/>
      <c r="J79" s="246"/>
      <c r="K79" s="137"/>
      <c r="Q79" s="244" t="str">
        <f t="shared" si="3"/>
        <v/>
      </c>
      <c r="T79" s="216" t="str">
        <f t="shared" si="4"/>
        <v/>
      </c>
      <c r="V79" s="216" t="str">
        <f t="shared" si="5"/>
        <v/>
      </c>
      <c r="X79" s="185"/>
    </row>
    <row r="80" spans="4:24" x14ac:dyDescent="0.15">
      <c r="H80" s="246"/>
      <c r="I80" s="246"/>
      <c r="J80" s="246"/>
      <c r="K80" s="137"/>
      <c r="Q80" s="244" t="str">
        <f t="shared" si="3"/>
        <v/>
      </c>
      <c r="T80" s="216" t="str">
        <f t="shared" si="4"/>
        <v/>
      </c>
      <c r="V80" s="216" t="str">
        <f t="shared" si="5"/>
        <v/>
      </c>
    </row>
    <row r="81" spans="8:22" x14ac:dyDescent="0.15">
      <c r="H81" s="246"/>
      <c r="I81" s="246"/>
      <c r="J81" s="246"/>
      <c r="K81" s="137"/>
      <c r="Q81" s="244" t="str">
        <f t="shared" si="3"/>
        <v/>
      </c>
      <c r="T81" s="216" t="str">
        <f t="shared" si="4"/>
        <v/>
      </c>
      <c r="V81" s="216" t="str">
        <f t="shared" si="5"/>
        <v/>
      </c>
    </row>
    <row r="82" spans="8:22" x14ac:dyDescent="0.15">
      <c r="H82" s="246"/>
      <c r="I82" s="246"/>
      <c r="J82" s="246"/>
      <c r="K82" s="137"/>
      <c r="Q82" s="244" t="str">
        <f t="shared" si="3"/>
        <v/>
      </c>
      <c r="T82" s="216" t="str">
        <f t="shared" si="4"/>
        <v/>
      </c>
      <c r="V82" s="216" t="str">
        <f t="shared" si="5"/>
        <v/>
      </c>
    </row>
    <row r="83" spans="8:22" x14ac:dyDescent="0.15">
      <c r="H83" s="246"/>
      <c r="I83" s="246"/>
      <c r="J83" s="246"/>
      <c r="K83" s="137"/>
      <c r="Q83" s="244" t="str">
        <f t="shared" si="3"/>
        <v/>
      </c>
      <c r="T83" s="216" t="str">
        <f t="shared" si="4"/>
        <v/>
      </c>
      <c r="V83" s="216" t="str">
        <f t="shared" si="5"/>
        <v/>
      </c>
    </row>
    <row r="84" spans="8:22" x14ac:dyDescent="0.15">
      <c r="H84" s="246"/>
      <c r="I84" s="246"/>
      <c r="J84" s="246"/>
      <c r="K84" s="137"/>
      <c r="Q84" s="244" t="str">
        <f t="shared" si="3"/>
        <v/>
      </c>
      <c r="T84" s="216" t="str">
        <f t="shared" si="4"/>
        <v/>
      </c>
      <c r="V84" s="216" t="str">
        <f t="shared" si="5"/>
        <v/>
      </c>
    </row>
    <row r="85" spans="8:22" x14ac:dyDescent="0.15">
      <c r="H85" s="246"/>
      <c r="I85" s="246"/>
      <c r="J85" s="246"/>
      <c r="K85" s="137"/>
      <c r="Q85" s="244" t="str">
        <f t="shared" si="3"/>
        <v/>
      </c>
      <c r="T85" s="216" t="str">
        <f t="shared" si="4"/>
        <v/>
      </c>
      <c r="V85" s="216" t="str">
        <f t="shared" si="5"/>
        <v/>
      </c>
    </row>
    <row r="86" spans="8:22" x14ac:dyDescent="0.15">
      <c r="H86" s="246"/>
      <c r="I86" s="246"/>
      <c r="J86" s="246"/>
      <c r="K86" s="137"/>
      <c r="Q86" s="244" t="str">
        <f t="shared" si="3"/>
        <v/>
      </c>
      <c r="T86" s="216" t="str">
        <f t="shared" si="4"/>
        <v/>
      </c>
      <c r="V86" s="216" t="str">
        <f t="shared" si="5"/>
        <v/>
      </c>
    </row>
    <row r="87" spans="8:22" x14ac:dyDescent="0.15">
      <c r="H87" s="246"/>
      <c r="I87" s="246"/>
      <c r="J87" s="246"/>
      <c r="K87" s="137"/>
      <c r="Q87" s="244" t="str">
        <f t="shared" si="3"/>
        <v/>
      </c>
      <c r="T87" s="216" t="str">
        <f t="shared" si="4"/>
        <v/>
      </c>
      <c r="V87" s="216" t="str">
        <f t="shared" si="5"/>
        <v/>
      </c>
    </row>
    <row r="88" spans="8:22" x14ac:dyDescent="0.15">
      <c r="H88" s="246"/>
      <c r="I88" s="246"/>
      <c r="J88" s="246"/>
      <c r="K88" s="137"/>
      <c r="Q88" s="244" t="str">
        <f t="shared" si="3"/>
        <v/>
      </c>
      <c r="T88" s="216" t="str">
        <f t="shared" si="4"/>
        <v/>
      </c>
      <c r="V88" s="216" t="str">
        <f t="shared" si="5"/>
        <v/>
      </c>
    </row>
    <row r="89" spans="8:22" x14ac:dyDescent="0.15">
      <c r="H89" s="246"/>
      <c r="I89" s="246"/>
      <c r="J89" s="246"/>
      <c r="K89" s="137"/>
      <c r="Q89" s="244" t="str">
        <f t="shared" si="3"/>
        <v/>
      </c>
      <c r="T89" s="216" t="str">
        <f t="shared" si="4"/>
        <v/>
      </c>
      <c r="V89" s="216" t="str">
        <f t="shared" si="5"/>
        <v/>
      </c>
    </row>
    <row r="90" spans="8:22" x14ac:dyDescent="0.15">
      <c r="H90" s="246"/>
      <c r="I90" s="246"/>
      <c r="J90" s="246"/>
      <c r="K90" s="137"/>
      <c r="Q90" s="244" t="str">
        <f t="shared" si="3"/>
        <v/>
      </c>
      <c r="T90" s="216" t="str">
        <f t="shared" si="4"/>
        <v/>
      </c>
      <c r="V90" s="216" t="str">
        <f t="shared" si="5"/>
        <v/>
      </c>
    </row>
    <row r="91" spans="8:22" x14ac:dyDescent="0.15">
      <c r="H91" s="246"/>
      <c r="I91" s="246"/>
      <c r="J91" s="246"/>
      <c r="K91" s="137"/>
      <c r="Q91" s="244" t="str">
        <f t="shared" si="3"/>
        <v/>
      </c>
      <c r="T91" s="216" t="str">
        <f t="shared" si="4"/>
        <v/>
      </c>
      <c r="V91" s="216" t="str">
        <f t="shared" si="5"/>
        <v/>
      </c>
    </row>
    <row r="92" spans="8:22" x14ac:dyDescent="0.15">
      <c r="H92" s="246"/>
      <c r="I92" s="246"/>
      <c r="J92" s="246"/>
      <c r="K92" s="137"/>
      <c r="Q92" s="244"/>
    </row>
    <row r="93" spans="8:22" x14ac:dyDescent="0.15">
      <c r="H93" s="246"/>
      <c r="I93" s="246"/>
      <c r="J93" s="246"/>
      <c r="K93" s="137"/>
      <c r="Q93" s="244"/>
    </row>
    <row r="94" spans="8:22" x14ac:dyDescent="0.15">
      <c r="H94" s="246"/>
      <c r="I94" s="246"/>
      <c r="J94" s="246"/>
      <c r="K94" s="137"/>
      <c r="Q94" s="244"/>
    </row>
    <row r="95" spans="8:22" x14ac:dyDescent="0.15">
      <c r="H95" s="246"/>
      <c r="I95" s="246"/>
      <c r="J95" s="246"/>
      <c r="K95" s="137"/>
      <c r="Q95" s="244"/>
    </row>
    <row r="96" spans="8:22" x14ac:dyDescent="0.15">
      <c r="H96" s="246"/>
      <c r="I96" s="246"/>
      <c r="J96" s="246"/>
      <c r="K96" s="137"/>
      <c r="Q96" s="244"/>
    </row>
    <row r="97" spans="8:17" x14ac:dyDescent="0.15">
      <c r="H97" s="246"/>
      <c r="I97" s="246"/>
      <c r="J97" s="246"/>
      <c r="K97" s="137"/>
      <c r="Q97" s="244"/>
    </row>
    <row r="98" spans="8:17" x14ac:dyDescent="0.15">
      <c r="H98" s="246"/>
      <c r="I98" s="246"/>
      <c r="J98" s="246"/>
      <c r="K98" s="137"/>
      <c r="Q98" s="244"/>
    </row>
    <row r="99" spans="8:17" x14ac:dyDescent="0.15">
      <c r="H99" s="246"/>
      <c r="I99" s="246"/>
      <c r="J99" s="246"/>
      <c r="K99" s="137"/>
      <c r="Q99" s="244"/>
    </row>
    <row r="100" spans="8:17" x14ac:dyDescent="0.15">
      <c r="H100" s="246"/>
      <c r="I100" s="246"/>
      <c r="J100" s="246"/>
      <c r="K100" s="137"/>
      <c r="Q100" s="244"/>
    </row>
    <row r="101" spans="8:17" x14ac:dyDescent="0.15">
      <c r="H101" s="246"/>
      <c r="I101" s="246"/>
      <c r="J101" s="246"/>
      <c r="K101" s="137"/>
      <c r="Q101" s="244"/>
    </row>
    <row r="102" spans="8:17" x14ac:dyDescent="0.15">
      <c r="H102" s="246"/>
      <c r="I102" s="246"/>
      <c r="J102" s="246"/>
      <c r="K102" s="137"/>
      <c r="Q102" s="244"/>
    </row>
    <row r="103" spans="8:17" x14ac:dyDescent="0.15">
      <c r="H103" s="246"/>
      <c r="I103" s="246"/>
      <c r="J103" s="246"/>
      <c r="K103" s="137"/>
      <c r="Q103" s="244"/>
    </row>
    <row r="104" spans="8:17" x14ac:dyDescent="0.15">
      <c r="H104" s="246"/>
      <c r="I104" s="246"/>
      <c r="J104" s="246"/>
      <c r="K104" s="137"/>
      <c r="Q104" s="244"/>
    </row>
    <row r="105" spans="8:17" x14ac:dyDescent="0.15">
      <c r="H105" s="246"/>
      <c r="I105" s="246"/>
      <c r="J105" s="246"/>
      <c r="K105" s="137"/>
      <c r="Q105" s="244"/>
    </row>
    <row r="106" spans="8:17" x14ac:dyDescent="0.15">
      <c r="H106" s="246"/>
      <c r="I106" s="246"/>
      <c r="J106" s="246"/>
      <c r="K106" s="137"/>
      <c r="Q106" s="244"/>
    </row>
    <row r="107" spans="8:17" x14ac:dyDescent="0.15">
      <c r="H107" s="246"/>
      <c r="I107" s="246"/>
      <c r="J107" s="246"/>
      <c r="K107" s="137"/>
      <c r="Q107" s="244"/>
    </row>
    <row r="108" spans="8:17" x14ac:dyDescent="0.15">
      <c r="H108" s="246"/>
      <c r="I108" s="246"/>
      <c r="J108" s="246"/>
      <c r="K108" s="137"/>
      <c r="Q108" s="244"/>
    </row>
    <row r="109" spans="8:17" x14ac:dyDescent="0.15">
      <c r="H109" s="246"/>
      <c r="I109" s="246"/>
      <c r="J109" s="246"/>
      <c r="K109" s="137"/>
      <c r="Q109" s="244"/>
    </row>
    <row r="110" spans="8:17" x14ac:dyDescent="0.15">
      <c r="H110" s="246"/>
      <c r="I110" s="246"/>
      <c r="J110" s="246"/>
      <c r="K110" s="137"/>
      <c r="Q110" s="244"/>
    </row>
    <row r="111" spans="8:17" x14ac:dyDescent="0.15">
      <c r="H111" s="246"/>
      <c r="I111" s="246"/>
      <c r="J111" s="246"/>
      <c r="K111" s="137"/>
      <c r="Q111" s="244"/>
    </row>
    <row r="112" spans="8:17" x14ac:dyDescent="0.15">
      <c r="H112" s="246"/>
      <c r="I112" s="246"/>
      <c r="J112" s="246"/>
      <c r="K112" s="137"/>
      <c r="Q112" s="244"/>
    </row>
    <row r="113" spans="8:17" x14ac:dyDescent="0.15">
      <c r="H113" s="246"/>
      <c r="I113" s="246"/>
      <c r="J113" s="246"/>
      <c r="K113" s="137"/>
      <c r="Q113" s="244"/>
    </row>
    <row r="114" spans="8:17" x14ac:dyDescent="0.15">
      <c r="H114" s="246"/>
      <c r="I114" s="246"/>
      <c r="J114" s="246"/>
      <c r="K114" s="137"/>
      <c r="Q114" s="244"/>
    </row>
    <row r="115" spans="8:17" x14ac:dyDescent="0.15">
      <c r="H115" s="246"/>
      <c r="I115" s="246"/>
      <c r="J115" s="246"/>
      <c r="K115" s="137"/>
      <c r="Q115" s="244"/>
    </row>
    <row r="116" spans="8:17" x14ac:dyDescent="0.15">
      <c r="H116" s="246"/>
      <c r="I116" s="246"/>
      <c r="J116" s="246"/>
      <c r="K116" s="137"/>
      <c r="Q116" s="244"/>
    </row>
    <row r="117" spans="8:17" x14ac:dyDescent="0.15">
      <c r="H117" s="246"/>
      <c r="I117" s="246"/>
      <c r="J117" s="246"/>
      <c r="K117" s="137"/>
      <c r="Q117" s="244"/>
    </row>
    <row r="118" spans="8:17" x14ac:dyDescent="0.15">
      <c r="H118" s="246"/>
      <c r="I118" s="246"/>
      <c r="J118" s="246"/>
      <c r="K118" s="137"/>
      <c r="Q118" s="244"/>
    </row>
    <row r="119" spans="8:17" x14ac:dyDescent="0.15">
      <c r="H119" s="246"/>
      <c r="I119" s="246"/>
      <c r="J119" s="246"/>
      <c r="K119" s="137"/>
      <c r="Q119" s="244"/>
    </row>
    <row r="120" spans="8:17" x14ac:dyDescent="0.15">
      <c r="H120" s="246"/>
      <c r="I120" s="246"/>
      <c r="J120" s="246"/>
      <c r="K120" s="137"/>
      <c r="Q120" s="244"/>
    </row>
    <row r="121" spans="8:17" x14ac:dyDescent="0.15">
      <c r="H121" s="246"/>
      <c r="I121" s="246"/>
      <c r="J121" s="246"/>
      <c r="K121" s="137"/>
      <c r="Q121" s="244"/>
    </row>
    <row r="122" spans="8:17" x14ac:dyDescent="0.15">
      <c r="H122" s="246"/>
      <c r="I122" s="246"/>
      <c r="J122" s="246"/>
      <c r="K122" s="137"/>
      <c r="Q122" s="244"/>
    </row>
    <row r="123" spans="8:17" x14ac:dyDescent="0.15">
      <c r="H123" s="246"/>
      <c r="I123" s="246"/>
      <c r="J123" s="246"/>
      <c r="K123" s="137"/>
      <c r="Q123" s="244"/>
    </row>
    <row r="124" spans="8:17" x14ac:dyDescent="0.15">
      <c r="H124" s="246"/>
      <c r="I124" s="246"/>
      <c r="J124" s="246"/>
      <c r="K124" s="137"/>
      <c r="Q124" s="244"/>
    </row>
    <row r="125" spans="8:17" x14ac:dyDescent="0.15">
      <c r="H125" s="246"/>
      <c r="I125" s="246"/>
      <c r="J125" s="246"/>
      <c r="K125" s="137"/>
      <c r="Q125" s="244"/>
    </row>
    <row r="126" spans="8:17" x14ac:dyDescent="0.15">
      <c r="H126" s="246"/>
      <c r="I126" s="246"/>
      <c r="J126" s="246"/>
      <c r="K126" s="137"/>
      <c r="Q126" s="244"/>
    </row>
    <row r="127" spans="8:17" x14ac:dyDescent="0.15">
      <c r="H127" s="246"/>
      <c r="I127" s="246"/>
      <c r="J127" s="246"/>
      <c r="K127" s="137"/>
      <c r="Q127" s="244"/>
    </row>
    <row r="128" spans="8:17" x14ac:dyDescent="0.15">
      <c r="H128" s="246"/>
      <c r="I128" s="246"/>
      <c r="J128" s="246"/>
      <c r="K128" s="137"/>
      <c r="Q128" s="244"/>
    </row>
    <row r="129" spans="8:17" x14ac:dyDescent="0.15">
      <c r="H129" s="246"/>
      <c r="I129" s="246"/>
      <c r="J129" s="246"/>
      <c r="K129" s="137"/>
      <c r="Q129" s="244"/>
    </row>
    <row r="130" spans="8:17" x14ac:dyDescent="0.15">
      <c r="H130" s="246"/>
      <c r="I130" s="246"/>
      <c r="J130" s="246"/>
      <c r="K130" s="137"/>
      <c r="Q130" s="244"/>
    </row>
    <row r="131" spans="8:17" x14ac:dyDescent="0.15">
      <c r="H131" s="246"/>
      <c r="I131" s="246"/>
      <c r="J131" s="246"/>
      <c r="K131" s="137"/>
      <c r="Q131" s="244"/>
    </row>
    <row r="132" spans="8:17" x14ac:dyDescent="0.15">
      <c r="H132" s="246"/>
      <c r="I132" s="246"/>
      <c r="J132" s="246"/>
      <c r="K132" s="137"/>
      <c r="Q132" s="244"/>
    </row>
    <row r="133" spans="8:17" x14ac:dyDescent="0.15">
      <c r="H133" s="246"/>
      <c r="I133" s="246"/>
      <c r="J133" s="246"/>
      <c r="K133" s="137"/>
      <c r="Q133" s="244"/>
    </row>
    <row r="134" spans="8:17" x14ac:dyDescent="0.15">
      <c r="H134" s="246"/>
      <c r="I134" s="246"/>
      <c r="J134" s="246"/>
      <c r="K134" s="137"/>
      <c r="Q134" s="244"/>
    </row>
    <row r="135" spans="8:17" x14ac:dyDescent="0.15">
      <c r="H135" s="246"/>
      <c r="I135" s="246"/>
      <c r="J135" s="246"/>
      <c r="K135" s="137"/>
      <c r="Q135" s="244"/>
    </row>
    <row r="136" spans="8:17" x14ac:dyDescent="0.15">
      <c r="H136" s="246"/>
      <c r="I136" s="246"/>
      <c r="J136" s="246"/>
      <c r="K136" s="137"/>
      <c r="Q136" s="244"/>
    </row>
    <row r="137" spans="8:17" x14ac:dyDescent="0.15">
      <c r="H137" s="246"/>
      <c r="I137" s="246"/>
      <c r="J137" s="246"/>
      <c r="K137" s="137"/>
      <c r="Q137" s="244"/>
    </row>
    <row r="138" spans="8:17" x14ac:dyDescent="0.15">
      <c r="H138" s="246"/>
      <c r="I138" s="246"/>
      <c r="J138" s="246"/>
      <c r="K138" s="137"/>
      <c r="Q138" s="244"/>
    </row>
    <row r="139" spans="8:17" x14ac:dyDescent="0.15">
      <c r="H139" s="246"/>
      <c r="I139" s="246"/>
      <c r="J139" s="246"/>
      <c r="K139" s="137"/>
      <c r="Q139" s="244"/>
    </row>
    <row r="140" spans="8:17" x14ac:dyDescent="0.15">
      <c r="H140" s="246"/>
      <c r="I140" s="246"/>
      <c r="J140" s="246"/>
      <c r="K140" s="137"/>
      <c r="Q140" s="244"/>
    </row>
    <row r="141" spans="8:17" x14ac:dyDescent="0.15">
      <c r="H141" s="246"/>
      <c r="I141" s="246"/>
      <c r="J141" s="246"/>
      <c r="K141" s="137"/>
      <c r="Q141" s="244"/>
    </row>
    <row r="142" spans="8:17" x14ac:dyDescent="0.15">
      <c r="K142" s="137"/>
      <c r="Q142" s="244"/>
    </row>
    <row r="143" spans="8:17" x14ac:dyDescent="0.15">
      <c r="K143" s="137"/>
      <c r="Q143" s="244"/>
    </row>
    <row r="144" spans="8:17" x14ac:dyDescent="0.15">
      <c r="K144" s="137"/>
      <c r="Q144" s="244"/>
    </row>
    <row r="145" spans="11:17" x14ac:dyDescent="0.15">
      <c r="K145" s="137"/>
      <c r="Q145" s="244"/>
    </row>
    <row r="146" spans="11:17" x14ac:dyDescent="0.15">
      <c r="K146" s="137"/>
      <c r="Q146" s="244"/>
    </row>
    <row r="147" spans="11:17" x14ac:dyDescent="0.15">
      <c r="K147" s="137"/>
      <c r="Q147" s="244"/>
    </row>
    <row r="148" spans="11:17" x14ac:dyDescent="0.15">
      <c r="K148" s="137"/>
      <c r="Q148" s="244"/>
    </row>
    <row r="149" spans="11:17" x14ac:dyDescent="0.15">
      <c r="K149" s="137"/>
      <c r="Q149" s="244"/>
    </row>
    <row r="150" spans="11:17" x14ac:dyDescent="0.15">
      <c r="K150" s="137"/>
      <c r="Q150" s="244"/>
    </row>
    <row r="151" spans="11:17" x14ac:dyDescent="0.15">
      <c r="K151" s="137"/>
      <c r="Q151" s="244"/>
    </row>
    <row r="152" spans="11:17" x14ac:dyDescent="0.15">
      <c r="K152" s="137"/>
      <c r="Q152" s="244"/>
    </row>
    <row r="153" spans="11:17" x14ac:dyDescent="0.15">
      <c r="K153" s="137"/>
      <c r="Q153" s="244"/>
    </row>
    <row r="154" spans="11:17" x14ac:dyDescent="0.15">
      <c r="K154" s="137"/>
      <c r="Q154" s="244"/>
    </row>
    <row r="155" spans="11:17" x14ac:dyDescent="0.15">
      <c r="K155" s="137"/>
      <c r="Q155" s="244"/>
    </row>
    <row r="156" spans="11:17" x14ac:dyDescent="0.15">
      <c r="K156" s="137"/>
      <c r="Q156" s="244"/>
    </row>
    <row r="157" spans="11:17" x14ac:dyDescent="0.15">
      <c r="K157" s="137"/>
      <c r="Q157" s="244"/>
    </row>
    <row r="158" spans="11:17" x14ac:dyDescent="0.15">
      <c r="K158" s="137"/>
      <c r="Q158" s="244"/>
    </row>
    <row r="159" spans="11:17" x14ac:dyDescent="0.15">
      <c r="K159" s="137"/>
      <c r="Q159" s="244"/>
    </row>
    <row r="160" spans="11:17" x14ac:dyDescent="0.15">
      <c r="K160" s="137"/>
      <c r="Q160" s="244"/>
    </row>
    <row r="161" spans="11:17" x14ac:dyDescent="0.15">
      <c r="K161" s="137"/>
      <c r="Q161" s="244"/>
    </row>
    <row r="162" spans="11:17" x14ac:dyDescent="0.15">
      <c r="K162" s="137"/>
      <c r="Q162" s="244"/>
    </row>
    <row r="163" spans="11:17" x14ac:dyDescent="0.15">
      <c r="K163" s="137"/>
      <c r="Q163" s="244"/>
    </row>
    <row r="164" spans="11:17" x14ac:dyDescent="0.15">
      <c r="K164" s="137"/>
      <c r="Q164" s="244"/>
    </row>
    <row r="165" spans="11:17" x14ac:dyDescent="0.15">
      <c r="K165" s="137"/>
      <c r="Q165" s="244"/>
    </row>
    <row r="166" spans="11:17" x14ac:dyDescent="0.15">
      <c r="K166" s="137"/>
      <c r="Q166" s="244"/>
    </row>
    <row r="167" spans="11:17" x14ac:dyDescent="0.15">
      <c r="K167" s="137"/>
      <c r="Q167" s="244"/>
    </row>
    <row r="168" spans="11:17" x14ac:dyDescent="0.15">
      <c r="K168" s="137"/>
      <c r="Q168" s="244"/>
    </row>
    <row r="169" spans="11:17" x14ac:dyDescent="0.15">
      <c r="K169" s="137"/>
      <c r="Q169" s="244"/>
    </row>
    <row r="170" spans="11:17" x14ac:dyDescent="0.15">
      <c r="K170" s="137"/>
      <c r="Q170" s="244"/>
    </row>
    <row r="171" spans="11:17" x14ac:dyDescent="0.15">
      <c r="K171" s="137"/>
      <c r="Q171" s="244"/>
    </row>
    <row r="172" spans="11:17" x14ac:dyDescent="0.15">
      <c r="K172" s="137"/>
      <c r="Q172" s="244"/>
    </row>
    <row r="173" spans="11:17" x14ac:dyDescent="0.15">
      <c r="K173" s="137"/>
      <c r="Q173" s="244"/>
    </row>
    <row r="174" spans="11:17" x14ac:dyDescent="0.15">
      <c r="K174" s="137"/>
      <c r="Q174" s="244"/>
    </row>
    <row r="175" spans="11:17" x14ac:dyDescent="0.15">
      <c r="K175" s="137"/>
      <c r="Q175" s="244"/>
    </row>
    <row r="176" spans="11:17" x14ac:dyDescent="0.15">
      <c r="K176" s="137"/>
      <c r="Q176" s="244"/>
    </row>
    <row r="177" spans="11:17" x14ac:dyDescent="0.15">
      <c r="K177" s="137"/>
      <c r="Q177" s="244"/>
    </row>
    <row r="178" spans="11:17" x14ac:dyDescent="0.15">
      <c r="K178" s="137"/>
      <c r="Q178" s="244"/>
    </row>
    <row r="179" spans="11:17" x14ac:dyDescent="0.15">
      <c r="K179" s="137"/>
      <c r="Q179" s="244"/>
    </row>
    <row r="180" spans="11:17" x14ac:dyDescent="0.15">
      <c r="K180" s="137"/>
      <c r="Q180" s="244"/>
    </row>
    <row r="181" spans="11:17" x14ac:dyDescent="0.15">
      <c r="K181" s="137"/>
      <c r="Q181" s="244"/>
    </row>
    <row r="182" spans="11:17" x14ac:dyDescent="0.15">
      <c r="K182" s="137"/>
      <c r="Q182" s="244"/>
    </row>
    <row r="183" spans="11:17" x14ac:dyDescent="0.15">
      <c r="K183" s="137"/>
      <c r="Q183" s="244"/>
    </row>
    <row r="184" spans="11:17" x14ac:dyDescent="0.15">
      <c r="K184" s="137"/>
      <c r="Q184" s="244"/>
    </row>
    <row r="185" spans="11:17" x14ac:dyDescent="0.15">
      <c r="K185" s="137"/>
      <c r="Q185" s="244"/>
    </row>
    <row r="186" spans="11:17" x14ac:dyDescent="0.15">
      <c r="K186" s="137"/>
      <c r="Q186" s="244"/>
    </row>
    <row r="187" spans="11:17" x14ac:dyDescent="0.15">
      <c r="K187" s="137"/>
      <c r="Q187" s="244"/>
    </row>
    <row r="188" spans="11:17" x14ac:dyDescent="0.15">
      <c r="K188" s="137"/>
      <c r="Q188" s="244"/>
    </row>
    <row r="189" spans="11:17" x14ac:dyDescent="0.15">
      <c r="K189" s="137"/>
      <c r="Q189" s="244"/>
    </row>
    <row r="190" spans="11:17" x14ac:dyDescent="0.15">
      <c r="K190" s="137"/>
      <c r="Q190" s="244"/>
    </row>
    <row r="191" spans="11:17" x14ac:dyDescent="0.15">
      <c r="K191" s="137"/>
      <c r="Q191" s="244"/>
    </row>
    <row r="192" spans="11:17" x14ac:dyDescent="0.15">
      <c r="K192" s="137"/>
      <c r="Q192" s="244"/>
    </row>
    <row r="193" spans="11:17" x14ac:dyDescent="0.15">
      <c r="K193" s="137"/>
      <c r="Q193" s="244"/>
    </row>
    <row r="194" spans="11:17" x14ac:dyDescent="0.15">
      <c r="K194" s="137"/>
      <c r="Q194" s="244"/>
    </row>
    <row r="195" spans="11:17" x14ac:dyDescent="0.15">
      <c r="K195" s="137"/>
      <c r="Q195" s="244"/>
    </row>
    <row r="196" spans="11:17" x14ac:dyDescent="0.15">
      <c r="K196" s="137"/>
      <c r="Q196" s="244"/>
    </row>
    <row r="197" spans="11:17" x14ac:dyDescent="0.15">
      <c r="K197" s="137"/>
      <c r="Q197" s="244"/>
    </row>
    <row r="198" spans="11:17" x14ac:dyDescent="0.15">
      <c r="K198" s="137"/>
      <c r="Q198" s="244"/>
    </row>
    <row r="199" spans="11:17" x14ac:dyDescent="0.15">
      <c r="K199" s="137"/>
      <c r="Q199" s="244"/>
    </row>
    <row r="200" spans="11:17" x14ac:dyDescent="0.15">
      <c r="K200" s="137"/>
      <c r="Q200" s="244"/>
    </row>
    <row r="201" spans="11:17" x14ac:dyDescent="0.15">
      <c r="K201" s="137"/>
      <c r="Q201" s="244"/>
    </row>
    <row r="202" spans="11:17" x14ac:dyDescent="0.15">
      <c r="K202" s="137"/>
      <c r="Q202" s="244"/>
    </row>
    <row r="203" spans="11:17" x14ac:dyDescent="0.15">
      <c r="K203" s="137"/>
      <c r="Q203" s="244"/>
    </row>
    <row r="204" spans="11:17" x14ac:dyDescent="0.15">
      <c r="K204" s="137"/>
      <c r="Q204" s="244"/>
    </row>
    <row r="205" spans="11:17" x14ac:dyDescent="0.15">
      <c r="K205" s="137"/>
      <c r="Q205" s="244"/>
    </row>
    <row r="206" spans="11:17" x14ac:dyDescent="0.15">
      <c r="K206" s="137"/>
      <c r="Q206" s="244"/>
    </row>
    <row r="207" spans="11:17" x14ac:dyDescent="0.15">
      <c r="K207" s="137"/>
      <c r="Q207" s="244"/>
    </row>
    <row r="208" spans="11:17" x14ac:dyDescent="0.15">
      <c r="K208" s="137"/>
      <c r="Q208" s="244"/>
    </row>
    <row r="209" spans="11:17" x14ac:dyDescent="0.15">
      <c r="K209" s="137"/>
      <c r="Q209" s="244"/>
    </row>
    <row r="210" spans="11:17" x14ac:dyDescent="0.15">
      <c r="K210" s="137"/>
      <c r="Q210" s="244"/>
    </row>
    <row r="211" spans="11:17" x14ac:dyDescent="0.15">
      <c r="K211" s="137"/>
      <c r="Q211" s="244"/>
    </row>
    <row r="212" spans="11:17" x14ac:dyDescent="0.15">
      <c r="K212" s="137"/>
      <c r="Q212" s="244"/>
    </row>
    <row r="213" spans="11:17" x14ac:dyDescent="0.15">
      <c r="K213" s="137"/>
      <c r="Q213" s="244"/>
    </row>
    <row r="214" spans="11:17" x14ac:dyDescent="0.15">
      <c r="K214" s="137"/>
      <c r="Q214" s="244"/>
    </row>
    <row r="215" spans="11:17" x14ac:dyDescent="0.15">
      <c r="K215" s="137"/>
      <c r="Q215" s="244"/>
    </row>
    <row r="216" spans="11:17" x14ac:dyDescent="0.15">
      <c r="K216" s="137"/>
      <c r="Q216" s="244"/>
    </row>
    <row r="217" spans="11:17" x14ac:dyDescent="0.15">
      <c r="K217" s="137"/>
      <c r="Q217" s="244"/>
    </row>
    <row r="218" spans="11:17" x14ac:dyDescent="0.15">
      <c r="K218" s="137"/>
      <c r="Q218" s="244"/>
    </row>
    <row r="219" spans="11:17" x14ac:dyDescent="0.15">
      <c r="K219" s="137"/>
      <c r="Q219" s="244"/>
    </row>
    <row r="220" spans="11:17" x14ac:dyDescent="0.15">
      <c r="K220" s="137"/>
      <c r="Q220" s="244"/>
    </row>
    <row r="221" spans="11:17" x14ac:dyDescent="0.15">
      <c r="K221" s="137"/>
      <c r="Q221" s="244"/>
    </row>
    <row r="222" spans="11:17" x14ac:dyDescent="0.15">
      <c r="K222" s="137"/>
      <c r="Q222" s="244"/>
    </row>
    <row r="223" spans="11:17" x14ac:dyDescent="0.15">
      <c r="K223" s="137"/>
      <c r="Q223" s="244"/>
    </row>
    <row r="224" spans="11:17" x14ac:dyDescent="0.15">
      <c r="K224" s="137"/>
      <c r="Q224" s="244"/>
    </row>
    <row r="225" spans="11:17" x14ac:dyDescent="0.15">
      <c r="K225" s="137"/>
      <c r="Q225" s="244"/>
    </row>
    <row r="226" spans="11:17" x14ac:dyDescent="0.15">
      <c r="K226" s="137"/>
      <c r="Q226" s="244"/>
    </row>
    <row r="227" spans="11:17" x14ac:dyDescent="0.15">
      <c r="K227" s="137"/>
      <c r="Q227" s="244"/>
    </row>
    <row r="228" spans="11:17" x14ac:dyDescent="0.15">
      <c r="K228" s="137"/>
      <c r="Q228" s="244"/>
    </row>
    <row r="229" spans="11:17" x14ac:dyDescent="0.15">
      <c r="K229" s="137"/>
      <c r="Q229" s="244"/>
    </row>
    <row r="230" spans="11:17" x14ac:dyDescent="0.15">
      <c r="K230" s="137"/>
      <c r="Q230" s="244"/>
    </row>
    <row r="231" spans="11:17" x14ac:dyDescent="0.15">
      <c r="K231" s="137"/>
      <c r="Q231" s="244"/>
    </row>
    <row r="232" spans="11:17" x14ac:dyDescent="0.15">
      <c r="K232" s="137"/>
      <c r="Q232" s="244"/>
    </row>
    <row r="233" spans="11:17" x14ac:dyDescent="0.15">
      <c r="K233" s="137"/>
      <c r="Q233" s="244"/>
    </row>
    <row r="234" spans="11:17" x14ac:dyDescent="0.15">
      <c r="K234" s="137"/>
      <c r="Q234" s="244"/>
    </row>
    <row r="235" spans="11:17" x14ac:dyDescent="0.15">
      <c r="K235" s="137"/>
      <c r="Q235" s="244"/>
    </row>
    <row r="236" spans="11:17" x14ac:dyDescent="0.15">
      <c r="K236" s="137"/>
      <c r="Q236" s="244"/>
    </row>
    <row r="237" spans="11:17" x14ac:dyDescent="0.15">
      <c r="K237" s="137"/>
      <c r="Q237" s="244"/>
    </row>
    <row r="238" spans="11:17" x14ac:dyDescent="0.15">
      <c r="K238" s="137"/>
      <c r="Q238" s="244"/>
    </row>
    <row r="239" spans="11:17" x14ac:dyDescent="0.15">
      <c r="K239" s="137"/>
      <c r="Q239" s="244"/>
    </row>
    <row r="240" spans="11:17" x14ac:dyDescent="0.15">
      <c r="K240" s="137"/>
      <c r="Q240" s="244"/>
    </row>
    <row r="241" spans="11:17" x14ac:dyDescent="0.15">
      <c r="K241" s="137"/>
      <c r="Q241" s="244"/>
    </row>
    <row r="242" spans="11:17" x14ac:dyDescent="0.15">
      <c r="K242" s="137"/>
      <c r="Q242" s="244"/>
    </row>
    <row r="243" spans="11:17" x14ac:dyDescent="0.15">
      <c r="K243" s="137"/>
      <c r="Q243" s="244"/>
    </row>
    <row r="244" spans="11:17" x14ac:dyDescent="0.15">
      <c r="K244" s="137"/>
      <c r="Q244" s="244"/>
    </row>
    <row r="245" spans="11:17" x14ac:dyDescent="0.15">
      <c r="K245" s="137"/>
      <c r="Q245" s="244"/>
    </row>
    <row r="246" spans="11:17" x14ac:dyDescent="0.15">
      <c r="K246" s="137"/>
      <c r="Q246" s="244"/>
    </row>
    <row r="247" spans="11:17" x14ac:dyDescent="0.15">
      <c r="K247" s="137"/>
      <c r="Q247" s="244"/>
    </row>
    <row r="248" spans="11:17" x14ac:dyDescent="0.15">
      <c r="K248" s="137"/>
      <c r="Q248" s="244"/>
    </row>
    <row r="249" spans="11:17" x14ac:dyDescent="0.15">
      <c r="K249" s="137"/>
      <c r="Q249" s="244"/>
    </row>
    <row r="250" spans="11:17" x14ac:dyDescent="0.15">
      <c r="K250" s="137"/>
      <c r="Q250" s="244"/>
    </row>
    <row r="251" spans="11:17" x14ac:dyDescent="0.15">
      <c r="K251" s="137"/>
      <c r="Q251" s="244"/>
    </row>
    <row r="252" spans="11:17" x14ac:dyDescent="0.15">
      <c r="K252" s="137"/>
      <c r="Q252" s="244"/>
    </row>
    <row r="253" spans="11:17" x14ac:dyDescent="0.15">
      <c r="K253" s="137"/>
      <c r="Q253" s="244"/>
    </row>
    <row r="254" spans="11:17" x14ac:dyDescent="0.15">
      <c r="K254" s="137"/>
      <c r="Q254" s="244"/>
    </row>
    <row r="255" spans="11:17" x14ac:dyDescent="0.15">
      <c r="K255" s="137"/>
      <c r="Q255" s="244"/>
    </row>
    <row r="256" spans="11:17" x14ac:dyDescent="0.15">
      <c r="K256" s="137"/>
      <c r="Q256" s="244"/>
    </row>
    <row r="257" spans="11:17" x14ac:dyDescent="0.15">
      <c r="K257" s="137"/>
      <c r="Q257" s="244"/>
    </row>
    <row r="258" spans="11:17" x14ac:dyDescent="0.15">
      <c r="K258" s="137"/>
      <c r="Q258" s="244"/>
    </row>
    <row r="259" spans="11:17" x14ac:dyDescent="0.15">
      <c r="K259" s="137"/>
      <c r="Q259" s="244"/>
    </row>
    <row r="260" spans="11:17" x14ac:dyDescent="0.15">
      <c r="K260" s="137"/>
      <c r="Q260" s="244"/>
    </row>
    <row r="261" spans="11:17" x14ac:dyDescent="0.15">
      <c r="K261" s="137"/>
      <c r="Q261" s="244"/>
    </row>
    <row r="262" spans="11:17" x14ac:dyDescent="0.15">
      <c r="K262" s="137"/>
      <c r="Q262" s="244"/>
    </row>
    <row r="263" spans="11:17" x14ac:dyDescent="0.15">
      <c r="K263" s="137"/>
      <c r="Q263" s="244"/>
    </row>
    <row r="264" spans="11:17" x14ac:dyDescent="0.15">
      <c r="K264" s="137"/>
      <c r="Q264" s="244"/>
    </row>
    <row r="265" spans="11:17" x14ac:dyDescent="0.15">
      <c r="K265" s="137"/>
      <c r="Q265" s="244"/>
    </row>
    <row r="266" spans="11:17" x14ac:dyDescent="0.15">
      <c r="K266" s="137"/>
      <c r="Q266" s="244"/>
    </row>
    <row r="267" spans="11:17" x14ac:dyDescent="0.15">
      <c r="K267" s="137"/>
      <c r="Q267" s="244"/>
    </row>
    <row r="268" spans="11:17" x14ac:dyDescent="0.15">
      <c r="K268" s="137"/>
      <c r="Q268" s="244"/>
    </row>
    <row r="269" spans="11:17" x14ac:dyDescent="0.15">
      <c r="K269" s="137"/>
      <c r="Q269" s="244"/>
    </row>
    <row r="270" spans="11:17" x14ac:dyDescent="0.15">
      <c r="K270" s="137"/>
      <c r="Q270" s="244"/>
    </row>
    <row r="271" spans="11:17" x14ac:dyDescent="0.15">
      <c r="K271" s="137"/>
      <c r="Q271" s="244"/>
    </row>
    <row r="272" spans="11:17" x14ac:dyDescent="0.15">
      <c r="K272" s="137"/>
      <c r="Q272" s="244"/>
    </row>
    <row r="273" spans="11:17" x14ac:dyDescent="0.15">
      <c r="K273" s="137"/>
      <c r="Q273" s="244"/>
    </row>
    <row r="274" spans="11:17" x14ac:dyDescent="0.15">
      <c r="K274" s="137"/>
      <c r="Q274" s="244"/>
    </row>
    <row r="275" spans="11:17" x14ac:dyDescent="0.15">
      <c r="K275" s="137"/>
      <c r="Q275" s="244"/>
    </row>
    <row r="276" spans="11:17" x14ac:dyDescent="0.15">
      <c r="K276" s="137"/>
      <c r="Q276" s="244"/>
    </row>
    <row r="277" spans="11:17" x14ac:dyDescent="0.15">
      <c r="K277" s="137"/>
      <c r="Q277" s="244"/>
    </row>
    <row r="278" spans="11:17" x14ac:dyDescent="0.15">
      <c r="K278" s="137"/>
      <c r="Q278" s="244"/>
    </row>
    <row r="279" spans="11:17" x14ac:dyDescent="0.15">
      <c r="K279" s="137"/>
      <c r="Q279" s="244"/>
    </row>
    <row r="280" spans="11:17" x14ac:dyDescent="0.15">
      <c r="K280" s="137"/>
      <c r="Q280" s="244"/>
    </row>
    <row r="281" spans="11:17" x14ac:dyDescent="0.15">
      <c r="K281" s="137"/>
      <c r="Q281" s="244"/>
    </row>
    <row r="282" spans="11:17" x14ac:dyDescent="0.15">
      <c r="K282" s="137"/>
      <c r="Q282" s="244"/>
    </row>
    <row r="283" spans="11:17" x14ac:dyDescent="0.15">
      <c r="K283" s="137"/>
      <c r="Q283" s="244"/>
    </row>
    <row r="284" spans="11:17" x14ac:dyDescent="0.15">
      <c r="K284" s="137"/>
      <c r="Q284" s="244"/>
    </row>
    <row r="285" spans="11:17" x14ac:dyDescent="0.15">
      <c r="K285" s="137"/>
      <c r="Q285" s="244"/>
    </row>
    <row r="286" spans="11:17" x14ac:dyDescent="0.15">
      <c r="K286" s="137"/>
      <c r="Q286" s="244"/>
    </row>
    <row r="287" spans="11:17" x14ac:dyDescent="0.15">
      <c r="K287" s="137"/>
      <c r="Q287" s="244"/>
    </row>
    <row r="288" spans="11:17" x14ac:dyDescent="0.15">
      <c r="K288" s="137"/>
      <c r="Q288" s="244"/>
    </row>
    <row r="289" spans="11:17" x14ac:dyDescent="0.15">
      <c r="K289" s="137"/>
      <c r="Q289" s="244"/>
    </row>
    <row r="290" spans="11:17" x14ac:dyDescent="0.15">
      <c r="K290" s="137"/>
      <c r="Q290" s="244"/>
    </row>
    <row r="291" spans="11:17" x14ac:dyDescent="0.15">
      <c r="K291" s="137"/>
      <c r="Q291" s="244"/>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topLeftCell="A52" zoomScale="70" zoomScaleNormal="70" workbookViewId="0">
      <selection activeCell="AD35" sqref="AD35"/>
    </sheetView>
  </sheetViews>
  <sheetFormatPr defaultRowHeight="13.5" x14ac:dyDescent="0.15"/>
  <cols>
    <col min="1" max="3" width="9" style="207"/>
    <col min="4" max="4" width="10.5" style="207" bestFit="1" customWidth="1"/>
    <col min="5" max="5" width="10.875" style="207" bestFit="1" customWidth="1"/>
    <col min="6" max="6" width="18.875" style="207" bestFit="1" customWidth="1"/>
    <col min="7" max="9" width="9" style="207"/>
    <col min="10" max="10" width="9.25" style="207" customWidth="1"/>
    <col min="11" max="16" width="9" style="207"/>
    <col min="17" max="17" width="9" style="216"/>
    <col min="18" max="19" width="9" style="207"/>
    <col min="20" max="20" width="9" style="216"/>
    <col min="21" max="21" width="9" style="207"/>
    <col min="22" max="22" width="14.25" style="216" customWidth="1"/>
    <col min="23" max="23" width="9" style="207"/>
    <col min="24" max="24" width="9.625" style="207" customWidth="1"/>
    <col min="25" max="26" width="9" style="207"/>
    <col min="27" max="27" width="12.125" style="207" customWidth="1"/>
    <col min="28" max="32" width="9" style="207"/>
    <col min="33" max="33" width="15.125" style="207" bestFit="1" customWidth="1"/>
    <col min="34" max="34" width="19.625" style="207" bestFit="1" customWidth="1"/>
    <col min="35" max="16384" width="9" style="207"/>
  </cols>
  <sheetData>
    <row r="1" spans="1:53" ht="45" x14ac:dyDescent="0.15">
      <c r="A1" s="239" t="s">
        <v>0</v>
      </c>
      <c r="B1" s="201" t="s">
        <v>1</v>
      </c>
      <c r="C1" s="201" t="s">
        <v>536</v>
      </c>
      <c r="D1" s="202" t="s">
        <v>3</v>
      </c>
      <c r="E1" s="240" t="s">
        <v>4</v>
      </c>
      <c r="F1" s="240" t="s">
        <v>5</v>
      </c>
      <c r="G1" s="240" t="s">
        <v>6</v>
      </c>
      <c r="H1" s="240" t="s">
        <v>7</v>
      </c>
      <c r="I1" s="240" t="s">
        <v>8</v>
      </c>
      <c r="J1" s="240" t="s">
        <v>9</v>
      </c>
      <c r="K1" s="240" t="s">
        <v>10</v>
      </c>
      <c r="L1" s="202" t="s">
        <v>537</v>
      </c>
      <c r="M1" s="202" t="s">
        <v>12</v>
      </c>
      <c r="N1" s="202" t="s">
        <v>13</v>
      </c>
      <c r="O1" s="202" t="s">
        <v>538</v>
      </c>
      <c r="P1" s="202" t="s">
        <v>539</v>
      </c>
      <c r="Q1" s="203" t="s">
        <v>16</v>
      </c>
      <c r="R1" s="202" t="s">
        <v>540</v>
      </c>
      <c r="S1" s="202" t="s">
        <v>541</v>
      </c>
      <c r="T1" s="203" t="s">
        <v>19</v>
      </c>
      <c r="U1" s="204" t="s">
        <v>542</v>
      </c>
      <c r="V1" s="205" t="s">
        <v>20</v>
      </c>
      <c r="W1" s="202" t="s">
        <v>21</v>
      </c>
      <c r="X1" s="240" t="s">
        <v>22</v>
      </c>
      <c r="Y1" s="240" t="s">
        <v>23</v>
      </c>
      <c r="Z1" s="240" t="s">
        <v>543</v>
      </c>
      <c r="AA1" s="241" t="s">
        <v>25</v>
      </c>
      <c r="AB1" s="206" t="s">
        <v>544</v>
      </c>
      <c r="AE1" s="208" t="s">
        <v>0</v>
      </c>
      <c r="AF1" s="209"/>
      <c r="AG1" s="24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545</v>
      </c>
      <c r="AY1" s="213" t="s">
        <v>546</v>
      </c>
      <c r="AZ1" s="213" t="s">
        <v>547</v>
      </c>
      <c r="BA1" s="214" t="s">
        <v>548</v>
      </c>
    </row>
    <row r="2" spans="1:53" s="215" customFormat="1" x14ac:dyDescent="0.15">
      <c r="A2" s="215" t="s">
        <v>34</v>
      </c>
      <c r="B2" s="207" t="s">
        <v>334</v>
      </c>
      <c r="C2" s="207">
        <v>2018</v>
      </c>
      <c r="D2" s="249" t="s">
        <v>549</v>
      </c>
      <c r="E2" s="236" t="s">
        <v>202</v>
      </c>
      <c r="F2" s="236" t="s">
        <v>326</v>
      </c>
      <c r="G2" s="215" t="s">
        <v>36</v>
      </c>
      <c r="H2" s="207" t="s">
        <v>155</v>
      </c>
      <c r="I2" s="215" t="s">
        <v>153</v>
      </c>
      <c r="J2" s="215" t="s">
        <v>38</v>
      </c>
      <c r="K2" s="215" t="s">
        <v>154</v>
      </c>
      <c r="L2" s="215">
        <v>1</v>
      </c>
      <c r="N2" s="215">
        <v>1</v>
      </c>
      <c r="O2" s="215">
        <v>1.1000000000000001</v>
      </c>
      <c r="P2" s="215">
        <v>0.9</v>
      </c>
      <c r="Q2" s="244">
        <f t="shared" ref="Q2:Q82" si="0">IF(OR(O2="",P2=""),"",AVERAGE(O2,P2))</f>
        <v>1</v>
      </c>
      <c r="R2" s="215">
        <v>15</v>
      </c>
      <c r="S2" s="215">
        <v>113</v>
      </c>
      <c r="T2" s="216">
        <f t="shared" ref="T2:T100" si="1">IF(H2="","",IF(OR(H2="GREEN",H2="GK"),IF(S2&gt;=$AX$2,VLOOKUP(S2,$AX$2:$AY$9,2,1),""),IF(S2&gt;=$AZ$2,VLOOKUP(S2,$AZ$2:$BA$9,2,1),"")))</f>
        <v>30</v>
      </c>
      <c r="U2" s="215">
        <v>105</v>
      </c>
      <c r="V2" s="216">
        <f t="shared" ref="V2:V100" si="2">IF(OR(N2="",U2="",T2=""),"",U2/N2*T2)</f>
        <v>3150</v>
      </c>
      <c r="W2" s="215">
        <v>3</v>
      </c>
      <c r="X2" s="215" t="s">
        <v>39</v>
      </c>
      <c r="Y2" s="215" t="s">
        <v>84</v>
      </c>
      <c r="Z2" s="215" t="s">
        <v>90</v>
      </c>
      <c r="AA2" s="215" t="s">
        <v>50</v>
      </c>
      <c r="AB2" s="215" t="s">
        <v>336</v>
      </c>
      <c r="AE2" s="217" t="s">
        <v>35</v>
      </c>
      <c r="AG2" s="250" t="s">
        <v>283</v>
      </c>
      <c r="AH2" s="242" t="s">
        <v>317</v>
      </c>
      <c r="AJ2" s="218" t="s">
        <v>36</v>
      </c>
      <c r="AL2" s="218" t="s">
        <v>127</v>
      </c>
      <c r="AN2" s="218" t="s">
        <v>37</v>
      </c>
      <c r="AP2" s="218" t="s">
        <v>38</v>
      </c>
      <c r="AR2" s="218" t="s">
        <v>550</v>
      </c>
      <c r="AT2" s="218" t="s">
        <v>39</v>
      </c>
      <c r="AV2" s="247" t="s">
        <v>40</v>
      </c>
      <c r="AX2" s="219">
        <v>1</v>
      </c>
      <c r="AY2" s="220">
        <v>50</v>
      </c>
      <c r="AZ2" s="220">
        <v>1</v>
      </c>
      <c r="BA2" s="221">
        <v>50</v>
      </c>
    </row>
    <row r="3" spans="1:53" x14ac:dyDescent="0.15">
      <c r="A3" s="215" t="s">
        <v>34</v>
      </c>
      <c r="B3" s="207" t="s">
        <v>334</v>
      </c>
      <c r="C3" s="207">
        <v>2018</v>
      </c>
      <c r="D3" s="249" t="s">
        <v>549</v>
      </c>
      <c r="E3" s="236" t="s">
        <v>202</v>
      </c>
      <c r="F3" s="236" t="s">
        <v>326</v>
      </c>
      <c r="G3" s="215" t="s">
        <v>36</v>
      </c>
      <c r="H3" s="207" t="s">
        <v>155</v>
      </c>
      <c r="I3" s="215" t="s">
        <v>153</v>
      </c>
      <c r="J3" s="215" t="s">
        <v>38</v>
      </c>
      <c r="K3" s="215" t="s">
        <v>154</v>
      </c>
      <c r="L3" s="207">
        <v>2</v>
      </c>
      <c r="N3" s="207">
        <v>1</v>
      </c>
      <c r="O3" s="207">
        <v>0.7</v>
      </c>
      <c r="P3" s="207">
        <v>0.75</v>
      </c>
      <c r="Q3" s="244">
        <f t="shared" si="0"/>
        <v>0.72499999999999998</v>
      </c>
      <c r="R3" s="207">
        <v>14.5</v>
      </c>
      <c r="S3" s="207">
        <v>109</v>
      </c>
      <c r="T3" s="216">
        <f t="shared" si="1"/>
        <v>33</v>
      </c>
      <c r="U3" s="207">
        <v>105</v>
      </c>
      <c r="V3" s="216">
        <f t="shared" si="2"/>
        <v>3465</v>
      </c>
      <c r="W3" s="215">
        <v>3</v>
      </c>
      <c r="X3" s="215" t="s">
        <v>39</v>
      </c>
      <c r="Y3" s="215" t="s">
        <v>84</v>
      </c>
      <c r="Z3" s="215" t="s">
        <v>90</v>
      </c>
      <c r="AA3" s="215" t="s">
        <v>50</v>
      </c>
      <c r="AB3" s="215" t="s">
        <v>336</v>
      </c>
      <c r="AC3" s="215"/>
      <c r="AE3" s="222" t="s">
        <v>41</v>
      </c>
      <c r="AG3" s="251" t="s">
        <v>318</v>
      </c>
      <c r="AH3" s="242" t="s">
        <v>319</v>
      </c>
      <c r="AJ3" s="223" t="s">
        <v>42</v>
      </c>
      <c r="AL3" s="223" t="s">
        <v>128</v>
      </c>
      <c r="AN3" s="223" t="s">
        <v>43</v>
      </c>
      <c r="AP3" s="223" t="s">
        <v>44</v>
      </c>
      <c r="AR3" s="237" t="s">
        <v>45</v>
      </c>
      <c r="AT3" s="223" t="s">
        <v>46</v>
      </c>
      <c r="AV3" s="223" t="s">
        <v>47</v>
      </c>
      <c r="AX3" s="224">
        <v>72</v>
      </c>
      <c r="AY3" s="225">
        <v>46</v>
      </c>
      <c r="AZ3" s="225">
        <v>71</v>
      </c>
      <c r="BA3" s="226">
        <v>42</v>
      </c>
    </row>
    <row r="4" spans="1:53" x14ac:dyDescent="0.15">
      <c r="A4" s="215" t="s">
        <v>34</v>
      </c>
      <c r="B4" s="207" t="s">
        <v>334</v>
      </c>
      <c r="C4" s="207">
        <v>2018</v>
      </c>
      <c r="D4" s="249" t="s">
        <v>549</v>
      </c>
      <c r="E4" s="236" t="s">
        <v>202</v>
      </c>
      <c r="F4" s="236" t="s">
        <v>326</v>
      </c>
      <c r="G4" s="215" t="s">
        <v>36</v>
      </c>
      <c r="H4" s="207" t="s">
        <v>155</v>
      </c>
      <c r="I4" s="215" t="s">
        <v>153</v>
      </c>
      <c r="J4" s="215" t="s">
        <v>38</v>
      </c>
      <c r="K4" s="215" t="s">
        <v>154</v>
      </c>
      <c r="L4" s="207">
        <v>3</v>
      </c>
      <c r="N4" s="207">
        <v>1</v>
      </c>
      <c r="O4" s="207">
        <v>1.1499999999999999</v>
      </c>
      <c r="P4" s="207">
        <v>1.1499999999999999</v>
      </c>
      <c r="Q4" s="244">
        <f t="shared" si="0"/>
        <v>1.1499999999999999</v>
      </c>
      <c r="R4" s="207">
        <v>12.7</v>
      </c>
      <c r="S4" s="207">
        <v>106</v>
      </c>
      <c r="T4" s="216">
        <f t="shared" si="1"/>
        <v>33</v>
      </c>
      <c r="U4" s="207">
        <v>105</v>
      </c>
      <c r="V4" s="216">
        <f t="shared" si="2"/>
        <v>3465</v>
      </c>
      <c r="W4" s="207">
        <v>3</v>
      </c>
      <c r="X4" s="215" t="s">
        <v>39</v>
      </c>
      <c r="Y4" s="215" t="s">
        <v>84</v>
      </c>
      <c r="Z4" s="215" t="s">
        <v>90</v>
      </c>
      <c r="AA4" s="215" t="s">
        <v>50</v>
      </c>
      <c r="AB4" s="215" t="s">
        <v>336</v>
      </c>
      <c r="AC4" s="215"/>
      <c r="AE4" s="222" t="s">
        <v>34</v>
      </c>
      <c r="AG4" s="251" t="s">
        <v>320</v>
      </c>
      <c r="AH4" s="242" t="s">
        <v>321</v>
      </c>
      <c r="AJ4" s="227" t="s">
        <v>48</v>
      </c>
      <c r="AL4" s="227" t="s">
        <v>129</v>
      </c>
      <c r="AN4" s="228" t="s">
        <v>49</v>
      </c>
      <c r="AP4" s="223" t="s">
        <v>551</v>
      </c>
      <c r="AR4" s="237" t="s">
        <v>391</v>
      </c>
      <c r="AT4" s="228"/>
      <c r="AV4" s="223" t="s">
        <v>50</v>
      </c>
      <c r="AX4" s="224">
        <v>75</v>
      </c>
      <c r="AY4" s="225">
        <v>42</v>
      </c>
      <c r="AZ4" s="225">
        <v>76</v>
      </c>
      <c r="BA4" s="226">
        <v>39</v>
      </c>
    </row>
    <row r="5" spans="1:53" x14ac:dyDescent="0.15">
      <c r="A5" s="215" t="s">
        <v>34</v>
      </c>
      <c r="B5" s="207" t="s">
        <v>334</v>
      </c>
      <c r="C5" s="207">
        <v>2018</v>
      </c>
      <c r="D5" s="249" t="s">
        <v>552</v>
      </c>
      <c r="E5" s="236" t="s">
        <v>202</v>
      </c>
      <c r="F5" s="236" t="s">
        <v>326</v>
      </c>
      <c r="G5" s="215" t="s">
        <v>36</v>
      </c>
      <c r="H5" s="207" t="s">
        <v>155</v>
      </c>
      <c r="I5" s="215" t="s">
        <v>153</v>
      </c>
      <c r="J5" s="215" t="s">
        <v>38</v>
      </c>
      <c r="K5" s="215" t="s">
        <v>154</v>
      </c>
      <c r="L5" s="215">
        <v>1</v>
      </c>
      <c r="N5" s="207">
        <v>5</v>
      </c>
      <c r="O5" s="207">
        <v>1.1499999999999999</v>
      </c>
      <c r="P5" s="207">
        <v>1.35</v>
      </c>
      <c r="Q5" s="244">
        <f t="shared" si="0"/>
        <v>1.25</v>
      </c>
      <c r="R5" s="207">
        <v>12.9</v>
      </c>
      <c r="S5" s="207">
        <v>92</v>
      </c>
      <c r="T5" s="216">
        <f t="shared" si="1"/>
        <v>36</v>
      </c>
      <c r="U5" s="207">
        <v>321</v>
      </c>
      <c r="V5" s="216">
        <f t="shared" si="2"/>
        <v>2311.2000000000003</v>
      </c>
      <c r="W5" s="207">
        <v>3</v>
      </c>
      <c r="X5" s="215" t="s">
        <v>39</v>
      </c>
      <c r="Y5" s="215" t="s">
        <v>84</v>
      </c>
      <c r="Z5" s="215" t="s">
        <v>90</v>
      </c>
      <c r="AA5" s="215" t="s">
        <v>50</v>
      </c>
      <c r="AB5" s="215" t="s">
        <v>336</v>
      </c>
      <c r="AE5" s="222" t="s">
        <v>51</v>
      </c>
      <c r="AG5" s="251" t="s">
        <v>322</v>
      </c>
      <c r="AH5" s="242" t="s">
        <v>323</v>
      </c>
      <c r="AJ5" s="228"/>
      <c r="AL5" s="229" t="s">
        <v>553</v>
      </c>
      <c r="AN5" s="229" t="s">
        <v>554</v>
      </c>
      <c r="AP5" s="223" t="s">
        <v>555</v>
      </c>
      <c r="AR5" s="237" t="s">
        <v>54</v>
      </c>
      <c r="AV5" s="223" t="s">
        <v>55</v>
      </c>
      <c r="AX5" s="224">
        <v>84</v>
      </c>
      <c r="AY5" s="225">
        <v>39</v>
      </c>
      <c r="AZ5" s="225">
        <v>84</v>
      </c>
      <c r="BA5" s="226">
        <v>36</v>
      </c>
    </row>
    <row r="6" spans="1:53" x14ac:dyDescent="0.15">
      <c r="A6" s="215" t="s">
        <v>34</v>
      </c>
      <c r="B6" s="207" t="s">
        <v>334</v>
      </c>
      <c r="C6" s="207">
        <v>2018</v>
      </c>
      <c r="D6" s="249" t="s">
        <v>556</v>
      </c>
      <c r="E6" s="236" t="s">
        <v>202</v>
      </c>
      <c r="F6" s="236" t="s">
        <v>326</v>
      </c>
      <c r="G6" s="215" t="s">
        <v>36</v>
      </c>
      <c r="H6" s="207" t="s">
        <v>155</v>
      </c>
      <c r="I6" s="215" t="s">
        <v>153</v>
      </c>
      <c r="J6" s="215" t="s">
        <v>38</v>
      </c>
      <c r="K6" s="215" t="s">
        <v>154</v>
      </c>
      <c r="L6" s="207">
        <v>2</v>
      </c>
      <c r="N6" s="207">
        <v>5</v>
      </c>
      <c r="O6" s="207">
        <v>1.2</v>
      </c>
      <c r="P6" s="207">
        <v>0.9</v>
      </c>
      <c r="Q6" s="244">
        <f t="shared" si="0"/>
        <v>1.05</v>
      </c>
      <c r="R6" s="207">
        <v>14</v>
      </c>
      <c r="S6" s="207">
        <v>90</v>
      </c>
      <c r="T6" s="216">
        <f t="shared" si="1"/>
        <v>36</v>
      </c>
      <c r="U6" s="207">
        <v>321</v>
      </c>
      <c r="V6" s="216">
        <f t="shared" si="2"/>
        <v>2311.2000000000003</v>
      </c>
      <c r="W6" s="207">
        <v>3</v>
      </c>
      <c r="X6" s="215" t="s">
        <v>39</v>
      </c>
      <c r="Y6" s="215" t="s">
        <v>84</v>
      </c>
      <c r="Z6" s="215" t="s">
        <v>90</v>
      </c>
      <c r="AA6" s="215" t="s">
        <v>50</v>
      </c>
      <c r="AB6" s="215" t="s">
        <v>336</v>
      </c>
      <c r="AE6" s="222" t="s">
        <v>56</v>
      </c>
      <c r="AG6" s="251" t="s">
        <v>324</v>
      </c>
      <c r="AH6" s="242" t="s">
        <v>325</v>
      </c>
      <c r="AL6" s="229" t="s">
        <v>557</v>
      </c>
      <c r="AN6" s="229" t="s">
        <v>399</v>
      </c>
      <c r="AP6" s="223" t="s">
        <v>53</v>
      </c>
      <c r="AR6" s="237" t="s">
        <v>59</v>
      </c>
      <c r="AV6" s="223" t="s">
        <v>60</v>
      </c>
      <c r="AX6" s="224">
        <v>97</v>
      </c>
      <c r="AY6" s="225">
        <v>36</v>
      </c>
      <c r="AZ6" s="225">
        <v>99</v>
      </c>
      <c r="BA6" s="226">
        <v>33</v>
      </c>
    </row>
    <row r="7" spans="1:53" x14ac:dyDescent="0.15">
      <c r="A7" s="215" t="s">
        <v>34</v>
      </c>
      <c r="B7" s="207" t="s">
        <v>334</v>
      </c>
      <c r="C7" s="207">
        <v>2018</v>
      </c>
      <c r="D7" s="249" t="s">
        <v>558</v>
      </c>
      <c r="E7" s="236" t="s">
        <v>202</v>
      </c>
      <c r="F7" s="236" t="s">
        <v>326</v>
      </c>
      <c r="G7" s="215" t="s">
        <v>36</v>
      </c>
      <c r="H7" s="207" t="s">
        <v>155</v>
      </c>
      <c r="I7" s="215" t="s">
        <v>153</v>
      </c>
      <c r="J7" s="215" t="s">
        <v>38</v>
      </c>
      <c r="K7" s="215" t="s">
        <v>154</v>
      </c>
      <c r="L7" s="207">
        <v>3</v>
      </c>
      <c r="N7" s="207">
        <v>5</v>
      </c>
      <c r="O7" s="207">
        <v>0.95</v>
      </c>
      <c r="P7" s="207">
        <v>1.1499999999999999</v>
      </c>
      <c r="Q7" s="244">
        <f t="shared" si="0"/>
        <v>1.0499999999999998</v>
      </c>
      <c r="R7" s="207">
        <v>11.4</v>
      </c>
      <c r="S7" s="207">
        <v>90</v>
      </c>
      <c r="T7" s="216">
        <f t="shared" si="1"/>
        <v>36</v>
      </c>
      <c r="U7" s="207">
        <v>321</v>
      </c>
      <c r="V7" s="216">
        <f t="shared" si="2"/>
        <v>2311.2000000000003</v>
      </c>
      <c r="W7" s="207">
        <v>3</v>
      </c>
      <c r="X7" s="215" t="s">
        <v>39</v>
      </c>
      <c r="Y7" s="215" t="s">
        <v>84</v>
      </c>
      <c r="Z7" s="215" t="s">
        <v>90</v>
      </c>
      <c r="AA7" s="215" t="s">
        <v>50</v>
      </c>
      <c r="AB7" s="215" t="s">
        <v>336</v>
      </c>
      <c r="AE7" s="222" t="s">
        <v>61</v>
      </c>
      <c r="AG7" s="251" t="s">
        <v>202</v>
      </c>
      <c r="AH7" s="242" t="s">
        <v>326</v>
      </c>
      <c r="AL7" s="234" t="s">
        <v>559</v>
      </c>
      <c r="AP7" s="223" t="s">
        <v>58</v>
      </c>
      <c r="AR7" s="230" t="s">
        <v>122</v>
      </c>
      <c r="AV7" s="223" t="s">
        <v>64</v>
      </c>
      <c r="AX7" s="224">
        <v>109</v>
      </c>
      <c r="AY7" s="225">
        <v>33</v>
      </c>
      <c r="AZ7" s="225">
        <v>113</v>
      </c>
      <c r="BA7" s="226">
        <v>30</v>
      </c>
    </row>
    <row r="8" spans="1:53" x14ac:dyDescent="0.15">
      <c r="A8" s="215" t="s">
        <v>34</v>
      </c>
      <c r="B8" s="207" t="s">
        <v>334</v>
      </c>
      <c r="C8" s="207">
        <v>2018</v>
      </c>
      <c r="D8" s="249" t="s">
        <v>560</v>
      </c>
      <c r="E8" s="236" t="s">
        <v>202</v>
      </c>
      <c r="F8" s="236" t="s">
        <v>326</v>
      </c>
      <c r="G8" s="215" t="s">
        <v>36</v>
      </c>
      <c r="H8" s="207" t="s">
        <v>162</v>
      </c>
      <c r="I8" s="215" t="s">
        <v>153</v>
      </c>
      <c r="J8" s="215" t="s">
        <v>38</v>
      </c>
      <c r="K8" s="215" t="s">
        <v>154</v>
      </c>
      <c r="L8" s="215">
        <v>1</v>
      </c>
      <c r="N8" s="207">
        <v>1</v>
      </c>
      <c r="O8" s="207">
        <v>0.5</v>
      </c>
      <c r="P8" s="207">
        <v>0.5</v>
      </c>
      <c r="Q8" s="244">
        <f t="shared" si="0"/>
        <v>0.5</v>
      </c>
      <c r="R8" s="207">
        <v>16.100000000000001</v>
      </c>
      <c r="S8" s="207">
        <v>153</v>
      </c>
      <c r="T8" s="216">
        <f t="shared" si="1"/>
        <v>18</v>
      </c>
      <c r="U8" s="207">
        <v>149</v>
      </c>
      <c r="V8" s="216">
        <f t="shared" si="2"/>
        <v>2682</v>
      </c>
      <c r="W8" s="207">
        <v>1</v>
      </c>
      <c r="X8" s="215" t="s">
        <v>39</v>
      </c>
      <c r="Y8" s="215" t="s">
        <v>84</v>
      </c>
      <c r="Z8" s="215" t="s">
        <v>90</v>
      </c>
      <c r="AA8" s="215" t="s">
        <v>50</v>
      </c>
      <c r="AB8" s="215" t="s">
        <v>336</v>
      </c>
      <c r="AE8" s="222" t="s">
        <v>59</v>
      </c>
      <c r="AG8" s="251" t="s">
        <v>327</v>
      </c>
      <c r="AH8" s="242" t="s">
        <v>328</v>
      </c>
      <c r="AL8" s="234" t="s">
        <v>561</v>
      </c>
      <c r="AP8" s="223" t="s">
        <v>62</v>
      </c>
      <c r="AR8" s="237" t="s">
        <v>81</v>
      </c>
      <c r="AV8" s="223" t="s">
        <v>97</v>
      </c>
      <c r="AX8" s="224">
        <v>151</v>
      </c>
      <c r="AY8" s="225">
        <v>22</v>
      </c>
      <c r="AZ8" s="225">
        <v>152</v>
      </c>
      <c r="BA8" s="226">
        <v>18</v>
      </c>
    </row>
    <row r="9" spans="1:53" x14ac:dyDescent="0.15">
      <c r="A9" s="215" t="s">
        <v>34</v>
      </c>
      <c r="B9" s="207" t="s">
        <v>334</v>
      </c>
      <c r="C9" s="207">
        <v>2018</v>
      </c>
      <c r="D9" s="249" t="s">
        <v>562</v>
      </c>
      <c r="E9" s="236" t="s">
        <v>202</v>
      </c>
      <c r="F9" s="236" t="s">
        <v>326</v>
      </c>
      <c r="G9" s="215" t="s">
        <v>36</v>
      </c>
      <c r="H9" s="207" t="s">
        <v>162</v>
      </c>
      <c r="I9" s="215" t="s">
        <v>153</v>
      </c>
      <c r="J9" s="215" t="s">
        <v>38</v>
      </c>
      <c r="K9" s="215" t="s">
        <v>154</v>
      </c>
      <c r="L9" s="207">
        <v>2</v>
      </c>
      <c r="N9" s="207">
        <v>1</v>
      </c>
      <c r="O9" s="207">
        <v>0.55000000000000004</v>
      </c>
      <c r="P9" s="207">
        <v>0.5</v>
      </c>
      <c r="Q9" s="244">
        <f t="shared" si="0"/>
        <v>0.52500000000000002</v>
      </c>
      <c r="R9" s="207">
        <v>15.2</v>
      </c>
      <c r="S9" s="207">
        <v>164</v>
      </c>
      <c r="T9" s="216">
        <f t="shared" si="1"/>
        <v>18</v>
      </c>
      <c r="U9" s="207">
        <v>149</v>
      </c>
      <c r="V9" s="216">
        <f t="shared" si="2"/>
        <v>2682</v>
      </c>
      <c r="W9" s="207">
        <v>1</v>
      </c>
      <c r="X9" s="215" t="s">
        <v>39</v>
      </c>
      <c r="Y9" s="215" t="s">
        <v>84</v>
      </c>
      <c r="Z9" s="215" t="s">
        <v>90</v>
      </c>
      <c r="AA9" s="215" t="s">
        <v>50</v>
      </c>
      <c r="AB9" s="215" t="s">
        <v>336</v>
      </c>
      <c r="AE9" s="222" t="s">
        <v>98</v>
      </c>
      <c r="AG9" s="251" t="s">
        <v>286</v>
      </c>
      <c r="AH9" s="242" t="s">
        <v>329</v>
      </c>
      <c r="AL9" s="229"/>
      <c r="AP9" s="223" t="s">
        <v>95</v>
      </c>
      <c r="AR9" s="230" t="s">
        <v>89</v>
      </c>
      <c r="AV9" s="223" t="s">
        <v>102</v>
      </c>
      <c r="AX9" s="231">
        <v>180</v>
      </c>
      <c r="AY9" s="232">
        <v>18</v>
      </c>
      <c r="AZ9" s="232">
        <v>181</v>
      </c>
      <c r="BA9" s="233">
        <v>16</v>
      </c>
    </row>
    <row r="10" spans="1:53" x14ac:dyDescent="0.15">
      <c r="A10" s="215" t="s">
        <v>34</v>
      </c>
      <c r="B10" s="207" t="s">
        <v>334</v>
      </c>
      <c r="C10" s="207">
        <v>2018</v>
      </c>
      <c r="D10" s="249" t="s">
        <v>563</v>
      </c>
      <c r="E10" s="236" t="s">
        <v>202</v>
      </c>
      <c r="F10" s="236" t="s">
        <v>326</v>
      </c>
      <c r="G10" s="215" t="s">
        <v>36</v>
      </c>
      <c r="H10" s="207" t="s">
        <v>162</v>
      </c>
      <c r="I10" s="215" t="s">
        <v>153</v>
      </c>
      <c r="J10" s="215" t="s">
        <v>38</v>
      </c>
      <c r="K10" s="215" t="s">
        <v>154</v>
      </c>
      <c r="L10" s="207">
        <v>3</v>
      </c>
      <c r="N10" s="207">
        <v>1</v>
      </c>
      <c r="O10" s="207">
        <v>0.65</v>
      </c>
      <c r="P10" s="207">
        <v>0.6</v>
      </c>
      <c r="Q10" s="244">
        <f t="shared" si="0"/>
        <v>0.625</v>
      </c>
      <c r="R10" s="207">
        <v>14.4</v>
      </c>
      <c r="S10" s="207">
        <v>159</v>
      </c>
      <c r="T10" s="216">
        <f t="shared" si="1"/>
        <v>18</v>
      </c>
      <c r="U10" s="207">
        <v>149</v>
      </c>
      <c r="V10" s="216">
        <f t="shared" si="2"/>
        <v>2682</v>
      </c>
      <c r="W10" s="207">
        <v>1</v>
      </c>
      <c r="X10" s="215" t="s">
        <v>39</v>
      </c>
      <c r="Y10" s="215" t="s">
        <v>84</v>
      </c>
      <c r="Z10" s="215" t="s">
        <v>90</v>
      </c>
      <c r="AA10" s="215" t="s">
        <v>50</v>
      </c>
      <c r="AB10" s="215" t="s">
        <v>336</v>
      </c>
      <c r="AE10" s="222" t="s">
        <v>103</v>
      </c>
      <c r="AG10" s="251" t="s">
        <v>330</v>
      </c>
      <c r="AH10" s="242" t="s">
        <v>331</v>
      </c>
      <c r="AL10" s="234"/>
      <c r="AP10" s="223" t="s">
        <v>100</v>
      </c>
      <c r="AR10" s="230" t="s">
        <v>123</v>
      </c>
      <c r="AV10" s="223" t="s">
        <v>106</v>
      </c>
    </row>
    <row r="11" spans="1:53" x14ac:dyDescent="0.15">
      <c r="A11" s="215" t="s">
        <v>34</v>
      </c>
      <c r="B11" s="207" t="s">
        <v>334</v>
      </c>
      <c r="C11" s="207">
        <v>2018</v>
      </c>
      <c r="D11" s="249" t="s">
        <v>549</v>
      </c>
      <c r="E11" s="236" t="s">
        <v>286</v>
      </c>
      <c r="F11" s="236" t="s">
        <v>329</v>
      </c>
      <c r="G11" s="215" t="s">
        <v>36</v>
      </c>
      <c r="H11" s="207" t="s">
        <v>155</v>
      </c>
      <c r="I11" s="215" t="s">
        <v>153</v>
      </c>
      <c r="J11" s="215" t="s">
        <v>38</v>
      </c>
      <c r="K11" s="215" t="s">
        <v>154</v>
      </c>
      <c r="L11" s="215">
        <v>1</v>
      </c>
      <c r="N11" s="207">
        <v>1</v>
      </c>
      <c r="O11" s="207">
        <v>0.6</v>
      </c>
      <c r="P11" s="207">
        <v>0.55000000000000004</v>
      </c>
      <c r="Q11" s="244">
        <f t="shared" si="0"/>
        <v>0.57499999999999996</v>
      </c>
      <c r="R11" s="207">
        <v>12.1</v>
      </c>
      <c r="S11" s="207">
        <v>122</v>
      </c>
      <c r="T11" s="216">
        <f t="shared" si="1"/>
        <v>30</v>
      </c>
      <c r="U11" s="207">
        <v>81</v>
      </c>
      <c r="V11" s="216">
        <f t="shared" si="2"/>
        <v>2430</v>
      </c>
      <c r="W11" s="207">
        <v>3</v>
      </c>
      <c r="X11" s="215" t="s">
        <v>39</v>
      </c>
      <c r="Y11" s="215" t="s">
        <v>84</v>
      </c>
      <c r="Z11" s="215" t="s">
        <v>90</v>
      </c>
      <c r="AA11" s="215" t="s">
        <v>50</v>
      </c>
      <c r="AB11" s="215" t="s">
        <v>336</v>
      </c>
      <c r="AE11" s="222" t="s">
        <v>65</v>
      </c>
      <c r="AG11" s="251" t="s">
        <v>167</v>
      </c>
      <c r="AH11" s="242" t="s">
        <v>332</v>
      </c>
      <c r="AL11" s="234"/>
      <c r="AP11" s="223" t="s">
        <v>104</v>
      </c>
      <c r="AR11" s="230" t="s">
        <v>87</v>
      </c>
      <c r="AV11" s="223" t="s">
        <v>69</v>
      </c>
    </row>
    <row r="12" spans="1:53" x14ac:dyDescent="0.15">
      <c r="A12" s="215" t="s">
        <v>34</v>
      </c>
      <c r="B12" s="207" t="s">
        <v>334</v>
      </c>
      <c r="C12" s="207">
        <v>2018</v>
      </c>
      <c r="D12" s="249" t="s">
        <v>564</v>
      </c>
      <c r="E12" s="236" t="s">
        <v>286</v>
      </c>
      <c r="F12" s="236" t="s">
        <v>329</v>
      </c>
      <c r="G12" s="215" t="s">
        <v>36</v>
      </c>
      <c r="H12" s="207" t="s">
        <v>155</v>
      </c>
      <c r="I12" s="215" t="s">
        <v>153</v>
      </c>
      <c r="J12" s="215" t="s">
        <v>38</v>
      </c>
      <c r="K12" s="215" t="s">
        <v>154</v>
      </c>
      <c r="L12" s="207">
        <v>2</v>
      </c>
      <c r="N12" s="207">
        <v>1</v>
      </c>
      <c r="O12" s="207">
        <v>1.1000000000000001</v>
      </c>
      <c r="P12" s="207">
        <v>0.95</v>
      </c>
      <c r="Q12" s="244">
        <f t="shared" si="0"/>
        <v>1.0249999999999999</v>
      </c>
      <c r="R12" s="207">
        <v>15.3</v>
      </c>
      <c r="S12" s="207">
        <v>115</v>
      </c>
      <c r="T12" s="216">
        <f t="shared" si="1"/>
        <v>30</v>
      </c>
      <c r="U12" s="207">
        <v>81</v>
      </c>
      <c r="V12" s="216">
        <f t="shared" si="2"/>
        <v>2430</v>
      </c>
      <c r="W12" s="207">
        <v>3</v>
      </c>
      <c r="X12" s="215" t="s">
        <v>39</v>
      </c>
      <c r="Y12" s="215" t="s">
        <v>84</v>
      </c>
      <c r="Z12" s="215" t="s">
        <v>90</v>
      </c>
      <c r="AA12" s="215" t="s">
        <v>50</v>
      </c>
      <c r="AB12" s="215" t="s">
        <v>336</v>
      </c>
      <c r="AE12" s="222" t="s">
        <v>70</v>
      </c>
      <c r="AG12" s="243"/>
      <c r="AH12" s="223"/>
      <c r="AL12" s="234"/>
      <c r="AP12" s="223" t="s">
        <v>67</v>
      </c>
      <c r="AR12" s="230" t="s">
        <v>124</v>
      </c>
      <c r="AV12" s="223" t="s">
        <v>72</v>
      </c>
    </row>
    <row r="13" spans="1:53" x14ac:dyDescent="0.15">
      <c r="A13" s="215" t="s">
        <v>34</v>
      </c>
      <c r="B13" s="207" t="s">
        <v>334</v>
      </c>
      <c r="C13" s="207">
        <v>2018</v>
      </c>
      <c r="D13" s="249" t="s">
        <v>488</v>
      </c>
      <c r="E13" s="236" t="s">
        <v>286</v>
      </c>
      <c r="F13" s="236" t="s">
        <v>329</v>
      </c>
      <c r="G13" s="215" t="s">
        <v>36</v>
      </c>
      <c r="H13" s="207" t="s">
        <v>155</v>
      </c>
      <c r="I13" s="215" t="s">
        <v>153</v>
      </c>
      <c r="J13" s="215" t="s">
        <v>38</v>
      </c>
      <c r="K13" s="215" t="s">
        <v>154</v>
      </c>
      <c r="L13" s="207">
        <v>3</v>
      </c>
      <c r="N13" s="207">
        <v>1</v>
      </c>
      <c r="O13" s="207">
        <v>1.1000000000000001</v>
      </c>
      <c r="P13" s="207">
        <v>1.05</v>
      </c>
      <c r="Q13" s="244">
        <f t="shared" si="0"/>
        <v>1.0750000000000002</v>
      </c>
      <c r="R13" s="207">
        <v>14.2</v>
      </c>
      <c r="S13" s="207">
        <v>113</v>
      </c>
      <c r="T13" s="216">
        <f t="shared" si="1"/>
        <v>30</v>
      </c>
      <c r="U13" s="207">
        <v>81</v>
      </c>
      <c r="V13" s="216">
        <f t="shared" si="2"/>
        <v>2430</v>
      </c>
      <c r="W13" s="207">
        <v>3</v>
      </c>
      <c r="X13" s="215" t="s">
        <v>39</v>
      </c>
      <c r="Y13" s="215" t="s">
        <v>84</v>
      </c>
      <c r="Z13" s="215" t="s">
        <v>90</v>
      </c>
      <c r="AA13" s="215" t="s">
        <v>50</v>
      </c>
      <c r="AB13" s="215" t="s">
        <v>336</v>
      </c>
      <c r="AE13" s="222" t="s">
        <v>73</v>
      </c>
      <c r="AG13" s="252"/>
      <c r="AH13" s="228"/>
      <c r="AP13" s="223" t="s">
        <v>71</v>
      </c>
      <c r="AR13" s="230" t="s">
        <v>103</v>
      </c>
      <c r="AV13" s="223" t="s">
        <v>75</v>
      </c>
    </row>
    <row r="14" spans="1:53" x14ac:dyDescent="0.15">
      <c r="A14" s="215" t="s">
        <v>34</v>
      </c>
      <c r="B14" s="207" t="s">
        <v>334</v>
      </c>
      <c r="C14" s="207">
        <v>2018</v>
      </c>
      <c r="D14" s="249" t="s">
        <v>490</v>
      </c>
      <c r="E14" s="236" t="s">
        <v>286</v>
      </c>
      <c r="F14" s="236" t="s">
        <v>329</v>
      </c>
      <c r="G14" s="215" t="s">
        <v>36</v>
      </c>
      <c r="H14" s="207" t="s">
        <v>155</v>
      </c>
      <c r="I14" s="215" t="s">
        <v>153</v>
      </c>
      <c r="J14" s="215" t="s">
        <v>38</v>
      </c>
      <c r="K14" s="215" t="s">
        <v>154</v>
      </c>
      <c r="L14" s="215">
        <v>1</v>
      </c>
      <c r="N14" s="207">
        <v>4</v>
      </c>
      <c r="O14" s="207">
        <v>1</v>
      </c>
      <c r="P14" s="207">
        <v>1</v>
      </c>
      <c r="Q14" s="244">
        <f t="shared" si="0"/>
        <v>1</v>
      </c>
      <c r="R14" s="207">
        <v>11.4</v>
      </c>
      <c r="S14" s="207">
        <v>99</v>
      </c>
      <c r="T14" s="216">
        <f t="shared" si="1"/>
        <v>33</v>
      </c>
      <c r="U14" s="207">
        <v>386</v>
      </c>
      <c r="V14" s="216">
        <f t="shared" si="2"/>
        <v>3184.5</v>
      </c>
      <c r="W14" s="207">
        <v>3</v>
      </c>
      <c r="X14" s="215" t="s">
        <v>39</v>
      </c>
      <c r="Y14" s="215" t="s">
        <v>84</v>
      </c>
      <c r="Z14" s="215" t="s">
        <v>90</v>
      </c>
      <c r="AA14" s="215" t="s">
        <v>50</v>
      </c>
      <c r="AB14" s="215" t="s">
        <v>336</v>
      </c>
      <c r="AE14" s="222" t="s">
        <v>76</v>
      </c>
      <c r="AG14" s="253"/>
      <c r="AL14" s="246"/>
      <c r="AP14" s="223" t="s">
        <v>74</v>
      </c>
      <c r="AR14" s="230" t="s">
        <v>125</v>
      </c>
      <c r="AV14" s="223" t="s">
        <v>78</v>
      </c>
    </row>
    <row r="15" spans="1:53" x14ac:dyDescent="0.15">
      <c r="A15" s="215" t="s">
        <v>34</v>
      </c>
      <c r="B15" s="207" t="s">
        <v>334</v>
      </c>
      <c r="C15" s="207">
        <v>2018</v>
      </c>
      <c r="D15" s="249" t="s">
        <v>490</v>
      </c>
      <c r="E15" s="236" t="s">
        <v>286</v>
      </c>
      <c r="F15" s="236" t="s">
        <v>329</v>
      </c>
      <c r="G15" s="215" t="s">
        <v>36</v>
      </c>
      <c r="H15" s="207" t="s">
        <v>155</v>
      </c>
      <c r="I15" s="215" t="s">
        <v>153</v>
      </c>
      <c r="J15" s="215" t="s">
        <v>38</v>
      </c>
      <c r="K15" s="215" t="s">
        <v>154</v>
      </c>
      <c r="L15" s="207">
        <v>2</v>
      </c>
      <c r="N15" s="207">
        <v>4</v>
      </c>
      <c r="O15" s="207">
        <v>1</v>
      </c>
      <c r="P15" s="207">
        <v>1</v>
      </c>
      <c r="Q15" s="244">
        <f t="shared" si="0"/>
        <v>1</v>
      </c>
      <c r="R15" s="207">
        <v>9.8000000000000007</v>
      </c>
      <c r="S15" s="207">
        <v>101</v>
      </c>
      <c r="T15" s="216">
        <f t="shared" si="1"/>
        <v>33</v>
      </c>
      <c r="U15" s="207">
        <v>386</v>
      </c>
      <c r="V15" s="216">
        <f t="shared" si="2"/>
        <v>3184.5</v>
      </c>
      <c r="W15" s="207">
        <v>3</v>
      </c>
      <c r="X15" s="215" t="s">
        <v>39</v>
      </c>
      <c r="Y15" s="215" t="s">
        <v>84</v>
      </c>
      <c r="Z15" s="215" t="s">
        <v>90</v>
      </c>
      <c r="AA15" s="215" t="s">
        <v>50</v>
      </c>
      <c r="AB15" s="215" t="s">
        <v>336</v>
      </c>
      <c r="AE15" s="222" t="s">
        <v>79</v>
      </c>
      <c r="AL15" s="254"/>
      <c r="AP15" s="223" t="s">
        <v>77</v>
      </c>
      <c r="AR15" s="230" t="s">
        <v>94</v>
      </c>
      <c r="AV15" s="223" t="s">
        <v>107</v>
      </c>
    </row>
    <row r="16" spans="1:53" x14ac:dyDescent="0.15">
      <c r="A16" s="215" t="s">
        <v>34</v>
      </c>
      <c r="B16" s="207" t="s">
        <v>334</v>
      </c>
      <c r="C16" s="207">
        <v>2018</v>
      </c>
      <c r="D16" s="249" t="s">
        <v>491</v>
      </c>
      <c r="E16" s="236" t="s">
        <v>286</v>
      </c>
      <c r="F16" s="236" t="s">
        <v>329</v>
      </c>
      <c r="G16" s="215" t="s">
        <v>36</v>
      </c>
      <c r="H16" s="207" t="s">
        <v>155</v>
      </c>
      <c r="I16" s="215" t="s">
        <v>153</v>
      </c>
      <c r="J16" s="215" t="s">
        <v>38</v>
      </c>
      <c r="K16" s="215" t="s">
        <v>154</v>
      </c>
      <c r="L16" s="207">
        <v>3</v>
      </c>
      <c r="N16" s="207">
        <v>4</v>
      </c>
      <c r="O16" s="207">
        <v>1.1000000000000001</v>
      </c>
      <c r="P16" s="207">
        <v>1</v>
      </c>
      <c r="Q16" s="244">
        <f t="shared" si="0"/>
        <v>1.05</v>
      </c>
      <c r="R16" s="207">
        <v>14.2</v>
      </c>
      <c r="S16" s="207">
        <v>105</v>
      </c>
      <c r="T16" s="216">
        <f t="shared" si="1"/>
        <v>33</v>
      </c>
      <c r="U16" s="207">
        <v>386</v>
      </c>
      <c r="V16" s="216">
        <f t="shared" si="2"/>
        <v>3184.5</v>
      </c>
      <c r="W16" s="207">
        <v>3</v>
      </c>
      <c r="X16" s="215" t="s">
        <v>39</v>
      </c>
      <c r="Y16" s="215" t="s">
        <v>84</v>
      </c>
      <c r="Z16" s="215" t="s">
        <v>90</v>
      </c>
      <c r="AA16" s="215" t="s">
        <v>50</v>
      </c>
      <c r="AB16" s="215" t="s">
        <v>336</v>
      </c>
      <c r="AE16" s="222" t="s">
        <v>82</v>
      </c>
      <c r="AL16" s="254"/>
      <c r="AP16" s="223" t="s">
        <v>80</v>
      </c>
      <c r="AR16" s="237" t="s">
        <v>63</v>
      </c>
      <c r="AV16" s="223" t="s">
        <v>84</v>
      </c>
    </row>
    <row r="17" spans="1:48" x14ac:dyDescent="0.15">
      <c r="A17" s="215" t="s">
        <v>34</v>
      </c>
      <c r="B17" s="207" t="s">
        <v>334</v>
      </c>
      <c r="C17" s="207">
        <v>2018</v>
      </c>
      <c r="D17" s="249" t="s">
        <v>491</v>
      </c>
      <c r="E17" s="236" t="s">
        <v>286</v>
      </c>
      <c r="F17" s="236" t="s">
        <v>329</v>
      </c>
      <c r="G17" s="215" t="s">
        <v>36</v>
      </c>
      <c r="H17" s="207" t="s">
        <v>162</v>
      </c>
      <c r="I17" s="215" t="s">
        <v>153</v>
      </c>
      <c r="J17" s="215" t="s">
        <v>38</v>
      </c>
      <c r="K17" s="215" t="s">
        <v>154</v>
      </c>
      <c r="L17" s="215">
        <v>1</v>
      </c>
      <c r="N17" s="207">
        <v>4</v>
      </c>
      <c r="O17" s="207">
        <v>0.55000000000000004</v>
      </c>
      <c r="P17" s="207">
        <v>0.65</v>
      </c>
      <c r="Q17" s="244">
        <f t="shared" si="0"/>
        <v>0.60000000000000009</v>
      </c>
      <c r="R17" s="207">
        <v>14.3</v>
      </c>
      <c r="S17" s="207">
        <v>124</v>
      </c>
      <c r="T17" s="216">
        <f t="shared" si="1"/>
        <v>30</v>
      </c>
      <c r="U17" s="207">
        <v>537</v>
      </c>
      <c r="V17" s="216">
        <f t="shared" si="2"/>
        <v>4027.5</v>
      </c>
      <c r="W17" s="207">
        <v>2</v>
      </c>
      <c r="X17" s="215" t="s">
        <v>39</v>
      </c>
      <c r="Y17" s="215" t="s">
        <v>84</v>
      </c>
      <c r="Z17" s="215" t="s">
        <v>90</v>
      </c>
      <c r="AA17" s="215" t="s">
        <v>50</v>
      </c>
      <c r="AB17" s="215" t="s">
        <v>336</v>
      </c>
      <c r="AE17" s="222" t="s">
        <v>85</v>
      </c>
      <c r="AL17" s="254"/>
      <c r="AP17" s="238" t="s">
        <v>110</v>
      </c>
      <c r="AR17" s="237" t="s">
        <v>96</v>
      </c>
      <c r="AV17" s="223" t="s">
        <v>86</v>
      </c>
    </row>
    <row r="18" spans="1:48" x14ac:dyDescent="0.15">
      <c r="A18" s="215" t="s">
        <v>34</v>
      </c>
      <c r="B18" s="207" t="s">
        <v>334</v>
      </c>
      <c r="C18" s="207">
        <v>2018</v>
      </c>
      <c r="D18" s="249" t="s">
        <v>491</v>
      </c>
      <c r="E18" s="236" t="s">
        <v>286</v>
      </c>
      <c r="F18" s="236" t="s">
        <v>329</v>
      </c>
      <c r="G18" s="215" t="s">
        <v>36</v>
      </c>
      <c r="H18" s="207" t="s">
        <v>162</v>
      </c>
      <c r="I18" s="215" t="s">
        <v>153</v>
      </c>
      <c r="J18" s="215" t="s">
        <v>38</v>
      </c>
      <c r="K18" s="215" t="s">
        <v>154</v>
      </c>
      <c r="L18" s="207">
        <v>2</v>
      </c>
      <c r="N18" s="207">
        <v>4</v>
      </c>
      <c r="O18" s="207">
        <v>0.7</v>
      </c>
      <c r="P18" s="207">
        <v>0.75</v>
      </c>
      <c r="Q18" s="244">
        <f t="shared" si="0"/>
        <v>0.72499999999999998</v>
      </c>
      <c r="R18" s="207">
        <v>15.8</v>
      </c>
      <c r="S18" s="207">
        <v>136</v>
      </c>
      <c r="T18" s="216">
        <f t="shared" si="1"/>
        <v>30</v>
      </c>
      <c r="U18" s="207">
        <v>537</v>
      </c>
      <c r="V18" s="216">
        <f t="shared" si="2"/>
        <v>4027.5</v>
      </c>
      <c r="W18" s="207">
        <v>2</v>
      </c>
      <c r="X18" s="215" t="s">
        <v>39</v>
      </c>
      <c r="Y18" s="215" t="s">
        <v>84</v>
      </c>
      <c r="Z18" s="215" t="s">
        <v>90</v>
      </c>
      <c r="AA18" s="215" t="s">
        <v>50</v>
      </c>
      <c r="AB18" s="215" t="s">
        <v>336</v>
      </c>
      <c r="AE18" s="222" t="s">
        <v>87</v>
      </c>
      <c r="AL18" s="215"/>
      <c r="AP18" s="238" t="s">
        <v>111</v>
      </c>
      <c r="AR18" s="237" t="s">
        <v>101</v>
      </c>
      <c r="AV18" s="223" t="s">
        <v>88</v>
      </c>
    </row>
    <row r="19" spans="1:48" x14ac:dyDescent="0.15">
      <c r="A19" s="215" t="s">
        <v>34</v>
      </c>
      <c r="B19" s="207" t="s">
        <v>334</v>
      </c>
      <c r="C19" s="207">
        <v>2018</v>
      </c>
      <c r="D19" s="249" t="s">
        <v>477</v>
      </c>
      <c r="E19" s="236" t="s">
        <v>286</v>
      </c>
      <c r="F19" s="236" t="s">
        <v>329</v>
      </c>
      <c r="G19" s="215" t="s">
        <v>36</v>
      </c>
      <c r="H19" s="207" t="s">
        <v>162</v>
      </c>
      <c r="I19" s="215" t="s">
        <v>153</v>
      </c>
      <c r="J19" s="215" t="s">
        <v>38</v>
      </c>
      <c r="K19" s="215" t="s">
        <v>154</v>
      </c>
      <c r="L19" s="207">
        <v>3</v>
      </c>
      <c r="N19" s="207">
        <v>4</v>
      </c>
      <c r="O19" s="207">
        <v>0.8</v>
      </c>
      <c r="P19" s="207">
        <v>0.75</v>
      </c>
      <c r="Q19" s="244">
        <f t="shared" si="0"/>
        <v>0.77500000000000002</v>
      </c>
      <c r="R19" s="207">
        <v>15.9</v>
      </c>
      <c r="S19" s="207">
        <v>127</v>
      </c>
      <c r="T19" s="216">
        <f t="shared" si="1"/>
        <v>30</v>
      </c>
      <c r="U19" s="207">
        <v>537</v>
      </c>
      <c r="V19" s="216">
        <f t="shared" si="2"/>
        <v>4027.5</v>
      </c>
      <c r="W19" s="207">
        <v>2</v>
      </c>
      <c r="X19" s="215" t="s">
        <v>39</v>
      </c>
      <c r="Y19" s="215" t="s">
        <v>84</v>
      </c>
      <c r="Z19" s="215" t="s">
        <v>90</v>
      </c>
      <c r="AA19" s="215" t="s">
        <v>50</v>
      </c>
      <c r="AB19" s="215" t="s">
        <v>336</v>
      </c>
      <c r="AE19" s="235" t="s">
        <v>89</v>
      </c>
      <c r="AP19" s="238" t="s">
        <v>112</v>
      </c>
      <c r="AR19" s="230" t="s">
        <v>126</v>
      </c>
      <c r="AV19" s="223" t="s">
        <v>90</v>
      </c>
    </row>
    <row r="20" spans="1:48" x14ac:dyDescent="0.15">
      <c r="A20" s="215" t="s">
        <v>34</v>
      </c>
      <c r="B20" s="207" t="s">
        <v>334</v>
      </c>
      <c r="C20" s="207">
        <v>2018</v>
      </c>
      <c r="D20" s="249" t="s">
        <v>477</v>
      </c>
      <c r="E20" s="236" t="s">
        <v>330</v>
      </c>
      <c r="F20" s="236" t="s">
        <v>331</v>
      </c>
      <c r="G20" s="215" t="s">
        <v>36</v>
      </c>
      <c r="H20" s="207" t="s">
        <v>155</v>
      </c>
      <c r="I20" s="215" t="s">
        <v>153</v>
      </c>
      <c r="J20" s="215" t="s">
        <v>38</v>
      </c>
      <c r="K20" s="215" t="s">
        <v>565</v>
      </c>
      <c r="L20" s="215">
        <v>1</v>
      </c>
      <c r="N20" s="207">
        <v>1</v>
      </c>
      <c r="O20" s="207">
        <v>0.95</v>
      </c>
      <c r="P20" s="207">
        <v>0.8</v>
      </c>
      <c r="Q20" s="244">
        <f t="shared" si="0"/>
        <v>0.875</v>
      </c>
      <c r="R20" s="207">
        <v>13.9</v>
      </c>
      <c r="S20" s="207">
        <v>143</v>
      </c>
      <c r="T20" s="216">
        <f t="shared" si="1"/>
        <v>30</v>
      </c>
      <c r="U20" s="207">
        <v>96</v>
      </c>
      <c r="V20" s="216">
        <f t="shared" si="2"/>
        <v>2880</v>
      </c>
      <c r="W20" s="207">
        <v>3</v>
      </c>
      <c r="X20" s="215" t="s">
        <v>46</v>
      </c>
      <c r="Y20" s="215" t="s">
        <v>84</v>
      </c>
      <c r="Z20" s="215" t="s">
        <v>69</v>
      </c>
      <c r="AA20" s="215" t="s">
        <v>55</v>
      </c>
      <c r="AB20" s="215" t="s">
        <v>336</v>
      </c>
      <c r="AP20" s="238" t="s">
        <v>113</v>
      </c>
      <c r="AR20" s="237" t="s">
        <v>105</v>
      </c>
      <c r="AV20" s="227" t="s">
        <v>366</v>
      </c>
    </row>
    <row r="21" spans="1:48" x14ac:dyDescent="0.15">
      <c r="A21" s="215" t="s">
        <v>34</v>
      </c>
      <c r="B21" s="207" t="s">
        <v>334</v>
      </c>
      <c r="C21" s="207">
        <v>2018</v>
      </c>
      <c r="D21" s="249" t="s">
        <v>477</v>
      </c>
      <c r="E21" s="236" t="s">
        <v>330</v>
      </c>
      <c r="F21" s="236" t="s">
        <v>331</v>
      </c>
      <c r="G21" s="215" t="s">
        <v>36</v>
      </c>
      <c r="H21" s="207" t="s">
        <v>155</v>
      </c>
      <c r="I21" s="215" t="s">
        <v>153</v>
      </c>
      <c r="J21" s="215" t="s">
        <v>38</v>
      </c>
      <c r="K21" s="215" t="s">
        <v>154</v>
      </c>
      <c r="L21" s="207">
        <v>2</v>
      </c>
      <c r="N21" s="207">
        <v>1</v>
      </c>
      <c r="O21" s="207">
        <v>1.1499999999999999</v>
      </c>
      <c r="P21" s="207">
        <v>1.05</v>
      </c>
      <c r="Q21" s="244">
        <f t="shared" si="0"/>
        <v>1.1000000000000001</v>
      </c>
      <c r="R21" s="207">
        <v>14.1</v>
      </c>
      <c r="S21" s="207">
        <v>146</v>
      </c>
      <c r="T21" s="216">
        <f t="shared" si="1"/>
        <v>30</v>
      </c>
      <c r="U21" s="207">
        <v>96</v>
      </c>
      <c r="V21" s="216">
        <f t="shared" si="2"/>
        <v>2880</v>
      </c>
      <c r="W21" s="207">
        <v>3</v>
      </c>
      <c r="X21" s="215" t="s">
        <v>46</v>
      </c>
      <c r="Y21" s="215" t="s">
        <v>84</v>
      </c>
      <c r="Z21" s="215" t="s">
        <v>69</v>
      </c>
      <c r="AA21" s="215" t="s">
        <v>55</v>
      </c>
      <c r="AB21" s="215" t="s">
        <v>336</v>
      </c>
      <c r="AP21" s="238" t="s">
        <v>114</v>
      </c>
      <c r="AR21" s="237" t="s">
        <v>68</v>
      </c>
      <c r="AV21" s="227" t="s">
        <v>367</v>
      </c>
    </row>
    <row r="22" spans="1:48" x14ac:dyDescent="0.15">
      <c r="A22" s="215" t="s">
        <v>34</v>
      </c>
      <c r="B22" s="207" t="s">
        <v>334</v>
      </c>
      <c r="C22" s="207">
        <v>2018</v>
      </c>
      <c r="D22" s="249" t="s">
        <v>477</v>
      </c>
      <c r="E22" s="236" t="s">
        <v>330</v>
      </c>
      <c r="F22" s="236" t="s">
        <v>331</v>
      </c>
      <c r="G22" s="215" t="s">
        <v>36</v>
      </c>
      <c r="H22" s="207" t="s">
        <v>155</v>
      </c>
      <c r="I22" s="215" t="s">
        <v>153</v>
      </c>
      <c r="J22" s="215" t="s">
        <v>38</v>
      </c>
      <c r="K22" s="215" t="s">
        <v>154</v>
      </c>
      <c r="L22" s="207">
        <v>3</v>
      </c>
      <c r="N22" s="207">
        <v>1</v>
      </c>
      <c r="O22" s="207">
        <v>0.95</v>
      </c>
      <c r="P22" s="207">
        <v>0.75</v>
      </c>
      <c r="Q22" s="244">
        <f t="shared" si="0"/>
        <v>0.85</v>
      </c>
      <c r="R22" s="207">
        <v>14.1</v>
      </c>
      <c r="S22" s="207">
        <v>133</v>
      </c>
      <c r="T22" s="216">
        <f t="shared" si="1"/>
        <v>30</v>
      </c>
      <c r="U22" s="207">
        <v>96</v>
      </c>
      <c r="V22" s="216">
        <f t="shared" si="2"/>
        <v>2880</v>
      </c>
      <c r="W22" s="207">
        <v>3</v>
      </c>
      <c r="X22" s="215" t="s">
        <v>46</v>
      </c>
      <c r="Y22" s="215" t="s">
        <v>84</v>
      </c>
      <c r="Z22" s="215" t="s">
        <v>69</v>
      </c>
      <c r="AA22" s="215" t="s">
        <v>55</v>
      </c>
      <c r="AB22" s="215" t="s">
        <v>336</v>
      </c>
      <c r="AP22" s="238" t="s">
        <v>115</v>
      </c>
      <c r="AR22" s="237" t="s">
        <v>83</v>
      </c>
      <c r="AV22" s="227"/>
    </row>
    <row r="23" spans="1:48" x14ac:dyDescent="0.15">
      <c r="A23" s="215" t="s">
        <v>34</v>
      </c>
      <c r="B23" s="207" t="s">
        <v>334</v>
      </c>
      <c r="C23" s="207">
        <v>2018</v>
      </c>
      <c r="D23" s="249" t="s">
        <v>477</v>
      </c>
      <c r="E23" s="236" t="s">
        <v>330</v>
      </c>
      <c r="F23" s="236" t="s">
        <v>331</v>
      </c>
      <c r="G23" s="215" t="s">
        <v>36</v>
      </c>
      <c r="H23" s="207" t="s">
        <v>155</v>
      </c>
      <c r="I23" s="215" t="s">
        <v>153</v>
      </c>
      <c r="J23" s="215" t="s">
        <v>38</v>
      </c>
      <c r="K23" s="215" t="s">
        <v>154</v>
      </c>
      <c r="L23" s="215">
        <v>1</v>
      </c>
      <c r="N23" s="207">
        <v>5</v>
      </c>
      <c r="O23" s="207">
        <v>0.9</v>
      </c>
      <c r="P23" s="207">
        <v>1.05</v>
      </c>
      <c r="Q23" s="244">
        <f t="shared" si="0"/>
        <v>0.97500000000000009</v>
      </c>
      <c r="R23" s="207">
        <v>13.9</v>
      </c>
      <c r="S23" s="207">
        <v>82</v>
      </c>
      <c r="T23" s="216">
        <f t="shared" si="1"/>
        <v>39</v>
      </c>
      <c r="U23" s="207">
        <v>398</v>
      </c>
      <c r="V23" s="216">
        <f t="shared" si="2"/>
        <v>3104.3999999999996</v>
      </c>
      <c r="W23" s="207">
        <v>3</v>
      </c>
      <c r="X23" s="215" t="s">
        <v>46</v>
      </c>
      <c r="Y23" s="215" t="s">
        <v>84</v>
      </c>
      <c r="Z23" s="215" t="s">
        <v>69</v>
      </c>
      <c r="AA23" s="215" t="s">
        <v>55</v>
      </c>
      <c r="AB23" s="215" t="s">
        <v>336</v>
      </c>
      <c r="AP23" s="238" t="s">
        <v>117</v>
      </c>
      <c r="AR23" s="237" t="s">
        <v>287</v>
      </c>
    </row>
    <row r="24" spans="1:48" x14ac:dyDescent="0.15">
      <c r="A24" s="215" t="s">
        <v>34</v>
      </c>
      <c r="B24" s="207" t="s">
        <v>334</v>
      </c>
      <c r="C24" s="207">
        <v>2018</v>
      </c>
      <c r="D24" s="249" t="s">
        <v>477</v>
      </c>
      <c r="E24" s="236" t="s">
        <v>330</v>
      </c>
      <c r="F24" s="236" t="s">
        <v>331</v>
      </c>
      <c r="G24" s="215" t="s">
        <v>36</v>
      </c>
      <c r="H24" s="207" t="s">
        <v>155</v>
      </c>
      <c r="I24" s="215" t="s">
        <v>153</v>
      </c>
      <c r="J24" s="215" t="s">
        <v>38</v>
      </c>
      <c r="K24" s="215" t="s">
        <v>154</v>
      </c>
      <c r="L24" s="207">
        <v>2</v>
      </c>
      <c r="N24" s="207">
        <v>5</v>
      </c>
      <c r="O24" s="207">
        <v>1.1499999999999999</v>
      </c>
      <c r="P24" s="207">
        <v>0.75</v>
      </c>
      <c r="Q24" s="244">
        <f t="shared" si="0"/>
        <v>0.95</v>
      </c>
      <c r="R24" s="207">
        <v>11.2</v>
      </c>
      <c r="S24" s="207">
        <v>82</v>
      </c>
      <c r="T24" s="216">
        <f t="shared" si="1"/>
        <v>39</v>
      </c>
      <c r="U24" s="207">
        <v>398</v>
      </c>
      <c r="V24" s="216">
        <f t="shared" si="2"/>
        <v>3104.3999999999996</v>
      </c>
      <c r="W24" s="207">
        <v>3</v>
      </c>
      <c r="X24" s="215" t="s">
        <v>46</v>
      </c>
      <c r="Y24" s="215" t="s">
        <v>84</v>
      </c>
      <c r="Z24" s="215" t="s">
        <v>69</v>
      </c>
      <c r="AA24" s="215" t="s">
        <v>55</v>
      </c>
      <c r="AB24" s="215" t="s">
        <v>336</v>
      </c>
      <c r="AP24" s="238" t="s">
        <v>118</v>
      </c>
    </row>
    <row r="25" spans="1:48" x14ac:dyDescent="0.15">
      <c r="A25" s="215" t="s">
        <v>34</v>
      </c>
      <c r="B25" s="207" t="s">
        <v>334</v>
      </c>
      <c r="C25" s="207">
        <v>2018</v>
      </c>
      <c r="D25" s="249" t="s">
        <v>477</v>
      </c>
      <c r="E25" s="236" t="s">
        <v>330</v>
      </c>
      <c r="F25" s="236" t="s">
        <v>331</v>
      </c>
      <c r="G25" s="215" t="s">
        <v>36</v>
      </c>
      <c r="H25" s="207" t="s">
        <v>155</v>
      </c>
      <c r="I25" s="215" t="s">
        <v>153</v>
      </c>
      <c r="J25" s="215" t="s">
        <v>38</v>
      </c>
      <c r="K25" s="215" t="s">
        <v>154</v>
      </c>
      <c r="L25" s="207">
        <v>3</v>
      </c>
      <c r="N25" s="207">
        <v>5</v>
      </c>
      <c r="O25" s="207">
        <v>0.9</v>
      </c>
      <c r="P25" s="207">
        <v>0.95</v>
      </c>
      <c r="Q25" s="244">
        <f t="shared" si="0"/>
        <v>0.92500000000000004</v>
      </c>
      <c r="R25" s="207">
        <v>9.8000000000000007</v>
      </c>
      <c r="S25" s="207">
        <v>72</v>
      </c>
      <c r="T25" s="216">
        <f t="shared" si="1"/>
        <v>42</v>
      </c>
      <c r="U25" s="207">
        <v>398</v>
      </c>
      <c r="V25" s="216">
        <f t="shared" si="2"/>
        <v>3343.2</v>
      </c>
      <c r="W25" s="207">
        <v>3</v>
      </c>
      <c r="X25" s="215" t="s">
        <v>46</v>
      </c>
      <c r="Y25" s="215" t="s">
        <v>84</v>
      </c>
      <c r="Z25" s="215" t="s">
        <v>69</v>
      </c>
      <c r="AA25" s="215" t="s">
        <v>55</v>
      </c>
      <c r="AB25" s="215" t="s">
        <v>336</v>
      </c>
    </row>
    <row r="26" spans="1:48" x14ac:dyDescent="0.15">
      <c r="A26" s="215" t="s">
        <v>34</v>
      </c>
      <c r="B26" s="207" t="s">
        <v>334</v>
      </c>
      <c r="C26" s="207">
        <v>2018</v>
      </c>
      <c r="D26" s="249" t="s">
        <v>477</v>
      </c>
      <c r="E26" s="236" t="s">
        <v>330</v>
      </c>
      <c r="F26" s="236" t="s">
        <v>331</v>
      </c>
      <c r="G26" s="215" t="s">
        <v>36</v>
      </c>
      <c r="H26" s="207" t="s">
        <v>162</v>
      </c>
      <c r="I26" s="215" t="s">
        <v>153</v>
      </c>
      <c r="J26" s="215" t="s">
        <v>38</v>
      </c>
      <c r="K26" s="215" t="s">
        <v>154</v>
      </c>
      <c r="L26" s="215">
        <v>1</v>
      </c>
      <c r="N26" s="207">
        <v>1</v>
      </c>
      <c r="O26" s="207">
        <v>0.7</v>
      </c>
      <c r="P26" s="207">
        <v>0.7</v>
      </c>
      <c r="Q26" s="244">
        <f t="shared" si="0"/>
        <v>0.7</v>
      </c>
      <c r="R26" s="207">
        <v>16.3</v>
      </c>
      <c r="S26" s="207">
        <v>156</v>
      </c>
      <c r="T26" s="216">
        <f t="shared" si="1"/>
        <v>18</v>
      </c>
      <c r="U26" s="207">
        <v>96</v>
      </c>
      <c r="V26" s="216">
        <f t="shared" si="2"/>
        <v>1728</v>
      </c>
      <c r="W26" s="207">
        <v>2</v>
      </c>
      <c r="X26" s="215" t="s">
        <v>46</v>
      </c>
      <c r="Y26" s="215" t="s">
        <v>84</v>
      </c>
      <c r="Z26" s="215" t="s">
        <v>69</v>
      </c>
      <c r="AA26" s="215" t="s">
        <v>55</v>
      </c>
      <c r="AB26" s="215" t="s">
        <v>336</v>
      </c>
    </row>
    <row r="27" spans="1:48" x14ac:dyDescent="0.15">
      <c r="A27" s="215" t="s">
        <v>34</v>
      </c>
      <c r="B27" s="207" t="s">
        <v>334</v>
      </c>
      <c r="C27" s="207">
        <v>2018</v>
      </c>
      <c r="D27" s="249" t="s">
        <v>477</v>
      </c>
      <c r="E27" s="236" t="s">
        <v>330</v>
      </c>
      <c r="F27" s="236" t="s">
        <v>331</v>
      </c>
      <c r="G27" s="215" t="s">
        <v>36</v>
      </c>
      <c r="H27" s="207" t="s">
        <v>162</v>
      </c>
      <c r="I27" s="215" t="s">
        <v>153</v>
      </c>
      <c r="J27" s="215" t="s">
        <v>38</v>
      </c>
      <c r="K27" s="215" t="s">
        <v>154</v>
      </c>
      <c r="L27" s="207">
        <v>2</v>
      </c>
      <c r="N27" s="207">
        <v>1</v>
      </c>
      <c r="O27" s="207">
        <v>0.5</v>
      </c>
      <c r="P27" s="207">
        <v>0.65</v>
      </c>
      <c r="Q27" s="244">
        <f t="shared" si="0"/>
        <v>0.57499999999999996</v>
      </c>
      <c r="R27" s="207">
        <v>17.2</v>
      </c>
      <c r="S27" s="207">
        <v>155</v>
      </c>
      <c r="T27" s="216">
        <f t="shared" si="1"/>
        <v>18</v>
      </c>
      <c r="U27" s="207">
        <v>96</v>
      </c>
      <c r="V27" s="216">
        <f t="shared" si="2"/>
        <v>1728</v>
      </c>
      <c r="W27" s="207">
        <v>2</v>
      </c>
      <c r="X27" s="215" t="s">
        <v>46</v>
      </c>
      <c r="Y27" s="215" t="s">
        <v>84</v>
      </c>
      <c r="Z27" s="215" t="s">
        <v>69</v>
      </c>
      <c r="AA27" s="215" t="s">
        <v>55</v>
      </c>
      <c r="AB27" s="215" t="s">
        <v>336</v>
      </c>
    </row>
    <row r="28" spans="1:48" x14ac:dyDescent="0.15">
      <c r="A28" s="215" t="s">
        <v>34</v>
      </c>
      <c r="B28" s="207" t="s">
        <v>334</v>
      </c>
      <c r="C28" s="207">
        <v>2018</v>
      </c>
      <c r="D28" s="249" t="s">
        <v>477</v>
      </c>
      <c r="E28" s="236" t="s">
        <v>330</v>
      </c>
      <c r="F28" s="236" t="s">
        <v>331</v>
      </c>
      <c r="G28" s="215" t="s">
        <v>36</v>
      </c>
      <c r="H28" s="207" t="s">
        <v>162</v>
      </c>
      <c r="I28" s="215" t="s">
        <v>153</v>
      </c>
      <c r="J28" s="215" t="s">
        <v>38</v>
      </c>
      <c r="K28" s="215" t="s">
        <v>154</v>
      </c>
      <c r="L28" s="207">
        <v>3</v>
      </c>
      <c r="N28" s="207">
        <v>1</v>
      </c>
      <c r="O28" s="207">
        <v>0.8</v>
      </c>
      <c r="P28" s="207">
        <v>0.9</v>
      </c>
      <c r="Q28" s="244">
        <f t="shared" si="0"/>
        <v>0.85000000000000009</v>
      </c>
      <c r="R28" s="207">
        <v>15</v>
      </c>
      <c r="S28" s="207">
        <v>145</v>
      </c>
      <c r="T28" s="216">
        <f t="shared" si="1"/>
        <v>30</v>
      </c>
      <c r="U28" s="207">
        <v>96</v>
      </c>
      <c r="V28" s="216">
        <f t="shared" si="2"/>
        <v>2880</v>
      </c>
      <c r="W28" s="207">
        <v>2</v>
      </c>
      <c r="X28" s="215" t="s">
        <v>46</v>
      </c>
      <c r="Y28" s="215" t="s">
        <v>84</v>
      </c>
      <c r="Z28" s="215" t="s">
        <v>69</v>
      </c>
      <c r="AA28" s="215" t="s">
        <v>55</v>
      </c>
      <c r="AB28" s="215" t="s">
        <v>336</v>
      </c>
    </row>
    <row r="29" spans="1:48" x14ac:dyDescent="0.15">
      <c r="A29" s="215" t="s">
        <v>34</v>
      </c>
      <c r="B29" s="207" t="s">
        <v>334</v>
      </c>
      <c r="C29" s="207">
        <v>2018</v>
      </c>
      <c r="D29" s="249" t="s">
        <v>477</v>
      </c>
      <c r="E29" s="236" t="s">
        <v>327</v>
      </c>
      <c r="F29" s="236" t="s">
        <v>328</v>
      </c>
      <c r="G29" s="215" t="s">
        <v>36</v>
      </c>
      <c r="H29" s="207" t="s">
        <v>155</v>
      </c>
      <c r="I29" s="215" t="s">
        <v>153</v>
      </c>
      <c r="J29" s="215" t="s">
        <v>38</v>
      </c>
      <c r="K29" s="215" t="s">
        <v>154</v>
      </c>
      <c r="L29" s="215">
        <v>1</v>
      </c>
      <c r="N29" s="207">
        <v>1</v>
      </c>
      <c r="O29" s="207">
        <v>1</v>
      </c>
      <c r="P29" s="207">
        <v>0.85</v>
      </c>
      <c r="Q29" s="244">
        <f t="shared" si="0"/>
        <v>0.92500000000000004</v>
      </c>
      <c r="R29" s="207">
        <v>15.3</v>
      </c>
      <c r="S29" s="207">
        <v>124</v>
      </c>
      <c r="T29" s="216">
        <f t="shared" si="1"/>
        <v>30</v>
      </c>
      <c r="U29" s="207">
        <v>116</v>
      </c>
      <c r="V29" s="216">
        <f t="shared" si="2"/>
        <v>3480</v>
      </c>
      <c r="W29" s="207">
        <v>2</v>
      </c>
      <c r="X29" s="215" t="s">
        <v>46</v>
      </c>
      <c r="Y29" s="215" t="s">
        <v>84</v>
      </c>
      <c r="Z29" s="215" t="s">
        <v>69</v>
      </c>
      <c r="AA29" s="215" t="s">
        <v>50</v>
      </c>
      <c r="AB29" s="215" t="s">
        <v>336</v>
      </c>
    </row>
    <row r="30" spans="1:48" x14ac:dyDescent="0.15">
      <c r="A30" s="215" t="s">
        <v>34</v>
      </c>
      <c r="B30" s="207" t="s">
        <v>334</v>
      </c>
      <c r="C30" s="207">
        <v>2018</v>
      </c>
      <c r="D30" s="249" t="s">
        <v>477</v>
      </c>
      <c r="E30" s="236" t="s">
        <v>327</v>
      </c>
      <c r="F30" s="236" t="s">
        <v>328</v>
      </c>
      <c r="G30" s="215" t="s">
        <v>36</v>
      </c>
      <c r="H30" s="207" t="s">
        <v>155</v>
      </c>
      <c r="I30" s="215" t="s">
        <v>153</v>
      </c>
      <c r="J30" s="215" t="s">
        <v>38</v>
      </c>
      <c r="K30" s="215" t="s">
        <v>154</v>
      </c>
      <c r="L30" s="207">
        <v>2</v>
      </c>
      <c r="N30" s="207">
        <v>1</v>
      </c>
      <c r="O30" s="207">
        <v>1.1499999999999999</v>
      </c>
      <c r="P30" s="207">
        <v>0.75</v>
      </c>
      <c r="Q30" s="244">
        <f t="shared" si="0"/>
        <v>0.95</v>
      </c>
      <c r="R30" s="207">
        <v>14.3</v>
      </c>
      <c r="S30" s="207">
        <v>125</v>
      </c>
      <c r="T30" s="216">
        <f t="shared" si="1"/>
        <v>30</v>
      </c>
      <c r="U30" s="207">
        <v>116</v>
      </c>
      <c r="V30" s="216">
        <f t="shared" si="2"/>
        <v>3480</v>
      </c>
      <c r="W30" s="207">
        <v>2</v>
      </c>
      <c r="X30" s="215" t="s">
        <v>46</v>
      </c>
      <c r="Y30" s="215" t="s">
        <v>84</v>
      </c>
      <c r="Z30" s="215" t="s">
        <v>69</v>
      </c>
      <c r="AA30" s="215" t="s">
        <v>50</v>
      </c>
      <c r="AB30" s="215" t="s">
        <v>336</v>
      </c>
    </row>
    <row r="31" spans="1:48" x14ac:dyDescent="0.15">
      <c r="A31" s="215" t="s">
        <v>34</v>
      </c>
      <c r="B31" s="207" t="s">
        <v>334</v>
      </c>
      <c r="C31" s="207">
        <v>2018</v>
      </c>
      <c r="D31" s="249" t="s">
        <v>477</v>
      </c>
      <c r="E31" s="236" t="s">
        <v>327</v>
      </c>
      <c r="F31" s="236" t="s">
        <v>328</v>
      </c>
      <c r="G31" s="215" t="s">
        <v>36</v>
      </c>
      <c r="H31" s="207" t="s">
        <v>155</v>
      </c>
      <c r="I31" s="215" t="s">
        <v>153</v>
      </c>
      <c r="J31" s="215" t="s">
        <v>38</v>
      </c>
      <c r="K31" s="215" t="s">
        <v>154</v>
      </c>
      <c r="L31" s="207">
        <v>3</v>
      </c>
      <c r="N31" s="207">
        <v>1</v>
      </c>
      <c r="O31" s="207">
        <v>0.8</v>
      </c>
      <c r="P31" s="207">
        <v>0.95</v>
      </c>
      <c r="Q31" s="244">
        <f t="shared" si="0"/>
        <v>0.875</v>
      </c>
      <c r="R31" s="207">
        <v>14.2</v>
      </c>
      <c r="S31" s="207">
        <v>126</v>
      </c>
      <c r="T31" s="216">
        <f t="shared" si="1"/>
        <v>30</v>
      </c>
      <c r="U31" s="207">
        <v>116</v>
      </c>
      <c r="V31" s="216">
        <f t="shared" si="2"/>
        <v>3480</v>
      </c>
      <c r="W31" s="207">
        <v>2</v>
      </c>
      <c r="X31" s="215" t="s">
        <v>46</v>
      </c>
      <c r="Y31" s="215" t="s">
        <v>84</v>
      </c>
      <c r="Z31" s="215" t="s">
        <v>69</v>
      </c>
      <c r="AA31" s="215" t="s">
        <v>50</v>
      </c>
      <c r="AB31" s="215" t="s">
        <v>336</v>
      </c>
    </row>
    <row r="32" spans="1:48" x14ac:dyDescent="0.15">
      <c r="A32" s="215" t="s">
        <v>34</v>
      </c>
      <c r="B32" s="207" t="s">
        <v>334</v>
      </c>
      <c r="C32" s="207">
        <v>2018</v>
      </c>
      <c r="D32" s="249" t="s">
        <v>477</v>
      </c>
      <c r="E32" s="236" t="s">
        <v>327</v>
      </c>
      <c r="F32" s="236" t="s">
        <v>328</v>
      </c>
      <c r="G32" s="215" t="s">
        <v>36</v>
      </c>
      <c r="H32" s="207" t="s">
        <v>162</v>
      </c>
      <c r="I32" s="215" t="s">
        <v>153</v>
      </c>
      <c r="J32" s="215" t="s">
        <v>38</v>
      </c>
      <c r="K32" s="215" t="s">
        <v>154</v>
      </c>
      <c r="L32" s="215">
        <v>1</v>
      </c>
      <c r="N32" s="207">
        <v>1</v>
      </c>
      <c r="O32" s="207">
        <v>0.65</v>
      </c>
      <c r="P32" s="207">
        <v>0.75</v>
      </c>
      <c r="Q32" s="244">
        <f t="shared" si="0"/>
        <v>0.7</v>
      </c>
      <c r="R32" s="207">
        <v>15.2</v>
      </c>
      <c r="S32" s="207">
        <v>149</v>
      </c>
      <c r="T32" s="216">
        <f t="shared" si="1"/>
        <v>30</v>
      </c>
      <c r="U32" s="207">
        <v>116</v>
      </c>
      <c r="V32" s="216">
        <f t="shared" si="2"/>
        <v>3480</v>
      </c>
      <c r="W32" s="207">
        <v>3</v>
      </c>
      <c r="X32" s="215" t="s">
        <v>46</v>
      </c>
      <c r="Y32" s="215" t="s">
        <v>84</v>
      </c>
      <c r="Z32" s="215" t="s">
        <v>69</v>
      </c>
      <c r="AA32" s="215" t="s">
        <v>50</v>
      </c>
      <c r="AB32" s="215" t="s">
        <v>336</v>
      </c>
    </row>
    <row r="33" spans="1:28" x14ac:dyDescent="0.15">
      <c r="A33" s="215" t="s">
        <v>34</v>
      </c>
      <c r="B33" s="207" t="s">
        <v>334</v>
      </c>
      <c r="C33" s="207">
        <v>2018</v>
      </c>
      <c r="D33" s="249" t="s">
        <v>477</v>
      </c>
      <c r="E33" s="236" t="s">
        <v>327</v>
      </c>
      <c r="F33" s="236" t="s">
        <v>328</v>
      </c>
      <c r="G33" s="215" t="s">
        <v>36</v>
      </c>
      <c r="H33" s="207" t="s">
        <v>162</v>
      </c>
      <c r="I33" s="215" t="s">
        <v>153</v>
      </c>
      <c r="J33" s="215" t="s">
        <v>38</v>
      </c>
      <c r="K33" s="215" t="s">
        <v>154</v>
      </c>
      <c r="L33" s="207">
        <v>2</v>
      </c>
      <c r="N33" s="207">
        <v>1</v>
      </c>
      <c r="O33" s="207">
        <v>0.6</v>
      </c>
      <c r="P33" s="207">
        <v>0.75</v>
      </c>
      <c r="Q33" s="244">
        <f t="shared" si="0"/>
        <v>0.67500000000000004</v>
      </c>
      <c r="R33" s="207">
        <v>15.7</v>
      </c>
      <c r="S33" s="207">
        <v>164</v>
      </c>
      <c r="T33" s="216">
        <f t="shared" si="1"/>
        <v>18</v>
      </c>
      <c r="U33" s="207">
        <v>116</v>
      </c>
      <c r="V33" s="216">
        <f t="shared" si="2"/>
        <v>2088</v>
      </c>
      <c r="W33" s="207">
        <v>3</v>
      </c>
      <c r="X33" s="215" t="s">
        <v>46</v>
      </c>
      <c r="Y33" s="215" t="s">
        <v>84</v>
      </c>
      <c r="Z33" s="215" t="s">
        <v>69</v>
      </c>
      <c r="AA33" s="215" t="s">
        <v>50</v>
      </c>
      <c r="AB33" s="215" t="s">
        <v>336</v>
      </c>
    </row>
    <row r="34" spans="1:28" x14ac:dyDescent="0.15">
      <c r="A34" s="215" t="s">
        <v>34</v>
      </c>
      <c r="B34" s="207" t="s">
        <v>334</v>
      </c>
      <c r="C34" s="207">
        <v>2018</v>
      </c>
      <c r="D34" s="249" t="s">
        <v>477</v>
      </c>
      <c r="E34" s="236" t="s">
        <v>327</v>
      </c>
      <c r="F34" s="236" t="s">
        <v>328</v>
      </c>
      <c r="G34" s="215" t="s">
        <v>36</v>
      </c>
      <c r="H34" s="207" t="s">
        <v>162</v>
      </c>
      <c r="I34" s="215" t="s">
        <v>153</v>
      </c>
      <c r="J34" s="215" t="s">
        <v>38</v>
      </c>
      <c r="K34" s="215" t="s">
        <v>154</v>
      </c>
      <c r="L34" s="207">
        <v>3</v>
      </c>
      <c r="N34" s="207">
        <v>1</v>
      </c>
      <c r="O34" s="207">
        <v>0.7</v>
      </c>
      <c r="P34" s="207">
        <v>0.75</v>
      </c>
      <c r="Q34" s="244">
        <f>IF(OR(O34="",P34=""),"",AVERAGE(O34,P34))</f>
        <v>0.72499999999999998</v>
      </c>
      <c r="R34" s="207">
        <v>15.1</v>
      </c>
      <c r="S34" s="207">
        <v>152</v>
      </c>
      <c r="T34" s="216">
        <f t="shared" si="1"/>
        <v>18</v>
      </c>
      <c r="U34" s="207">
        <v>116</v>
      </c>
      <c r="V34" s="216">
        <f t="shared" si="2"/>
        <v>2088</v>
      </c>
      <c r="W34" s="207">
        <v>3</v>
      </c>
      <c r="X34" s="215" t="s">
        <v>46</v>
      </c>
      <c r="Y34" s="215" t="s">
        <v>84</v>
      </c>
      <c r="Z34" s="215" t="s">
        <v>69</v>
      </c>
      <c r="AA34" s="215" t="s">
        <v>50</v>
      </c>
      <c r="AB34" s="215" t="s">
        <v>336</v>
      </c>
    </row>
    <row r="35" spans="1:28" x14ac:dyDescent="0.15">
      <c r="A35" s="215" t="s">
        <v>34</v>
      </c>
      <c r="B35" s="207" t="s">
        <v>334</v>
      </c>
      <c r="C35" s="207">
        <v>2018</v>
      </c>
      <c r="D35" s="249" t="s">
        <v>477</v>
      </c>
      <c r="E35" s="236" t="s">
        <v>167</v>
      </c>
      <c r="F35" s="236" t="s">
        <v>332</v>
      </c>
      <c r="G35" s="215" t="s">
        <v>36</v>
      </c>
      <c r="H35" s="207" t="s">
        <v>155</v>
      </c>
      <c r="I35" s="215" t="s">
        <v>153</v>
      </c>
      <c r="J35" s="215" t="s">
        <v>38</v>
      </c>
      <c r="K35" s="215" t="s">
        <v>154</v>
      </c>
      <c r="L35" s="215">
        <v>1</v>
      </c>
      <c r="N35" s="207">
        <v>4</v>
      </c>
      <c r="O35" s="207">
        <v>0.45</v>
      </c>
      <c r="P35" s="207">
        <v>0.55000000000000004</v>
      </c>
      <c r="Q35" s="244">
        <f t="shared" ref="Q35:Q36" si="3">IF(OR(O35="",P35=""),"",AVERAGE(O35,P35))</f>
        <v>0.5</v>
      </c>
      <c r="R35" s="207">
        <v>14.1</v>
      </c>
      <c r="S35" s="207">
        <v>115</v>
      </c>
      <c r="T35" s="216">
        <f t="shared" si="1"/>
        <v>30</v>
      </c>
      <c r="U35" s="207">
        <v>515</v>
      </c>
      <c r="V35" s="216">
        <f t="shared" si="2"/>
        <v>3862.5</v>
      </c>
      <c r="W35" s="207">
        <v>2</v>
      </c>
      <c r="X35" s="215" t="s">
        <v>46</v>
      </c>
      <c r="Y35" s="215" t="s">
        <v>84</v>
      </c>
      <c r="Z35" s="215" t="s">
        <v>69</v>
      </c>
      <c r="AA35" s="215" t="s">
        <v>50</v>
      </c>
      <c r="AB35" s="215" t="s">
        <v>336</v>
      </c>
    </row>
    <row r="36" spans="1:28" x14ac:dyDescent="0.15">
      <c r="A36" s="215" t="s">
        <v>34</v>
      </c>
      <c r="B36" s="207" t="s">
        <v>334</v>
      </c>
      <c r="C36" s="207">
        <v>2018</v>
      </c>
      <c r="D36" s="249" t="s">
        <v>477</v>
      </c>
      <c r="E36" s="236" t="s">
        <v>167</v>
      </c>
      <c r="F36" s="236" t="s">
        <v>332</v>
      </c>
      <c r="G36" s="215" t="s">
        <v>36</v>
      </c>
      <c r="H36" s="207" t="s">
        <v>155</v>
      </c>
      <c r="I36" s="215" t="s">
        <v>153</v>
      </c>
      <c r="J36" s="215" t="s">
        <v>38</v>
      </c>
      <c r="K36" s="215" t="s">
        <v>154</v>
      </c>
      <c r="L36" s="207">
        <v>2</v>
      </c>
      <c r="N36" s="207">
        <v>4</v>
      </c>
      <c r="O36" s="207">
        <v>0.2</v>
      </c>
      <c r="P36" s="207">
        <v>0.55000000000000004</v>
      </c>
      <c r="Q36" s="244">
        <f t="shared" si="3"/>
        <v>0.375</v>
      </c>
      <c r="R36" s="207">
        <v>14.6</v>
      </c>
      <c r="S36" s="207">
        <v>114</v>
      </c>
      <c r="T36" s="216">
        <f t="shared" si="1"/>
        <v>30</v>
      </c>
      <c r="U36" s="207">
        <v>515</v>
      </c>
      <c r="V36" s="216">
        <f t="shared" si="2"/>
        <v>3862.5</v>
      </c>
      <c r="W36" s="207">
        <v>2</v>
      </c>
      <c r="X36" s="215" t="s">
        <v>46</v>
      </c>
      <c r="Y36" s="215" t="s">
        <v>84</v>
      </c>
      <c r="Z36" s="215" t="s">
        <v>69</v>
      </c>
      <c r="AA36" s="215" t="s">
        <v>50</v>
      </c>
      <c r="AB36" s="215" t="s">
        <v>336</v>
      </c>
    </row>
    <row r="37" spans="1:28" x14ac:dyDescent="0.15">
      <c r="A37" s="215" t="s">
        <v>34</v>
      </c>
      <c r="B37" s="207" t="s">
        <v>334</v>
      </c>
      <c r="C37" s="207">
        <v>2018</v>
      </c>
      <c r="D37" s="249" t="s">
        <v>477</v>
      </c>
      <c r="E37" s="236" t="s">
        <v>167</v>
      </c>
      <c r="F37" s="236" t="s">
        <v>332</v>
      </c>
      <c r="G37" s="215" t="s">
        <v>36</v>
      </c>
      <c r="H37" s="207" t="s">
        <v>155</v>
      </c>
      <c r="I37" s="215" t="s">
        <v>153</v>
      </c>
      <c r="J37" s="215" t="s">
        <v>38</v>
      </c>
      <c r="K37" s="215" t="s">
        <v>154</v>
      </c>
      <c r="L37" s="207">
        <v>3</v>
      </c>
      <c r="N37" s="207">
        <v>4</v>
      </c>
      <c r="O37" s="207">
        <v>0.2</v>
      </c>
      <c r="P37" s="207">
        <v>0.2</v>
      </c>
      <c r="Q37" s="244">
        <f>IF(OR(O37="",P37=""),"",AVERAGE(O37,P37))</f>
        <v>0.2</v>
      </c>
      <c r="R37" s="207">
        <v>12.6</v>
      </c>
      <c r="S37" s="207">
        <v>109</v>
      </c>
      <c r="T37" s="216">
        <f t="shared" si="1"/>
        <v>33</v>
      </c>
      <c r="U37" s="207">
        <v>515</v>
      </c>
      <c r="V37" s="216">
        <f t="shared" si="2"/>
        <v>4248.75</v>
      </c>
      <c r="W37" s="207">
        <v>2</v>
      </c>
      <c r="X37" s="215" t="s">
        <v>46</v>
      </c>
      <c r="Y37" s="215" t="s">
        <v>84</v>
      </c>
      <c r="Z37" s="215" t="s">
        <v>69</v>
      </c>
      <c r="AA37" s="215" t="s">
        <v>50</v>
      </c>
      <c r="AB37" s="215" t="s">
        <v>336</v>
      </c>
    </row>
    <row r="38" spans="1:28" x14ac:dyDescent="0.15">
      <c r="A38" s="215" t="s">
        <v>34</v>
      </c>
      <c r="B38" s="207" t="s">
        <v>334</v>
      </c>
      <c r="C38" s="207">
        <v>2018</v>
      </c>
      <c r="D38" s="249" t="s">
        <v>477</v>
      </c>
      <c r="E38" s="236" t="s">
        <v>167</v>
      </c>
      <c r="F38" s="236" t="s">
        <v>332</v>
      </c>
      <c r="G38" s="215" t="s">
        <v>36</v>
      </c>
      <c r="H38" s="207" t="s">
        <v>162</v>
      </c>
      <c r="I38" s="215" t="s">
        <v>153</v>
      </c>
      <c r="J38" s="215" t="s">
        <v>38</v>
      </c>
      <c r="K38" s="215" t="s">
        <v>154</v>
      </c>
      <c r="L38" s="215">
        <v>1</v>
      </c>
      <c r="N38" s="207">
        <v>1</v>
      </c>
      <c r="O38" s="207">
        <v>0.5</v>
      </c>
      <c r="P38" s="207">
        <v>0.5</v>
      </c>
      <c r="Q38" s="244">
        <f t="shared" ref="Q38:Q39" si="4">IF(OR(O38="",P38=""),"",AVERAGE(O38,P38))</f>
        <v>0.5</v>
      </c>
      <c r="R38" s="207">
        <v>14.7</v>
      </c>
      <c r="S38" s="207">
        <v>161</v>
      </c>
      <c r="T38" s="216">
        <f t="shared" si="1"/>
        <v>18</v>
      </c>
      <c r="U38" s="207">
        <v>137</v>
      </c>
      <c r="V38" s="216">
        <f t="shared" si="2"/>
        <v>2466</v>
      </c>
      <c r="W38" s="207">
        <v>3</v>
      </c>
      <c r="X38" s="215" t="s">
        <v>46</v>
      </c>
      <c r="Y38" s="215" t="s">
        <v>84</v>
      </c>
      <c r="Z38" s="215" t="s">
        <v>69</v>
      </c>
      <c r="AA38" s="215" t="s">
        <v>50</v>
      </c>
      <c r="AB38" s="215" t="s">
        <v>336</v>
      </c>
    </row>
    <row r="39" spans="1:28" x14ac:dyDescent="0.15">
      <c r="A39" s="215" t="s">
        <v>34</v>
      </c>
      <c r="B39" s="207" t="s">
        <v>334</v>
      </c>
      <c r="C39" s="207">
        <v>2018</v>
      </c>
      <c r="D39" s="249" t="s">
        <v>477</v>
      </c>
      <c r="E39" s="236" t="s">
        <v>167</v>
      </c>
      <c r="F39" s="236" t="s">
        <v>332</v>
      </c>
      <c r="G39" s="215" t="s">
        <v>36</v>
      </c>
      <c r="H39" s="207" t="s">
        <v>162</v>
      </c>
      <c r="I39" s="215" t="s">
        <v>153</v>
      </c>
      <c r="J39" s="215" t="s">
        <v>38</v>
      </c>
      <c r="K39" s="215" t="s">
        <v>154</v>
      </c>
      <c r="L39" s="207">
        <v>2</v>
      </c>
      <c r="N39" s="207">
        <v>1</v>
      </c>
      <c r="O39" s="207">
        <v>0.2</v>
      </c>
      <c r="P39" s="207">
        <v>0.5</v>
      </c>
      <c r="Q39" s="244">
        <f t="shared" si="4"/>
        <v>0.35</v>
      </c>
      <c r="R39" s="207">
        <v>16</v>
      </c>
      <c r="S39" s="207">
        <v>166</v>
      </c>
      <c r="T39" s="216">
        <f t="shared" si="1"/>
        <v>18</v>
      </c>
      <c r="U39" s="207">
        <v>137</v>
      </c>
      <c r="V39" s="216">
        <f t="shared" si="2"/>
        <v>2466</v>
      </c>
      <c r="W39" s="207">
        <v>3</v>
      </c>
      <c r="X39" s="215" t="s">
        <v>46</v>
      </c>
      <c r="Y39" s="215" t="s">
        <v>84</v>
      </c>
      <c r="Z39" s="215" t="s">
        <v>69</v>
      </c>
      <c r="AA39" s="215" t="s">
        <v>50</v>
      </c>
      <c r="AB39" s="215" t="s">
        <v>336</v>
      </c>
    </row>
    <row r="40" spans="1:28" x14ac:dyDescent="0.15">
      <c r="A40" s="215" t="s">
        <v>34</v>
      </c>
      <c r="B40" s="207" t="s">
        <v>334</v>
      </c>
      <c r="C40" s="207">
        <v>2018</v>
      </c>
      <c r="D40" s="249" t="s">
        <v>477</v>
      </c>
      <c r="E40" s="236" t="s">
        <v>167</v>
      </c>
      <c r="F40" s="236" t="s">
        <v>332</v>
      </c>
      <c r="G40" s="215" t="s">
        <v>36</v>
      </c>
      <c r="H40" s="207" t="s">
        <v>162</v>
      </c>
      <c r="I40" s="215" t="s">
        <v>153</v>
      </c>
      <c r="J40" s="215" t="s">
        <v>38</v>
      </c>
      <c r="K40" s="215" t="s">
        <v>154</v>
      </c>
      <c r="L40" s="207">
        <v>3</v>
      </c>
      <c r="N40" s="207">
        <v>1</v>
      </c>
      <c r="O40" s="207">
        <v>0.5</v>
      </c>
      <c r="P40" s="207">
        <v>0.5</v>
      </c>
      <c r="Q40" s="244">
        <f>IF(OR(O40="",P40=""),"",AVERAGE(O40,P40))</f>
        <v>0.5</v>
      </c>
      <c r="R40" s="207">
        <v>14.9</v>
      </c>
      <c r="S40" s="207">
        <v>155</v>
      </c>
      <c r="T40" s="216">
        <f t="shared" si="1"/>
        <v>18</v>
      </c>
      <c r="U40" s="207">
        <v>137</v>
      </c>
      <c r="V40" s="216">
        <f t="shared" si="2"/>
        <v>2466</v>
      </c>
      <c r="W40" s="207">
        <v>3</v>
      </c>
      <c r="X40" s="215" t="s">
        <v>46</v>
      </c>
      <c r="Y40" s="215" t="s">
        <v>84</v>
      </c>
      <c r="Z40" s="215" t="s">
        <v>69</v>
      </c>
      <c r="AA40" s="215" t="s">
        <v>50</v>
      </c>
      <c r="AB40" s="215" t="s">
        <v>336</v>
      </c>
    </row>
    <row r="41" spans="1:28" x14ac:dyDescent="0.15">
      <c r="A41" s="215" t="s">
        <v>34</v>
      </c>
      <c r="B41" s="207" t="s">
        <v>334</v>
      </c>
      <c r="C41" s="207">
        <v>2018</v>
      </c>
      <c r="D41" s="249" t="s">
        <v>477</v>
      </c>
      <c r="E41" s="236" t="s">
        <v>167</v>
      </c>
      <c r="F41" s="236" t="s">
        <v>332</v>
      </c>
      <c r="G41" s="215" t="s">
        <v>36</v>
      </c>
      <c r="H41" s="207" t="s">
        <v>162</v>
      </c>
      <c r="I41" s="215" t="s">
        <v>153</v>
      </c>
      <c r="J41" s="215" t="s">
        <v>38</v>
      </c>
      <c r="K41" s="215" t="s">
        <v>154</v>
      </c>
      <c r="L41" s="215">
        <v>1</v>
      </c>
      <c r="N41" s="207">
        <v>4</v>
      </c>
      <c r="O41" s="207">
        <v>0.65</v>
      </c>
      <c r="P41" s="207">
        <v>0.8</v>
      </c>
      <c r="Q41" s="244">
        <f t="shared" si="0"/>
        <v>0.72500000000000009</v>
      </c>
      <c r="R41" s="207">
        <v>15.8</v>
      </c>
      <c r="S41" s="207">
        <v>119</v>
      </c>
      <c r="T41" s="216">
        <f t="shared" si="1"/>
        <v>30</v>
      </c>
      <c r="U41" s="207">
        <v>515</v>
      </c>
      <c r="V41" s="216">
        <f t="shared" si="2"/>
        <v>3862.5</v>
      </c>
      <c r="W41" s="207">
        <v>3</v>
      </c>
      <c r="X41" s="215" t="s">
        <v>46</v>
      </c>
      <c r="Y41" s="215" t="s">
        <v>84</v>
      </c>
      <c r="Z41" s="215" t="s">
        <v>69</v>
      </c>
      <c r="AA41" s="215" t="s">
        <v>50</v>
      </c>
      <c r="AB41" s="215" t="s">
        <v>336</v>
      </c>
    </row>
    <row r="42" spans="1:28" x14ac:dyDescent="0.15">
      <c r="A42" s="215" t="s">
        <v>34</v>
      </c>
      <c r="B42" s="207" t="s">
        <v>334</v>
      </c>
      <c r="C42" s="207">
        <v>2018</v>
      </c>
      <c r="D42" s="249" t="s">
        <v>477</v>
      </c>
      <c r="E42" s="236" t="s">
        <v>167</v>
      </c>
      <c r="F42" s="236" t="s">
        <v>332</v>
      </c>
      <c r="G42" s="215" t="s">
        <v>36</v>
      </c>
      <c r="H42" s="207" t="s">
        <v>162</v>
      </c>
      <c r="I42" s="215" t="s">
        <v>153</v>
      </c>
      <c r="J42" s="215" t="s">
        <v>38</v>
      </c>
      <c r="K42" s="215" t="s">
        <v>154</v>
      </c>
      <c r="L42" s="207">
        <v>2</v>
      </c>
      <c r="N42" s="207">
        <v>4</v>
      </c>
      <c r="O42" s="207">
        <v>0.85</v>
      </c>
      <c r="P42" s="207">
        <v>0.8</v>
      </c>
      <c r="Q42" s="244">
        <f t="shared" si="0"/>
        <v>0.82499999999999996</v>
      </c>
      <c r="R42" s="207">
        <v>14.4</v>
      </c>
      <c r="S42" s="207">
        <v>115</v>
      </c>
      <c r="T42" s="216">
        <f t="shared" si="1"/>
        <v>30</v>
      </c>
      <c r="U42" s="207">
        <v>515</v>
      </c>
      <c r="V42" s="216">
        <f t="shared" si="2"/>
        <v>3862.5</v>
      </c>
      <c r="W42" s="207">
        <v>3</v>
      </c>
      <c r="X42" s="215" t="s">
        <v>46</v>
      </c>
      <c r="Y42" s="215" t="s">
        <v>84</v>
      </c>
      <c r="Z42" s="215" t="s">
        <v>69</v>
      </c>
      <c r="AA42" s="215" t="s">
        <v>50</v>
      </c>
      <c r="AB42" s="215" t="s">
        <v>336</v>
      </c>
    </row>
    <row r="43" spans="1:28" x14ac:dyDescent="0.15">
      <c r="A43" s="215" t="s">
        <v>34</v>
      </c>
      <c r="B43" s="207" t="s">
        <v>334</v>
      </c>
      <c r="C43" s="207">
        <v>2018</v>
      </c>
      <c r="D43" s="249" t="s">
        <v>477</v>
      </c>
      <c r="E43" s="236" t="s">
        <v>167</v>
      </c>
      <c r="F43" s="236" t="s">
        <v>332</v>
      </c>
      <c r="G43" s="215" t="s">
        <v>36</v>
      </c>
      <c r="H43" s="207" t="s">
        <v>162</v>
      </c>
      <c r="I43" s="215" t="s">
        <v>153</v>
      </c>
      <c r="J43" s="215" t="s">
        <v>38</v>
      </c>
      <c r="K43" s="215" t="s">
        <v>154</v>
      </c>
      <c r="L43" s="207">
        <v>3</v>
      </c>
      <c r="N43" s="207">
        <v>4</v>
      </c>
      <c r="O43" s="207">
        <v>0.95</v>
      </c>
      <c r="P43" s="207">
        <v>0.8</v>
      </c>
      <c r="Q43" s="244">
        <f t="shared" si="0"/>
        <v>0.875</v>
      </c>
      <c r="R43" s="207">
        <v>14.4</v>
      </c>
      <c r="S43" s="207">
        <v>121</v>
      </c>
      <c r="T43" s="216">
        <f t="shared" si="1"/>
        <v>30</v>
      </c>
      <c r="U43" s="207">
        <v>515</v>
      </c>
      <c r="V43" s="216">
        <f t="shared" si="2"/>
        <v>3862.5</v>
      </c>
      <c r="W43" s="207">
        <v>3</v>
      </c>
      <c r="X43" s="215" t="s">
        <v>46</v>
      </c>
      <c r="Y43" s="215" t="s">
        <v>84</v>
      </c>
      <c r="Z43" s="215" t="s">
        <v>69</v>
      </c>
      <c r="AA43" s="215" t="s">
        <v>50</v>
      </c>
      <c r="AB43" s="215" t="s">
        <v>336</v>
      </c>
    </row>
    <row r="44" spans="1:28" x14ac:dyDescent="0.15">
      <c r="A44" s="215" t="s">
        <v>34</v>
      </c>
      <c r="B44" s="207" t="s">
        <v>334</v>
      </c>
      <c r="C44" s="207">
        <v>2018</v>
      </c>
      <c r="D44" s="249" t="s">
        <v>477</v>
      </c>
      <c r="E44" s="236" t="s">
        <v>283</v>
      </c>
      <c r="F44" s="236" t="s">
        <v>317</v>
      </c>
      <c r="G44" s="215" t="s">
        <v>36</v>
      </c>
      <c r="H44" s="207" t="s">
        <v>155</v>
      </c>
      <c r="I44" s="215" t="s">
        <v>153</v>
      </c>
      <c r="J44" s="215" t="s">
        <v>38</v>
      </c>
      <c r="K44" s="215" t="s">
        <v>154</v>
      </c>
      <c r="L44" s="215">
        <v>1</v>
      </c>
      <c r="N44" s="207">
        <v>1</v>
      </c>
      <c r="O44" s="207">
        <v>0.9</v>
      </c>
      <c r="P44" s="207">
        <v>1.1000000000000001</v>
      </c>
      <c r="Q44" s="244">
        <f t="shared" si="0"/>
        <v>1</v>
      </c>
      <c r="R44" s="207">
        <v>11</v>
      </c>
      <c r="S44" s="207">
        <v>120</v>
      </c>
      <c r="T44" s="216">
        <f t="shared" si="1"/>
        <v>30</v>
      </c>
      <c r="U44" s="207">
        <v>105</v>
      </c>
      <c r="V44" s="216">
        <f t="shared" si="2"/>
        <v>3150</v>
      </c>
      <c r="W44" s="207">
        <v>4</v>
      </c>
      <c r="X44" s="215" t="s">
        <v>46</v>
      </c>
      <c r="Y44" s="215" t="s">
        <v>84</v>
      </c>
      <c r="Z44" s="215" t="s">
        <v>90</v>
      </c>
      <c r="AA44" s="215" t="s">
        <v>50</v>
      </c>
      <c r="AB44" s="215" t="s">
        <v>336</v>
      </c>
    </row>
    <row r="45" spans="1:28" x14ac:dyDescent="0.15">
      <c r="A45" s="215" t="s">
        <v>34</v>
      </c>
      <c r="B45" s="207" t="s">
        <v>334</v>
      </c>
      <c r="C45" s="207">
        <v>2018</v>
      </c>
      <c r="D45" s="249" t="s">
        <v>477</v>
      </c>
      <c r="E45" s="236" t="s">
        <v>283</v>
      </c>
      <c r="F45" s="236" t="s">
        <v>317</v>
      </c>
      <c r="G45" s="215" t="s">
        <v>36</v>
      </c>
      <c r="H45" s="207" t="s">
        <v>155</v>
      </c>
      <c r="I45" s="215" t="s">
        <v>153</v>
      </c>
      <c r="J45" s="215" t="s">
        <v>38</v>
      </c>
      <c r="K45" s="215" t="s">
        <v>154</v>
      </c>
      <c r="L45" s="207">
        <v>2</v>
      </c>
      <c r="N45" s="207">
        <v>1</v>
      </c>
      <c r="O45" s="207">
        <v>0.7</v>
      </c>
      <c r="P45" s="207">
        <v>0.95</v>
      </c>
      <c r="Q45" s="244">
        <f t="shared" si="0"/>
        <v>0.82499999999999996</v>
      </c>
      <c r="R45" s="207">
        <v>14.7</v>
      </c>
      <c r="S45" s="207">
        <v>128</v>
      </c>
      <c r="T45" s="216">
        <f t="shared" si="1"/>
        <v>30</v>
      </c>
      <c r="U45" s="207">
        <v>105</v>
      </c>
      <c r="V45" s="216">
        <f t="shared" si="2"/>
        <v>3150</v>
      </c>
      <c r="W45" s="207">
        <v>4</v>
      </c>
      <c r="X45" s="215" t="s">
        <v>46</v>
      </c>
      <c r="Y45" s="215" t="s">
        <v>84</v>
      </c>
      <c r="Z45" s="215" t="s">
        <v>90</v>
      </c>
      <c r="AA45" s="215" t="s">
        <v>50</v>
      </c>
      <c r="AB45" s="215" t="s">
        <v>336</v>
      </c>
    </row>
    <row r="46" spans="1:28" x14ac:dyDescent="0.15">
      <c r="A46" s="215" t="s">
        <v>34</v>
      </c>
      <c r="B46" s="207" t="s">
        <v>334</v>
      </c>
      <c r="C46" s="207">
        <v>2018</v>
      </c>
      <c r="D46" s="249" t="s">
        <v>477</v>
      </c>
      <c r="E46" s="236" t="s">
        <v>283</v>
      </c>
      <c r="F46" s="236" t="s">
        <v>317</v>
      </c>
      <c r="G46" s="215" t="s">
        <v>36</v>
      </c>
      <c r="H46" s="207" t="s">
        <v>155</v>
      </c>
      <c r="I46" s="215" t="s">
        <v>153</v>
      </c>
      <c r="J46" s="215" t="s">
        <v>38</v>
      </c>
      <c r="K46" s="215" t="s">
        <v>154</v>
      </c>
      <c r="L46" s="207">
        <v>3</v>
      </c>
      <c r="N46" s="207">
        <v>1</v>
      </c>
      <c r="O46" s="207">
        <v>0.85</v>
      </c>
      <c r="P46" s="207">
        <v>1.1000000000000001</v>
      </c>
      <c r="Q46" s="244">
        <f t="shared" si="0"/>
        <v>0.97500000000000009</v>
      </c>
      <c r="R46" s="207">
        <v>14.9</v>
      </c>
      <c r="S46" s="207">
        <v>135</v>
      </c>
      <c r="T46" s="216">
        <f t="shared" si="1"/>
        <v>30</v>
      </c>
      <c r="U46" s="207">
        <v>105</v>
      </c>
      <c r="V46" s="216">
        <f t="shared" si="2"/>
        <v>3150</v>
      </c>
      <c r="W46" s="207">
        <v>4</v>
      </c>
      <c r="X46" s="215" t="s">
        <v>46</v>
      </c>
      <c r="Y46" s="215" t="s">
        <v>84</v>
      </c>
      <c r="Z46" s="215" t="s">
        <v>90</v>
      </c>
      <c r="AA46" s="215" t="s">
        <v>50</v>
      </c>
      <c r="AB46" s="215" t="s">
        <v>336</v>
      </c>
    </row>
    <row r="47" spans="1:28" x14ac:dyDescent="0.15">
      <c r="A47" s="215" t="s">
        <v>34</v>
      </c>
      <c r="B47" s="207" t="s">
        <v>334</v>
      </c>
      <c r="C47" s="207">
        <v>2018</v>
      </c>
      <c r="D47" s="249" t="s">
        <v>477</v>
      </c>
      <c r="E47" s="236" t="s">
        <v>283</v>
      </c>
      <c r="F47" s="236" t="s">
        <v>317</v>
      </c>
      <c r="G47" s="215" t="s">
        <v>36</v>
      </c>
      <c r="H47" s="207" t="s">
        <v>162</v>
      </c>
      <c r="I47" s="215" t="s">
        <v>153</v>
      </c>
      <c r="J47" s="215" t="s">
        <v>38</v>
      </c>
      <c r="K47" s="215" t="s">
        <v>154</v>
      </c>
      <c r="L47" s="215">
        <v>1</v>
      </c>
      <c r="N47" s="207">
        <v>1</v>
      </c>
      <c r="O47" s="207">
        <v>0.7</v>
      </c>
      <c r="P47" s="207">
        <v>0.6</v>
      </c>
      <c r="Q47" s="244">
        <f t="shared" si="0"/>
        <v>0.64999999999999991</v>
      </c>
      <c r="R47" s="207">
        <v>14.6</v>
      </c>
      <c r="S47" s="207">
        <v>136</v>
      </c>
      <c r="T47" s="216">
        <f t="shared" si="1"/>
        <v>30</v>
      </c>
      <c r="U47" s="207">
        <v>138</v>
      </c>
      <c r="V47" s="216">
        <f t="shared" si="2"/>
        <v>4140</v>
      </c>
      <c r="W47" s="207">
        <v>1</v>
      </c>
      <c r="X47" s="215" t="s">
        <v>46</v>
      </c>
      <c r="Y47" s="215" t="s">
        <v>84</v>
      </c>
      <c r="Z47" s="215" t="s">
        <v>90</v>
      </c>
      <c r="AA47" s="215" t="s">
        <v>50</v>
      </c>
      <c r="AB47" s="215" t="s">
        <v>336</v>
      </c>
    </row>
    <row r="48" spans="1:28" x14ac:dyDescent="0.15">
      <c r="A48" s="215" t="s">
        <v>34</v>
      </c>
      <c r="B48" s="207" t="s">
        <v>334</v>
      </c>
      <c r="C48" s="207">
        <v>2018</v>
      </c>
      <c r="D48" s="249" t="s">
        <v>477</v>
      </c>
      <c r="E48" s="236" t="s">
        <v>283</v>
      </c>
      <c r="F48" s="236" t="s">
        <v>317</v>
      </c>
      <c r="G48" s="215" t="s">
        <v>36</v>
      </c>
      <c r="H48" s="207" t="s">
        <v>162</v>
      </c>
      <c r="I48" s="215" t="s">
        <v>153</v>
      </c>
      <c r="J48" s="215" t="s">
        <v>38</v>
      </c>
      <c r="K48" s="215" t="s">
        <v>154</v>
      </c>
      <c r="L48" s="207">
        <v>2</v>
      </c>
      <c r="N48" s="207">
        <v>1</v>
      </c>
      <c r="O48" s="207">
        <v>0.65</v>
      </c>
      <c r="P48" s="207">
        <v>0.6</v>
      </c>
      <c r="Q48" s="244">
        <f t="shared" si="0"/>
        <v>0.625</v>
      </c>
      <c r="R48" s="207">
        <v>15.2</v>
      </c>
      <c r="S48" s="207">
        <v>135</v>
      </c>
      <c r="T48" s="216">
        <f t="shared" si="1"/>
        <v>30</v>
      </c>
      <c r="U48" s="207">
        <v>138</v>
      </c>
      <c r="V48" s="216">
        <f t="shared" si="2"/>
        <v>4140</v>
      </c>
      <c r="W48" s="207">
        <v>1</v>
      </c>
      <c r="X48" s="215" t="s">
        <v>46</v>
      </c>
      <c r="Y48" s="215" t="s">
        <v>84</v>
      </c>
      <c r="Z48" s="215" t="s">
        <v>90</v>
      </c>
      <c r="AA48" s="215" t="s">
        <v>50</v>
      </c>
      <c r="AB48" s="215" t="s">
        <v>336</v>
      </c>
    </row>
    <row r="49" spans="1:28" x14ac:dyDescent="0.15">
      <c r="A49" s="215" t="s">
        <v>34</v>
      </c>
      <c r="B49" s="207" t="s">
        <v>334</v>
      </c>
      <c r="C49" s="207">
        <v>2018</v>
      </c>
      <c r="D49" s="249" t="s">
        <v>477</v>
      </c>
      <c r="E49" s="236" t="s">
        <v>283</v>
      </c>
      <c r="F49" s="236" t="s">
        <v>317</v>
      </c>
      <c r="G49" s="215" t="s">
        <v>36</v>
      </c>
      <c r="H49" s="207" t="s">
        <v>162</v>
      </c>
      <c r="I49" s="215" t="s">
        <v>153</v>
      </c>
      <c r="J49" s="215" t="s">
        <v>38</v>
      </c>
      <c r="K49" s="215" t="s">
        <v>154</v>
      </c>
      <c r="L49" s="207">
        <v>3</v>
      </c>
      <c r="N49" s="207">
        <v>1</v>
      </c>
      <c r="O49" s="207">
        <v>0.65</v>
      </c>
      <c r="P49" s="207">
        <v>0.65</v>
      </c>
      <c r="Q49" s="244">
        <f t="shared" si="0"/>
        <v>0.65</v>
      </c>
      <c r="R49" s="207">
        <v>15.1</v>
      </c>
      <c r="S49" s="207">
        <v>132</v>
      </c>
      <c r="T49" s="216">
        <f t="shared" si="1"/>
        <v>30</v>
      </c>
      <c r="U49" s="207">
        <v>138</v>
      </c>
      <c r="V49" s="216">
        <f t="shared" si="2"/>
        <v>4140</v>
      </c>
      <c r="W49" s="207">
        <v>1</v>
      </c>
      <c r="X49" s="215" t="s">
        <v>46</v>
      </c>
      <c r="Y49" s="215" t="s">
        <v>84</v>
      </c>
      <c r="Z49" s="215" t="s">
        <v>90</v>
      </c>
      <c r="AA49" s="215" t="s">
        <v>50</v>
      </c>
      <c r="AB49" s="215" t="s">
        <v>336</v>
      </c>
    </row>
    <row r="50" spans="1:28" x14ac:dyDescent="0.15">
      <c r="A50" s="215" t="s">
        <v>34</v>
      </c>
      <c r="B50" s="207" t="s">
        <v>334</v>
      </c>
      <c r="C50" s="207">
        <v>2018</v>
      </c>
      <c r="D50" s="249" t="s">
        <v>477</v>
      </c>
      <c r="E50" s="236" t="s">
        <v>318</v>
      </c>
      <c r="F50" s="236" t="s">
        <v>319</v>
      </c>
      <c r="G50" s="215" t="s">
        <v>36</v>
      </c>
      <c r="H50" s="207" t="s">
        <v>155</v>
      </c>
      <c r="I50" s="215" t="s">
        <v>153</v>
      </c>
      <c r="J50" s="215" t="s">
        <v>38</v>
      </c>
      <c r="K50" s="215" t="s">
        <v>154</v>
      </c>
      <c r="L50" s="215">
        <v>1</v>
      </c>
      <c r="N50" s="207">
        <v>1</v>
      </c>
      <c r="O50" s="207">
        <v>0.45</v>
      </c>
      <c r="P50" s="207">
        <v>0.6</v>
      </c>
      <c r="Q50" s="244">
        <f t="shared" si="0"/>
        <v>0.52500000000000002</v>
      </c>
      <c r="R50" s="207">
        <v>17.5</v>
      </c>
      <c r="S50" s="207">
        <v>138</v>
      </c>
      <c r="T50" s="216">
        <f t="shared" si="1"/>
        <v>30</v>
      </c>
      <c r="U50" s="207">
        <v>138</v>
      </c>
      <c r="V50" s="216">
        <f t="shared" si="2"/>
        <v>4140</v>
      </c>
      <c r="W50" s="207">
        <v>3</v>
      </c>
      <c r="X50" s="215" t="s">
        <v>39</v>
      </c>
      <c r="Y50" s="215" t="s">
        <v>84</v>
      </c>
      <c r="Z50" s="215" t="s">
        <v>90</v>
      </c>
      <c r="AA50" s="215" t="s">
        <v>69</v>
      </c>
      <c r="AB50" s="215" t="s">
        <v>336</v>
      </c>
    </row>
    <row r="51" spans="1:28" x14ac:dyDescent="0.15">
      <c r="A51" s="215" t="s">
        <v>34</v>
      </c>
      <c r="B51" s="207" t="s">
        <v>334</v>
      </c>
      <c r="C51" s="207">
        <v>2018</v>
      </c>
      <c r="D51" s="249" t="s">
        <v>477</v>
      </c>
      <c r="E51" s="236" t="s">
        <v>318</v>
      </c>
      <c r="F51" s="236" t="s">
        <v>319</v>
      </c>
      <c r="G51" s="215" t="s">
        <v>36</v>
      </c>
      <c r="H51" s="207" t="s">
        <v>155</v>
      </c>
      <c r="I51" s="215" t="s">
        <v>153</v>
      </c>
      <c r="J51" s="215" t="s">
        <v>38</v>
      </c>
      <c r="K51" s="215" t="s">
        <v>154</v>
      </c>
      <c r="L51" s="207">
        <v>2</v>
      </c>
      <c r="N51" s="207">
        <v>1</v>
      </c>
      <c r="O51" s="207">
        <v>1.1000000000000001</v>
      </c>
      <c r="P51" s="207">
        <v>1.1000000000000001</v>
      </c>
      <c r="Q51" s="244">
        <f t="shared" si="0"/>
        <v>1.1000000000000001</v>
      </c>
      <c r="R51" s="207">
        <v>14.1</v>
      </c>
      <c r="S51" s="207">
        <v>124</v>
      </c>
      <c r="T51" s="216">
        <f t="shared" si="1"/>
        <v>30</v>
      </c>
      <c r="U51" s="207">
        <v>138</v>
      </c>
      <c r="V51" s="216">
        <f t="shared" si="2"/>
        <v>4140</v>
      </c>
      <c r="W51" s="207">
        <v>3</v>
      </c>
      <c r="X51" s="215" t="s">
        <v>39</v>
      </c>
      <c r="Y51" s="215" t="s">
        <v>84</v>
      </c>
      <c r="Z51" s="215" t="s">
        <v>90</v>
      </c>
      <c r="AA51" s="215" t="s">
        <v>69</v>
      </c>
      <c r="AB51" s="215" t="s">
        <v>336</v>
      </c>
    </row>
    <row r="52" spans="1:28" x14ac:dyDescent="0.15">
      <c r="A52" s="215" t="s">
        <v>34</v>
      </c>
      <c r="B52" s="207" t="s">
        <v>334</v>
      </c>
      <c r="C52" s="207">
        <v>2018</v>
      </c>
      <c r="D52" s="249" t="s">
        <v>477</v>
      </c>
      <c r="E52" s="236" t="s">
        <v>318</v>
      </c>
      <c r="F52" s="236" t="s">
        <v>319</v>
      </c>
      <c r="G52" s="215" t="s">
        <v>36</v>
      </c>
      <c r="H52" s="207" t="s">
        <v>155</v>
      </c>
      <c r="I52" s="215" t="s">
        <v>153</v>
      </c>
      <c r="J52" s="215" t="s">
        <v>38</v>
      </c>
      <c r="K52" s="215" t="s">
        <v>154</v>
      </c>
      <c r="L52" s="207">
        <v>3</v>
      </c>
      <c r="N52" s="207">
        <v>1</v>
      </c>
      <c r="O52" s="207">
        <v>0.6</v>
      </c>
      <c r="P52" s="207">
        <v>0.55000000000000004</v>
      </c>
      <c r="Q52" s="244">
        <f t="shared" si="0"/>
        <v>0.57499999999999996</v>
      </c>
      <c r="R52" s="207">
        <v>14.6</v>
      </c>
      <c r="S52" s="207">
        <v>148</v>
      </c>
      <c r="T52" s="216">
        <f t="shared" si="1"/>
        <v>30</v>
      </c>
      <c r="U52" s="207">
        <v>138</v>
      </c>
      <c r="V52" s="216">
        <f t="shared" si="2"/>
        <v>4140</v>
      </c>
      <c r="W52" s="207">
        <v>3</v>
      </c>
      <c r="X52" s="215" t="s">
        <v>39</v>
      </c>
      <c r="Y52" s="215" t="s">
        <v>84</v>
      </c>
      <c r="Z52" s="215" t="s">
        <v>90</v>
      </c>
      <c r="AA52" s="215" t="s">
        <v>69</v>
      </c>
      <c r="AB52" s="215" t="s">
        <v>336</v>
      </c>
    </row>
    <row r="53" spans="1:28" x14ac:dyDescent="0.15">
      <c r="A53" s="215" t="s">
        <v>34</v>
      </c>
      <c r="B53" s="207" t="s">
        <v>334</v>
      </c>
      <c r="C53" s="207">
        <v>2018</v>
      </c>
      <c r="D53" s="249" t="s">
        <v>477</v>
      </c>
      <c r="E53" s="236" t="s">
        <v>318</v>
      </c>
      <c r="F53" s="236" t="s">
        <v>319</v>
      </c>
      <c r="G53" s="215" t="s">
        <v>36</v>
      </c>
      <c r="H53" s="207" t="s">
        <v>155</v>
      </c>
      <c r="I53" s="215" t="s">
        <v>153</v>
      </c>
      <c r="J53" s="215" t="s">
        <v>38</v>
      </c>
      <c r="K53" s="215" t="s">
        <v>154</v>
      </c>
      <c r="L53" s="215">
        <v>1</v>
      </c>
      <c r="N53" s="207">
        <v>8</v>
      </c>
      <c r="O53" s="207">
        <v>0.5</v>
      </c>
      <c r="P53" s="207">
        <v>0.65</v>
      </c>
      <c r="Q53" s="244">
        <f t="shared" si="0"/>
        <v>0.57499999999999996</v>
      </c>
      <c r="R53" s="207">
        <v>13.8</v>
      </c>
      <c r="S53" s="207">
        <v>82</v>
      </c>
      <c r="T53" s="216">
        <f t="shared" si="1"/>
        <v>39</v>
      </c>
      <c r="U53" s="207">
        <v>430</v>
      </c>
      <c r="V53" s="216">
        <f t="shared" si="2"/>
        <v>2096.25</v>
      </c>
      <c r="W53" s="207">
        <v>3</v>
      </c>
      <c r="X53" s="215" t="s">
        <v>39</v>
      </c>
      <c r="Y53" s="215" t="s">
        <v>84</v>
      </c>
      <c r="Z53" s="215" t="s">
        <v>90</v>
      </c>
      <c r="AA53" s="215" t="s">
        <v>69</v>
      </c>
      <c r="AB53" s="215" t="s">
        <v>336</v>
      </c>
    </row>
    <row r="54" spans="1:28" x14ac:dyDescent="0.15">
      <c r="A54" s="215" t="s">
        <v>34</v>
      </c>
      <c r="B54" s="207" t="s">
        <v>334</v>
      </c>
      <c r="C54" s="207">
        <v>2018</v>
      </c>
      <c r="D54" s="249" t="s">
        <v>477</v>
      </c>
      <c r="E54" s="236" t="s">
        <v>318</v>
      </c>
      <c r="F54" s="236" t="s">
        <v>319</v>
      </c>
      <c r="G54" s="215" t="s">
        <v>36</v>
      </c>
      <c r="H54" s="207" t="s">
        <v>155</v>
      </c>
      <c r="I54" s="215" t="s">
        <v>153</v>
      </c>
      <c r="J54" s="215" t="s">
        <v>38</v>
      </c>
      <c r="K54" s="215" t="s">
        <v>154</v>
      </c>
      <c r="L54" s="207">
        <v>2</v>
      </c>
      <c r="N54" s="207">
        <v>8</v>
      </c>
      <c r="O54" s="207">
        <v>0.75</v>
      </c>
      <c r="P54" s="207">
        <v>0.65</v>
      </c>
      <c r="Q54" s="244">
        <f t="shared" si="0"/>
        <v>0.7</v>
      </c>
      <c r="R54" s="207">
        <v>13.5</v>
      </c>
      <c r="S54" s="207">
        <v>80</v>
      </c>
      <c r="T54" s="216">
        <f t="shared" si="1"/>
        <v>39</v>
      </c>
      <c r="U54" s="207">
        <v>430</v>
      </c>
      <c r="V54" s="216">
        <f t="shared" si="2"/>
        <v>2096.25</v>
      </c>
      <c r="W54" s="207">
        <v>3</v>
      </c>
      <c r="X54" s="215" t="s">
        <v>39</v>
      </c>
      <c r="Y54" s="215" t="s">
        <v>84</v>
      </c>
      <c r="Z54" s="215" t="s">
        <v>90</v>
      </c>
      <c r="AA54" s="215" t="s">
        <v>69</v>
      </c>
      <c r="AB54" s="215" t="s">
        <v>336</v>
      </c>
    </row>
    <row r="55" spans="1:28" x14ac:dyDescent="0.15">
      <c r="A55" s="215" t="s">
        <v>34</v>
      </c>
      <c r="B55" s="207" t="s">
        <v>334</v>
      </c>
      <c r="C55" s="207">
        <v>2018</v>
      </c>
      <c r="D55" s="249" t="s">
        <v>477</v>
      </c>
      <c r="E55" s="236" t="s">
        <v>318</v>
      </c>
      <c r="F55" s="236" t="s">
        <v>319</v>
      </c>
      <c r="G55" s="215" t="s">
        <v>36</v>
      </c>
      <c r="H55" s="207" t="s">
        <v>155</v>
      </c>
      <c r="I55" s="215" t="s">
        <v>153</v>
      </c>
      <c r="J55" s="215" t="s">
        <v>38</v>
      </c>
      <c r="K55" s="215" t="s">
        <v>154</v>
      </c>
      <c r="L55" s="207">
        <v>3</v>
      </c>
      <c r="N55" s="207">
        <v>8</v>
      </c>
      <c r="O55" s="207">
        <v>0.95</v>
      </c>
      <c r="P55" s="207">
        <v>1.05</v>
      </c>
      <c r="Q55" s="244">
        <f t="shared" si="0"/>
        <v>1</v>
      </c>
      <c r="R55" s="207">
        <v>14.2</v>
      </c>
      <c r="S55" s="207">
        <v>82</v>
      </c>
      <c r="T55" s="216">
        <f t="shared" si="1"/>
        <v>39</v>
      </c>
      <c r="U55" s="207">
        <v>430</v>
      </c>
      <c r="V55" s="216">
        <f t="shared" si="2"/>
        <v>2096.25</v>
      </c>
      <c r="W55" s="207">
        <v>3</v>
      </c>
      <c r="X55" s="215" t="s">
        <v>39</v>
      </c>
      <c r="Y55" s="215" t="s">
        <v>84</v>
      </c>
      <c r="Z55" s="215" t="s">
        <v>90</v>
      </c>
      <c r="AA55" s="215" t="s">
        <v>69</v>
      </c>
      <c r="AB55" s="215" t="s">
        <v>336</v>
      </c>
    </row>
    <row r="56" spans="1:28" x14ac:dyDescent="0.15">
      <c r="A56" s="215" t="s">
        <v>34</v>
      </c>
      <c r="B56" s="207" t="s">
        <v>334</v>
      </c>
      <c r="C56" s="207">
        <v>2018</v>
      </c>
      <c r="D56" s="249" t="s">
        <v>477</v>
      </c>
      <c r="E56" s="236" t="s">
        <v>318</v>
      </c>
      <c r="F56" s="236" t="s">
        <v>319</v>
      </c>
      <c r="G56" s="215" t="s">
        <v>36</v>
      </c>
      <c r="H56" s="207" t="s">
        <v>162</v>
      </c>
      <c r="I56" s="215" t="s">
        <v>153</v>
      </c>
      <c r="J56" s="215" t="s">
        <v>38</v>
      </c>
      <c r="K56" s="215" t="s">
        <v>154</v>
      </c>
      <c r="L56" s="215">
        <v>1</v>
      </c>
      <c r="N56" s="207">
        <v>1</v>
      </c>
      <c r="O56" s="207">
        <v>0.55000000000000004</v>
      </c>
      <c r="P56" s="207">
        <v>0.65</v>
      </c>
      <c r="Q56" s="244">
        <f t="shared" si="0"/>
        <v>0.60000000000000009</v>
      </c>
      <c r="R56" s="207">
        <v>14.6</v>
      </c>
      <c r="S56" s="207">
        <v>133</v>
      </c>
      <c r="T56" s="216">
        <f t="shared" si="1"/>
        <v>30</v>
      </c>
      <c r="U56" s="207">
        <v>171</v>
      </c>
      <c r="V56" s="216">
        <f t="shared" si="2"/>
        <v>5130</v>
      </c>
      <c r="W56" s="207">
        <v>2</v>
      </c>
      <c r="X56" s="215" t="s">
        <v>39</v>
      </c>
      <c r="Y56" s="215" t="s">
        <v>84</v>
      </c>
      <c r="Z56" s="215" t="s">
        <v>90</v>
      </c>
      <c r="AA56" s="215" t="s">
        <v>69</v>
      </c>
      <c r="AB56" s="215" t="s">
        <v>336</v>
      </c>
    </row>
    <row r="57" spans="1:28" x14ac:dyDescent="0.15">
      <c r="A57" s="215" t="s">
        <v>34</v>
      </c>
      <c r="B57" s="207" t="s">
        <v>334</v>
      </c>
      <c r="C57" s="207">
        <v>2018</v>
      </c>
      <c r="D57" s="249" t="s">
        <v>477</v>
      </c>
      <c r="E57" s="236" t="s">
        <v>318</v>
      </c>
      <c r="F57" s="236" t="s">
        <v>319</v>
      </c>
      <c r="G57" s="215" t="s">
        <v>36</v>
      </c>
      <c r="H57" s="207" t="s">
        <v>162</v>
      </c>
      <c r="I57" s="215" t="s">
        <v>153</v>
      </c>
      <c r="J57" s="215" t="s">
        <v>38</v>
      </c>
      <c r="K57" s="215" t="s">
        <v>154</v>
      </c>
      <c r="L57" s="207">
        <v>2</v>
      </c>
      <c r="N57" s="207">
        <v>1</v>
      </c>
      <c r="O57" s="207">
        <v>0.6</v>
      </c>
      <c r="P57" s="207">
        <v>0.6</v>
      </c>
      <c r="Q57" s="244">
        <f t="shared" si="0"/>
        <v>0.6</v>
      </c>
      <c r="R57" s="207">
        <v>14.1</v>
      </c>
      <c r="S57" s="207">
        <v>127</v>
      </c>
      <c r="T57" s="216">
        <f t="shared" si="1"/>
        <v>30</v>
      </c>
      <c r="U57" s="207">
        <v>171</v>
      </c>
      <c r="V57" s="216">
        <f t="shared" si="2"/>
        <v>5130</v>
      </c>
      <c r="W57" s="207">
        <v>2</v>
      </c>
      <c r="X57" s="215" t="s">
        <v>39</v>
      </c>
      <c r="Y57" s="215" t="s">
        <v>84</v>
      </c>
      <c r="Z57" s="215" t="s">
        <v>90</v>
      </c>
      <c r="AA57" s="215" t="s">
        <v>69</v>
      </c>
      <c r="AB57" s="215" t="s">
        <v>336</v>
      </c>
    </row>
    <row r="58" spans="1:28" x14ac:dyDescent="0.15">
      <c r="A58" s="215" t="s">
        <v>34</v>
      </c>
      <c r="B58" s="207" t="s">
        <v>334</v>
      </c>
      <c r="C58" s="207">
        <v>2018</v>
      </c>
      <c r="D58" s="249" t="s">
        <v>477</v>
      </c>
      <c r="E58" s="236" t="s">
        <v>318</v>
      </c>
      <c r="F58" s="236" t="s">
        <v>319</v>
      </c>
      <c r="G58" s="215" t="s">
        <v>36</v>
      </c>
      <c r="H58" s="207" t="s">
        <v>162</v>
      </c>
      <c r="I58" s="215" t="s">
        <v>153</v>
      </c>
      <c r="J58" s="215" t="s">
        <v>38</v>
      </c>
      <c r="K58" s="215" t="s">
        <v>154</v>
      </c>
      <c r="L58" s="207">
        <v>3</v>
      </c>
      <c r="N58" s="207">
        <v>1</v>
      </c>
      <c r="O58" s="207">
        <v>0.6</v>
      </c>
      <c r="P58" s="207">
        <v>0.65</v>
      </c>
      <c r="Q58" s="244">
        <f t="shared" si="0"/>
        <v>0.625</v>
      </c>
      <c r="R58" s="207">
        <v>13.9</v>
      </c>
      <c r="S58" s="207">
        <v>134</v>
      </c>
      <c r="T58" s="216">
        <f t="shared" si="1"/>
        <v>30</v>
      </c>
      <c r="U58" s="207">
        <v>171</v>
      </c>
      <c r="V58" s="216">
        <f t="shared" si="2"/>
        <v>5130</v>
      </c>
      <c r="W58" s="207">
        <v>2</v>
      </c>
      <c r="X58" s="215" t="s">
        <v>39</v>
      </c>
      <c r="Y58" s="215" t="s">
        <v>84</v>
      </c>
      <c r="Z58" s="215" t="s">
        <v>90</v>
      </c>
      <c r="AA58" s="215" t="s">
        <v>69</v>
      </c>
      <c r="AB58" s="215" t="s">
        <v>336</v>
      </c>
    </row>
    <row r="59" spans="1:28" x14ac:dyDescent="0.15">
      <c r="A59" s="215" t="s">
        <v>34</v>
      </c>
      <c r="B59" s="207" t="s">
        <v>334</v>
      </c>
      <c r="C59" s="207">
        <v>2018</v>
      </c>
      <c r="D59" s="249" t="s">
        <v>477</v>
      </c>
      <c r="E59" s="236" t="s">
        <v>318</v>
      </c>
      <c r="F59" s="236" t="s">
        <v>319</v>
      </c>
      <c r="G59" s="215" t="s">
        <v>36</v>
      </c>
      <c r="H59" s="207" t="s">
        <v>162</v>
      </c>
      <c r="I59" s="215" t="s">
        <v>153</v>
      </c>
      <c r="J59" s="215" t="s">
        <v>38</v>
      </c>
      <c r="K59" s="215" t="s">
        <v>154</v>
      </c>
      <c r="L59" s="215">
        <v>1</v>
      </c>
      <c r="N59" s="207">
        <v>4</v>
      </c>
      <c r="O59" s="207">
        <v>0.45</v>
      </c>
      <c r="P59" s="207">
        <v>0.2</v>
      </c>
      <c r="Q59" s="244">
        <f t="shared" si="0"/>
        <v>0.32500000000000001</v>
      </c>
      <c r="R59" s="207">
        <v>14</v>
      </c>
      <c r="S59" s="207">
        <v>106</v>
      </c>
      <c r="T59" s="216">
        <f t="shared" si="1"/>
        <v>33</v>
      </c>
      <c r="U59" s="207">
        <v>626</v>
      </c>
      <c r="V59" s="216">
        <f t="shared" si="2"/>
        <v>5164.5</v>
      </c>
      <c r="W59" s="207">
        <v>2</v>
      </c>
      <c r="X59" s="215" t="s">
        <v>39</v>
      </c>
      <c r="Y59" s="215" t="s">
        <v>84</v>
      </c>
      <c r="Z59" s="215" t="s">
        <v>90</v>
      </c>
      <c r="AA59" s="215" t="s">
        <v>69</v>
      </c>
      <c r="AB59" s="215" t="s">
        <v>336</v>
      </c>
    </row>
    <row r="60" spans="1:28" x14ac:dyDescent="0.15">
      <c r="A60" s="215" t="s">
        <v>34</v>
      </c>
      <c r="B60" s="207" t="s">
        <v>334</v>
      </c>
      <c r="C60" s="207">
        <v>2018</v>
      </c>
      <c r="D60" s="249" t="s">
        <v>477</v>
      </c>
      <c r="E60" s="236" t="s">
        <v>318</v>
      </c>
      <c r="F60" s="236" t="s">
        <v>319</v>
      </c>
      <c r="G60" s="215" t="s">
        <v>36</v>
      </c>
      <c r="H60" s="207" t="s">
        <v>162</v>
      </c>
      <c r="I60" s="215" t="s">
        <v>153</v>
      </c>
      <c r="J60" s="215" t="s">
        <v>38</v>
      </c>
      <c r="K60" s="215" t="s">
        <v>154</v>
      </c>
      <c r="L60" s="207">
        <v>2</v>
      </c>
      <c r="N60" s="207">
        <v>4</v>
      </c>
      <c r="O60" s="207">
        <v>0.5</v>
      </c>
      <c r="P60" s="207">
        <v>0.2</v>
      </c>
      <c r="Q60" s="244">
        <f t="shared" si="0"/>
        <v>0.35</v>
      </c>
      <c r="R60" s="207">
        <v>14.3</v>
      </c>
      <c r="S60" s="207">
        <v>101</v>
      </c>
      <c r="T60" s="216">
        <f t="shared" si="1"/>
        <v>33</v>
      </c>
      <c r="U60" s="207">
        <v>626</v>
      </c>
      <c r="V60" s="216">
        <f t="shared" si="2"/>
        <v>5164.5</v>
      </c>
      <c r="W60" s="207">
        <v>2</v>
      </c>
      <c r="X60" s="215" t="s">
        <v>39</v>
      </c>
      <c r="Y60" s="215" t="s">
        <v>84</v>
      </c>
      <c r="Z60" s="215" t="s">
        <v>90</v>
      </c>
      <c r="AA60" s="215" t="s">
        <v>69</v>
      </c>
      <c r="AB60" s="215" t="s">
        <v>336</v>
      </c>
    </row>
    <row r="61" spans="1:28" x14ac:dyDescent="0.15">
      <c r="A61" s="215" t="s">
        <v>34</v>
      </c>
      <c r="B61" s="207" t="s">
        <v>334</v>
      </c>
      <c r="C61" s="207">
        <v>2018</v>
      </c>
      <c r="D61" s="249" t="s">
        <v>477</v>
      </c>
      <c r="E61" s="236" t="s">
        <v>318</v>
      </c>
      <c r="F61" s="236" t="s">
        <v>319</v>
      </c>
      <c r="G61" s="215" t="s">
        <v>36</v>
      </c>
      <c r="H61" s="207" t="s">
        <v>162</v>
      </c>
      <c r="I61" s="215" t="s">
        <v>153</v>
      </c>
      <c r="J61" s="215" t="s">
        <v>38</v>
      </c>
      <c r="K61" s="215" t="s">
        <v>154</v>
      </c>
      <c r="L61" s="207">
        <v>3</v>
      </c>
      <c r="N61" s="207">
        <v>4</v>
      </c>
      <c r="O61" s="207">
        <v>0.45</v>
      </c>
      <c r="P61" s="207">
        <v>0.2</v>
      </c>
      <c r="Q61" s="244">
        <f t="shared" si="0"/>
        <v>0.32500000000000001</v>
      </c>
      <c r="R61" s="207">
        <v>14.3</v>
      </c>
      <c r="S61" s="207">
        <v>93</v>
      </c>
      <c r="T61" s="216">
        <f t="shared" si="1"/>
        <v>36</v>
      </c>
      <c r="U61" s="207">
        <v>626</v>
      </c>
      <c r="V61" s="216">
        <f t="shared" si="2"/>
        <v>5634</v>
      </c>
      <c r="W61" s="207">
        <v>2</v>
      </c>
      <c r="X61" s="215" t="s">
        <v>39</v>
      </c>
      <c r="Y61" s="215" t="s">
        <v>84</v>
      </c>
      <c r="Z61" s="215" t="s">
        <v>90</v>
      </c>
      <c r="AA61" s="215" t="s">
        <v>69</v>
      </c>
      <c r="AB61" s="215" t="s">
        <v>336</v>
      </c>
    </row>
    <row r="62" spans="1:28" x14ac:dyDescent="0.15">
      <c r="A62" s="215" t="s">
        <v>34</v>
      </c>
      <c r="B62" s="207" t="s">
        <v>334</v>
      </c>
      <c r="C62" s="207">
        <v>2018</v>
      </c>
      <c r="D62" s="249" t="s">
        <v>477</v>
      </c>
      <c r="E62" s="236" t="s">
        <v>318</v>
      </c>
      <c r="F62" s="236" t="s">
        <v>319</v>
      </c>
      <c r="G62" s="215" t="s">
        <v>36</v>
      </c>
      <c r="H62" s="207" t="s">
        <v>129</v>
      </c>
      <c r="I62" s="215" t="s">
        <v>153</v>
      </c>
      <c r="J62" s="215" t="s">
        <v>58</v>
      </c>
      <c r="K62" s="215" t="s">
        <v>59</v>
      </c>
      <c r="L62" s="215">
        <v>1</v>
      </c>
      <c r="N62" s="207">
        <v>5</v>
      </c>
      <c r="O62" s="207">
        <v>0.55000000000000004</v>
      </c>
      <c r="P62" s="207">
        <v>0.65</v>
      </c>
      <c r="Q62" s="244">
        <f t="shared" si="0"/>
        <v>0.60000000000000009</v>
      </c>
      <c r="R62" s="207">
        <v>13.9</v>
      </c>
      <c r="S62" s="207">
        <v>57</v>
      </c>
      <c r="T62" s="216">
        <f t="shared" si="1"/>
        <v>50</v>
      </c>
      <c r="U62" s="207">
        <v>538</v>
      </c>
      <c r="V62" s="216">
        <f t="shared" si="2"/>
        <v>5380</v>
      </c>
      <c r="W62" s="207">
        <v>1</v>
      </c>
      <c r="X62" s="215" t="s">
        <v>39</v>
      </c>
      <c r="Y62" s="215" t="s">
        <v>84</v>
      </c>
      <c r="Z62" s="215" t="s">
        <v>90</v>
      </c>
      <c r="AA62" s="215" t="s">
        <v>69</v>
      </c>
      <c r="AB62" s="215" t="s">
        <v>336</v>
      </c>
    </row>
    <row r="63" spans="1:28" x14ac:dyDescent="0.15">
      <c r="A63" s="215" t="s">
        <v>34</v>
      </c>
      <c r="B63" s="207" t="s">
        <v>334</v>
      </c>
      <c r="C63" s="207">
        <v>2018</v>
      </c>
      <c r="D63" s="249" t="s">
        <v>477</v>
      </c>
      <c r="E63" s="236" t="s">
        <v>318</v>
      </c>
      <c r="F63" s="236" t="s">
        <v>319</v>
      </c>
      <c r="G63" s="215" t="s">
        <v>36</v>
      </c>
      <c r="H63" s="207" t="s">
        <v>129</v>
      </c>
      <c r="I63" s="215" t="s">
        <v>153</v>
      </c>
      <c r="J63" s="215" t="s">
        <v>58</v>
      </c>
      <c r="K63" s="215" t="s">
        <v>59</v>
      </c>
      <c r="L63" s="207">
        <v>2</v>
      </c>
      <c r="N63" s="207">
        <v>5</v>
      </c>
      <c r="O63" s="207">
        <v>0.6</v>
      </c>
      <c r="P63" s="207">
        <v>0.6</v>
      </c>
      <c r="Q63" s="244">
        <f t="shared" si="0"/>
        <v>0.6</v>
      </c>
      <c r="R63" s="207">
        <v>16.5</v>
      </c>
      <c r="S63" s="207">
        <v>59</v>
      </c>
      <c r="T63" s="216">
        <f t="shared" si="1"/>
        <v>50</v>
      </c>
      <c r="U63" s="207">
        <v>538</v>
      </c>
      <c r="V63" s="216">
        <f t="shared" si="2"/>
        <v>5380</v>
      </c>
      <c r="W63" s="207">
        <v>1</v>
      </c>
      <c r="X63" s="215" t="s">
        <v>39</v>
      </c>
      <c r="Y63" s="215" t="s">
        <v>84</v>
      </c>
      <c r="Z63" s="215" t="s">
        <v>90</v>
      </c>
      <c r="AA63" s="215" t="s">
        <v>69</v>
      </c>
      <c r="AB63" s="215" t="s">
        <v>336</v>
      </c>
    </row>
    <row r="64" spans="1:28" x14ac:dyDescent="0.15">
      <c r="A64" s="215" t="s">
        <v>34</v>
      </c>
      <c r="B64" s="207" t="s">
        <v>334</v>
      </c>
      <c r="C64" s="207">
        <v>2018</v>
      </c>
      <c r="D64" s="249" t="s">
        <v>477</v>
      </c>
      <c r="E64" s="236" t="s">
        <v>318</v>
      </c>
      <c r="F64" s="236" t="s">
        <v>319</v>
      </c>
      <c r="G64" s="215" t="s">
        <v>36</v>
      </c>
      <c r="H64" s="207" t="s">
        <v>129</v>
      </c>
      <c r="I64" s="215" t="s">
        <v>153</v>
      </c>
      <c r="J64" s="215" t="s">
        <v>58</v>
      </c>
      <c r="K64" s="215" t="s">
        <v>59</v>
      </c>
      <c r="L64" s="207">
        <v>3</v>
      </c>
      <c r="N64" s="207">
        <v>5</v>
      </c>
      <c r="O64" s="207">
        <v>0.2</v>
      </c>
      <c r="P64" s="207">
        <v>0.2</v>
      </c>
      <c r="Q64" s="244">
        <f t="shared" si="0"/>
        <v>0.2</v>
      </c>
      <c r="R64" s="207">
        <v>17.5</v>
      </c>
      <c r="S64" s="207">
        <v>58</v>
      </c>
      <c r="T64" s="216">
        <f t="shared" si="1"/>
        <v>50</v>
      </c>
      <c r="U64" s="207">
        <v>538</v>
      </c>
      <c r="V64" s="216">
        <f t="shared" si="2"/>
        <v>5380</v>
      </c>
      <c r="W64" s="207">
        <v>1</v>
      </c>
      <c r="X64" s="215" t="s">
        <v>39</v>
      </c>
      <c r="Y64" s="215" t="s">
        <v>84</v>
      </c>
      <c r="Z64" s="215" t="s">
        <v>90</v>
      </c>
      <c r="AA64" s="215" t="s">
        <v>69</v>
      </c>
      <c r="AB64" s="215" t="s">
        <v>336</v>
      </c>
    </row>
    <row r="65" spans="1:28" x14ac:dyDescent="0.15">
      <c r="A65" s="215" t="s">
        <v>34</v>
      </c>
      <c r="B65" s="207" t="s">
        <v>334</v>
      </c>
      <c r="C65" s="207">
        <v>2018</v>
      </c>
      <c r="D65" s="249" t="s">
        <v>477</v>
      </c>
      <c r="E65" s="236" t="s">
        <v>320</v>
      </c>
      <c r="F65" s="236" t="s">
        <v>321</v>
      </c>
      <c r="G65" s="215" t="s">
        <v>36</v>
      </c>
      <c r="H65" s="207" t="s">
        <v>155</v>
      </c>
      <c r="I65" s="215" t="s">
        <v>153</v>
      </c>
      <c r="J65" s="215" t="s">
        <v>38</v>
      </c>
      <c r="K65" s="215" t="s">
        <v>154</v>
      </c>
      <c r="L65" s="215">
        <v>1</v>
      </c>
      <c r="N65" s="207">
        <v>1</v>
      </c>
      <c r="O65" s="207">
        <v>0.85</v>
      </c>
      <c r="P65" s="207">
        <v>1</v>
      </c>
      <c r="Q65" s="244">
        <f t="shared" si="0"/>
        <v>0.92500000000000004</v>
      </c>
      <c r="R65" s="207">
        <v>14.9</v>
      </c>
      <c r="S65" s="207">
        <v>140</v>
      </c>
      <c r="T65" s="216">
        <f t="shared" si="1"/>
        <v>30</v>
      </c>
      <c r="U65" s="207">
        <v>108</v>
      </c>
      <c r="V65" s="216">
        <f t="shared" si="2"/>
        <v>3240</v>
      </c>
      <c r="W65" s="207">
        <v>3</v>
      </c>
      <c r="X65" s="215" t="s">
        <v>46</v>
      </c>
      <c r="Y65" s="215" t="s">
        <v>84</v>
      </c>
      <c r="Z65" s="215" t="s">
        <v>50</v>
      </c>
      <c r="AA65" s="215" t="s">
        <v>90</v>
      </c>
      <c r="AB65" s="215" t="s">
        <v>336</v>
      </c>
    </row>
    <row r="66" spans="1:28" x14ac:dyDescent="0.15">
      <c r="A66" s="215" t="s">
        <v>34</v>
      </c>
      <c r="B66" s="207" t="s">
        <v>334</v>
      </c>
      <c r="C66" s="207">
        <v>2018</v>
      </c>
      <c r="D66" s="249" t="s">
        <v>477</v>
      </c>
      <c r="E66" s="236" t="s">
        <v>320</v>
      </c>
      <c r="F66" s="236" t="s">
        <v>321</v>
      </c>
      <c r="G66" s="215" t="s">
        <v>36</v>
      </c>
      <c r="H66" s="207" t="s">
        <v>155</v>
      </c>
      <c r="I66" s="215" t="s">
        <v>153</v>
      </c>
      <c r="J66" s="215" t="s">
        <v>38</v>
      </c>
      <c r="K66" s="215" t="s">
        <v>154</v>
      </c>
      <c r="L66" s="207">
        <v>2</v>
      </c>
      <c r="N66" s="207">
        <v>1</v>
      </c>
      <c r="O66" s="207">
        <v>0.85</v>
      </c>
      <c r="P66" s="207">
        <v>0.8</v>
      </c>
      <c r="Q66" s="244">
        <f t="shared" si="0"/>
        <v>0.82499999999999996</v>
      </c>
      <c r="R66" s="207">
        <v>11.2</v>
      </c>
      <c r="S66" s="207">
        <v>136</v>
      </c>
      <c r="T66" s="216">
        <f t="shared" si="1"/>
        <v>30</v>
      </c>
      <c r="U66" s="207">
        <v>108</v>
      </c>
      <c r="V66" s="216">
        <f t="shared" si="2"/>
        <v>3240</v>
      </c>
      <c r="W66" s="207">
        <v>3</v>
      </c>
      <c r="X66" s="215" t="s">
        <v>46</v>
      </c>
      <c r="Y66" s="215" t="s">
        <v>84</v>
      </c>
      <c r="Z66" s="215" t="s">
        <v>50</v>
      </c>
      <c r="AA66" s="215" t="s">
        <v>90</v>
      </c>
      <c r="AB66" s="215" t="s">
        <v>336</v>
      </c>
    </row>
    <row r="67" spans="1:28" x14ac:dyDescent="0.15">
      <c r="A67" s="215" t="s">
        <v>34</v>
      </c>
      <c r="B67" s="207" t="s">
        <v>334</v>
      </c>
      <c r="C67" s="207">
        <v>2018</v>
      </c>
      <c r="D67" s="249" t="s">
        <v>477</v>
      </c>
      <c r="E67" s="236" t="s">
        <v>320</v>
      </c>
      <c r="F67" s="236" t="s">
        <v>321</v>
      </c>
      <c r="G67" s="215" t="s">
        <v>36</v>
      </c>
      <c r="H67" s="207" t="s">
        <v>155</v>
      </c>
      <c r="I67" s="215" t="s">
        <v>153</v>
      </c>
      <c r="J67" s="215" t="s">
        <v>38</v>
      </c>
      <c r="K67" s="215" t="s">
        <v>154</v>
      </c>
      <c r="L67" s="207">
        <v>3</v>
      </c>
      <c r="N67" s="207">
        <v>1</v>
      </c>
      <c r="O67" s="207">
        <v>1.1000000000000001</v>
      </c>
      <c r="P67" s="207">
        <v>1.1499999999999999</v>
      </c>
      <c r="Q67" s="244">
        <f t="shared" si="0"/>
        <v>1.125</v>
      </c>
      <c r="R67" s="207">
        <v>14</v>
      </c>
      <c r="S67" s="207">
        <v>140</v>
      </c>
      <c r="T67" s="216">
        <f t="shared" si="1"/>
        <v>30</v>
      </c>
      <c r="U67" s="207">
        <v>108</v>
      </c>
      <c r="V67" s="216">
        <f t="shared" si="2"/>
        <v>3240</v>
      </c>
      <c r="W67" s="207">
        <v>3</v>
      </c>
      <c r="X67" s="215" t="s">
        <v>46</v>
      </c>
      <c r="Y67" s="215" t="s">
        <v>84</v>
      </c>
      <c r="Z67" s="215" t="s">
        <v>50</v>
      </c>
      <c r="AA67" s="215" t="s">
        <v>90</v>
      </c>
      <c r="AB67" s="215" t="s">
        <v>336</v>
      </c>
    </row>
    <row r="68" spans="1:28" x14ac:dyDescent="0.15">
      <c r="A68" s="215" t="s">
        <v>34</v>
      </c>
      <c r="B68" s="207" t="s">
        <v>334</v>
      </c>
      <c r="C68" s="207">
        <v>2018</v>
      </c>
      <c r="D68" s="249" t="s">
        <v>477</v>
      </c>
      <c r="E68" s="236" t="s">
        <v>320</v>
      </c>
      <c r="F68" s="236" t="s">
        <v>321</v>
      </c>
      <c r="G68" s="215" t="s">
        <v>36</v>
      </c>
      <c r="H68" s="207" t="s">
        <v>155</v>
      </c>
      <c r="I68" s="215" t="s">
        <v>153</v>
      </c>
      <c r="J68" s="215" t="s">
        <v>38</v>
      </c>
      <c r="K68" s="215" t="s">
        <v>154</v>
      </c>
      <c r="L68" s="215">
        <v>1</v>
      </c>
      <c r="N68" s="207">
        <v>4</v>
      </c>
      <c r="O68" s="207">
        <v>1.05</v>
      </c>
      <c r="P68" s="207">
        <v>0.9</v>
      </c>
      <c r="Q68" s="244">
        <f t="shared" si="0"/>
        <v>0.97500000000000009</v>
      </c>
      <c r="R68" s="207">
        <v>9.9</v>
      </c>
      <c r="S68" s="207">
        <v>94</v>
      </c>
      <c r="T68" s="216">
        <f t="shared" si="1"/>
        <v>36</v>
      </c>
      <c r="U68" s="207">
        <v>321</v>
      </c>
      <c r="V68" s="216">
        <f t="shared" si="2"/>
        <v>2889</v>
      </c>
      <c r="W68" s="207">
        <v>3</v>
      </c>
      <c r="X68" s="215" t="s">
        <v>46</v>
      </c>
      <c r="Y68" s="215" t="s">
        <v>84</v>
      </c>
      <c r="Z68" s="215" t="s">
        <v>50</v>
      </c>
      <c r="AA68" s="215" t="s">
        <v>90</v>
      </c>
      <c r="AB68" s="215" t="s">
        <v>336</v>
      </c>
    </row>
    <row r="69" spans="1:28" x14ac:dyDescent="0.15">
      <c r="A69" s="215" t="s">
        <v>34</v>
      </c>
      <c r="B69" s="207" t="s">
        <v>334</v>
      </c>
      <c r="C69" s="207">
        <v>2018</v>
      </c>
      <c r="D69" s="249" t="s">
        <v>477</v>
      </c>
      <c r="E69" s="236" t="s">
        <v>320</v>
      </c>
      <c r="F69" s="236" t="s">
        <v>321</v>
      </c>
      <c r="G69" s="215" t="s">
        <v>36</v>
      </c>
      <c r="H69" s="207" t="s">
        <v>155</v>
      </c>
      <c r="I69" s="215" t="s">
        <v>153</v>
      </c>
      <c r="J69" s="215" t="s">
        <v>38</v>
      </c>
      <c r="K69" s="215" t="s">
        <v>154</v>
      </c>
      <c r="L69" s="207">
        <v>2</v>
      </c>
      <c r="N69" s="207">
        <v>4</v>
      </c>
      <c r="O69" s="207">
        <v>0.95</v>
      </c>
      <c r="P69" s="207">
        <v>1</v>
      </c>
      <c r="Q69" s="244">
        <f t="shared" si="0"/>
        <v>0.97499999999999998</v>
      </c>
      <c r="R69" s="207">
        <v>10.7</v>
      </c>
      <c r="S69" s="207">
        <v>88</v>
      </c>
      <c r="T69" s="216">
        <f t="shared" si="1"/>
        <v>36</v>
      </c>
      <c r="U69" s="207">
        <v>321</v>
      </c>
      <c r="V69" s="216">
        <f t="shared" si="2"/>
        <v>2889</v>
      </c>
      <c r="W69" s="207">
        <v>3</v>
      </c>
      <c r="X69" s="215" t="s">
        <v>46</v>
      </c>
      <c r="Y69" s="215" t="s">
        <v>84</v>
      </c>
      <c r="Z69" s="215" t="s">
        <v>50</v>
      </c>
      <c r="AA69" s="215" t="s">
        <v>90</v>
      </c>
      <c r="AB69" s="215" t="s">
        <v>336</v>
      </c>
    </row>
    <row r="70" spans="1:28" x14ac:dyDescent="0.15">
      <c r="A70" s="215" t="s">
        <v>34</v>
      </c>
      <c r="B70" s="207" t="s">
        <v>334</v>
      </c>
      <c r="C70" s="207">
        <v>2018</v>
      </c>
      <c r="D70" s="249" t="s">
        <v>477</v>
      </c>
      <c r="E70" s="236" t="s">
        <v>320</v>
      </c>
      <c r="F70" s="236" t="s">
        <v>321</v>
      </c>
      <c r="G70" s="215" t="s">
        <v>36</v>
      </c>
      <c r="H70" s="207" t="s">
        <v>155</v>
      </c>
      <c r="I70" s="215" t="s">
        <v>153</v>
      </c>
      <c r="J70" s="215" t="s">
        <v>38</v>
      </c>
      <c r="K70" s="215" t="s">
        <v>154</v>
      </c>
      <c r="L70" s="207">
        <v>3</v>
      </c>
      <c r="N70" s="207">
        <v>4</v>
      </c>
      <c r="O70" s="207">
        <v>1.1499999999999999</v>
      </c>
      <c r="P70" s="207">
        <v>1.25</v>
      </c>
      <c r="Q70" s="244">
        <f t="shared" si="0"/>
        <v>1.2</v>
      </c>
      <c r="R70" s="207">
        <v>10.199999999999999</v>
      </c>
      <c r="S70" s="207">
        <v>91</v>
      </c>
      <c r="T70" s="216">
        <f t="shared" si="1"/>
        <v>36</v>
      </c>
      <c r="U70" s="207">
        <v>321</v>
      </c>
      <c r="V70" s="216">
        <f t="shared" si="2"/>
        <v>2889</v>
      </c>
      <c r="W70" s="207">
        <v>3</v>
      </c>
      <c r="X70" s="215" t="s">
        <v>46</v>
      </c>
      <c r="Y70" s="215" t="s">
        <v>84</v>
      </c>
      <c r="Z70" s="215" t="s">
        <v>50</v>
      </c>
      <c r="AA70" s="215" t="s">
        <v>90</v>
      </c>
      <c r="AB70" s="215" t="s">
        <v>336</v>
      </c>
    </row>
    <row r="71" spans="1:28" x14ac:dyDescent="0.15">
      <c r="A71" s="215" t="s">
        <v>34</v>
      </c>
      <c r="B71" s="207" t="s">
        <v>334</v>
      </c>
      <c r="C71" s="207">
        <v>2018</v>
      </c>
      <c r="D71" s="249" t="s">
        <v>477</v>
      </c>
      <c r="E71" s="236" t="s">
        <v>320</v>
      </c>
      <c r="F71" s="236" t="s">
        <v>321</v>
      </c>
      <c r="G71" s="215" t="s">
        <v>36</v>
      </c>
      <c r="H71" s="207" t="s">
        <v>162</v>
      </c>
      <c r="I71" s="215" t="s">
        <v>153</v>
      </c>
      <c r="J71" s="215" t="s">
        <v>38</v>
      </c>
      <c r="K71" s="215" t="s">
        <v>154</v>
      </c>
      <c r="L71" s="215">
        <v>1</v>
      </c>
      <c r="N71" s="207">
        <v>1</v>
      </c>
      <c r="O71" s="207">
        <v>0.5</v>
      </c>
      <c r="P71" s="207">
        <v>0.5</v>
      </c>
      <c r="Q71" s="244">
        <f t="shared" si="0"/>
        <v>0.5</v>
      </c>
      <c r="R71" s="207">
        <v>14.9</v>
      </c>
      <c r="S71" s="207">
        <v>141</v>
      </c>
      <c r="T71" s="216">
        <f t="shared" si="1"/>
        <v>30</v>
      </c>
      <c r="U71" s="207">
        <v>138</v>
      </c>
      <c r="V71" s="216">
        <f t="shared" si="2"/>
        <v>4140</v>
      </c>
      <c r="W71" s="207">
        <v>3</v>
      </c>
      <c r="X71" s="215" t="s">
        <v>46</v>
      </c>
      <c r="Y71" s="215" t="s">
        <v>84</v>
      </c>
      <c r="Z71" s="215" t="s">
        <v>50</v>
      </c>
      <c r="AA71" s="215" t="s">
        <v>90</v>
      </c>
      <c r="AB71" s="215" t="s">
        <v>336</v>
      </c>
    </row>
    <row r="72" spans="1:28" x14ac:dyDescent="0.15">
      <c r="A72" s="215" t="s">
        <v>34</v>
      </c>
      <c r="B72" s="207" t="s">
        <v>334</v>
      </c>
      <c r="C72" s="207">
        <v>2018</v>
      </c>
      <c r="D72" s="249" t="s">
        <v>477</v>
      </c>
      <c r="E72" s="236" t="s">
        <v>320</v>
      </c>
      <c r="F72" s="236" t="s">
        <v>321</v>
      </c>
      <c r="G72" s="215" t="s">
        <v>36</v>
      </c>
      <c r="H72" s="207" t="s">
        <v>162</v>
      </c>
      <c r="I72" s="215" t="s">
        <v>153</v>
      </c>
      <c r="J72" s="215" t="s">
        <v>38</v>
      </c>
      <c r="K72" s="215" t="s">
        <v>154</v>
      </c>
      <c r="L72" s="207">
        <v>2</v>
      </c>
      <c r="N72" s="207">
        <v>1</v>
      </c>
      <c r="O72" s="207">
        <v>0.6</v>
      </c>
      <c r="P72" s="207">
        <v>0.2</v>
      </c>
      <c r="Q72" s="244">
        <f t="shared" si="0"/>
        <v>0.4</v>
      </c>
      <c r="R72" s="207">
        <v>15.4</v>
      </c>
      <c r="S72" s="207">
        <v>145</v>
      </c>
      <c r="T72" s="216">
        <f t="shared" si="1"/>
        <v>30</v>
      </c>
      <c r="U72" s="207">
        <v>138</v>
      </c>
      <c r="V72" s="216">
        <f t="shared" si="2"/>
        <v>4140</v>
      </c>
      <c r="W72" s="207">
        <v>3</v>
      </c>
      <c r="X72" s="215" t="s">
        <v>46</v>
      </c>
      <c r="Y72" s="215" t="s">
        <v>84</v>
      </c>
      <c r="Z72" s="215" t="s">
        <v>50</v>
      </c>
      <c r="AA72" s="215" t="s">
        <v>90</v>
      </c>
      <c r="AB72" s="215" t="s">
        <v>336</v>
      </c>
    </row>
    <row r="73" spans="1:28" x14ac:dyDescent="0.15">
      <c r="A73" s="215" t="s">
        <v>34</v>
      </c>
      <c r="B73" s="207" t="s">
        <v>334</v>
      </c>
      <c r="C73" s="207">
        <v>2018</v>
      </c>
      <c r="D73" s="249" t="s">
        <v>477</v>
      </c>
      <c r="E73" s="236" t="s">
        <v>320</v>
      </c>
      <c r="F73" s="236" t="s">
        <v>321</v>
      </c>
      <c r="G73" s="215" t="s">
        <v>36</v>
      </c>
      <c r="H73" s="207" t="s">
        <v>162</v>
      </c>
      <c r="I73" s="215" t="s">
        <v>153</v>
      </c>
      <c r="J73" s="215" t="s">
        <v>38</v>
      </c>
      <c r="K73" s="215" t="s">
        <v>154</v>
      </c>
      <c r="L73" s="207">
        <v>3</v>
      </c>
      <c r="N73" s="207">
        <v>1</v>
      </c>
      <c r="O73" s="207">
        <v>0.5</v>
      </c>
      <c r="P73" s="207">
        <v>0.2</v>
      </c>
      <c r="Q73" s="244">
        <f t="shared" si="0"/>
        <v>0.35</v>
      </c>
      <c r="R73" s="207">
        <v>16.2</v>
      </c>
      <c r="S73" s="207">
        <v>139</v>
      </c>
      <c r="T73" s="216">
        <f t="shared" si="1"/>
        <v>30</v>
      </c>
      <c r="U73" s="207">
        <v>138</v>
      </c>
      <c r="V73" s="216">
        <f t="shared" si="2"/>
        <v>4140</v>
      </c>
      <c r="W73" s="207">
        <v>3</v>
      </c>
      <c r="X73" s="215" t="s">
        <v>46</v>
      </c>
      <c r="Y73" s="215" t="s">
        <v>84</v>
      </c>
      <c r="Z73" s="215" t="s">
        <v>50</v>
      </c>
      <c r="AA73" s="215" t="s">
        <v>90</v>
      </c>
      <c r="AB73" s="215" t="s">
        <v>336</v>
      </c>
    </row>
    <row r="74" spans="1:28" x14ac:dyDescent="0.15">
      <c r="A74" s="215" t="s">
        <v>34</v>
      </c>
      <c r="B74" s="207" t="s">
        <v>334</v>
      </c>
      <c r="C74" s="207">
        <v>2018</v>
      </c>
      <c r="D74" s="249" t="s">
        <v>477</v>
      </c>
      <c r="E74" s="236" t="s">
        <v>320</v>
      </c>
      <c r="F74" s="236" t="s">
        <v>321</v>
      </c>
      <c r="G74" s="215" t="s">
        <v>36</v>
      </c>
      <c r="H74" s="207" t="s">
        <v>162</v>
      </c>
      <c r="I74" s="215" t="s">
        <v>153</v>
      </c>
      <c r="J74" s="215" t="s">
        <v>38</v>
      </c>
      <c r="K74" s="215" t="s">
        <v>154</v>
      </c>
      <c r="L74" s="215">
        <v>1</v>
      </c>
      <c r="N74" s="207">
        <v>4</v>
      </c>
      <c r="O74" s="207">
        <v>0.5</v>
      </c>
      <c r="P74" s="207">
        <v>0.55000000000000004</v>
      </c>
      <c r="Q74" s="244">
        <f t="shared" si="0"/>
        <v>0.52500000000000002</v>
      </c>
      <c r="R74" s="207">
        <v>14.3</v>
      </c>
      <c r="S74" s="207">
        <v>108</v>
      </c>
      <c r="T74" s="216">
        <f t="shared" si="1"/>
        <v>33</v>
      </c>
      <c r="U74" s="207">
        <v>429</v>
      </c>
      <c r="V74" s="216">
        <f t="shared" si="2"/>
        <v>3539.25</v>
      </c>
      <c r="W74" s="207">
        <v>3</v>
      </c>
      <c r="X74" s="215" t="s">
        <v>46</v>
      </c>
      <c r="Y74" s="215" t="s">
        <v>84</v>
      </c>
      <c r="Z74" s="215" t="s">
        <v>50</v>
      </c>
      <c r="AA74" s="215" t="s">
        <v>90</v>
      </c>
      <c r="AB74" s="215" t="s">
        <v>336</v>
      </c>
    </row>
    <row r="75" spans="1:28" x14ac:dyDescent="0.15">
      <c r="A75" s="215" t="s">
        <v>34</v>
      </c>
      <c r="B75" s="207" t="s">
        <v>334</v>
      </c>
      <c r="C75" s="207">
        <v>2018</v>
      </c>
      <c r="D75" s="249" t="s">
        <v>477</v>
      </c>
      <c r="E75" s="236" t="s">
        <v>320</v>
      </c>
      <c r="F75" s="236" t="s">
        <v>321</v>
      </c>
      <c r="G75" s="215" t="s">
        <v>36</v>
      </c>
      <c r="H75" s="207" t="s">
        <v>162</v>
      </c>
      <c r="I75" s="215" t="s">
        <v>153</v>
      </c>
      <c r="J75" s="215" t="s">
        <v>38</v>
      </c>
      <c r="K75" s="215" t="s">
        <v>154</v>
      </c>
      <c r="L75" s="207">
        <v>2</v>
      </c>
      <c r="N75" s="207">
        <v>4</v>
      </c>
      <c r="O75" s="207">
        <v>0.45</v>
      </c>
      <c r="P75" s="207">
        <v>0.55000000000000004</v>
      </c>
      <c r="Q75" s="244">
        <f t="shared" si="0"/>
        <v>0.5</v>
      </c>
      <c r="R75" s="207">
        <v>14.2</v>
      </c>
      <c r="S75" s="207">
        <v>111</v>
      </c>
      <c r="T75" s="216">
        <f t="shared" si="1"/>
        <v>33</v>
      </c>
      <c r="U75" s="207">
        <v>429</v>
      </c>
      <c r="V75" s="216">
        <f t="shared" si="2"/>
        <v>3539.25</v>
      </c>
      <c r="W75" s="207">
        <v>3</v>
      </c>
      <c r="X75" s="215" t="s">
        <v>46</v>
      </c>
      <c r="Y75" s="215" t="s">
        <v>84</v>
      </c>
      <c r="Z75" s="215" t="s">
        <v>50</v>
      </c>
      <c r="AA75" s="215" t="s">
        <v>90</v>
      </c>
      <c r="AB75" s="215" t="s">
        <v>336</v>
      </c>
    </row>
    <row r="76" spans="1:28" x14ac:dyDescent="0.15">
      <c r="A76" s="215" t="s">
        <v>34</v>
      </c>
      <c r="B76" s="207" t="s">
        <v>334</v>
      </c>
      <c r="C76" s="207">
        <v>2018</v>
      </c>
      <c r="D76" s="249" t="s">
        <v>477</v>
      </c>
      <c r="E76" s="236" t="s">
        <v>320</v>
      </c>
      <c r="F76" s="236" t="s">
        <v>321</v>
      </c>
      <c r="G76" s="215" t="s">
        <v>36</v>
      </c>
      <c r="H76" s="207" t="s">
        <v>162</v>
      </c>
      <c r="I76" s="215" t="s">
        <v>153</v>
      </c>
      <c r="J76" s="215" t="s">
        <v>38</v>
      </c>
      <c r="K76" s="215" t="s">
        <v>154</v>
      </c>
      <c r="L76" s="207">
        <v>3</v>
      </c>
      <c r="N76" s="207">
        <v>4</v>
      </c>
      <c r="O76" s="207">
        <v>0.5</v>
      </c>
      <c r="P76" s="207">
        <v>0.55000000000000004</v>
      </c>
      <c r="Q76" s="244">
        <f t="shared" si="0"/>
        <v>0.52500000000000002</v>
      </c>
      <c r="R76" s="207">
        <v>14.6</v>
      </c>
      <c r="S76" s="207">
        <v>116</v>
      </c>
      <c r="T76" s="216">
        <f t="shared" si="1"/>
        <v>30</v>
      </c>
      <c r="U76" s="207">
        <v>429</v>
      </c>
      <c r="V76" s="216">
        <f t="shared" si="2"/>
        <v>3217.5</v>
      </c>
      <c r="W76" s="207">
        <v>3</v>
      </c>
      <c r="X76" s="215" t="s">
        <v>46</v>
      </c>
      <c r="Y76" s="215" t="s">
        <v>84</v>
      </c>
      <c r="Z76" s="215" t="s">
        <v>50</v>
      </c>
      <c r="AA76" s="215" t="s">
        <v>90</v>
      </c>
      <c r="AB76" s="215" t="s">
        <v>336</v>
      </c>
    </row>
    <row r="77" spans="1:28" x14ac:dyDescent="0.15">
      <c r="A77" s="215" t="s">
        <v>34</v>
      </c>
      <c r="B77" s="207" t="s">
        <v>334</v>
      </c>
      <c r="C77" s="207">
        <v>2018</v>
      </c>
      <c r="D77" s="249" t="s">
        <v>477</v>
      </c>
      <c r="E77" s="236" t="s">
        <v>322</v>
      </c>
      <c r="F77" s="236" t="s">
        <v>323</v>
      </c>
      <c r="G77" s="215" t="s">
        <v>36</v>
      </c>
      <c r="H77" s="207" t="s">
        <v>155</v>
      </c>
      <c r="I77" s="215" t="s">
        <v>153</v>
      </c>
      <c r="J77" s="215" t="s">
        <v>38</v>
      </c>
      <c r="K77" s="215" t="s">
        <v>154</v>
      </c>
      <c r="L77" s="215">
        <v>1</v>
      </c>
      <c r="N77" s="207">
        <v>1</v>
      </c>
      <c r="O77" s="207">
        <v>0.45</v>
      </c>
      <c r="P77" s="207">
        <v>0.6</v>
      </c>
      <c r="Q77" s="244">
        <f t="shared" si="0"/>
        <v>0.52500000000000002</v>
      </c>
      <c r="R77" s="207">
        <v>14.9</v>
      </c>
      <c r="S77" s="207">
        <v>119</v>
      </c>
      <c r="T77" s="216">
        <f t="shared" si="1"/>
        <v>30</v>
      </c>
      <c r="U77" s="207">
        <v>108</v>
      </c>
      <c r="V77" s="216">
        <f t="shared" si="2"/>
        <v>3240</v>
      </c>
      <c r="W77" s="207">
        <v>5</v>
      </c>
      <c r="X77" s="215" t="s">
        <v>46</v>
      </c>
      <c r="Y77" s="215" t="s">
        <v>50</v>
      </c>
      <c r="Z77" s="215" t="s">
        <v>84</v>
      </c>
      <c r="AA77" s="207" t="s">
        <v>78</v>
      </c>
      <c r="AB77" s="215" t="s">
        <v>336</v>
      </c>
    </row>
    <row r="78" spans="1:28" x14ac:dyDescent="0.15">
      <c r="A78" s="215" t="s">
        <v>34</v>
      </c>
      <c r="B78" s="207" t="s">
        <v>334</v>
      </c>
      <c r="C78" s="207">
        <v>2018</v>
      </c>
      <c r="D78" s="249" t="s">
        <v>477</v>
      </c>
      <c r="E78" s="236" t="s">
        <v>322</v>
      </c>
      <c r="F78" s="236" t="s">
        <v>323</v>
      </c>
      <c r="G78" s="215" t="s">
        <v>36</v>
      </c>
      <c r="H78" s="207" t="s">
        <v>155</v>
      </c>
      <c r="I78" s="215" t="s">
        <v>153</v>
      </c>
      <c r="J78" s="215" t="s">
        <v>38</v>
      </c>
      <c r="K78" s="215" t="s">
        <v>154</v>
      </c>
      <c r="L78" s="207">
        <v>2</v>
      </c>
      <c r="N78" s="207">
        <v>1</v>
      </c>
      <c r="O78" s="207">
        <v>0.85</v>
      </c>
      <c r="P78" s="207">
        <v>0.7</v>
      </c>
      <c r="Q78" s="244">
        <f t="shared" si="0"/>
        <v>0.77499999999999991</v>
      </c>
      <c r="R78" s="207">
        <v>14.2</v>
      </c>
      <c r="S78" s="207">
        <v>118</v>
      </c>
      <c r="T78" s="216">
        <f t="shared" si="1"/>
        <v>30</v>
      </c>
      <c r="U78" s="207">
        <v>108</v>
      </c>
      <c r="V78" s="216">
        <f t="shared" si="2"/>
        <v>3240</v>
      </c>
      <c r="W78" s="207">
        <v>5</v>
      </c>
      <c r="X78" s="215" t="s">
        <v>46</v>
      </c>
      <c r="Y78" s="215" t="s">
        <v>50</v>
      </c>
      <c r="Z78" s="215" t="s">
        <v>84</v>
      </c>
      <c r="AA78" s="207" t="s">
        <v>78</v>
      </c>
      <c r="AB78" s="215" t="s">
        <v>336</v>
      </c>
    </row>
    <row r="79" spans="1:28" x14ac:dyDescent="0.15">
      <c r="A79" s="215" t="s">
        <v>34</v>
      </c>
      <c r="B79" s="207" t="s">
        <v>334</v>
      </c>
      <c r="C79" s="207">
        <v>2018</v>
      </c>
      <c r="D79" s="249" t="s">
        <v>477</v>
      </c>
      <c r="E79" s="236" t="s">
        <v>322</v>
      </c>
      <c r="F79" s="236" t="s">
        <v>323</v>
      </c>
      <c r="G79" s="215" t="s">
        <v>36</v>
      </c>
      <c r="H79" s="207" t="s">
        <v>155</v>
      </c>
      <c r="I79" s="215" t="s">
        <v>153</v>
      </c>
      <c r="J79" s="215" t="s">
        <v>38</v>
      </c>
      <c r="K79" s="215" t="s">
        <v>154</v>
      </c>
      <c r="L79" s="207">
        <v>3</v>
      </c>
      <c r="N79" s="207">
        <v>1</v>
      </c>
      <c r="O79" s="207">
        <v>0.85</v>
      </c>
      <c r="P79" s="207">
        <v>0.95</v>
      </c>
      <c r="Q79" s="244">
        <f t="shared" si="0"/>
        <v>0.89999999999999991</v>
      </c>
      <c r="R79" s="207">
        <v>13.7</v>
      </c>
      <c r="S79" s="207">
        <v>118</v>
      </c>
      <c r="T79" s="216">
        <f t="shared" si="1"/>
        <v>30</v>
      </c>
      <c r="U79" s="207">
        <v>108</v>
      </c>
      <c r="V79" s="216">
        <f t="shared" si="2"/>
        <v>3240</v>
      </c>
      <c r="W79" s="207">
        <v>5</v>
      </c>
      <c r="X79" s="215" t="s">
        <v>46</v>
      </c>
      <c r="Y79" s="215" t="s">
        <v>50</v>
      </c>
      <c r="Z79" s="215" t="s">
        <v>84</v>
      </c>
      <c r="AA79" s="207" t="s">
        <v>78</v>
      </c>
      <c r="AB79" s="215" t="s">
        <v>336</v>
      </c>
    </row>
    <row r="80" spans="1:28" x14ac:dyDescent="0.15">
      <c r="A80" s="215" t="s">
        <v>34</v>
      </c>
      <c r="B80" s="207" t="s">
        <v>334</v>
      </c>
      <c r="C80" s="207">
        <v>2018</v>
      </c>
      <c r="D80" s="249" t="s">
        <v>477</v>
      </c>
      <c r="E80" s="236" t="s">
        <v>322</v>
      </c>
      <c r="F80" s="236" t="s">
        <v>323</v>
      </c>
      <c r="G80" s="215" t="s">
        <v>36</v>
      </c>
      <c r="H80" s="207" t="s">
        <v>155</v>
      </c>
      <c r="I80" s="215" t="s">
        <v>153</v>
      </c>
      <c r="J80" s="215" t="s">
        <v>38</v>
      </c>
      <c r="K80" s="215" t="s">
        <v>154</v>
      </c>
      <c r="L80" s="215">
        <v>1</v>
      </c>
      <c r="N80" s="207">
        <v>8</v>
      </c>
      <c r="O80" s="207">
        <v>0.9</v>
      </c>
      <c r="P80" s="207">
        <v>0.7</v>
      </c>
      <c r="Q80" s="244">
        <f t="shared" si="0"/>
        <v>0.8</v>
      </c>
      <c r="R80" s="207">
        <v>14.5</v>
      </c>
      <c r="S80" s="207">
        <v>96</v>
      </c>
      <c r="T80" s="216">
        <f t="shared" si="1"/>
        <v>36</v>
      </c>
      <c r="U80" s="207">
        <v>538</v>
      </c>
      <c r="V80" s="216">
        <f t="shared" si="2"/>
        <v>2421</v>
      </c>
      <c r="W80" s="207">
        <v>5</v>
      </c>
      <c r="X80" s="215" t="s">
        <v>46</v>
      </c>
      <c r="Y80" s="215" t="s">
        <v>50</v>
      </c>
      <c r="Z80" s="215" t="s">
        <v>84</v>
      </c>
      <c r="AA80" s="207" t="s">
        <v>78</v>
      </c>
      <c r="AB80" s="215" t="s">
        <v>336</v>
      </c>
    </row>
    <row r="81" spans="1:28" x14ac:dyDescent="0.15">
      <c r="A81" s="215" t="s">
        <v>34</v>
      </c>
      <c r="B81" s="207" t="s">
        <v>334</v>
      </c>
      <c r="C81" s="207">
        <v>2018</v>
      </c>
      <c r="D81" s="249" t="s">
        <v>477</v>
      </c>
      <c r="E81" s="236" t="s">
        <v>322</v>
      </c>
      <c r="F81" s="236" t="s">
        <v>323</v>
      </c>
      <c r="G81" s="215" t="s">
        <v>36</v>
      </c>
      <c r="H81" s="207" t="s">
        <v>155</v>
      </c>
      <c r="I81" s="215" t="s">
        <v>153</v>
      </c>
      <c r="J81" s="215" t="s">
        <v>38</v>
      </c>
      <c r="K81" s="215" t="s">
        <v>154</v>
      </c>
      <c r="L81" s="207">
        <v>2</v>
      </c>
      <c r="N81" s="207">
        <v>8</v>
      </c>
      <c r="O81" s="207">
        <v>0.5</v>
      </c>
      <c r="P81" s="207">
        <v>0.65</v>
      </c>
      <c r="Q81" s="244">
        <f t="shared" si="0"/>
        <v>0.57499999999999996</v>
      </c>
      <c r="R81" s="207">
        <v>13.9</v>
      </c>
      <c r="S81" s="207">
        <v>100</v>
      </c>
      <c r="T81" s="216">
        <f t="shared" si="1"/>
        <v>33</v>
      </c>
      <c r="U81" s="207">
        <v>538</v>
      </c>
      <c r="V81" s="216">
        <f t="shared" si="2"/>
        <v>2219.25</v>
      </c>
      <c r="W81" s="207">
        <v>5</v>
      </c>
      <c r="X81" s="215" t="s">
        <v>46</v>
      </c>
      <c r="Y81" s="215" t="s">
        <v>50</v>
      </c>
      <c r="Z81" s="215" t="s">
        <v>84</v>
      </c>
      <c r="AA81" s="207" t="s">
        <v>78</v>
      </c>
      <c r="AB81" s="215" t="s">
        <v>336</v>
      </c>
    </row>
    <row r="82" spans="1:28" x14ac:dyDescent="0.15">
      <c r="A82" s="215" t="s">
        <v>34</v>
      </c>
      <c r="B82" s="207" t="s">
        <v>334</v>
      </c>
      <c r="C82" s="207">
        <v>2018</v>
      </c>
      <c r="D82" s="249" t="s">
        <v>477</v>
      </c>
      <c r="E82" s="236" t="s">
        <v>322</v>
      </c>
      <c r="F82" s="236" t="s">
        <v>323</v>
      </c>
      <c r="G82" s="215" t="s">
        <v>36</v>
      </c>
      <c r="H82" s="207" t="s">
        <v>155</v>
      </c>
      <c r="I82" s="215" t="s">
        <v>153</v>
      </c>
      <c r="J82" s="215" t="s">
        <v>38</v>
      </c>
      <c r="K82" s="215" t="s">
        <v>154</v>
      </c>
      <c r="L82" s="207">
        <v>3</v>
      </c>
      <c r="N82" s="207">
        <v>8</v>
      </c>
      <c r="O82" s="207">
        <v>1.1000000000000001</v>
      </c>
      <c r="P82" s="207">
        <v>0.8</v>
      </c>
      <c r="Q82" s="244">
        <f t="shared" si="0"/>
        <v>0.95000000000000007</v>
      </c>
      <c r="R82" s="207">
        <v>9.6999999999999993</v>
      </c>
      <c r="S82" s="207">
        <v>95</v>
      </c>
      <c r="T82" s="216">
        <f t="shared" si="1"/>
        <v>36</v>
      </c>
      <c r="U82" s="207">
        <v>538</v>
      </c>
      <c r="V82" s="216">
        <f t="shared" si="2"/>
        <v>2421</v>
      </c>
      <c r="W82" s="207">
        <v>5</v>
      </c>
      <c r="X82" s="215" t="s">
        <v>46</v>
      </c>
      <c r="Y82" s="215" t="s">
        <v>50</v>
      </c>
      <c r="Z82" s="215" t="s">
        <v>84</v>
      </c>
      <c r="AA82" s="207" t="s">
        <v>78</v>
      </c>
      <c r="AB82" s="215" t="s">
        <v>336</v>
      </c>
    </row>
    <row r="83" spans="1:28" x14ac:dyDescent="0.15">
      <c r="A83" s="215" t="s">
        <v>34</v>
      </c>
      <c r="B83" s="207" t="s">
        <v>334</v>
      </c>
      <c r="C83" s="207">
        <v>2018</v>
      </c>
      <c r="D83" s="249" t="s">
        <v>477</v>
      </c>
      <c r="E83" s="236" t="s">
        <v>322</v>
      </c>
      <c r="F83" s="236" t="s">
        <v>323</v>
      </c>
      <c r="G83" s="215" t="s">
        <v>36</v>
      </c>
      <c r="H83" s="207" t="s">
        <v>162</v>
      </c>
      <c r="I83" s="215" t="s">
        <v>153</v>
      </c>
      <c r="J83" s="215" t="s">
        <v>38</v>
      </c>
      <c r="K83" s="215" t="s">
        <v>154</v>
      </c>
      <c r="L83" s="215">
        <v>1</v>
      </c>
      <c r="N83" s="207">
        <v>1</v>
      </c>
      <c r="O83" s="207">
        <v>0.55000000000000004</v>
      </c>
      <c r="P83" s="207">
        <v>0.55000000000000004</v>
      </c>
      <c r="Q83" s="244">
        <f t="shared" ref="Q83:Q100" si="5">IF(OR(O83="",P83=""),"",AVERAGE(O83,P83))</f>
        <v>0.55000000000000004</v>
      </c>
      <c r="R83" s="207">
        <v>16.2</v>
      </c>
      <c r="S83" s="207">
        <v>146</v>
      </c>
      <c r="T83" s="216">
        <f t="shared" si="1"/>
        <v>30</v>
      </c>
      <c r="U83" s="207">
        <v>150</v>
      </c>
      <c r="V83" s="216">
        <f t="shared" si="2"/>
        <v>4500</v>
      </c>
      <c r="W83" s="207">
        <v>2</v>
      </c>
      <c r="X83" s="215" t="s">
        <v>46</v>
      </c>
      <c r="Y83" s="215" t="s">
        <v>50</v>
      </c>
      <c r="Z83" s="215" t="s">
        <v>84</v>
      </c>
      <c r="AA83" s="207" t="s">
        <v>78</v>
      </c>
      <c r="AB83" s="215" t="s">
        <v>336</v>
      </c>
    </row>
    <row r="84" spans="1:28" x14ac:dyDescent="0.15">
      <c r="A84" s="215" t="s">
        <v>34</v>
      </c>
      <c r="B84" s="207" t="s">
        <v>334</v>
      </c>
      <c r="C84" s="207">
        <v>2018</v>
      </c>
      <c r="D84" s="249" t="s">
        <v>477</v>
      </c>
      <c r="E84" s="236" t="s">
        <v>322</v>
      </c>
      <c r="F84" s="236" t="s">
        <v>323</v>
      </c>
      <c r="G84" s="215" t="s">
        <v>36</v>
      </c>
      <c r="H84" s="207" t="s">
        <v>162</v>
      </c>
      <c r="I84" s="215" t="s">
        <v>153</v>
      </c>
      <c r="J84" s="215" t="s">
        <v>38</v>
      </c>
      <c r="K84" s="215" t="s">
        <v>154</v>
      </c>
      <c r="L84" s="207">
        <v>2</v>
      </c>
      <c r="N84" s="207">
        <v>1</v>
      </c>
      <c r="O84" s="207">
        <v>0.55000000000000004</v>
      </c>
      <c r="P84" s="207">
        <v>0.55000000000000004</v>
      </c>
      <c r="Q84" s="244">
        <f t="shared" si="5"/>
        <v>0.55000000000000004</v>
      </c>
      <c r="R84" s="207">
        <v>15.3</v>
      </c>
      <c r="S84" s="207">
        <v>150</v>
      </c>
      <c r="T84" s="216">
        <f t="shared" si="1"/>
        <v>30</v>
      </c>
      <c r="U84" s="207">
        <v>150</v>
      </c>
      <c r="V84" s="216">
        <f t="shared" si="2"/>
        <v>4500</v>
      </c>
      <c r="W84" s="207">
        <v>2</v>
      </c>
      <c r="X84" s="215" t="s">
        <v>46</v>
      </c>
      <c r="Y84" s="215" t="s">
        <v>50</v>
      </c>
      <c r="Z84" s="215" t="s">
        <v>84</v>
      </c>
      <c r="AA84" s="207" t="s">
        <v>78</v>
      </c>
      <c r="AB84" s="215" t="s">
        <v>336</v>
      </c>
    </row>
    <row r="85" spans="1:28" x14ac:dyDescent="0.15">
      <c r="A85" s="215" t="s">
        <v>34</v>
      </c>
      <c r="B85" s="207" t="s">
        <v>334</v>
      </c>
      <c r="C85" s="207">
        <v>2018</v>
      </c>
      <c r="D85" s="249" t="s">
        <v>477</v>
      </c>
      <c r="E85" s="236" t="s">
        <v>322</v>
      </c>
      <c r="F85" s="236" t="s">
        <v>323</v>
      </c>
      <c r="G85" s="215" t="s">
        <v>36</v>
      </c>
      <c r="H85" s="207" t="s">
        <v>162</v>
      </c>
      <c r="I85" s="215" t="s">
        <v>153</v>
      </c>
      <c r="J85" s="215" t="s">
        <v>38</v>
      </c>
      <c r="K85" s="215" t="s">
        <v>154</v>
      </c>
      <c r="L85" s="207">
        <v>3</v>
      </c>
      <c r="N85" s="207">
        <v>1</v>
      </c>
      <c r="O85" s="207">
        <v>0.55000000000000004</v>
      </c>
      <c r="P85" s="207">
        <v>0.6</v>
      </c>
      <c r="Q85" s="216">
        <f t="shared" si="5"/>
        <v>0.57499999999999996</v>
      </c>
      <c r="R85" s="207">
        <v>15.9</v>
      </c>
      <c r="S85" s="207">
        <v>148</v>
      </c>
      <c r="T85" s="216">
        <f t="shared" si="1"/>
        <v>30</v>
      </c>
      <c r="U85" s="207">
        <v>150</v>
      </c>
      <c r="V85" s="216">
        <f t="shared" si="2"/>
        <v>4500</v>
      </c>
      <c r="W85" s="207">
        <v>2</v>
      </c>
      <c r="X85" s="215" t="s">
        <v>46</v>
      </c>
      <c r="Y85" s="215" t="s">
        <v>50</v>
      </c>
      <c r="Z85" s="215" t="s">
        <v>84</v>
      </c>
      <c r="AA85" s="207" t="s">
        <v>78</v>
      </c>
      <c r="AB85" s="215" t="s">
        <v>336</v>
      </c>
    </row>
    <row r="86" spans="1:28" x14ac:dyDescent="0.15">
      <c r="A86" s="215" t="s">
        <v>34</v>
      </c>
      <c r="B86" s="207" t="s">
        <v>334</v>
      </c>
      <c r="C86" s="207">
        <v>2018</v>
      </c>
      <c r="D86" s="249" t="s">
        <v>477</v>
      </c>
      <c r="E86" s="236" t="s">
        <v>322</v>
      </c>
      <c r="F86" s="236" t="s">
        <v>323</v>
      </c>
      <c r="G86" s="215" t="s">
        <v>36</v>
      </c>
      <c r="H86" s="207" t="s">
        <v>129</v>
      </c>
      <c r="I86" s="215" t="s">
        <v>153</v>
      </c>
      <c r="J86" s="215" t="s">
        <v>58</v>
      </c>
      <c r="K86" s="215" t="s">
        <v>59</v>
      </c>
      <c r="L86" s="215">
        <v>1</v>
      </c>
      <c r="N86" s="207">
        <v>5</v>
      </c>
      <c r="O86" s="207">
        <v>0.2</v>
      </c>
      <c r="P86" s="207">
        <v>0.2</v>
      </c>
      <c r="Q86" s="216">
        <f t="shared" si="5"/>
        <v>0.2</v>
      </c>
      <c r="R86" s="207">
        <v>15.3</v>
      </c>
      <c r="S86" s="207">
        <v>51</v>
      </c>
      <c r="T86" s="216">
        <f t="shared" si="1"/>
        <v>50</v>
      </c>
      <c r="U86" s="207">
        <v>486</v>
      </c>
      <c r="V86" s="216">
        <f t="shared" si="2"/>
        <v>4860</v>
      </c>
      <c r="W86" s="207">
        <v>1</v>
      </c>
      <c r="X86" s="215" t="s">
        <v>46</v>
      </c>
      <c r="Y86" s="215" t="s">
        <v>50</v>
      </c>
      <c r="Z86" s="215" t="s">
        <v>84</v>
      </c>
      <c r="AA86" s="207" t="s">
        <v>78</v>
      </c>
      <c r="AB86" s="215" t="s">
        <v>336</v>
      </c>
    </row>
    <row r="87" spans="1:28" x14ac:dyDescent="0.15">
      <c r="A87" s="215" t="s">
        <v>34</v>
      </c>
      <c r="B87" s="207" t="s">
        <v>334</v>
      </c>
      <c r="C87" s="207">
        <v>2018</v>
      </c>
      <c r="D87" s="249" t="s">
        <v>477</v>
      </c>
      <c r="E87" s="236" t="s">
        <v>322</v>
      </c>
      <c r="F87" s="236" t="s">
        <v>323</v>
      </c>
      <c r="G87" s="215" t="s">
        <v>36</v>
      </c>
      <c r="H87" s="207" t="s">
        <v>129</v>
      </c>
      <c r="I87" s="215" t="s">
        <v>153</v>
      </c>
      <c r="J87" s="215" t="s">
        <v>58</v>
      </c>
      <c r="K87" s="215" t="s">
        <v>59</v>
      </c>
      <c r="L87" s="207">
        <v>2</v>
      </c>
      <c r="N87" s="207">
        <v>5</v>
      </c>
      <c r="O87" s="207">
        <v>0.2</v>
      </c>
      <c r="P87" s="207">
        <v>0.2</v>
      </c>
      <c r="Q87" s="216">
        <f t="shared" si="5"/>
        <v>0.2</v>
      </c>
      <c r="R87" s="207">
        <v>14.5</v>
      </c>
      <c r="S87" s="207">
        <v>66</v>
      </c>
      <c r="T87" s="216">
        <f t="shared" si="1"/>
        <v>50</v>
      </c>
      <c r="U87" s="207">
        <v>486</v>
      </c>
      <c r="V87" s="216">
        <f t="shared" si="2"/>
        <v>4860</v>
      </c>
      <c r="W87" s="207">
        <v>1</v>
      </c>
      <c r="X87" s="215" t="s">
        <v>46</v>
      </c>
      <c r="Y87" s="215" t="s">
        <v>50</v>
      </c>
      <c r="Z87" s="215" t="s">
        <v>84</v>
      </c>
      <c r="AA87" s="207" t="s">
        <v>78</v>
      </c>
      <c r="AB87" s="215" t="s">
        <v>336</v>
      </c>
    </row>
    <row r="88" spans="1:28" x14ac:dyDescent="0.15">
      <c r="A88" s="215" t="s">
        <v>34</v>
      </c>
      <c r="B88" s="207" t="s">
        <v>334</v>
      </c>
      <c r="C88" s="207">
        <v>2018</v>
      </c>
      <c r="D88" s="249" t="s">
        <v>477</v>
      </c>
      <c r="E88" s="236" t="s">
        <v>322</v>
      </c>
      <c r="F88" s="236" t="s">
        <v>323</v>
      </c>
      <c r="G88" s="215" t="s">
        <v>36</v>
      </c>
      <c r="H88" s="207" t="s">
        <v>129</v>
      </c>
      <c r="I88" s="215" t="s">
        <v>153</v>
      </c>
      <c r="J88" s="215" t="s">
        <v>58</v>
      </c>
      <c r="K88" s="215" t="s">
        <v>59</v>
      </c>
      <c r="L88" s="207">
        <v>3</v>
      </c>
      <c r="N88" s="207">
        <v>5</v>
      </c>
      <c r="O88" s="207">
        <v>0.2</v>
      </c>
      <c r="P88" s="207">
        <v>0.2</v>
      </c>
      <c r="Q88" s="216">
        <f t="shared" si="5"/>
        <v>0.2</v>
      </c>
      <c r="R88" s="207">
        <v>15.7</v>
      </c>
      <c r="S88" s="207">
        <v>74</v>
      </c>
      <c r="T88" s="216">
        <f t="shared" si="1"/>
        <v>42</v>
      </c>
      <c r="U88" s="207">
        <v>486</v>
      </c>
      <c r="V88" s="216">
        <f t="shared" si="2"/>
        <v>4082.4</v>
      </c>
      <c r="W88" s="207">
        <v>1</v>
      </c>
      <c r="X88" s="215" t="s">
        <v>46</v>
      </c>
      <c r="Y88" s="215" t="s">
        <v>50</v>
      </c>
      <c r="Z88" s="215" t="s">
        <v>84</v>
      </c>
      <c r="AA88" s="207" t="s">
        <v>78</v>
      </c>
      <c r="AB88" s="215" t="s">
        <v>336</v>
      </c>
    </row>
    <row r="89" spans="1:28" x14ac:dyDescent="0.15">
      <c r="A89" s="215" t="s">
        <v>34</v>
      </c>
      <c r="B89" s="207" t="s">
        <v>334</v>
      </c>
      <c r="C89" s="207">
        <v>2018</v>
      </c>
      <c r="D89" s="249" t="s">
        <v>477</v>
      </c>
      <c r="E89" s="236" t="s">
        <v>324</v>
      </c>
      <c r="F89" s="236" t="s">
        <v>325</v>
      </c>
      <c r="G89" s="215" t="s">
        <v>36</v>
      </c>
      <c r="H89" s="207" t="s">
        <v>155</v>
      </c>
      <c r="I89" s="215" t="s">
        <v>153</v>
      </c>
      <c r="J89" s="215" t="s">
        <v>38</v>
      </c>
      <c r="K89" s="215" t="s">
        <v>154</v>
      </c>
      <c r="L89" s="215">
        <v>1</v>
      </c>
      <c r="N89" s="207">
        <v>1</v>
      </c>
      <c r="O89" s="207">
        <v>1.1000000000000001</v>
      </c>
      <c r="P89" s="207">
        <v>0.95</v>
      </c>
      <c r="Q89" s="216">
        <f t="shared" si="5"/>
        <v>1.0249999999999999</v>
      </c>
      <c r="R89" s="207">
        <v>13.9</v>
      </c>
      <c r="S89" s="207">
        <v>91</v>
      </c>
      <c r="T89" s="216">
        <f t="shared" si="1"/>
        <v>36</v>
      </c>
      <c r="U89" s="207">
        <v>62</v>
      </c>
      <c r="V89" s="216">
        <f t="shared" si="2"/>
        <v>2232</v>
      </c>
      <c r="W89" s="207">
        <v>8</v>
      </c>
      <c r="X89" s="215" t="s">
        <v>46</v>
      </c>
      <c r="Y89" s="207" t="s">
        <v>90</v>
      </c>
      <c r="Z89" s="207" t="s">
        <v>50</v>
      </c>
      <c r="AA89" s="207" t="s">
        <v>84</v>
      </c>
      <c r="AB89" s="215" t="s">
        <v>336</v>
      </c>
    </row>
    <row r="90" spans="1:28" x14ac:dyDescent="0.15">
      <c r="A90" s="215" t="s">
        <v>34</v>
      </c>
      <c r="B90" s="207" t="s">
        <v>334</v>
      </c>
      <c r="C90" s="207">
        <v>2018</v>
      </c>
      <c r="D90" s="249" t="s">
        <v>477</v>
      </c>
      <c r="E90" s="236" t="s">
        <v>324</v>
      </c>
      <c r="F90" s="236" t="s">
        <v>325</v>
      </c>
      <c r="G90" s="215" t="s">
        <v>36</v>
      </c>
      <c r="H90" s="207" t="s">
        <v>155</v>
      </c>
      <c r="I90" s="215" t="s">
        <v>153</v>
      </c>
      <c r="J90" s="215" t="s">
        <v>38</v>
      </c>
      <c r="K90" s="215" t="s">
        <v>154</v>
      </c>
      <c r="L90" s="207">
        <v>2</v>
      </c>
      <c r="N90" s="207">
        <v>1</v>
      </c>
      <c r="O90" s="207">
        <v>0.65</v>
      </c>
      <c r="P90" s="207">
        <v>0.75</v>
      </c>
      <c r="Q90" s="216">
        <f t="shared" si="5"/>
        <v>0.7</v>
      </c>
      <c r="R90" s="207">
        <v>13.5</v>
      </c>
      <c r="S90" s="207">
        <v>97</v>
      </c>
      <c r="T90" s="216">
        <f t="shared" si="1"/>
        <v>36</v>
      </c>
      <c r="U90" s="207">
        <v>62</v>
      </c>
      <c r="V90" s="216">
        <f t="shared" si="2"/>
        <v>2232</v>
      </c>
      <c r="W90" s="207">
        <v>8</v>
      </c>
      <c r="X90" s="215" t="s">
        <v>46</v>
      </c>
      <c r="Y90" s="207" t="s">
        <v>90</v>
      </c>
      <c r="Z90" s="207" t="s">
        <v>50</v>
      </c>
      <c r="AA90" s="207" t="s">
        <v>84</v>
      </c>
      <c r="AB90" s="215" t="s">
        <v>336</v>
      </c>
    </row>
    <row r="91" spans="1:28" x14ac:dyDescent="0.15">
      <c r="A91" s="215" t="s">
        <v>34</v>
      </c>
      <c r="B91" s="207" t="s">
        <v>334</v>
      </c>
      <c r="C91" s="207">
        <v>2018</v>
      </c>
      <c r="D91" s="249" t="s">
        <v>477</v>
      </c>
      <c r="E91" s="236" t="s">
        <v>324</v>
      </c>
      <c r="F91" s="236" t="s">
        <v>325</v>
      </c>
      <c r="G91" s="215" t="s">
        <v>36</v>
      </c>
      <c r="H91" s="207" t="s">
        <v>155</v>
      </c>
      <c r="I91" s="215" t="s">
        <v>153</v>
      </c>
      <c r="J91" s="215" t="s">
        <v>38</v>
      </c>
      <c r="K91" s="215" t="s">
        <v>154</v>
      </c>
      <c r="L91" s="207">
        <v>3</v>
      </c>
      <c r="N91" s="207">
        <v>1</v>
      </c>
      <c r="O91" s="207">
        <v>0.9</v>
      </c>
      <c r="P91" s="207">
        <v>0.75</v>
      </c>
      <c r="Q91" s="216">
        <f t="shared" si="5"/>
        <v>0.82499999999999996</v>
      </c>
      <c r="R91" s="207">
        <v>13.6</v>
      </c>
      <c r="S91" s="207">
        <v>100</v>
      </c>
      <c r="T91" s="216">
        <f t="shared" si="1"/>
        <v>33</v>
      </c>
      <c r="U91" s="207">
        <v>62</v>
      </c>
      <c r="V91" s="216">
        <f t="shared" si="2"/>
        <v>2046</v>
      </c>
      <c r="W91" s="207">
        <v>8</v>
      </c>
      <c r="X91" s="215" t="s">
        <v>46</v>
      </c>
      <c r="Y91" s="207" t="s">
        <v>90</v>
      </c>
      <c r="Z91" s="207" t="s">
        <v>50</v>
      </c>
      <c r="AA91" s="207" t="s">
        <v>84</v>
      </c>
      <c r="AB91" s="215" t="s">
        <v>336</v>
      </c>
    </row>
    <row r="92" spans="1:28" x14ac:dyDescent="0.15">
      <c r="A92" s="215" t="s">
        <v>34</v>
      </c>
      <c r="B92" s="207" t="s">
        <v>334</v>
      </c>
      <c r="C92" s="207">
        <v>2018</v>
      </c>
      <c r="D92" s="249" t="s">
        <v>477</v>
      </c>
      <c r="E92" s="236" t="s">
        <v>324</v>
      </c>
      <c r="F92" s="236" t="s">
        <v>325</v>
      </c>
      <c r="G92" s="215" t="s">
        <v>36</v>
      </c>
      <c r="H92" s="207" t="s">
        <v>155</v>
      </c>
      <c r="I92" s="215" t="s">
        <v>153</v>
      </c>
      <c r="J92" s="215" t="s">
        <v>38</v>
      </c>
      <c r="K92" s="215" t="s">
        <v>154</v>
      </c>
      <c r="L92" s="215">
        <v>1</v>
      </c>
      <c r="N92" s="207">
        <v>6</v>
      </c>
      <c r="O92" s="207">
        <v>0.85</v>
      </c>
      <c r="P92" s="207">
        <v>0.75</v>
      </c>
      <c r="Q92" s="216">
        <f t="shared" si="5"/>
        <v>0.8</v>
      </c>
      <c r="R92" s="207">
        <v>14.1</v>
      </c>
      <c r="S92" s="207">
        <v>98</v>
      </c>
      <c r="T92" s="216">
        <f t="shared" si="1"/>
        <v>36</v>
      </c>
      <c r="U92" s="207">
        <v>429</v>
      </c>
      <c r="V92" s="216">
        <f t="shared" si="2"/>
        <v>2574</v>
      </c>
      <c r="W92" s="207">
        <v>8</v>
      </c>
      <c r="X92" s="215" t="s">
        <v>46</v>
      </c>
      <c r="Y92" s="207" t="s">
        <v>90</v>
      </c>
      <c r="Z92" s="207" t="s">
        <v>50</v>
      </c>
      <c r="AA92" s="207" t="s">
        <v>84</v>
      </c>
      <c r="AB92" s="215" t="s">
        <v>336</v>
      </c>
    </row>
    <row r="93" spans="1:28" x14ac:dyDescent="0.15">
      <c r="A93" s="215" t="s">
        <v>34</v>
      </c>
      <c r="B93" s="207" t="s">
        <v>334</v>
      </c>
      <c r="C93" s="207">
        <v>2018</v>
      </c>
      <c r="D93" s="249" t="s">
        <v>477</v>
      </c>
      <c r="E93" s="236" t="s">
        <v>324</v>
      </c>
      <c r="F93" s="236" t="s">
        <v>325</v>
      </c>
      <c r="G93" s="215" t="s">
        <v>36</v>
      </c>
      <c r="H93" s="207" t="s">
        <v>155</v>
      </c>
      <c r="I93" s="215" t="s">
        <v>153</v>
      </c>
      <c r="J93" s="215" t="s">
        <v>38</v>
      </c>
      <c r="K93" s="215" t="s">
        <v>154</v>
      </c>
      <c r="L93" s="207">
        <v>2</v>
      </c>
      <c r="N93" s="207">
        <v>6</v>
      </c>
      <c r="O93" s="207">
        <v>0.8</v>
      </c>
      <c r="P93" s="207">
        <v>0.9</v>
      </c>
      <c r="Q93" s="216">
        <f t="shared" si="5"/>
        <v>0.85000000000000009</v>
      </c>
      <c r="R93" s="207">
        <v>14.2</v>
      </c>
      <c r="S93" s="207">
        <v>104</v>
      </c>
      <c r="T93" s="216">
        <f t="shared" si="1"/>
        <v>33</v>
      </c>
      <c r="U93" s="207">
        <v>429</v>
      </c>
      <c r="V93" s="216">
        <f t="shared" si="2"/>
        <v>2359.5</v>
      </c>
      <c r="W93" s="207">
        <v>8</v>
      </c>
      <c r="X93" s="215" t="s">
        <v>46</v>
      </c>
      <c r="Y93" s="207" t="s">
        <v>90</v>
      </c>
      <c r="Z93" s="207" t="s">
        <v>50</v>
      </c>
      <c r="AA93" s="207" t="s">
        <v>84</v>
      </c>
      <c r="AB93" s="215" t="s">
        <v>336</v>
      </c>
    </row>
    <row r="94" spans="1:28" x14ac:dyDescent="0.15">
      <c r="A94" s="215" t="s">
        <v>34</v>
      </c>
      <c r="B94" s="207" t="s">
        <v>334</v>
      </c>
      <c r="C94" s="207">
        <v>2018</v>
      </c>
      <c r="D94" s="249" t="s">
        <v>477</v>
      </c>
      <c r="E94" s="236" t="s">
        <v>324</v>
      </c>
      <c r="F94" s="236" t="s">
        <v>325</v>
      </c>
      <c r="G94" s="215" t="s">
        <v>36</v>
      </c>
      <c r="H94" s="207" t="s">
        <v>155</v>
      </c>
      <c r="I94" s="215" t="s">
        <v>153</v>
      </c>
      <c r="J94" s="215" t="s">
        <v>38</v>
      </c>
      <c r="K94" s="215" t="s">
        <v>154</v>
      </c>
      <c r="L94" s="207">
        <v>3</v>
      </c>
      <c r="N94" s="207">
        <v>6</v>
      </c>
      <c r="O94" s="207">
        <v>0.75</v>
      </c>
      <c r="P94" s="207">
        <v>0.65</v>
      </c>
      <c r="Q94" s="216">
        <f t="shared" si="5"/>
        <v>0.7</v>
      </c>
      <c r="R94" s="207">
        <v>14.2</v>
      </c>
      <c r="S94" s="207">
        <v>96</v>
      </c>
      <c r="T94" s="216">
        <f t="shared" si="1"/>
        <v>36</v>
      </c>
      <c r="U94" s="207">
        <v>429</v>
      </c>
      <c r="V94" s="216">
        <f t="shared" si="2"/>
        <v>2574</v>
      </c>
      <c r="W94" s="207">
        <v>8</v>
      </c>
      <c r="X94" s="215" t="s">
        <v>46</v>
      </c>
      <c r="Y94" s="207" t="s">
        <v>90</v>
      </c>
      <c r="Z94" s="207" t="s">
        <v>50</v>
      </c>
      <c r="AA94" s="207" t="s">
        <v>84</v>
      </c>
      <c r="AB94" s="215" t="s">
        <v>336</v>
      </c>
    </row>
    <row r="95" spans="1:28" x14ac:dyDescent="0.15">
      <c r="A95" s="215" t="s">
        <v>34</v>
      </c>
      <c r="B95" s="207" t="s">
        <v>334</v>
      </c>
      <c r="C95" s="207">
        <v>2018</v>
      </c>
      <c r="D95" s="249" t="s">
        <v>477</v>
      </c>
      <c r="E95" s="236" t="s">
        <v>324</v>
      </c>
      <c r="F95" s="236" t="s">
        <v>325</v>
      </c>
      <c r="G95" s="215" t="s">
        <v>36</v>
      </c>
      <c r="H95" s="207" t="s">
        <v>155</v>
      </c>
      <c r="I95" s="215" t="s">
        <v>156</v>
      </c>
      <c r="J95" s="215" t="s">
        <v>38</v>
      </c>
      <c r="K95" s="215" t="s">
        <v>154</v>
      </c>
      <c r="L95" s="215">
        <v>1</v>
      </c>
      <c r="N95" s="207">
        <v>4</v>
      </c>
      <c r="O95" s="207">
        <v>0.55000000000000004</v>
      </c>
      <c r="P95" s="207">
        <v>0.7</v>
      </c>
      <c r="Q95" s="216">
        <f t="shared" si="5"/>
        <v>0.625</v>
      </c>
      <c r="R95" s="207">
        <v>14.1</v>
      </c>
      <c r="S95" s="207">
        <v>109</v>
      </c>
      <c r="T95" s="216">
        <f t="shared" si="1"/>
        <v>33</v>
      </c>
      <c r="U95" s="207">
        <v>378</v>
      </c>
      <c r="V95" s="216">
        <f t="shared" si="2"/>
        <v>3118.5</v>
      </c>
      <c r="W95" s="207">
        <v>8</v>
      </c>
      <c r="X95" s="215" t="s">
        <v>46</v>
      </c>
      <c r="Y95" s="207" t="s">
        <v>90</v>
      </c>
      <c r="Z95" s="207" t="s">
        <v>50</v>
      </c>
      <c r="AA95" s="207" t="s">
        <v>84</v>
      </c>
      <c r="AB95" s="215" t="s">
        <v>336</v>
      </c>
    </row>
    <row r="96" spans="1:28" x14ac:dyDescent="0.15">
      <c r="A96" s="215" t="s">
        <v>34</v>
      </c>
      <c r="B96" s="207" t="s">
        <v>334</v>
      </c>
      <c r="C96" s="207">
        <v>2018</v>
      </c>
      <c r="D96" s="249" t="s">
        <v>477</v>
      </c>
      <c r="E96" s="236" t="s">
        <v>324</v>
      </c>
      <c r="F96" s="236" t="s">
        <v>325</v>
      </c>
      <c r="G96" s="215" t="s">
        <v>36</v>
      </c>
      <c r="H96" s="207" t="s">
        <v>155</v>
      </c>
      <c r="I96" s="215" t="s">
        <v>156</v>
      </c>
      <c r="J96" s="215" t="s">
        <v>38</v>
      </c>
      <c r="K96" s="215" t="s">
        <v>154</v>
      </c>
      <c r="L96" s="207">
        <v>2</v>
      </c>
      <c r="N96" s="207">
        <v>4</v>
      </c>
      <c r="O96" s="207">
        <v>0.9</v>
      </c>
      <c r="P96" s="207">
        <v>0.75</v>
      </c>
      <c r="Q96" s="216">
        <f t="shared" si="5"/>
        <v>0.82499999999999996</v>
      </c>
      <c r="R96" s="207">
        <v>16.100000000000001</v>
      </c>
      <c r="S96" s="207">
        <v>113</v>
      </c>
      <c r="T96" s="216">
        <f t="shared" si="1"/>
        <v>30</v>
      </c>
      <c r="U96" s="207">
        <v>378</v>
      </c>
      <c r="V96" s="216">
        <f t="shared" si="2"/>
        <v>2835</v>
      </c>
      <c r="W96" s="207">
        <v>8</v>
      </c>
      <c r="X96" s="215" t="s">
        <v>46</v>
      </c>
      <c r="Y96" s="207" t="s">
        <v>90</v>
      </c>
      <c r="Z96" s="207" t="s">
        <v>50</v>
      </c>
      <c r="AA96" s="207" t="s">
        <v>84</v>
      </c>
      <c r="AB96" s="215" t="s">
        <v>336</v>
      </c>
    </row>
    <row r="97" spans="1:28" x14ac:dyDescent="0.15">
      <c r="A97" s="215" t="s">
        <v>34</v>
      </c>
      <c r="B97" s="207" t="s">
        <v>334</v>
      </c>
      <c r="C97" s="207">
        <v>2018</v>
      </c>
      <c r="D97" s="249" t="s">
        <v>477</v>
      </c>
      <c r="E97" s="236" t="s">
        <v>324</v>
      </c>
      <c r="F97" s="236" t="s">
        <v>325</v>
      </c>
      <c r="G97" s="215" t="s">
        <v>36</v>
      </c>
      <c r="H97" s="207" t="s">
        <v>155</v>
      </c>
      <c r="I97" s="215" t="s">
        <v>156</v>
      </c>
      <c r="J97" s="215" t="s">
        <v>38</v>
      </c>
      <c r="K97" s="215" t="s">
        <v>154</v>
      </c>
      <c r="L97" s="207">
        <v>3</v>
      </c>
      <c r="N97" s="207">
        <v>4</v>
      </c>
      <c r="O97" s="207">
        <v>0.8</v>
      </c>
      <c r="P97" s="207">
        <v>0.75</v>
      </c>
      <c r="Q97" s="216">
        <f t="shared" si="5"/>
        <v>0.77500000000000002</v>
      </c>
      <c r="R97" s="207">
        <v>14.1</v>
      </c>
      <c r="S97" s="207">
        <v>112</v>
      </c>
      <c r="T97" s="216">
        <f t="shared" si="1"/>
        <v>33</v>
      </c>
      <c r="U97" s="207">
        <v>378</v>
      </c>
      <c r="V97" s="216">
        <f t="shared" si="2"/>
        <v>3118.5</v>
      </c>
      <c r="W97" s="207">
        <v>8</v>
      </c>
      <c r="X97" s="215" t="s">
        <v>46</v>
      </c>
      <c r="Y97" s="207" t="s">
        <v>90</v>
      </c>
      <c r="Z97" s="207" t="s">
        <v>50</v>
      </c>
      <c r="AA97" s="207" t="s">
        <v>84</v>
      </c>
      <c r="AB97" s="215" t="s">
        <v>336</v>
      </c>
    </row>
    <row r="98" spans="1:28" x14ac:dyDescent="0.15">
      <c r="A98" s="215" t="s">
        <v>34</v>
      </c>
      <c r="B98" s="207" t="s">
        <v>334</v>
      </c>
      <c r="C98" s="207">
        <v>2018</v>
      </c>
      <c r="D98" s="249" t="s">
        <v>477</v>
      </c>
      <c r="E98" s="236" t="s">
        <v>324</v>
      </c>
      <c r="F98" s="236" t="s">
        <v>325</v>
      </c>
      <c r="G98" s="215" t="s">
        <v>36</v>
      </c>
      <c r="H98" s="207" t="s">
        <v>162</v>
      </c>
      <c r="I98" s="215" t="s">
        <v>153</v>
      </c>
      <c r="J98" s="215" t="s">
        <v>38</v>
      </c>
      <c r="K98" s="215" t="s">
        <v>154</v>
      </c>
      <c r="L98" s="215">
        <v>1</v>
      </c>
      <c r="N98" s="207">
        <v>1</v>
      </c>
      <c r="O98" s="207">
        <v>0.2</v>
      </c>
      <c r="P98" s="207">
        <v>0.2</v>
      </c>
      <c r="Q98" s="216">
        <f t="shared" si="5"/>
        <v>0.2</v>
      </c>
      <c r="R98" s="207">
        <v>16.2</v>
      </c>
      <c r="S98" s="207">
        <v>115</v>
      </c>
      <c r="T98" s="216">
        <f t="shared" si="1"/>
        <v>30</v>
      </c>
      <c r="U98" s="207">
        <v>138</v>
      </c>
      <c r="V98" s="216">
        <f t="shared" si="2"/>
        <v>4140</v>
      </c>
      <c r="W98" s="207">
        <v>2</v>
      </c>
      <c r="X98" s="215" t="s">
        <v>46</v>
      </c>
      <c r="Y98" s="207" t="s">
        <v>90</v>
      </c>
      <c r="Z98" s="207" t="s">
        <v>50</v>
      </c>
      <c r="AA98" s="207" t="s">
        <v>84</v>
      </c>
      <c r="AB98" s="215" t="s">
        <v>336</v>
      </c>
    </row>
    <row r="99" spans="1:28" x14ac:dyDescent="0.15">
      <c r="A99" s="215" t="s">
        <v>34</v>
      </c>
      <c r="B99" s="207" t="s">
        <v>334</v>
      </c>
      <c r="C99" s="207">
        <v>2018</v>
      </c>
      <c r="D99" s="249" t="s">
        <v>477</v>
      </c>
      <c r="E99" s="236" t="s">
        <v>324</v>
      </c>
      <c r="F99" s="236" t="s">
        <v>325</v>
      </c>
      <c r="G99" s="215" t="s">
        <v>36</v>
      </c>
      <c r="H99" s="207" t="s">
        <v>162</v>
      </c>
      <c r="I99" s="215" t="s">
        <v>153</v>
      </c>
      <c r="J99" s="215" t="s">
        <v>38</v>
      </c>
      <c r="K99" s="215" t="s">
        <v>154</v>
      </c>
      <c r="L99" s="207">
        <v>2</v>
      </c>
      <c r="N99" s="207">
        <v>1</v>
      </c>
      <c r="O99" s="207">
        <v>0.65</v>
      </c>
      <c r="P99" s="207">
        <v>0.45</v>
      </c>
      <c r="Q99" s="216">
        <f t="shared" si="5"/>
        <v>0.55000000000000004</v>
      </c>
      <c r="R99" s="207">
        <v>15</v>
      </c>
      <c r="S99" s="207">
        <v>112</v>
      </c>
      <c r="T99" s="216">
        <f t="shared" si="1"/>
        <v>33</v>
      </c>
      <c r="U99" s="207">
        <v>138</v>
      </c>
      <c r="V99" s="216">
        <f t="shared" si="2"/>
        <v>4554</v>
      </c>
      <c r="W99" s="207">
        <v>2</v>
      </c>
      <c r="X99" s="215" t="s">
        <v>46</v>
      </c>
      <c r="Y99" s="207" t="s">
        <v>90</v>
      </c>
      <c r="Z99" s="207" t="s">
        <v>50</v>
      </c>
      <c r="AA99" s="207" t="s">
        <v>84</v>
      </c>
      <c r="AB99" s="215" t="s">
        <v>336</v>
      </c>
    </row>
    <row r="100" spans="1:28" x14ac:dyDescent="0.15">
      <c r="A100" s="215" t="s">
        <v>34</v>
      </c>
      <c r="B100" s="207" t="s">
        <v>334</v>
      </c>
      <c r="C100" s="207">
        <v>2018</v>
      </c>
      <c r="D100" s="249" t="s">
        <v>477</v>
      </c>
      <c r="E100" s="236" t="s">
        <v>324</v>
      </c>
      <c r="F100" s="236" t="s">
        <v>325</v>
      </c>
      <c r="G100" s="215" t="s">
        <v>36</v>
      </c>
      <c r="H100" s="207" t="s">
        <v>162</v>
      </c>
      <c r="I100" s="215" t="s">
        <v>153</v>
      </c>
      <c r="J100" s="215" t="s">
        <v>38</v>
      </c>
      <c r="K100" s="215" t="s">
        <v>154</v>
      </c>
      <c r="L100" s="207">
        <v>3</v>
      </c>
      <c r="N100" s="207">
        <v>1</v>
      </c>
      <c r="O100" s="207">
        <v>0.55000000000000004</v>
      </c>
      <c r="P100" s="207">
        <v>0.55000000000000004</v>
      </c>
      <c r="Q100" s="216">
        <f t="shared" si="5"/>
        <v>0.55000000000000004</v>
      </c>
      <c r="R100" s="207">
        <v>15.4</v>
      </c>
      <c r="S100" s="207">
        <v>111</v>
      </c>
      <c r="T100" s="216">
        <f t="shared" si="1"/>
        <v>33</v>
      </c>
      <c r="U100" s="207">
        <v>138</v>
      </c>
      <c r="V100" s="216">
        <f t="shared" si="2"/>
        <v>4554</v>
      </c>
      <c r="W100" s="207">
        <v>2</v>
      </c>
      <c r="X100" s="215" t="s">
        <v>46</v>
      </c>
      <c r="Y100" s="207" t="s">
        <v>90</v>
      </c>
      <c r="Z100" s="207" t="s">
        <v>50</v>
      </c>
      <c r="AA100" s="207" t="s">
        <v>84</v>
      </c>
      <c r="AB100" s="215" t="s">
        <v>336</v>
      </c>
    </row>
    <row r="101" spans="1:28" x14ac:dyDescent="0.15">
      <c r="K101" s="215"/>
    </row>
    <row r="102" spans="1:28" x14ac:dyDescent="0.15">
      <c r="K102" s="215"/>
    </row>
    <row r="103" spans="1:28" x14ac:dyDescent="0.15">
      <c r="K103" s="215"/>
    </row>
    <row r="104" spans="1:28" x14ac:dyDescent="0.15">
      <c r="K104" s="215"/>
    </row>
    <row r="105" spans="1:28" x14ac:dyDescent="0.15">
      <c r="K105" s="215"/>
    </row>
    <row r="106" spans="1:28" x14ac:dyDescent="0.15">
      <c r="K106" s="215"/>
    </row>
    <row r="107" spans="1:28" x14ac:dyDescent="0.15">
      <c r="K107" s="215"/>
    </row>
    <row r="108" spans="1:28" x14ac:dyDescent="0.15">
      <c r="K108" s="215"/>
    </row>
    <row r="109" spans="1:28" x14ac:dyDescent="0.15">
      <c r="K109" s="215"/>
    </row>
    <row r="110" spans="1:28" x14ac:dyDescent="0.15">
      <c r="K110" s="215"/>
    </row>
    <row r="111" spans="1:28" x14ac:dyDescent="0.15">
      <c r="K111" s="215"/>
    </row>
    <row r="112" spans="1:28" x14ac:dyDescent="0.15">
      <c r="K112" s="215"/>
    </row>
    <row r="113" spans="11:11" x14ac:dyDescent="0.15">
      <c r="K113" s="215"/>
    </row>
    <row r="114" spans="11:11" x14ac:dyDescent="0.15">
      <c r="K114" s="215"/>
    </row>
    <row r="115" spans="11:11" x14ac:dyDescent="0.15">
      <c r="K115" s="215"/>
    </row>
    <row r="116" spans="11:11" x14ac:dyDescent="0.15">
      <c r="K116" s="215"/>
    </row>
    <row r="117" spans="11:11" x14ac:dyDescent="0.15">
      <c r="K117" s="215"/>
    </row>
    <row r="118" spans="11:11" x14ac:dyDescent="0.15">
      <c r="K118" s="215"/>
    </row>
    <row r="119" spans="11:11" x14ac:dyDescent="0.15">
      <c r="K119" s="215"/>
    </row>
    <row r="120" spans="11:11" x14ac:dyDescent="0.15">
      <c r="K120" s="215"/>
    </row>
    <row r="121" spans="11:11" x14ac:dyDescent="0.15">
      <c r="K121" s="215"/>
    </row>
    <row r="122" spans="11:11" x14ac:dyDescent="0.15">
      <c r="K122" s="215"/>
    </row>
    <row r="123" spans="11:11" x14ac:dyDescent="0.15">
      <c r="K123" s="215"/>
    </row>
    <row r="124" spans="11:11" x14ac:dyDescent="0.15">
      <c r="K124" s="215"/>
    </row>
    <row r="125" spans="11:11" x14ac:dyDescent="0.15">
      <c r="K125" s="215"/>
    </row>
    <row r="126" spans="11:11" x14ac:dyDescent="0.15">
      <c r="K126" s="215"/>
    </row>
    <row r="127" spans="11:11" x14ac:dyDescent="0.15">
      <c r="K127" s="215"/>
    </row>
    <row r="128" spans="11:11" x14ac:dyDescent="0.15">
      <c r="K128" s="215"/>
    </row>
    <row r="129" spans="11:11" x14ac:dyDescent="0.15">
      <c r="K129" s="215"/>
    </row>
    <row r="130" spans="11:11" x14ac:dyDescent="0.15">
      <c r="K130" s="215"/>
    </row>
    <row r="131" spans="11:11" x14ac:dyDescent="0.15">
      <c r="K131" s="215"/>
    </row>
    <row r="132" spans="11:11" x14ac:dyDescent="0.15">
      <c r="K132" s="215"/>
    </row>
    <row r="133" spans="11:11" x14ac:dyDescent="0.15">
      <c r="K133" s="215"/>
    </row>
    <row r="134" spans="11:11" x14ac:dyDescent="0.15">
      <c r="K134" s="215"/>
    </row>
    <row r="135" spans="11:11" x14ac:dyDescent="0.15">
      <c r="K135" s="215"/>
    </row>
    <row r="136" spans="11:11" x14ac:dyDescent="0.15">
      <c r="K136" s="215"/>
    </row>
    <row r="137" spans="11:11" x14ac:dyDescent="0.15">
      <c r="K137" s="215"/>
    </row>
    <row r="138" spans="11:11" x14ac:dyDescent="0.15">
      <c r="K138" s="215"/>
    </row>
    <row r="139" spans="11:11" x14ac:dyDescent="0.15">
      <c r="K139" s="215"/>
    </row>
    <row r="140" spans="11:11" x14ac:dyDescent="0.15">
      <c r="K140" s="215"/>
    </row>
    <row r="141" spans="11:11" x14ac:dyDescent="0.15">
      <c r="K141" s="215"/>
    </row>
    <row r="142" spans="11:11" x14ac:dyDescent="0.15">
      <c r="K142" s="215"/>
    </row>
    <row r="143" spans="11:11" x14ac:dyDescent="0.15">
      <c r="K143" s="215"/>
    </row>
    <row r="144" spans="11:11" x14ac:dyDescent="0.15">
      <c r="K144" s="215"/>
    </row>
    <row r="145" spans="11:11" x14ac:dyDescent="0.15">
      <c r="K145" s="215"/>
    </row>
    <row r="146" spans="11:11" x14ac:dyDescent="0.15">
      <c r="K146" s="215"/>
    </row>
    <row r="147" spans="11:11" x14ac:dyDescent="0.15">
      <c r="K147" s="215"/>
    </row>
    <row r="148" spans="11:11" x14ac:dyDescent="0.15">
      <c r="K148" s="215"/>
    </row>
    <row r="149" spans="11:11" x14ac:dyDescent="0.15">
      <c r="K149" s="215"/>
    </row>
    <row r="150" spans="11:11" x14ac:dyDescent="0.15">
      <c r="K150" s="215"/>
    </row>
    <row r="151" spans="11:11" x14ac:dyDescent="0.15">
      <c r="K151" s="215"/>
    </row>
    <row r="152" spans="11:11" x14ac:dyDescent="0.15">
      <c r="K152" s="215"/>
    </row>
    <row r="153" spans="11:11" x14ac:dyDescent="0.15">
      <c r="K153" s="215"/>
    </row>
    <row r="154" spans="11:11" x14ac:dyDescent="0.15">
      <c r="K154" s="215"/>
    </row>
    <row r="155" spans="11:11" x14ac:dyDescent="0.15">
      <c r="K155" s="215"/>
    </row>
    <row r="156" spans="11:11" x14ac:dyDescent="0.15">
      <c r="K156" s="215"/>
    </row>
    <row r="157" spans="11:11" x14ac:dyDescent="0.15">
      <c r="K157" s="215"/>
    </row>
    <row r="158" spans="11:11" x14ac:dyDescent="0.15">
      <c r="K158" s="215"/>
    </row>
    <row r="159" spans="11:11" x14ac:dyDescent="0.15">
      <c r="K159" s="215"/>
    </row>
    <row r="160" spans="11:11" x14ac:dyDescent="0.15">
      <c r="K160" s="215"/>
    </row>
    <row r="161" spans="11:11" x14ac:dyDescent="0.15">
      <c r="K161" s="215"/>
    </row>
    <row r="162" spans="11:11" x14ac:dyDescent="0.15">
      <c r="K162" s="215"/>
    </row>
    <row r="163" spans="11:11" x14ac:dyDescent="0.15">
      <c r="K163" s="215"/>
    </row>
    <row r="164" spans="11:11" x14ac:dyDescent="0.15">
      <c r="K164" s="215"/>
    </row>
    <row r="165" spans="11:11" x14ac:dyDescent="0.15">
      <c r="K165" s="215"/>
    </row>
    <row r="166" spans="11:11" x14ac:dyDescent="0.15">
      <c r="K166" s="215"/>
    </row>
    <row r="167" spans="11:11" x14ac:dyDescent="0.15">
      <c r="K167" s="215"/>
    </row>
    <row r="168" spans="11:11" x14ac:dyDescent="0.15">
      <c r="K168" s="215"/>
    </row>
    <row r="169" spans="11:11" x14ac:dyDescent="0.15">
      <c r="K169" s="215"/>
    </row>
    <row r="170" spans="11:11" x14ac:dyDescent="0.15">
      <c r="K170" s="215"/>
    </row>
    <row r="171" spans="11:11" x14ac:dyDescent="0.15">
      <c r="K171" s="215"/>
    </row>
    <row r="172" spans="11:11" x14ac:dyDescent="0.15">
      <c r="K172" s="215"/>
    </row>
    <row r="173" spans="11:11" x14ac:dyDescent="0.15">
      <c r="K173" s="215"/>
    </row>
    <row r="174" spans="11:11" x14ac:dyDescent="0.15">
      <c r="K174" s="215"/>
    </row>
    <row r="175" spans="11:11" x14ac:dyDescent="0.15">
      <c r="K175" s="215"/>
    </row>
    <row r="176" spans="11:11" x14ac:dyDescent="0.15">
      <c r="K176" s="215"/>
    </row>
    <row r="177" spans="11:11" x14ac:dyDescent="0.15">
      <c r="K177" s="215"/>
    </row>
    <row r="178" spans="11:11" x14ac:dyDescent="0.15">
      <c r="K178" s="215"/>
    </row>
    <row r="179" spans="11:11" x14ac:dyDescent="0.15">
      <c r="K179" s="215"/>
    </row>
    <row r="180" spans="11:11" x14ac:dyDescent="0.15">
      <c r="K180" s="215"/>
    </row>
    <row r="181" spans="11:11" x14ac:dyDescent="0.15">
      <c r="K181" s="215"/>
    </row>
    <row r="182" spans="11:11" x14ac:dyDescent="0.15">
      <c r="K182" s="215"/>
    </row>
    <row r="183" spans="11:11" x14ac:dyDescent="0.15">
      <c r="K183" s="215"/>
    </row>
    <row r="184" spans="11:11" x14ac:dyDescent="0.15">
      <c r="K184" s="215"/>
    </row>
    <row r="185" spans="11:11" x14ac:dyDescent="0.15">
      <c r="K185" s="215"/>
    </row>
    <row r="186" spans="11:11" x14ac:dyDescent="0.15">
      <c r="K186" s="215"/>
    </row>
    <row r="187" spans="11:11" x14ac:dyDescent="0.15">
      <c r="K187" s="215"/>
    </row>
    <row r="188" spans="11:11" x14ac:dyDescent="0.15">
      <c r="K188" s="215"/>
    </row>
    <row r="189" spans="11:11" x14ac:dyDescent="0.15">
      <c r="K189" s="215"/>
    </row>
    <row r="190" spans="11:11" x14ac:dyDescent="0.15">
      <c r="K190" s="215"/>
    </row>
    <row r="191" spans="11:11" x14ac:dyDescent="0.15">
      <c r="K191" s="215"/>
    </row>
    <row r="192" spans="11:11" x14ac:dyDescent="0.15">
      <c r="K192" s="215"/>
    </row>
    <row r="193" spans="11:11" x14ac:dyDescent="0.15">
      <c r="K193" s="215"/>
    </row>
    <row r="194" spans="11:11" x14ac:dyDescent="0.15">
      <c r="K194" s="215"/>
    </row>
    <row r="195" spans="11:11" x14ac:dyDescent="0.15">
      <c r="K195" s="215"/>
    </row>
    <row r="196" spans="11:11" x14ac:dyDescent="0.15">
      <c r="K196" s="215"/>
    </row>
    <row r="197" spans="11:11" x14ac:dyDescent="0.15">
      <c r="K197" s="215"/>
    </row>
    <row r="198" spans="11:11" x14ac:dyDescent="0.15">
      <c r="K198" s="215"/>
    </row>
    <row r="199" spans="11:11" x14ac:dyDescent="0.15">
      <c r="K199" s="215"/>
    </row>
    <row r="200" spans="11:11" x14ac:dyDescent="0.15">
      <c r="K200" s="215"/>
    </row>
    <row r="201" spans="11:11" x14ac:dyDescent="0.15">
      <c r="K201" s="215"/>
    </row>
    <row r="202" spans="11:11" x14ac:dyDescent="0.15">
      <c r="K202" s="215"/>
    </row>
    <row r="203" spans="11:11" x14ac:dyDescent="0.15">
      <c r="K203" s="215"/>
    </row>
    <row r="204" spans="11:11" x14ac:dyDescent="0.15">
      <c r="K204" s="215"/>
    </row>
    <row r="205" spans="11:11" x14ac:dyDescent="0.15">
      <c r="K205" s="215"/>
    </row>
    <row r="206" spans="11:11" x14ac:dyDescent="0.15">
      <c r="K206" s="215"/>
    </row>
    <row r="207" spans="11:11" x14ac:dyDescent="0.15">
      <c r="K207" s="215"/>
    </row>
    <row r="208" spans="11:11" x14ac:dyDescent="0.15">
      <c r="K208" s="215"/>
    </row>
    <row r="209" spans="11:11" x14ac:dyDescent="0.15">
      <c r="K209" s="215"/>
    </row>
    <row r="210" spans="11:11" x14ac:dyDescent="0.15">
      <c r="K210" s="215"/>
    </row>
    <row r="211" spans="11:11" x14ac:dyDescent="0.15">
      <c r="K211" s="215"/>
    </row>
    <row r="212" spans="11:11" x14ac:dyDescent="0.15">
      <c r="K212" s="215"/>
    </row>
    <row r="213" spans="11:11" x14ac:dyDescent="0.15">
      <c r="K213" s="215"/>
    </row>
    <row r="214" spans="11:11" x14ac:dyDescent="0.15">
      <c r="K214" s="215"/>
    </row>
    <row r="215" spans="11:11" x14ac:dyDescent="0.15">
      <c r="K215" s="215"/>
    </row>
    <row r="216" spans="11:11" x14ac:dyDescent="0.15">
      <c r="K216" s="215"/>
    </row>
    <row r="217" spans="11:11" x14ac:dyDescent="0.15">
      <c r="K217" s="215"/>
    </row>
    <row r="218" spans="11:11" x14ac:dyDescent="0.15">
      <c r="K218" s="215"/>
    </row>
    <row r="219" spans="11:11" x14ac:dyDescent="0.15">
      <c r="K219" s="215"/>
    </row>
    <row r="220" spans="11:11" x14ac:dyDescent="0.15">
      <c r="K220" s="215"/>
    </row>
    <row r="221" spans="11:11" x14ac:dyDescent="0.15">
      <c r="K221" s="215"/>
    </row>
    <row r="222" spans="11:11" x14ac:dyDescent="0.15">
      <c r="K222" s="215"/>
    </row>
    <row r="223" spans="11:11" x14ac:dyDescent="0.15">
      <c r="K223" s="215"/>
    </row>
    <row r="224" spans="11:11" x14ac:dyDescent="0.15">
      <c r="K224" s="215"/>
    </row>
    <row r="225" spans="11:11" x14ac:dyDescent="0.15">
      <c r="K225" s="215"/>
    </row>
    <row r="226" spans="11:11" x14ac:dyDescent="0.15">
      <c r="K226" s="215"/>
    </row>
    <row r="227" spans="11:11" x14ac:dyDescent="0.15">
      <c r="K227" s="215"/>
    </row>
    <row r="228" spans="11:11" x14ac:dyDescent="0.15">
      <c r="K228" s="215"/>
    </row>
    <row r="229" spans="11:11" x14ac:dyDescent="0.15">
      <c r="K229" s="215"/>
    </row>
    <row r="230" spans="11:11" x14ac:dyDescent="0.15">
      <c r="K230" s="215"/>
    </row>
    <row r="231" spans="11:11" x14ac:dyDescent="0.15">
      <c r="K231" s="215"/>
    </row>
    <row r="232" spans="11:11" x14ac:dyDescent="0.15">
      <c r="K232" s="215"/>
    </row>
    <row r="233" spans="11:11" x14ac:dyDescent="0.15">
      <c r="K233" s="215"/>
    </row>
    <row r="234" spans="11:11" x14ac:dyDescent="0.15">
      <c r="K234" s="215"/>
    </row>
    <row r="235" spans="11:11" x14ac:dyDescent="0.15">
      <c r="K235" s="215"/>
    </row>
    <row r="236" spans="11:11" x14ac:dyDescent="0.15">
      <c r="K236" s="215"/>
    </row>
    <row r="237" spans="11:11" x14ac:dyDescent="0.15">
      <c r="K237" s="215"/>
    </row>
    <row r="238" spans="11:11" x14ac:dyDescent="0.15">
      <c r="K238" s="215"/>
    </row>
    <row r="239" spans="11:11" x14ac:dyDescent="0.15">
      <c r="K239" s="215"/>
    </row>
    <row r="240" spans="11:11" x14ac:dyDescent="0.15">
      <c r="K240" s="215"/>
    </row>
    <row r="241" spans="11:11" x14ac:dyDescent="0.15">
      <c r="K241" s="215"/>
    </row>
    <row r="242" spans="11:11" x14ac:dyDescent="0.15">
      <c r="K242" s="215"/>
    </row>
    <row r="243" spans="11:11" x14ac:dyDescent="0.15">
      <c r="K243" s="215"/>
    </row>
    <row r="244" spans="11:11" x14ac:dyDescent="0.15">
      <c r="K244" s="215"/>
    </row>
    <row r="245" spans="11:11" x14ac:dyDescent="0.15">
      <c r="K245" s="215"/>
    </row>
    <row r="246" spans="11:11" x14ac:dyDescent="0.15">
      <c r="K246" s="215"/>
    </row>
    <row r="247" spans="11:11" x14ac:dyDescent="0.15">
      <c r="K247" s="215"/>
    </row>
    <row r="248" spans="11:11" x14ac:dyDescent="0.15">
      <c r="K248" s="215"/>
    </row>
    <row r="249" spans="11:11" x14ac:dyDescent="0.15">
      <c r="K249" s="215"/>
    </row>
    <row r="250" spans="11:11" x14ac:dyDescent="0.15">
      <c r="K250" s="215"/>
    </row>
    <row r="251" spans="11:11" x14ac:dyDescent="0.15">
      <c r="K251" s="215"/>
    </row>
    <row r="252" spans="11:11" x14ac:dyDescent="0.15">
      <c r="K252" s="215"/>
    </row>
    <row r="253" spans="11:11" x14ac:dyDescent="0.15">
      <c r="K253" s="215"/>
    </row>
    <row r="254" spans="11:11" x14ac:dyDescent="0.15">
      <c r="K254" s="215"/>
    </row>
    <row r="255" spans="11:11" x14ac:dyDescent="0.15">
      <c r="K255" s="215"/>
    </row>
    <row r="256" spans="11:11" x14ac:dyDescent="0.15">
      <c r="K256" s="215"/>
    </row>
    <row r="257" spans="11:11" x14ac:dyDescent="0.15">
      <c r="K257" s="215"/>
    </row>
    <row r="258" spans="11:11" x14ac:dyDescent="0.15">
      <c r="K258" s="215"/>
    </row>
    <row r="259" spans="11:11" x14ac:dyDescent="0.15">
      <c r="K259" s="215"/>
    </row>
    <row r="260" spans="11:11" x14ac:dyDescent="0.15">
      <c r="K260" s="215"/>
    </row>
    <row r="261" spans="11:11" x14ac:dyDescent="0.15">
      <c r="K261" s="215"/>
    </row>
    <row r="262" spans="11:11" x14ac:dyDescent="0.15">
      <c r="K262" s="215"/>
    </row>
    <row r="263" spans="11:11" x14ac:dyDescent="0.15">
      <c r="K263" s="215"/>
    </row>
    <row r="264" spans="11:11" x14ac:dyDescent="0.15">
      <c r="K264" s="215"/>
    </row>
    <row r="265" spans="11:11" x14ac:dyDescent="0.15">
      <c r="K265" s="215"/>
    </row>
    <row r="266" spans="11:11" x14ac:dyDescent="0.15">
      <c r="K266" s="215"/>
    </row>
    <row r="267" spans="11:11" x14ac:dyDescent="0.15">
      <c r="K267" s="215"/>
    </row>
    <row r="268" spans="11:11" x14ac:dyDescent="0.15">
      <c r="K268" s="215"/>
    </row>
    <row r="269" spans="11:11" x14ac:dyDescent="0.15">
      <c r="K269" s="215"/>
    </row>
    <row r="270" spans="11:11" x14ac:dyDescent="0.15">
      <c r="K270" s="215"/>
    </row>
    <row r="271" spans="11:11" x14ac:dyDescent="0.15">
      <c r="K271" s="215"/>
    </row>
    <row r="272" spans="11:11" x14ac:dyDescent="0.15">
      <c r="K272" s="215"/>
    </row>
    <row r="273" spans="11:11" x14ac:dyDescent="0.15">
      <c r="K273" s="215"/>
    </row>
    <row r="274" spans="11:11" x14ac:dyDescent="0.15">
      <c r="K274" s="215"/>
    </row>
    <row r="275" spans="11:11" x14ac:dyDescent="0.15">
      <c r="K275" s="215"/>
    </row>
    <row r="276" spans="11:11" x14ac:dyDescent="0.15">
      <c r="K276" s="215"/>
    </row>
    <row r="277" spans="11:11" x14ac:dyDescent="0.15">
      <c r="K277" s="215"/>
    </row>
    <row r="278" spans="11:11" x14ac:dyDescent="0.15">
      <c r="K278" s="215"/>
    </row>
    <row r="279" spans="11:11" x14ac:dyDescent="0.15">
      <c r="K279" s="215"/>
    </row>
    <row r="280" spans="11:11" x14ac:dyDescent="0.15">
      <c r="K280" s="215"/>
    </row>
    <row r="281" spans="11:11" x14ac:dyDescent="0.15">
      <c r="K281" s="215"/>
    </row>
    <row r="282" spans="11:11" x14ac:dyDescent="0.15">
      <c r="K282" s="215"/>
    </row>
    <row r="283" spans="11:11" x14ac:dyDescent="0.15">
      <c r="K283" s="215"/>
    </row>
    <row r="284" spans="11:11" x14ac:dyDescent="0.15">
      <c r="K284" s="215"/>
    </row>
    <row r="285" spans="11:11" x14ac:dyDescent="0.15">
      <c r="K285" s="215"/>
    </row>
    <row r="286" spans="11:11" x14ac:dyDescent="0.15">
      <c r="K286" s="215"/>
    </row>
    <row r="287" spans="11:11" x14ac:dyDescent="0.15">
      <c r="K287" s="215"/>
    </row>
    <row r="288" spans="11:11" x14ac:dyDescent="0.15">
      <c r="K288" s="215"/>
    </row>
    <row r="289" spans="11:11" x14ac:dyDescent="0.15">
      <c r="K289" s="215"/>
    </row>
    <row r="290" spans="11:11" x14ac:dyDescent="0.15">
      <c r="K290" s="215"/>
    </row>
    <row r="291" spans="11:11" x14ac:dyDescent="0.15">
      <c r="K291" s="215"/>
    </row>
    <row r="292" spans="11:11" x14ac:dyDescent="0.15">
      <c r="K292" s="215"/>
    </row>
    <row r="293" spans="11:11" x14ac:dyDescent="0.15">
      <c r="K293" s="215"/>
    </row>
    <row r="294" spans="11:11" x14ac:dyDescent="0.15">
      <c r="K294" s="215"/>
    </row>
    <row r="295" spans="11:11" x14ac:dyDescent="0.15">
      <c r="K295" s="215"/>
    </row>
    <row r="296" spans="11:11" x14ac:dyDescent="0.15">
      <c r="K296" s="215"/>
    </row>
    <row r="297" spans="11:11" x14ac:dyDescent="0.15">
      <c r="K297" s="215"/>
    </row>
    <row r="298" spans="11:11" x14ac:dyDescent="0.15">
      <c r="K298" s="215"/>
    </row>
    <row r="299" spans="11:11" x14ac:dyDescent="0.15">
      <c r="K299" s="215"/>
    </row>
    <row r="300" spans="11:11" x14ac:dyDescent="0.15">
      <c r="K300" s="215"/>
    </row>
    <row r="301" spans="11:11" x14ac:dyDescent="0.15">
      <c r="K301" s="215"/>
    </row>
    <row r="302" spans="11:11" x14ac:dyDescent="0.15">
      <c r="K302" s="215"/>
    </row>
    <row r="303" spans="11:11" x14ac:dyDescent="0.15">
      <c r="K303" s="215"/>
    </row>
    <row r="304" spans="11:11" x14ac:dyDescent="0.15">
      <c r="K304" s="215"/>
    </row>
    <row r="305" spans="11:11" x14ac:dyDescent="0.15">
      <c r="K305" s="215"/>
    </row>
    <row r="306" spans="11:11" x14ac:dyDescent="0.15">
      <c r="K306" s="215"/>
    </row>
    <row r="307" spans="11:11" x14ac:dyDescent="0.15">
      <c r="K307" s="215"/>
    </row>
    <row r="308" spans="11:11" x14ac:dyDescent="0.15">
      <c r="K308" s="215"/>
    </row>
    <row r="309" spans="11:11" x14ac:dyDescent="0.15">
      <c r="K309" s="215"/>
    </row>
    <row r="310" spans="11:11" x14ac:dyDescent="0.15">
      <c r="K310" s="215"/>
    </row>
    <row r="311" spans="11:11" x14ac:dyDescent="0.15">
      <c r="K311" s="215"/>
    </row>
    <row r="312" spans="11:11" x14ac:dyDescent="0.15">
      <c r="K312" s="215"/>
    </row>
    <row r="313" spans="11:11" x14ac:dyDescent="0.15">
      <c r="K313" s="215"/>
    </row>
    <row r="314" spans="11:11" x14ac:dyDescent="0.15">
      <c r="K314" s="215"/>
    </row>
    <row r="315" spans="11:11" x14ac:dyDescent="0.15">
      <c r="K315" s="215"/>
    </row>
    <row r="316" spans="11:11" x14ac:dyDescent="0.15">
      <c r="K316" s="215"/>
    </row>
    <row r="317" spans="11:11" x14ac:dyDescent="0.15">
      <c r="K317" s="215"/>
    </row>
    <row r="318" spans="11:11" x14ac:dyDescent="0.15">
      <c r="K318" s="215"/>
    </row>
    <row r="319" spans="11:11" x14ac:dyDescent="0.15">
      <c r="K319" s="215"/>
    </row>
    <row r="320" spans="11:11" x14ac:dyDescent="0.15">
      <c r="K320" s="215"/>
    </row>
    <row r="321" spans="11:11" x14ac:dyDescent="0.15">
      <c r="K321" s="215"/>
    </row>
    <row r="322" spans="11:11" x14ac:dyDescent="0.15">
      <c r="K322" s="215"/>
    </row>
    <row r="323" spans="11:11" x14ac:dyDescent="0.15">
      <c r="K323" s="215"/>
    </row>
    <row r="324" spans="11:11" x14ac:dyDescent="0.15">
      <c r="K324" s="215"/>
    </row>
    <row r="325" spans="11:11" x14ac:dyDescent="0.15">
      <c r="K325" s="215"/>
    </row>
    <row r="326" spans="11:11" x14ac:dyDescent="0.15">
      <c r="K326" s="215"/>
    </row>
    <row r="327" spans="11:11" x14ac:dyDescent="0.15">
      <c r="K327" s="215"/>
    </row>
    <row r="328" spans="11:11" x14ac:dyDescent="0.15">
      <c r="K328" s="215"/>
    </row>
    <row r="329" spans="11:11" x14ac:dyDescent="0.15">
      <c r="K329" s="215"/>
    </row>
    <row r="330" spans="11:11" x14ac:dyDescent="0.15">
      <c r="K330" s="215"/>
    </row>
    <row r="331" spans="11:11" x14ac:dyDescent="0.15">
      <c r="K331" s="215"/>
    </row>
    <row r="332" spans="11:11" x14ac:dyDescent="0.15">
      <c r="K332" s="215"/>
    </row>
    <row r="333" spans="11:11" x14ac:dyDescent="0.15">
      <c r="K333" s="215"/>
    </row>
    <row r="334" spans="11:11" x14ac:dyDescent="0.15">
      <c r="K334" s="215"/>
    </row>
    <row r="335" spans="11:11" x14ac:dyDescent="0.15">
      <c r="K335" s="215"/>
    </row>
    <row r="336" spans="11:11" x14ac:dyDescent="0.15">
      <c r="K336" s="215"/>
    </row>
    <row r="337" spans="11:11" x14ac:dyDescent="0.15">
      <c r="K337" s="215"/>
    </row>
    <row r="338" spans="11:11" x14ac:dyDescent="0.15">
      <c r="K338" s="215"/>
    </row>
    <row r="339" spans="11:11" x14ac:dyDescent="0.15">
      <c r="K339" s="215"/>
    </row>
    <row r="340" spans="11:11" x14ac:dyDescent="0.15">
      <c r="K340" s="215"/>
    </row>
    <row r="341" spans="11:11" x14ac:dyDescent="0.15">
      <c r="K341" s="215"/>
    </row>
    <row r="342" spans="11:11" x14ac:dyDescent="0.15">
      <c r="K342" s="215"/>
    </row>
    <row r="343" spans="11:11" x14ac:dyDescent="0.15">
      <c r="K343" s="215"/>
    </row>
    <row r="344" spans="11:11" x14ac:dyDescent="0.15">
      <c r="K344" s="215"/>
    </row>
    <row r="345" spans="11:11" x14ac:dyDescent="0.15">
      <c r="K345" s="215"/>
    </row>
    <row r="346" spans="11:11" x14ac:dyDescent="0.15">
      <c r="K346" s="215"/>
    </row>
    <row r="347" spans="11:11" x14ac:dyDescent="0.15">
      <c r="K347" s="215"/>
    </row>
    <row r="348" spans="11:11" x14ac:dyDescent="0.15">
      <c r="K348" s="215"/>
    </row>
    <row r="349" spans="11:11" x14ac:dyDescent="0.15">
      <c r="K349" s="215"/>
    </row>
    <row r="350" spans="11:11" x14ac:dyDescent="0.15">
      <c r="K350" s="215"/>
    </row>
    <row r="351" spans="11:11" x14ac:dyDescent="0.15">
      <c r="K351" s="215"/>
    </row>
    <row r="352" spans="11:11" x14ac:dyDescent="0.15">
      <c r="K352" s="215"/>
    </row>
    <row r="353" spans="11:11" x14ac:dyDescent="0.15">
      <c r="K353" s="215"/>
    </row>
    <row r="354" spans="11:11" x14ac:dyDescent="0.15">
      <c r="K354" s="215"/>
    </row>
    <row r="355" spans="11:11" x14ac:dyDescent="0.15">
      <c r="K355" s="215"/>
    </row>
    <row r="356" spans="11:11" x14ac:dyDescent="0.15">
      <c r="K356" s="215"/>
    </row>
    <row r="357" spans="11:11" x14ac:dyDescent="0.15">
      <c r="K357" s="215"/>
    </row>
    <row r="358" spans="11:11" x14ac:dyDescent="0.15">
      <c r="K358" s="215"/>
    </row>
    <row r="359" spans="11:11" x14ac:dyDescent="0.15">
      <c r="K359" s="215"/>
    </row>
    <row r="360" spans="11:11" x14ac:dyDescent="0.15">
      <c r="K360" s="215"/>
    </row>
    <row r="361" spans="11:11" x14ac:dyDescent="0.15">
      <c r="K361" s="215"/>
    </row>
    <row r="362" spans="11:11" x14ac:dyDescent="0.15">
      <c r="K362" s="215"/>
    </row>
    <row r="363" spans="11:11" x14ac:dyDescent="0.15">
      <c r="K363" s="215"/>
    </row>
    <row r="364" spans="11:11" x14ac:dyDescent="0.15">
      <c r="K364" s="215"/>
    </row>
    <row r="365" spans="11:11" x14ac:dyDescent="0.15">
      <c r="K365" s="215"/>
    </row>
    <row r="366" spans="11:11" x14ac:dyDescent="0.15">
      <c r="K366" s="215"/>
    </row>
    <row r="367" spans="11:11" x14ac:dyDescent="0.15">
      <c r="K367" s="215"/>
    </row>
    <row r="368" spans="11:11" x14ac:dyDescent="0.15">
      <c r="K368" s="215"/>
    </row>
    <row r="369" spans="11:11" x14ac:dyDescent="0.15">
      <c r="K369" s="215"/>
    </row>
    <row r="370" spans="11:11" x14ac:dyDescent="0.15">
      <c r="K370" s="215"/>
    </row>
    <row r="371" spans="11:11" x14ac:dyDescent="0.15">
      <c r="K371" s="215"/>
    </row>
    <row r="372" spans="11:11" x14ac:dyDescent="0.15">
      <c r="K372" s="215"/>
    </row>
    <row r="373" spans="11:11" x14ac:dyDescent="0.15">
      <c r="K373" s="215"/>
    </row>
    <row r="374" spans="11:11" x14ac:dyDescent="0.15">
      <c r="K374" s="215"/>
    </row>
    <row r="375" spans="11:11" x14ac:dyDescent="0.15">
      <c r="K375" s="215"/>
    </row>
    <row r="376" spans="11:11" x14ac:dyDescent="0.15">
      <c r="K376" s="215"/>
    </row>
    <row r="377" spans="11:11" x14ac:dyDescent="0.15">
      <c r="K377" s="215"/>
    </row>
    <row r="378" spans="11:11" x14ac:dyDescent="0.15">
      <c r="K378" s="215"/>
    </row>
    <row r="379" spans="11:11" x14ac:dyDescent="0.15">
      <c r="K379" s="215"/>
    </row>
    <row r="380" spans="11:11" x14ac:dyDescent="0.15">
      <c r="K380" s="215"/>
    </row>
    <row r="381" spans="11:11" x14ac:dyDescent="0.15">
      <c r="K381" s="215"/>
    </row>
    <row r="382" spans="11:11" x14ac:dyDescent="0.15">
      <c r="K382" s="215"/>
    </row>
    <row r="383" spans="11:11" x14ac:dyDescent="0.15">
      <c r="K383" s="215"/>
    </row>
    <row r="384" spans="11:11" x14ac:dyDescent="0.15">
      <c r="K384" s="215"/>
    </row>
    <row r="385" spans="11:11" x14ac:dyDescent="0.15">
      <c r="K385" s="215"/>
    </row>
    <row r="386" spans="11:11" x14ac:dyDescent="0.15">
      <c r="K386" s="215"/>
    </row>
    <row r="387" spans="11:11" x14ac:dyDescent="0.15">
      <c r="K387" s="215"/>
    </row>
    <row r="388" spans="11:11" x14ac:dyDescent="0.15">
      <c r="K388" s="215"/>
    </row>
    <row r="389" spans="11:11" x14ac:dyDescent="0.15">
      <c r="K389" s="215"/>
    </row>
    <row r="390" spans="11:11" x14ac:dyDescent="0.15">
      <c r="K390" s="215"/>
    </row>
    <row r="391" spans="11:11" x14ac:dyDescent="0.15">
      <c r="K391" s="215"/>
    </row>
    <row r="392" spans="11:11" x14ac:dyDescent="0.15">
      <c r="K392" s="215"/>
    </row>
    <row r="393" spans="11:11" x14ac:dyDescent="0.15">
      <c r="K393" s="215"/>
    </row>
    <row r="394" spans="11:11" x14ac:dyDescent="0.15">
      <c r="K394" s="215"/>
    </row>
    <row r="395" spans="11:11" x14ac:dyDescent="0.15">
      <c r="K395" s="215"/>
    </row>
    <row r="396" spans="11:11" x14ac:dyDescent="0.15">
      <c r="K396" s="215"/>
    </row>
    <row r="397" spans="11:11" x14ac:dyDescent="0.15">
      <c r="K397" s="215"/>
    </row>
    <row r="398" spans="11:11" x14ac:dyDescent="0.15">
      <c r="K398" s="215"/>
    </row>
    <row r="399" spans="11:11" x14ac:dyDescent="0.15">
      <c r="K399" s="215"/>
    </row>
    <row r="400" spans="11:11" x14ac:dyDescent="0.15">
      <c r="K400" s="215"/>
    </row>
    <row r="401" spans="11:11" x14ac:dyDescent="0.15">
      <c r="K401" s="215"/>
    </row>
    <row r="402" spans="11:11" x14ac:dyDescent="0.15">
      <c r="K402" s="215"/>
    </row>
    <row r="403" spans="11:11" x14ac:dyDescent="0.15">
      <c r="K403" s="215"/>
    </row>
    <row r="404" spans="11:11" x14ac:dyDescent="0.15">
      <c r="K404" s="215"/>
    </row>
    <row r="405" spans="11:11" x14ac:dyDescent="0.15">
      <c r="K405" s="215"/>
    </row>
    <row r="406" spans="11:11" x14ac:dyDescent="0.15">
      <c r="K406" s="215"/>
    </row>
    <row r="407" spans="11:11" x14ac:dyDescent="0.15">
      <c r="K407" s="215"/>
    </row>
    <row r="408" spans="11:11" x14ac:dyDescent="0.15">
      <c r="K408" s="215"/>
    </row>
    <row r="409" spans="11:11" x14ac:dyDescent="0.15">
      <c r="K409" s="215"/>
    </row>
    <row r="410" spans="11:11" x14ac:dyDescent="0.15">
      <c r="K410" s="215"/>
    </row>
    <row r="411" spans="11:11" x14ac:dyDescent="0.15">
      <c r="K411" s="215"/>
    </row>
    <row r="412" spans="11:11" x14ac:dyDescent="0.15">
      <c r="K412" s="215"/>
    </row>
    <row r="413" spans="11:11" x14ac:dyDescent="0.15">
      <c r="K413" s="215"/>
    </row>
    <row r="414" spans="11:11" x14ac:dyDescent="0.15">
      <c r="K414" s="215"/>
    </row>
    <row r="415" spans="11:11" x14ac:dyDescent="0.15">
      <c r="K415" s="215"/>
    </row>
    <row r="416" spans="11:11" x14ac:dyDescent="0.15">
      <c r="K416" s="215"/>
    </row>
    <row r="417" spans="11:11" x14ac:dyDescent="0.15">
      <c r="K417" s="215"/>
    </row>
    <row r="418" spans="11:11" x14ac:dyDescent="0.15">
      <c r="K418" s="215"/>
    </row>
    <row r="419" spans="11:11" x14ac:dyDescent="0.15">
      <c r="K419" s="215"/>
    </row>
    <row r="420" spans="11:11" x14ac:dyDescent="0.15">
      <c r="K420" s="215"/>
    </row>
    <row r="421" spans="11:11" x14ac:dyDescent="0.15">
      <c r="K421" s="215"/>
    </row>
    <row r="422" spans="11:11" x14ac:dyDescent="0.15">
      <c r="K422" s="215"/>
    </row>
    <row r="423" spans="11:11" x14ac:dyDescent="0.15">
      <c r="K423" s="215"/>
    </row>
    <row r="424" spans="11:11" x14ac:dyDescent="0.15">
      <c r="K424" s="215"/>
    </row>
    <row r="425" spans="11:11" x14ac:dyDescent="0.15">
      <c r="K425" s="215"/>
    </row>
    <row r="426" spans="11:11" x14ac:dyDescent="0.15">
      <c r="K426" s="215"/>
    </row>
    <row r="427" spans="11:11" x14ac:dyDescent="0.15">
      <c r="K427" s="215"/>
    </row>
    <row r="428" spans="11:11" x14ac:dyDescent="0.15">
      <c r="K428" s="215"/>
    </row>
    <row r="429" spans="11:11" x14ac:dyDescent="0.15">
      <c r="K429" s="215"/>
    </row>
    <row r="430" spans="11:11" x14ac:dyDescent="0.15">
      <c r="K430" s="215"/>
    </row>
    <row r="431" spans="11:11" x14ac:dyDescent="0.15">
      <c r="K431" s="215"/>
    </row>
    <row r="432" spans="11:11" x14ac:dyDescent="0.15">
      <c r="K432" s="215"/>
    </row>
    <row r="433" spans="11:11" x14ac:dyDescent="0.15">
      <c r="K433" s="215"/>
    </row>
    <row r="434" spans="11:11" x14ac:dyDescent="0.15">
      <c r="K434" s="215"/>
    </row>
    <row r="435" spans="11:11" x14ac:dyDescent="0.15">
      <c r="K435" s="215"/>
    </row>
    <row r="436" spans="11:11" x14ac:dyDescent="0.15">
      <c r="K436" s="215"/>
    </row>
    <row r="437" spans="11:11" x14ac:dyDescent="0.15">
      <c r="K437" s="215"/>
    </row>
    <row r="438" spans="11:11" x14ac:dyDescent="0.15">
      <c r="K438" s="215"/>
    </row>
    <row r="439" spans="11:11" x14ac:dyDescent="0.15">
      <c r="K439" s="215"/>
    </row>
    <row r="440" spans="11:11" x14ac:dyDescent="0.15">
      <c r="K440" s="215"/>
    </row>
    <row r="441" spans="11:11" x14ac:dyDescent="0.15">
      <c r="K441" s="215"/>
    </row>
    <row r="442" spans="11:11" x14ac:dyDescent="0.15">
      <c r="K442" s="215"/>
    </row>
    <row r="443" spans="11:11" x14ac:dyDescent="0.15">
      <c r="K443" s="215"/>
    </row>
    <row r="444" spans="11:11" x14ac:dyDescent="0.15">
      <c r="K444" s="215"/>
    </row>
    <row r="445" spans="11:11" x14ac:dyDescent="0.15">
      <c r="K445" s="215"/>
    </row>
    <row r="446" spans="11:11" x14ac:dyDescent="0.15">
      <c r="K446" s="215"/>
    </row>
    <row r="447" spans="11:11" x14ac:dyDescent="0.15">
      <c r="K447" s="215"/>
    </row>
    <row r="448" spans="11:11" x14ac:dyDescent="0.15">
      <c r="K448" s="215"/>
    </row>
    <row r="449" spans="11:11" x14ac:dyDescent="0.15">
      <c r="K449" s="215"/>
    </row>
    <row r="450" spans="11:11" x14ac:dyDescent="0.15">
      <c r="K450" s="215"/>
    </row>
    <row r="451" spans="11:11" x14ac:dyDescent="0.15">
      <c r="K451" s="215"/>
    </row>
    <row r="452" spans="11:11" x14ac:dyDescent="0.15">
      <c r="K452" s="215"/>
    </row>
    <row r="453" spans="11:11" x14ac:dyDescent="0.15">
      <c r="K453" s="215"/>
    </row>
    <row r="454" spans="11:11" x14ac:dyDescent="0.15">
      <c r="K454" s="215"/>
    </row>
    <row r="455" spans="11:11" x14ac:dyDescent="0.15">
      <c r="K455" s="215"/>
    </row>
    <row r="456" spans="11:11" x14ac:dyDescent="0.15">
      <c r="K456" s="215"/>
    </row>
    <row r="457" spans="11:11" x14ac:dyDescent="0.15">
      <c r="K457" s="215"/>
    </row>
    <row r="458" spans="11:11" x14ac:dyDescent="0.15">
      <c r="K458" s="215"/>
    </row>
    <row r="459" spans="11:11" x14ac:dyDescent="0.15">
      <c r="K459" s="215"/>
    </row>
    <row r="460" spans="11:11" x14ac:dyDescent="0.15">
      <c r="K460" s="215"/>
    </row>
    <row r="461" spans="11:11" x14ac:dyDescent="0.15">
      <c r="K461" s="215"/>
    </row>
    <row r="462" spans="11:11" x14ac:dyDescent="0.15">
      <c r="K462" s="215"/>
    </row>
    <row r="463" spans="11:11" x14ac:dyDescent="0.15">
      <c r="K463" s="215"/>
    </row>
    <row r="464" spans="11:11" x14ac:dyDescent="0.15">
      <c r="K464" s="215"/>
    </row>
    <row r="465" spans="11:11" x14ac:dyDescent="0.15">
      <c r="K465" s="215"/>
    </row>
    <row r="466" spans="11:11" x14ac:dyDescent="0.15">
      <c r="K466" s="215"/>
    </row>
    <row r="467" spans="11:11" x14ac:dyDescent="0.15">
      <c r="K467" s="215"/>
    </row>
    <row r="468" spans="11:11" x14ac:dyDescent="0.15">
      <c r="K468" s="215"/>
    </row>
    <row r="469" spans="11:11" x14ac:dyDescent="0.15">
      <c r="K469" s="215"/>
    </row>
    <row r="470" spans="11:11" x14ac:dyDescent="0.15">
      <c r="K470" s="215"/>
    </row>
    <row r="471" spans="11:11" x14ac:dyDescent="0.15">
      <c r="K471" s="215"/>
    </row>
    <row r="472" spans="11:11" x14ac:dyDescent="0.15">
      <c r="K472" s="215"/>
    </row>
    <row r="473" spans="11:11" x14ac:dyDescent="0.15">
      <c r="K473" s="215"/>
    </row>
    <row r="474" spans="11:11" x14ac:dyDescent="0.15">
      <c r="K474" s="215"/>
    </row>
    <row r="475" spans="11:11" x14ac:dyDescent="0.15">
      <c r="K475" s="215"/>
    </row>
    <row r="476" spans="11:11" x14ac:dyDescent="0.15">
      <c r="K476" s="215"/>
    </row>
    <row r="477" spans="11:11" x14ac:dyDescent="0.15">
      <c r="K477" s="215"/>
    </row>
    <row r="478" spans="11:11" x14ac:dyDescent="0.15">
      <c r="K478" s="215"/>
    </row>
    <row r="479" spans="11:11" x14ac:dyDescent="0.15">
      <c r="K479" s="215"/>
    </row>
    <row r="480" spans="11:11" x14ac:dyDescent="0.15">
      <c r="K480" s="215"/>
    </row>
    <row r="481" spans="11:11" x14ac:dyDescent="0.15">
      <c r="K481" s="215"/>
    </row>
    <row r="482" spans="11:11" x14ac:dyDescent="0.15">
      <c r="K482" s="215"/>
    </row>
    <row r="483" spans="11:11" x14ac:dyDescent="0.15">
      <c r="K483" s="215"/>
    </row>
    <row r="484" spans="11:11" x14ac:dyDescent="0.15">
      <c r="K484" s="215"/>
    </row>
    <row r="485" spans="11:11" x14ac:dyDescent="0.15">
      <c r="K485" s="215"/>
    </row>
    <row r="486" spans="11:11" x14ac:dyDescent="0.15">
      <c r="K486" s="215"/>
    </row>
    <row r="487" spans="11:11" x14ac:dyDescent="0.15">
      <c r="K487" s="215"/>
    </row>
    <row r="488" spans="11:11" x14ac:dyDescent="0.15">
      <c r="K488" s="215"/>
    </row>
    <row r="489" spans="11:11" x14ac:dyDescent="0.15">
      <c r="K489" s="215"/>
    </row>
    <row r="490" spans="11:11" x14ac:dyDescent="0.15">
      <c r="K490" s="215"/>
    </row>
    <row r="491" spans="11:11" x14ac:dyDescent="0.15">
      <c r="K491" s="215"/>
    </row>
    <row r="492" spans="11:11" x14ac:dyDescent="0.15">
      <c r="K492" s="215"/>
    </row>
    <row r="493" spans="11:11" x14ac:dyDescent="0.15">
      <c r="K493" s="215"/>
    </row>
    <row r="494" spans="11:11" x14ac:dyDescent="0.15">
      <c r="K494" s="215"/>
    </row>
    <row r="495" spans="11:11" x14ac:dyDescent="0.15">
      <c r="K495" s="215"/>
    </row>
    <row r="496" spans="11:11" x14ac:dyDescent="0.15">
      <c r="K496" s="215"/>
    </row>
    <row r="497" spans="11:11" x14ac:dyDescent="0.15">
      <c r="K497" s="215"/>
    </row>
    <row r="498" spans="11:11" x14ac:dyDescent="0.15">
      <c r="K498" s="215"/>
    </row>
    <row r="499" spans="11:11" x14ac:dyDescent="0.15">
      <c r="K499" s="215"/>
    </row>
    <row r="500" spans="11:11" x14ac:dyDescent="0.15">
      <c r="K500" s="215"/>
    </row>
    <row r="501" spans="11:11" x14ac:dyDescent="0.15">
      <c r="K501" s="215"/>
    </row>
    <row r="502" spans="11:11" x14ac:dyDescent="0.15">
      <c r="K502" s="215"/>
    </row>
    <row r="503" spans="11:11" x14ac:dyDescent="0.15">
      <c r="K503" s="215"/>
    </row>
    <row r="504" spans="11:11" x14ac:dyDescent="0.15">
      <c r="K504" s="215"/>
    </row>
    <row r="505" spans="11:11" x14ac:dyDescent="0.15">
      <c r="K505" s="215"/>
    </row>
    <row r="506" spans="11:11" x14ac:dyDescent="0.15">
      <c r="K506" s="215"/>
    </row>
    <row r="507" spans="11:11" x14ac:dyDescent="0.15">
      <c r="K507" s="215"/>
    </row>
    <row r="508" spans="11:11" x14ac:dyDescent="0.15">
      <c r="K508" s="215"/>
    </row>
    <row r="509" spans="11:11" x14ac:dyDescent="0.15">
      <c r="K509" s="215"/>
    </row>
    <row r="510" spans="11:11" x14ac:dyDescent="0.15">
      <c r="K510" s="215"/>
    </row>
    <row r="511" spans="11:11" x14ac:dyDescent="0.15">
      <c r="K511" s="215"/>
    </row>
    <row r="512" spans="11:11" x14ac:dyDescent="0.15">
      <c r="K512" s="215"/>
    </row>
    <row r="513" spans="11:11" x14ac:dyDescent="0.15">
      <c r="K513" s="215"/>
    </row>
    <row r="514" spans="11:11" x14ac:dyDescent="0.15">
      <c r="K514" s="215"/>
    </row>
    <row r="515" spans="11:11" x14ac:dyDescent="0.15">
      <c r="K515" s="215"/>
    </row>
    <row r="516" spans="11:11" x14ac:dyDescent="0.15">
      <c r="K516" s="215"/>
    </row>
    <row r="517" spans="11:11" x14ac:dyDescent="0.15">
      <c r="K517" s="215"/>
    </row>
    <row r="518" spans="11:11" x14ac:dyDescent="0.15">
      <c r="K518" s="215"/>
    </row>
    <row r="519" spans="11:11" x14ac:dyDescent="0.15">
      <c r="K519" s="215"/>
    </row>
    <row r="520" spans="11:11" x14ac:dyDescent="0.15">
      <c r="K520" s="215"/>
    </row>
    <row r="521" spans="11:11" x14ac:dyDescent="0.15">
      <c r="K521" s="215"/>
    </row>
    <row r="522" spans="11:11" x14ac:dyDescent="0.15">
      <c r="K522" s="215"/>
    </row>
    <row r="523" spans="11:11" x14ac:dyDescent="0.15">
      <c r="K523" s="215"/>
    </row>
    <row r="524" spans="11:11" x14ac:dyDescent="0.15">
      <c r="K524" s="215"/>
    </row>
    <row r="525" spans="11:11" x14ac:dyDescent="0.15">
      <c r="K525" s="215"/>
    </row>
    <row r="526" spans="11:11" x14ac:dyDescent="0.15">
      <c r="K526" s="215"/>
    </row>
    <row r="527" spans="11:11" x14ac:dyDescent="0.15">
      <c r="K527" s="215"/>
    </row>
    <row r="528" spans="11:11" x14ac:dyDescent="0.15">
      <c r="K528" s="215"/>
    </row>
    <row r="529" spans="11:11" x14ac:dyDescent="0.15">
      <c r="K529" s="215"/>
    </row>
    <row r="530" spans="11:11" x14ac:dyDescent="0.15">
      <c r="K530" s="215"/>
    </row>
    <row r="531" spans="11:11" x14ac:dyDescent="0.15">
      <c r="K531" s="215"/>
    </row>
    <row r="532" spans="11:11" x14ac:dyDescent="0.15">
      <c r="K532" s="215"/>
    </row>
    <row r="533" spans="11:11" x14ac:dyDescent="0.15">
      <c r="K533" s="215"/>
    </row>
    <row r="534" spans="11:11" x14ac:dyDescent="0.15">
      <c r="K534" s="215"/>
    </row>
    <row r="535" spans="11:11" x14ac:dyDescent="0.15">
      <c r="K535" s="215"/>
    </row>
    <row r="536" spans="11:11" x14ac:dyDescent="0.15">
      <c r="K536" s="215"/>
    </row>
    <row r="537" spans="11:11" x14ac:dyDescent="0.15">
      <c r="K537" s="215"/>
    </row>
    <row r="538" spans="11:11" x14ac:dyDescent="0.15">
      <c r="K538" s="215"/>
    </row>
    <row r="539" spans="11:11" x14ac:dyDescent="0.15">
      <c r="K539" s="215"/>
    </row>
    <row r="540" spans="11:11" x14ac:dyDescent="0.15">
      <c r="K540" s="215"/>
    </row>
    <row r="541" spans="11:11" x14ac:dyDescent="0.15">
      <c r="K541" s="215"/>
    </row>
    <row r="542" spans="11:11" x14ac:dyDescent="0.15">
      <c r="K542" s="215"/>
    </row>
    <row r="543" spans="11:11" x14ac:dyDescent="0.15">
      <c r="K543" s="215"/>
    </row>
    <row r="544" spans="11:11" x14ac:dyDescent="0.15">
      <c r="K544" s="215"/>
    </row>
    <row r="545" spans="11:11" x14ac:dyDescent="0.15">
      <c r="K545" s="215"/>
    </row>
    <row r="546" spans="11:11" x14ac:dyDescent="0.15">
      <c r="K546" s="215"/>
    </row>
    <row r="547" spans="11:11" x14ac:dyDescent="0.15">
      <c r="K547" s="215"/>
    </row>
    <row r="548" spans="11:11" x14ac:dyDescent="0.15">
      <c r="K548" s="215"/>
    </row>
    <row r="549" spans="11:11" x14ac:dyDescent="0.15">
      <c r="K549" s="215"/>
    </row>
    <row r="550" spans="11:11" x14ac:dyDescent="0.15">
      <c r="K550" s="215"/>
    </row>
    <row r="551" spans="11:11" x14ac:dyDescent="0.15">
      <c r="K551" s="215"/>
    </row>
    <row r="552" spans="11:11" x14ac:dyDescent="0.15">
      <c r="K552" s="215"/>
    </row>
    <row r="553" spans="11:11" x14ac:dyDescent="0.15">
      <c r="K553" s="215"/>
    </row>
    <row r="554" spans="11:11" x14ac:dyDescent="0.15">
      <c r="K554" s="215"/>
    </row>
    <row r="555" spans="11:11" x14ac:dyDescent="0.15">
      <c r="K555" s="215"/>
    </row>
    <row r="556" spans="11:11" x14ac:dyDescent="0.15">
      <c r="K556" s="215"/>
    </row>
    <row r="557" spans="11:11" x14ac:dyDescent="0.15">
      <c r="K557" s="215"/>
    </row>
    <row r="558" spans="11:11" x14ac:dyDescent="0.15">
      <c r="K558" s="215"/>
    </row>
    <row r="559" spans="11:11" x14ac:dyDescent="0.15">
      <c r="K559" s="215"/>
    </row>
    <row r="560" spans="11:11" x14ac:dyDescent="0.15">
      <c r="K560" s="215"/>
    </row>
    <row r="561" spans="11:11" x14ac:dyDescent="0.15">
      <c r="K561" s="215"/>
    </row>
    <row r="562" spans="11:11" x14ac:dyDescent="0.15">
      <c r="K562" s="215"/>
    </row>
    <row r="563" spans="11:11" x14ac:dyDescent="0.15">
      <c r="K563" s="215"/>
    </row>
    <row r="564" spans="11:11" x14ac:dyDescent="0.15">
      <c r="K564" s="215"/>
    </row>
    <row r="565" spans="11:11" x14ac:dyDescent="0.15">
      <c r="K565" s="215"/>
    </row>
    <row r="566" spans="11:11" x14ac:dyDescent="0.15">
      <c r="K566" s="215"/>
    </row>
    <row r="567" spans="11:11" x14ac:dyDescent="0.15">
      <c r="K567" s="215"/>
    </row>
    <row r="568" spans="11:11" x14ac:dyDescent="0.15">
      <c r="K568" s="215"/>
    </row>
    <row r="569" spans="11:11" x14ac:dyDescent="0.15">
      <c r="K569" s="215"/>
    </row>
    <row r="570" spans="11:11" x14ac:dyDescent="0.15">
      <c r="K570" s="215"/>
    </row>
    <row r="571" spans="11:11" x14ac:dyDescent="0.15">
      <c r="K571" s="215"/>
    </row>
    <row r="572" spans="11:11" x14ac:dyDescent="0.15">
      <c r="K572" s="215"/>
    </row>
    <row r="573" spans="11:11" x14ac:dyDescent="0.15">
      <c r="K573" s="215"/>
    </row>
    <row r="574" spans="11:11" x14ac:dyDescent="0.15">
      <c r="K574" s="215"/>
    </row>
    <row r="575" spans="11:11" x14ac:dyDescent="0.15">
      <c r="K575" s="215"/>
    </row>
    <row r="576" spans="11:11" x14ac:dyDescent="0.15">
      <c r="K576" s="215"/>
    </row>
    <row r="577" spans="11:11" x14ac:dyDescent="0.15">
      <c r="K577" s="215"/>
    </row>
    <row r="578" spans="11:11" x14ac:dyDescent="0.15">
      <c r="K578" s="215"/>
    </row>
    <row r="579" spans="11:11" x14ac:dyDescent="0.15">
      <c r="K579" s="215"/>
    </row>
    <row r="580" spans="11:11" x14ac:dyDescent="0.15">
      <c r="K580" s="215"/>
    </row>
    <row r="581" spans="11:11" x14ac:dyDescent="0.15">
      <c r="K581" s="215"/>
    </row>
    <row r="582" spans="11:11" x14ac:dyDescent="0.15">
      <c r="K582" s="215"/>
    </row>
    <row r="583" spans="11:11" x14ac:dyDescent="0.15">
      <c r="K583" s="215"/>
    </row>
    <row r="584" spans="11:11" x14ac:dyDescent="0.15">
      <c r="K584" s="215"/>
    </row>
    <row r="585" spans="11:11" x14ac:dyDescent="0.15">
      <c r="K585" s="215"/>
    </row>
    <row r="586" spans="11:11" x14ac:dyDescent="0.15">
      <c r="K586" s="215"/>
    </row>
    <row r="587" spans="11:11" x14ac:dyDescent="0.15">
      <c r="K587" s="215"/>
    </row>
    <row r="588" spans="11:11" x14ac:dyDescent="0.15">
      <c r="K588" s="215"/>
    </row>
    <row r="589" spans="11:11" x14ac:dyDescent="0.15">
      <c r="K589" s="215"/>
    </row>
    <row r="590" spans="11:11" x14ac:dyDescent="0.15">
      <c r="K590" s="215"/>
    </row>
    <row r="591" spans="11:11" x14ac:dyDescent="0.15">
      <c r="K591" s="215"/>
    </row>
    <row r="592" spans="11:11" x14ac:dyDescent="0.15">
      <c r="K592" s="215"/>
    </row>
    <row r="593" spans="11:11" x14ac:dyDescent="0.15">
      <c r="K593" s="215"/>
    </row>
    <row r="594" spans="11:11" x14ac:dyDescent="0.15">
      <c r="K594" s="215"/>
    </row>
    <row r="595" spans="11:11" x14ac:dyDescent="0.15">
      <c r="K595" s="215"/>
    </row>
    <row r="596" spans="11:11" x14ac:dyDescent="0.15">
      <c r="K596" s="215"/>
    </row>
    <row r="597" spans="11:11" x14ac:dyDescent="0.15">
      <c r="K597" s="215"/>
    </row>
    <row r="598" spans="11:11" x14ac:dyDescent="0.15">
      <c r="K598" s="215"/>
    </row>
    <row r="599" spans="11:11" x14ac:dyDescent="0.15">
      <c r="K599" s="215"/>
    </row>
    <row r="600" spans="11:11" x14ac:dyDescent="0.15">
      <c r="K600" s="215"/>
    </row>
    <row r="601" spans="11:11" x14ac:dyDescent="0.15">
      <c r="K601" s="215"/>
    </row>
    <row r="602" spans="11:11" x14ac:dyDescent="0.15">
      <c r="K602" s="215"/>
    </row>
    <row r="603" spans="11:11" x14ac:dyDescent="0.15">
      <c r="K603" s="215"/>
    </row>
    <row r="604" spans="11:11" x14ac:dyDescent="0.15">
      <c r="K604" s="215"/>
    </row>
    <row r="605" spans="11:11" x14ac:dyDescent="0.15">
      <c r="K605" s="215"/>
    </row>
    <row r="606" spans="11:11" x14ac:dyDescent="0.15">
      <c r="K606" s="215"/>
    </row>
    <row r="607" spans="11:11" x14ac:dyDescent="0.15">
      <c r="K607" s="215"/>
    </row>
    <row r="608" spans="11:11" x14ac:dyDescent="0.15">
      <c r="K608" s="215"/>
    </row>
    <row r="609" spans="11:11" x14ac:dyDescent="0.15">
      <c r="K609" s="215"/>
    </row>
    <row r="610" spans="11:11" x14ac:dyDescent="0.15">
      <c r="K610" s="215"/>
    </row>
    <row r="611" spans="11:11" x14ac:dyDescent="0.15">
      <c r="K611" s="215"/>
    </row>
    <row r="612" spans="11:11" x14ac:dyDescent="0.15">
      <c r="K612" s="215"/>
    </row>
    <row r="613" spans="11:11" x14ac:dyDescent="0.15">
      <c r="K613" s="215"/>
    </row>
    <row r="614" spans="11:11" x14ac:dyDescent="0.15">
      <c r="K614" s="215"/>
    </row>
    <row r="615" spans="11:11" x14ac:dyDescent="0.15">
      <c r="K615" s="215"/>
    </row>
    <row r="616" spans="11:11" x14ac:dyDescent="0.15">
      <c r="K616" s="215"/>
    </row>
    <row r="617" spans="11:11" x14ac:dyDescent="0.15">
      <c r="K617" s="215"/>
    </row>
    <row r="618" spans="11:11" x14ac:dyDescent="0.15">
      <c r="K618" s="215"/>
    </row>
    <row r="619" spans="11:11" x14ac:dyDescent="0.15">
      <c r="K619" s="215"/>
    </row>
    <row r="620" spans="11:11" x14ac:dyDescent="0.15">
      <c r="K620" s="215"/>
    </row>
    <row r="621" spans="11:11" x14ac:dyDescent="0.15">
      <c r="K621" s="215"/>
    </row>
    <row r="622" spans="11:11" x14ac:dyDescent="0.15">
      <c r="K622" s="215"/>
    </row>
    <row r="623" spans="11:11" x14ac:dyDescent="0.15">
      <c r="K623" s="215"/>
    </row>
    <row r="624" spans="11:11" x14ac:dyDescent="0.15">
      <c r="K624" s="215"/>
    </row>
    <row r="625" spans="11:11" x14ac:dyDescent="0.15">
      <c r="K625" s="215"/>
    </row>
    <row r="626" spans="11:11" x14ac:dyDescent="0.15">
      <c r="K626" s="215"/>
    </row>
    <row r="627" spans="11:11" x14ac:dyDescent="0.15">
      <c r="K627" s="215"/>
    </row>
    <row r="628" spans="11:11" x14ac:dyDescent="0.15">
      <c r="K628" s="215"/>
    </row>
    <row r="629" spans="11:11" x14ac:dyDescent="0.15">
      <c r="K629" s="215"/>
    </row>
    <row r="630" spans="11:11" x14ac:dyDescent="0.15">
      <c r="K630" s="215"/>
    </row>
    <row r="631" spans="11:11" x14ac:dyDescent="0.15">
      <c r="K631" s="215"/>
    </row>
    <row r="632" spans="11:11" x14ac:dyDescent="0.15">
      <c r="K632" s="215"/>
    </row>
    <row r="633" spans="11:11" x14ac:dyDescent="0.15">
      <c r="K633" s="215"/>
    </row>
    <row r="634" spans="11:11" x14ac:dyDescent="0.15">
      <c r="K634" s="215"/>
    </row>
    <row r="635" spans="11:11" x14ac:dyDescent="0.15">
      <c r="K635" s="215"/>
    </row>
    <row r="636" spans="11:11" x14ac:dyDescent="0.15">
      <c r="K636" s="215"/>
    </row>
    <row r="637" spans="11:11" x14ac:dyDescent="0.15">
      <c r="K637" s="215"/>
    </row>
    <row r="638" spans="11:11" x14ac:dyDescent="0.15">
      <c r="K638" s="215"/>
    </row>
    <row r="639" spans="11:11" x14ac:dyDescent="0.15">
      <c r="K639" s="215"/>
    </row>
    <row r="640" spans="11:11" x14ac:dyDescent="0.15">
      <c r="K640" s="215"/>
    </row>
    <row r="641" spans="11:11" x14ac:dyDescent="0.15">
      <c r="K641" s="215"/>
    </row>
    <row r="642" spans="11:11" x14ac:dyDescent="0.15">
      <c r="K642" s="215"/>
    </row>
    <row r="643" spans="11:11" x14ac:dyDescent="0.15">
      <c r="K643" s="215"/>
    </row>
    <row r="644" spans="11:11" x14ac:dyDescent="0.15">
      <c r="K644" s="215"/>
    </row>
    <row r="645" spans="11:11" x14ac:dyDescent="0.15">
      <c r="K645" s="215"/>
    </row>
    <row r="646" spans="11:11" x14ac:dyDescent="0.15">
      <c r="K646" s="215"/>
    </row>
    <row r="647" spans="11:11" x14ac:dyDescent="0.15">
      <c r="K647" s="215"/>
    </row>
    <row r="648" spans="11:11" x14ac:dyDescent="0.15">
      <c r="K648" s="215"/>
    </row>
    <row r="649" spans="11:11" x14ac:dyDescent="0.15">
      <c r="K649" s="215"/>
    </row>
    <row r="650" spans="11:11" x14ac:dyDescent="0.15">
      <c r="K650" s="215"/>
    </row>
    <row r="651" spans="11:11" x14ac:dyDescent="0.15">
      <c r="K651" s="215"/>
    </row>
    <row r="652" spans="11:11" x14ac:dyDescent="0.15">
      <c r="K652" s="215"/>
    </row>
    <row r="653" spans="11:11" x14ac:dyDescent="0.15">
      <c r="K653" s="215"/>
    </row>
    <row r="654" spans="11:11" x14ac:dyDescent="0.15">
      <c r="K654" s="215"/>
    </row>
    <row r="655" spans="11:11" x14ac:dyDescent="0.15">
      <c r="K655" s="215"/>
    </row>
    <row r="656" spans="11:11" x14ac:dyDescent="0.15">
      <c r="K656" s="215"/>
    </row>
    <row r="657" spans="11:11" x14ac:dyDescent="0.15">
      <c r="K657" s="215"/>
    </row>
    <row r="658" spans="11:11" x14ac:dyDescent="0.15">
      <c r="K658" s="215"/>
    </row>
    <row r="659" spans="11:11" x14ac:dyDescent="0.15">
      <c r="K659" s="215"/>
    </row>
    <row r="660" spans="11:11" x14ac:dyDescent="0.15">
      <c r="K660" s="215"/>
    </row>
    <row r="661" spans="11:11" x14ac:dyDescent="0.15">
      <c r="K661" s="215"/>
    </row>
    <row r="662" spans="11:11" x14ac:dyDescent="0.15">
      <c r="K662" s="215"/>
    </row>
    <row r="663" spans="11:11" x14ac:dyDescent="0.15">
      <c r="K663" s="215"/>
    </row>
    <row r="664" spans="11:11" x14ac:dyDescent="0.15">
      <c r="K664" s="215"/>
    </row>
    <row r="665" spans="11:11" x14ac:dyDescent="0.15">
      <c r="K665" s="215"/>
    </row>
    <row r="666" spans="11:11" x14ac:dyDescent="0.15">
      <c r="K666" s="215"/>
    </row>
    <row r="667" spans="11:11" x14ac:dyDescent="0.15">
      <c r="K667" s="215"/>
    </row>
    <row r="668" spans="11:11" x14ac:dyDescent="0.15">
      <c r="K668" s="215"/>
    </row>
    <row r="669" spans="11:11" x14ac:dyDescent="0.15">
      <c r="K669" s="215"/>
    </row>
    <row r="670" spans="11:11" x14ac:dyDescent="0.15">
      <c r="K670" s="215"/>
    </row>
    <row r="671" spans="11:11" x14ac:dyDescent="0.15">
      <c r="K671" s="215"/>
    </row>
    <row r="672" spans="11:11" x14ac:dyDescent="0.15">
      <c r="K672" s="215"/>
    </row>
    <row r="673" spans="11:11" x14ac:dyDescent="0.15">
      <c r="K673" s="215"/>
    </row>
    <row r="674" spans="11:11" x14ac:dyDescent="0.15">
      <c r="K674" s="215"/>
    </row>
    <row r="675" spans="11:11" x14ac:dyDescent="0.15">
      <c r="K675" s="215"/>
    </row>
    <row r="676" spans="11:11" x14ac:dyDescent="0.15">
      <c r="K676" s="215"/>
    </row>
    <row r="677" spans="11:11" x14ac:dyDescent="0.15">
      <c r="K677" s="215"/>
    </row>
    <row r="678" spans="11:11" x14ac:dyDescent="0.15">
      <c r="K678" s="215"/>
    </row>
    <row r="679" spans="11:11" x14ac:dyDescent="0.15">
      <c r="K679" s="215"/>
    </row>
    <row r="680" spans="11:11" x14ac:dyDescent="0.15">
      <c r="K680" s="215"/>
    </row>
    <row r="681" spans="11:11" x14ac:dyDescent="0.15">
      <c r="K681" s="215"/>
    </row>
    <row r="682" spans="11:11" x14ac:dyDescent="0.15">
      <c r="K682" s="215"/>
    </row>
    <row r="683" spans="11:11" x14ac:dyDescent="0.15">
      <c r="K683" s="215"/>
    </row>
    <row r="684" spans="11:11" x14ac:dyDescent="0.15">
      <c r="K684" s="215"/>
    </row>
    <row r="685" spans="11:11" x14ac:dyDescent="0.15">
      <c r="K685" s="215"/>
    </row>
    <row r="686" spans="11:11" x14ac:dyDescent="0.15">
      <c r="K686" s="215"/>
    </row>
    <row r="687" spans="11:11" x14ac:dyDescent="0.15">
      <c r="K687" s="215"/>
    </row>
    <row r="688" spans="11:11" x14ac:dyDescent="0.15">
      <c r="K688" s="215"/>
    </row>
    <row r="689" spans="11:11" x14ac:dyDescent="0.15">
      <c r="K689" s="215"/>
    </row>
    <row r="690" spans="11:11" x14ac:dyDescent="0.15">
      <c r="K690" s="215"/>
    </row>
    <row r="691" spans="11:11" x14ac:dyDescent="0.15">
      <c r="K691" s="215"/>
    </row>
    <row r="692" spans="11:11" x14ac:dyDescent="0.15">
      <c r="K692" s="215"/>
    </row>
    <row r="693" spans="11:11" x14ac:dyDescent="0.15">
      <c r="K693" s="215"/>
    </row>
    <row r="694" spans="11:11" x14ac:dyDescent="0.15">
      <c r="K694" s="215"/>
    </row>
    <row r="695" spans="11:11" x14ac:dyDescent="0.15">
      <c r="K695" s="215"/>
    </row>
    <row r="696" spans="11:11" x14ac:dyDescent="0.15">
      <c r="K696" s="215"/>
    </row>
    <row r="697" spans="11:11" x14ac:dyDescent="0.15">
      <c r="K697" s="215"/>
    </row>
    <row r="698" spans="11:11" x14ac:dyDescent="0.15">
      <c r="K698" s="215"/>
    </row>
    <row r="699" spans="11:11" x14ac:dyDescent="0.15">
      <c r="K699" s="215"/>
    </row>
    <row r="700" spans="11:11" x14ac:dyDescent="0.15">
      <c r="K700" s="215"/>
    </row>
    <row r="701" spans="11:11" x14ac:dyDescent="0.15">
      <c r="K701" s="215"/>
    </row>
    <row r="702" spans="11:11" x14ac:dyDescent="0.15">
      <c r="K702" s="215"/>
    </row>
    <row r="703" spans="11:11" x14ac:dyDescent="0.15">
      <c r="K703" s="215"/>
    </row>
    <row r="704" spans="11:11" x14ac:dyDescent="0.15">
      <c r="K704" s="215"/>
    </row>
    <row r="705" spans="11:11" x14ac:dyDescent="0.15">
      <c r="K705" s="215"/>
    </row>
    <row r="706" spans="11:11" x14ac:dyDescent="0.15">
      <c r="K706" s="215"/>
    </row>
    <row r="707" spans="11:11" x14ac:dyDescent="0.15">
      <c r="K707" s="215"/>
    </row>
    <row r="708" spans="11:11" x14ac:dyDescent="0.15">
      <c r="K708" s="215"/>
    </row>
    <row r="709" spans="11:11" x14ac:dyDescent="0.15">
      <c r="K709" s="215"/>
    </row>
    <row r="710" spans="11:11" x14ac:dyDescent="0.15">
      <c r="K710" s="215"/>
    </row>
    <row r="711" spans="11:11" x14ac:dyDescent="0.15">
      <c r="K711" s="215"/>
    </row>
    <row r="712" spans="11:11" x14ac:dyDescent="0.15">
      <c r="K712" s="215"/>
    </row>
    <row r="713" spans="11:11" x14ac:dyDescent="0.15">
      <c r="K713" s="215"/>
    </row>
    <row r="714" spans="11:11" x14ac:dyDescent="0.15">
      <c r="K714" s="215"/>
    </row>
    <row r="715" spans="11:11" x14ac:dyDescent="0.15">
      <c r="K715" s="215"/>
    </row>
    <row r="716" spans="11:11" x14ac:dyDescent="0.15">
      <c r="K716" s="215"/>
    </row>
    <row r="717" spans="11:11" x14ac:dyDescent="0.15">
      <c r="K717" s="215"/>
    </row>
    <row r="718" spans="11:11" x14ac:dyDescent="0.15">
      <c r="K718" s="215"/>
    </row>
    <row r="719" spans="11:11" x14ac:dyDescent="0.15">
      <c r="K719" s="215"/>
    </row>
    <row r="720" spans="11:11" x14ac:dyDescent="0.15">
      <c r="K720" s="215"/>
    </row>
    <row r="721" spans="11:11" x14ac:dyDescent="0.15">
      <c r="K721" s="215"/>
    </row>
    <row r="722" spans="11:11" x14ac:dyDescent="0.15">
      <c r="K722" s="215"/>
    </row>
    <row r="723" spans="11:11" x14ac:dyDescent="0.15">
      <c r="K723" s="215"/>
    </row>
    <row r="724" spans="11:11" x14ac:dyDescent="0.15">
      <c r="K724" s="215"/>
    </row>
    <row r="725" spans="11:11" x14ac:dyDescent="0.15">
      <c r="K725" s="215"/>
    </row>
    <row r="726" spans="11:11" x14ac:dyDescent="0.15">
      <c r="K726" s="215"/>
    </row>
    <row r="727" spans="11:11" x14ac:dyDescent="0.15">
      <c r="K727" s="215"/>
    </row>
    <row r="728" spans="11:11" x14ac:dyDescent="0.15">
      <c r="K728" s="215"/>
    </row>
    <row r="729" spans="11:11" x14ac:dyDescent="0.15">
      <c r="K729" s="215"/>
    </row>
    <row r="730" spans="11:11" x14ac:dyDescent="0.15">
      <c r="K730" s="215"/>
    </row>
    <row r="731" spans="11:11" x14ac:dyDescent="0.15">
      <c r="K731" s="215"/>
    </row>
    <row r="732" spans="11:11" x14ac:dyDescent="0.15">
      <c r="K732" s="215"/>
    </row>
    <row r="733" spans="11:11" x14ac:dyDescent="0.15">
      <c r="K733" s="215"/>
    </row>
    <row r="734" spans="11:11" x14ac:dyDescent="0.15">
      <c r="K734" s="215"/>
    </row>
    <row r="735" spans="11:11" x14ac:dyDescent="0.15">
      <c r="K735" s="215"/>
    </row>
    <row r="736" spans="11:11" x14ac:dyDescent="0.15">
      <c r="K736" s="215"/>
    </row>
    <row r="737" spans="11:11" x14ac:dyDescent="0.15">
      <c r="K737" s="215"/>
    </row>
    <row r="738" spans="11:11" x14ac:dyDescent="0.15">
      <c r="K738" s="215"/>
    </row>
    <row r="739" spans="11:11" x14ac:dyDescent="0.15">
      <c r="K739" s="215"/>
    </row>
    <row r="740" spans="11:11" x14ac:dyDescent="0.15">
      <c r="K740" s="215"/>
    </row>
    <row r="741" spans="11:11" x14ac:dyDescent="0.15">
      <c r="K741" s="215"/>
    </row>
    <row r="742" spans="11:11" x14ac:dyDescent="0.15">
      <c r="K742" s="215"/>
    </row>
    <row r="743" spans="11:11" x14ac:dyDescent="0.15">
      <c r="K743" s="215"/>
    </row>
    <row r="744" spans="11:11" x14ac:dyDescent="0.15">
      <c r="K744" s="215"/>
    </row>
    <row r="745" spans="11:11" x14ac:dyDescent="0.15">
      <c r="K745" s="215"/>
    </row>
    <row r="746" spans="11:11" x14ac:dyDescent="0.15">
      <c r="K746" s="215"/>
    </row>
    <row r="747" spans="11:11" x14ac:dyDescent="0.15">
      <c r="K747" s="215"/>
    </row>
    <row r="748" spans="11:11" x14ac:dyDescent="0.15">
      <c r="K748" s="215"/>
    </row>
    <row r="749" spans="11:11" x14ac:dyDescent="0.15">
      <c r="K749" s="215"/>
    </row>
    <row r="750" spans="11:11" x14ac:dyDescent="0.15">
      <c r="K750" s="215"/>
    </row>
    <row r="751" spans="11:11" x14ac:dyDescent="0.15">
      <c r="K751" s="215"/>
    </row>
    <row r="752" spans="11:11" x14ac:dyDescent="0.15">
      <c r="K752" s="215"/>
    </row>
    <row r="753" spans="11:11" x14ac:dyDescent="0.15">
      <c r="K753" s="215"/>
    </row>
    <row r="754" spans="11:11" x14ac:dyDescent="0.15">
      <c r="K754" s="215"/>
    </row>
    <row r="755" spans="11:11" x14ac:dyDescent="0.15">
      <c r="K755" s="215"/>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190B03-A3E6-47C2-8AD0-F62A1372CF01}"/>
</file>

<file path=customXml/itemProps2.xml><?xml version="1.0" encoding="utf-8"?>
<ds:datastoreItem xmlns:ds="http://schemas.openxmlformats.org/officeDocument/2006/customXml" ds:itemID="{4FE4F203-5FD1-425A-A490-D342C9133801}"/>
</file>

<file path=customXml/itemProps3.xml><?xml version="1.0" encoding="utf-8"?>
<ds:datastoreItem xmlns:ds="http://schemas.openxmlformats.org/officeDocument/2006/customXml" ds:itemID="{624AFB57-B020-4F7C-8C56-E15F3577C1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2018-11-05T02:43:06Z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